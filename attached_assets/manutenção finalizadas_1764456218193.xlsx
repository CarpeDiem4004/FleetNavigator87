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0E71AB58-B3BC-443A-A7A4-220E7EF2CC43}" xr6:coauthVersionLast="47" xr6:coauthVersionMax="47" xr10:uidLastSave="{00000000-0000-0000-0000-000000000000}"/>
  <bookViews>
    <workbookView xWindow="-110" yWindow="-110" windowWidth="19420" windowHeight="10300" xr2:uid="{BEA8F125-A964-4CFD-BA3E-78DCB46CD3EC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38" i="1" l="1"/>
  <c r="S738" i="1"/>
  <c r="R738" i="1"/>
  <c r="M738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S331" i="1"/>
  <c r="R331" i="1"/>
  <c r="B331" i="1"/>
  <c r="S330" i="1"/>
  <c r="R330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S95" i="1"/>
  <c r="R95" i="1"/>
  <c r="M95" i="1"/>
  <c r="C95" i="1"/>
  <c r="B95" i="1"/>
  <c r="S94" i="1"/>
  <c r="R94" i="1"/>
  <c r="C94" i="1"/>
  <c r="B94" i="1"/>
  <c r="S93" i="1"/>
  <c r="R93" i="1"/>
  <c r="M93" i="1"/>
  <c r="C93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S75" i="1"/>
  <c r="R75" i="1"/>
  <c r="B75" i="1"/>
  <c r="S74" i="1"/>
  <c r="R74" i="1"/>
  <c r="B74" i="1"/>
  <c r="S73" i="1"/>
  <c r="R73" i="1"/>
  <c r="C73" i="1"/>
  <c r="B73" i="1"/>
  <c r="S72" i="1"/>
  <c r="R72" i="1"/>
  <c r="M72" i="1"/>
  <c r="C72" i="1"/>
  <c r="B72" i="1"/>
  <c r="S71" i="1"/>
  <c r="R71" i="1"/>
  <c r="M71" i="1"/>
  <c r="C71" i="1"/>
  <c r="B71" i="1"/>
  <c r="S70" i="1"/>
  <c r="R70" i="1"/>
  <c r="M70" i="1"/>
  <c r="C70" i="1"/>
  <c r="B70" i="1"/>
  <c r="S69" i="1"/>
  <c r="R69" i="1"/>
  <c r="M69" i="1"/>
  <c r="C69" i="1"/>
  <c r="B69" i="1"/>
  <c r="S68" i="1"/>
  <c r="R68" i="1"/>
  <c r="M68" i="1"/>
  <c r="C68" i="1"/>
  <c r="B68" i="1"/>
  <c r="S67" i="1"/>
  <c r="R67" i="1"/>
  <c r="C67" i="1"/>
  <c r="B67" i="1"/>
  <c r="S66" i="1"/>
  <c r="R66" i="1"/>
  <c r="M66" i="1"/>
  <c r="C66" i="1"/>
  <c r="B66" i="1"/>
  <c r="M65" i="1"/>
  <c r="C65" i="1"/>
  <c r="B65" i="1"/>
  <c r="S64" i="1"/>
  <c r="R64" i="1"/>
  <c r="M64" i="1"/>
  <c r="C64" i="1"/>
  <c r="B64" i="1"/>
  <c r="S63" i="1"/>
  <c r="R63" i="1"/>
  <c r="M63" i="1"/>
  <c r="C63" i="1"/>
  <c r="B63" i="1"/>
  <c r="S62" i="1"/>
  <c r="R62" i="1"/>
  <c r="M62" i="1"/>
  <c r="C62" i="1"/>
  <c r="B62" i="1"/>
  <c r="S61" i="1"/>
  <c r="R61" i="1"/>
  <c r="B61" i="1"/>
  <c r="S60" i="1"/>
  <c r="R60" i="1"/>
  <c r="M60" i="1"/>
  <c r="C60" i="1"/>
  <c r="B60" i="1"/>
  <c r="S59" i="1"/>
  <c r="R59" i="1"/>
  <c r="M59" i="1"/>
  <c r="C59" i="1"/>
  <c r="B59" i="1"/>
  <c r="S58" i="1"/>
  <c r="R58" i="1"/>
  <c r="M58" i="1"/>
  <c r="C58" i="1"/>
  <c r="B58" i="1"/>
  <c r="S57" i="1"/>
  <c r="R57" i="1"/>
  <c r="M57" i="1"/>
  <c r="C57" i="1"/>
  <c r="B57" i="1"/>
  <c r="S56" i="1"/>
  <c r="R56" i="1"/>
  <c r="M56" i="1"/>
  <c r="C56" i="1"/>
  <c r="B56" i="1"/>
  <c r="S55" i="1"/>
  <c r="R55" i="1"/>
  <c r="M55" i="1"/>
  <c r="C55" i="1"/>
  <c r="B55" i="1"/>
  <c r="S54" i="1"/>
  <c r="R54" i="1"/>
  <c r="M54" i="1"/>
  <c r="C54" i="1"/>
  <c r="B54" i="1"/>
  <c r="S53" i="1"/>
  <c r="R53" i="1"/>
  <c r="M53" i="1"/>
  <c r="C53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S37" i="1"/>
  <c r="R37" i="1"/>
  <c r="M37" i="1"/>
  <c r="C37" i="1"/>
  <c r="B37" i="1"/>
  <c r="S36" i="1"/>
  <c r="R36" i="1"/>
  <c r="M36" i="1"/>
  <c r="C36" i="1"/>
  <c r="B36" i="1"/>
  <c r="S35" i="1"/>
  <c r="R35" i="1"/>
  <c r="M35" i="1"/>
  <c r="C35" i="1"/>
  <c r="B35" i="1"/>
  <c r="S34" i="1"/>
  <c r="R34" i="1"/>
  <c r="M34" i="1"/>
  <c r="B34" i="1"/>
  <c r="S33" i="1"/>
  <c r="R33" i="1"/>
  <c r="M33" i="1"/>
  <c r="B33" i="1"/>
  <c r="S32" i="1"/>
  <c r="R32" i="1"/>
  <c r="M32" i="1"/>
  <c r="C32" i="1"/>
  <c r="B32" i="1"/>
  <c r="S31" i="1"/>
  <c r="R31" i="1"/>
  <c r="M31" i="1"/>
  <c r="B31" i="1"/>
  <c r="B30" i="1"/>
  <c r="B29" i="1"/>
  <c r="B28" i="1"/>
  <c r="B27" i="1"/>
  <c r="M26" i="1"/>
  <c r="B26" i="1"/>
  <c r="M25" i="1"/>
  <c r="B25" i="1"/>
  <c r="M24" i="1"/>
  <c r="B24" i="1"/>
  <c r="M23" i="1"/>
  <c r="B23" i="1"/>
  <c r="M22" i="1"/>
  <c r="B22" i="1"/>
  <c r="M21" i="1"/>
  <c r="B21" i="1"/>
  <c r="M20" i="1"/>
  <c r="B20" i="1"/>
  <c r="M19" i="1"/>
  <c r="B19" i="1"/>
  <c r="M18" i="1"/>
  <c r="B18" i="1"/>
  <c r="M17" i="1"/>
  <c r="B17" i="1"/>
  <c r="M16" i="1"/>
  <c r="B16" i="1"/>
  <c r="M15" i="1"/>
  <c r="B15" i="1"/>
  <c r="M14" i="1"/>
  <c r="B14" i="1"/>
  <c r="M13" i="1"/>
  <c r="B13" i="1"/>
  <c r="M12" i="1"/>
  <c r="B12" i="1"/>
  <c r="M11" i="1"/>
  <c r="B11" i="1"/>
  <c r="M10" i="1"/>
  <c r="B10" i="1"/>
  <c r="M9" i="1"/>
  <c r="B9" i="1"/>
  <c r="M8" i="1"/>
  <c r="B8" i="1"/>
  <c r="M7" i="1"/>
  <c r="B7" i="1"/>
  <c r="M6" i="1"/>
  <c r="B6" i="1"/>
  <c r="M5" i="1"/>
  <c r="B5" i="1"/>
  <c r="M4" i="1"/>
  <c r="B4" i="1"/>
  <c r="M3" i="1"/>
  <c r="B3" i="1"/>
  <c r="M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tc={7C8518A7-4B3D-4665-9CC9-82C0158C5541}</author>
    <author>tc={4CDB53EA-6377-4580-8EC7-638D6C163F9F}</author>
  </authors>
  <commentList>
    <comment ref="E1" authorId="0" shapeId="0" xr:uid="{7C8518A7-4B3D-4665-9CC9-82C0158C55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Breve Relato sobre o serviço solicitado!
</t>
      </text>
    </comment>
    <comment ref="H1" authorId="1" shapeId="0" xr:uid="{4CDB53EA-6377-4580-8EC7-638D6C163F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para descrever se e Manutenção ou Sinistro
</t>
      </text>
    </comment>
  </commentList>
</comments>
</file>

<file path=xl/sharedStrings.xml><?xml version="1.0" encoding="utf-8"?>
<sst xmlns="http://schemas.openxmlformats.org/spreadsheetml/2006/main" count="11774" uniqueCount="1932">
  <si>
    <t>Placa</t>
  </si>
  <si>
    <t xml:space="preserve">Validação </t>
  </si>
  <si>
    <t>Modelo</t>
  </si>
  <si>
    <t>km</t>
  </si>
  <si>
    <t xml:space="preserve">Relato </t>
  </si>
  <si>
    <t>Data Agenda</t>
  </si>
  <si>
    <t>Focal</t>
  </si>
  <si>
    <t>Reparo</t>
  </si>
  <si>
    <t>Tipo de Manutenção</t>
  </si>
  <si>
    <t xml:space="preserve">Aprovação </t>
  </si>
  <si>
    <t>Valor do Orçamento</t>
  </si>
  <si>
    <t>Valor Negociado</t>
  </si>
  <si>
    <t>Centro de Custo</t>
  </si>
  <si>
    <t>Operação</t>
  </si>
  <si>
    <t>Status</t>
  </si>
  <si>
    <t>Previsão de Entrega</t>
  </si>
  <si>
    <t>Liberado</t>
  </si>
  <si>
    <t>D+Manut</t>
  </si>
  <si>
    <t>Status2</t>
  </si>
  <si>
    <t>Oficina</t>
  </si>
  <si>
    <t>Lider Base</t>
  </si>
  <si>
    <t>Mês</t>
  </si>
  <si>
    <t>Coluna1</t>
  </si>
  <si>
    <t>STU8B28</t>
  </si>
  <si>
    <t>DELIVERY 9.180</t>
  </si>
  <si>
    <t>10/09/2025 Veiculo fazendo funilaria</t>
  </si>
  <si>
    <t>Miriam</t>
  </si>
  <si>
    <t>Manutenção</t>
  </si>
  <si>
    <t>Corretiva</t>
  </si>
  <si>
    <t>Aprovado</t>
  </si>
  <si>
    <t>MERCADO LIVRE</t>
  </si>
  <si>
    <t>Motor</t>
  </si>
  <si>
    <t>Fora do Prazo</t>
  </si>
  <si>
    <t>Central Truck</t>
  </si>
  <si>
    <t>MARCELO/ISLENE/ERIVELTON</t>
  </si>
  <si>
    <t>Set</t>
  </si>
  <si>
    <t>RUM2B64</t>
  </si>
  <si>
    <t>Fiorino Endurance Evo 1.4 2P</t>
  </si>
  <si>
    <t>Motor/Junta do Cabeçote</t>
  </si>
  <si>
    <t>Hillary</t>
  </si>
  <si>
    <t>Em Manutenção</t>
  </si>
  <si>
    <t>SM3</t>
  </si>
  <si>
    <t>LARIANE</t>
  </si>
  <si>
    <t>RVB8A68</t>
  </si>
  <si>
    <t>MASTER FURGAO L1</t>
  </si>
  <si>
    <t xml:space="preserve">21/08 - Embreagem </t>
  </si>
  <si>
    <t>Auto Vans</t>
  </si>
  <si>
    <t>EDGARD</t>
  </si>
  <si>
    <t>Ago</t>
  </si>
  <si>
    <t>SDP9J20</t>
  </si>
  <si>
    <t>E-Jumpy Furgão 2P</t>
  </si>
  <si>
    <t>Não é sinistro</t>
  </si>
  <si>
    <t>Sinistro</t>
  </si>
  <si>
    <t>França pneus</t>
  </si>
  <si>
    <t>CARLOS SELL</t>
  </si>
  <si>
    <t>RHV8D37</t>
  </si>
  <si>
    <t>JAC iEV1200T AT 4x2 2P</t>
  </si>
  <si>
    <t>28/08 Motor</t>
  </si>
  <si>
    <t>NGN DISTRIBUIDORA DE VEICULOS LTDA (localiza)</t>
  </si>
  <si>
    <t>BRUNO/ERIVELTON</t>
  </si>
  <si>
    <t>RUO6B02</t>
  </si>
  <si>
    <t>Vazamento de óleo/caixa de Direção</t>
  </si>
  <si>
    <t>RM</t>
  </si>
  <si>
    <t>CAMILA</t>
  </si>
  <si>
    <t>SDT9F97</t>
  </si>
  <si>
    <t>Amortecedor</t>
  </si>
  <si>
    <t>Safety Car</t>
  </si>
  <si>
    <t>EVAILTON</t>
  </si>
  <si>
    <t>SGH9G33</t>
  </si>
  <si>
    <t>I/FORD TRANSIT 350 FL</t>
  </si>
  <si>
    <t>pastilha de freio e correia alternador</t>
  </si>
  <si>
    <t>RNJ9C97</t>
  </si>
  <si>
    <t>Master Furgão 8m³</t>
  </si>
  <si>
    <t>17/09 Problema eletrico em analise</t>
  </si>
  <si>
    <t>FSP</t>
  </si>
  <si>
    <t>TUANY</t>
  </si>
  <si>
    <t>RUM2B25</t>
  </si>
  <si>
    <t>veiculo guinchado por aquecimento</t>
  </si>
  <si>
    <t>EOA8G93</t>
  </si>
  <si>
    <t xml:space="preserve"> Partner Rapid Business Pack 1.4 2P</t>
  </si>
  <si>
    <t>Pane Eletrica</t>
  </si>
  <si>
    <t>Nova Lima (Movida)</t>
  </si>
  <si>
    <t xml:space="preserve">MICAEL MARCOS </t>
  </si>
  <si>
    <t>Jul</t>
  </si>
  <si>
    <t>RTM6B47</t>
  </si>
  <si>
    <t>vazamento oleo hidraulico e amortecedor lçado passageiro estourado</t>
  </si>
  <si>
    <t>Em Diagnóstico</t>
  </si>
  <si>
    <t>RNJ9C89</t>
  </si>
  <si>
    <t>Arrebentou a Correia do Veículo</t>
  </si>
  <si>
    <t>AMS</t>
  </si>
  <si>
    <t>RNJ9D65</t>
  </si>
  <si>
    <t xml:space="preserve">CAIXA DE DIREÇÃO </t>
  </si>
  <si>
    <t>Carla</t>
  </si>
  <si>
    <t>Passos</t>
  </si>
  <si>
    <t>KAREN</t>
  </si>
  <si>
    <t>SGL1J04</t>
  </si>
  <si>
    <t>TRANSIT FURGÃO</t>
  </si>
  <si>
    <t>pane</t>
  </si>
  <si>
    <t>Estacionamento da Coca/MuriTruck</t>
  </si>
  <si>
    <t>RVD4C77</t>
  </si>
  <si>
    <t>Injemec</t>
  </si>
  <si>
    <t>NAYARA/FLAVIA</t>
  </si>
  <si>
    <t>RUX2J08</t>
  </si>
  <si>
    <t>embreagem</t>
  </si>
  <si>
    <t>centro automotivo full pneus</t>
  </si>
  <si>
    <t xml:space="preserve">CAMILA </t>
  </si>
  <si>
    <t>RNG5A20</t>
  </si>
  <si>
    <t>SDT9G93</t>
  </si>
  <si>
    <t xml:space="preserve">Veículo elétrico não carrega </t>
  </si>
  <si>
    <t>LUMIERE (CITROEN)</t>
  </si>
  <si>
    <t>GABRIEL</t>
  </si>
  <si>
    <t>JCI8F75</t>
  </si>
  <si>
    <t>radiador avariado</t>
  </si>
  <si>
    <t>SM3 SOROCABA</t>
  </si>
  <si>
    <t>RUM3C04</t>
  </si>
  <si>
    <t>pane eletrica</t>
  </si>
  <si>
    <t>Master tech</t>
  </si>
  <si>
    <t>MARIANE</t>
  </si>
  <si>
    <t>SDT9F66</t>
  </si>
  <si>
    <t>AKTA em Santos (localiza)</t>
  </si>
  <si>
    <t>JONATHAN</t>
  </si>
  <si>
    <t>Mai</t>
  </si>
  <si>
    <t>SDP9J05</t>
  </si>
  <si>
    <t>Khetlyn</t>
  </si>
  <si>
    <t>PIGALLE VEICULOS PEC (Localiza)</t>
  </si>
  <si>
    <t>GLEUMA</t>
  </si>
  <si>
    <t>SDQ3A32</t>
  </si>
  <si>
    <t>Kangoo Z.E. MAXI 5 Lugares 2P</t>
  </si>
  <si>
    <t xml:space="preserve">Preventiva, estralando a Homocêntrica </t>
  </si>
  <si>
    <t>EURO RP VEICULOS ( Localiza )</t>
  </si>
  <si>
    <t>DEBORAH</t>
  </si>
  <si>
    <t>RHO5B26</t>
  </si>
  <si>
    <t>fazendo barulho na roda dianteira muito forte (Homocinetica)</t>
  </si>
  <si>
    <t>TICKET LOG MANUTENCA ( LOCALIZA )</t>
  </si>
  <si>
    <t>CLAUDIA</t>
  </si>
  <si>
    <t>Jun</t>
  </si>
  <si>
    <t>SJT9A40</t>
  </si>
  <si>
    <t>Vazamento/ veículo sem Força/ Cambio</t>
  </si>
  <si>
    <t>Luana</t>
  </si>
  <si>
    <t>Negociando</t>
  </si>
  <si>
    <t>SSP5</t>
  </si>
  <si>
    <t>Dircan</t>
  </si>
  <si>
    <t>RTF0B76</t>
  </si>
  <si>
    <t>veiculo encaminhado de guincho nao da partida</t>
  </si>
  <si>
    <t>SJT5G88</t>
  </si>
  <si>
    <t>cx de direção</t>
  </si>
  <si>
    <t>UGH4A00</t>
  </si>
  <si>
    <t>FIAT/FIORINO ENDURANCE</t>
  </si>
  <si>
    <t>Veículo sofreu uma colisão na porta esquerda.</t>
  </si>
  <si>
    <t>Julia</t>
  </si>
  <si>
    <t xml:space="preserve">Aprovado </t>
  </si>
  <si>
    <t>PTL02</t>
  </si>
  <si>
    <t>PET LOVE</t>
  </si>
  <si>
    <t>Dentro do Prazo</t>
  </si>
  <si>
    <t>Garage Helena Maria</t>
  </si>
  <si>
    <t>GABRIELI</t>
  </si>
  <si>
    <t>SGI8G86</t>
  </si>
  <si>
    <t>TRANSIT CHASSI</t>
  </si>
  <si>
    <t xml:space="preserve">16/09 revisão </t>
  </si>
  <si>
    <t>Ford Studio Guarulhos</t>
  </si>
  <si>
    <t>STO0I02</t>
  </si>
  <si>
    <t>pneus soltou a recapagem</t>
  </si>
  <si>
    <t>Estacionamento da base</t>
  </si>
  <si>
    <t xml:space="preserve">GIG3B72 </t>
  </si>
  <si>
    <t>VW/EXPRESS DRC 4X2</t>
  </si>
  <si>
    <t xml:space="preserve"> REVISÃO</t>
  </si>
  <si>
    <t>Estacionamento da Muritruck</t>
  </si>
  <si>
    <t>TAO5A38</t>
  </si>
  <si>
    <t>IVECO 35S1</t>
  </si>
  <si>
    <t>Foi fazer freio ontem e ainda não foi liberado, está na MuriTruck</t>
  </si>
  <si>
    <t>TOE7D29</t>
  </si>
  <si>
    <t>dificuldade de passar marcha</t>
  </si>
  <si>
    <t>MADEIRA MADEIRA</t>
  </si>
  <si>
    <t>RODRIGO</t>
  </si>
  <si>
    <t>SJT3D02</t>
  </si>
  <si>
    <t xml:space="preserve">porta travada / solicitação de compra do estribo </t>
  </si>
  <si>
    <t>Preventiva</t>
  </si>
  <si>
    <t>ANA FLAVIA</t>
  </si>
  <si>
    <t>TOE7D00</t>
  </si>
  <si>
    <t>Ela está com vazamento no reservatório</t>
  </si>
  <si>
    <t xml:space="preserve">MERCADO LIVRE </t>
  </si>
  <si>
    <t>JULIANA</t>
  </si>
  <si>
    <t>RUX2B97</t>
  </si>
  <si>
    <t>12/09/2025 Problema de motor</t>
  </si>
  <si>
    <t>Arthur</t>
  </si>
  <si>
    <t xml:space="preserve"> R$                  5.576,70  R$</t>
  </si>
  <si>
    <t>SPR1</t>
  </si>
  <si>
    <t>Aguardando Aprovação</t>
  </si>
  <si>
    <t>RENATA</t>
  </si>
  <si>
    <t>RUX2D04</t>
  </si>
  <si>
    <t>MOTOR- carro liberado ja em operção</t>
  </si>
  <si>
    <t>SSC5</t>
  </si>
  <si>
    <t>REGIANE</t>
  </si>
  <si>
    <t>RFP9G74</t>
  </si>
  <si>
    <t>MASTER FUR L1H1</t>
  </si>
  <si>
    <t>Trocar as maçanetas e o Semi-Eixo</t>
  </si>
  <si>
    <t>SSP28</t>
  </si>
  <si>
    <t>Oficina LS</t>
  </si>
  <si>
    <t>RNN0C21</t>
  </si>
  <si>
    <t>veiculo sem força</t>
  </si>
  <si>
    <t>SSP34</t>
  </si>
  <si>
    <t>Estacionamento da Base</t>
  </si>
  <si>
    <t>Tainá</t>
  </si>
  <si>
    <t>RTE0I43</t>
  </si>
  <si>
    <t>Obs: 25/09 enviado email para oficina cobrando prazo. 16/09/25 cabeçote apos diagnostico do DUDU</t>
  </si>
  <si>
    <t>RND8C38</t>
  </si>
  <si>
    <t>Polia do virabrequim</t>
  </si>
  <si>
    <t>SPR8</t>
  </si>
  <si>
    <t>Renata</t>
  </si>
  <si>
    <t>RNJ9C66</t>
  </si>
  <si>
    <t>sumindo a água do arrefecimento</t>
  </si>
  <si>
    <t>Taina</t>
  </si>
  <si>
    <t>RNB5I56</t>
  </si>
  <si>
    <t>COXIM motor</t>
  </si>
  <si>
    <t>SSP25</t>
  </si>
  <si>
    <t>LEANDRO</t>
  </si>
  <si>
    <t>RNJ9C80</t>
  </si>
  <si>
    <t>Trizeta</t>
  </si>
  <si>
    <t>SUP5G29</t>
  </si>
  <si>
    <t>freios dt e ts</t>
  </si>
  <si>
    <t>RFU2E28</t>
  </si>
  <si>
    <t xml:space="preserve">Master Grand Furgão 11m³ </t>
  </si>
  <si>
    <t>10/09 veiculo arrefecimento</t>
  </si>
  <si>
    <t>FJG5F03</t>
  </si>
  <si>
    <t>Sprinter 313</t>
  </si>
  <si>
    <t>Pane elétrica</t>
  </si>
  <si>
    <t>Sara</t>
  </si>
  <si>
    <t>GP01</t>
  </si>
  <si>
    <t>GRUPO PEREIRA</t>
  </si>
  <si>
    <t>De Nigris (São Bernado dos Campos)</t>
  </si>
  <si>
    <t>Adriano</t>
  </si>
  <si>
    <t>GFX6D91</t>
  </si>
  <si>
    <t>Correia</t>
  </si>
  <si>
    <t>SSP8</t>
  </si>
  <si>
    <t>GABRIELE</t>
  </si>
  <si>
    <t>SGI8H03</t>
  </si>
  <si>
    <t>Revisão</t>
  </si>
  <si>
    <t>SSP20</t>
  </si>
  <si>
    <t>Ford Andretta</t>
  </si>
  <si>
    <t>Identificados danos causados por colisão na parte inferior dianteira. A colisão afetou diversos componentes essenciais do sistema de arrefecimento e ventilação do motor, resultando em vazamento de água e superaquecimento. Foram danificados os seguintes itens: radiador , condensador, eletro ventilador/motor + hélice, hélice do radiador, suporte inferior do radiador , proteção inferior do motor, defletores de ar e aditivo de arrefecimento. </t>
  </si>
  <si>
    <t>SSP6</t>
  </si>
  <si>
    <t>Aguardando aprovação</t>
  </si>
  <si>
    <t>CAOA FORD JABAQUARA</t>
  </si>
  <si>
    <t>SDT9F44</t>
  </si>
  <si>
    <t xml:space="preserve">Freios peneus </t>
  </si>
  <si>
    <t>RUL7F48</t>
  </si>
  <si>
    <t>16/07 motor</t>
  </si>
  <si>
    <t xml:space="preserve">Nova Elite Retifica </t>
  </si>
  <si>
    <t>JHENIFFER</t>
  </si>
  <si>
    <t>SDQ4A29</t>
  </si>
  <si>
    <t>Colisão lateral direita</t>
  </si>
  <si>
    <t>GCX2D35</t>
  </si>
  <si>
    <t>Falta de arla</t>
  </si>
  <si>
    <t xml:space="preserve">Sara </t>
  </si>
  <si>
    <t>RENATO</t>
  </si>
  <si>
    <t>SFV0D67</t>
  </si>
  <si>
    <t xml:space="preserve">
Placa falhando - aguardando a outra placa ficar pronta para enviarmos a mesma 28/08/2025</t>
  </si>
  <si>
    <t xml:space="preserve">Luana </t>
  </si>
  <si>
    <t>EDUARDO</t>
  </si>
  <si>
    <t>SGI8I95</t>
  </si>
  <si>
    <t>16/09/25 Troca de correia do alternador e polia</t>
  </si>
  <si>
    <t>Oficina Atibaia Ford</t>
  </si>
  <si>
    <t>SGK7E24</t>
  </si>
  <si>
    <t>Veículo sofreu colisão com uma árvore.</t>
  </si>
  <si>
    <t>André Funilaria</t>
  </si>
  <si>
    <t>KARINA</t>
  </si>
  <si>
    <t>RNH7H50</t>
  </si>
  <si>
    <t>16/09 - Veículo dará parada na Central Truck. 15/09 - Veículo sofreu uma colisão na porta esquerda.</t>
  </si>
  <si>
    <t>99.784.0</t>
  </si>
  <si>
    <t>Problema no sistema elétrico</t>
  </si>
  <si>
    <t>Denigris</t>
  </si>
  <si>
    <t>ADRIANO</t>
  </si>
  <si>
    <t>RTM6B70</t>
  </si>
  <si>
    <t>Veículo realizando funilaria na oficina GR Car</t>
  </si>
  <si>
    <t>GR Car</t>
  </si>
  <si>
    <t>IGOR</t>
  </si>
  <si>
    <t>SGH1B19</t>
  </si>
  <si>
    <t>Freio</t>
  </si>
  <si>
    <t>Amazon NH</t>
  </si>
  <si>
    <t>ALESSANDRA</t>
  </si>
  <si>
    <t>RVD4C91</t>
  </si>
  <si>
    <t>02/07/2025 -Veiculo fazendo motor. 26/06/2025 - Aguardando retorno sobre a mesma. 18/06 - Descobriu trinca no cabeçote e aguardo de novas previsões. 01/04/2025 - Vazou todo óleo do motor - trincou o cabeçote 16/06/2025</t>
  </si>
  <si>
    <t>Fernandes Alto Center</t>
  </si>
  <si>
    <t>Mar</t>
  </si>
  <si>
    <t>GEW1I64</t>
  </si>
  <si>
    <t>100.0</t>
  </si>
  <si>
    <t xml:space="preserve">em operação </t>
  </si>
  <si>
    <t>SHOPEE</t>
  </si>
  <si>
    <t>em operação</t>
  </si>
  <si>
    <t>GEOVANA</t>
  </si>
  <si>
    <t>Fev</t>
  </si>
  <si>
    <t>SDU2D26</t>
  </si>
  <si>
    <t>Colisão no para-lama direito</t>
  </si>
  <si>
    <t>SGF8J08</t>
  </si>
  <si>
    <t>SSP10</t>
  </si>
  <si>
    <t>NAGMA</t>
  </si>
  <si>
    <t>SGI8J30</t>
  </si>
  <si>
    <t xml:space="preserve"> troca de pneus</t>
  </si>
  <si>
    <t>CAOA CAMPINAS</t>
  </si>
  <si>
    <t>SFW0A75</t>
  </si>
  <si>
    <t xml:space="preserve">troca de pneus </t>
  </si>
  <si>
    <t>SFT5B03</t>
  </si>
  <si>
    <t>Ford Caminho Prudente</t>
  </si>
  <si>
    <t>FERNANDO</t>
  </si>
  <si>
    <t>SGI8H40</t>
  </si>
  <si>
    <t>Ford Caoa Campinas</t>
  </si>
  <si>
    <t>SFT5A78</t>
  </si>
  <si>
    <t xml:space="preserve">17/09 quebrou a presilha do feixo de mola </t>
  </si>
  <si>
    <t>Oficina Ford</t>
  </si>
  <si>
    <t>RVC0J86</t>
  </si>
  <si>
    <t>Bateria</t>
  </si>
  <si>
    <t>Aguardando socorro</t>
  </si>
  <si>
    <t>Localiza</t>
  </si>
  <si>
    <t xml:space="preserve">Set </t>
  </si>
  <si>
    <t>Pane eletrica, não da partida.</t>
  </si>
  <si>
    <t>GP02</t>
  </si>
  <si>
    <t>Mercedes</t>
  </si>
  <si>
    <t>RUM2B46</t>
  </si>
  <si>
    <t xml:space="preserve">        SSP20</t>
  </si>
  <si>
    <t>GDY7B23</t>
  </si>
  <si>
    <t>Out</t>
  </si>
  <si>
    <t>RNZ3H57</t>
  </si>
  <si>
    <t>15/07 - aquecimento constante da temperatura, trocas dos pivôs da suspensão dianteira buchas das bandeja dianteira/</t>
  </si>
  <si>
    <t xml:space="preserve">          SSP5</t>
  </si>
  <si>
    <t>SWH3G65</t>
  </si>
  <si>
    <t xml:space="preserve">Estourou um parafuso do baú </t>
  </si>
  <si>
    <t>SSP42</t>
  </si>
  <si>
    <t>RVD9A40</t>
  </si>
  <si>
    <t>Pane életrica</t>
  </si>
  <si>
    <t>SRS10</t>
  </si>
  <si>
    <t xml:space="preserve">FERNANDA </t>
  </si>
  <si>
    <t>RUM2B35</t>
  </si>
  <si>
    <t>SDQ2A67</t>
  </si>
  <si>
    <t xml:space="preserve">Veiculo pronto pra </t>
  </si>
  <si>
    <t>SDF1</t>
  </si>
  <si>
    <t>BR FRANCE (Localiza)</t>
  </si>
  <si>
    <t>Ercy netto</t>
  </si>
  <si>
    <t>RNC5H11</t>
  </si>
  <si>
    <t>SSP36</t>
  </si>
  <si>
    <t xml:space="preserve"> Fora do Prazo </t>
  </si>
  <si>
    <t>Vegas Truck</t>
  </si>
  <si>
    <t>RNE7C83</t>
  </si>
  <si>
    <t>Veículo guinchado para a MuriTruck</t>
  </si>
  <si>
    <t>BRRC01</t>
  </si>
  <si>
    <t>GJE0D54</t>
  </si>
  <si>
    <t>Freios.</t>
  </si>
  <si>
    <t>SGH8H48</t>
  </si>
  <si>
    <t>Vazamento no Motor- Problema no ABS/Pastilhas</t>
  </si>
  <si>
    <t>SRS3</t>
  </si>
  <si>
    <t>Ford SuperAuto</t>
  </si>
  <si>
    <t xml:space="preserve">DEIVES </t>
  </si>
  <si>
    <t>SGH8H55</t>
  </si>
  <si>
    <t>SGH6H65</t>
  </si>
  <si>
    <t>Veículo está perdendo a Força</t>
  </si>
  <si>
    <t>SRS8</t>
  </si>
  <si>
    <t>SGL2C02</t>
  </si>
  <si>
    <t>Pneus e revisão</t>
  </si>
  <si>
    <t>SSP11</t>
  </si>
  <si>
    <t>Ford Prudente</t>
  </si>
  <si>
    <t>QXJ9E76</t>
  </si>
  <si>
    <t>motor retifiica</t>
  </si>
  <si>
    <t>SAM1</t>
  </si>
  <si>
    <t>RUX9G83</t>
  </si>
  <si>
    <t xml:space="preserve">Caixa de direção e cabo de embreagem </t>
  </si>
  <si>
    <t xml:space="preserve">Julia </t>
  </si>
  <si>
    <t xml:space="preserve">         SBA1</t>
  </si>
  <si>
    <t xml:space="preserve">Mecânica Wellington </t>
  </si>
  <si>
    <t xml:space="preserve">SARA </t>
  </si>
  <si>
    <t>RUW5D89</t>
  </si>
  <si>
    <t xml:space="preserve"> Rolamento da roda </t>
  </si>
  <si>
    <t xml:space="preserve">          SMS1</t>
  </si>
  <si>
    <t xml:space="preserve">Bhankar Serviço Automotivo </t>
  </si>
  <si>
    <t>SAMANTHA</t>
  </si>
  <si>
    <t>RNF2B74</t>
  </si>
  <si>
    <t>SSP22</t>
  </si>
  <si>
    <t>EM Manutenção</t>
  </si>
  <si>
    <t>GEF8B74</t>
  </si>
  <si>
    <t>Pane Elétrica</t>
  </si>
  <si>
    <t>RNE0J08</t>
  </si>
  <si>
    <t xml:space="preserve">embreagem </t>
  </si>
  <si>
    <t xml:space="preserve">         SSP20</t>
  </si>
  <si>
    <t>MuriTruck</t>
  </si>
  <si>
    <t>SGF9B40</t>
  </si>
  <si>
    <t>N/E</t>
  </si>
  <si>
    <t>Troca de pastilha</t>
  </si>
  <si>
    <t>SDT9G94</t>
  </si>
  <si>
    <t>Pneus/ Freios e Pane</t>
  </si>
  <si>
    <t>SSP12</t>
  </si>
  <si>
    <t>C/Reserva</t>
  </si>
  <si>
    <t>A J DE AMORIM E CIA (Localiza)</t>
  </si>
  <si>
    <t>SFW0A73</t>
  </si>
  <si>
    <t>freio</t>
  </si>
  <si>
    <t>Lanzotti</t>
  </si>
  <si>
    <t>MAURICIO</t>
  </si>
  <si>
    <t>RUX9F74</t>
  </si>
  <si>
    <t xml:space="preserve"> Alternador e radiador </t>
  </si>
  <si>
    <t>SBA1</t>
  </si>
  <si>
    <t xml:space="preserve">                                             desgate natural da porta do baú</t>
  </si>
  <si>
    <t>SSP17</t>
  </si>
  <si>
    <t>Bomba de combustivel</t>
  </si>
  <si>
    <t>RNJ9D30</t>
  </si>
  <si>
    <t>Barra do Aquicial</t>
  </si>
  <si>
    <t>SVW6D33</t>
  </si>
  <si>
    <t>Obs: 25/09/2025 - Em contato com a oficina, realizarão o orçamento amanhã, dia 26/09. /Carro fraco</t>
  </si>
  <si>
    <t>Tiete veiculos</t>
  </si>
  <si>
    <t>SDQ2J20</t>
  </si>
  <si>
    <t xml:space="preserve">Bateria, semi eixo, interruptor de freio, reprogramar unidade de comando </t>
  </si>
  <si>
    <t>RENAULT TORIBA (Localiza)</t>
  </si>
  <si>
    <t>SGF9B45</t>
  </si>
  <si>
    <t>Pastilha e disco de freio</t>
  </si>
  <si>
    <t xml:space="preserve"> Khetlyn</t>
  </si>
  <si>
    <t xml:space="preserve">  Manutenção</t>
  </si>
  <si>
    <t>GKB2A73</t>
  </si>
  <si>
    <t>106.646.0</t>
  </si>
  <si>
    <t>Problema no motor</t>
  </si>
  <si>
    <t>Bruno auto center</t>
  </si>
  <si>
    <t>RUX2B91</t>
  </si>
  <si>
    <t>Cubo Traseiro</t>
  </si>
  <si>
    <t>RTM6B71</t>
  </si>
  <si>
    <t>Freios</t>
  </si>
  <si>
    <t>SSP40</t>
  </si>
  <si>
    <t>RTM6B62</t>
  </si>
  <si>
    <t>Eixo de direção</t>
  </si>
  <si>
    <t>sara</t>
  </si>
  <si>
    <t>SSP30</t>
  </si>
  <si>
    <t>RTM6B56</t>
  </si>
  <si>
    <t>embreagem e pane eletrica</t>
  </si>
  <si>
    <t>RTM6B51</t>
  </si>
  <si>
    <t>13/08 - motor de partida</t>
  </si>
  <si>
    <t>RVD4C92</t>
  </si>
  <si>
    <t>Veiculo baixando óleo embregem</t>
  </si>
  <si>
    <t>SSP24</t>
  </si>
  <si>
    <t>SFD5H70</t>
  </si>
  <si>
    <t>problema de módulo</t>
  </si>
  <si>
    <t>VIP</t>
  </si>
  <si>
    <t>RNJ9C96</t>
  </si>
  <si>
    <t xml:space="preserve">16/09 mal contato na partida </t>
  </si>
  <si>
    <t>RVQ2D56</t>
  </si>
  <si>
    <t>GHW1G44</t>
  </si>
  <si>
    <t>SGI8I36</t>
  </si>
  <si>
    <t>Bateria- mandamos o veiculo de guincho para a Ford -  Ford aguardando autorização da troca pela a montadora. E estamos aguardando o retorno deles.</t>
  </si>
  <si>
    <t>SGL2D11</t>
  </si>
  <si>
    <t xml:space="preserve">Troca da pastilha de freio </t>
  </si>
  <si>
    <t>TOE7C30</t>
  </si>
  <si>
    <t>Vazamento no Reservatório de água</t>
  </si>
  <si>
    <t>RNF2B68</t>
  </si>
  <si>
    <t>Vazamento de Agua Radiador</t>
  </si>
  <si>
    <t>Mauricio</t>
  </si>
  <si>
    <t>se envolveu em uma colisão com um Onix</t>
  </si>
  <si>
    <t>R$           3.636,00 R$</t>
  </si>
  <si>
    <t>SFT5A61</t>
  </si>
  <si>
    <t>TOE2B98</t>
  </si>
  <si>
    <t>18.000.0</t>
  </si>
  <si>
    <t>Manutenção dos freios</t>
  </si>
  <si>
    <t>MM01</t>
  </si>
  <si>
    <t xml:space="preserve">Radiador </t>
  </si>
  <si>
    <t>SGF9C11</t>
  </si>
  <si>
    <t>37.506.0</t>
  </si>
  <si>
    <t>MM03</t>
  </si>
  <si>
    <t xml:space="preserve">Ford </t>
  </si>
  <si>
    <t>ALEXANDRE</t>
  </si>
  <si>
    <t>SGH0H30</t>
  </si>
  <si>
    <t xml:space="preserve">Pastilha de freio e sem partida </t>
  </si>
  <si>
    <t>SGH8C39</t>
  </si>
  <si>
    <t>Pane éltrica</t>
  </si>
  <si>
    <t>FERNANDA</t>
  </si>
  <si>
    <t>FMO8E22</t>
  </si>
  <si>
    <t>Funilaria dianteira.</t>
  </si>
  <si>
    <t>SGO1</t>
  </si>
  <si>
    <t>Auto Reformadora Santos</t>
  </si>
  <si>
    <t>RUL7F46</t>
  </si>
  <si>
    <t>Funilaria dianteira</t>
  </si>
  <si>
    <t>Oficina Vieira</t>
  </si>
  <si>
    <t>Abr</t>
  </si>
  <si>
    <t>SGK7D70</t>
  </si>
  <si>
    <t>Colisão dianteira, colisão grave.</t>
  </si>
  <si>
    <t>RUM2B32</t>
  </si>
  <si>
    <t>Correia do Alternador estourada</t>
  </si>
  <si>
    <t>RVC0J66</t>
  </si>
  <si>
    <t>MB Accelo 815 MT 4x2 4.8 2P</t>
  </si>
  <si>
    <t>Bomba do Arla/Perca de Potencia</t>
  </si>
  <si>
    <t>Vitoria Diesel</t>
  </si>
  <si>
    <t>RNG4F49</t>
  </si>
  <si>
    <t>GIW6I25</t>
  </si>
  <si>
    <t>Pneus aguardando aprovação Ford</t>
  </si>
  <si>
    <t>GP03</t>
  </si>
  <si>
    <t>KETHLEEN</t>
  </si>
  <si>
    <t>SGF8I55</t>
  </si>
  <si>
    <t>Não encontrada</t>
  </si>
  <si>
    <t>Freio/Pneus</t>
  </si>
  <si>
    <t>SFW0A42</t>
  </si>
  <si>
    <t>16/09 revisão</t>
  </si>
  <si>
    <t>GDG6C93</t>
  </si>
  <si>
    <t xml:space="preserve">Embreagem </t>
  </si>
  <si>
    <t>VEGAS TRUCK</t>
  </si>
  <si>
    <t>SGH0H48</t>
  </si>
  <si>
    <t>Bomba e Bico</t>
  </si>
  <si>
    <t>SRS1</t>
  </si>
  <si>
    <t>SGI8H73</t>
  </si>
  <si>
    <t>Troca de Embreagem</t>
  </si>
  <si>
    <t>ERIVELTON</t>
  </si>
  <si>
    <t>SGL4C74</t>
  </si>
  <si>
    <t>398.261.1.0</t>
  </si>
  <si>
    <t>Radiador estourado</t>
  </si>
  <si>
    <t>RUM4B35</t>
  </si>
  <si>
    <t xml:space="preserve"> Fiorino Endurance Evo 1.4 2P</t>
  </si>
  <si>
    <t xml:space="preserve">Veículo voltou da manutenção na movida e quebrou no mesmo dia 02/07 </t>
  </si>
  <si>
    <t>Retifica Nossa Senhora de Fatima Lt Ltd (Movida)</t>
  </si>
  <si>
    <t>SUK9C18</t>
  </si>
  <si>
    <t>ACCELO 817</t>
  </si>
  <si>
    <t>Problema no arla - Veículo será encaminhado para a css dia 19/08</t>
  </si>
  <si>
    <t>OXXO1</t>
  </si>
  <si>
    <t>OXXO</t>
  </si>
  <si>
    <t>KIMBERLLY</t>
  </si>
  <si>
    <t>SDP9J16</t>
  </si>
  <si>
    <t>bateria</t>
  </si>
  <si>
    <t>Auto Cen (Localiza)</t>
  </si>
  <si>
    <t>SDT9G63</t>
  </si>
  <si>
    <t>EXPERT-CARGO-1.5-TURBO-DIESEL</t>
  </si>
  <si>
    <t>Bateria, cabo eletrico automotivo</t>
  </si>
  <si>
    <t>SAINTTROPEZPEUGEOTCI (Localiza)</t>
  </si>
  <si>
    <t>SGH8C21</t>
  </si>
  <si>
    <t>Veículo sofreu uma colisão na lateral direita (porta do passageiro)</t>
  </si>
  <si>
    <t>SDU2D29</t>
  </si>
  <si>
    <t>Veículo deu parada na oficina para realizar funilaria de colisão passada.</t>
  </si>
  <si>
    <t>Opcional</t>
  </si>
  <si>
    <t>RUO6B20</t>
  </si>
  <si>
    <t>10/09 Veiculo não está ligando</t>
  </si>
  <si>
    <t>EMS4</t>
  </si>
  <si>
    <t>Master Tech</t>
  </si>
  <si>
    <t>RUM2B63</t>
  </si>
  <si>
    <t>10/09/2025 Problema na embreagem</t>
  </si>
  <si>
    <t>SDU2D19</t>
  </si>
  <si>
    <t>Pane eletrica</t>
  </si>
  <si>
    <t xml:space="preserve">         SPR1</t>
  </si>
  <si>
    <t>Revizze</t>
  </si>
  <si>
    <t>RUX2C80</t>
  </si>
  <si>
    <t>Pneus/Blalnceamento -alinhamento</t>
  </si>
  <si>
    <t>RVD9A39</t>
  </si>
  <si>
    <t>Radiador</t>
  </si>
  <si>
    <t>SGH8C45</t>
  </si>
  <si>
    <t>revisao aprovada pela fortd encaminhada para safety</t>
  </si>
  <si>
    <t>SGH6H61</t>
  </si>
  <si>
    <t>Motor Vazando óleo</t>
  </si>
  <si>
    <t xml:space="preserve">Vazamento de água do radiador </t>
  </si>
  <si>
    <t>SGH0H44</t>
  </si>
  <si>
    <t>Pneus/Pastilha de freio</t>
  </si>
  <si>
    <t>JCJ0D40</t>
  </si>
  <si>
    <t>SSP27</t>
  </si>
  <si>
    <t>Oficina P.A</t>
  </si>
  <si>
    <t>RICARDO</t>
  </si>
  <si>
    <t>RUN2B13</t>
  </si>
  <si>
    <t>111.111.0</t>
  </si>
  <si>
    <t>RUM2B49</t>
  </si>
  <si>
    <t>Correia Dentada</t>
  </si>
  <si>
    <t>SJU6F48</t>
  </si>
  <si>
    <t xml:space="preserve">Revisão </t>
  </si>
  <si>
    <t xml:space="preserve"> SSP25</t>
  </si>
  <si>
    <t>SDQ2B98</t>
  </si>
  <si>
    <t>15/07 - Aguardando evidencia - Orçamento recebido via e-mail pelo Consultor Marcelo, contém amortecedores e limitador de porta. Solicitei ao mesmo evidências dos defeitos para lançar em sistema</t>
  </si>
  <si>
    <t>SSC2</t>
  </si>
  <si>
    <t>RNB5I33</t>
  </si>
  <si>
    <t>EQJ8D01</t>
  </si>
  <si>
    <t>Pane eletrica - 29/08/2025</t>
  </si>
  <si>
    <t xml:space="preserve">Desmobilização </t>
  </si>
  <si>
    <t>Oficina Movida</t>
  </si>
  <si>
    <t>SGI8G98</t>
  </si>
  <si>
    <t>Aguardando Peça</t>
  </si>
  <si>
    <t>SGH8C19</t>
  </si>
  <si>
    <t>BICOS</t>
  </si>
  <si>
    <t>LUCAS</t>
  </si>
  <si>
    <t>SDP9J01</t>
  </si>
  <si>
    <t>Veículo elétrico não carrega</t>
  </si>
  <si>
    <t>GAULESA  ELETRICOS (Localiza)</t>
  </si>
  <si>
    <t>UEBERT</t>
  </si>
  <si>
    <t>RVE1D42</t>
  </si>
  <si>
    <t>Parachoque</t>
  </si>
  <si>
    <t>RHW0D47</t>
  </si>
  <si>
    <t>Pane; Não dá partida</t>
  </si>
  <si>
    <t>RHW0D75</t>
  </si>
  <si>
    <t xml:space="preserve">Bateria </t>
  </si>
  <si>
    <t>RHW0D84</t>
  </si>
  <si>
    <t>28/08-Aguardando Orçamento-24/07/2025 12:23:44 - VEICULO PAROU NAO DA PARTIDA NAO LIGA - Naira Gonçalves 07/07/2025 19:43:28 - Janice Silva: Pré Agendamento</t>
  </si>
  <si>
    <t xml:space="preserve">GAULESA ELETRICOS (Localiza) </t>
  </si>
  <si>
    <t>RHW0D37</t>
  </si>
  <si>
    <t>JCI8F94</t>
  </si>
  <si>
    <t>Troca de Óleo/Filtro</t>
  </si>
  <si>
    <t>SSP13</t>
  </si>
  <si>
    <t>RUO6B11</t>
  </si>
  <si>
    <t>Revisão/Troca de óleo, filtro e lampada</t>
  </si>
  <si>
    <t>RUM3C09</t>
  </si>
  <si>
    <t>SSW9E19</t>
  </si>
  <si>
    <t>Revisão/Troca de óleo, filtro.</t>
  </si>
  <si>
    <t>SSP14</t>
  </si>
  <si>
    <t>RNB5I57</t>
  </si>
  <si>
    <t>Embreagem</t>
  </si>
  <si>
    <t>Leticia</t>
  </si>
  <si>
    <t>Carro não liga</t>
  </si>
  <si>
    <t>RTM3B06</t>
  </si>
  <si>
    <t>SMS1</t>
  </si>
  <si>
    <t>Mf Centro Automotivo (Movida)</t>
  </si>
  <si>
    <t>SDT9F65</t>
  </si>
  <si>
    <t>pane eletrica problema rastreador</t>
  </si>
  <si>
    <t>SSP21</t>
  </si>
  <si>
    <t>Sampa Trianon Vila Leopodina (Localiza)</t>
  </si>
  <si>
    <t>SSP4</t>
  </si>
  <si>
    <t>EURO RP VEICULOS</t>
  </si>
  <si>
    <t>SDP9I99</t>
  </si>
  <si>
    <t>Carregador de bateria, compressor do ar condicionado, resistencia do eletroventilador</t>
  </si>
  <si>
    <t>STY4H28</t>
  </si>
  <si>
    <t xml:space="preserve">Veículo sofreu uma colisão grave na lateral da carroceria. PT </t>
  </si>
  <si>
    <t>Edilson x Vinicius</t>
  </si>
  <si>
    <t>SRS5</t>
  </si>
  <si>
    <t>PT RETIRAR DA PLANILHA</t>
  </si>
  <si>
    <t>PABLO</t>
  </si>
  <si>
    <t>RHW0D57</t>
  </si>
  <si>
    <t>Veículo sofreu uma colisão frontal grave em um poste. PT CONFIRMADO 09/10</t>
  </si>
  <si>
    <t>DOMENICO</t>
  </si>
  <si>
    <t>SFD5H76</t>
  </si>
  <si>
    <t xml:space="preserve">Falha de motor </t>
  </si>
  <si>
    <t xml:space="preserve">Vip Pneus </t>
  </si>
  <si>
    <t>SGH6H78</t>
  </si>
  <si>
    <t xml:space="preserve">Ford vila guilherme </t>
  </si>
  <si>
    <t>RNZ3H55</t>
  </si>
  <si>
    <t xml:space="preserve">Suspensão </t>
  </si>
  <si>
    <t>SFN0B56</t>
  </si>
  <si>
    <t>DAILY 35CS</t>
  </si>
  <si>
    <t>embreagem aguardando agendamento solicitação via e-mail</t>
  </si>
  <si>
    <t>Manutenção de Freios/Perdeu a força.</t>
  </si>
  <si>
    <t>Tiete Veiculos</t>
  </si>
  <si>
    <t>SGI8I70</t>
  </si>
  <si>
    <t>bomba de combustível</t>
  </si>
  <si>
    <t>Claudia</t>
  </si>
  <si>
    <t>SFT5A40</t>
  </si>
  <si>
    <t>Funilaria/Pintura</t>
  </si>
  <si>
    <t>Noel Car</t>
  </si>
  <si>
    <t>JOAO VITOR</t>
  </si>
  <si>
    <t>RTE0I46</t>
  </si>
  <si>
    <t>SSP3</t>
  </si>
  <si>
    <t>NPL6B03</t>
  </si>
  <si>
    <t>FORD/CARGO 2422</t>
  </si>
  <si>
    <t>moleiro</t>
  </si>
  <si>
    <t>Moleiro Sao Jose</t>
  </si>
  <si>
    <t>PEDRO</t>
  </si>
  <si>
    <t>RVA2J57</t>
  </si>
  <si>
    <t>Bomba  Eletrohidrualica Recon</t>
  </si>
  <si>
    <t>RHU2D62</t>
  </si>
  <si>
    <t>DIREÇÃO DURA</t>
  </si>
  <si>
    <t>NGN (Localiza)</t>
  </si>
  <si>
    <t>SDQ3J57</t>
  </si>
  <si>
    <t>Manutenção do cambio, bateria, semi eixo, bieleta, amortecedor</t>
  </si>
  <si>
    <t>PASSOS (Localiza)</t>
  </si>
  <si>
    <t>RUX2B70</t>
  </si>
  <si>
    <t>fechadura e revisao</t>
  </si>
  <si>
    <t>RUZ9B77</t>
  </si>
  <si>
    <t>Freio do Veiculo pronto/Problema na embreagem/Esperando orçamento</t>
  </si>
  <si>
    <t>RVG0G10</t>
  </si>
  <si>
    <t>Toca de Parachoque Dianteiro / Lâmpada da Placa / Palhetas  Dianteiras</t>
  </si>
  <si>
    <t>Vinicius</t>
  </si>
  <si>
    <t>RNB5I11</t>
  </si>
  <si>
    <t xml:space="preserve">Câmbio/ trambulador </t>
  </si>
  <si>
    <t>TIETE VEICULOS LTDA</t>
  </si>
  <si>
    <t>RUW5E00</t>
  </si>
  <si>
    <t>bhancar</t>
  </si>
  <si>
    <t>SVI0D38</t>
  </si>
  <si>
    <t>SDT9G19</t>
  </si>
  <si>
    <t xml:space="preserve"> PANE; NÃO DÁ PARTIDA</t>
  </si>
  <si>
    <t>Concessionária lion (Localiza)</t>
  </si>
  <si>
    <t>SGH8C23</t>
  </si>
  <si>
    <t>Ford Amazon Novo Hamburgo</t>
  </si>
  <si>
    <t xml:space="preserve">                                                      Troca de pneus</t>
  </si>
  <si>
    <t>SGH6H60</t>
  </si>
  <si>
    <t>Veículo realizando funilaria na oficina "André Funilaria"</t>
  </si>
  <si>
    <t>RUW5E56</t>
  </si>
  <si>
    <t>Modulo</t>
  </si>
  <si>
    <t>Artur</t>
  </si>
  <si>
    <t>RNR5C65</t>
  </si>
  <si>
    <t>Desmobilização</t>
  </si>
  <si>
    <t xml:space="preserve">Devolução </t>
  </si>
  <si>
    <t>RUV4G26</t>
  </si>
  <si>
    <t>Partner Rapid Business Pack 1.4 2P</t>
  </si>
  <si>
    <t>Manutenção geral e troca de óleo</t>
  </si>
  <si>
    <t>SES1</t>
  </si>
  <si>
    <t>-</t>
  </si>
  <si>
    <t>KM Auto Center</t>
  </si>
  <si>
    <t>JOÃO</t>
  </si>
  <si>
    <t>SGF8I96</t>
  </si>
  <si>
    <t>31.000.0</t>
  </si>
  <si>
    <t>Ford Sumaré</t>
  </si>
  <si>
    <t>RND8C57</t>
  </si>
  <si>
    <t xml:space="preserve">Freios e suspensão </t>
  </si>
  <si>
    <t>RNF2C01</t>
  </si>
  <si>
    <t xml:space="preserve">Porta do passageiro solta </t>
  </si>
  <si>
    <t>RUM2B47</t>
  </si>
  <si>
    <t>Noel car</t>
  </si>
  <si>
    <t>Suspensão/Pneus</t>
  </si>
  <si>
    <t>RTM6B60</t>
  </si>
  <si>
    <t>pegou fogo na caixa de fusiveis.</t>
  </si>
  <si>
    <t>NEL AUTOMECANICA DIESEL  LTDA</t>
  </si>
  <si>
    <t>RVH5G73</t>
  </si>
  <si>
    <t xml:space="preserve">Preventiva e troca de pneus </t>
  </si>
  <si>
    <t xml:space="preserve">Carla </t>
  </si>
  <si>
    <t>RTM6B72</t>
  </si>
  <si>
    <t xml:space="preserve">direção dura- aguardando vaga na oficina </t>
  </si>
  <si>
    <t>RNB5I50</t>
  </si>
  <si>
    <t>chave perdida do caro precisa fazer Revisão</t>
  </si>
  <si>
    <t>RUV4G20</t>
  </si>
  <si>
    <t>Freios, manutenção preventiva, e troca de pneus dianteiros.</t>
  </si>
  <si>
    <t>SGL4D18</t>
  </si>
  <si>
    <t>24.302.0</t>
  </si>
  <si>
    <t>Radiador furado</t>
  </si>
  <si>
    <t>Ford Campinas</t>
  </si>
  <si>
    <t>RVD8H79</t>
  </si>
  <si>
    <t>Vão arrumar a maçaneta/Veiculo pronto</t>
  </si>
  <si>
    <t>C.W Car</t>
  </si>
  <si>
    <t>RUL7F41</t>
  </si>
  <si>
    <t>Bateria/Alternador</t>
  </si>
  <si>
    <t>GDS2B64</t>
  </si>
  <si>
    <t>ACCELO 1016</t>
  </si>
  <si>
    <t>Pane Elétrica - Placa não passsa de 20k.km - Oficina alega não encontrar o diagnostico da pane, placa foi para 3 correções e não acharam o problem ainda.</t>
  </si>
  <si>
    <t>Oficina Devacar</t>
  </si>
  <si>
    <t>Marcio</t>
  </si>
  <si>
    <t>SGF9B78</t>
  </si>
  <si>
    <t xml:space="preserve">Ford Piracicaba </t>
  </si>
  <si>
    <t>RVD4D19</t>
  </si>
  <si>
    <t>pronto para desmobilização</t>
  </si>
  <si>
    <t>Oficina Ribeirão</t>
  </si>
  <si>
    <t>SDQ2J23</t>
  </si>
  <si>
    <t>Troca de Pneus</t>
  </si>
  <si>
    <t>RP3 AUTO CENTER (Localiza)</t>
  </si>
  <si>
    <t>RVD4D37</t>
  </si>
  <si>
    <t>Cabeçote/ pronto para desmobilização</t>
  </si>
  <si>
    <t>SEF1D96</t>
  </si>
  <si>
    <t>Freios || Pneu || Suspensão</t>
  </si>
  <si>
    <t>OFICINA RP3 (Localiza)</t>
  </si>
  <si>
    <t>RVD4D22</t>
  </si>
  <si>
    <t>MARCIO</t>
  </si>
  <si>
    <t>JCJ0D39</t>
  </si>
  <si>
    <t>Troca de oléo</t>
  </si>
  <si>
    <t>SGI8I50</t>
  </si>
  <si>
    <t>Troca de pneus</t>
  </si>
  <si>
    <t>RNH7H58</t>
  </si>
  <si>
    <t>Placa com Pane Eletrica e a direção está dura, placa enviada para a FORD</t>
  </si>
  <si>
    <t>Carla I.</t>
  </si>
  <si>
    <t>S</t>
  </si>
  <si>
    <t>SSP16</t>
  </si>
  <si>
    <t>Bateria- mandamos o veiculo de guincho para a Ford -  Ford aguardando autorização da troca pela a montadora. E estamos aguardando o retorno deles. - Tentando encaixar preventiva e troca dos dois pneus dianteiros - Placa foi emcaminhada da coca para a FORD São Caetano</t>
  </si>
  <si>
    <t>Ford São Caetano</t>
  </si>
  <si>
    <t>SFV0D53</t>
  </si>
  <si>
    <t>Revisão - Placa parou de funciocar - pode ser a bomba de combustivel</t>
  </si>
  <si>
    <t>SGL2C89</t>
  </si>
  <si>
    <t>veiculo fraco</t>
  </si>
  <si>
    <t>FMS09</t>
  </si>
  <si>
    <t>Ford Guarulhos</t>
  </si>
  <si>
    <t>Alexandre</t>
  </si>
  <si>
    <t>RVH3F36</t>
  </si>
  <si>
    <t>oleo de motor</t>
  </si>
  <si>
    <t xml:space="preserve">            SPR1</t>
  </si>
  <si>
    <t>STG9C09</t>
  </si>
  <si>
    <t>Colisão frontal</t>
  </si>
  <si>
    <t>Isabelli</t>
  </si>
  <si>
    <t>EPR6</t>
  </si>
  <si>
    <t>ALINE</t>
  </si>
  <si>
    <t>SGH6H68</t>
  </si>
  <si>
    <t xml:space="preserve">Bomba e Bico </t>
  </si>
  <si>
    <t>$14.264,25</t>
  </si>
  <si>
    <t xml:space="preserve">           SSR8</t>
  </si>
  <si>
    <t>SGH8C38</t>
  </si>
  <si>
    <t>Bomba e Bico Injetor</t>
  </si>
  <si>
    <t>SSV2H07</t>
  </si>
  <si>
    <t xml:space="preserve">RNJ9D65 </t>
  </si>
  <si>
    <t>RENAULT/MASTER FUR L1H1</t>
  </si>
  <si>
    <t>Veículo sofreu uma colisão frontal</t>
  </si>
  <si>
    <t xml:space="preserve">KAREN </t>
  </si>
  <si>
    <t>Troca de correia</t>
  </si>
  <si>
    <t>Ford Atibaia</t>
  </si>
  <si>
    <t>SGI8I48</t>
  </si>
  <si>
    <t>Veículo apreendido para perícia</t>
  </si>
  <si>
    <t>Henrique</t>
  </si>
  <si>
    <t>Pátio da PRF</t>
  </si>
  <si>
    <t>JCI8F76</t>
  </si>
  <si>
    <t>vazamento de motor</t>
  </si>
  <si>
    <t>Alair</t>
  </si>
  <si>
    <t>EOO7H87</t>
  </si>
  <si>
    <t>Sem retorno Movidas</t>
  </si>
  <si>
    <t>Brasdiesel Servico E Comercio de Pecas (Movida)</t>
  </si>
  <si>
    <t>SDQ3J74</t>
  </si>
  <si>
    <t xml:space="preserve">Oficina Passos </t>
  </si>
  <si>
    <t>RUX9H16</t>
  </si>
  <si>
    <t>suspensao dianteira apos colidir com tronco</t>
  </si>
  <si>
    <t>SMG14</t>
  </si>
  <si>
    <t>Aguardando Pagamento</t>
  </si>
  <si>
    <t>oficina do Julio</t>
  </si>
  <si>
    <t>THAMIRES</t>
  </si>
  <si>
    <t>GGD5G63</t>
  </si>
  <si>
    <t xml:space="preserve">RNB5I54 </t>
  </si>
  <si>
    <t>HOMOCINETICA</t>
  </si>
  <si>
    <t>RVF9J64</t>
  </si>
  <si>
    <t>12/07/25 Estourou o cardam e a cuica</t>
  </si>
  <si>
    <t>SAO CRISTOVAO CENTER TRUCK</t>
  </si>
  <si>
    <t>SGH8H46</t>
  </si>
  <si>
    <t>Freios, Pneus</t>
  </si>
  <si>
    <t>Estacionamento de Guarulhos</t>
  </si>
  <si>
    <t>SFT5A20</t>
  </si>
  <si>
    <t>Placa não entra a marcha ré</t>
  </si>
  <si>
    <t>ERS6/SPR5</t>
  </si>
  <si>
    <t>Pneumax</t>
  </si>
  <si>
    <t>TATIANA</t>
  </si>
  <si>
    <t>SGL1J11</t>
  </si>
  <si>
    <t>Volante de embreagem</t>
  </si>
  <si>
    <t>SHOPPE</t>
  </si>
  <si>
    <t>Aguardando peça</t>
  </si>
  <si>
    <t>SGH0H29</t>
  </si>
  <si>
    <t>Guinchado/Falta de força</t>
  </si>
  <si>
    <t>SFW6D02</t>
  </si>
  <si>
    <t>bomba e bico de diesel</t>
  </si>
  <si>
    <t xml:space="preserve">Ford Campinas </t>
  </si>
  <si>
    <t>SFN0B54</t>
  </si>
  <si>
    <t xml:space="preserve">Vazando disiel por mangueira </t>
  </si>
  <si>
    <t>SSP38</t>
  </si>
  <si>
    <t xml:space="preserve">ANA FLAVIA </t>
  </si>
  <si>
    <t>RUM2B54</t>
  </si>
  <si>
    <t xml:space="preserve">Carro liga mas não anda </t>
  </si>
  <si>
    <t>MARIANA</t>
  </si>
  <si>
    <t xml:space="preserve">FKH3F94 </t>
  </si>
  <si>
    <t>MASTER CHASSICAB</t>
  </si>
  <si>
    <t>Embreagem patinando e estralo na roda dianteira direita.</t>
  </si>
  <si>
    <t>RNJ9D50</t>
  </si>
  <si>
    <t>SFN0B78</t>
  </si>
  <si>
    <t>Pane Eletrica e fusível</t>
  </si>
  <si>
    <t>Auto Kazuyoshi</t>
  </si>
  <si>
    <t>GEOVANNA</t>
  </si>
  <si>
    <t>SGH0G97</t>
  </si>
  <si>
    <t>out</t>
  </si>
  <si>
    <t xml:space="preserve">SVK8G87 </t>
  </si>
  <si>
    <t>EXPRESS DRF 4X2</t>
  </si>
  <si>
    <t>Mola traseira/Amortecedor/Pastilha ant.rigido.</t>
  </si>
  <si>
    <t>São José Posto De Molas</t>
  </si>
  <si>
    <t>Taína</t>
  </si>
  <si>
    <t>SDQ2A25</t>
  </si>
  <si>
    <t>Cubo da roda dianteira, rolamento da roda, sensor ABS</t>
  </si>
  <si>
    <t>Lima (Localiza)</t>
  </si>
  <si>
    <t>RTM6B66</t>
  </si>
  <si>
    <t>Funilaria do baú</t>
  </si>
  <si>
    <t>New Sider</t>
  </si>
  <si>
    <t>Igos Costa</t>
  </si>
  <si>
    <t>RUY3D33</t>
  </si>
  <si>
    <t>Placa disparando o motor, dando sintomas de turbina do motor.</t>
  </si>
  <si>
    <t xml:space="preserve">Megatronica Ganso </t>
  </si>
  <si>
    <t>GIG4F93</t>
  </si>
  <si>
    <t>Bomba de arla - Apos fazer a manutenção, a mesma foi fazer uma funilaria na parte de tras.</t>
  </si>
  <si>
    <t>Oficina Helena Maria</t>
  </si>
  <si>
    <t>SGL2C21</t>
  </si>
  <si>
    <t>SDP9J07</t>
  </si>
  <si>
    <t>Bateria, chicote eletrico, scanner</t>
  </si>
  <si>
    <t>SCE1</t>
  </si>
  <si>
    <t>EAS7778</t>
  </si>
  <si>
    <t>CITROEN JUMPY</t>
  </si>
  <si>
    <t xml:space="preserve">Aguardando chegada do cambio </t>
  </si>
  <si>
    <t>SMR2</t>
  </si>
  <si>
    <t xml:space="preserve">LUCIENE </t>
  </si>
  <si>
    <t>119.264.0</t>
  </si>
  <si>
    <t xml:space="preserve">Bomba do Arla-foi da coca pra mercedes </t>
  </si>
  <si>
    <t>De Nigris (São Bernardo dos Campos)</t>
  </si>
  <si>
    <t xml:space="preserve">RENATO </t>
  </si>
  <si>
    <t>107.126.0</t>
  </si>
  <si>
    <t>SEF1D92</t>
  </si>
  <si>
    <t>Bandeja com pivo, pastilha e disco de freio, buzina, lampadas</t>
  </si>
  <si>
    <t>LUMIERE (CITROEN) (Localiza)</t>
  </si>
  <si>
    <t>SGH6H69</t>
  </si>
  <si>
    <t>Vazamento de diesel</t>
  </si>
  <si>
    <t>Suspensão - Correia dentada e vazamento de óleo</t>
  </si>
  <si>
    <t>Natallia</t>
  </si>
  <si>
    <t>SGI8I96</t>
  </si>
  <si>
    <t>RUM3C17</t>
  </si>
  <si>
    <t>Motor( Aguardando Guincho para levar o veiculos para a oficina)</t>
  </si>
  <si>
    <t>RUO6B04</t>
  </si>
  <si>
    <t>Motor - 09/10/2025</t>
  </si>
  <si>
    <t>SFW2E77</t>
  </si>
  <si>
    <t>troca de pneus /Bomba e bico</t>
  </si>
  <si>
    <t>RUO6B37</t>
  </si>
  <si>
    <t>Pane Életrica</t>
  </si>
  <si>
    <t>Micael</t>
  </si>
  <si>
    <t>GEY9H07</t>
  </si>
  <si>
    <t>171.647.0</t>
  </si>
  <si>
    <t>Freios, Freio de mão,Óleo e filtros, Embreagem</t>
  </si>
  <si>
    <t xml:space="preserve">SDT9G91 </t>
  </si>
  <si>
    <t>Amorin (Localiza)</t>
  </si>
  <si>
    <t>Gabriel</t>
  </si>
  <si>
    <t>SFT5B02</t>
  </si>
  <si>
    <t>Feiche de mola</t>
  </si>
  <si>
    <t>Ford Caminho</t>
  </si>
  <si>
    <t>SGH0H40</t>
  </si>
  <si>
    <t xml:space="preserve">Corretiva </t>
  </si>
  <si>
    <t>SFW2C66</t>
  </si>
  <si>
    <t>Pneus</t>
  </si>
  <si>
    <t>SSC4</t>
  </si>
  <si>
    <t>Ford Sperandio</t>
  </si>
  <si>
    <t>EVELYN</t>
  </si>
  <si>
    <t xml:space="preserve">                            problema de câmbio não engata a terceira</t>
  </si>
  <si>
    <t>Ford Lajeado</t>
  </si>
  <si>
    <t>SGH6H66</t>
  </si>
  <si>
    <t>Pastilha de Freio</t>
  </si>
  <si>
    <t xml:space="preserve">          SRS10</t>
  </si>
  <si>
    <t>RTM7G79</t>
  </si>
  <si>
    <t>VW Express Delivery 2.8 2P</t>
  </si>
  <si>
    <t>vazamento de óleo e aparentemente folga no pivô, suspensão batendo.</t>
  </si>
  <si>
    <t>GCP5D34</t>
  </si>
  <si>
    <t>Pane Eletrica e Bomba do Arla</t>
  </si>
  <si>
    <t>RNG4F48</t>
  </si>
  <si>
    <t>RVH5G72</t>
  </si>
  <si>
    <t>troca de óleo e filtros, trocar vareta de óleo(quebrada), verificar barulho em suspensão, revisão geral: lâmpadas, palheta limpador, etc</t>
  </si>
  <si>
    <t>SGF8J34</t>
  </si>
  <si>
    <t>SFN0C59</t>
  </si>
  <si>
    <t>56.000.0</t>
  </si>
  <si>
    <t>Vazamento de óleo e freio</t>
  </si>
  <si>
    <t>RNE4J02</t>
  </si>
  <si>
    <t>Direção vazando e rodas travando</t>
  </si>
  <si>
    <t>QPC0J28</t>
  </si>
  <si>
    <t>Perca de Potencia</t>
  </si>
  <si>
    <t>RVH5G75</t>
  </si>
  <si>
    <t>Suspensão</t>
  </si>
  <si>
    <t>Coelho &amp; Reis Comercial de Pecas E Servicos Ltda (Movida)</t>
  </si>
  <si>
    <t>Chicote com mal contato</t>
  </si>
  <si>
    <t xml:space="preserve">           SPR8</t>
  </si>
  <si>
    <t>SVC1A96</t>
  </si>
  <si>
    <t>M.BENZ/ACCELO 1017 CE</t>
  </si>
  <si>
    <t>vazamento de óleo de motor</t>
  </si>
  <si>
    <t>Troca de pnus</t>
  </si>
  <si>
    <t xml:space="preserve"> SPR1</t>
  </si>
  <si>
    <t>RUX6F65</t>
  </si>
  <si>
    <t xml:space="preserve">12/09/2025 Problema no modulo </t>
  </si>
  <si>
    <t>SJV1B04</t>
  </si>
  <si>
    <t>Turbina</t>
  </si>
  <si>
    <t xml:space="preserve">           SPR6          </t>
  </si>
  <si>
    <t>mecanica diesel</t>
  </si>
  <si>
    <t>MICHEL</t>
  </si>
  <si>
    <t>RUW5D78</t>
  </si>
  <si>
    <t xml:space="preserve"> SPR7</t>
  </si>
  <si>
    <t>Oficina (MOVIDA)</t>
  </si>
  <si>
    <t>ADRIELLE</t>
  </si>
  <si>
    <t>RUW5D98</t>
  </si>
  <si>
    <t xml:space="preserve"> EPR6</t>
  </si>
  <si>
    <t>SUI3B70</t>
  </si>
  <si>
    <t xml:space="preserve">                                                problemas de suspensão</t>
  </si>
  <si>
    <t xml:space="preserve"> EPR13</t>
  </si>
  <si>
    <t>Mecanica car</t>
  </si>
  <si>
    <t>CAROLINA</t>
  </si>
  <si>
    <t>RTM6B61</t>
  </si>
  <si>
    <t>03/10 arrumando bau 05/ 06 - Veiculo aqueceu, e derreteu o motor. aguardando orçamento da retífica do motor</t>
  </si>
  <si>
    <t>Dez</t>
  </si>
  <si>
    <t>SGH8C35</t>
  </si>
  <si>
    <t>SGH6H72</t>
  </si>
  <si>
    <t>RNB5H97</t>
  </si>
  <si>
    <t>Caixa de Direção</t>
  </si>
  <si>
    <t>SDQ2A30</t>
  </si>
  <si>
    <t xml:space="preserve">CHAMPION (Localiza) </t>
  </si>
  <si>
    <t>28.000.0</t>
  </si>
  <si>
    <t>SGH8C41</t>
  </si>
  <si>
    <t>Ford Esperandio</t>
  </si>
  <si>
    <t>211.512.0</t>
  </si>
  <si>
    <t>Vazando óleo</t>
  </si>
  <si>
    <t>Troca de óleo, e pastilha de freio</t>
  </si>
  <si>
    <t>GJN6D04</t>
  </si>
  <si>
    <t>113.701.0</t>
  </si>
  <si>
    <t>Problema na embreagem e freio de mão</t>
  </si>
  <si>
    <t>GIY0J57</t>
  </si>
  <si>
    <t>Mola dianteira, Pino de Centro, Arrebite</t>
  </si>
  <si>
    <t>FLAVIA/NAYARA</t>
  </si>
  <si>
    <t>SFD5H74</t>
  </si>
  <si>
    <t>problema de módulo e catalizador</t>
  </si>
  <si>
    <t>SFG2D54</t>
  </si>
  <si>
    <t>Retifica da Turbina</t>
  </si>
  <si>
    <t>ISLEINE</t>
  </si>
  <si>
    <t>RUX2C18</t>
  </si>
  <si>
    <t>SPR3</t>
  </si>
  <si>
    <t>Autentica</t>
  </si>
  <si>
    <t>CAROLINA/EDGAR</t>
  </si>
  <si>
    <t>RNJ9C31</t>
  </si>
  <si>
    <t xml:space="preserve">            SPR3</t>
  </si>
  <si>
    <t>SGH7F79</t>
  </si>
  <si>
    <t>Carro deu parada para orçamentação da funilaria.</t>
  </si>
  <si>
    <t>Karina</t>
  </si>
  <si>
    <t>vazamento de água e bateria</t>
  </si>
  <si>
    <t>São cristovão center (Localiza)</t>
  </si>
  <si>
    <t xml:space="preserve">SGL2B84 </t>
  </si>
  <si>
    <t>SFW2B32</t>
  </si>
  <si>
    <t xml:space="preserve"> Pneus</t>
  </si>
  <si>
    <t>Ford indiana</t>
  </si>
  <si>
    <t xml:space="preserve">CORREIA </t>
  </si>
  <si>
    <t>RNJ9C88</t>
  </si>
  <si>
    <t>Bomba Diesel</t>
  </si>
  <si>
    <t>STC0D57</t>
  </si>
  <si>
    <t xml:space="preserve"> pane eletrica/Previsão chegada da peça</t>
  </si>
  <si>
    <t>Michel</t>
  </si>
  <si>
    <t>GID6J64</t>
  </si>
  <si>
    <t>127.313.0</t>
  </si>
  <si>
    <t>SJT7C88</t>
  </si>
  <si>
    <t>revisao e serviço de raster</t>
  </si>
  <si>
    <t>SPR2</t>
  </si>
  <si>
    <t>Roela</t>
  </si>
  <si>
    <t>SDQ3A28</t>
  </si>
  <si>
    <t>Pane Eletrica - 29/08/2025 /  COBRAR LOCALIZA</t>
  </si>
  <si>
    <t>RP3 (Localiza)</t>
  </si>
  <si>
    <t>RTM6B65</t>
  </si>
  <si>
    <t>04/08 Placa montando motor - 21/10/2025</t>
  </si>
  <si>
    <t xml:space="preserve">Freio de mão </t>
  </si>
  <si>
    <t>AKTA MOTORS PEUGEOT (Localiza)</t>
  </si>
  <si>
    <t>SFT5A36</t>
  </si>
  <si>
    <t xml:space="preserve">Revisão de freios e pnes </t>
  </si>
  <si>
    <t>SFW0A79</t>
  </si>
  <si>
    <t xml:space="preserve">pneus Óleo e filtros </t>
  </si>
  <si>
    <t>RTM6B49</t>
  </si>
  <si>
    <t>Oficina Greco</t>
  </si>
  <si>
    <t>SDQ3A27</t>
  </si>
  <si>
    <t xml:space="preserve">Suspenão, freios e troca de pneus </t>
  </si>
  <si>
    <t>Oficina do Beto (Localiza)</t>
  </si>
  <si>
    <t xml:space="preserve">Marcio </t>
  </si>
  <si>
    <t>SDU2C97</t>
  </si>
  <si>
    <t>Pane Eletrica - veiculo foi para a localiza</t>
  </si>
  <si>
    <t>OFICINA AMORIM (Localiza)</t>
  </si>
  <si>
    <t>SFV0D14</t>
  </si>
  <si>
    <t>RHW0D83</t>
  </si>
  <si>
    <t xml:space="preserve">Recall 
</t>
  </si>
  <si>
    <t xml:space="preserve"> Gaulesa Iguatemi (Localiza) </t>
  </si>
  <si>
    <t>RHW0D78</t>
  </si>
  <si>
    <t>junta da homocinética e a Direção do veículo</t>
  </si>
  <si>
    <t>motor</t>
  </si>
  <si>
    <t>SWH8D54</t>
  </si>
  <si>
    <t xml:space="preserve">Estourou a mangueira do radiador </t>
  </si>
  <si>
    <t>RUW5E46</t>
  </si>
  <si>
    <t>alternador - Aguardando pagamento do mesmo a vista, oficina infroma que só faz o cerviço a vista 28/10/2025</t>
  </si>
  <si>
    <t xml:space="preserve">Aguardando pagamento </t>
  </si>
  <si>
    <t xml:space="preserve">Oficina Bhankar </t>
  </si>
  <si>
    <t>Rodas Traseira Travada</t>
  </si>
  <si>
    <t>RVE1D19</t>
  </si>
  <si>
    <t xml:space="preserve">Gideoes Oficina </t>
  </si>
  <si>
    <t>HERICLES</t>
  </si>
  <si>
    <t>SGI8J07</t>
  </si>
  <si>
    <t>Acabou embreagem</t>
  </si>
  <si>
    <t>SGI8H83</t>
  </si>
  <si>
    <t>SGL4D24</t>
  </si>
  <si>
    <t>Van não passa de 20km p/h luz da injeção acesa no painel</t>
  </si>
  <si>
    <t xml:space="preserve">Ford indiana </t>
  </si>
  <si>
    <t>RNC5H15</t>
  </si>
  <si>
    <t>motor de partida</t>
  </si>
  <si>
    <t>Japones</t>
  </si>
  <si>
    <t>Vazamento de água</t>
  </si>
  <si>
    <t>Oficina do Alair</t>
  </si>
  <si>
    <t>RVA2J63</t>
  </si>
  <si>
    <t xml:space="preserve">Falta bicos retirar 27/09 </t>
  </si>
  <si>
    <t>RPS oficina</t>
  </si>
  <si>
    <t>SGI8I01</t>
  </si>
  <si>
    <t>Vazamento de oléo</t>
  </si>
  <si>
    <t>Ford Andreta Jundiai</t>
  </si>
  <si>
    <t>troca de homocinética e recarga de gás</t>
  </si>
  <si>
    <t>SGI9A06</t>
  </si>
  <si>
    <t>Ford Sonnerving Norte</t>
  </si>
  <si>
    <t>RNU2J58</t>
  </si>
  <si>
    <t>Barulho da dianteira</t>
  </si>
  <si>
    <t>SGF9B13</t>
  </si>
  <si>
    <t>Não liga/Tem que retirar o rastreador</t>
  </si>
  <si>
    <t>Pane não identificada</t>
  </si>
  <si>
    <t>SWR4C91</t>
  </si>
  <si>
    <t xml:space="preserve">BARRA ESTABILIZADORA TRASEIRA QUEBRADA, E A SUPORTE BARRA ESTA SOLTA/ esta no estacionamento da base aguardando peça, para ela ser encaminhada para a lanzotti/previsão chegada da peça </t>
  </si>
  <si>
    <t>Homocinética estourada</t>
  </si>
  <si>
    <t>SGI8H63</t>
  </si>
  <si>
    <t>Em diagnóstico</t>
  </si>
  <si>
    <t>SGH7C09</t>
  </si>
  <si>
    <t>SGF8J56</t>
  </si>
  <si>
    <t>58.245.0</t>
  </si>
  <si>
    <t>Vip Pneus</t>
  </si>
  <si>
    <t>SGF9B06</t>
  </si>
  <si>
    <t>placa revisão pela FORD</t>
  </si>
  <si>
    <t>VIAFOR (FORD)</t>
  </si>
  <si>
    <t xml:space="preserve">Porta travada e falta do estribo </t>
  </si>
  <si>
    <t>SFT5A41</t>
  </si>
  <si>
    <t>Direção</t>
  </si>
  <si>
    <t>TAK7B94</t>
  </si>
  <si>
    <t>Colisão com árvore, grave.</t>
  </si>
  <si>
    <t>BRUNO</t>
  </si>
  <si>
    <t>RNR5C63</t>
  </si>
  <si>
    <t>caixa de direção e vazando e suspensão estourada</t>
  </si>
  <si>
    <t>RVG0G15</t>
  </si>
  <si>
    <t xml:space="preserve"> ficou atolado lá, conseguiu um morador com trator pra tirar ele e conseguiram quebrar o radiador, não sei bem ao </t>
  </si>
  <si>
    <t>SFD5H80</t>
  </si>
  <si>
    <t xml:space="preserve"> perdeu a força , na ultima rota estava andando 20</t>
  </si>
  <si>
    <t>Fechadura</t>
  </si>
  <si>
    <t xml:space="preserve">Drive bateu motor </t>
  </si>
  <si>
    <t>Pane elétrica alternador e bateria morreu</t>
  </si>
  <si>
    <t>SDT9F50</t>
  </si>
  <si>
    <t>Pane Eletrica - 05/09/2025</t>
  </si>
  <si>
    <t>Sampa Trainon (Localiza)</t>
  </si>
  <si>
    <t>RUX2B53</t>
  </si>
  <si>
    <t>Embreagem/Veículo não está tendo Força na Subida</t>
  </si>
  <si>
    <t>SMR1</t>
  </si>
  <si>
    <t>GP Auto Center</t>
  </si>
  <si>
    <t>Mangueira de diesel</t>
  </si>
  <si>
    <t>SGH0H12</t>
  </si>
  <si>
    <t>Balança do veículo quebrada</t>
  </si>
  <si>
    <t>Alessandra</t>
  </si>
  <si>
    <t>GBZ4B11</t>
  </si>
  <si>
    <t>108.802.0</t>
  </si>
  <si>
    <t>Pane elétrica, alair diz ser embreagem-foi da denigris pro alair 24/10</t>
  </si>
  <si>
    <t>Não Aprovado</t>
  </si>
  <si>
    <t>GHR3C76</t>
  </si>
  <si>
    <t>Problema no tanque de combustível</t>
  </si>
  <si>
    <t>TOE7D13</t>
  </si>
  <si>
    <t>2.220.0</t>
  </si>
  <si>
    <t>Veículo sem força/líder da base diz que vai solicitar guincho para a coca pois orçamento não foi aprovado na ford 15/10</t>
  </si>
  <si>
    <t>Ford Alphaville</t>
  </si>
  <si>
    <t>SGH6H76</t>
  </si>
  <si>
    <t>RVD4D21</t>
  </si>
  <si>
    <t xml:space="preserve">Pane Elétrica - Placa foi aprovada para ir para o Japonês 27/10/2025 - Placa vai descer para o japonês - Abner disse para devolver do jeito q está, vamos solcitar guincho para devolver, carro vai direto para guarulhos 30/10/2025
</t>
  </si>
  <si>
    <t>Oficina Devacar - japonês</t>
  </si>
  <si>
    <t>RFT7G83</t>
  </si>
  <si>
    <t>N/D</t>
  </si>
  <si>
    <t>Placa aquecendo, marcio disse qque acha que é junta de cabeçote 29/10/2025 - Marcio disse que Abner disse para devolver 30/10/2025 - Abner disse para devolver do jeito que está.</t>
  </si>
  <si>
    <t>Oficina Ribeirão.</t>
  </si>
  <si>
    <t>SDT9G58</t>
  </si>
  <si>
    <t>NOTRE DAME (Localiza)</t>
  </si>
  <si>
    <t>SDQ3A54</t>
  </si>
  <si>
    <t>CAIXA DE DIREÇÃO,Bateria
Vidro
Cobertura chave seta superior e inferio
Chave de seta completa 
Grade dianteira</t>
  </si>
  <si>
    <t xml:space="preserve">OFICINA PASSOS </t>
  </si>
  <si>
    <t>RUV4G24</t>
  </si>
  <si>
    <t>RUV4G23</t>
  </si>
  <si>
    <t>Motor com barulho</t>
  </si>
  <si>
    <t>CORREIA E POLIA DO VIRA</t>
  </si>
  <si>
    <t>GGV1A34</t>
  </si>
  <si>
    <t>14.020.0</t>
  </si>
  <si>
    <t>vazando óleo</t>
  </si>
  <si>
    <t>RUX2C72</t>
  </si>
  <si>
    <t>RUM3C40</t>
  </si>
  <si>
    <t>Veículo deu parada para realizar funilaria de avarias</t>
  </si>
  <si>
    <t>SGL2C74</t>
  </si>
  <si>
    <t>SGI0G81</t>
  </si>
  <si>
    <t>RNF6H39</t>
  </si>
  <si>
    <t>Troca de ventoinha.</t>
  </si>
  <si>
    <t>Fernando</t>
  </si>
  <si>
    <t>SDT9F98</t>
  </si>
  <si>
    <t>Barulho forte na roda</t>
  </si>
  <si>
    <t>SEF1D94</t>
  </si>
  <si>
    <t>B2 PNEUS (Localiza)</t>
  </si>
  <si>
    <t>RTB0I88</t>
  </si>
  <si>
    <t>VEICULO DESAPARECIDO NA OFICINA EM TRATATIVA COM A MOVIDA</t>
  </si>
  <si>
    <t>Jl Car Experts Ltda (Movida)</t>
  </si>
  <si>
    <t>RNB5I16</t>
  </si>
  <si>
    <t xml:space="preserve">Problema no Radiador </t>
  </si>
  <si>
    <t>SSP26</t>
  </si>
  <si>
    <t xml:space="preserve">Oficina MMS REIS </t>
  </si>
  <si>
    <t>MATHEUS</t>
  </si>
  <si>
    <t>RTP4B90</t>
  </si>
  <si>
    <t>Troca de pneu e vistoria do gás GNV.</t>
  </si>
  <si>
    <t>RNJ9C38</t>
  </si>
  <si>
    <t>Alternador quebrou</t>
  </si>
  <si>
    <t>SDQ3A10</t>
  </si>
  <si>
    <t xml:space="preserve"> I/RENAULT KANGOO MAX ZE</t>
  </si>
  <si>
    <t>Veículo deu parada para realizar funilaria</t>
  </si>
  <si>
    <t>Ortocar</t>
  </si>
  <si>
    <t>Deborah</t>
  </si>
  <si>
    <t>SC (RIBEIRAO PRETO) SSP4</t>
  </si>
  <si>
    <t>RHV8D32</t>
  </si>
  <si>
    <t>Preventiva/Faltou Km para a Revisão</t>
  </si>
  <si>
    <t>NGN</t>
  </si>
  <si>
    <t>SC (FULL FILMENTE) FULL</t>
  </si>
  <si>
    <t>SC (LAJEADO) SRS10</t>
  </si>
  <si>
    <t>TOE7D22</t>
  </si>
  <si>
    <t>Funilaria de frente completa, pendente apenas Airbag</t>
  </si>
  <si>
    <t>Vazamento de água/ oficina tentando achar o problema do veiculo</t>
  </si>
  <si>
    <t>SC (ITUPEVA) SSP38</t>
  </si>
  <si>
    <t>TIV8G15</t>
  </si>
  <si>
    <t>ATEGO 2429CE -  COM BAÚ DE 9,20 - 18 PALLETES</t>
  </si>
  <si>
    <t xml:space="preserve">Bomba de Arla </t>
  </si>
  <si>
    <t>LHM16 (XPT AMERICANOPOLIS)</t>
  </si>
  <si>
    <t>SWK0B78</t>
  </si>
  <si>
    <t>Bateria/Bomba e bico</t>
  </si>
  <si>
    <t>Ford Araçatuba</t>
  </si>
  <si>
    <t>SC (ARAÇATUBA) SSP10</t>
  </si>
  <si>
    <t>Vazamento Radiador</t>
  </si>
  <si>
    <t>GP01 VARGEM GRANDE (GRUPO PEREIRA)</t>
  </si>
  <si>
    <t>SFW0A36</t>
  </si>
  <si>
    <t>Revisão - pneus(21/10 Aguardando a chegada dos pneus)</t>
  </si>
  <si>
    <t>SFT5A34</t>
  </si>
  <si>
    <t>Ford São Carlos</t>
  </si>
  <si>
    <t>Camila</t>
  </si>
  <si>
    <t>SC (Z LESTE) SSP6</t>
  </si>
  <si>
    <t>Nov</t>
  </si>
  <si>
    <t>GIB4E82</t>
  </si>
  <si>
    <t>120.381.0</t>
  </si>
  <si>
    <t>GP02 JACAREI (GRUPO PEREIRA)</t>
  </si>
  <si>
    <t>RNC9E48</t>
  </si>
  <si>
    <t>Arrefencimento - estourou o quite corrente da mesma</t>
  </si>
  <si>
    <t>SDQ2B60</t>
  </si>
  <si>
    <t xml:space="preserve">Problema no cambio Localiza </t>
  </si>
  <si>
    <t>Globo Veículos (Localiza)</t>
  </si>
  <si>
    <t>SC (FLORIANOPOLIS) SSC2</t>
  </si>
  <si>
    <t>RUO6B07</t>
  </si>
  <si>
    <t>Helana Maria</t>
  </si>
  <si>
    <t>SC (CARAGUATATUBA) SSP16</t>
  </si>
  <si>
    <t>RVB8A81</t>
  </si>
  <si>
    <t>Veículo sofreu colisão com lixeira de rua.</t>
  </si>
  <si>
    <t>Formula comercio de automóveis (Auto Vans)</t>
  </si>
  <si>
    <t>SC (LONDRINA) SPR2</t>
  </si>
  <si>
    <t>Pane Eletrica- 24.09 - Placa desmontada na oficina.  - Aguardando peça pela localiza - Em contato com a Localiza, o mesmo disse que " aguardando uma visita do distrital até a oficina para analisar de perto o veículo e o orçamento enviado pelo fornecedor. " 28/10/2025</t>
  </si>
  <si>
    <t>SC (SJ RIO PRETO) SSP12</t>
  </si>
  <si>
    <t>SC (SOROCABA) SSP20</t>
  </si>
  <si>
    <t>GCI0A64</t>
  </si>
  <si>
    <t>Motor queimado, óleo</t>
  </si>
  <si>
    <t>FMS09 SÃO PAULO (SP)</t>
  </si>
  <si>
    <t>Pneu</t>
  </si>
  <si>
    <t>PABLOS CAR (localiza)</t>
  </si>
  <si>
    <t>SVO4A80</t>
  </si>
  <si>
    <t>OXXO1 (CAJAMAR)</t>
  </si>
  <si>
    <t>SGL4D20</t>
  </si>
  <si>
    <t>MM04</t>
  </si>
  <si>
    <t>MM04 (JUNDIAI)</t>
  </si>
  <si>
    <t>SVQ8B88</t>
  </si>
  <si>
    <t>TOE2C57</t>
  </si>
  <si>
    <t>Pane életrica/guicheiro foi fazer retirada do veículo e derrubou o mesmo causando avarias no veículo a ford irá arcar com os custos das avarias</t>
  </si>
  <si>
    <t xml:space="preserve"> MM04</t>
  </si>
  <si>
    <t>MM03 (ARUJA)</t>
  </si>
  <si>
    <t>SGH6H75</t>
  </si>
  <si>
    <t>SC (SAPUCAIA) SRS8</t>
  </si>
  <si>
    <t>SGI8J55</t>
  </si>
  <si>
    <t xml:space="preserve">FORD Sperandio </t>
  </si>
  <si>
    <t>SC (PQ NOVO MUNDO) SSP40</t>
  </si>
  <si>
    <t>RNB5I46</t>
  </si>
  <si>
    <t xml:space="preserve">Modulo/ previsão da chegada das peças </t>
  </si>
  <si>
    <t>SC (1CAMPINAS) SSP3</t>
  </si>
  <si>
    <t>RUW5D77</t>
  </si>
  <si>
    <t>REBOQUE - PROTOCOLO GERADO: 2025079616  VERIFICAR A SUSPENSÃO</t>
  </si>
  <si>
    <t xml:space="preserve">Auto center lima (movida) </t>
  </si>
  <si>
    <t>XPT (SAO MATEUS DO SUL) EPR6/SPR7</t>
  </si>
  <si>
    <t xml:space="preserve">Troca de pneu </t>
  </si>
  <si>
    <t>SC (PORTO ALEGRE) SRS1</t>
  </si>
  <si>
    <t xml:space="preserve">SJT6E89 </t>
  </si>
  <si>
    <t>Rolamento de roda dianteiro lado direito</t>
  </si>
  <si>
    <t>NOV</t>
  </si>
  <si>
    <t>SC (ARENA BARUERI) SSP5</t>
  </si>
  <si>
    <t>RVA2J45</t>
  </si>
  <si>
    <t>Troca pastilha de freio</t>
  </si>
  <si>
    <t>SVX5C53</t>
  </si>
  <si>
    <t>SC (ATIBAIA) SSP25</t>
  </si>
  <si>
    <t>GGQ9J34</t>
  </si>
  <si>
    <t>Veículo apreendido, já com a nova procuração, aguardando o detran.</t>
  </si>
  <si>
    <t>Pátio da D.E.R (Departamento de estradas e rodagens)</t>
  </si>
  <si>
    <t>GEG2F43</t>
  </si>
  <si>
    <t>Aguardando Pneus</t>
  </si>
  <si>
    <t>RNJ9C91</t>
  </si>
  <si>
    <t>RNE7C77</t>
  </si>
  <si>
    <t>Vazamento em turbina</t>
  </si>
  <si>
    <t>SC (SAO CARLOS) SSP22</t>
  </si>
  <si>
    <t xml:space="preserve">SVN2A21 </t>
  </si>
  <si>
    <t>Troca de óleos e filtros</t>
  </si>
  <si>
    <t xml:space="preserve">SGL1J06 </t>
  </si>
  <si>
    <t>Troca de pastilhas dianteira e traseira</t>
  </si>
  <si>
    <t>HIllary</t>
  </si>
  <si>
    <t>STT6I27</t>
  </si>
  <si>
    <t>óleo do motor, filtros de óleo, ar e combustível, par de discos e pastilhas de freio dianteiros e o retrovisor</t>
  </si>
  <si>
    <t>SC (CAMPINA GRANDE DO SUL) SPR8</t>
  </si>
  <si>
    <t xml:space="preserve">HNZ1F20 </t>
  </si>
  <si>
    <t xml:space="preserve">Motor e cambio </t>
  </si>
  <si>
    <t>PETLOVE</t>
  </si>
  <si>
    <t>Falha de motor / veiculo na fila / estão mexendo no carro descobrindo o problema</t>
  </si>
  <si>
    <t>Concessionária tietê</t>
  </si>
  <si>
    <t>SGL1H87</t>
  </si>
  <si>
    <t>SGH0H50</t>
  </si>
  <si>
    <t>Revisão/Bateria</t>
  </si>
  <si>
    <t>sem partida</t>
  </si>
  <si>
    <t>STU3D88</t>
  </si>
  <si>
    <t xml:space="preserve">Filtro de ar, Filtro de combustível 
</t>
  </si>
  <si>
    <t>LHS BR</t>
  </si>
  <si>
    <t>LHS BR (SHOPEE)</t>
  </si>
  <si>
    <t>Pastilha de freio</t>
  </si>
  <si>
    <t>SGH8C22</t>
  </si>
  <si>
    <t>SGH8H47</t>
  </si>
  <si>
    <t>Troca dos Pneus</t>
  </si>
  <si>
    <t>Câmbio não está engatando marcha/ vai de guincho para oficina</t>
  </si>
  <si>
    <t>SGI8J92</t>
  </si>
  <si>
    <t>Ford Aphaville</t>
  </si>
  <si>
    <t>Freio/Farol</t>
  </si>
  <si>
    <t>GP03 HORTOLANDIA (GRUPO PEREIRA)</t>
  </si>
  <si>
    <t>SWV3D77</t>
  </si>
  <si>
    <t xml:space="preserve">Aguardando Peça </t>
  </si>
  <si>
    <t>GKH4D61</t>
  </si>
  <si>
    <t>110.488.0</t>
  </si>
  <si>
    <t xml:space="preserve">TOE2C53 </t>
  </si>
  <si>
    <t>troca das pastilhas  traseira </t>
  </si>
  <si>
    <t>RNF6H47</t>
  </si>
  <si>
    <t xml:space="preserve">problema na correia </t>
  </si>
  <si>
    <t>SC (SAO JOSE DOS CAMPOS) SSP8</t>
  </si>
  <si>
    <t>SGL2B42</t>
  </si>
  <si>
    <t>RTM6B45</t>
  </si>
  <si>
    <t>Troca de polia</t>
  </si>
  <si>
    <t>SGH8A75</t>
  </si>
  <si>
    <t>Troca de óleo e filtros/Trocas das pastilhas dianteira e traseira</t>
  </si>
  <si>
    <t>SVR7G02</t>
  </si>
  <si>
    <t>Homocinética</t>
  </si>
  <si>
    <t>Mariana</t>
  </si>
  <si>
    <t>XPT (TRES LAGOAS ) EMS4/SSP10</t>
  </si>
  <si>
    <t>freio, embreagem  e vasamento de agua</t>
  </si>
  <si>
    <t xml:space="preserve"> Problema no filtro de água e direção dura</t>
  </si>
  <si>
    <t>Troca de pastilha dianteira, Troca de pastilha traseira </t>
  </si>
  <si>
    <t>Out.</t>
  </si>
  <si>
    <t>GFS7F11</t>
  </si>
  <si>
    <t>Pane</t>
  </si>
  <si>
    <t>SGH6H59</t>
  </si>
  <si>
    <t>Pastilha dianteira/Pastilha traseira/Óleo e filtro</t>
  </si>
  <si>
    <t>RNP6E43</t>
  </si>
  <si>
    <t>Luz constando no painel</t>
  </si>
  <si>
    <t xml:space="preserve">PORTO ALEGRE </t>
  </si>
  <si>
    <t>RUO6B01</t>
  </si>
  <si>
    <t>Pastilha de freios, Homocinética lado direito, Vazando óleo do motor, Bateria/alternador, Bandeja completa com pivô (lado direito e lado esquerdo), Amortecedor traseiro completo com kit, Batente de choque traseiro (direito e esquerdo)</t>
  </si>
  <si>
    <t>Perca de Potencia/Vai sair para teste hoje 07/11 novamente</t>
  </si>
  <si>
    <t>ERIVELTON/ISLEINE</t>
  </si>
  <si>
    <t>TAO3J35</t>
  </si>
  <si>
    <t>Funilaria do Baú</t>
  </si>
  <si>
    <t>Bruno</t>
  </si>
  <si>
    <t>RNU2C28</t>
  </si>
  <si>
    <t>Troca de óleo e filtros</t>
  </si>
  <si>
    <t>ERIVELTON/BRUNO</t>
  </si>
  <si>
    <t>SDT9F40</t>
  </si>
  <si>
    <t xml:space="preserve">Homocinética estralando ar condicionado </t>
  </si>
  <si>
    <t>LE LAC PEUGEOT REBOU (Localiza)</t>
  </si>
  <si>
    <t>SC (CURITIBA) SPR1</t>
  </si>
  <si>
    <t>SJT0J55</t>
  </si>
  <si>
    <t>Pedal de embreagem/Previsão da chegada da peça/ fornecedor retirou embreagem</t>
  </si>
  <si>
    <t>RUL7F38</t>
  </si>
  <si>
    <t>Mechtronic</t>
  </si>
  <si>
    <t>Josias</t>
  </si>
  <si>
    <t>JCI8F71</t>
  </si>
  <si>
    <t>FORD/CARGO 2422 CNL</t>
  </si>
  <si>
    <t>DESLIGOU NAO LIGA MAIS</t>
  </si>
  <si>
    <t>ESP13</t>
  </si>
  <si>
    <t>Auto Elétrico Kazuyoshi</t>
  </si>
  <si>
    <t>Pedro</t>
  </si>
  <si>
    <t>XPT (BRASILANDIA) ESP13/SSP5</t>
  </si>
  <si>
    <t>GII1D53</t>
  </si>
  <si>
    <t>SDQ3A37</t>
  </si>
  <si>
    <t>Carro acabou a bateria - Carro já liberado do pátio e segue na oficina Localiza - Carro sumiu no guincho 28/10/2025 - Carro na passos aguardando chave do mesmo 05/11/2025 - Chave enviada pelo correio, previsão de chegada amanha 06/11/2025 - Previsão de chegada da chave hj 07/11/2025</t>
  </si>
  <si>
    <t>120.938.0</t>
  </si>
  <si>
    <t xml:space="preserve"> teve falha na bomba do arla, falha de ADBLUE - vai da coca pra denigris 03/11</t>
  </si>
  <si>
    <t>Denigris (São Bernardo do Campo)</t>
  </si>
  <si>
    <t>SGL2C95</t>
  </si>
  <si>
    <t xml:space="preserve">Revisão troca de pastilhas </t>
  </si>
  <si>
    <t>RND8C53</t>
  </si>
  <si>
    <t>Direção dura</t>
  </si>
  <si>
    <t>RUG7E81</t>
  </si>
  <si>
    <t>Trocando amortecedor</t>
  </si>
  <si>
    <t>JCJ0D34</t>
  </si>
  <si>
    <t>veículo não liga/ estão esperando a lanzotti voltar a funcionar</t>
  </si>
  <si>
    <t>RNF6H36</t>
  </si>
  <si>
    <t>Veículo com direção dura, vaza todo o óleo</t>
  </si>
  <si>
    <t>Montouro</t>
  </si>
  <si>
    <t>LARISSA</t>
  </si>
  <si>
    <t xml:space="preserve"> Super aquecendo o motor/ vai para lanzotti</t>
  </si>
  <si>
    <t>Veiculo sem força</t>
  </si>
  <si>
    <t>Estourou a Polia</t>
  </si>
  <si>
    <t>SC (PRESIDENTE PRUDENTE) SSP11</t>
  </si>
  <si>
    <t>vazando muito óleo diesel por baixo</t>
  </si>
  <si>
    <t>Garantia de motor</t>
  </si>
  <si>
    <t>São Cristovão Center Truck (Localiza)</t>
  </si>
  <si>
    <t>RTM6B50</t>
  </si>
  <si>
    <t>7.000.0</t>
  </si>
  <si>
    <t xml:space="preserve">Amorcinetica </t>
  </si>
  <si>
    <t>SGI8J64</t>
  </si>
  <si>
    <t>SGH8H61</t>
  </si>
  <si>
    <t>SGH8B51</t>
  </si>
  <si>
    <t>SFV0D59</t>
  </si>
  <si>
    <t>Troca de polia da Coreia,  Troca cavalete da pinça e Troca do kit de amortecedor</t>
  </si>
  <si>
    <t xml:space="preserve">Claudia </t>
  </si>
  <si>
    <t>SC (MEGA GUARULHOS) SSP30</t>
  </si>
  <si>
    <t>SDQ3H14</t>
  </si>
  <si>
    <t>parabrisa com um trinco</t>
  </si>
  <si>
    <t xml:space="preserve">SC </t>
  </si>
  <si>
    <t xml:space="preserve">São Jose auto vidros </t>
  </si>
  <si>
    <t xml:space="preserve">FERNANDO </t>
  </si>
  <si>
    <t>SC (Z SUL) SC_ZS</t>
  </si>
  <si>
    <t>GEI7B15</t>
  </si>
  <si>
    <t>Revisão freio e óleo</t>
  </si>
  <si>
    <t>Caixa de direção</t>
  </si>
  <si>
    <t>FZL8E64</t>
  </si>
  <si>
    <t>vazamento de água, está acusando aquecimento, vaza rápido quando liga</t>
  </si>
  <si>
    <t>RFT7G78</t>
  </si>
  <si>
    <t>revisao</t>
  </si>
  <si>
    <t>ssp42</t>
  </si>
  <si>
    <t>Larine</t>
  </si>
  <si>
    <t>Sorocaba</t>
  </si>
  <si>
    <t xml:space="preserve">RVC0J62 </t>
  </si>
  <si>
    <t xml:space="preserve">Peça em baixo do motor solta, veículo não anda  </t>
  </si>
  <si>
    <t>Placa fumaçando - vai desmobilizar 29/10/2025 - Assim que a placa sair provavel devolução 06/11/2025</t>
  </si>
  <si>
    <t>Walmor Mecanico</t>
  </si>
  <si>
    <t>Morcinetica</t>
  </si>
  <si>
    <t>GGF8H51</t>
  </si>
  <si>
    <t>GGQ5I13</t>
  </si>
  <si>
    <t>Troca de oléo/ aguardando peça</t>
  </si>
  <si>
    <t>SDT9G65</t>
  </si>
  <si>
    <t>Veículo sofreu uma colisão na Porta</t>
  </si>
  <si>
    <t>Oficina da Motorista</t>
  </si>
  <si>
    <t>Motor e supensão</t>
  </si>
  <si>
    <t>JCI8F93</t>
  </si>
  <si>
    <t>Motor/ 05/11 - aguardando volante da Retifica</t>
  </si>
  <si>
    <t>JCJ0D26</t>
  </si>
  <si>
    <t>Garantia de motor/Vai ser testada hoje, 10/11</t>
  </si>
  <si>
    <t>Nova Elite Retifica</t>
  </si>
  <si>
    <t>SFV0D69</t>
  </si>
  <si>
    <t>oleo e pastilha de freio</t>
  </si>
  <si>
    <t>SGH0H22</t>
  </si>
  <si>
    <t>Correção de cadastro</t>
  </si>
  <si>
    <t xml:space="preserve">                                                                          Câmbio                 </t>
  </si>
  <si>
    <t>RVF9J99</t>
  </si>
  <si>
    <t>Filtro de ar/Filtro de Combustivel</t>
  </si>
  <si>
    <t>TAINA</t>
  </si>
  <si>
    <t>SC (COTIA) SSP34</t>
  </si>
  <si>
    <t>JCJ3H91</t>
  </si>
  <si>
    <t>Trocar de oléo e freio</t>
  </si>
  <si>
    <t>SC (PIRACICABA) SSP36</t>
  </si>
  <si>
    <t>SGI8I73</t>
  </si>
  <si>
    <t>R$ 14.410.80</t>
  </si>
  <si>
    <t>Tany</t>
  </si>
  <si>
    <t>SVK8G87</t>
  </si>
  <si>
    <t>MOLA LADO DIREITO QUEBRADA</t>
  </si>
  <si>
    <t>Moleiro São Jose</t>
  </si>
  <si>
    <t xml:space="preserve">FGL7F74 </t>
  </si>
  <si>
    <t>bomba do arla</t>
  </si>
  <si>
    <t>SDT9G01</t>
  </si>
  <si>
    <t xml:space="preserve">Veiculo não carrega </t>
  </si>
  <si>
    <t>PEUGEOT LYON (Localiza)</t>
  </si>
  <si>
    <t>SDQ2B62</t>
  </si>
  <si>
    <t xml:space="preserve"> Bateria não carrega </t>
  </si>
  <si>
    <t>AUTOMEGA (Localiza)</t>
  </si>
  <si>
    <t>SDQ2E05</t>
  </si>
  <si>
    <t xml:space="preserve">RENAULT SINAL FRANCE ( localiza) </t>
  </si>
  <si>
    <t>SC (MOOCA CENTRO) SSP21</t>
  </si>
  <si>
    <t>EEC0I73</t>
  </si>
  <si>
    <t>Colisão não informada da base</t>
  </si>
  <si>
    <t xml:space="preserve">Escama Dub Centro de Reparação </t>
  </si>
  <si>
    <t>SC (GOIANIA) SGO1</t>
  </si>
  <si>
    <t xml:space="preserve"> vazamento no diferencial/ estão esperando a lanzotti voltar a funcionar</t>
  </si>
  <si>
    <t>SVH9C94</t>
  </si>
  <si>
    <t xml:space="preserve">                                           sem força e acendendo luz da injeção/ vai para a lanzotti</t>
  </si>
  <si>
    <t>TAK7D11</t>
  </si>
  <si>
    <t>João</t>
  </si>
  <si>
    <t>SC (VITORIA) SES1</t>
  </si>
  <si>
    <t>SGF9C25</t>
  </si>
  <si>
    <t>Freios e troca de pneus/ vai sair do estacionamento da base e irá para a oficina lanzotti</t>
  </si>
  <si>
    <t>Estacionamneto da base</t>
  </si>
  <si>
    <t>UEJ1D08</t>
  </si>
  <si>
    <t>Troca de freios e pastilhas</t>
  </si>
  <si>
    <t>Face Car</t>
  </si>
  <si>
    <t>EVELLYN</t>
  </si>
  <si>
    <t>XPT (CHAPECÓ) SSC4</t>
  </si>
  <si>
    <t>RVD4C73</t>
  </si>
  <si>
    <t>Veiculo ferveu</t>
  </si>
  <si>
    <t>NAYARA</t>
  </si>
  <si>
    <t>SC (MARILIA) SSP13</t>
  </si>
  <si>
    <t>RVE2F27</t>
  </si>
  <si>
    <t>Homocinetica</t>
  </si>
  <si>
    <t xml:space="preserve">Eletro ventilador </t>
  </si>
  <si>
    <t>Mf Centro Automotivo</t>
  </si>
  <si>
    <t>SC (CAMPO GRANDE) SMS1</t>
  </si>
  <si>
    <t>Vazamento de Agua/ veículo está super aquecendo</t>
  </si>
  <si>
    <t>Ford Destaque Atibaia</t>
  </si>
  <si>
    <t>RUX2B93</t>
  </si>
  <si>
    <t>Cartech</t>
  </si>
  <si>
    <t>XPT (FRANCISCO BELTRAO) EPR9/SPR4</t>
  </si>
  <si>
    <t>GBK6I84</t>
  </si>
  <si>
    <t>Filtro de ar, Filtro de combustível, Óleo e filtro,Pastilha de freio dianteira </t>
  </si>
  <si>
    <t>RUX2C85</t>
  </si>
  <si>
    <t>revisão no freio e as trocas das pastilhas.</t>
  </si>
  <si>
    <t xml:space="preserve">Oficina do Alair </t>
  </si>
  <si>
    <t xml:space="preserve">IGOR </t>
  </si>
  <si>
    <t>SC (CRICIUMA) SSC5</t>
  </si>
  <si>
    <t>SGI8H76</t>
  </si>
  <si>
    <t>Sensor de Abs Ligado</t>
  </si>
  <si>
    <t>Leandro</t>
  </si>
  <si>
    <t>SGL2D27</t>
  </si>
  <si>
    <t>vazamento de óleo</t>
  </si>
  <si>
    <t>Aguardando Aprovação Ford</t>
  </si>
  <si>
    <t>Ford Lauro de Freitas</t>
  </si>
  <si>
    <t>TIAGO</t>
  </si>
  <si>
    <t>SC (BAHIA SALVADOR) SBA1</t>
  </si>
  <si>
    <t>Placa parou no meio do carretgamento - foi feito o motor e após de sair da manunteção a mesma parou novamente. - Motor nsa garantia 07/11/2025</t>
  </si>
  <si>
    <t>MMS Reis</t>
  </si>
  <si>
    <t>SC (FRANCA) SSP26</t>
  </si>
  <si>
    <t>RVD4C93</t>
  </si>
  <si>
    <t>16/07/2025 - Vazou todo o óleo do motor/Vazamento de escapamento</t>
  </si>
  <si>
    <t>SC (AVARÉ) SSP24</t>
  </si>
  <si>
    <t>RNJ9D58</t>
  </si>
  <si>
    <t>ISLEINE/ERIVELTON</t>
  </si>
  <si>
    <t>RNJ9C86</t>
  </si>
  <si>
    <t xml:space="preserve">Começou a sair cheiro forte de queimado  </t>
  </si>
  <si>
    <t>Placa trocando para-brisa</t>
  </si>
  <si>
    <t xml:space="preserve">Oficina Ribeirão </t>
  </si>
  <si>
    <t>Veículo não da partida</t>
  </si>
  <si>
    <t>RVG7D29</t>
  </si>
  <si>
    <t>homocinética e a pinça de freio.</t>
  </si>
  <si>
    <t>REGIS</t>
  </si>
  <si>
    <t>Nov.</t>
  </si>
  <si>
    <t>SGI8J40</t>
  </si>
  <si>
    <t>Colisão grave na lateral da cabine</t>
  </si>
  <si>
    <t>Igor</t>
  </si>
  <si>
    <t>SC (ABC) SSP17</t>
  </si>
  <si>
    <t>SVX1G28</t>
  </si>
  <si>
    <t>Bomba e válvula mpro-valor negociado com peça fornecida pela murici</t>
  </si>
  <si>
    <t>EPR9</t>
  </si>
  <si>
    <t>Aguardando peças</t>
  </si>
  <si>
    <t>Sidiane</t>
  </si>
  <si>
    <t xml:space="preserve">Troca de óleo e filtros </t>
  </si>
  <si>
    <t>RNH7H38</t>
  </si>
  <si>
    <t xml:space="preserve">Troca das pastilhas dianteira e traseira </t>
  </si>
  <si>
    <t>Vazamento de Agua</t>
  </si>
  <si>
    <t xml:space="preserve">Motor </t>
  </si>
  <si>
    <t>LARIENE</t>
  </si>
  <si>
    <t>Fernanda</t>
  </si>
  <si>
    <t>SGL4D19</t>
  </si>
  <si>
    <t>Aguardando aprovação Ford</t>
  </si>
  <si>
    <t xml:space="preserve">SGL4C86 </t>
  </si>
  <si>
    <t xml:space="preserve">                              Braços articulador e Problema crítico na suspensão dianteira</t>
  </si>
  <si>
    <t>Oficina Formula1</t>
  </si>
  <si>
    <t>RVQ2D55</t>
  </si>
  <si>
    <t>problema na embreagem</t>
  </si>
  <si>
    <t>RUX2J16</t>
  </si>
  <si>
    <t>Não liga</t>
  </si>
  <si>
    <t>SMG5</t>
  </si>
  <si>
    <t>SC (POÇOS DE CALDAS) SMG5</t>
  </si>
  <si>
    <t>SDT9E97</t>
  </si>
  <si>
    <t>Pane elétrica 24.09  - Aguardando orçamento da ofcina 07/11/2025</t>
  </si>
  <si>
    <t>OFICINA DO BETO (Localiza)</t>
  </si>
  <si>
    <t>TAO5A35</t>
  </si>
  <si>
    <t>Problema na direção</t>
  </si>
  <si>
    <t>SGH6H70</t>
  </si>
  <si>
    <t>RTM7G83</t>
  </si>
  <si>
    <t>abracadeira</t>
  </si>
  <si>
    <t>RUZ8A53</t>
  </si>
  <si>
    <t>Polia do Motor</t>
  </si>
  <si>
    <t>Em manutenção</t>
  </si>
  <si>
    <t>Semi eixo- ferio dant</t>
  </si>
  <si>
    <t>RVE2F25</t>
  </si>
  <si>
    <t>Cilindro Mestre Embreagem</t>
  </si>
  <si>
    <t>RNG4F63</t>
  </si>
  <si>
    <t>Freios Traseiro/Troca de óleo vencido</t>
  </si>
  <si>
    <t>SDQ2A73</t>
  </si>
  <si>
    <t>Veículo sofreu uma colisão na porta traseira</t>
  </si>
  <si>
    <t>Vieira</t>
  </si>
  <si>
    <t>Domenico</t>
  </si>
  <si>
    <t>RUM2B42</t>
  </si>
  <si>
    <t>SVR0C16</t>
  </si>
  <si>
    <t>Colidiu o retrovisor</t>
  </si>
  <si>
    <t>RVD4C67</t>
  </si>
  <si>
    <t>trocar 2 rolamentos de roda dianteiro</t>
  </si>
  <si>
    <t>VAZANDO ÓLEO DO CAMBIO</t>
  </si>
  <si>
    <t xml:space="preserve">RTM6B70 </t>
  </si>
  <si>
    <t>soldar o BAU</t>
  </si>
  <si>
    <t xml:space="preserve">Oficina SM3 </t>
  </si>
  <si>
    <t>SUD2F68</t>
  </si>
  <si>
    <t>Placa parou de rodar no meio da opera, provavel pane eletrica</t>
  </si>
  <si>
    <t>RVG0G11</t>
  </si>
  <si>
    <t>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</t>
  </si>
  <si>
    <t>Zakrzewski &amp; Cipanski Ltda - Epp (Movida)</t>
  </si>
  <si>
    <t>RUX9H55</t>
  </si>
  <si>
    <t>Aguardando pagamento da mão de obra</t>
  </si>
  <si>
    <t xml:space="preserve">Vinicius </t>
  </si>
  <si>
    <t>SC (NOVA LIMA) SMG14</t>
  </si>
  <si>
    <t>RNE0J07</t>
  </si>
  <si>
    <t>troca de óleo e filtros</t>
  </si>
  <si>
    <t xml:space="preserve">N/E </t>
  </si>
  <si>
    <t>Arruela do bujão do carter</t>
  </si>
  <si>
    <t>Kimberlly</t>
  </si>
  <si>
    <t>RNB5I54</t>
  </si>
  <si>
    <t>RUX2D23</t>
  </si>
  <si>
    <t>Partner</t>
  </si>
  <si>
    <t xml:space="preserve">Freios </t>
  </si>
  <si>
    <t>RUX2J35</t>
  </si>
  <si>
    <t xml:space="preserve">Caixa de marcha </t>
  </si>
  <si>
    <t xml:space="preserve">João </t>
  </si>
  <si>
    <t>SGH6H62</t>
  </si>
  <si>
    <t>Revisão(Pastilha de Freio)</t>
  </si>
  <si>
    <t>SSC3</t>
  </si>
  <si>
    <t>Ford AutoPlus</t>
  </si>
  <si>
    <t>Gabrieli</t>
  </si>
  <si>
    <t>SC (BLUMENAU) SSC3</t>
  </si>
  <si>
    <t>Problemas de chicote elétrico</t>
  </si>
  <si>
    <t>SVN5B77</t>
  </si>
  <si>
    <t>vazamento de diesel</t>
  </si>
  <si>
    <t>RUM2B60</t>
  </si>
  <si>
    <t>Suspensão, Freio dianteiro</t>
  </si>
  <si>
    <t>SC (JALES) SSP28</t>
  </si>
  <si>
    <t>RTM6B67</t>
  </si>
  <si>
    <t xml:space="preserve"> 18/11/2025 - Placa na Saft Car fazenco homocinetica </t>
  </si>
  <si>
    <t>Saft Car</t>
  </si>
  <si>
    <t>RUV4G25</t>
  </si>
  <si>
    <t xml:space="preserve">Placa parada fazendo preventiva </t>
  </si>
  <si>
    <t>RUV4G31</t>
  </si>
  <si>
    <t>Placa parada fazendo preventiva</t>
  </si>
  <si>
    <t>Aguardando info. da base</t>
  </si>
  <si>
    <t>mangueira de água vazando</t>
  </si>
  <si>
    <t>Estacionamento Jaguaré</t>
  </si>
  <si>
    <t>GJL3J28</t>
  </si>
  <si>
    <t>Falha de motor</t>
  </si>
  <si>
    <t>RNJ9D39</t>
  </si>
  <si>
    <t>Alternador</t>
  </si>
  <si>
    <t>SGH8H53</t>
  </si>
  <si>
    <t>SGI8I41</t>
  </si>
  <si>
    <t>Aprovada</t>
  </si>
  <si>
    <t>SDQ2B63</t>
  </si>
  <si>
    <t>Porta não abre</t>
  </si>
  <si>
    <t>RNJ9C95</t>
  </si>
  <si>
    <t>sistema arrefecimento</t>
  </si>
  <si>
    <t>SDQ2A97</t>
  </si>
  <si>
    <t xml:space="preserve">Pneus </t>
  </si>
  <si>
    <t>SGF9B0</t>
  </si>
  <si>
    <t xml:space="preserve">JCJ0D28 </t>
  </si>
  <si>
    <t xml:space="preserve">Reservatório da água </t>
  </si>
  <si>
    <t>MARCELO/ISLEINE/ERIVELTON</t>
  </si>
  <si>
    <t>RHU2D75</t>
  </si>
  <si>
    <t>Pane Eletrica - Placa pesada -  Este caminhão está em teste de módulos das bateiras, onde cada módulo tem diversas células (como se fosse um conjunto de pilhas 10/11/2025</t>
  </si>
  <si>
    <t>TICKET LOG MANUTENCA (Localiza)</t>
  </si>
  <si>
    <t>RUV4G11</t>
  </si>
  <si>
    <t xml:space="preserve">Embreagem - 2 pneus </t>
  </si>
  <si>
    <t>RVD9A43</t>
  </si>
  <si>
    <t>SGL2D31</t>
  </si>
  <si>
    <t xml:space="preserve"> espanou parafuso só câmbio, não engata mais as marchas- está na fila</t>
  </si>
  <si>
    <t xml:space="preserve"> homocinética está estralando</t>
  </si>
  <si>
    <t>BRUNO/NATASHA/ERIVELTON</t>
  </si>
  <si>
    <t xml:space="preserve">GGQ9J34 </t>
  </si>
  <si>
    <t xml:space="preserve">Troca  da embreagem </t>
  </si>
  <si>
    <t>Placa vai ser transferida para a coca de guincho, placa com problema na folga do cambio.</t>
  </si>
  <si>
    <t>Estacionamento de Itupeva - Coca</t>
  </si>
  <si>
    <t>Arranque do motor</t>
  </si>
  <si>
    <t>Troca de bateria</t>
  </si>
  <si>
    <t>vai regenerar na oficina do Alair</t>
  </si>
  <si>
    <t>RVB8A67</t>
  </si>
  <si>
    <t>92.338.0</t>
  </si>
  <si>
    <t>Cometa Car</t>
  </si>
  <si>
    <t>ANA</t>
  </si>
  <si>
    <t>60.000.0</t>
  </si>
  <si>
    <t>RNF2B95</t>
  </si>
  <si>
    <t>Cabeçote aguardando orçamento - Aguardando relação de peças - Guincho solicitado para deixar no japonês 27/10/2025 - Placa aguardando vauvula termnostativa 14/11/2025</t>
  </si>
  <si>
    <t xml:space="preserve">Oficina Walmor </t>
  </si>
  <si>
    <t>Revisão 60 Mil KM</t>
  </si>
  <si>
    <t>Ford caminho Bauru</t>
  </si>
  <si>
    <t>Nayara</t>
  </si>
  <si>
    <t>RUX9G54</t>
  </si>
  <si>
    <t>ASCENDEU LUZ DA INJEÇÃO EM SEGUIDA PERDEU FORÇA E PAROU DE FUNCIONAR</t>
  </si>
  <si>
    <t>LMS36</t>
  </si>
  <si>
    <t>Wellington Gideoes Oficina</t>
  </si>
  <si>
    <t>GCL2D74</t>
  </si>
  <si>
    <t>Não esta funcionando, provavel que seja problema na chave</t>
  </si>
  <si>
    <t>Della via (Localiza)</t>
  </si>
  <si>
    <t>SVT9G70</t>
  </si>
  <si>
    <t>Colisão dianteira grave. Aguardando peça já solicitadas, que chegrarão dia 15/10/2025</t>
  </si>
  <si>
    <t>Ford Sorocaba</t>
  </si>
  <si>
    <t>SDQ3H17</t>
  </si>
  <si>
    <t>Caixa de direção,Bandeija, Buchas e Mocinetica</t>
  </si>
  <si>
    <t>SC_ZS</t>
  </si>
  <si>
    <t>VIP CENTRO AUTOMOTIV (localiza)</t>
  </si>
  <si>
    <t>DIOGO</t>
  </si>
  <si>
    <t>RNP6E41</t>
  </si>
  <si>
    <t>SC (CASCAVEL) SPR3</t>
  </si>
  <si>
    <t>Placa indo para a manunteção hj de suspensão pela Localiza</t>
  </si>
  <si>
    <t>SUG1B43</t>
  </si>
  <si>
    <t>Dircam</t>
  </si>
  <si>
    <t>Rvd8h60</t>
  </si>
  <si>
    <t xml:space="preserve">revisão de pneu </t>
  </si>
  <si>
    <t>oficina Dom Lopes </t>
  </si>
  <si>
    <t xml:space="preserve">Nov </t>
  </si>
  <si>
    <t>SC (FORTALEZA) SCE1</t>
  </si>
  <si>
    <t>JCI8F77</t>
  </si>
  <si>
    <t>LETICIA/REGIS</t>
  </si>
  <si>
    <t>GFR7C64</t>
  </si>
  <si>
    <t>Pane elétrica-suspeita problema no módulo, n foi feito serviço na kardec, terá que ir para concessionária- foi pra concessionária dia 14/11/2025</t>
  </si>
  <si>
    <t>Concessionária Tietê</t>
  </si>
  <si>
    <t>MM01 (CAJAMAR)</t>
  </si>
  <si>
    <t>Troca  de óleo e filtros Troca das pastilhas dianteira e traseira</t>
  </si>
  <si>
    <t>leandro</t>
  </si>
  <si>
    <t>GAX9F44</t>
  </si>
  <si>
    <t xml:space="preserve">Troca de pastilhas  traseira  e disco traseiro  lado esquerdo </t>
  </si>
  <si>
    <t>RUO6B39</t>
  </si>
  <si>
    <t xml:space="preserve">Troca da bateria e vareta do óleo e Verificado freio revisão veículo </t>
  </si>
  <si>
    <t xml:space="preserve">Troca do cubo  e rolamento  de roda e lado direito </t>
  </si>
  <si>
    <t>163.474.00</t>
  </si>
  <si>
    <t>Não informado</t>
  </si>
  <si>
    <t>RNJ9C33</t>
  </si>
  <si>
    <t>SUX3G28</t>
  </si>
  <si>
    <t>N</t>
  </si>
  <si>
    <t>GEV8B15</t>
  </si>
  <si>
    <t xml:space="preserve">Kit embreagem, Atuador câmbio, Volante do motor (cremalheira)
</t>
  </si>
  <si>
    <t xml:space="preserve">RNJ9D15 </t>
  </si>
  <si>
    <t xml:space="preserve">Relacionado a motor </t>
  </si>
  <si>
    <t xml:space="preserve">                                      Pedal de embreagem/ irá para o estacionamento da coca /previsão da chegada das peças</t>
  </si>
  <si>
    <t>SDT9E96</t>
  </si>
  <si>
    <t>SDQ2C01</t>
  </si>
  <si>
    <t>Funilaria na porta lateral.</t>
  </si>
  <si>
    <t>RNN0C08</t>
  </si>
  <si>
    <t>manutenção motor de partida/ 14/11 - vai descer hoje ou amanhã 15/11 para marilia</t>
  </si>
  <si>
    <t>Cilindro mestre de embreagem/Coxim</t>
  </si>
  <si>
    <t>SC (BAURU) SSP14</t>
  </si>
  <si>
    <t>TAK7B86</t>
  </si>
  <si>
    <t xml:space="preserve">revisão </t>
  </si>
  <si>
    <t>THIARA</t>
  </si>
  <si>
    <t>SFW2F16</t>
  </si>
  <si>
    <t>Revisão/Troca de óleo/freios</t>
  </si>
  <si>
    <t>Hillary/Jonathan</t>
  </si>
  <si>
    <t>Centro Automotivo Porto seguro</t>
  </si>
  <si>
    <t>RNJ9C87</t>
  </si>
  <si>
    <t>Bomba e Bico Injator</t>
  </si>
  <si>
    <t>GUILHERME</t>
  </si>
  <si>
    <t>Alavanca</t>
  </si>
  <si>
    <t>Oficina Salvador</t>
  </si>
  <si>
    <t xml:space="preserve">TIAGO </t>
  </si>
  <si>
    <t>Pane eletrica; Bateria;</t>
  </si>
  <si>
    <t>Gaulesa Iguatemi (Localiza)</t>
  </si>
  <si>
    <t>RNJ9D18</t>
  </si>
  <si>
    <t xml:space="preserve"> acendeu a luz da injeção</t>
  </si>
  <si>
    <t>Bateria; carregador; Pane eletrica:</t>
  </si>
  <si>
    <t xml:space="preserve">Pigalle Veículos ( localiza) </t>
  </si>
  <si>
    <t>SDU2D21</t>
  </si>
  <si>
    <t xml:space="preserve">sem informação </t>
  </si>
  <si>
    <t>le lac peugeot (localiza)</t>
  </si>
  <si>
    <t xml:space="preserve">UDD7E60 </t>
  </si>
  <si>
    <t>Troca de óleo e pastlhas</t>
  </si>
  <si>
    <t>Centro Automotivo Giuriatti</t>
  </si>
  <si>
    <t>SC (CHAPECÓ) SSC4</t>
  </si>
  <si>
    <t>RVD8H69</t>
  </si>
  <si>
    <t xml:space="preserve">Colisão traseira. </t>
  </si>
  <si>
    <t>Impacto funilaria</t>
  </si>
  <si>
    <t>SGL2C08</t>
  </si>
  <si>
    <t>24/11/2025 - Pnues</t>
  </si>
  <si>
    <t>Ford</t>
  </si>
  <si>
    <t>SGL2B84</t>
  </si>
  <si>
    <t>motor vazando óleo</t>
  </si>
  <si>
    <t xml:space="preserve">Vazamento na mangueira do radiador </t>
  </si>
  <si>
    <t>FGL7F74</t>
  </si>
  <si>
    <t>Direção, freio/ 18/11 está sendo retirada para o Alair/ Aguardando vaga no Alair</t>
  </si>
  <si>
    <t>25/11/2024 - Revisão e Freios</t>
  </si>
  <si>
    <t>25/11/2025 - Revisão e Freios</t>
  </si>
  <si>
    <t>RNB5I58</t>
  </si>
  <si>
    <t>25/11/2025 -  troca do Intercule, Troca da mangueira intercule, Troca do batente do amortecedor, Troca de pastilha dianteira, Troca de pastilha traseira</t>
  </si>
  <si>
    <t>SGI8H70</t>
  </si>
  <si>
    <t>SGH8C34</t>
  </si>
  <si>
    <t>Freio de mão</t>
  </si>
  <si>
    <t>SGH8C44</t>
  </si>
  <si>
    <t>BOMBA E BICO</t>
  </si>
  <si>
    <t>EVAITON</t>
  </si>
  <si>
    <t xml:space="preserve">Troca de pastilhas dianteira e traseira </t>
  </si>
  <si>
    <t>SFW0A32</t>
  </si>
  <si>
    <t>Troca de Pneu/Bateria</t>
  </si>
  <si>
    <t>Ford Indiana Iguatemi</t>
  </si>
  <si>
    <t>Thiago</t>
  </si>
  <si>
    <t>SXA5C78</t>
  </si>
  <si>
    <t>SGL2D40</t>
  </si>
  <si>
    <t>TRANSIT VAN</t>
  </si>
  <si>
    <t>TLN2J87</t>
  </si>
  <si>
    <t>2D Garage</t>
  </si>
  <si>
    <t>PAULA</t>
  </si>
  <si>
    <t>SC (JOINVILLE) SSC1</t>
  </si>
  <si>
    <t>RUX2C70</t>
  </si>
  <si>
    <t>Oficina Robson</t>
  </si>
  <si>
    <t>vazando diesel</t>
  </si>
  <si>
    <t>GAC8H65</t>
  </si>
  <si>
    <t>Revisao e freios</t>
  </si>
  <si>
    <t>vazamento de óleo</t>
  </si>
  <si>
    <t>UER8C19</t>
  </si>
  <si>
    <t>Troca de óleo, pastlhas e discos</t>
  </si>
  <si>
    <t>Rnj9d10</t>
  </si>
  <si>
    <t xml:space="preserve">Par de pivôs/Pastilha de freio dianteiro </t>
  </si>
  <si>
    <t xml:space="preserve"> SGK7B80 </t>
  </si>
  <si>
    <t>Ford Caminho Bauru</t>
  </si>
  <si>
    <t>Beatriz</t>
  </si>
  <si>
    <t>SGI8J35</t>
  </si>
  <si>
    <t>SGL2C56</t>
  </si>
  <si>
    <t>RTM7G80</t>
  </si>
  <si>
    <t xml:space="preserve">Falaha no sistema de aquecimento </t>
  </si>
  <si>
    <t>Troca de Oléo e filtro pastilhas dianteira</t>
  </si>
  <si>
    <t>SC (ITAPETININGA) SSP27</t>
  </si>
  <si>
    <t>SWA1G38</t>
  </si>
  <si>
    <t xml:space="preserve">Pneus e chicote </t>
  </si>
  <si>
    <t>LETICIA</t>
  </si>
  <si>
    <t>RUO6A96</t>
  </si>
  <si>
    <t>24/11/2025 - Placa parada aguardando chaveiro ir arrumar a mesmo, e aguardando aprovação.</t>
  </si>
  <si>
    <t>JULIANA.</t>
  </si>
  <si>
    <t>SFT5A48</t>
  </si>
  <si>
    <t xml:space="preserve">presilha do feixe de mola </t>
  </si>
  <si>
    <t xml:space="preserve">Mechtronic </t>
  </si>
  <si>
    <t>JOSIAS</t>
  </si>
  <si>
    <t>RTP4B92</t>
  </si>
  <si>
    <t>RTP4B89</t>
  </si>
  <si>
    <t>Porta não fecha por causa do miolo</t>
  </si>
  <si>
    <t>Evailton</t>
  </si>
  <si>
    <t>SGH0H15</t>
  </si>
  <si>
    <t>manutenção nos freios</t>
  </si>
  <si>
    <t>Ivaicar</t>
  </si>
  <si>
    <t>Pastilha dianteira</t>
  </si>
  <si>
    <t>SGF8I64</t>
  </si>
  <si>
    <t>troca de pastilhas de freio</t>
  </si>
  <si>
    <t>TAO9D16</t>
  </si>
  <si>
    <t>Bomba e bicos/ Leandro informou que tirou a bomba e bico e vai mandar para nuke diesel, vai demorar 2 semanas</t>
  </si>
  <si>
    <t>SFT5A73</t>
  </si>
  <si>
    <t>Motorista colidiu a nossa Van em um poste por desatenção</t>
  </si>
  <si>
    <t>Funilaria Athaide</t>
  </si>
  <si>
    <t>falha de motor</t>
  </si>
  <si>
    <t>Nova Retifica</t>
  </si>
  <si>
    <t>RUX2C78</t>
  </si>
  <si>
    <t>Pneus e suspensão</t>
  </si>
  <si>
    <t>SDT9H16</t>
  </si>
  <si>
    <t>TAO3J92</t>
  </si>
  <si>
    <t xml:space="preserve">Pastilhas de freio dianteiro e traseira </t>
  </si>
  <si>
    <t>ERIVELTON/NATASHA</t>
  </si>
  <si>
    <t xml:space="preserve">SFV0D65 </t>
  </si>
  <si>
    <t>RUX2D16</t>
  </si>
  <si>
    <t>16/07/2025 - Pane Elétrica</t>
  </si>
  <si>
    <t xml:space="preserve">Oficina Robson </t>
  </si>
  <si>
    <t>QPC5I34</t>
  </si>
  <si>
    <t>Não acelera e a porta não abre</t>
  </si>
  <si>
    <t>Automecanica Tavares</t>
  </si>
  <si>
    <t>Quebrou cubo da roda</t>
  </si>
  <si>
    <t>São José dos Campos</t>
  </si>
  <si>
    <t>TLF2J77</t>
  </si>
  <si>
    <t>Revisão de freios e óleo</t>
  </si>
  <si>
    <t>SSC1</t>
  </si>
  <si>
    <t>STI1C79</t>
  </si>
  <si>
    <t>Freio e homocinetica</t>
  </si>
  <si>
    <t>XPT</t>
  </si>
  <si>
    <t>Lima</t>
  </si>
  <si>
    <t>MICAEL</t>
  </si>
  <si>
    <t>XPT(ANAPOLIS) EGO4/SGO1</t>
  </si>
  <si>
    <t>RFV4G68</t>
  </si>
  <si>
    <t>Caixa de marcha completa, parachoque, friso, painel, farol  (Veículo devolvido direto da oficina conforme o combinado em reunião da fatura de locação , Nayra , Bruna Rafael Perez , Motivo da devolução Prazo de locação vencido e valor de locação com a multa contratual estava em torno de R8.700,00.</t>
  </si>
  <si>
    <t>MONTANAS CAR (Localiza)</t>
  </si>
  <si>
    <t>SGH6H58</t>
  </si>
  <si>
    <t>GEI6C33</t>
  </si>
  <si>
    <t>Troca dos 4 discos de freio</t>
  </si>
  <si>
    <t>24/11/2025 - Freios</t>
  </si>
  <si>
    <t>Estralando homocinetica No patio/ ira para lanzotti</t>
  </si>
  <si>
    <t xml:space="preserve">Estacionamento da base </t>
  </si>
  <si>
    <t>Câmbio</t>
  </si>
  <si>
    <t>SDQ2A82</t>
  </si>
  <si>
    <t>Alinhamento / Balanceamento || Revisões || Pneu  Revisão preventiva troca de pneus e revisão urgente nas homocinéticas</t>
  </si>
  <si>
    <t>PREMIER VEICULOS (localiza)</t>
  </si>
  <si>
    <t xml:space="preserve">GILMAR </t>
  </si>
  <si>
    <t>SC (BRASILIA) SDF1</t>
  </si>
  <si>
    <t xml:space="preserve">Não informado </t>
  </si>
  <si>
    <t>SDQ2J50</t>
  </si>
  <si>
    <t xml:space="preserve">Homocinética </t>
  </si>
  <si>
    <t>GDM9A22</t>
  </si>
  <si>
    <t xml:space="preserve">No elevador </t>
  </si>
  <si>
    <t>Kit embreagem,Atuador câmbio,Filtro de partículas,Catalisador,injetor arla </t>
  </si>
  <si>
    <t>FLR5G23</t>
  </si>
  <si>
    <t>O veículo não funcionou na hora do carregamento o mecânico da oficina parceira foi no local e identificou que a bomba de combustível não estava fazendo</t>
  </si>
  <si>
    <t>MANA COMERCIO DE PEÇAS</t>
  </si>
  <si>
    <t>AMAURY/BEREH</t>
  </si>
  <si>
    <t>SC (MANAUS) SAM1</t>
  </si>
  <si>
    <t>SGK7D74</t>
  </si>
  <si>
    <t>Troca de pastilha dianteira e traseira</t>
  </si>
  <si>
    <t xml:space="preserve">Estacionamento da Coca/MuriTruck </t>
  </si>
  <si>
    <t xml:space="preserve">26/11/2025 - Placa será emcaminhada para o pesosal da Tietê. </t>
  </si>
  <si>
    <t>Estacionamento da Coca/MuriTruck - Tietê</t>
  </si>
  <si>
    <t>FNI3F91</t>
  </si>
  <si>
    <t>Colisão do baú em uma arvore</t>
  </si>
  <si>
    <t>Oxxo</t>
  </si>
  <si>
    <t>Caixa de câmbio</t>
  </si>
  <si>
    <t>FTH0F61</t>
  </si>
  <si>
    <t>desgaste irregular dos pneus, revisão da suspensão, pastilhas de freio e troca de óleo</t>
  </si>
  <si>
    <t>XPT MANOEL RIBAS/IVAIPORÃ</t>
  </si>
  <si>
    <t>SGL4D16</t>
  </si>
  <si>
    <t>45.749.0</t>
  </si>
  <si>
    <t>Freio Homocinética Troca de óleo e filtro E paletas do para brisa</t>
  </si>
  <si>
    <t>SPR7</t>
  </si>
  <si>
    <t>Aguardando aprovação movida</t>
  </si>
  <si>
    <t>comercial Automotiva S.a. (Movida)</t>
  </si>
  <si>
    <t>SC (PONTA GROSSA) SPR7</t>
  </si>
  <si>
    <t>SDT9F08</t>
  </si>
  <si>
    <t>E-EXPERT-CARGO-1.5-TURBO-DIESEL</t>
  </si>
  <si>
    <t>25/11/2025 - Placa parada aguardando parabrisa</t>
  </si>
  <si>
    <t>AUTOART OFICINA PREM (Localiza)</t>
  </si>
  <si>
    <t>GABRIEL.</t>
  </si>
  <si>
    <t xml:space="preserve">Troca da junta da tapa </t>
  </si>
  <si>
    <t>Freio  Solicitar Reserva/Carro entregue no posto 27/11</t>
  </si>
  <si>
    <t>Porto Seguro (Localiza)</t>
  </si>
  <si>
    <t>FLAVIA</t>
  </si>
  <si>
    <t>SUZ9D42</t>
  </si>
  <si>
    <t>SUZ1E05</t>
  </si>
  <si>
    <t>24/11/2025 - Perdeu força / 27/11 Coca</t>
  </si>
  <si>
    <t>SGK7E17</t>
  </si>
  <si>
    <t>Porta quebrada</t>
  </si>
  <si>
    <t>GJG8C81</t>
  </si>
  <si>
    <t>2° via de chave, motorista passou por cima da mesma.</t>
  </si>
  <si>
    <t>SC (CHAPECO) SSC4</t>
  </si>
  <si>
    <t>Coxim</t>
  </si>
  <si>
    <t>Oficina Mechtronic</t>
  </si>
  <si>
    <t>SDT9G84</t>
  </si>
  <si>
    <t>Recall</t>
  </si>
  <si>
    <t>Allama (Localiza)</t>
  </si>
  <si>
    <t>SGI8I99</t>
  </si>
  <si>
    <t>Ford Kia</t>
  </si>
  <si>
    <t>SC (ITAQUERA) SSP45</t>
  </si>
  <si>
    <t>RNE4J04</t>
  </si>
  <si>
    <t>Veiculo estava saindo fumaça/Carro emprestado, esta rodando no Full/Motor vai ser devolvida - 28/11 Veiculo vai ser devolvido com o motor do jeito que está</t>
  </si>
  <si>
    <t>Aguardando devolução</t>
  </si>
  <si>
    <t>SGH0H25</t>
  </si>
  <si>
    <t>aguardando aprovação ford</t>
  </si>
  <si>
    <t>SDQ2A26</t>
  </si>
  <si>
    <t>27/11- Tentamos solicitar veiculo reserva, porem aguardando retorno  da localiza do nome da oficina- Recall em Brasilia pois em Goiania não realizam recall em veiculos eletricos</t>
  </si>
  <si>
    <t xml:space="preserve">Brasilia ( localiza) </t>
  </si>
  <si>
    <t xml:space="preserve">ELISANGELA </t>
  </si>
  <si>
    <t>trocar embreagem e junta homocinética</t>
  </si>
  <si>
    <t>FLAVIA/REGIS</t>
  </si>
  <si>
    <t>SGK7E01</t>
  </si>
  <si>
    <t>PNEUS</t>
  </si>
  <si>
    <t>revisão, troca de rolamento, alinhamento e freio.</t>
  </si>
  <si>
    <t>FLAVIA/MARIANA</t>
  </si>
  <si>
    <t>RVD8F81</t>
  </si>
  <si>
    <t>amortecedor e fazer alinhamento</t>
  </si>
  <si>
    <t>SWD0G13</t>
  </si>
  <si>
    <t>27/11/2025 -mangueira de combustível / aguardando orçamento das peças/ peças prontas para retirada / peças sendo retiradas hoje</t>
  </si>
  <si>
    <t>RMR8G82</t>
  </si>
  <si>
    <t xml:space="preserve">27/11/2025-Troca de interculer e mangueiras </t>
  </si>
  <si>
    <t>RMR5J24</t>
  </si>
  <si>
    <t>27/11/2025 Vazando oléo</t>
  </si>
  <si>
    <t>em Manutenção</t>
  </si>
  <si>
    <t>RVD9A37</t>
  </si>
  <si>
    <t>Suspenção e freio</t>
  </si>
  <si>
    <t xml:space="preserve">Aguardando placa  Cobrar a placa Evailton e Alessandra </t>
  </si>
  <si>
    <t>27/11/2025 - Placa aguardando pneus da bruna. Pneus- está na fila aguardando os pneus com a bruna / pneus chegará 01/12</t>
  </si>
  <si>
    <t>24/11/2025 - Guincho solicitado, Freio - Embreagem</t>
  </si>
  <si>
    <t>Jonathan</t>
  </si>
  <si>
    <t>28/11/2025-Pane eletrica</t>
  </si>
  <si>
    <t>Troca de embreagem</t>
  </si>
  <si>
    <t>Cano da agua</t>
  </si>
  <si>
    <t>Não da partida</t>
  </si>
  <si>
    <t>Auto reformadora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</si>
</sst>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Segoe UI"/>
      <family val="2"/>
    </font>
    <font>
      <b/>
      <sz val="10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Segoe U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2060"/>
      <name val="Segoe UI"/>
      <family val="2"/>
    </font>
    <font>
      <sz val="9"/>
      <color rgb="FF000000"/>
      <name val="Arial"/>
      <family val="2"/>
    </font>
    <font>
      <sz val="10"/>
      <color rgb="FF000000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0" fontId="2" fillId="2" borderId="2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1" applyNumberFormat="1" applyFont="1" applyBorder="1"/>
    <xf numFmtId="0" fontId="0" fillId="3" borderId="1" xfId="0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8" fillId="0" borderId="0" xfId="0" applyFont="1"/>
    <xf numFmtId="14" fontId="6" fillId="4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0" fillId="3" borderId="1" xfId="0" applyNumberFormat="1" applyFill="1" applyBorder="1"/>
    <xf numFmtId="0" fontId="8" fillId="0" borderId="0" xfId="0" applyFont="1" applyAlignment="1">
      <alignment horizontal="left"/>
    </xf>
    <xf numFmtId="0" fontId="9" fillId="0" borderId="1" xfId="0" applyFont="1" applyBorder="1"/>
    <xf numFmtId="0" fontId="10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vertical="center"/>
    </xf>
    <xf numFmtId="0" fontId="11" fillId="4" borderId="1" xfId="0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34\AppData\Local\Microsoft\Windows\INetCache\IE\2B1HRCPL\Indicador%20de%20Manuten&#231;&#227;o%5b1%5d.xlsx" TargetMode="External"/><Relationship Id="rId1" Type="http://schemas.openxmlformats.org/officeDocument/2006/relationships/externalLinkPath" Target="file:///C:\Users\1034\AppData\Local\Microsoft\Windows\INetCache\IE\2B1HRCPL\Indicador%20de%20Manuten&#231;&#227;o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ças"/>
      <sheetName val="Dados"/>
      <sheetName val="Liberado"/>
      <sheetName val="Geral Frota Antiga "/>
      <sheetName val="Base Cadastro "/>
      <sheetName val="Base ML"/>
      <sheetName val="BIP"/>
      <sheetName val="Detalhes2"/>
      <sheetName val="Dinamicas"/>
      <sheetName val="Dashboards"/>
      <sheetName val="Relação geral desmob."/>
      <sheetName val="Planilha1"/>
      <sheetName val="Detalhes1"/>
      <sheetName val="Utilização VEC"/>
      <sheetName val="DDS"/>
      <sheetName val="Lista"/>
      <sheetName val="base veec18.1"/>
    </sheetNames>
    <sheetDataSet>
      <sheetData sheetId="0"/>
      <sheetData sheetId="1"/>
      <sheetData sheetId="2"/>
      <sheetData sheetId="3"/>
      <sheetData sheetId="4">
        <row r="1">
          <cell r="C1" t="str">
            <v>Chassi</v>
          </cell>
          <cell r="D1" t="str">
            <v>Renavam</v>
          </cell>
          <cell r="E1" t="str">
            <v>Cidade Veiculo</v>
          </cell>
          <cell r="F1" t="str">
            <v>Estado Veiculo</v>
          </cell>
          <cell r="G1" t="str">
            <v>Cor</v>
          </cell>
          <cell r="H1" t="str">
            <v>Operação</v>
          </cell>
          <cell r="I1" t="str">
            <v>Locadora</v>
          </cell>
          <cell r="J1" t="str">
            <v>Status DDS</v>
          </cell>
          <cell r="K1" t="str">
            <v xml:space="preserve">Status Final </v>
          </cell>
          <cell r="L1" t="str">
            <v>Data</v>
          </cell>
          <cell r="M1" t="str">
            <v>SVC</v>
          </cell>
        </row>
        <row r="2">
          <cell r="C2" t="str">
            <v>93YMAF4XELJ915789</v>
          </cell>
          <cell r="D2" t="str">
            <v>01229733733</v>
          </cell>
          <cell r="E2" t="str">
            <v>Belo Horizonte</v>
          </cell>
          <cell r="F2" t="str">
            <v>MG</v>
          </cell>
          <cell r="G2" t="str">
            <v>Amarela</v>
          </cell>
          <cell r="H2" t="str">
            <v>MERCADO LIVRE</v>
          </cell>
          <cell r="I2" t="str">
            <v>Localiza</v>
          </cell>
          <cell r="K2" t="str">
            <v>Verificar</v>
          </cell>
          <cell r="L2" t="e">
            <v>#N/A</v>
          </cell>
          <cell r="M2" t="e">
            <v>#N/A</v>
          </cell>
        </row>
        <row r="3">
          <cell r="C3" t="str">
            <v>93YMAFEXAMJ623956</v>
          </cell>
          <cell r="D3" t="str">
            <v>01237572107</v>
          </cell>
          <cell r="E3" t="str">
            <v>São Paulo</v>
          </cell>
          <cell r="F3" t="str">
            <v>SP</v>
          </cell>
          <cell r="G3" t="str">
            <v>Branca</v>
          </cell>
          <cell r="H3" t="str">
            <v>MERCADO LIVRE</v>
          </cell>
          <cell r="I3" t="str">
            <v>Localiza</v>
          </cell>
          <cell r="K3" t="str">
            <v>Desmobilizado</v>
          </cell>
          <cell r="L3">
            <v>45708</v>
          </cell>
          <cell r="M3" t="str">
            <v>Dev</v>
          </cell>
        </row>
        <row r="4">
          <cell r="C4" t="str">
            <v>93YMAFEXAMJ624046</v>
          </cell>
          <cell r="D4" t="str">
            <v>01237572158</v>
          </cell>
          <cell r="E4" t="str">
            <v>São Paulo</v>
          </cell>
          <cell r="F4" t="str">
            <v>SP</v>
          </cell>
          <cell r="G4" t="str">
            <v>Amarela</v>
          </cell>
          <cell r="H4" t="str">
            <v>MERCADO LIVRE</v>
          </cell>
          <cell r="I4" t="str">
            <v>Localiza</v>
          </cell>
          <cell r="K4" t="str">
            <v>Desmobilizado</v>
          </cell>
          <cell r="L4">
            <v>45735</v>
          </cell>
          <cell r="M4" t="str">
            <v>Dev</v>
          </cell>
        </row>
        <row r="5">
          <cell r="C5" t="str">
            <v>93YMAFEXAMJ624075</v>
          </cell>
          <cell r="D5" t="str">
            <v>01237572166</v>
          </cell>
          <cell r="E5" t="str">
            <v>São Paulo</v>
          </cell>
          <cell r="F5" t="str">
            <v>SP</v>
          </cell>
          <cell r="G5" t="str">
            <v>Branca</v>
          </cell>
          <cell r="H5" t="str">
            <v>MERCADO LIVRE</v>
          </cell>
          <cell r="I5" t="str">
            <v>Localiza</v>
          </cell>
          <cell r="K5" t="str">
            <v>Desmobilizado</v>
          </cell>
          <cell r="L5">
            <v>45722</v>
          </cell>
          <cell r="M5" t="str">
            <v>Dev</v>
          </cell>
        </row>
        <row r="6">
          <cell r="C6" t="str">
            <v>93YMAFEXAMJ624245</v>
          </cell>
          <cell r="D6" t="str">
            <v>01237572204</v>
          </cell>
          <cell r="E6" t="str">
            <v>Salvador</v>
          </cell>
          <cell r="F6" t="str">
            <v>BA</v>
          </cell>
          <cell r="G6" t="str">
            <v>Amarela</v>
          </cell>
          <cell r="H6" t="str">
            <v>MERCADO LIVRE</v>
          </cell>
          <cell r="I6" t="str">
            <v>Localiza</v>
          </cell>
          <cell r="K6" t="str">
            <v>Desmobilizado</v>
          </cell>
          <cell r="L6">
            <v>45705</v>
          </cell>
          <cell r="M6" t="str">
            <v>Dev</v>
          </cell>
        </row>
        <row r="7">
          <cell r="C7" t="str">
            <v>93YMAFEXAMJ624392</v>
          </cell>
          <cell r="D7" t="str">
            <v>01237572255</v>
          </cell>
          <cell r="E7" t="str">
            <v>São Paulo</v>
          </cell>
          <cell r="F7" t="str">
            <v>SP</v>
          </cell>
          <cell r="G7" t="str">
            <v>Amarela</v>
          </cell>
          <cell r="H7" t="str">
            <v>MERCADO LIVRE</v>
          </cell>
          <cell r="I7" t="str">
            <v>Localiza</v>
          </cell>
          <cell r="K7" t="str">
            <v>Desmobilizado</v>
          </cell>
          <cell r="L7">
            <v>45735</v>
          </cell>
          <cell r="M7" t="str">
            <v>Dev</v>
          </cell>
        </row>
        <row r="8">
          <cell r="C8" t="str">
            <v>93YMAFEXAMJ624315</v>
          </cell>
          <cell r="D8" t="str">
            <v>01237572220</v>
          </cell>
          <cell r="E8" t="str">
            <v>São Paulo</v>
          </cell>
          <cell r="F8" t="str">
            <v>SP</v>
          </cell>
          <cell r="G8" t="str">
            <v>Amarela</v>
          </cell>
          <cell r="H8" t="str">
            <v>MERCADO LIVRE</v>
          </cell>
          <cell r="I8" t="str">
            <v>Localiza</v>
          </cell>
          <cell r="K8" t="str">
            <v>Desmobilizado</v>
          </cell>
          <cell r="L8">
            <v>45705</v>
          </cell>
          <cell r="M8" t="str">
            <v>Dev</v>
          </cell>
        </row>
        <row r="9">
          <cell r="C9" t="str">
            <v>93YMAFEXAMJ624390</v>
          </cell>
          <cell r="D9" t="str">
            <v>01237572247</v>
          </cell>
          <cell r="E9" t="str">
            <v>São Paulo</v>
          </cell>
          <cell r="F9" t="str">
            <v>SP</v>
          </cell>
          <cell r="G9" t="str">
            <v>Amarela</v>
          </cell>
          <cell r="H9" t="str">
            <v>MERCADO LIVRE</v>
          </cell>
          <cell r="I9" t="str">
            <v>Localiza</v>
          </cell>
          <cell r="K9" t="str">
            <v>Desmobilizado</v>
          </cell>
          <cell r="L9">
            <v>45736</v>
          </cell>
          <cell r="M9" t="str">
            <v>Dev</v>
          </cell>
        </row>
        <row r="10">
          <cell r="C10" t="str">
            <v>93YMAFEXAMJ623967</v>
          </cell>
          <cell r="D10" t="str">
            <v>01237572140</v>
          </cell>
          <cell r="E10" t="str">
            <v>São Paulo</v>
          </cell>
          <cell r="F10" t="str">
            <v>SP</v>
          </cell>
          <cell r="G10" t="str">
            <v>Amarela</v>
          </cell>
          <cell r="H10" t="str">
            <v>MERCADO LIVRE</v>
          </cell>
          <cell r="I10" t="str">
            <v>Localiza</v>
          </cell>
          <cell r="K10" t="str">
            <v>Desmobilizado</v>
          </cell>
          <cell r="L10">
            <v>45750</v>
          </cell>
          <cell r="M10" t="str">
            <v>Dev</v>
          </cell>
        </row>
        <row r="11">
          <cell r="C11" t="str">
            <v>93YMAFEXAMJ624389</v>
          </cell>
          <cell r="D11" t="str">
            <v>01237572239</v>
          </cell>
          <cell r="E11" t="str">
            <v>São Paulo</v>
          </cell>
          <cell r="F11" t="str">
            <v>SP</v>
          </cell>
          <cell r="G11" t="str">
            <v>Amarela</v>
          </cell>
          <cell r="H11" t="str">
            <v>MERCADO LIVRE</v>
          </cell>
          <cell r="I11" t="str">
            <v>Localiza</v>
          </cell>
          <cell r="K11" t="str">
            <v>Verificar</v>
          </cell>
          <cell r="L11" t="e">
            <v>#N/A</v>
          </cell>
          <cell r="M11" t="e">
            <v>#N/A</v>
          </cell>
        </row>
        <row r="12">
          <cell r="C12" t="str">
            <v>93YMAFEXAMJ623839</v>
          </cell>
          <cell r="D12" t="str">
            <v>01237571984</v>
          </cell>
          <cell r="E12" t="str">
            <v>São Paulo</v>
          </cell>
          <cell r="F12" t="str">
            <v>SP</v>
          </cell>
          <cell r="G12" t="str">
            <v>Amarela</v>
          </cell>
          <cell r="H12" t="str">
            <v>MERCADO LIVRE</v>
          </cell>
          <cell r="I12" t="str">
            <v>Localiza</v>
          </cell>
          <cell r="K12" t="str">
            <v>Desmobilizado</v>
          </cell>
          <cell r="L12">
            <v>45775</v>
          </cell>
          <cell r="M12" t="str">
            <v>Dev</v>
          </cell>
        </row>
        <row r="13">
          <cell r="C13" t="str">
            <v>93YMAFEXAMJ623524</v>
          </cell>
          <cell r="D13" t="str">
            <v>01237571917</v>
          </cell>
          <cell r="E13" t="str">
            <v>Salvador</v>
          </cell>
          <cell r="F13" t="str">
            <v>BA</v>
          </cell>
          <cell r="G13" t="str">
            <v>Amarela</v>
          </cell>
          <cell r="H13" t="str">
            <v>MERCADO LIVRE</v>
          </cell>
          <cell r="I13" t="str">
            <v>Localiza</v>
          </cell>
          <cell r="K13" t="str">
            <v>Verificar</v>
          </cell>
          <cell r="L13" t="e">
            <v>#N/A</v>
          </cell>
          <cell r="M13" t="e">
            <v>#N/A</v>
          </cell>
        </row>
        <row r="14">
          <cell r="C14" t="str">
            <v>93YMAFEXAMJ624342</v>
          </cell>
          <cell r="D14" t="str">
            <v>01237571666</v>
          </cell>
          <cell r="E14" t="str">
            <v>São Paulo</v>
          </cell>
          <cell r="F14" t="str">
            <v>SP</v>
          </cell>
          <cell r="G14" t="str">
            <v>Amarela</v>
          </cell>
          <cell r="H14" t="str">
            <v>MERCADO LIVRE</v>
          </cell>
          <cell r="I14" t="str">
            <v>Localiza</v>
          </cell>
          <cell r="K14" t="str">
            <v>Desmobilizado</v>
          </cell>
          <cell r="L14">
            <v>45713</v>
          </cell>
          <cell r="M14" t="str">
            <v>Dev</v>
          </cell>
        </row>
        <row r="15">
          <cell r="C15" t="str">
            <v>93YMAFEXAMJ623410</v>
          </cell>
          <cell r="D15" t="str">
            <v>01237571887</v>
          </cell>
          <cell r="E15" t="str">
            <v>Curitiba</v>
          </cell>
          <cell r="F15" t="str">
            <v>PR</v>
          </cell>
          <cell r="G15" t="str">
            <v>Amarela</v>
          </cell>
          <cell r="H15" t="str">
            <v>MERCADO LIVRE</v>
          </cell>
          <cell r="I15" t="str">
            <v>Localiza</v>
          </cell>
          <cell r="K15" t="str">
            <v>Verificar</v>
          </cell>
          <cell r="L15" t="e">
            <v>#N/A</v>
          </cell>
          <cell r="M15" t="e">
            <v>#N/A</v>
          </cell>
        </row>
        <row r="16">
          <cell r="C16" t="str">
            <v>93YMAFEXAMJ473741</v>
          </cell>
          <cell r="D16" t="str">
            <v>01237571062</v>
          </cell>
          <cell r="E16" t="str">
            <v>São Paulo</v>
          </cell>
          <cell r="F16" t="str">
            <v>SP</v>
          </cell>
          <cell r="G16" t="str">
            <v>Amarela</v>
          </cell>
          <cell r="H16" t="str">
            <v>MERCADO LIVRE</v>
          </cell>
          <cell r="I16" t="str">
            <v>Localiza</v>
          </cell>
          <cell r="K16" t="str">
            <v>Verificar</v>
          </cell>
          <cell r="L16" t="e">
            <v>#N/A</v>
          </cell>
          <cell r="M16" t="e">
            <v>#N/A</v>
          </cell>
        </row>
        <row r="17">
          <cell r="C17" t="str">
            <v>93YMAFEXAMJ623955</v>
          </cell>
          <cell r="D17" t="str">
            <v>01237571550</v>
          </cell>
          <cell r="E17" t="str">
            <v>São Paulo</v>
          </cell>
          <cell r="F17" t="str">
            <v>SP</v>
          </cell>
          <cell r="G17" t="str">
            <v>Amarela</v>
          </cell>
          <cell r="H17" t="str">
            <v>MERCADO LIVRE</v>
          </cell>
          <cell r="I17" t="str">
            <v>Localiza</v>
          </cell>
          <cell r="K17" t="str">
            <v>Desmobilizado</v>
          </cell>
          <cell r="L17">
            <v>45713</v>
          </cell>
          <cell r="M17" t="str">
            <v>Dev</v>
          </cell>
        </row>
        <row r="18">
          <cell r="C18" t="str">
            <v>93YMAFEXAMJ623954</v>
          </cell>
          <cell r="D18" t="str">
            <v>01237571542</v>
          </cell>
          <cell r="E18" t="str">
            <v>São Paulo</v>
          </cell>
          <cell r="F18" t="str">
            <v>SP</v>
          </cell>
          <cell r="G18" t="str">
            <v>Amarela</v>
          </cell>
          <cell r="H18" t="str">
            <v>MERCADO LIVRE</v>
          </cell>
          <cell r="I18" t="str">
            <v>Localiza</v>
          </cell>
          <cell r="K18" t="str">
            <v>Desmobilizado</v>
          </cell>
          <cell r="L18">
            <v>45754</v>
          </cell>
          <cell r="M18" t="str">
            <v>Dev</v>
          </cell>
        </row>
        <row r="19">
          <cell r="C19" t="str">
            <v>93YMAFEXAMJ623964</v>
          </cell>
          <cell r="D19" t="str">
            <v>01237571569</v>
          </cell>
          <cell r="E19" t="str">
            <v>São Paulo</v>
          </cell>
          <cell r="F19" t="str">
            <v>SP</v>
          </cell>
          <cell r="G19" t="str">
            <v>Branca</v>
          </cell>
          <cell r="H19" t="str">
            <v>MERCADO LIVRE</v>
          </cell>
          <cell r="I19" t="str">
            <v>Localiza</v>
          </cell>
          <cell r="K19" t="str">
            <v>Desmobilizado</v>
          </cell>
          <cell r="L19">
            <v>45727</v>
          </cell>
          <cell r="M19" t="str">
            <v>Dev</v>
          </cell>
        </row>
        <row r="20">
          <cell r="C20" t="str">
            <v>93YMAFEXAMJ623940</v>
          </cell>
          <cell r="D20" t="str">
            <v>01237571496</v>
          </cell>
          <cell r="E20" t="str">
            <v>São Paulo</v>
          </cell>
          <cell r="F20" t="str">
            <v>SP</v>
          </cell>
          <cell r="G20" t="str">
            <v>Amarela</v>
          </cell>
          <cell r="H20" t="str">
            <v>MERCADO LIVRE</v>
          </cell>
          <cell r="I20" t="str">
            <v>Localiza</v>
          </cell>
          <cell r="K20" t="str">
            <v>Verificar</v>
          </cell>
          <cell r="L20" t="e">
            <v>#N/A</v>
          </cell>
          <cell r="M20" t="e">
            <v>#N/A</v>
          </cell>
        </row>
        <row r="21">
          <cell r="C21" t="str">
            <v>93YMAFEXAMJ623849</v>
          </cell>
          <cell r="D21" t="str">
            <v>01237571488</v>
          </cell>
          <cell r="E21" t="str">
            <v>Salvador</v>
          </cell>
          <cell r="F21" t="str">
            <v>BA</v>
          </cell>
          <cell r="G21" t="str">
            <v>Amarela</v>
          </cell>
          <cell r="H21" t="str">
            <v>MERCADO LIVRE</v>
          </cell>
          <cell r="I21" t="str">
            <v>Localiza</v>
          </cell>
          <cell r="K21" t="str">
            <v>Desmobilizado</v>
          </cell>
          <cell r="L21">
            <v>45734</v>
          </cell>
          <cell r="M21" t="str">
            <v>Dev</v>
          </cell>
        </row>
        <row r="22">
          <cell r="C22" t="str">
            <v>93YMAFEXAMJ624415</v>
          </cell>
          <cell r="D22" t="str">
            <v>01237571674</v>
          </cell>
          <cell r="E22" t="str">
            <v>São Paulo</v>
          </cell>
          <cell r="F22" t="str">
            <v>SP</v>
          </cell>
          <cell r="G22" t="str">
            <v>Amarela</v>
          </cell>
          <cell r="H22" t="str">
            <v>MERCADO LIVRE</v>
          </cell>
          <cell r="I22" t="str">
            <v>Localiza</v>
          </cell>
          <cell r="K22" t="str">
            <v>Verificar</v>
          </cell>
          <cell r="L22">
            <v>0</v>
          </cell>
          <cell r="M22" t="e">
            <v>#N/A</v>
          </cell>
        </row>
        <row r="23">
          <cell r="C23" t="str">
            <v>93YMAFEXAMJ624246</v>
          </cell>
          <cell r="D23" t="str">
            <v>01237571607</v>
          </cell>
          <cell r="E23" t="str">
            <v>São Paulo</v>
          </cell>
          <cell r="F23" t="str">
            <v>SP</v>
          </cell>
          <cell r="G23" t="str">
            <v>Amarela</v>
          </cell>
          <cell r="H23" t="str">
            <v>MERCADO LIVRE</v>
          </cell>
          <cell r="I23" t="str">
            <v>Localiza</v>
          </cell>
          <cell r="K23" t="str">
            <v>Desmobilizado</v>
          </cell>
          <cell r="L23">
            <v>45733</v>
          </cell>
          <cell r="M23" t="str">
            <v>Dev</v>
          </cell>
        </row>
        <row r="24">
          <cell r="C24" t="str">
            <v>93YMAFEXAMJ623782</v>
          </cell>
          <cell r="D24" t="str">
            <v>01237571429</v>
          </cell>
          <cell r="E24" t="str">
            <v>Salvador</v>
          </cell>
          <cell r="F24" t="str">
            <v>BA</v>
          </cell>
          <cell r="G24" t="str">
            <v>Amarela</v>
          </cell>
          <cell r="H24" t="str">
            <v>MERCADO LIVRE</v>
          </cell>
          <cell r="I24" t="str">
            <v>Localiza</v>
          </cell>
          <cell r="K24" t="str">
            <v>Desmobilizado</v>
          </cell>
          <cell r="L24">
            <v>45705</v>
          </cell>
          <cell r="M24" t="str">
            <v>Dev</v>
          </cell>
        </row>
        <row r="25">
          <cell r="C25" t="str">
            <v>93YMAFEXAMJ624045</v>
          </cell>
          <cell r="D25" t="str">
            <v>01237571585</v>
          </cell>
          <cell r="E25" t="str">
            <v>São Paulo</v>
          </cell>
          <cell r="F25" t="str">
            <v>SP</v>
          </cell>
          <cell r="G25" t="str">
            <v>Branca</v>
          </cell>
          <cell r="H25" t="str">
            <v>MERCADO LIVRE</v>
          </cell>
          <cell r="I25" t="str">
            <v>Localiza</v>
          </cell>
          <cell r="K25" t="str">
            <v>Desmobilizado</v>
          </cell>
          <cell r="L25">
            <v>45705</v>
          </cell>
          <cell r="M25" t="str">
            <v>Dev</v>
          </cell>
        </row>
        <row r="26">
          <cell r="C26" t="str">
            <v>93YMAFEXAMJ624317</v>
          </cell>
          <cell r="D26" t="str">
            <v>01237571623</v>
          </cell>
          <cell r="E26" t="str">
            <v>São Paulo</v>
          </cell>
          <cell r="F26" t="str">
            <v>SP</v>
          </cell>
          <cell r="G26" t="str">
            <v>Branca</v>
          </cell>
          <cell r="H26" t="str">
            <v>MERCADO LIVRE</v>
          </cell>
          <cell r="I26" t="str">
            <v>Localiza</v>
          </cell>
          <cell r="K26" t="str">
            <v>Desmobilizado</v>
          </cell>
          <cell r="L26">
            <v>45722</v>
          </cell>
          <cell r="M26" t="str">
            <v>Dev</v>
          </cell>
        </row>
        <row r="27">
          <cell r="C27" t="str">
            <v>93YMAFEXAMJ624418</v>
          </cell>
          <cell r="D27" t="str">
            <v>01237218915</v>
          </cell>
          <cell r="E27" t="str">
            <v>São Paulo</v>
          </cell>
          <cell r="F27" t="str">
            <v>SP</v>
          </cell>
          <cell r="G27" t="str">
            <v>Amarela</v>
          </cell>
          <cell r="H27" t="str">
            <v>MERCADO LIVRE</v>
          </cell>
          <cell r="I27" t="str">
            <v>Localiza</v>
          </cell>
          <cell r="K27" t="str">
            <v>Desmobilizado</v>
          </cell>
          <cell r="L27">
            <v>45890</v>
          </cell>
          <cell r="M27" t="str">
            <v>Dev</v>
          </cell>
        </row>
        <row r="28">
          <cell r="C28" t="str">
            <v>93YMAFEXAMJ624314</v>
          </cell>
          <cell r="D28" t="str">
            <v>01237571615</v>
          </cell>
          <cell r="E28" t="str">
            <v>São Paulo</v>
          </cell>
          <cell r="F28" t="str">
            <v>SP</v>
          </cell>
          <cell r="G28" t="str">
            <v>Amarela</v>
          </cell>
          <cell r="H28" t="str">
            <v>MERCADO LIVRE</v>
          </cell>
          <cell r="I28" t="str">
            <v>Localiza</v>
          </cell>
          <cell r="K28" t="str">
            <v>Desmobilizado</v>
          </cell>
          <cell r="L28">
            <v>45705</v>
          </cell>
          <cell r="M28" t="str">
            <v>Dev</v>
          </cell>
        </row>
        <row r="29">
          <cell r="C29" t="str">
            <v>93YMAFEXAMJ623143</v>
          </cell>
          <cell r="D29" t="str">
            <v>01237571330</v>
          </cell>
          <cell r="E29" t="str">
            <v>São Paulo</v>
          </cell>
          <cell r="F29" t="str">
            <v>SP</v>
          </cell>
          <cell r="G29" t="str">
            <v>Branca</v>
          </cell>
          <cell r="H29" t="str">
            <v>MERCADO LIVRE</v>
          </cell>
          <cell r="I29" t="str">
            <v>Localiza</v>
          </cell>
          <cell r="K29" t="str">
            <v>Desmobilizado</v>
          </cell>
          <cell r="L29">
            <v>45735</v>
          </cell>
          <cell r="M29" t="str">
            <v>Dev</v>
          </cell>
        </row>
        <row r="30">
          <cell r="C30" t="str">
            <v>93YMAFEXAMJ623142</v>
          </cell>
          <cell r="D30" t="str">
            <v>01237571321</v>
          </cell>
          <cell r="E30" t="str">
            <v>Salvador</v>
          </cell>
          <cell r="F30" t="str">
            <v>BA</v>
          </cell>
          <cell r="G30" t="str">
            <v>Amarela</v>
          </cell>
          <cell r="H30" t="str">
            <v>MERCADO LIVRE</v>
          </cell>
          <cell r="I30" t="str">
            <v>Localiza</v>
          </cell>
          <cell r="K30" t="str">
            <v>Desmobilizado</v>
          </cell>
          <cell r="L30">
            <v>45705</v>
          </cell>
          <cell r="M30" t="str">
            <v>Dev</v>
          </cell>
        </row>
        <row r="31">
          <cell r="C31" t="str">
            <v>93YMAFEXAMJ531009</v>
          </cell>
          <cell r="D31" t="str">
            <v>01237571119</v>
          </cell>
          <cell r="E31" t="str">
            <v>São Paulo</v>
          </cell>
          <cell r="F31" t="str">
            <v>SP</v>
          </cell>
          <cell r="G31" t="str">
            <v>Amarela</v>
          </cell>
          <cell r="H31" t="str">
            <v>MERCADO LIVRE</v>
          </cell>
          <cell r="I31" t="str">
            <v>Localiza</v>
          </cell>
          <cell r="K31" t="str">
            <v>Desmobilizado</v>
          </cell>
          <cell r="L31">
            <v>45723</v>
          </cell>
          <cell r="M31" t="str">
            <v>Dev</v>
          </cell>
        </row>
        <row r="32">
          <cell r="C32" t="str">
            <v>93YMAFEXAMJ545471</v>
          </cell>
          <cell r="D32" t="str">
            <v>01237571143</v>
          </cell>
          <cell r="E32" t="str">
            <v>Salvador</v>
          </cell>
          <cell r="F32" t="str">
            <v>BA</v>
          </cell>
          <cell r="G32" t="str">
            <v>Amarela</v>
          </cell>
          <cell r="H32" t="str">
            <v>MERCADO LIVRE</v>
          </cell>
          <cell r="I32" t="str">
            <v>Localiza</v>
          </cell>
          <cell r="K32" t="str">
            <v>Desmobilizado</v>
          </cell>
          <cell r="L32">
            <v>45705</v>
          </cell>
          <cell r="M32" t="str">
            <v>Dev</v>
          </cell>
        </row>
        <row r="33">
          <cell r="C33" t="str">
            <v>93YMAFEXAMJ624318</v>
          </cell>
          <cell r="D33" t="str">
            <v>01237571631</v>
          </cell>
          <cell r="E33" t="str">
            <v>São Paulo</v>
          </cell>
          <cell r="F33" t="str">
            <v>SP</v>
          </cell>
          <cell r="G33" t="str">
            <v>Amarela</v>
          </cell>
          <cell r="H33" t="str">
            <v>MERCADO LIVRE</v>
          </cell>
          <cell r="I33" t="str">
            <v>Localiza</v>
          </cell>
          <cell r="K33" t="str">
            <v>Verificar</v>
          </cell>
          <cell r="L33" t="e">
            <v>#N/A</v>
          </cell>
          <cell r="M33" t="e">
            <v>#N/A</v>
          </cell>
        </row>
        <row r="34">
          <cell r="C34" t="str">
            <v>93YMAFEXAMJ530958</v>
          </cell>
          <cell r="D34" t="str">
            <v>01237571097</v>
          </cell>
          <cell r="E34" t="str">
            <v>São Paulo</v>
          </cell>
          <cell r="F34" t="str">
            <v>SP</v>
          </cell>
          <cell r="G34" t="str">
            <v>Amarela</v>
          </cell>
          <cell r="H34" t="str">
            <v>MERCADO LIVRE</v>
          </cell>
          <cell r="I34" t="str">
            <v>Localiza</v>
          </cell>
          <cell r="K34" t="str">
            <v>Desmobilizado</v>
          </cell>
          <cell r="L34">
            <v>45859</v>
          </cell>
          <cell r="M34" t="str">
            <v>SSP4</v>
          </cell>
        </row>
        <row r="35">
          <cell r="C35" t="str">
            <v>93YMAFEXAMJ545517</v>
          </cell>
          <cell r="D35" t="str">
            <v>01237570600</v>
          </cell>
          <cell r="E35" t="str">
            <v>Salvador</v>
          </cell>
          <cell r="F35" t="str">
            <v>BA</v>
          </cell>
          <cell r="G35" t="str">
            <v>Amarela</v>
          </cell>
          <cell r="H35" t="str">
            <v>MERCADO LIVRE</v>
          </cell>
          <cell r="I35" t="str">
            <v>Localiza</v>
          </cell>
          <cell r="K35" t="str">
            <v>Verificar</v>
          </cell>
          <cell r="L35" t="e">
            <v>#N/A</v>
          </cell>
          <cell r="M35" t="e">
            <v>#N/A</v>
          </cell>
        </row>
        <row r="36">
          <cell r="C36" t="str">
            <v>93YMAFEXAMJ482192</v>
          </cell>
          <cell r="D36" t="str">
            <v>01237570473</v>
          </cell>
          <cell r="E36" t="str">
            <v>São Paulo</v>
          </cell>
          <cell r="F36" t="str">
            <v>SP</v>
          </cell>
          <cell r="G36" t="str">
            <v>Amarela</v>
          </cell>
          <cell r="H36" t="str">
            <v>MERCADO LIVRE</v>
          </cell>
          <cell r="I36" t="str">
            <v>Localiza</v>
          </cell>
          <cell r="K36" t="str">
            <v>Verificar</v>
          </cell>
          <cell r="L36" t="e">
            <v>#N/A</v>
          </cell>
          <cell r="M36" t="e">
            <v>#N/A</v>
          </cell>
        </row>
        <row r="37">
          <cell r="C37" t="str">
            <v>93YMAFEXAMJ480300</v>
          </cell>
          <cell r="D37" t="str">
            <v>01237570422</v>
          </cell>
          <cell r="E37" t="str">
            <v>São Paulo</v>
          </cell>
          <cell r="F37" t="str">
            <v>SP</v>
          </cell>
          <cell r="G37" t="str">
            <v>Amarela</v>
          </cell>
          <cell r="H37" t="str">
            <v>MERCADO LIVRE</v>
          </cell>
          <cell r="I37" t="str">
            <v>Localiza</v>
          </cell>
          <cell r="K37" t="str">
            <v>Verificar</v>
          </cell>
          <cell r="L37" t="e">
            <v>#N/A</v>
          </cell>
          <cell r="M37" t="e">
            <v>#N/A</v>
          </cell>
        </row>
        <row r="38">
          <cell r="C38" t="str">
            <v>93YMAFEXAMJ473108</v>
          </cell>
          <cell r="D38" t="str">
            <v>01237570384</v>
          </cell>
          <cell r="E38" t="str">
            <v>São Paulo</v>
          </cell>
          <cell r="F38" t="str">
            <v>SP</v>
          </cell>
          <cell r="G38" t="str">
            <v>Amarela</v>
          </cell>
          <cell r="H38" t="str">
            <v>MERCADO LIVRE</v>
          </cell>
          <cell r="I38" t="str">
            <v>Localiza</v>
          </cell>
          <cell r="K38" t="str">
            <v>Desmobilizado</v>
          </cell>
          <cell r="L38">
            <v>45716</v>
          </cell>
          <cell r="M38" t="str">
            <v>Dev</v>
          </cell>
        </row>
        <row r="39">
          <cell r="C39" t="str">
            <v>93YMAFEXAMJ471622</v>
          </cell>
          <cell r="D39" t="str">
            <v>01237570350</v>
          </cell>
          <cell r="E39" t="str">
            <v>São Paulo</v>
          </cell>
          <cell r="F39" t="str">
            <v>SP</v>
          </cell>
          <cell r="G39" t="str">
            <v>Amarela</v>
          </cell>
          <cell r="H39" t="str">
            <v>MERCADO LIVRE</v>
          </cell>
          <cell r="I39" t="str">
            <v>Localiza</v>
          </cell>
          <cell r="K39" t="str">
            <v>Desmobilizado</v>
          </cell>
          <cell r="L39">
            <v>45756</v>
          </cell>
          <cell r="M39" t="str">
            <v>Dev</v>
          </cell>
        </row>
        <row r="40">
          <cell r="C40" t="str">
            <v>93YMAFEXAMJ473744</v>
          </cell>
          <cell r="D40" t="str">
            <v>01237570414</v>
          </cell>
          <cell r="E40" t="str">
            <v>São Paulo</v>
          </cell>
          <cell r="F40" t="str">
            <v>SP</v>
          </cell>
          <cell r="G40" t="str">
            <v>Amarela</v>
          </cell>
          <cell r="H40" t="str">
            <v>MERCADO LIVRE</v>
          </cell>
          <cell r="I40" t="str">
            <v>Localiza</v>
          </cell>
          <cell r="K40" t="str">
            <v>Verificar</v>
          </cell>
          <cell r="L40" t="e">
            <v>#N/A</v>
          </cell>
          <cell r="M40" t="e">
            <v>#N/A</v>
          </cell>
        </row>
        <row r="41">
          <cell r="C41" t="str">
            <v>93YMAFEXAMJ623126</v>
          </cell>
          <cell r="D41" t="str">
            <v>01237570694</v>
          </cell>
          <cell r="E41" t="str">
            <v>São Paulo</v>
          </cell>
          <cell r="F41" t="str">
            <v>SP</v>
          </cell>
          <cell r="G41" t="str">
            <v>Branca</v>
          </cell>
          <cell r="H41" t="str">
            <v>MERCADO LIVRE</v>
          </cell>
          <cell r="I41" t="str">
            <v>Localiza</v>
          </cell>
          <cell r="K41" t="str">
            <v>Desmobilizado</v>
          </cell>
          <cell r="L41">
            <v>45812</v>
          </cell>
          <cell r="M41" t="str">
            <v>Dev</v>
          </cell>
        </row>
        <row r="42">
          <cell r="C42" t="str">
            <v>93YMAFEXAMJ473107</v>
          </cell>
          <cell r="D42" t="str">
            <v>01237570376</v>
          </cell>
          <cell r="E42" t="str">
            <v>São Paulo</v>
          </cell>
          <cell r="F42" t="str">
            <v>SP</v>
          </cell>
          <cell r="G42" t="str">
            <v>Amarela</v>
          </cell>
          <cell r="H42" t="str">
            <v>MERCADO LIVRE</v>
          </cell>
          <cell r="I42" t="str">
            <v>Localiza</v>
          </cell>
          <cell r="K42" t="str">
            <v>Desmobilizado</v>
          </cell>
          <cell r="L42">
            <v>45749</v>
          </cell>
          <cell r="M42" t="str">
            <v>Dev</v>
          </cell>
        </row>
        <row r="43">
          <cell r="C43" t="str">
            <v>93YMAFEXAMJ624091</v>
          </cell>
          <cell r="D43" t="str">
            <v>01237570961</v>
          </cell>
          <cell r="E43" t="str">
            <v>São Paulo</v>
          </cell>
          <cell r="F43" t="str">
            <v>SP</v>
          </cell>
          <cell r="G43" t="str">
            <v>Branca</v>
          </cell>
          <cell r="H43" t="str">
            <v>MERCADO LIVRE</v>
          </cell>
          <cell r="I43" t="str">
            <v>Localiza</v>
          </cell>
          <cell r="K43" t="str">
            <v>Verificar</v>
          </cell>
          <cell r="L43" t="e">
            <v>#N/A</v>
          </cell>
          <cell r="M43" t="e">
            <v>#N/A</v>
          </cell>
        </row>
        <row r="44">
          <cell r="C44" t="str">
            <v>93YMAFEXAMJ623492</v>
          </cell>
          <cell r="D44" t="str">
            <v>01237570821</v>
          </cell>
          <cell r="E44" t="str">
            <v>Porto Alegre</v>
          </cell>
          <cell r="F44" t="str">
            <v>RS</v>
          </cell>
          <cell r="G44" t="str">
            <v>Branca</v>
          </cell>
          <cell r="H44" t="str">
            <v>MERCADO LIVRE</v>
          </cell>
          <cell r="I44" t="str">
            <v>Localiza</v>
          </cell>
          <cell r="K44" t="str">
            <v>Desmobilizado</v>
          </cell>
          <cell r="L44">
            <v>45735</v>
          </cell>
          <cell r="M44" t="str">
            <v>Dev</v>
          </cell>
        </row>
        <row r="45">
          <cell r="C45" t="str">
            <v>93YMAFEXAMJ623338</v>
          </cell>
          <cell r="D45" t="str">
            <v>01237923775</v>
          </cell>
          <cell r="E45" t="str">
            <v>Porto Alegre</v>
          </cell>
          <cell r="F45" t="str">
            <v>RS</v>
          </cell>
          <cell r="G45" t="str">
            <v>Amarela</v>
          </cell>
          <cell r="H45" t="str">
            <v>MERCADO LIVRE</v>
          </cell>
          <cell r="I45" t="str">
            <v>Localiza</v>
          </cell>
          <cell r="K45" t="str">
            <v>Desmobilizado</v>
          </cell>
          <cell r="L45">
            <v>45749</v>
          </cell>
          <cell r="M45" t="str">
            <v>Dev</v>
          </cell>
        </row>
        <row r="46">
          <cell r="C46" t="str">
            <v>93YMAFEXAMJ624248</v>
          </cell>
          <cell r="D46" t="str">
            <v>01237923961</v>
          </cell>
          <cell r="E46" t="str">
            <v>Porto Alegre</v>
          </cell>
          <cell r="F46" t="str">
            <v>RS</v>
          </cell>
          <cell r="G46" t="str">
            <v>Branca</v>
          </cell>
          <cell r="H46" t="str">
            <v>MERCADO LIVRE</v>
          </cell>
          <cell r="I46" t="str">
            <v>Localiza</v>
          </cell>
          <cell r="K46" t="str">
            <v>Desmobilizado</v>
          </cell>
          <cell r="L46">
            <v>45750</v>
          </cell>
          <cell r="M46" t="str">
            <v>Dev</v>
          </cell>
        </row>
        <row r="47">
          <cell r="C47" t="str">
            <v>93YMAFEXAMJ624247</v>
          </cell>
          <cell r="D47" t="str">
            <v>01237923945</v>
          </cell>
          <cell r="E47" t="str">
            <v>Porto Alegre</v>
          </cell>
          <cell r="F47" t="str">
            <v>RS</v>
          </cell>
          <cell r="G47" t="str">
            <v>Amarela</v>
          </cell>
          <cell r="H47" t="str">
            <v>MERCADO LIVRE</v>
          </cell>
          <cell r="I47" t="str">
            <v>Localiza</v>
          </cell>
          <cell r="K47" t="str">
            <v>Desmobilizado</v>
          </cell>
          <cell r="L47">
            <v>45826</v>
          </cell>
          <cell r="M47" t="str">
            <v>Dev</v>
          </cell>
        </row>
        <row r="48">
          <cell r="C48" t="str">
            <v>93YMAFEXAMJ624139</v>
          </cell>
          <cell r="D48" t="str">
            <v>01237923910</v>
          </cell>
          <cell r="E48" t="str">
            <v>Porto Alegre</v>
          </cell>
          <cell r="F48" t="str">
            <v>RS</v>
          </cell>
          <cell r="G48" t="str">
            <v>Branca</v>
          </cell>
          <cell r="H48" t="str">
            <v>MERCADO LIVRE</v>
          </cell>
          <cell r="I48" t="str">
            <v>Localiza</v>
          </cell>
          <cell r="K48" t="str">
            <v>Desmobilizado</v>
          </cell>
          <cell r="L48">
            <v>45756</v>
          </cell>
          <cell r="M48" t="str">
            <v>Dev</v>
          </cell>
        </row>
        <row r="49">
          <cell r="C49" t="str">
            <v>93YMAFEXAMJ624090</v>
          </cell>
          <cell r="D49" t="str">
            <v>01237923864</v>
          </cell>
          <cell r="E49" t="str">
            <v>Porto Alegre</v>
          </cell>
          <cell r="F49" t="str">
            <v>RS</v>
          </cell>
          <cell r="G49" t="str">
            <v>Amarela</v>
          </cell>
          <cell r="H49" t="str">
            <v>MERCADO LIVRE</v>
          </cell>
          <cell r="I49" t="str">
            <v>Localiza</v>
          </cell>
          <cell r="K49" t="str">
            <v>Desmobilizado</v>
          </cell>
          <cell r="L49">
            <v>45792</v>
          </cell>
          <cell r="M49" t="str">
            <v>Dev</v>
          </cell>
        </row>
        <row r="50">
          <cell r="C50" t="str">
            <v>93YMAFEXAMJ623526</v>
          </cell>
          <cell r="D50" t="str">
            <v>01238226474</v>
          </cell>
          <cell r="E50" t="str">
            <v>Belo Horizonte</v>
          </cell>
          <cell r="F50" t="str">
            <v>MG</v>
          </cell>
          <cell r="G50" t="str">
            <v>Branca</v>
          </cell>
          <cell r="H50" t="str">
            <v>MERCADO LIVRE</v>
          </cell>
          <cell r="I50" t="str">
            <v>Localiza</v>
          </cell>
          <cell r="K50" t="str">
            <v>Verificar</v>
          </cell>
          <cell r="L50" t="e">
            <v>#N/A</v>
          </cell>
          <cell r="M50" t="e">
            <v>#N/A</v>
          </cell>
        </row>
        <row r="51">
          <cell r="C51" t="str">
            <v>93YMAFEXAMJ624657</v>
          </cell>
          <cell r="D51" t="str">
            <v>01238226881</v>
          </cell>
          <cell r="E51" t="str">
            <v>Belo Horizonte</v>
          </cell>
          <cell r="F51" t="str">
            <v>MG</v>
          </cell>
          <cell r="G51" t="str">
            <v>Branca</v>
          </cell>
          <cell r="H51" t="str">
            <v>MERCADO LIVRE</v>
          </cell>
          <cell r="I51" t="str">
            <v>Localiza</v>
          </cell>
          <cell r="K51" t="str">
            <v>Verificar</v>
          </cell>
          <cell r="L51" t="e">
            <v>#N/A</v>
          </cell>
          <cell r="M51" t="e">
            <v>#N/A</v>
          </cell>
        </row>
        <row r="52">
          <cell r="C52" t="str">
            <v>93YMAFEXAMJ624646</v>
          </cell>
          <cell r="D52" t="str">
            <v>01238226830</v>
          </cell>
          <cell r="E52" t="str">
            <v>Belo Horizonte</v>
          </cell>
          <cell r="F52" t="str">
            <v>MG</v>
          </cell>
          <cell r="G52" t="str">
            <v>Branca</v>
          </cell>
          <cell r="H52" t="str">
            <v>MERCADO LIVRE</v>
          </cell>
          <cell r="I52" t="str">
            <v>Localiza</v>
          </cell>
          <cell r="K52" t="str">
            <v>Verificar</v>
          </cell>
          <cell r="L52" t="e">
            <v>#N/A</v>
          </cell>
          <cell r="M52" t="e">
            <v>#N/A</v>
          </cell>
        </row>
        <row r="53">
          <cell r="C53" t="str">
            <v>93YMAFEXAMJ622927</v>
          </cell>
          <cell r="D53" t="str">
            <v>01238226369</v>
          </cell>
          <cell r="E53" t="str">
            <v>Campinas</v>
          </cell>
          <cell r="F53" t="str">
            <v>sp</v>
          </cell>
          <cell r="G53" t="str">
            <v>Amarela</v>
          </cell>
          <cell r="H53" t="str">
            <v>MERCADO LIVRE</v>
          </cell>
          <cell r="I53" t="str">
            <v>Localiza</v>
          </cell>
          <cell r="K53" t="str">
            <v>Verificar</v>
          </cell>
          <cell r="L53" t="e">
            <v>#N/A</v>
          </cell>
          <cell r="M53" t="e">
            <v>#N/A</v>
          </cell>
        </row>
        <row r="54">
          <cell r="C54" t="str">
            <v>93YMAFEXAMJ624416</v>
          </cell>
          <cell r="D54" t="str">
            <v>01238226555</v>
          </cell>
          <cell r="E54" t="str">
            <v>Campinas</v>
          </cell>
          <cell r="F54" t="str">
            <v>SP</v>
          </cell>
          <cell r="G54" t="str">
            <v>Branca</v>
          </cell>
          <cell r="H54" t="str">
            <v>MERCADO LIVRE</v>
          </cell>
          <cell r="I54" t="str">
            <v>Localiza</v>
          </cell>
          <cell r="K54" t="str">
            <v>Desmobilizado</v>
          </cell>
          <cell r="L54">
            <v>45735</v>
          </cell>
          <cell r="M54" t="str">
            <v>Dev</v>
          </cell>
        </row>
        <row r="55">
          <cell r="C55" t="str">
            <v>93YMAFEXAMJ624393</v>
          </cell>
          <cell r="D55" t="str">
            <v>01238226547</v>
          </cell>
          <cell r="E55" t="str">
            <v>Campinas</v>
          </cell>
          <cell r="F55" t="str">
            <v>SP</v>
          </cell>
          <cell r="G55" t="str">
            <v>Branca</v>
          </cell>
          <cell r="H55" t="str">
            <v>MERCADO LIVRE</v>
          </cell>
          <cell r="I55" t="str">
            <v>Localiza</v>
          </cell>
          <cell r="K55" t="str">
            <v>Desmobilizado</v>
          </cell>
          <cell r="L55">
            <v>45727</v>
          </cell>
          <cell r="M55" t="str">
            <v>Dev</v>
          </cell>
        </row>
        <row r="56">
          <cell r="C56" t="str">
            <v>93YMAFEXAMJ623414</v>
          </cell>
          <cell r="D56" t="str">
            <v>01238226458</v>
          </cell>
          <cell r="E56" t="str">
            <v>Campinas</v>
          </cell>
          <cell r="F56" t="str">
            <v>SP</v>
          </cell>
          <cell r="G56" t="str">
            <v>Amarela</v>
          </cell>
          <cell r="H56" t="str">
            <v>MERCADO LIVRE</v>
          </cell>
          <cell r="I56" t="str">
            <v>Localiza</v>
          </cell>
          <cell r="K56" t="str">
            <v>Verificar</v>
          </cell>
          <cell r="L56" t="e">
            <v>#N/A</v>
          </cell>
          <cell r="M56" t="e">
            <v>#N/A</v>
          </cell>
        </row>
        <row r="57">
          <cell r="C57" t="str">
            <v>93YMAFEXAMJ624593</v>
          </cell>
          <cell r="D57" t="str">
            <v>01238226750</v>
          </cell>
          <cell r="E57" t="str">
            <v>Joinville</v>
          </cell>
          <cell r="F57" t="str">
            <v>SC</v>
          </cell>
          <cell r="G57" t="str">
            <v>Amarela</v>
          </cell>
          <cell r="H57" t="str">
            <v>MERCADO LIVRE</v>
          </cell>
          <cell r="I57" t="str">
            <v>Localiza</v>
          </cell>
          <cell r="K57" t="str">
            <v>Desmobilizado</v>
          </cell>
          <cell r="L57">
            <v>45741</v>
          </cell>
          <cell r="M57" t="str">
            <v>Dev</v>
          </cell>
        </row>
        <row r="58">
          <cell r="C58" t="str">
            <v>93YMAFEXAMJ624476</v>
          </cell>
          <cell r="D58" t="str">
            <v>01238226644</v>
          </cell>
          <cell r="E58" t="str">
            <v>Curitiba</v>
          </cell>
          <cell r="F58" t="str">
            <v>PR</v>
          </cell>
          <cell r="G58" t="str">
            <v>Amarela</v>
          </cell>
          <cell r="H58" t="str">
            <v>MERCADO LIVRE</v>
          </cell>
          <cell r="I58" t="str">
            <v>Localiza</v>
          </cell>
          <cell r="K58" t="str">
            <v>Verificar</v>
          </cell>
          <cell r="L58" t="e">
            <v>#N/A</v>
          </cell>
          <cell r="M58" t="e">
            <v>#N/A</v>
          </cell>
        </row>
        <row r="59">
          <cell r="C59" t="str">
            <v>93YMAFEXAMJ679807</v>
          </cell>
          <cell r="D59" t="str">
            <v>01238364290</v>
          </cell>
          <cell r="E59" t="str">
            <v>Recife</v>
          </cell>
          <cell r="F59" t="str">
            <v>PE</v>
          </cell>
          <cell r="G59" t="str">
            <v>Amarela</v>
          </cell>
          <cell r="H59" t="str">
            <v>MERCADO LIVRE</v>
          </cell>
          <cell r="I59" t="str">
            <v>Localiza</v>
          </cell>
          <cell r="K59" t="str">
            <v>Desmobilizado</v>
          </cell>
          <cell r="L59">
            <v>45733</v>
          </cell>
          <cell r="M59" t="str">
            <v>Dev</v>
          </cell>
        </row>
        <row r="60">
          <cell r="C60" t="str">
            <v>93YMAFEXAMJ474228</v>
          </cell>
          <cell r="D60" t="str">
            <v>01238661766</v>
          </cell>
          <cell r="E60" t="str">
            <v>São Paulo</v>
          </cell>
          <cell r="F60" t="str">
            <v>SP</v>
          </cell>
          <cell r="G60" t="str">
            <v>Amarela</v>
          </cell>
          <cell r="H60" t="str">
            <v>MERCADO LIVRE</v>
          </cell>
          <cell r="I60" t="str">
            <v>Localiza</v>
          </cell>
          <cell r="K60" t="str">
            <v>Desmobilizado</v>
          </cell>
          <cell r="L60">
            <v>45737</v>
          </cell>
          <cell r="M60" t="str">
            <v>Dev</v>
          </cell>
        </row>
        <row r="61">
          <cell r="C61" t="str">
            <v>93YMAFEXAMJ479478</v>
          </cell>
          <cell r="D61" t="str">
            <v>01238661774</v>
          </cell>
          <cell r="E61" t="str">
            <v>São Paulo</v>
          </cell>
          <cell r="F61" t="str">
            <v>SP</v>
          </cell>
          <cell r="G61" t="str">
            <v>Amarela</v>
          </cell>
          <cell r="H61" t="str">
            <v>MERCADO LIVRE</v>
          </cell>
          <cell r="I61" t="str">
            <v>Localiza</v>
          </cell>
          <cell r="K61" t="str">
            <v>Desmobilizado</v>
          </cell>
          <cell r="L61">
            <v>45735</v>
          </cell>
          <cell r="M61" t="str">
            <v>Dev</v>
          </cell>
        </row>
        <row r="62">
          <cell r="C62" t="str">
            <v>93YMAFEXAMJ472142</v>
          </cell>
          <cell r="D62" t="str">
            <v>01238661740</v>
          </cell>
          <cell r="E62" t="str">
            <v>São Paulo</v>
          </cell>
          <cell r="F62" t="str">
            <v>SP</v>
          </cell>
          <cell r="G62" t="str">
            <v>Amarela</v>
          </cell>
          <cell r="H62" t="str">
            <v>MERCADO LIVRE</v>
          </cell>
          <cell r="I62" t="str">
            <v>Localiza</v>
          </cell>
          <cell r="K62" t="str">
            <v>Desmobilizado</v>
          </cell>
          <cell r="L62">
            <v>45728</v>
          </cell>
          <cell r="M62" t="str">
            <v>Dev</v>
          </cell>
        </row>
        <row r="63">
          <cell r="C63" t="str">
            <v>93YMAFEXAMJ472139</v>
          </cell>
          <cell r="D63" t="str">
            <v>01238661731</v>
          </cell>
          <cell r="E63" t="str">
            <v>São Paulo</v>
          </cell>
          <cell r="F63" t="str">
            <v>SP</v>
          </cell>
          <cell r="G63" t="str">
            <v>Amarela</v>
          </cell>
          <cell r="H63" t="str">
            <v>MERCADO LIVRE</v>
          </cell>
          <cell r="I63" t="str">
            <v>Localiza</v>
          </cell>
          <cell r="K63" t="str">
            <v>Desmobilizado</v>
          </cell>
          <cell r="L63">
            <v>45713</v>
          </cell>
          <cell r="M63" t="str">
            <v>Dev</v>
          </cell>
        </row>
        <row r="64">
          <cell r="C64" t="str">
            <v>93YMAFEXAMJ471235</v>
          </cell>
          <cell r="D64" t="str">
            <v>01238818150</v>
          </cell>
          <cell r="E64" t="str">
            <v>Joinville</v>
          </cell>
          <cell r="F64" t="str">
            <v>SC</v>
          </cell>
          <cell r="G64" t="str">
            <v>Amarela</v>
          </cell>
          <cell r="H64" t="str">
            <v>MERCADO LIVRE</v>
          </cell>
          <cell r="I64" t="str">
            <v>Localiza</v>
          </cell>
          <cell r="K64" t="str">
            <v>Verificar</v>
          </cell>
          <cell r="L64" t="e">
            <v>#N/A</v>
          </cell>
          <cell r="M64" t="e">
            <v>#N/A</v>
          </cell>
        </row>
        <row r="65">
          <cell r="C65" t="str">
            <v>93YMAFEXAMJ471236</v>
          </cell>
          <cell r="D65" t="str">
            <v>01238818169</v>
          </cell>
          <cell r="E65" t="str">
            <v>Joinville</v>
          </cell>
          <cell r="F65" t="str">
            <v>SC</v>
          </cell>
          <cell r="G65" t="str">
            <v>Amarela</v>
          </cell>
          <cell r="H65" t="str">
            <v>MERCADO LIVRE</v>
          </cell>
          <cell r="I65" t="str">
            <v>Localiza</v>
          </cell>
          <cell r="K65" t="str">
            <v>Desmobilizado</v>
          </cell>
          <cell r="L65">
            <v>45741</v>
          </cell>
          <cell r="M65" t="str">
            <v>Dev</v>
          </cell>
        </row>
        <row r="66">
          <cell r="C66" t="str">
            <v>93YMAFEXAMJ470154</v>
          </cell>
          <cell r="D66" t="str">
            <v>01239010670</v>
          </cell>
          <cell r="E66" t="str">
            <v>Joinville</v>
          </cell>
          <cell r="F66" t="str">
            <v>SC</v>
          </cell>
          <cell r="G66" t="str">
            <v>Amarela</v>
          </cell>
          <cell r="H66" t="str">
            <v>MERCADO LIVRE</v>
          </cell>
          <cell r="I66" t="str">
            <v>Localiza</v>
          </cell>
          <cell r="K66" t="str">
            <v>Desmobilizado</v>
          </cell>
          <cell r="L66">
            <v>45741</v>
          </cell>
          <cell r="M66" t="str">
            <v>Dev</v>
          </cell>
        </row>
        <row r="67">
          <cell r="C67" t="str">
            <v>93YMAFEXAMJ624704</v>
          </cell>
          <cell r="D67" t="str">
            <v>01239953892</v>
          </cell>
          <cell r="E67" t="str">
            <v>São Paulo</v>
          </cell>
          <cell r="F67" t="str">
            <v>SP</v>
          </cell>
          <cell r="G67" t="str">
            <v>Branca</v>
          </cell>
          <cell r="H67" t="str">
            <v>MERCADO LIVRE</v>
          </cell>
          <cell r="I67" t="str">
            <v>Localiza</v>
          </cell>
          <cell r="K67" t="str">
            <v>Desmobilizado</v>
          </cell>
          <cell r="L67">
            <v>45726</v>
          </cell>
          <cell r="M67" t="str">
            <v>Dev</v>
          </cell>
        </row>
        <row r="68">
          <cell r="C68" t="str">
            <v>93YMAFEXAMJ528925</v>
          </cell>
          <cell r="D68" t="str">
            <v>01240141502</v>
          </cell>
          <cell r="E68" t="str">
            <v>Curitiba</v>
          </cell>
          <cell r="F68" t="str">
            <v>PR</v>
          </cell>
          <cell r="G68" t="str">
            <v>Branca</v>
          </cell>
          <cell r="H68" t="str">
            <v>MERCADO LIVRE</v>
          </cell>
          <cell r="I68" t="str">
            <v>Localiza</v>
          </cell>
          <cell r="K68" t="str">
            <v>Verificar</v>
          </cell>
          <cell r="L68" t="e">
            <v>#N/A</v>
          </cell>
          <cell r="M68" t="e">
            <v>#N/A</v>
          </cell>
        </row>
        <row r="69">
          <cell r="C69" t="str">
            <v>93YMAFEXAMJ716183</v>
          </cell>
          <cell r="D69" t="str">
            <v>01243805690</v>
          </cell>
          <cell r="E69" t="str">
            <v>Campinas</v>
          </cell>
          <cell r="F69" t="str">
            <v>SP</v>
          </cell>
          <cell r="G69" t="str">
            <v>Branca</v>
          </cell>
          <cell r="H69" t="str">
            <v>MERCADO LIVRE</v>
          </cell>
          <cell r="I69" t="str">
            <v>Localiza</v>
          </cell>
          <cell r="K69" t="str">
            <v>Desmobilizado</v>
          </cell>
          <cell r="L69">
            <v>45688</v>
          </cell>
          <cell r="M69" t="str">
            <v>Dev</v>
          </cell>
        </row>
        <row r="70">
          <cell r="C70" t="str">
            <v>93YMAFEXAMJ751002</v>
          </cell>
          <cell r="D70" t="str">
            <v>01243805762</v>
          </cell>
          <cell r="E70" t="str">
            <v>Campinas</v>
          </cell>
          <cell r="F70" t="str">
            <v>SP</v>
          </cell>
          <cell r="G70" t="str">
            <v>Amarela</v>
          </cell>
          <cell r="H70" t="str">
            <v>MERCADO LIVRE</v>
          </cell>
          <cell r="I70" t="str">
            <v>Localiza</v>
          </cell>
          <cell r="K70" t="str">
            <v>Verificar</v>
          </cell>
          <cell r="L70" t="e">
            <v>#N/A</v>
          </cell>
          <cell r="M70" t="e">
            <v>#N/A</v>
          </cell>
        </row>
        <row r="71">
          <cell r="C71" t="str">
            <v>93YMAFEXAMJ728058</v>
          </cell>
          <cell r="D71" t="str">
            <v>01243805720</v>
          </cell>
          <cell r="E71" t="str">
            <v>Campinas</v>
          </cell>
          <cell r="F71" t="str">
            <v>SP</v>
          </cell>
          <cell r="G71" t="str">
            <v>Branca</v>
          </cell>
          <cell r="H71" t="str">
            <v>MERCADO LIVRE</v>
          </cell>
          <cell r="I71" t="str">
            <v>Localiza</v>
          </cell>
          <cell r="K71" t="str">
            <v>Desmobilizado</v>
          </cell>
          <cell r="L71">
            <v>45688</v>
          </cell>
          <cell r="M71" t="str">
            <v>Dev</v>
          </cell>
        </row>
        <row r="72">
          <cell r="C72" t="str">
            <v>93YMAFEXAMJ716182</v>
          </cell>
          <cell r="D72" t="str">
            <v>01243805657</v>
          </cell>
          <cell r="E72" t="str">
            <v>Campinas</v>
          </cell>
          <cell r="F72" t="str">
            <v>SP</v>
          </cell>
          <cell r="G72" t="str">
            <v>Branca</v>
          </cell>
          <cell r="H72" t="str">
            <v>MERCADO LIVRE</v>
          </cell>
          <cell r="I72" t="str">
            <v>Localiza</v>
          </cell>
          <cell r="K72" t="str">
            <v>Desmobilizado</v>
          </cell>
          <cell r="L72">
            <v>45688</v>
          </cell>
          <cell r="M72" t="str">
            <v>Dev</v>
          </cell>
        </row>
        <row r="73">
          <cell r="C73" t="str">
            <v>93YMAFEXAMJ751137</v>
          </cell>
          <cell r="D73" t="str">
            <v>01243805770</v>
          </cell>
          <cell r="E73" t="str">
            <v>Campinas</v>
          </cell>
          <cell r="F73" t="str">
            <v>SP</v>
          </cell>
          <cell r="G73" t="str">
            <v>Branca</v>
          </cell>
          <cell r="H73" t="str">
            <v>MERCADO LIVRE</v>
          </cell>
          <cell r="I73" t="str">
            <v>Localiza</v>
          </cell>
          <cell r="K73" t="str">
            <v>Desmobilizado</v>
          </cell>
          <cell r="L73">
            <v>45688</v>
          </cell>
          <cell r="M73" t="str">
            <v>Dev</v>
          </cell>
        </row>
        <row r="74">
          <cell r="C74" t="str">
            <v>93YMAFEXAMJ482193</v>
          </cell>
          <cell r="D74" t="str">
            <v>01238818240</v>
          </cell>
          <cell r="E74" t="str">
            <v>São Paulo</v>
          </cell>
          <cell r="F74" t="str">
            <v>SP</v>
          </cell>
          <cell r="G74" t="str">
            <v>Amarela</v>
          </cell>
          <cell r="H74" t="str">
            <v>MERCADO LIVRE</v>
          </cell>
          <cell r="I74" t="str">
            <v>Localiza</v>
          </cell>
          <cell r="K74" t="str">
            <v>Desmobilizado</v>
          </cell>
          <cell r="L74">
            <v>45657</v>
          </cell>
          <cell r="M74" t="str">
            <v>Dev</v>
          </cell>
        </row>
        <row r="75">
          <cell r="C75" t="str">
            <v>93YMAFEXAMJ479482</v>
          </cell>
          <cell r="D75" t="str">
            <v>01238818215</v>
          </cell>
          <cell r="E75" t="str">
            <v>São Paulo</v>
          </cell>
          <cell r="F75" t="str">
            <v>SP</v>
          </cell>
          <cell r="G75" t="str">
            <v>Amarela</v>
          </cell>
          <cell r="H75" t="str">
            <v>MERCADO LIVRE</v>
          </cell>
          <cell r="I75" t="str">
            <v>Localiza</v>
          </cell>
          <cell r="K75" t="str">
            <v>Desmobilizado</v>
          </cell>
          <cell r="L75">
            <v>45756</v>
          </cell>
          <cell r="M75" t="str">
            <v>Dev</v>
          </cell>
        </row>
        <row r="76">
          <cell r="C76" t="str">
            <v>93YMAFEXAMJ482222</v>
          </cell>
          <cell r="D76" t="str">
            <v>01238818266</v>
          </cell>
          <cell r="E76" t="str">
            <v>São Paulo</v>
          </cell>
          <cell r="F76" t="str">
            <v>SP</v>
          </cell>
          <cell r="G76" t="str">
            <v>Amarela</v>
          </cell>
          <cell r="H76" t="str">
            <v>MERCADO LIVRE</v>
          </cell>
          <cell r="I76" t="str">
            <v>Localiza</v>
          </cell>
          <cell r="K76" t="str">
            <v>Desmobilizado</v>
          </cell>
          <cell r="L76">
            <v>45728</v>
          </cell>
          <cell r="M76" t="str">
            <v>Dev</v>
          </cell>
        </row>
        <row r="77">
          <cell r="C77" t="str">
            <v>93YMAFEXAMJ481869</v>
          </cell>
          <cell r="D77" t="str">
            <v>01239010696</v>
          </cell>
          <cell r="E77" t="str">
            <v>São Paulo</v>
          </cell>
          <cell r="F77" t="str">
            <v>SP</v>
          </cell>
          <cell r="G77" t="str">
            <v>Amarela</v>
          </cell>
          <cell r="H77" t="str">
            <v>MERCADO LIVRE</v>
          </cell>
          <cell r="I77" t="str">
            <v>Localiza</v>
          </cell>
          <cell r="K77" t="str">
            <v>Desmobilizado</v>
          </cell>
          <cell r="L77">
            <v>45657</v>
          </cell>
          <cell r="M77" t="str">
            <v>Dev</v>
          </cell>
        </row>
        <row r="78">
          <cell r="C78" t="str">
            <v>93YMAFEXAMJ482219</v>
          </cell>
          <cell r="D78" t="str">
            <v>01239953833</v>
          </cell>
          <cell r="E78" t="str">
            <v>Joinville</v>
          </cell>
          <cell r="F78" t="str">
            <v>SC</v>
          </cell>
          <cell r="G78" t="str">
            <v>Amarela</v>
          </cell>
          <cell r="H78" t="str">
            <v>MERCADO LIVRE</v>
          </cell>
          <cell r="I78" t="str">
            <v>Localiza</v>
          </cell>
          <cell r="K78" t="str">
            <v>Desmobilizado</v>
          </cell>
          <cell r="L78">
            <v>45713</v>
          </cell>
          <cell r="M78" t="str">
            <v>Dev</v>
          </cell>
        </row>
        <row r="79">
          <cell r="C79" t="str">
            <v>93YMAFEXAMJ624772</v>
          </cell>
          <cell r="D79" t="str">
            <v>01240141618</v>
          </cell>
          <cell r="E79" t="str">
            <v>Porto Alegre</v>
          </cell>
          <cell r="F79" t="str">
            <v>RS</v>
          </cell>
          <cell r="G79" t="str">
            <v>Branca</v>
          </cell>
          <cell r="H79" t="str">
            <v>MERCADO LIVRE</v>
          </cell>
          <cell r="I79" t="str">
            <v>Localiza</v>
          </cell>
          <cell r="K79" t="str">
            <v>Desmobilizado</v>
          </cell>
          <cell r="L79">
            <v>45749</v>
          </cell>
          <cell r="M79" t="str">
            <v>Dev</v>
          </cell>
        </row>
        <row r="80">
          <cell r="C80" t="str">
            <v>93YMAFEXAMJ485743</v>
          </cell>
          <cell r="D80" t="str">
            <v>01240141421</v>
          </cell>
          <cell r="E80" t="str">
            <v>Campinas</v>
          </cell>
          <cell r="F80" t="str">
            <v>SP</v>
          </cell>
          <cell r="G80" t="str">
            <v>Branca</v>
          </cell>
          <cell r="H80" t="str">
            <v>MERCADO LIVRE</v>
          </cell>
          <cell r="I80" t="str">
            <v>Localiza</v>
          </cell>
          <cell r="K80" t="str">
            <v>Desmobilizado</v>
          </cell>
          <cell r="L80">
            <v>45688</v>
          </cell>
          <cell r="M80" t="str">
            <v>Dev</v>
          </cell>
        </row>
        <row r="81">
          <cell r="C81" t="str">
            <v>93YMAFEXAMJ624771</v>
          </cell>
          <cell r="D81" t="str">
            <v>01240141596</v>
          </cell>
          <cell r="E81" t="str">
            <v>Porto Alegre</v>
          </cell>
          <cell r="F81" t="str">
            <v>RS</v>
          </cell>
          <cell r="G81" t="str">
            <v>Branca</v>
          </cell>
          <cell r="H81" t="str">
            <v>MERCADO LIVRE</v>
          </cell>
          <cell r="I81" t="str">
            <v>Localiza</v>
          </cell>
          <cell r="K81" t="str">
            <v>Desmobilizado</v>
          </cell>
          <cell r="L81">
            <v>45750</v>
          </cell>
          <cell r="M81" t="str">
            <v>Dev</v>
          </cell>
        </row>
        <row r="82">
          <cell r="C82" t="str">
            <v>93YMAFEXAMJ624736</v>
          </cell>
          <cell r="D82" t="str">
            <v>01240141588</v>
          </cell>
          <cell r="E82" t="str">
            <v>Porto Alegre</v>
          </cell>
          <cell r="F82" t="str">
            <v>RS</v>
          </cell>
          <cell r="G82" t="str">
            <v>Branca</v>
          </cell>
          <cell r="H82" t="str">
            <v>MERCADO LIVRE</v>
          </cell>
          <cell r="I82" t="str">
            <v>Localiza</v>
          </cell>
          <cell r="K82" t="str">
            <v>Desmobilizado</v>
          </cell>
          <cell r="L82">
            <v>45751</v>
          </cell>
          <cell r="M82" t="str">
            <v>Dev</v>
          </cell>
        </row>
        <row r="83">
          <cell r="C83" t="str">
            <v>93YMAFEXAMJ482191</v>
          </cell>
          <cell r="D83" t="str">
            <v>01240141316</v>
          </cell>
          <cell r="E83" t="str">
            <v>São Paulo</v>
          </cell>
          <cell r="F83" t="str">
            <v>SP</v>
          </cell>
          <cell r="G83" t="str">
            <v>Amarela</v>
          </cell>
          <cell r="H83" t="str">
            <v>MERCADO LIVRE</v>
          </cell>
          <cell r="I83" t="str">
            <v>Localiza</v>
          </cell>
          <cell r="K83" t="str">
            <v>Desmobilizado</v>
          </cell>
          <cell r="L83">
            <v>45705</v>
          </cell>
          <cell r="M83" t="str">
            <v>Dev</v>
          </cell>
        </row>
        <row r="84">
          <cell r="C84" t="str">
            <v>93YMAFEXAMJ485562</v>
          </cell>
          <cell r="D84" t="str">
            <v>01240141383</v>
          </cell>
          <cell r="E84" t="str">
            <v>Joinville</v>
          </cell>
          <cell r="F84" t="str">
            <v>SC</v>
          </cell>
          <cell r="G84" t="str">
            <v>Amarela</v>
          </cell>
          <cell r="H84" t="str">
            <v>MERCADO LIVRE</v>
          </cell>
          <cell r="I84" t="str">
            <v>Localiza</v>
          </cell>
          <cell r="K84" t="str">
            <v>Desmobilizado</v>
          </cell>
          <cell r="L84">
            <v>45803</v>
          </cell>
          <cell r="M84" t="str">
            <v>Dev</v>
          </cell>
        </row>
        <row r="85">
          <cell r="C85" t="str">
            <v>93YMAFEXAMJ482220</v>
          </cell>
          <cell r="D85" t="str">
            <v>01240141340</v>
          </cell>
          <cell r="E85" t="str">
            <v>São Paulo</v>
          </cell>
          <cell r="F85" t="str">
            <v>SP</v>
          </cell>
          <cell r="G85" t="str">
            <v>Amarela</v>
          </cell>
          <cell r="H85" t="str">
            <v>MERCADO LIVRE</v>
          </cell>
          <cell r="I85" t="str">
            <v>Localiza</v>
          </cell>
          <cell r="K85" t="str">
            <v>Desmobilizado</v>
          </cell>
          <cell r="L85">
            <v>45708</v>
          </cell>
          <cell r="M85" t="str">
            <v>Dev</v>
          </cell>
        </row>
        <row r="86">
          <cell r="C86" t="str">
            <v>93YMAFEXAMJ482218</v>
          </cell>
          <cell r="D86" t="str">
            <v>01240141332</v>
          </cell>
          <cell r="E86" t="str">
            <v>São Paulo</v>
          </cell>
          <cell r="F86" t="str">
            <v>SP</v>
          </cell>
          <cell r="G86" t="str">
            <v>Amarela</v>
          </cell>
          <cell r="H86" t="str">
            <v>MERCADO LIVRE</v>
          </cell>
          <cell r="I86" t="str">
            <v>Localiza</v>
          </cell>
          <cell r="K86" t="str">
            <v>Desmobilizado</v>
          </cell>
          <cell r="L86">
            <v>45762</v>
          </cell>
          <cell r="M86" t="str">
            <v>Dev</v>
          </cell>
        </row>
        <row r="87">
          <cell r="C87" t="str">
            <v>93YMAFEXAMJ485565</v>
          </cell>
          <cell r="D87" t="str">
            <v>01240141405</v>
          </cell>
          <cell r="E87" t="str">
            <v>Campinas</v>
          </cell>
          <cell r="F87" t="str">
            <v>SP</v>
          </cell>
          <cell r="G87" t="str">
            <v>Amarela</v>
          </cell>
          <cell r="H87" t="str">
            <v>MERCADO LIVRE</v>
          </cell>
          <cell r="I87" t="str">
            <v>Localiza</v>
          </cell>
          <cell r="K87" t="str">
            <v>Verificar</v>
          </cell>
          <cell r="L87" t="e">
            <v>#N/A</v>
          </cell>
          <cell r="M87" t="e">
            <v>#N/A</v>
          </cell>
        </row>
        <row r="88">
          <cell r="C88" t="str">
            <v>93YMAFEXAMJ533507</v>
          </cell>
          <cell r="D88" t="str">
            <v>01240141529</v>
          </cell>
          <cell r="E88" t="str">
            <v>Porto Alegre</v>
          </cell>
          <cell r="F88" t="str">
            <v>RS</v>
          </cell>
          <cell r="G88" t="str">
            <v>Branca</v>
          </cell>
          <cell r="H88" t="str">
            <v>MERCADO LIVRE</v>
          </cell>
          <cell r="I88" t="str">
            <v>Localiza</v>
          </cell>
          <cell r="K88" t="str">
            <v>Desmobilizado</v>
          </cell>
          <cell r="L88">
            <v>45750</v>
          </cell>
          <cell r="M88" t="str">
            <v>Dev</v>
          </cell>
        </row>
        <row r="89">
          <cell r="C89" t="str">
            <v>93YMAFEXAMJ708868</v>
          </cell>
          <cell r="D89" t="str">
            <v>01242528714</v>
          </cell>
          <cell r="E89" t="str">
            <v>São Paulo</v>
          </cell>
          <cell r="F89" t="str">
            <v>SP</v>
          </cell>
          <cell r="G89" t="str">
            <v>Amarela</v>
          </cell>
          <cell r="H89" t="str">
            <v>MERCADO LIVRE</v>
          </cell>
          <cell r="I89" t="str">
            <v>Localiza</v>
          </cell>
          <cell r="K89" t="str">
            <v>Desmobilizado</v>
          </cell>
          <cell r="L89">
            <v>45726</v>
          </cell>
          <cell r="M89" t="str">
            <v>Dev</v>
          </cell>
        </row>
        <row r="90">
          <cell r="C90" t="str">
            <v>93YMAFEXAMJ708866</v>
          </cell>
          <cell r="D90" t="str">
            <v>01242528706</v>
          </cell>
          <cell r="E90" t="str">
            <v>São Paulo</v>
          </cell>
          <cell r="F90" t="str">
            <v>SP</v>
          </cell>
          <cell r="G90" t="str">
            <v>Branca</v>
          </cell>
          <cell r="H90" t="str">
            <v>MERCADO LIVRE</v>
          </cell>
          <cell r="I90" t="str">
            <v>Localiza</v>
          </cell>
          <cell r="K90" t="str">
            <v>Desmobilizado</v>
          </cell>
          <cell r="L90">
            <v>45750</v>
          </cell>
          <cell r="M90" t="str">
            <v>Dev</v>
          </cell>
        </row>
        <row r="91">
          <cell r="C91" t="str">
            <v>93YMAFEXAMJ708863</v>
          </cell>
          <cell r="D91" t="str">
            <v>01242528676</v>
          </cell>
          <cell r="E91" t="str">
            <v>São Paulo</v>
          </cell>
          <cell r="F91" t="str">
            <v>SP</v>
          </cell>
          <cell r="G91" t="str">
            <v>Amarela</v>
          </cell>
          <cell r="H91" t="str">
            <v>MERCADO LIVRE</v>
          </cell>
          <cell r="I91" t="str">
            <v>Localiza</v>
          </cell>
          <cell r="K91" t="str">
            <v>Desmobilizado</v>
          </cell>
          <cell r="L91">
            <v>45748</v>
          </cell>
          <cell r="M91" t="str">
            <v>Dev</v>
          </cell>
        </row>
        <row r="92">
          <cell r="C92" t="str">
            <v>93YMAFEXAMJ708864</v>
          </cell>
          <cell r="D92" t="str">
            <v>01242528692</v>
          </cell>
          <cell r="E92" t="str">
            <v>São Paulo</v>
          </cell>
          <cell r="F92" t="str">
            <v>SP</v>
          </cell>
          <cell r="G92" t="str">
            <v>Amarela</v>
          </cell>
          <cell r="H92" t="str">
            <v>MERCADO LIVRE</v>
          </cell>
          <cell r="I92" t="str">
            <v>Localiza</v>
          </cell>
          <cell r="K92" t="str">
            <v>Desmobilizado</v>
          </cell>
          <cell r="L92">
            <v>45726</v>
          </cell>
          <cell r="M92" t="str">
            <v>Dev</v>
          </cell>
        </row>
        <row r="93">
          <cell r="C93" t="str">
            <v>93YMAFEXAMJ708860</v>
          </cell>
          <cell r="D93" t="str">
            <v>01242528650</v>
          </cell>
          <cell r="E93" t="str">
            <v>São Paulo</v>
          </cell>
          <cell r="F93" t="str">
            <v>SP</v>
          </cell>
          <cell r="G93" t="str">
            <v>Amarela</v>
          </cell>
          <cell r="H93" t="str">
            <v>MERCADO LIVRE</v>
          </cell>
          <cell r="I93" t="str">
            <v>Localiza</v>
          </cell>
          <cell r="K93" t="str">
            <v>Desmobilizado</v>
          </cell>
          <cell r="L93">
            <v>45726</v>
          </cell>
          <cell r="M93" t="str">
            <v>Dev</v>
          </cell>
        </row>
        <row r="94">
          <cell r="C94" t="str">
            <v>93YMAFEXAMJ708869</v>
          </cell>
          <cell r="D94" t="str">
            <v>01242528730</v>
          </cell>
          <cell r="E94" t="str">
            <v>São Paulo</v>
          </cell>
          <cell r="F94" t="str">
            <v>SP</v>
          </cell>
          <cell r="G94" t="str">
            <v>Amarela</v>
          </cell>
          <cell r="H94" t="str">
            <v>MERCADO LIVRE</v>
          </cell>
          <cell r="I94" t="str">
            <v>Localiza</v>
          </cell>
          <cell r="K94" t="str">
            <v>Desmobilizado</v>
          </cell>
          <cell r="L94">
            <v>45726</v>
          </cell>
          <cell r="M94" t="str">
            <v>Dev</v>
          </cell>
        </row>
        <row r="95">
          <cell r="C95" t="str">
            <v>93YMAFEXAMJ623681</v>
          </cell>
          <cell r="D95" t="str">
            <v>01242865176</v>
          </cell>
          <cell r="E95" t="str">
            <v>Ribeirão Preto</v>
          </cell>
          <cell r="F95" t="str">
            <v>SP</v>
          </cell>
          <cell r="G95" t="str">
            <v>Amarela</v>
          </cell>
          <cell r="H95" t="str">
            <v>MERCADO LIVRE</v>
          </cell>
          <cell r="I95" t="str">
            <v>Localiza</v>
          </cell>
          <cell r="K95" t="str">
            <v>Verificar</v>
          </cell>
          <cell r="L95" t="e">
            <v>#N/A</v>
          </cell>
          <cell r="M95" t="e">
            <v>#N/A</v>
          </cell>
        </row>
        <row r="96">
          <cell r="C96" t="str">
            <v>93YMAFEXAMJ708867</v>
          </cell>
          <cell r="D96" t="str">
            <v>01242865273</v>
          </cell>
          <cell r="E96" t="str">
            <v>São Paulo</v>
          </cell>
          <cell r="F96" t="str">
            <v>SP</v>
          </cell>
          <cell r="G96" t="str">
            <v>Amarela</v>
          </cell>
          <cell r="H96" t="str">
            <v>MERCADO LIVRE</v>
          </cell>
          <cell r="I96" t="str">
            <v>Localiza</v>
          </cell>
          <cell r="K96" t="str">
            <v>Desmobilizado</v>
          </cell>
          <cell r="L96">
            <v>45728</v>
          </cell>
          <cell r="M96" t="str">
            <v>Dev</v>
          </cell>
        </row>
        <row r="97">
          <cell r="C97" t="str">
            <v>93YMAFEXAMJ709291</v>
          </cell>
          <cell r="D97" t="str">
            <v>01242865320</v>
          </cell>
          <cell r="E97" t="str">
            <v>São Paulo</v>
          </cell>
          <cell r="F97" t="str">
            <v>SP</v>
          </cell>
          <cell r="G97" t="str">
            <v>Amarela</v>
          </cell>
          <cell r="H97" t="str">
            <v>MERCADO LIVRE</v>
          </cell>
          <cell r="I97" t="str">
            <v>Localiza</v>
          </cell>
          <cell r="K97" t="str">
            <v>Desmobilizado</v>
          </cell>
          <cell r="L97">
            <v>45741</v>
          </cell>
          <cell r="M97" t="str">
            <v>Dev</v>
          </cell>
        </row>
        <row r="98">
          <cell r="C98" t="str">
            <v>93YMAFEXAMJ709087</v>
          </cell>
          <cell r="D98" t="str">
            <v>01242865290</v>
          </cell>
          <cell r="E98" t="str">
            <v>São Paulo</v>
          </cell>
          <cell r="F98" t="str">
            <v>SP</v>
          </cell>
          <cell r="G98" t="str">
            <v>Amarela</v>
          </cell>
          <cell r="H98" t="str">
            <v>MERCADO LIVRE</v>
          </cell>
          <cell r="I98" t="str">
            <v>Localiza</v>
          </cell>
          <cell r="K98" t="str">
            <v>Verificar</v>
          </cell>
          <cell r="L98" t="e">
            <v>#N/A</v>
          </cell>
          <cell r="M98" t="e">
            <v>#N/A</v>
          </cell>
        </row>
        <row r="99">
          <cell r="C99" t="str">
            <v>93YMAFEXAMJ709088</v>
          </cell>
          <cell r="D99" t="str">
            <v>01242865303</v>
          </cell>
          <cell r="E99" t="str">
            <v>São Paulo</v>
          </cell>
          <cell r="F99" t="str">
            <v>SP</v>
          </cell>
          <cell r="G99" t="str">
            <v>Amarela</v>
          </cell>
          <cell r="H99" t="str">
            <v>MERCADO LIVRE</v>
          </cell>
          <cell r="I99" t="str">
            <v>Localiza</v>
          </cell>
          <cell r="K99" t="str">
            <v>Verificar</v>
          </cell>
          <cell r="L99" t="e">
            <v>#N/A</v>
          </cell>
          <cell r="M99" t="e">
            <v>#N/A</v>
          </cell>
        </row>
        <row r="100">
          <cell r="C100" t="str">
            <v>93YMAFEXAMJ708865</v>
          </cell>
          <cell r="D100" t="str">
            <v>01242865265</v>
          </cell>
          <cell r="E100" t="str">
            <v>São Paulo</v>
          </cell>
          <cell r="F100" t="str">
            <v>SP</v>
          </cell>
          <cell r="G100" t="str">
            <v>Amarela</v>
          </cell>
          <cell r="H100" t="str">
            <v>MERCADO LIVRE</v>
          </cell>
          <cell r="I100" t="str">
            <v>Localiza</v>
          </cell>
          <cell r="K100" t="str">
            <v>Desmobilizado</v>
          </cell>
          <cell r="L100">
            <v>45705</v>
          </cell>
          <cell r="M100" t="str">
            <v>Dev</v>
          </cell>
        </row>
        <row r="101">
          <cell r="C101" t="str">
            <v>93YMAFEXAMJ709270</v>
          </cell>
          <cell r="D101" t="str">
            <v>01242865311</v>
          </cell>
          <cell r="E101" t="str">
            <v>São Paulo</v>
          </cell>
          <cell r="F101" t="str">
            <v>SP</v>
          </cell>
          <cell r="G101" t="str">
            <v>Amarela</v>
          </cell>
          <cell r="H101" t="str">
            <v>MERCADO LIVRE</v>
          </cell>
          <cell r="I101" t="str">
            <v>Localiza</v>
          </cell>
          <cell r="K101" t="str">
            <v>Desmobilizado</v>
          </cell>
          <cell r="L101">
            <v>45728</v>
          </cell>
          <cell r="M101" t="str">
            <v>Dev</v>
          </cell>
        </row>
        <row r="102">
          <cell r="C102" t="str">
            <v>93YMAFEXAMJ709411</v>
          </cell>
          <cell r="D102" t="str">
            <v>01242865346</v>
          </cell>
          <cell r="E102" t="str">
            <v>São Paulo</v>
          </cell>
          <cell r="F102" t="str">
            <v>SP</v>
          </cell>
          <cell r="G102" t="str">
            <v>Amarela</v>
          </cell>
          <cell r="H102" t="str">
            <v>MERCADO LIVRE</v>
          </cell>
          <cell r="I102" t="str">
            <v>Localiza</v>
          </cell>
          <cell r="K102" t="str">
            <v>Desmobilizado</v>
          </cell>
          <cell r="L102">
            <v>45733</v>
          </cell>
          <cell r="M102" t="str">
            <v>Dev</v>
          </cell>
        </row>
        <row r="103">
          <cell r="C103" t="str">
            <v>93YMAFEXAMJ709294</v>
          </cell>
          <cell r="D103" t="str">
            <v>01242865338</v>
          </cell>
          <cell r="E103" t="str">
            <v>São Paulo</v>
          </cell>
          <cell r="F103" t="str">
            <v>SP</v>
          </cell>
          <cell r="G103" t="str">
            <v>Amarela</v>
          </cell>
          <cell r="H103" t="str">
            <v>MERCADO LIVRE</v>
          </cell>
          <cell r="I103" t="str">
            <v>Localiza</v>
          </cell>
          <cell r="K103" t="str">
            <v>Desmobilizado</v>
          </cell>
          <cell r="L103">
            <v>45770</v>
          </cell>
          <cell r="M103" t="str">
            <v>Dev</v>
          </cell>
        </row>
        <row r="104">
          <cell r="C104" t="str">
            <v>93YMAFEXAMJ710915</v>
          </cell>
          <cell r="D104" t="str">
            <v>01243012592</v>
          </cell>
          <cell r="E104" t="str">
            <v>São Paulo</v>
          </cell>
          <cell r="F104" t="str">
            <v>SP</v>
          </cell>
          <cell r="G104" t="str">
            <v>Amarela</v>
          </cell>
          <cell r="H104" t="str">
            <v>MERCADO LIVRE</v>
          </cell>
          <cell r="I104" t="str">
            <v>Localiza</v>
          </cell>
          <cell r="K104" t="str">
            <v>Verificar</v>
          </cell>
          <cell r="L104" t="e">
            <v>#N/A</v>
          </cell>
          <cell r="M104" t="e">
            <v>#N/A</v>
          </cell>
        </row>
        <row r="105">
          <cell r="C105" t="str">
            <v>93YMAFEXAMJ728057</v>
          </cell>
          <cell r="D105" t="str">
            <v>01243470957</v>
          </cell>
          <cell r="E105" t="str">
            <v>Manaus</v>
          </cell>
          <cell r="F105" t="str">
            <v>AM</v>
          </cell>
          <cell r="G105" t="str">
            <v>Amarela</v>
          </cell>
          <cell r="H105" t="str">
            <v>MERCADO LIVRE</v>
          </cell>
          <cell r="I105" t="str">
            <v>Localiza</v>
          </cell>
          <cell r="K105" t="str">
            <v>Desmobilizado</v>
          </cell>
          <cell r="L105">
            <v>45722</v>
          </cell>
          <cell r="M105" t="str">
            <v>Dev</v>
          </cell>
        </row>
        <row r="106">
          <cell r="C106" t="str">
            <v>93YMAFEXAMJ710913</v>
          </cell>
          <cell r="D106" t="str">
            <v>01243363638</v>
          </cell>
          <cell r="E106" t="str">
            <v>Belo Horizonte</v>
          </cell>
          <cell r="F106" t="str">
            <v>MG</v>
          </cell>
          <cell r="G106" t="str">
            <v>Amarela</v>
          </cell>
          <cell r="H106" t="str">
            <v>MERCADO LIVRE</v>
          </cell>
          <cell r="I106" t="str">
            <v>Localiza</v>
          </cell>
          <cell r="K106" t="str">
            <v>Desmobilizado</v>
          </cell>
          <cell r="L106">
            <v>45722</v>
          </cell>
          <cell r="M106" t="str">
            <v>Dev</v>
          </cell>
        </row>
        <row r="107">
          <cell r="C107" t="str">
            <v>93YMAFEXAMJ711097</v>
          </cell>
          <cell r="D107" t="str">
            <v>01243363670</v>
          </cell>
          <cell r="E107" t="str">
            <v>Belo Horizonte</v>
          </cell>
          <cell r="F107" t="str">
            <v>MG</v>
          </cell>
          <cell r="G107" t="str">
            <v>Amarela</v>
          </cell>
          <cell r="H107" t="str">
            <v>MERCADO LIVRE</v>
          </cell>
          <cell r="I107" t="str">
            <v>Localiza</v>
          </cell>
          <cell r="K107" t="str">
            <v>Verificar</v>
          </cell>
          <cell r="L107" t="e">
            <v>#N/A</v>
          </cell>
          <cell r="M107" t="e">
            <v>#N/A</v>
          </cell>
        </row>
        <row r="108">
          <cell r="C108" t="str">
            <v>93YMAFEXAMJ708542</v>
          </cell>
          <cell r="D108" t="str">
            <v>01243363522</v>
          </cell>
          <cell r="E108" t="str">
            <v>Belo Horizonte</v>
          </cell>
          <cell r="F108" t="str">
            <v>MG</v>
          </cell>
          <cell r="G108" t="str">
            <v>Amarela</v>
          </cell>
          <cell r="H108" t="str">
            <v>MERCADO LIVRE</v>
          </cell>
          <cell r="I108" t="str">
            <v>Localiza</v>
          </cell>
          <cell r="K108" t="str">
            <v>Verificar</v>
          </cell>
          <cell r="L108" t="e">
            <v>#N/A</v>
          </cell>
          <cell r="M108" t="e">
            <v>#N/A</v>
          </cell>
        </row>
        <row r="109">
          <cell r="C109" t="str">
            <v>93YMAFEXAMJ709443</v>
          </cell>
          <cell r="D109" t="str">
            <v>01243363565</v>
          </cell>
          <cell r="E109" t="str">
            <v>Belo Horizonte</v>
          </cell>
          <cell r="F109" t="str">
            <v>MG</v>
          </cell>
          <cell r="G109" t="str">
            <v>Amarela</v>
          </cell>
          <cell r="H109" t="str">
            <v>MERCADO LIVRE</v>
          </cell>
          <cell r="I109" t="str">
            <v>Localiza</v>
          </cell>
          <cell r="K109" t="str">
            <v>Verificar</v>
          </cell>
          <cell r="L109" t="e">
            <v>#N/A</v>
          </cell>
          <cell r="M109" t="e">
            <v>#N/A</v>
          </cell>
        </row>
        <row r="110">
          <cell r="C110" t="str">
            <v>93YMAFEXAMJ710914</v>
          </cell>
          <cell r="D110" t="str">
            <v>01243363654</v>
          </cell>
          <cell r="E110" t="str">
            <v>Belo Horizonte</v>
          </cell>
          <cell r="F110" t="str">
            <v>MG</v>
          </cell>
          <cell r="G110" t="str">
            <v>Amarela</v>
          </cell>
          <cell r="H110" t="str">
            <v>MERCADO LIVRE</v>
          </cell>
          <cell r="I110" t="str">
            <v>Localiza</v>
          </cell>
          <cell r="K110" t="str">
            <v>Desmobilizado</v>
          </cell>
          <cell r="L110">
            <v>45722</v>
          </cell>
          <cell r="M110" t="str">
            <v>Dev</v>
          </cell>
        </row>
        <row r="111">
          <cell r="C111" t="str">
            <v>93YMAFEXAMJ709433</v>
          </cell>
          <cell r="D111" t="str">
            <v>01243363530</v>
          </cell>
          <cell r="E111" t="str">
            <v>Belo Horizonte</v>
          </cell>
          <cell r="F111" t="str">
            <v>MG</v>
          </cell>
          <cell r="G111" t="str">
            <v>Amarela</v>
          </cell>
          <cell r="H111" t="str">
            <v>MERCADO LIVRE</v>
          </cell>
          <cell r="I111" t="str">
            <v>Localiza</v>
          </cell>
          <cell r="K111" t="str">
            <v>Verificar</v>
          </cell>
          <cell r="L111" t="e">
            <v>#N/A</v>
          </cell>
          <cell r="M111" t="e">
            <v>#N/A</v>
          </cell>
        </row>
        <row r="112">
          <cell r="C112" t="str">
            <v>93YMAFEXAMJ728059</v>
          </cell>
          <cell r="D112" t="str">
            <v>01243470965</v>
          </cell>
          <cell r="E112" t="str">
            <v>Manaus</v>
          </cell>
          <cell r="F112" t="str">
            <v>AM</v>
          </cell>
          <cell r="G112" t="str">
            <v>Amarela</v>
          </cell>
          <cell r="H112" t="str">
            <v>MERCADO LIVRE</v>
          </cell>
          <cell r="I112" t="str">
            <v>Localiza</v>
          </cell>
          <cell r="K112" t="str">
            <v>Desmobilizado</v>
          </cell>
          <cell r="L112">
            <v>45792</v>
          </cell>
          <cell r="M112" t="str">
            <v>Dev</v>
          </cell>
        </row>
        <row r="113">
          <cell r="C113" t="str">
            <v>93YMAFEXAMJ727851</v>
          </cell>
          <cell r="D113" t="str">
            <v>01243470949</v>
          </cell>
          <cell r="E113" t="str">
            <v>Manaus</v>
          </cell>
          <cell r="F113" t="str">
            <v>AM</v>
          </cell>
          <cell r="G113" t="str">
            <v>Amarela</v>
          </cell>
          <cell r="H113" t="str">
            <v>MERCADO LIVRE</v>
          </cell>
          <cell r="I113" t="str">
            <v>Localiza</v>
          </cell>
          <cell r="K113" t="str">
            <v>Desmobilizado</v>
          </cell>
          <cell r="L113">
            <v>45722</v>
          </cell>
          <cell r="M113" t="str">
            <v>Dev</v>
          </cell>
        </row>
        <row r="114">
          <cell r="C114" t="str">
            <v>93YMAFEXAMJ727848</v>
          </cell>
          <cell r="D114" t="str">
            <v>01243470930</v>
          </cell>
          <cell r="E114" t="str">
            <v>Manaus</v>
          </cell>
          <cell r="F114" t="str">
            <v>AM</v>
          </cell>
          <cell r="G114" t="str">
            <v>Amarela</v>
          </cell>
          <cell r="H114" t="str">
            <v>MERCADO LIVRE</v>
          </cell>
          <cell r="I114" t="str">
            <v>Localiza</v>
          </cell>
          <cell r="K114" t="str">
            <v>Desmobilizado</v>
          </cell>
          <cell r="L114">
            <v>45722</v>
          </cell>
          <cell r="M114" t="str">
            <v>Dev</v>
          </cell>
        </row>
        <row r="115">
          <cell r="C115" t="str">
            <v>93YMAFEXAMJ751242</v>
          </cell>
          <cell r="D115" t="str">
            <v>01243470973</v>
          </cell>
          <cell r="E115" t="str">
            <v>Manaus</v>
          </cell>
          <cell r="F115" t="str">
            <v>AM</v>
          </cell>
          <cell r="G115" t="str">
            <v>Amarela</v>
          </cell>
          <cell r="H115" t="str">
            <v>MERCADO LIVRE</v>
          </cell>
          <cell r="I115" t="str">
            <v>Localiza</v>
          </cell>
          <cell r="K115" t="str">
            <v>Desmobilizado</v>
          </cell>
          <cell r="L115">
            <v>0</v>
          </cell>
          <cell r="M115" t="str">
            <v>Dev</v>
          </cell>
        </row>
        <row r="116">
          <cell r="C116" t="str">
            <v>93YMAFEXCMJ712093</v>
          </cell>
          <cell r="D116" t="str">
            <v>01242207420</v>
          </cell>
          <cell r="E116" t="str">
            <v>São Paulo</v>
          </cell>
          <cell r="F116" t="str">
            <v>SP</v>
          </cell>
          <cell r="G116" t="str">
            <v>Branca</v>
          </cell>
          <cell r="H116" t="str">
            <v>MERCADO LIVRE</v>
          </cell>
          <cell r="I116" t="str">
            <v>Localiza</v>
          </cell>
          <cell r="K116" t="str">
            <v>Desmobilizado</v>
          </cell>
          <cell r="L116">
            <v>45722</v>
          </cell>
          <cell r="M116" t="str">
            <v>Dev</v>
          </cell>
        </row>
        <row r="117">
          <cell r="C117" t="str">
            <v>93YMAFEXCMJ712368</v>
          </cell>
          <cell r="D117" t="str">
            <v>01242207454</v>
          </cell>
          <cell r="E117" t="str">
            <v>São Paulo</v>
          </cell>
          <cell r="F117" t="str">
            <v>SP</v>
          </cell>
          <cell r="G117" t="str">
            <v>Amarela</v>
          </cell>
          <cell r="H117" t="str">
            <v>MERCADO LIVRE</v>
          </cell>
          <cell r="I117" t="str">
            <v>Localiza</v>
          </cell>
          <cell r="M117" t="str">
            <v>SSP4</v>
          </cell>
        </row>
        <row r="118">
          <cell r="C118" t="str">
            <v>93YMAFEXCMJ712604</v>
          </cell>
          <cell r="D118" t="str">
            <v>01242527025</v>
          </cell>
          <cell r="E118" t="str">
            <v>São Paulo</v>
          </cell>
          <cell r="F118" t="str">
            <v>SP</v>
          </cell>
          <cell r="G118" t="str">
            <v>Amarela</v>
          </cell>
          <cell r="H118" t="str">
            <v>MERCADO LIVRE</v>
          </cell>
          <cell r="I118" t="str">
            <v>Localiza</v>
          </cell>
          <cell r="K118" t="str">
            <v>Desmobilizado</v>
          </cell>
          <cell r="L118">
            <v>45726</v>
          </cell>
          <cell r="M118" t="str">
            <v>Dev</v>
          </cell>
        </row>
        <row r="119">
          <cell r="C119" t="str">
            <v>VF1FWFZMPLU268894</v>
          </cell>
          <cell r="D119" t="str">
            <v>01242074217</v>
          </cell>
          <cell r="E119" t="str">
            <v>São Paulo</v>
          </cell>
          <cell r="F119" t="str">
            <v>SP</v>
          </cell>
          <cell r="G119" t="str">
            <v>Amarela</v>
          </cell>
          <cell r="H119" t="str">
            <v>MERCADO LIVRE</v>
          </cell>
          <cell r="I119" t="str">
            <v>Localiza</v>
          </cell>
          <cell r="K119" t="str">
            <v>Verificar</v>
          </cell>
          <cell r="L119">
            <v>0</v>
          </cell>
          <cell r="M119" t="str">
            <v>SSP1</v>
          </cell>
        </row>
        <row r="120">
          <cell r="C120" t="str">
            <v>VF1FWFZMPLU268891</v>
          </cell>
          <cell r="D120" t="str">
            <v>01242074187</v>
          </cell>
          <cell r="E120" t="str">
            <v>São Paulo</v>
          </cell>
          <cell r="F120" t="str">
            <v>SP</v>
          </cell>
          <cell r="G120" t="str">
            <v>Amarela</v>
          </cell>
          <cell r="H120" t="str">
            <v>MERCADO LIVRE</v>
          </cell>
          <cell r="I120" t="str">
            <v>Localiza</v>
          </cell>
          <cell r="K120" t="str">
            <v>Verificar</v>
          </cell>
          <cell r="L120" t="e">
            <v>#N/A</v>
          </cell>
          <cell r="M120" t="e">
            <v>#N/A</v>
          </cell>
        </row>
        <row r="121">
          <cell r="C121" t="str">
            <v>VF1FWFZMPLU268902</v>
          </cell>
          <cell r="D121" t="str">
            <v>01242074306</v>
          </cell>
          <cell r="E121" t="str">
            <v>São Paulo</v>
          </cell>
          <cell r="F121" t="str">
            <v>SP</v>
          </cell>
          <cell r="G121" t="str">
            <v>Amarela</v>
          </cell>
          <cell r="H121" t="str">
            <v>MERCADO LIVRE</v>
          </cell>
          <cell r="I121" t="str">
            <v>Localiza</v>
          </cell>
          <cell r="K121" t="str">
            <v>Verificar</v>
          </cell>
          <cell r="L121" t="e">
            <v>#N/A</v>
          </cell>
          <cell r="M121" t="e">
            <v>#N/A</v>
          </cell>
        </row>
        <row r="122">
          <cell r="C122" t="str">
            <v>VF1FWFZMPLU268885</v>
          </cell>
          <cell r="D122" t="str">
            <v>01242074136</v>
          </cell>
          <cell r="E122" t="str">
            <v>São Paulo</v>
          </cell>
          <cell r="F122" t="str">
            <v>SP</v>
          </cell>
          <cell r="G122" t="str">
            <v>Amarela</v>
          </cell>
          <cell r="H122" t="str">
            <v>MERCADO LIVRE</v>
          </cell>
          <cell r="I122" t="str">
            <v>Localiza</v>
          </cell>
          <cell r="K122" t="str">
            <v>Verificar</v>
          </cell>
          <cell r="L122" t="e">
            <v>#N/A</v>
          </cell>
          <cell r="M122" t="e">
            <v>#N/A</v>
          </cell>
        </row>
        <row r="123">
          <cell r="C123" t="str">
            <v>VF1FWFZMPLU268892</v>
          </cell>
          <cell r="D123" t="str">
            <v>01242074195</v>
          </cell>
          <cell r="E123" t="str">
            <v>São Paulo</v>
          </cell>
          <cell r="F123" t="str">
            <v>SP</v>
          </cell>
          <cell r="G123" t="str">
            <v>Amarela</v>
          </cell>
          <cell r="H123" t="str">
            <v>MERCADO LIVRE</v>
          </cell>
          <cell r="I123" t="str">
            <v>Localiza</v>
          </cell>
          <cell r="K123" t="str">
            <v>Verificar</v>
          </cell>
          <cell r="L123" t="e">
            <v>#N/A</v>
          </cell>
          <cell r="M123" t="e">
            <v>#N/A</v>
          </cell>
        </row>
        <row r="124">
          <cell r="C124" t="str">
            <v>VF1FWFZMPLU268904</v>
          </cell>
          <cell r="D124" t="str">
            <v>01242074322</v>
          </cell>
          <cell r="E124" t="str">
            <v>São Paulo</v>
          </cell>
          <cell r="F124" t="str">
            <v>SP</v>
          </cell>
          <cell r="G124" t="str">
            <v>Amarela</v>
          </cell>
          <cell r="H124" t="str">
            <v>MERCADO LIVRE</v>
          </cell>
          <cell r="I124" t="str">
            <v>Localiza</v>
          </cell>
          <cell r="K124" t="str">
            <v>Verificar</v>
          </cell>
          <cell r="L124" t="e">
            <v>#N/A</v>
          </cell>
          <cell r="M124" t="e">
            <v>#N/A</v>
          </cell>
        </row>
        <row r="125">
          <cell r="C125" t="str">
            <v>VF1FWEZHNLU144372</v>
          </cell>
          <cell r="D125" t="str">
            <v>01241755385</v>
          </cell>
          <cell r="E125" t="str">
            <v>São Paulo</v>
          </cell>
          <cell r="F125" t="str">
            <v>SP</v>
          </cell>
          <cell r="G125" t="str">
            <v>Amarela</v>
          </cell>
          <cell r="H125" t="str">
            <v>MERCADO LIVRE</v>
          </cell>
          <cell r="I125" t="str">
            <v>Localiza</v>
          </cell>
          <cell r="K125" t="str">
            <v>Verificar</v>
          </cell>
          <cell r="L125" t="e">
            <v>#N/A</v>
          </cell>
          <cell r="M125" t="e">
            <v>#N/A</v>
          </cell>
        </row>
        <row r="126">
          <cell r="C126" t="str">
            <v>VF1FWEZHNLU144366</v>
          </cell>
          <cell r="D126" t="str">
            <v>01241755270</v>
          </cell>
          <cell r="E126" t="str">
            <v>São Paulo</v>
          </cell>
          <cell r="F126" t="str">
            <v>SP</v>
          </cell>
          <cell r="G126" t="str">
            <v>Amarela</v>
          </cell>
          <cell r="H126" t="str">
            <v>MERCADO LIVRE</v>
          </cell>
          <cell r="I126" t="str">
            <v>Localiza</v>
          </cell>
          <cell r="K126" t="str">
            <v>Verificar</v>
          </cell>
          <cell r="L126">
            <v>0</v>
          </cell>
          <cell r="M126" t="e">
            <v>#N/A</v>
          </cell>
        </row>
        <row r="127">
          <cell r="C127" t="str">
            <v>VF1FWEZHNLU268869</v>
          </cell>
          <cell r="D127" t="str">
            <v>01241755474</v>
          </cell>
          <cell r="E127" t="str">
            <v>São Paulo</v>
          </cell>
          <cell r="F127" t="str">
            <v>SP</v>
          </cell>
          <cell r="G127" t="str">
            <v>Amarela</v>
          </cell>
          <cell r="H127" t="str">
            <v>MERCADO LIVRE</v>
          </cell>
          <cell r="I127" t="str">
            <v>Localiza</v>
          </cell>
          <cell r="K127" t="str">
            <v>Verificar</v>
          </cell>
          <cell r="L127" t="e">
            <v>#N/A</v>
          </cell>
          <cell r="M127" t="e">
            <v>#N/A</v>
          </cell>
        </row>
        <row r="128">
          <cell r="C128" t="str">
            <v>VF1FWEZHNLU268874</v>
          </cell>
          <cell r="D128" t="str">
            <v>01241755555</v>
          </cell>
          <cell r="E128" t="str">
            <v>São Paulo</v>
          </cell>
          <cell r="F128" t="str">
            <v>SP</v>
          </cell>
          <cell r="G128" t="str">
            <v>Amarela</v>
          </cell>
          <cell r="H128" t="str">
            <v>MERCADO LIVRE</v>
          </cell>
          <cell r="I128" t="str">
            <v>Localiza</v>
          </cell>
          <cell r="K128" t="str">
            <v>Verificar</v>
          </cell>
          <cell r="L128" t="e">
            <v>#N/A</v>
          </cell>
          <cell r="M128" t="e">
            <v>#N/A</v>
          </cell>
        </row>
        <row r="129">
          <cell r="C129" t="str">
            <v>VF1FWEZHNLU268875</v>
          </cell>
          <cell r="D129" t="str">
            <v>01241755563</v>
          </cell>
          <cell r="E129" t="str">
            <v>São Paulo</v>
          </cell>
          <cell r="F129" t="str">
            <v>SP</v>
          </cell>
          <cell r="G129" t="str">
            <v>Amarela</v>
          </cell>
          <cell r="H129" t="str">
            <v>MERCADO LIVRE</v>
          </cell>
          <cell r="I129" t="str">
            <v>Localiza</v>
          </cell>
          <cell r="K129" t="str">
            <v>Verificar</v>
          </cell>
          <cell r="L129" t="e">
            <v>#N/A</v>
          </cell>
          <cell r="M129" t="e">
            <v>#N/A</v>
          </cell>
        </row>
        <row r="130">
          <cell r="C130" t="str">
            <v>VF1FWEZHNLU268877</v>
          </cell>
          <cell r="D130" t="str">
            <v>01241755598</v>
          </cell>
          <cell r="E130" t="str">
            <v>São Paulo</v>
          </cell>
          <cell r="F130" t="str">
            <v>SP</v>
          </cell>
          <cell r="G130" t="str">
            <v>Amarela</v>
          </cell>
          <cell r="H130" t="str">
            <v>MERCADO LIVRE</v>
          </cell>
          <cell r="I130" t="str">
            <v>Localiza</v>
          </cell>
          <cell r="K130" t="str">
            <v>Verificar</v>
          </cell>
          <cell r="L130" t="e">
            <v>#N/A</v>
          </cell>
          <cell r="M130" t="e">
            <v>#N/A</v>
          </cell>
        </row>
        <row r="131">
          <cell r="C131" t="str">
            <v>VF1FWEZHNLU144370</v>
          </cell>
          <cell r="D131" t="str">
            <v>01241755350</v>
          </cell>
          <cell r="E131" t="str">
            <v>São Paulo</v>
          </cell>
          <cell r="F131" t="str">
            <v>SP</v>
          </cell>
          <cell r="G131" t="str">
            <v>Amarela</v>
          </cell>
          <cell r="H131" t="str">
            <v>MERCADO LIVRE</v>
          </cell>
          <cell r="I131" t="str">
            <v>Localiza</v>
          </cell>
          <cell r="K131" t="str">
            <v>Verificar</v>
          </cell>
          <cell r="L131" t="e">
            <v>#N/A</v>
          </cell>
          <cell r="M131" t="e">
            <v>#N/A</v>
          </cell>
        </row>
        <row r="132">
          <cell r="C132" t="str">
            <v>VF1FWEZHNLU144367</v>
          </cell>
          <cell r="D132" t="str">
            <v>01241755296</v>
          </cell>
          <cell r="E132" t="str">
            <v>São Paulo</v>
          </cell>
          <cell r="F132" t="str">
            <v>SP</v>
          </cell>
          <cell r="G132" t="str">
            <v>Amarela</v>
          </cell>
          <cell r="H132" t="str">
            <v>MERCADO LIVRE</v>
          </cell>
          <cell r="I132" t="str">
            <v>Localiza</v>
          </cell>
          <cell r="K132" t="str">
            <v>Verificar</v>
          </cell>
          <cell r="L132" t="e">
            <v>#N/A</v>
          </cell>
          <cell r="M132" t="e">
            <v>#N/A</v>
          </cell>
        </row>
        <row r="133">
          <cell r="C133" t="str">
            <v>VF1FWEZHNLU268870</v>
          </cell>
          <cell r="D133" t="str">
            <v>01241755490</v>
          </cell>
          <cell r="E133" t="str">
            <v>São Paulo</v>
          </cell>
          <cell r="F133" t="str">
            <v>SP</v>
          </cell>
          <cell r="G133" t="str">
            <v>Amarela</v>
          </cell>
          <cell r="H133" t="str">
            <v>MERCADO LIVRE</v>
          </cell>
          <cell r="I133" t="str">
            <v>Localiza</v>
          </cell>
          <cell r="K133" t="str">
            <v>Verificar</v>
          </cell>
          <cell r="L133" t="e">
            <v>#N/A</v>
          </cell>
          <cell r="M133" t="e">
            <v>#N/A</v>
          </cell>
        </row>
        <row r="134">
          <cell r="C134" t="str">
            <v>VF1FWEZHNLU144368</v>
          </cell>
          <cell r="D134" t="str">
            <v>01241755326</v>
          </cell>
          <cell r="E134" t="str">
            <v>Campinas</v>
          </cell>
          <cell r="F134" t="str">
            <v>SP</v>
          </cell>
          <cell r="G134" t="str">
            <v>Branca</v>
          </cell>
          <cell r="H134" t="str">
            <v>MERCADO LIVRE</v>
          </cell>
          <cell r="I134" t="str">
            <v>Localiza</v>
          </cell>
          <cell r="K134" t="str">
            <v>Verificar</v>
          </cell>
          <cell r="L134" t="e">
            <v>#N/A</v>
          </cell>
          <cell r="M134" t="e">
            <v>#N/A</v>
          </cell>
        </row>
        <row r="135">
          <cell r="C135" t="str">
            <v>93YMAFEXAMJ708213</v>
          </cell>
          <cell r="D135" t="str">
            <v>01241442123</v>
          </cell>
          <cell r="E135" t="str">
            <v>Campinas</v>
          </cell>
          <cell r="F135" t="str">
            <v>SP</v>
          </cell>
          <cell r="G135" t="str">
            <v>Amarela</v>
          </cell>
          <cell r="H135" t="str">
            <v>MERCADO LIVRE</v>
          </cell>
          <cell r="I135" t="str">
            <v>Localiza</v>
          </cell>
          <cell r="K135" t="str">
            <v>Desmobilizado</v>
          </cell>
          <cell r="L135">
            <v>45826</v>
          </cell>
          <cell r="M135" t="str">
            <v>Dev</v>
          </cell>
        </row>
        <row r="136">
          <cell r="C136" t="str">
            <v>93YMAFEXAMJ708211</v>
          </cell>
          <cell r="D136" t="str">
            <v>01241442115</v>
          </cell>
          <cell r="E136" t="str">
            <v>Campinas</v>
          </cell>
          <cell r="F136" t="str">
            <v>SP</v>
          </cell>
          <cell r="G136" t="str">
            <v>Amarela</v>
          </cell>
          <cell r="H136" t="str">
            <v>MERCADO LIVRE</v>
          </cell>
          <cell r="I136" t="str">
            <v>Localiza</v>
          </cell>
          <cell r="K136" t="str">
            <v>Desmobilizado</v>
          </cell>
          <cell r="L136">
            <v>45733</v>
          </cell>
          <cell r="M136" t="str">
            <v>Dev</v>
          </cell>
        </row>
        <row r="137">
          <cell r="C137" t="str">
            <v>93YMAFEXAMJ708377</v>
          </cell>
          <cell r="D137" t="str">
            <v>01241442387</v>
          </cell>
          <cell r="E137" t="str">
            <v>Curitiba</v>
          </cell>
          <cell r="F137" t="str">
            <v>PR</v>
          </cell>
          <cell r="G137" t="str">
            <v>Branca</v>
          </cell>
          <cell r="H137" t="str">
            <v>MERCADO LIVRE</v>
          </cell>
          <cell r="I137" t="str">
            <v>Localiza</v>
          </cell>
          <cell r="K137" t="str">
            <v>Verificar</v>
          </cell>
          <cell r="L137" t="e">
            <v>#N/A</v>
          </cell>
          <cell r="M137" t="e">
            <v>#N/A</v>
          </cell>
        </row>
        <row r="138">
          <cell r="C138" t="str">
            <v>93YMAFEXAMJ670043</v>
          </cell>
          <cell r="D138" t="str">
            <v>01241442085</v>
          </cell>
          <cell r="E138" t="str">
            <v>Campinas</v>
          </cell>
          <cell r="F138" t="str">
            <v>SP</v>
          </cell>
          <cell r="G138" t="str">
            <v>Amarela</v>
          </cell>
          <cell r="H138" t="str">
            <v>MERCADO LIVRE</v>
          </cell>
          <cell r="I138" t="str">
            <v>Localiza</v>
          </cell>
          <cell r="K138" t="str">
            <v>Desmobilizado</v>
          </cell>
          <cell r="L138">
            <v>45365</v>
          </cell>
          <cell r="M138" t="str">
            <v>Dev</v>
          </cell>
        </row>
        <row r="139">
          <cell r="C139" t="str">
            <v>93YMAFEXAMJ669860</v>
          </cell>
          <cell r="D139" t="str">
            <v>01241442069</v>
          </cell>
          <cell r="E139" t="str">
            <v>Porto Alegre</v>
          </cell>
          <cell r="F139" t="str">
            <v>RS</v>
          </cell>
          <cell r="G139" t="str">
            <v>Branca</v>
          </cell>
          <cell r="H139" t="str">
            <v>MERCADO LIVRE</v>
          </cell>
          <cell r="I139" t="str">
            <v>Localiza</v>
          </cell>
          <cell r="K139" t="str">
            <v>Verificar</v>
          </cell>
          <cell r="L139" t="e">
            <v>#N/A</v>
          </cell>
          <cell r="M139" t="e">
            <v>#N/A</v>
          </cell>
        </row>
        <row r="140">
          <cell r="C140" t="str">
            <v>93YMAFEXAMJ708375</v>
          </cell>
          <cell r="D140" t="str">
            <v>01241442360</v>
          </cell>
          <cell r="E140" t="str">
            <v>Curitiba</v>
          </cell>
          <cell r="F140" t="str">
            <v>PR</v>
          </cell>
          <cell r="G140" t="str">
            <v>Branca</v>
          </cell>
          <cell r="H140" t="str">
            <v>MERCADO LIVRE</v>
          </cell>
          <cell r="I140" t="str">
            <v>Localiza</v>
          </cell>
          <cell r="K140" t="str">
            <v>Verificar</v>
          </cell>
          <cell r="L140" t="e">
            <v>#N/A</v>
          </cell>
          <cell r="M140" t="e">
            <v>#N/A</v>
          </cell>
        </row>
        <row r="141">
          <cell r="C141" t="str">
            <v>93YMAFEXAMJ708379</v>
          </cell>
          <cell r="D141" t="str">
            <v>01241442425</v>
          </cell>
          <cell r="E141" t="str">
            <v>Curitiba</v>
          </cell>
          <cell r="F141" t="str">
            <v>PR</v>
          </cell>
          <cell r="G141" t="str">
            <v>Branca</v>
          </cell>
          <cell r="H141" t="str">
            <v>MERCADO LIVRE</v>
          </cell>
          <cell r="I141" t="str">
            <v>Localiza</v>
          </cell>
          <cell r="K141" t="str">
            <v>Verificar</v>
          </cell>
          <cell r="L141" t="e">
            <v>#N/A</v>
          </cell>
          <cell r="M141" t="e">
            <v>#N/A</v>
          </cell>
        </row>
        <row r="142">
          <cell r="C142" t="str">
            <v>93YMAFEXAMJ708212</v>
          </cell>
          <cell r="D142" t="str">
            <v>01242375764</v>
          </cell>
          <cell r="E142" t="str">
            <v>Campinas</v>
          </cell>
          <cell r="F142" t="str">
            <v>SP</v>
          </cell>
          <cell r="G142" t="str">
            <v>Amarela</v>
          </cell>
          <cell r="H142" t="str">
            <v>MERCADO LIVRE</v>
          </cell>
          <cell r="I142" t="str">
            <v>Localiza</v>
          </cell>
          <cell r="K142" t="str">
            <v>Desmobilizado</v>
          </cell>
          <cell r="L142">
            <v>45708</v>
          </cell>
          <cell r="M142" t="str">
            <v>Dev</v>
          </cell>
        </row>
        <row r="143">
          <cell r="C143" t="str">
            <v>93YMAFEXAMJ708402</v>
          </cell>
          <cell r="D143" t="str">
            <v>01242375799</v>
          </cell>
          <cell r="E143" t="str">
            <v>São Paulo</v>
          </cell>
          <cell r="F143" t="str">
            <v>SP</v>
          </cell>
          <cell r="G143" t="str">
            <v>Amarela</v>
          </cell>
          <cell r="H143" t="str">
            <v>MERCADO LIVRE</v>
          </cell>
          <cell r="I143" t="str">
            <v>Localiza</v>
          </cell>
          <cell r="K143" t="str">
            <v>Desmobilizado</v>
          </cell>
          <cell r="L143">
            <v>45814</v>
          </cell>
          <cell r="M143" t="str">
            <v>Dev</v>
          </cell>
        </row>
        <row r="144">
          <cell r="C144" t="str">
            <v>93YMAFEXAMJ708616</v>
          </cell>
          <cell r="D144" t="str">
            <v>01242375918</v>
          </cell>
          <cell r="E144" t="str">
            <v>Campinas</v>
          </cell>
          <cell r="F144" t="str">
            <v>SP</v>
          </cell>
          <cell r="G144" t="str">
            <v>Amarela</v>
          </cell>
          <cell r="H144" t="str">
            <v>MERCADO LIVRE</v>
          </cell>
          <cell r="I144" t="str">
            <v>Localiza</v>
          </cell>
          <cell r="K144" t="str">
            <v>Desmobilizado</v>
          </cell>
          <cell r="L144">
            <v>45736</v>
          </cell>
          <cell r="M144" t="str">
            <v>Dev</v>
          </cell>
        </row>
        <row r="145">
          <cell r="C145" t="str">
            <v>93YMAFEXAMJ708739</v>
          </cell>
          <cell r="D145" t="str">
            <v>01242375950</v>
          </cell>
          <cell r="E145" t="str">
            <v>Ribeirão Preto</v>
          </cell>
          <cell r="F145" t="str">
            <v>SP</v>
          </cell>
          <cell r="G145" t="str">
            <v>Amarela</v>
          </cell>
          <cell r="H145" t="str">
            <v>MERCADO LIVRE</v>
          </cell>
          <cell r="I145" t="str">
            <v>Localiza</v>
          </cell>
          <cell r="K145" t="str">
            <v>Desmobilizado</v>
          </cell>
          <cell r="L145">
            <v>45741</v>
          </cell>
          <cell r="M145" t="str">
            <v>Dev</v>
          </cell>
        </row>
        <row r="146">
          <cell r="C146" t="str">
            <v>93YMAFEXAMJ708665</v>
          </cell>
          <cell r="D146" t="str">
            <v>01242375926</v>
          </cell>
          <cell r="E146" t="str">
            <v>Campinas</v>
          </cell>
          <cell r="F146" t="str">
            <v>SP</v>
          </cell>
          <cell r="G146" t="str">
            <v>Amarela</v>
          </cell>
          <cell r="H146" t="str">
            <v>MERCADO LIVRE</v>
          </cell>
          <cell r="I146" t="str">
            <v>Localiza</v>
          </cell>
          <cell r="K146" t="str">
            <v>Verificar</v>
          </cell>
          <cell r="L146" t="e">
            <v>#N/A</v>
          </cell>
          <cell r="M146" t="e">
            <v>#N/A</v>
          </cell>
        </row>
        <row r="147">
          <cell r="C147" t="str">
            <v>93YMAFEXAMJ709321</v>
          </cell>
          <cell r="D147" t="str">
            <v>01242528005</v>
          </cell>
          <cell r="E147" t="str">
            <v>Brasília</v>
          </cell>
          <cell r="F147" t="str">
            <v>GO</v>
          </cell>
          <cell r="G147" t="str">
            <v>Amarela</v>
          </cell>
          <cell r="H147" t="str">
            <v>MERCADO LIVRE</v>
          </cell>
          <cell r="I147" t="str">
            <v>Localiza</v>
          </cell>
          <cell r="K147" t="str">
            <v>Desmobilizado</v>
          </cell>
          <cell r="L147">
            <v>45750</v>
          </cell>
          <cell r="M147" t="str">
            <v>Dev</v>
          </cell>
        </row>
        <row r="148">
          <cell r="C148" t="str">
            <v>93YMAFEXAMJ709299</v>
          </cell>
          <cell r="D148" t="str">
            <v>01242527980</v>
          </cell>
          <cell r="E148" t="str">
            <v>Brasília</v>
          </cell>
          <cell r="F148" t="str">
            <v>GO</v>
          </cell>
          <cell r="G148" t="str">
            <v>Amarela</v>
          </cell>
          <cell r="H148" t="str">
            <v>MERCADO LIVRE</v>
          </cell>
          <cell r="I148" t="str">
            <v>Localiza</v>
          </cell>
          <cell r="K148" t="str">
            <v>Desmobilizado</v>
          </cell>
          <cell r="L148">
            <v>45755</v>
          </cell>
          <cell r="M148" t="str">
            <v>Dev</v>
          </cell>
        </row>
        <row r="149">
          <cell r="C149" t="str">
            <v>93YMAFEXAMJ708862</v>
          </cell>
          <cell r="D149" t="str">
            <v>01242527874</v>
          </cell>
          <cell r="E149" t="str">
            <v>São Paulo</v>
          </cell>
          <cell r="F149" t="str">
            <v>SP</v>
          </cell>
          <cell r="G149" t="str">
            <v>Amarela</v>
          </cell>
          <cell r="H149" t="str">
            <v>MERCADO LIVRE</v>
          </cell>
          <cell r="I149" t="str">
            <v>Localiza</v>
          </cell>
          <cell r="K149" t="str">
            <v>Desmobilizado</v>
          </cell>
          <cell r="L149">
            <v>45730</v>
          </cell>
          <cell r="M149" t="str">
            <v>Dev</v>
          </cell>
        </row>
        <row r="150">
          <cell r="C150" t="str">
            <v>93YMAFEXAMJ709296</v>
          </cell>
          <cell r="D150" t="str">
            <v>01242527963</v>
          </cell>
          <cell r="E150" t="str">
            <v>Brasília</v>
          </cell>
          <cell r="F150" t="str">
            <v>GO</v>
          </cell>
          <cell r="G150" t="str">
            <v>Amarela</v>
          </cell>
          <cell r="H150" t="str">
            <v>MERCADO LIVRE</v>
          </cell>
          <cell r="I150" t="str">
            <v>Localiza</v>
          </cell>
          <cell r="K150" t="str">
            <v>Desmobilizado</v>
          </cell>
          <cell r="L150">
            <v>45751</v>
          </cell>
          <cell r="M150" t="str">
            <v>Dev</v>
          </cell>
        </row>
        <row r="151">
          <cell r="C151" t="str">
            <v>93YMAFEXAMJ709297</v>
          </cell>
          <cell r="D151" t="str">
            <v>01242527971</v>
          </cell>
          <cell r="E151" t="str">
            <v>Brasília</v>
          </cell>
          <cell r="F151" t="str">
            <v>GO</v>
          </cell>
          <cell r="G151" t="str">
            <v>Amarela</v>
          </cell>
          <cell r="H151" t="str">
            <v>MERCADO LIVRE</v>
          </cell>
          <cell r="I151" t="str">
            <v>Localiza</v>
          </cell>
          <cell r="K151" t="str">
            <v>Desmobilizado</v>
          </cell>
          <cell r="L151">
            <v>45754</v>
          </cell>
          <cell r="M151" t="str">
            <v>Dev</v>
          </cell>
        </row>
        <row r="152">
          <cell r="C152" t="str">
            <v>93YMAFEXAMJ708482</v>
          </cell>
          <cell r="D152" t="str">
            <v>01242527696</v>
          </cell>
          <cell r="E152" t="str">
            <v>Ribeirão Preto</v>
          </cell>
          <cell r="F152" t="str">
            <v>SP</v>
          </cell>
          <cell r="G152" t="str">
            <v>Amarela</v>
          </cell>
          <cell r="H152" t="str">
            <v>MERCADO LIVRE</v>
          </cell>
          <cell r="I152" t="str">
            <v>Localiza</v>
          </cell>
          <cell r="L152">
            <v>0</v>
          </cell>
          <cell r="M152" t="str">
            <v>SSP4</v>
          </cell>
        </row>
        <row r="153">
          <cell r="C153" t="str">
            <v>93YMAFEXAMJ709320</v>
          </cell>
          <cell r="D153" t="str">
            <v>01242527998</v>
          </cell>
          <cell r="E153" t="str">
            <v>Brasília</v>
          </cell>
          <cell r="F153" t="str">
            <v>GO</v>
          </cell>
          <cell r="G153" t="str">
            <v>Amarela</v>
          </cell>
          <cell r="H153" t="str">
            <v>MERCADO LIVRE</v>
          </cell>
          <cell r="I153" t="str">
            <v>Localiza</v>
          </cell>
          <cell r="K153" t="str">
            <v>Desmobilizado</v>
          </cell>
          <cell r="L153">
            <v>45756</v>
          </cell>
          <cell r="M153" t="str">
            <v>Dev</v>
          </cell>
        </row>
        <row r="154">
          <cell r="C154" t="str">
            <v>93YMAFEXANJ796382</v>
          </cell>
          <cell r="D154" t="str">
            <v>01253216433</v>
          </cell>
          <cell r="E154" t="str">
            <v>Belo Horizonte</v>
          </cell>
          <cell r="F154" t="str">
            <v>MG</v>
          </cell>
          <cell r="G154" t="str">
            <v>Amarela</v>
          </cell>
          <cell r="H154" t="str">
            <v>MERCADO LIVRE</v>
          </cell>
          <cell r="I154" t="str">
            <v>Localiza</v>
          </cell>
          <cell r="K154" t="str">
            <v>Desmobilizado</v>
          </cell>
          <cell r="L154">
            <v>45749</v>
          </cell>
          <cell r="M154" t="str">
            <v>Dev</v>
          </cell>
        </row>
        <row r="155">
          <cell r="C155" t="str">
            <v>93YMAFEXANJ796383</v>
          </cell>
          <cell r="D155" t="str">
            <v>01253216441</v>
          </cell>
          <cell r="E155" t="str">
            <v>Belo Horizonte</v>
          </cell>
          <cell r="F155" t="str">
            <v>MG</v>
          </cell>
          <cell r="G155" t="str">
            <v>Amarela</v>
          </cell>
          <cell r="H155" t="str">
            <v>MERCADO LIVRE</v>
          </cell>
          <cell r="I155" t="str">
            <v>Localiza</v>
          </cell>
          <cell r="K155" t="str">
            <v>Desmobilizado</v>
          </cell>
          <cell r="L155">
            <v>45744</v>
          </cell>
          <cell r="M155" t="str">
            <v>Dev</v>
          </cell>
        </row>
        <row r="156">
          <cell r="C156" t="str">
            <v>93YMAFEXANJ796413</v>
          </cell>
          <cell r="D156" t="str">
            <v>01255597841</v>
          </cell>
          <cell r="E156" t="str">
            <v>Campinas</v>
          </cell>
          <cell r="F156" t="str">
            <v>SP</v>
          </cell>
          <cell r="G156" t="str">
            <v>Amarela</v>
          </cell>
          <cell r="H156" t="str">
            <v>MERCADO LIVRE</v>
          </cell>
          <cell r="I156" t="str">
            <v>Localiza</v>
          </cell>
          <cell r="K156" t="str">
            <v>Desmobilizado</v>
          </cell>
          <cell r="L156">
            <v>45688</v>
          </cell>
          <cell r="M156" t="str">
            <v>Dev</v>
          </cell>
        </row>
        <row r="157">
          <cell r="C157" t="str">
            <v>9535PFTE5NR024837</v>
          </cell>
          <cell r="D157" t="str">
            <v>01269717780</v>
          </cell>
          <cell r="E157" t="str">
            <v>São Paulo</v>
          </cell>
          <cell r="F157" t="str">
            <v>SP</v>
          </cell>
          <cell r="G157" t="str">
            <v>Branca</v>
          </cell>
          <cell r="H157" t="str">
            <v>MERCADO LIVRE</v>
          </cell>
          <cell r="I157" t="str">
            <v>Localiza</v>
          </cell>
          <cell r="L157" t="e">
            <v>#N/A</v>
          </cell>
          <cell r="M157" t="str">
            <v>SSP5</v>
          </cell>
        </row>
        <row r="158">
          <cell r="C158" t="str">
            <v>9535PFTE1NR024950</v>
          </cell>
          <cell r="D158" t="str">
            <v>01269717666</v>
          </cell>
          <cell r="E158" t="str">
            <v>São Paulo</v>
          </cell>
          <cell r="F158" t="str">
            <v>SP</v>
          </cell>
          <cell r="G158" t="str">
            <v>Branca</v>
          </cell>
          <cell r="H158" t="str">
            <v>MERCADO LIVRE</v>
          </cell>
          <cell r="I158" t="str">
            <v>Localiza</v>
          </cell>
          <cell r="L158" t="e">
            <v>#N/A</v>
          </cell>
          <cell r="M158" t="str">
            <v>BRRC01</v>
          </cell>
        </row>
        <row r="159">
          <cell r="C159" t="str">
            <v>93YMAFEXANJ877103</v>
          </cell>
          <cell r="D159" t="str">
            <v>01258744268</v>
          </cell>
          <cell r="E159" t="str">
            <v>São Paulo</v>
          </cell>
          <cell r="F159" t="str">
            <v>SP</v>
          </cell>
          <cell r="G159" t="str">
            <v>Amarela</v>
          </cell>
          <cell r="H159" t="str">
            <v>MERCADO LIVRE</v>
          </cell>
          <cell r="I159" t="str">
            <v>Localiza</v>
          </cell>
          <cell r="L159">
            <v>0</v>
          </cell>
          <cell r="M159" t="str">
            <v>SSP3</v>
          </cell>
        </row>
        <row r="160">
          <cell r="C160" t="str">
            <v>93YMAFEXANJ878060</v>
          </cell>
          <cell r="D160" t="str">
            <v>01258612060</v>
          </cell>
          <cell r="E160" t="str">
            <v>Campinas</v>
          </cell>
          <cell r="F160" t="str">
            <v>SP</v>
          </cell>
          <cell r="G160" t="str">
            <v>Branca</v>
          </cell>
          <cell r="H160" t="str">
            <v>MERCADO LIVRE</v>
          </cell>
          <cell r="I160" t="str">
            <v>Localiza</v>
          </cell>
          <cell r="L160">
            <v>0</v>
          </cell>
          <cell r="M160" t="str">
            <v>SSP3</v>
          </cell>
        </row>
        <row r="161">
          <cell r="C161" t="str">
            <v>9BD2651MHM9197913</v>
          </cell>
          <cell r="D161" t="str">
            <v>01275690685</v>
          </cell>
          <cell r="E161" t="str">
            <v>São Paulo</v>
          </cell>
          <cell r="F161" t="str">
            <v>SP</v>
          </cell>
          <cell r="G161" t="str">
            <v>Branca</v>
          </cell>
          <cell r="H161" t="str">
            <v>MERCADO LIVRE</v>
          </cell>
          <cell r="I161" t="str">
            <v>Localiza</v>
          </cell>
          <cell r="K161" t="str">
            <v>Verificar</v>
          </cell>
          <cell r="L161" t="e">
            <v>#N/A</v>
          </cell>
          <cell r="M161" t="e">
            <v>#N/A</v>
          </cell>
        </row>
        <row r="162">
          <cell r="C162" t="str">
            <v>9BD2651MHM9197916</v>
          </cell>
          <cell r="D162" t="str">
            <v>01275690693</v>
          </cell>
          <cell r="E162" t="str">
            <v>São Paulo</v>
          </cell>
          <cell r="F162" t="str">
            <v>SP</v>
          </cell>
          <cell r="G162" t="str">
            <v>Branca</v>
          </cell>
          <cell r="H162" t="str">
            <v>MERCADO LIVRE</v>
          </cell>
          <cell r="I162" t="str">
            <v>Localiza</v>
          </cell>
          <cell r="K162" t="str">
            <v>Verificar</v>
          </cell>
          <cell r="L162" t="e">
            <v>#N/A</v>
          </cell>
          <cell r="M162" t="e">
            <v>#N/A</v>
          </cell>
        </row>
        <row r="163">
          <cell r="C163" t="str">
            <v>9BD2651MHM9197902</v>
          </cell>
          <cell r="D163" t="str">
            <v>01275690618</v>
          </cell>
          <cell r="E163" t="str">
            <v>Ribeirão Preto</v>
          </cell>
          <cell r="F163" t="str">
            <v>SP</v>
          </cell>
          <cell r="G163" t="str">
            <v>Branca</v>
          </cell>
          <cell r="H163" t="str">
            <v>MERCADO LIVRE</v>
          </cell>
          <cell r="I163" t="str">
            <v>Localiza</v>
          </cell>
          <cell r="K163" t="str">
            <v>Verificar</v>
          </cell>
          <cell r="L163" t="e">
            <v>#N/A</v>
          </cell>
          <cell r="M163" t="e">
            <v>#N/A</v>
          </cell>
        </row>
        <row r="164">
          <cell r="C164" t="str">
            <v>9BD2651MHM9197920</v>
          </cell>
          <cell r="D164" t="str">
            <v>01275690723</v>
          </cell>
          <cell r="E164" t="str">
            <v>São Paulo</v>
          </cell>
          <cell r="F164" t="str">
            <v>SP</v>
          </cell>
          <cell r="G164" t="str">
            <v>Branca</v>
          </cell>
          <cell r="H164" t="str">
            <v>MERCADO LIVRE</v>
          </cell>
          <cell r="I164" t="str">
            <v>Localiza</v>
          </cell>
          <cell r="K164" t="str">
            <v>Verificar</v>
          </cell>
          <cell r="L164" t="e">
            <v>#N/A</v>
          </cell>
          <cell r="M164" t="e">
            <v>#N/A</v>
          </cell>
        </row>
        <row r="165">
          <cell r="C165" t="str">
            <v>9BD2651MHM9197942</v>
          </cell>
          <cell r="D165" t="str">
            <v>01275690847</v>
          </cell>
          <cell r="E165" t="str">
            <v>São Paulo</v>
          </cell>
          <cell r="F165" t="str">
            <v>SP</v>
          </cell>
          <cell r="G165" t="str">
            <v>Branca</v>
          </cell>
          <cell r="H165" t="str">
            <v>MERCADO LIVRE</v>
          </cell>
          <cell r="I165" t="str">
            <v>Localiza</v>
          </cell>
          <cell r="K165" t="str">
            <v>Verificar</v>
          </cell>
          <cell r="L165" t="e">
            <v>#N/A</v>
          </cell>
          <cell r="M165" t="e">
            <v>#N/A</v>
          </cell>
        </row>
        <row r="166">
          <cell r="C166" t="str">
            <v>93YMAFEXANJ949921</v>
          </cell>
          <cell r="D166" t="str">
            <v>01264342290</v>
          </cell>
          <cell r="E166" t="str">
            <v>São Paulo</v>
          </cell>
          <cell r="F166" t="str">
            <v>SP</v>
          </cell>
          <cell r="G166" t="str">
            <v>Amarela</v>
          </cell>
          <cell r="H166" t="str">
            <v>MERCADO LIVRE</v>
          </cell>
          <cell r="I166" t="str">
            <v>Localiza</v>
          </cell>
          <cell r="L166">
            <v>0</v>
          </cell>
          <cell r="M166" t="str">
            <v>SSP42</v>
          </cell>
        </row>
        <row r="167">
          <cell r="C167" t="str">
            <v>93YMAFEXANJ950365</v>
          </cell>
          <cell r="D167" t="str">
            <v>01264342605</v>
          </cell>
          <cell r="E167" t="str">
            <v>São Paulo</v>
          </cell>
          <cell r="F167" t="str">
            <v>SP</v>
          </cell>
          <cell r="G167" t="str">
            <v>Amarela</v>
          </cell>
          <cell r="H167" t="str">
            <v>MERCADO LIVRE</v>
          </cell>
          <cell r="I167" t="str">
            <v>Localiza</v>
          </cell>
          <cell r="K167" t="str">
            <v>Verificar</v>
          </cell>
          <cell r="L167" t="e">
            <v>#N/A</v>
          </cell>
          <cell r="M167" t="e">
            <v>#N/A</v>
          </cell>
        </row>
        <row r="168">
          <cell r="C168" t="str">
            <v>93YMAFEXANJ949925</v>
          </cell>
          <cell r="D168" t="str">
            <v>01264342397</v>
          </cell>
          <cell r="E168" t="str">
            <v>Ribeirão Preto</v>
          </cell>
          <cell r="F168" t="str">
            <v>SP</v>
          </cell>
          <cell r="G168" t="str">
            <v>Amarela</v>
          </cell>
          <cell r="H168" t="str">
            <v>MERCADO LIVRE</v>
          </cell>
          <cell r="I168" t="str">
            <v>Localiza</v>
          </cell>
          <cell r="L168">
            <v>0</v>
          </cell>
          <cell r="M168" t="str">
            <v>SSP26</v>
          </cell>
        </row>
        <row r="169">
          <cell r="C169" t="str">
            <v>93YMAFEXANJ949939</v>
          </cell>
          <cell r="D169" t="str">
            <v>01264342427</v>
          </cell>
          <cell r="E169" t="str">
            <v>Ribeirão Preto</v>
          </cell>
          <cell r="F169" t="str">
            <v>SP</v>
          </cell>
          <cell r="G169" t="str">
            <v>Amarela</v>
          </cell>
          <cell r="H169" t="str">
            <v>MERCADO LIVRE</v>
          </cell>
          <cell r="I169" t="str">
            <v>Localiza</v>
          </cell>
          <cell r="L169">
            <v>0</v>
          </cell>
          <cell r="M169" t="str">
            <v>SSP4</v>
          </cell>
        </row>
        <row r="170">
          <cell r="C170" t="str">
            <v>93YMAFEXANJ950270</v>
          </cell>
          <cell r="D170" t="str">
            <v>01264342516</v>
          </cell>
          <cell r="E170" t="str">
            <v>Ribeirão Preto</v>
          </cell>
          <cell r="F170" t="str">
            <v>SP</v>
          </cell>
          <cell r="G170" t="str">
            <v>Amarela</v>
          </cell>
          <cell r="H170" t="str">
            <v>MERCADO LIVRE</v>
          </cell>
          <cell r="I170" t="str">
            <v>Localiza</v>
          </cell>
          <cell r="K170" t="str">
            <v>Verificar</v>
          </cell>
          <cell r="L170" t="e">
            <v>#N/A</v>
          </cell>
          <cell r="M170" t="e">
            <v>#N/A</v>
          </cell>
        </row>
        <row r="171">
          <cell r="C171" t="str">
            <v>93YMAFEXANJ952352</v>
          </cell>
          <cell r="D171" t="str">
            <v>01264342729</v>
          </cell>
          <cell r="E171" t="str">
            <v>São Paulo</v>
          </cell>
          <cell r="F171" t="str">
            <v>SP</v>
          </cell>
          <cell r="G171" t="str">
            <v>Amarela</v>
          </cell>
          <cell r="H171" t="str">
            <v>MERCADO LIVRE</v>
          </cell>
          <cell r="I171" t="str">
            <v>Localiza</v>
          </cell>
          <cell r="K171" t="str">
            <v>Desmobilizado</v>
          </cell>
          <cell r="L171">
            <v>45887</v>
          </cell>
          <cell r="M171" t="str">
            <v>Dev</v>
          </cell>
        </row>
        <row r="172">
          <cell r="C172" t="str">
            <v>93YMAFEXANJ910810</v>
          </cell>
          <cell r="D172" t="str">
            <v>01264342869</v>
          </cell>
          <cell r="E172" t="str">
            <v>Campinas</v>
          </cell>
          <cell r="F172" t="str">
            <v>sp</v>
          </cell>
          <cell r="G172" t="str">
            <v>Amarela</v>
          </cell>
          <cell r="H172" t="str">
            <v>MERCADO LIVRE</v>
          </cell>
          <cell r="I172" t="str">
            <v>Localiza</v>
          </cell>
          <cell r="K172" t="str">
            <v>Verificar</v>
          </cell>
          <cell r="L172">
            <v>0</v>
          </cell>
          <cell r="M172" t="e">
            <v>#N/A</v>
          </cell>
        </row>
        <row r="173">
          <cell r="C173" t="str">
            <v>93YMAFEXANJ951095</v>
          </cell>
          <cell r="D173" t="str">
            <v>01264342974</v>
          </cell>
          <cell r="E173" t="str">
            <v>São Paulo</v>
          </cell>
          <cell r="F173" t="str">
            <v>SP</v>
          </cell>
          <cell r="G173" t="str">
            <v>Amarela</v>
          </cell>
          <cell r="H173" t="str">
            <v>MERCADO LIVRE</v>
          </cell>
          <cell r="I173" t="str">
            <v>Localiza</v>
          </cell>
          <cell r="K173" t="str">
            <v>Desmobilizado</v>
          </cell>
          <cell r="L173">
            <v>45817</v>
          </cell>
          <cell r="M173" t="str">
            <v>SSP17</v>
          </cell>
        </row>
        <row r="174">
          <cell r="C174" t="str">
            <v>93YMAFEXANJ951200</v>
          </cell>
          <cell r="D174" t="str">
            <v>01264342990</v>
          </cell>
          <cell r="E174" t="str">
            <v>São Paulo</v>
          </cell>
          <cell r="F174" t="str">
            <v>SP</v>
          </cell>
          <cell r="G174" t="str">
            <v>Amarela</v>
          </cell>
          <cell r="H174" t="str">
            <v>MERCADO LIVRE</v>
          </cell>
          <cell r="I174" t="str">
            <v>Localiza</v>
          </cell>
          <cell r="L174">
            <v>0</v>
          </cell>
          <cell r="M174" t="str">
            <v>SSP34</v>
          </cell>
        </row>
        <row r="175">
          <cell r="C175" t="str">
            <v>93YMAFEXANJ952235</v>
          </cell>
          <cell r="D175" t="str">
            <v>01264343040</v>
          </cell>
          <cell r="E175" t="str">
            <v>São Paulo</v>
          </cell>
          <cell r="F175" t="str">
            <v>SP</v>
          </cell>
          <cell r="G175" t="str">
            <v>Amarela</v>
          </cell>
          <cell r="H175" t="str">
            <v>MERCADO LIVRE</v>
          </cell>
          <cell r="I175" t="str">
            <v>Localiza</v>
          </cell>
          <cell r="K175" t="str">
            <v>Verificar</v>
          </cell>
          <cell r="L175" t="e">
            <v>#N/A</v>
          </cell>
          <cell r="M175" t="e">
            <v>#N/A</v>
          </cell>
        </row>
        <row r="176">
          <cell r="C176" t="str">
            <v>93YMAFEXANJ951096</v>
          </cell>
          <cell r="D176" t="str">
            <v>01264342982</v>
          </cell>
          <cell r="E176" t="str">
            <v>São Paulo</v>
          </cell>
          <cell r="F176" t="str">
            <v>SP</v>
          </cell>
          <cell r="G176" t="str">
            <v>Amarela</v>
          </cell>
          <cell r="H176" t="str">
            <v>MERCADO LIVRE</v>
          </cell>
          <cell r="I176" t="str">
            <v>Localiza</v>
          </cell>
          <cell r="L176">
            <v>0</v>
          </cell>
          <cell r="M176" t="str">
            <v>SSP5</v>
          </cell>
        </row>
        <row r="177">
          <cell r="C177" t="str">
            <v>93YMAFEXANJ951941</v>
          </cell>
          <cell r="D177" t="str">
            <v>01264343016</v>
          </cell>
          <cell r="E177" t="str">
            <v>São Paulo</v>
          </cell>
          <cell r="F177" t="str">
            <v>SP</v>
          </cell>
          <cell r="G177" t="str">
            <v>Amarela</v>
          </cell>
          <cell r="H177" t="str">
            <v>MERCADO LIVRE</v>
          </cell>
          <cell r="I177" t="str">
            <v>Localiza</v>
          </cell>
          <cell r="L177">
            <v>0</v>
          </cell>
          <cell r="M177" t="str">
            <v>SSP25</v>
          </cell>
        </row>
        <row r="178">
          <cell r="C178" t="str">
            <v>93YMAFEXANJ950987</v>
          </cell>
          <cell r="D178" t="str">
            <v>01264342931</v>
          </cell>
          <cell r="E178" t="str">
            <v>São Paulo</v>
          </cell>
          <cell r="F178" t="str">
            <v>SP</v>
          </cell>
          <cell r="G178" t="str">
            <v>Amarela</v>
          </cell>
          <cell r="H178" t="str">
            <v>MERCADO LIVRE</v>
          </cell>
          <cell r="I178" t="str">
            <v>Localiza</v>
          </cell>
          <cell r="L178">
            <v>0</v>
          </cell>
          <cell r="M178" t="str">
            <v>SSP5</v>
          </cell>
        </row>
        <row r="179">
          <cell r="C179" t="str">
            <v>93YMAFEXANJ952233</v>
          </cell>
          <cell r="D179" t="str">
            <v>01264343032</v>
          </cell>
          <cell r="E179" t="str">
            <v>São Paulo</v>
          </cell>
          <cell r="F179" t="str">
            <v>SP</v>
          </cell>
          <cell r="G179" t="str">
            <v>Amarela</v>
          </cell>
          <cell r="H179" t="str">
            <v>MERCADO LIVRE</v>
          </cell>
          <cell r="I179" t="str">
            <v>Localiza</v>
          </cell>
          <cell r="L179">
            <v>0</v>
          </cell>
          <cell r="M179" t="str">
            <v>SSP8</v>
          </cell>
        </row>
        <row r="180">
          <cell r="C180" t="str">
            <v>93YMAFEXANJ951203</v>
          </cell>
          <cell r="D180" t="str">
            <v>01264343008</v>
          </cell>
          <cell r="E180" t="str">
            <v>Belo Horizonte</v>
          </cell>
          <cell r="F180" t="str">
            <v>MG</v>
          </cell>
          <cell r="G180" t="str">
            <v>Amarela</v>
          </cell>
          <cell r="H180" t="str">
            <v>MERCADO LIVRE</v>
          </cell>
          <cell r="I180" t="str">
            <v>Localiza</v>
          </cell>
          <cell r="K180" t="str">
            <v>Verificar</v>
          </cell>
          <cell r="L180" t="e">
            <v>#N/A</v>
          </cell>
          <cell r="M180" t="e">
            <v>#N/A</v>
          </cell>
        </row>
        <row r="181">
          <cell r="C181" t="str">
            <v>93YMAFEXANJ950271</v>
          </cell>
          <cell r="D181" t="str">
            <v>01264342877</v>
          </cell>
          <cell r="E181" t="str">
            <v>São Paulo</v>
          </cell>
          <cell r="F181" t="str">
            <v>SP</v>
          </cell>
          <cell r="G181" t="str">
            <v>Amarela</v>
          </cell>
          <cell r="H181" t="str">
            <v>MERCADO LIVRE</v>
          </cell>
          <cell r="I181" t="str">
            <v>Localiza</v>
          </cell>
          <cell r="K181" t="str">
            <v>Verificar</v>
          </cell>
          <cell r="L181" t="e">
            <v>#N/A</v>
          </cell>
          <cell r="M181" t="e">
            <v>#N/A</v>
          </cell>
        </row>
        <row r="182">
          <cell r="C182" t="str">
            <v>93YMAFEXANJ952350</v>
          </cell>
          <cell r="D182" t="str">
            <v>01264343083</v>
          </cell>
          <cell r="E182" t="str">
            <v>Campinas</v>
          </cell>
          <cell r="F182" t="str">
            <v>SP</v>
          </cell>
          <cell r="G182" t="str">
            <v>Amarela</v>
          </cell>
          <cell r="H182" t="str">
            <v>MERCADO LIVRE</v>
          </cell>
          <cell r="I182" t="str">
            <v>Localiza</v>
          </cell>
          <cell r="K182" t="str">
            <v>Desmobilizado</v>
          </cell>
          <cell r="L182">
            <v>45873</v>
          </cell>
          <cell r="M182" t="str">
            <v>Dev</v>
          </cell>
        </row>
        <row r="183">
          <cell r="C183" t="str">
            <v>93YMAFEXANJ951942</v>
          </cell>
          <cell r="D183" t="str">
            <v>01264924809</v>
          </cell>
          <cell r="E183" t="str">
            <v>Campinas</v>
          </cell>
          <cell r="F183" t="str">
            <v>sp</v>
          </cell>
          <cell r="G183" t="str">
            <v>Amarela</v>
          </cell>
          <cell r="H183" t="str">
            <v>MERCADO LIVRE</v>
          </cell>
          <cell r="I183" t="str">
            <v>Localiza</v>
          </cell>
          <cell r="L183">
            <v>0</v>
          </cell>
          <cell r="M183" t="str">
            <v>SSP3</v>
          </cell>
        </row>
        <row r="184">
          <cell r="C184" t="str">
            <v>93YMAFEXANJ952353</v>
          </cell>
          <cell r="D184" t="str">
            <v>01264924914</v>
          </cell>
          <cell r="E184" t="str">
            <v>Campinas</v>
          </cell>
          <cell r="F184" t="str">
            <v>sp</v>
          </cell>
          <cell r="G184" t="str">
            <v>Amarela</v>
          </cell>
          <cell r="H184" t="str">
            <v>MERCADO LIVRE</v>
          </cell>
          <cell r="I184" t="str">
            <v>Localiza</v>
          </cell>
          <cell r="L184">
            <v>0</v>
          </cell>
          <cell r="M184" t="str">
            <v>SSP3</v>
          </cell>
        </row>
        <row r="185">
          <cell r="C185" t="str">
            <v>93YMAFEXANJ951943</v>
          </cell>
          <cell r="D185" t="str">
            <v>01264924817</v>
          </cell>
          <cell r="E185" t="str">
            <v>São Paulo</v>
          </cell>
          <cell r="F185" t="str">
            <v>SP</v>
          </cell>
          <cell r="G185" t="str">
            <v>Amarela</v>
          </cell>
          <cell r="H185" t="str">
            <v>MERCADO LIVRE</v>
          </cell>
          <cell r="I185" t="str">
            <v>Localiza</v>
          </cell>
          <cell r="K185" t="str">
            <v>Verificar</v>
          </cell>
          <cell r="L185" t="e">
            <v>#N/A</v>
          </cell>
          <cell r="M185" t="e">
            <v>#N/A</v>
          </cell>
        </row>
        <row r="186">
          <cell r="C186" t="str">
            <v>93YMAFEXANJ952299</v>
          </cell>
          <cell r="D186" t="str">
            <v>01264924868</v>
          </cell>
          <cell r="E186" t="str">
            <v>Campinas</v>
          </cell>
          <cell r="F186" t="str">
            <v>sp</v>
          </cell>
          <cell r="G186" t="str">
            <v>Amarela</v>
          </cell>
          <cell r="H186" t="str">
            <v>MERCADO LIVRE</v>
          </cell>
          <cell r="I186" t="str">
            <v>Localiza</v>
          </cell>
          <cell r="L186">
            <v>0</v>
          </cell>
          <cell r="M186" t="str">
            <v>SSP3</v>
          </cell>
        </row>
        <row r="187">
          <cell r="C187" t="str">
            <v>93YMAFEXANJ954325</v>
          </cell>
          <cell r="D187" t="str">
            <v>01264924973</v>
          </cell>
          <cell r="E187" t="str">
            <v>Campinas</v>
          </cell>
          <cell r="F187" t="str">
            <v>sp</v>
          </cell>
          <cell r="G187" t="str">
            <v>Amarela</v>
          </cell>
          <cell r="H187" t="str">
            <v>MERCADO LIVRE</v>
          </cell>
          <cell r="I187" t="str">
            <v>Localiza</v>
          </cell>
          <cell r="L187">
            <v>0</v>
          </cell>
          <cell r="M187" t="str">
            <v>SSP3</v>
          </cell>
        </row>
        <row r="188">
          <cell r="C188" t="str">
            <v>93YMAFEXANJ947489</v>
          </cell>
          <cell r="D188" t="str">
            <v>01264924744</v>
          </cell>
          <cell r="E188" t="str">
            <v>São Paulo</v>
          </cell>
          <cell r="F188" t="str">
            <v>SP</v>
          </cell>
          <cell r="G188" t="str">
            <v>Amarela</v>
          </cell>
          <cell r="H188" t="str">
            <v>MERCADO LIVRE</v>
          </cell>
          <cell r="I188" t="str">
            <v>Localiza</v>
          </cell>
          <cell r="L188">
            <v>0</v>
          </cell>
          <cell r="M188" t="str">
            <v>SSP36</v>
          </cell>
        </row>
        <row r="189">
          <cell r="C189" t="str">
            <v>93YMAFEXANJ954323</v>
          </cell>
          <cell r="D189" t="str">
            <v>01265353007</v>
          </cell>
          <cell r="E189" t="str">
            <v>Ribeirão Preto</v>
          </cell>
          <cell r="F189" t="str">
            <v>SP</v>
          </cell>
          <cell r="G189" t="str">
            <v>Amarela</v>
          </cell>
          <cell r="H189" t="str">
            <v>MERCADO LIVRE</v>
          </cell>
          <cell r="I189" t="str">
            <v>Localiza</v>
          </cell>
          <cell r="L189">
            <v>0</v>
          </cell>
          <cell r="M189" t="str">
            <v>SSP4</v>
          </cell>
        </row>
        <row r="190">
          <cell r="C190" t="str">
            <v>93YMAFEXANJ952521</v>
          </cell>
          <cell r="D190" t="str">
            <v>01265352701</v>
          </cell>
          <cell r="E190" t="str">
            <v>Ribeirão Preto</v>
          </cell>
          <cell r="F190" t="str">
            <v>SP</v>
          </cell>
          <cell r="G190" t="str">
            <v>Amarela</v>
          </cell>
          <cell r="H190" t="str">
            <v>MERCADO LIVRE</v>
          </cell>
          <cell r="I190" t="str">
            <v>Localiza</v>
          </cell>
          <cell r="L190">
            <v>0</v>
          </cell>
          <cell r="M190" t="str">
            <v>SSP4</v>
          </cell>
        </row>
        <row r="191">
          <cell r="C191" t="str">
            <v>93YMAFEXANJ953175</v>
          </cell>
          <cell r="D191" t="str">
            <v>01265352892</v>
          </cell>
          <cell r="E191" t="str">
            <v>Campinas</v>
          </cell>
          <cell r="F191" t="str">
            <v>sp</v>
          </cell>
          <cell r="G191" t="str">
            <v>Amarela</v>
          </cell>
          <cell r="H191" t="str">
            <v>MERCADO LIVRE</v>
          </cell>
          <cell r="I191" t="str">
            <v>Localiza</v>
          </cell>
          <cell r="L191">
            <v>0</v>
          </cell>
          <cell r="M191" t="str">
            <v>SSP3</v>
          </cell>
        </row>
        <row r="192">
          <cell r="C192" t="str">
            <v>93YMAFEXANJ953912</v>
          </cell>
          <cell r="D192" t="str">
            <v>01265352906</v>
          </cell>
          <cell r="E192" t="str">
            <v>São Paulo</v>
          </cell>
          <cell r="F192" t="str">
            <v>SP</v>
          </cell>
          <cell r="G192" t="str">
            <v>Amarela</v>
          </cell>
          <cell r="H192" t="str">
            <v>MERCADO LIVRE</v>
          </cell>
          <cell r="I192" t="str">
            <v>Localiza</v>
          </cell>
          <cell r="K192" t="str">
            <v>Desmobilizado</v>
          </cell>
          <cell r="L192">
            <v>45726</v>
          </cell>
          <cell r="M192" t="str">
            <v>Dev</v>
          </cell>
        </row>
        <row r="193">
          <cell r="C193" t="str">
            <v>93YMAFEXANJ952564</v>
          </cell>
          <cell r="D193" t="str">
            <v>01265352728</v>
          </cell>
          <cell r="E193" t="str">
            <v>São Paulo</v>
          </cell>
          <cell r="F193" t="str">
            <v>SP</v>
          </cell>
          <cell r="G193" t="str">
            <v>Amarela</v>
          </cell>
          <cell r="H193" t="str">
            <v>MERCADO LIVRE</v>
          </cell>
          <cell r="I193" t="str">
            <v>Localiza</v>
          </cell>
          <cell r="L193">
            <v>0</v>
          </cell>
          <cell r="M193" t="str">
            <v>SSP37</v>
          </cell>
        </row>
        <row r="194">
          <cell r="C194" t="str">
            <v>93YMAFEXANJ948872</v>
          </cell>
          <cell r="D194" t="str">
            <v>01265912405</v>
          </cell>
          <cell r="E194" t="str">
            <v>São Paulo</v>
          </cell>
          <cell r="F194" t="str">
            <v>SP</v>
          </cell>
          <cell r="G194" t="str">
            <v>Amarela</v>
          </cell>
          <cell r="H194" t="str">
            <v>MERCADO LIVRE</v>
          </cell>
          <cell r="I194" t="str">
            <v>Localiza</v>
          </cell>
          <cell r="L194">
            <v>0</v>
          </cell>
          <cell r="M194" t="str">
            <v>SSP5</v>
          </cell>
        </row>
        <row r="195">
          <cell r="C195" t="str">
            <v>93YMAFEXANJ952561</v>
          </cell>
          <cell r="D195" t="str">
            <v>01265912499</v>
          </cell>
          <cell r="E195" t="str">
            <v>Curitiba</v>
          </cell>
          <cell r="F195" t="str">
            <v>PR</v>
          </cell>
          <cell r="G195" t="str">
            <v>Amarela</v>
          </cell>
          <cell r="H195" t="str">
            <v>MERCADO LIVRE</v>
          </cell>
          <cell r="I195" t="str">
            <v>Localiza</v>
          </cell>
          <cell r="L195">
            <v>0</v>
          </cell>
          <cell r="M195" t="str">
            <v>SPR8</v>
          </cell>
        </row>
        <row r="196">
          <cell r="C196" t="str">
            <v>93YMAFEXANJ952518</v>
          </cell>
          <cell r="D196" t="str">
            <v>01265912480</v>
          </cell>
          <cell r="E196" t="str">
            <v>São Paulo</v>
          </cell>
          <cell r="F196" t="str">
            <v>SP</v>
          </cell>
          <cell r="G196" t="str">
            <v>Amarela</v>
          </cell>
          <cell r="H196" t="str">
            <v>MERCADO LIVRE</v>
          </cell>
          <cell r="I196" t="str">
            <v>Localiza</v>
          </cell>
          <cell r="K196" t="str">
            <v>Desmobilizado</v>
          </cell>
          <cell r="L196">
            <v>45880</v>
          </cell>
          <cell r="M196" t="str">
            <v>SSP5</v>
          </cell>
        </row>
        <row r="197">
          <cell r="C197" t="str">
            <v>93YMAFEXANJ975536</v>
          </cell>
          <cell r="D197" t="str">
            <v>01267275046</v>
          </cell>
          <cell r="E197" t="str">
            <v>Ribeirão Preto</v>
          </cell>
          <cell r="F197" t="str">
            <v>SP</v>
          </cell>
          <cell r="G197" t="str">
            <v>Amarela</v>
          </cell>
          <cell r="H197" t="str">
            <v>MERCADO LIVRE</v>
          </cell>
          <cell r="I197" t="str">
            <v>Localiza</v>
          </cell>
          <cell r="L197">
            <v>0</v>
          </cell>
          <cell r="M197" t="str">
            <v>SSP22</v>
          </cell>
        </row>
        <row r="198">
          <cell r="C198" t="str">
            <v>93YMAFEXANJ974867</v>
          </cell>
          <cell r="D198" t="str">
            <v>01267274945</v>
          </cell>
          <cell r="E198" t="str">
            <v>Ribeirão Preto</v>
          </cell>
          <cell r="F198" t="str">
            <v>SP</v>
          </cell>
          <cell r="G198" t="str">
            <v>Amarela</v>
          </cell>
          <cell r="H198" t="str">
            <v>MERCADO LIVRE</v>
          </cell>
          <cell r="I198" t="str">
            <v>Localiza</v>
          </cell>
          <cell r="L198">
            <v>0</v>
          </cell>
          <cell r="M198" t="str">
            <v>SSP4</v>
          </cell>
        </row>
        <row r="199">
          <cell r="C199" t="str">
            <v>93YMAFEXANJ975895</v>
          </cell>
          <cell r="D199" t="str">
            <v>01267503472</v>
          </cell>
          <cell r="E199" t="str">
            <v>Ribeirão Preto</v>
          </cell>
          <cell r="F199" t="str">
            <v>SP</v>
          </cell>
          <cell r="G199" t="str">
            <v>Amarela</v>
          </cell>
          <cell r="H199" t="str">
            <v>MERCADO LIVRE</v>
          </cell>
          <cell r="I199" t="str">
            <v>Localiza</v>
          </cell>
          <cell r="L199">
            <v>0</v>
          </cell>
          <cell r="M199" t="str">
            <v>SSP22</v>
          </cell>
        </row>
        <row r="200">
          <cell r="C200" t="str">
            <v>93YMAFEXANJ976486</v>
          </cell>
          <cell r="D200" t="str">
            <v>01267503758</v>
          </cell>
          <cell r="E200" t="str">
            <v>Ribeirão Preto</v>
          </cell>
          <cell r="F200" t="str">
            <v>SP</v>
          </cell>
          <cell r="G200" t="str">
            <v>Amarela</v>
          </cell>
          <cell r="H200" t="str">
            <v>MERCADO LIVRE</v>
          </cell>
          <cell r="I200" t="str">
            <v>Localiza</v>
          </cell>
          <cell r="L200">
            <v>0</v>
          </cell>
          <cell r="M200" t="str">
            <v>SSP4</v>
          </cell>
        </row>
        <row r="201">
          <cell r="C201" t="str">
            <v>93YMAFEXANJ976542</v>
          </cell>
          <cell r="D201" t="str">
            <v>01267503790</v>
          </cell>
          <cell r="E201" t="str">
            <v>Ribeirão Preto</v>
          </cell>
          <cell r="F201" t="str">
            <v>SP</v>
          </cell>
          <cell r="G201" t="str">
            <v>Amarela</v>
          </cell>
          <cell r="H201" t="str">
            <v>MERCADO LIVRE</v>
          </cell>
          <cell r="I201" t="str">
            <v>Localiza</v>
          </cell>
          <cell r="L201">
            <v>0</v>
          </cell>
          <cell r="M201" t="str">
            <v>SSP4</v>
          </cell>
        </row>
        <row r="202">
          <cell r="C202" t="str">
            <v>93YMAFEXANJ976270</v>
          </cell>
          <cell r="D202" t="str">
            <v>01267503561</v>
          </cell>
          <cell r="E202" t="str">
            <v>Ribeirão Preto</v>
          </cell>
          <cell r="F202" t="str">
            <v>SP</v>
          </cell>
          <cell r="G202" t="str">
            <v>Amarela</v>
          </cell>
          <cell r="H202" t="str">
            <v>MERCADO LIVRE</v>
          </cell>
          <cell r="I202" t="str">
            <v>Localiza</v>
          </cell>
          <cell r="L202">
            <v>0</v>
          </cell>
          <cell r="M202" t="str">
            <v>SSP4</v>
          </cell>
        </row>
        <row r="203">
          <cell r="C203" t="str">
            <v>93YMAFEXANJ976423</v>
          </cell>
          <cell r="D203" t="str">
            <v>01267723405</v>
          </cell>
          <cell r="E203" t="str">
            <v>Campinas</v>
          </cell>
          <cell r="F203" t="str">
            <v>SP</v>
          </cell>
          <cell r="G203" t="str">
            <v>Amarela</v>
          </cell>
          <cell r="H203" t="str">
            <v>MERCADO LIVRE</v>
          </cell>
          <cell r="I203" t="str">
            <v>Localiza</v>
          </cell>
          <cell r="L203">
            <v>0</v>
          </cell>
          <cell r="M203" t="str">
            <v>SSP11</v>
          </cell>
        </row>
        <row r="204">
          <cell r="C204" t="str">
            <v>93YMAFEXANJ986550</v>
          </cell>
          <cell r="D204" t="str">
            <v>01267723502</v>
          </cell>
          <cell r="E204" t="str">
            <v>São Paulo</v>
          </cell>
          <cell r="F204" t="str">
            <v>SP</v>
          </cell>
          <cell r="G204" t="str">
            <v>Amarela</v>
          </cell>
          <cell r="H204" t="str">
            <v>MERCADO LIVRE</v>
          </cell>
          <cell r="I204" t="str">
            <v>Localiza</v>
          </cell>
          <cell r="L204">
            <v>0</v>
          </cell>
          <cell r="M204" t="str">
            <v>BRRC01</v>
          </cell>
        </row>
        <row r="205">
          <cell r="C205" t="str">
            <v>93YMAFEXANJ976414</v>
          </cell>
          <cell r="D205" t="str">
            <v>01267723383</v>
          </cell>
          <cell r="E205" t="str">
            <v>Ribeirão Preto</v>
          </cell>
          <cell r="F205" t="str">
            <v>SP</v>
          </cell>
          <cell r="G205" t="str">
            <v>Amarela</v>
          </cell>
          <cell r="H205" t="str">
            <v>MERCADO LIVRE</v>
          </cell>
          <cell r="I205" t="str">
            <v>Localiza</v>
          </cell>
          <cell r="K205" t="str">
            <v>Verificar</v>
          </cell>
          <cell r="L205" t="e">
            <v>#N/A</v>
          </cell>
          <cell r="M205" t="e">
            <v>#N/A</v>
          </cell>
        </row>
        <row r="206">
          <cell r="C206" t="str">
            <v>93YMAFEXANJ976470</v>
          </cell>
          <cell r="D206" t="str">
            <v>01267503669</v>
          </cell>
          <cell r="E206" t="str">
            <v>Ribeirão Preto</v>
          </cell>
          <cell r="F206" t="str">
            <v>SP</v>
          </cell>
          <cell r="G206" t="str">
            <v>Amarela</v>
          </cell>
          <cell r="H206" t="str">
            <v>MERCADO LIVRE</v>
          </cell>
          <cell r="I206" t="str">
            <v>Localiza</v>
          </cell>
          <cell r="L206">
            <v>0</v>
          </cell>
          <cell r="M206" t="str">
            <v>SSP4</v>
          </cell>
        </row>
        <row r="207">
          <cell r="C207" t="str">
            <v>93YMAFEXANJ976335</v>
          </cell>
          <cell r="D207" t="str">
            <v>01267723367</v>
          </cell>
          <cell r="E207" t="str">
            <v>Ribeirão Preto</v>
          </cell>
          <cell r="F207" t="str">
            <v>SP</v>
          </cell>
          <cell r="G207" t="str">
            <v>Amarela</v>
          </cell>
          <cell r="H207" t="str">
            <v>MERCADO LIVRE</v>
          </cell>
          <cell r="I207" t="str">
            <v>Localiza</v>
          </cell>
          <cell r="L207">
            <v>0</v>
          </cell>
          <cell r="M207" t="str">
            <v>SSP10</v>
          </cell>
        </row>
        <row r="208">
          <cell r="C208" t="str">
            <v>93YMAFEXANJ976144</v>
          </cell>
          <cell r="D208" t="str">
            <v>01267503545</v>
          </cell>
          <cell r="E208" t="str">
            <v>Ribeirão Preto</v>
          </cell>
          <cell r="F208" t="str">
            <v>SP</v>
          </cell>
          <cell r="G208" t="str">
            <v>Amarela</v>
          </cell>
          <cell r="H208" t="str">
            <v>MERCADO LIVRE</v>
          </cell>
          <cell r="I208" t="str">
            <v>Localiza</v>
          </cell>
          <cell r="L208">
            <v>0</v>
          </cell>
          <cell r="M208" t="str">
            <v>SSP22</v>
          </cell>
        </row>
        <row r="209">
          <cell r="C209" t="str">
            <v>93YMAFEXANJ976283</v>
          </cell>
          <cell r="D209" t="str">
            <v>01267503570</v>
          </cell>
          <cell r="E209" t="str">
            <v>Ribeirão Preto</v>
          </cell>
          <cell r="F209" t="str">
            <v>SP</v>
          </cell>
          <cell r="G209" t="str">
            <v>Amarela</v>
          </cell>
          <cell r="H209" t="str">
            <v>MERCADO LIVRE</v>
          </cell>
          <cell r="I209" t="str">
            <v>Localiza</v>
          </cell>
          <cell r="L209">
            <v>0</v>
          </cell>
          <cell r="M209" t="str">
            <v>SSP22</v>
          </cell>
        </row>
        <row r="210">
          <cell r="C210" t="str">
            <v>93YMAFEXANJ976546</v>
          </cell>
          <cell r="D210" t="str">
            <v>01267503820</v>
          </cell>
          <cell r="E210" t="str">
            <v>Ribeirão Preto</v>
          </cell>
          <cell r="F210" t="str">
            <v>SP</v>
          </cell>
          <cell r="G210" t="str">
            <v>Amarela</v>
          </cell>
          <cell r="H210" t="str">
            <v>MERCADO LIVRE</v>
          </cell>
          <cell r="I210" t="str">
            <v>Localiza</v>
          </cell>
          <cell r="L210">
            <v>0</v>
          </cell>
          <cell r="M210" t="str">
            <v>SSP22</v>
          </cell>
        </row>
        <row r="211">
          <cell r="C211" t="str">
            <v>93YMAFEXANJ976544</v>
          </cell>
          <cell r="D211" t="str">
            <v>01267503804</v>
          </cell>
          <cell r="E211" t="str">
            <v>Ribeirão Preto</v>
          </cell>
          <cell r="F211" t="str">
            <v>SP</v>
          </cell>
          <cell r="G211" t="str">
            <v>Amarela</v>
          </cell>
          <cell r="H211" t="str">
            <v>MERCADO LIVRE</v>
          </cell>
          <cell r="I211" t="str">
            <v>Localiza</v>
          </cell>
          <cell r="L211">
            <v>0</v>
          </cell>
          <cell r="M211" t="str">
            <v>SSP26</v>
          </cell>
        </row>
        <row r="212">
          <cell r="C212" t="str">
            <v>93YMAFEXANJ976339</v>
          </cell>
          <cell r="D212" t="str">
            <v>01267878727</v>
          </cell>
          <cell r="E212" t="str">
            <v>São Paulo</v>
          </cell>
          <cell r="F212" t="str">
            <v>SP</v>
          </cell>
          <cell r="G212" t="str">
            <v>Amarela</v>
          </cell>
          <cell r="H212" t="str">
            <v>MERCADO LIVRE</v>
          </cell>
          <cell r="I212" t="str">
            <v>Localiza</v>
          </cell>
          <cell r="K212" t="str">
            <v>Desmobilizado</v>
          </cell>
          <cell r="L212">
            <v>45870</v>
          </cell>
          <cell r="M212" t="str">
            <v>SSP34</v>
          </cell>
        </row>
        <row r="213">
          <cell r="C213" t="str">
            <v>93YMAFEXANJ977077</v>
          </cell>
          <cell r="D213" t="str">
            <v>01267878891</v>
          </cell>
          <cell r="E213" t="str">
            <v>São Paulo</v>
          </cell>
          <cell r="F213" t="str">
            <v>SP</v>
          </cell>
          <cell r="G213" t="str">
            <v>Amarela</v>
          </cell>
          <cell r="H213" t="str">
            <v>MERCADO LIVRE</v>
          </cell>
          <cell r="I213" t="str">
            <v>Localiza</v>
          </cell>
          <cell r="K213" t="str">
            <v>Verificar</v>
          </cell>
          <cell r="L213" t="e">
            <v>#N/A</v>
          </cell>
          <cell r="M213" t="e">
            <v>#N/A</v>
          </cell>
        </row>
        <row r="214">
          <cell r="C214" t="str">
            <v>93YMAFEXANJ976269</v>
          </cell>
          <cell r="D214" t="str">
            <v>01267878670</v>
          </cell>
          <cell r="E214" t="str">
            <v>Campinas</v>
          </cell>
          <cell r="F214" t="str">
            <v>SP</v>
          </cell>
          <cell r="G214" t="str">
            <v>Amarela</v>
          </cell>
          <cell r="H214" t="str">
            <v>MERCADO LIVRE</v>
          </cell>
          <cell r="I214" t="str">
            <v>Localiza</v>
          </cell>
          <cell r="K214" t="str">
            <v>Verificar</v>
          </cell>
          <cell r="L214" t="e">
            <v>#N/A</v>
          </cell>
          <cell r="M214" t="e">
            <v>#N/A</v>
          </cell>
        </row>
        <row r="215">
          <cell r="C215" t="str">
            <v>93YMAFEXANJ976703</v>
          </cell>
          <cell r="D215" t="str">
            <v>01267878808</v>
          </cell>
          <cell r="E215" t="str">
            <v>São Paulo</v>
          </cell>
          <cell r="F215" t="str">
            <v>SP</v>
          </cell>
          <cell r="G215" t="str">
            <v>Amarela</v>
          </cell>
          <cell r="H215" t="str">
            <v>MERCADO LIVRE</v>
          </cell>
          <cell r="I215" t="str">
            <v>Localiza</v>
          </cell>
          <cell r="L215">
            <v>0</v>
          </cell>
          <cell r="M215" t="str">
            <v>SSP17</v>
          </cell>
        </row>
        <row r="216">
          <cell r="C216" t="str">
            <v>93YMAFEXANJ976704</v>
          </cell>
          <cell r="D216" t="str">
            <v>01267878824</v>
          </cell>
          <cell r="E216" t="str">
            <v>São Paulo</v>
          </cell>
          <cell r="F216" t="str">
            <v>SP</v>
          </cell>
          <cell r="G216" t="str">
            <v>Amarela</v>
          </cell>
          <cell r="H216" t="str">
            <v>MERCADO LIVRE</v>
          </cell>
          <cell r="I216" t="str">
            <v>Localiza</v>
          </cell>
          <cell r="L216">
            <v>0</v>
          </cell>
          <cell r="M216" t="str">
            <v>SSP34</v>
          </cell>
        </row>
        <row r="217">
          <cell r="C217" t="str">
            <v>93YMAFEXANJ976268</v>
          </cell>
          <cell r="D217" t="str">
            <v>01267878662</v>
          </cell>
          <cell r="E217" t="str">
            <v>Campinas</v>
          </cell>
          <cell r="F217" t="str">
            <v>SP</v>
          </cell>
          <cell r="G217" t="str">
            <v>Amarela</v>
          </cell>
          <cell r="H217" t="str">
            <v>MERCADO LIVRE</v>
          </cell>
          <cell r="I217" t="str">
            <v>Localiza</v>
          </cell>
          <cell r="L217">
            <v>0</v>
          </cell>
          <cell r="M217" t="str">
            <v>SSP11</v>
          </cell>
        </row>
        <row r="218">
          <cell r="C218" t="str">
            <v>93YMAFEXANJ977019</v>
          </cell>
          <cell r="D218" t="str">
            <v>01267878875</v>
          </cell>
          <cell r="E218" t="str">
            <v>São Paulo</v>
          </cell>
          <cell r="F218" t="str">
            <v>SP</v>
          </cell>
          <cell r="G218" t="str">
            <v>Amarela</v>
          </cell>
          <cell r="H218" t="str">
            <v>MERCADO LIVRE</v>
          </cell>
          <cell r="I218" t="str">
            <v>Localiza</v>
          </cell>
          <cell r="K218" t="str">
            <v>Verificar</v>
          </cell>
          <cell r="L218">
            <v>0</v>
          </cell>
          <cell r="M218" t="e">
            <v>#N/A</v>
          </cell>
        </row>
        <row r="219">
          <cell r="C219" t="str">
            <v>93YMAFEXANJ976838</v>
          </cell>
          <cell r="D219" t="str">
            <v>01267878832</v>
          </cell>
          <cell r="E219" t="str">
            <v>São Paulo</v>
          </cell>
          <cell r="F219" t="str">
            <v>SP</v>
          </cell>
          <cell r="G219" t="str">
            <v>Amarela</v>
          </cell>
          <cell r="H219" t="str">
            <v>MERCADO LIVRE</v>
          </cell>
          <cell r="I219" t="str">
            <v>Localiza</v>
          </cell>
          <cell r="K219" t="str">
            <v>Desmobilizado</v>
          </cell>
          <cell r="L219">
            <v>45924</v>
          </cell>
          <cell r="M219" t="str">
            <v>SSP34</v>
          </cell>
        </row>
        <row r="220">
          <cell r="C220" t="str">
            <v>93YMAFEXANJ976842</v>
          </cell>
          <cell r="D220" t="str">
            <v>01268042142</v>
          </cell>
          <cell r="E220" t="str">
            <v>Campinas</v>
          </cell>
          <cell r="F220" t="str">
            <v>sp</v>
          </cell>
          <cell r="G220" t="str">
            <v>Amarela</v>
          </cell>
          <cell r="H220" t="str">
            <v>MERCADO LIVRE</v>
          </cell>
          <cell r="I220" t="str">
            <v>Localiza</v>
          </cell>
          <cell r="K220" t="str">
            <v>Desmobilizado</v>
          </cell>
          <cell r="L220">
            <v>45840</v>
          </cell>
          <cell r="M220" t="str">
            <v>SSP3</v>
          </cell>
        </row>
        <row r="221">
          <cell r="C221" t="str">
            <v>93YMAFEXANJ976338</v>
          </cell>
          <cell r="D221" t="str">
            <v>01268042118</v>
          </cell>
          <cell r="E221" t="str">
            <v>São Paulo</v>
          </cell>
          <cell r="F221" t="str">
            <v>SP</v>
          </cell>
          <cell r="G221" t="str">
            <v>Amarela</v>
          </cell>
          <cell r="H221" t="str">
            <v>MERCADO LIVRE</v>
          </cell>
          <cell r="I221" t="str">
            <v>Localiza</v>
          </cell>
          <cell r="K221" t="str">
            <v>Verificar</v>
          </cell>
          <cell r="L221" t="e">
            <v>#N/A</v>
          </cell>
          <cell r="M221" t="e">
            <v>#N/A</v>
          </cell>
        </row>
        <row r="222">
          <cell r="C222" t="str">
            <v>93YMAFEXANJ975847</v>
          </cell>
          <cell r="D222" t="str">
            <v>01268143798</v>
          </cell>
          <cell r="E222" t="str">
            <v>São Paulo</v>
          </cell>
          <cell r="F222" t="str">
            <v>SP</v>
          </cell>
          <cell r="G222" t="str">
            <v>Amarela</v>
          </cell>
          <cell r="H222" t="str">
            <v>MERCADO LIVRE</v>
          </cell>
          <cell r="I222" t="str">
            <v>Localiza</v>
          </cell>
          <cell r="K222" t="str">
            <v>Desmobilizado</v>
          </cell>
          <cell r="L222">
            <v>45862</v>
          </cell>
          <cell r="M222" t="str">
            <v>SSP34</v>
          </cell>
        </row>
        <row r="223">
          <cell r="C223" t="str">
            <v>93YMAFEXANJ976526</v>
          </cell>
          <cell r="D223" t="str">
            <v>01268143801</v>
          </cell>
          <cell r="E223" t="str">
            <v>São Paulo</v>
          </cell>
          <cell r="F223" t="str">
            <v>SP</v>
          </cell>
          <cell r="G223" t="str">
            <v>Amarela</v>
          </cell>
          <cell r="H223" t="str">
            <v>MERCADO LIVRE</v>
          </cell>
          <cell r="I223" t="str">
            <v>Localiza</v>
          </cell>
          <cell r="K223" t="str">
            <v>Verificar</v>
          </cell>
          <cell r="L223" t="e">
            <v>#N/A</v>
          </cell>
          <cell r="M223" t="e">
            <v>#N/A</v>
          </cell>
        </row>
        <row r="224">
          <cell r="C224" t="str">
            <v>93YMAFEXANJ976839</v>
          </cell>
          <cell r="D224" t="str">
            <v>01268154803</v>
          </cell>
          <cell r="E224" t="str">
            <v>São Paulo</v>
          </cell>
          <cell r="F224" t="str">
            <v>SP</v>
          </cell>
          <cell r="G224" t="str">
            <v>Amarela</v>
          </cell>
          <cell r="H224" t="str">
            <v>MERCADO LIVRE</v>
          </cell>
          <cell r="I224" t="str">
            <v>Localiza</v>
          </cell>
          <cell r="K224" t="str">
            <v>Desmobilizado</v>
          </cell>
          <cell r="L224">
            <v>45810</v>
          </cell>
          <cell r="M224" t="str">
            <v>SSP16</v>
          </cell>
        </row>
        <row r="225">
          <cell r="C225" t="str">
            <v>93YMAFEXANJ976982</v>
          </cell>
          <cell r="D225" t="str">
            <v>01268154854</v>
          </cell>
          <cell r="E225" t="str">
            <v>São Paulo</v>
          </cell>
          <cell r="F225" t="str">
            <v>SP</v>
          </cell>
          <cell r="G225" t="str">
            <v>Amarela</v>
          </cell>
          <cell r="H225" t="str">
            <v>MERCADO LIVRE</v>
          </cell>
          <cell r="I225" t="str">
            <v>Localiza</v>
          </cell>
          <cell r="L225">
            <v>0</v>
          </cell>
          <cell r="M225" t="str">
            <v>SSP5</v>
          </cell>
        </row>
        <row r="226">
          <cell r="C226" t="str">
            <v>93YMAFEXANJ976471</v>
          </cell>
          <cell r="D226" t="str">
            <v>01268154790</v>
          </cell>
          <cell r="E226" t="str">
            <v>São Paulo</v>
          </cell>
          <cell r="F226" t="str">
            <v>SP</v>
          </cell>
          <cell r="G226" t="str">
            <v>Amarela</v>
          </cell>
          <cell r="H226" t="str">
            <v>MERCADO LIVRE</v>
          </cell>
          <cell r="I226" t="str">
            <v>Localiza</v>
          </cell>
          <cell r="L226">
            <v>0</v>
          </cell>
          <cell r="M226" t="str">
            <v>SSP17</v>
          </cell>
        </row>
        <row r="227">
          <cell r="C227" t="str">
            <v>93YMAFEXANJ976955</v>
          </cell>
          <cell r="D227" t="str">
            <v>01268154811</v>
          </cell>
          <cell r="E227" t="str">
            <v>São Paulo</v>
          </cell>
          <cell r="F227" t="str">
            <v>SP</v>
          </cell>
          <cell r="G227" t="str">
            <v>Amarela</v>
          </cell>
          <cell r="H227" t="str">
            <v>MERCADO LIVRE</v>
          </cell>
          <cell r="I227" t="str">
            <v>Localiza</v>
          </cell>
          <cell r="K227" t="str">
            <v>Verificar</v>
          </cell>
          <cell r="L227" t="e">
            <v>#N/A</v>
          </cell>
          <cell r="M227" t="e">
            <v>#N/A</v>
          </cell>
        </row>
        <row r="228">
          <cell r="C228" t="str">
            <v>93YMAFEXANJ977173</v>
          </cell>
          <cell r="D228" t="str">
            <v>01268725720</v>
          </cell>
          <cell r="E228" t="str">
            <v>LRIO - Rio de Janeiro</v>
          </cell>
          <cell r="F228" t="str">
            <v>RJ</v>
          </cell>
          <cell r="G228" t="str">
            <v>Amarela</v>
          </cell>
          <cell r="H228" t="str">
            <v>MERCADO LIVRE</v>
          </cell>
          <cell r="I228" t="str">
            <v>Localiza</v>
          </cell>
          <cell r="K228" t="str">
            <v>Desmobilizado</v>
          </cell>
          <cell r="L228">
            <v>45722</v>
          </cell>
          <cell r="M228" t="str">
            <v>Dev</v>
          </cell>
        </row>
        <row r="229">
          <cell r="C229" t="str">
            <v>93YMAFEXANJ976545</v>
          </cell>
          <cell r="D229" t="str">
            <v>01267503812</v>
          </cell>
          <cell r="E229" t="str">
            <v>Ribeirão Preto</v>
          </cell>
          <cell r="F229" t="str">
            <v>SP</v>
          </cell>
          <cell r="G229" t="str">
            <v>Amarela</v>
          </cell>
          <cell r="H229" t="str">
            <v>MERCADO LIVRE</v>
          </cell>
          <cell r="I229" t="str">
            <v>Localiza</v>
          </cell>
          <cell r="K229" t="str">
            <v>Verificar</v>
          </cell>
          <cell r="L229" t="e">
            <v>#N/A</v>
          </cell>
          <cell r="M229" t="e">
            <v>#N/A</v>
          </cell>
        </row>
        <row r="230">
          <cell r="C230" t="str">
            <v>93YMAFEXANJ986578</v>
          </cell>
          <cell r="D230" t="str">
            <v>01268725789</v>
          </cell>
          <cell r="E230" t="str">
            <v>Ribeirão Preto</v>
          </cell>
          <cell r="F230" t="str">
            <v>SP</v>
          </cell>
          <cell r="G230" t="str">
            <v>Amarela</v>
          </cell>
          <cell r="H230" t="str">
            <v>MERCADO LIVRE</v>
          </cell>
          <cell r="I230" t="str">
            <v>Localiza</v>
          </cell>
          <cell r="L230">
            <v>0</v>
          </cell>
          <cell r="M230" t="str">
            <v>SSP10</v>
          </cell>
        </row>
        <row r="231">
          <cell r="C231" t="str">
            <v>93YMAFEXANJ976259</v>
          </cell>
          <cell r="D231" t="str">
            <v>01268725649</v>
          </cell>
          <cell r="E231" t="str">
            <v>São Paulo</v>
          </cell>
          <cell r="F231" t="str">
            <v>SP</v>
          </cell>
          <cell r="G231" t="str">
            <v>Amarela</v>
          </cell>
          <cell r="H231" t="str">
            <v>MERCADO LIVRE</v>
          </cell>
          <cell r="I231" t="str">
            <v>Localiza</v>
          </cell>
          <cell r="L231">
            <v>0</v>
          </cell>
          <cell r="M231" t="str">
            <v>SSP20</v>
          </cell>
        </row>
        <row r="232">
          <cell r="C232" t="str">
            <v>93YMAFEXANJ976003</v>
          </cell>
          <cell r="D232" t="str">
            <v>01268725533</v>
          </cell>
          <cell r="E232" t="str">
            <v>Ribeirão Preto</v>
          </cell>
          <cell r="F232" t="str">
            <v>SP</v>
          </cell>
          <cell r="G232" t="str">
            <v>Amarela</v>
          </cell>
          <cell r="H232" t="str">
            <v>MERCADO LIVRE</v>
          </cell>
          <cell r="I232" t="str">
            <v>Localiza</v>
          </cell>
          <cell r="L232">
            <v>0</v>
          </cell>
          <cell r="M232" t="str">
            <v>SSP10</v>
          </cell>
        </row>
        <row r="233">
          <cell r="C233" t="str">
            <v>93YMAFEXANJ976183</v>
          </cell>
          <cell r="D233" t="str">
            <v>01268771080</v>
          </cell>
          <cell r="E233" t="str">
            <v>São Paulo</v>
          </cell>
          <cell r="F233" t="str">
            <v>SP</v>
          </cell>
          <cell r="G233" t="str">
            <v>Amarela</v>
          </cell>
          <cell r="H233" t="str">
            <v>MERCADO LIVRE</v>
          </cell>
          <cell r="I233" t="str">
            <v>Localiza</v>
          </cell>
          <cell r="K233" t="str">
            <v>Desmobilizado</v>
          </cell>
          <cell r="L233">
            <v>45870</v>
          </cell>
          <cell r="M233" t="str">
            <v>SSP20</v>
          </cell>
        </row>
        <row r="234">
          <cell r="C234" t="str">
            <v>93YMAFEXANJ976257</v>
          </cell>
          <cell r="D234" t="str">
            <v>01268771101</v>
          </cell>
          <cell r="E234" t="str">
            <v>São Paulo</v>
          </cell>
          <cell r="F234" t="str">
            <v>SP</v>
          </cell>
          <cell r="G234" t="str">
            <v>Amarela</v>
          </cell>
          <cell r="H234" t="str">
            <v>MERCADO LIVRE</v>
          </cell>
          <cell r="I234" t="str">
            <v>Localiza</v>
          </cell>
          <cell r="L234">
            <v>0</v>
          </cell>
          <cell r="M234" t="str">
            <v>SSP20</v>
          </cell>
        </row>
        <row r="235">
          <cell r="C235" t="str">
            <v>93YMAFEXANJ976872</v>
          </cell>
          <cell r="D235" t="str">
            <v>01269565939</v>
          </cell>
          <cell r="E235" t="str">
            <v>Curitiba</v>
          </cell>
          <cell r="F235" t="str">
            <v>PR</v>
          </cell>
          <cell r="G235" t="str">
            <v>Amarela</v>
          </cell>
          <cell r="H235" t="str">
            <v>MERCADO LIVRE</v>
          </cell>
          <cell r="I235" t="str">
            <v>Localiza</v>
          </cell>
          <cell r="K235" t="str">
            <v>Verificar</v>
          </cell>
          <cell r="L235" t="e">
            <v>#N/A</v>
          </cell>
          <cell r="M235" t="e">
            <v>#N/A</v>
          </cell>
        </row>
        <row r="236">
          <cell r="C236" t="str">
            <v>93YMAFEXANJ976978</v>
          </cell>
          <cell r="D236" t="str">
            <v>01269844994</v>
          </cell>
          <cell r="E236" t="str">
            <v>Curitiba</v>
          </cell>
          <cell r="F236" t="str">
            <v>PR</v>
          </cell>
          <cell r="G236" t="str">
            <v>Amarela</v>
          </cell>
          <cell r="H236" t="str">
            <v>MERCADO LIVRE</v>
          </cell>
          <cell r="I236" t="str">
            <v>Localiza</v>
          </cell>
          <cell r="K236" t="str">
            <v>Desmobilizado</v>
          </cell>
          <cell r="L236">
            <v>45868</v>
          </cell>
          <cell r="M236" t="str">
            <v>SPR2</v>
          </cell>
        </row>
        <row r="237">
          <cell r="C237" t="str">
            <v>93YMAFEXANJ976873</v>
          </cell>
          <cell r="D237" t="str">
            <v>01269896650</v>
          </cell>
          <cell r="E237" t="str">
            <v>Porto Alegre</v>
          </cell>
          <cell r="F237" t="str">
            <v>RS</v>
          </cell>
          <cell r="G237" t="str">
            <v>Amarela</v>
          </cell>
          <cell r="H237" t="str">
            <v>MERCADO LIVRE</v>
          </cell>
          <cell r="I237" t="str">
            <v>Localiza</v>
          </cell>
          <cell r="L237">
            <v>0</v>
          </cell>
          <cell r="M237" t="str">
            <v>SRS1</v>
          </cell>
        </row>
        <row r="238">
          <cell r="C238" t="str">
            <v>93YMAFEXANJ986542</v>
          </cell>
          <cell r="D238" t="str">
            <v>01269896676</v>
          </cell>
          <cell r="E238" t="str">
            <v>Porto Alegre</v>
          </cell>
          <cell r="F238" t="str">
            <v>RS</v>
          </cell>
          <cell r="G238" t="str">
            <v>Amarela</v>
          </cell>
          <cell r="H238" t="str">
            <v>MERCADO LIVRE</v>
          </cell>
          <cell r="I238" t="str">
            <v>Localiza</v>
          </cell>
          <cell r="L238">
            <v>0</v>
          </cell>
          <cell r="M238" t="str">
            <v>SRS8</v>
          </cell>
        </row>
        <row r="239">
          <cell r="C239" t="str">
            <v>93YMAFEXANJ976587</v>
          </cell>
          <cell r="D239" t="str">
            <v>01269896625</v>
          </cell>
          <cell r="E239" t="str">
            <v>Curitiba</v>
          </cell>
          <cell r="F239" t="str">
            <v>PR</v>
          </cell>
          <cell r="G239" t="str">
            <v>Amarela</v>
          </cell>
          <cell r="H239" t="str">
            <v>MERCADO LIVRE</v>
          </cell>
          <cell r="I239" t="str">
            <v>Localiza</v>
          </cell>
          <cell r="K239" t="str">
            <v>Desmobilizado</v>
          </cell>
          <cell r="L239">
            <v>45887</v>
          </cell>
          <cell r="M239" t="str">
            <v>SPR3</v>
          </cell>
        </row>
        <row r="240">
          <cell r="C240" t="str">
            <v>93YMAFEXANJ976956</v>
          </cell>
          <cell r="D240" t="str">
            <v>01269896668</v>
          </cell>
          <cell r="E240" t="str">
            <v>Curitiba</v>
          </cell>
          <cell r="F240" t="str">
            <v>PR</v>
          </cell>
          <cell r="G240" t="str">
            <v>Amarela</v>
          </cell>
          <cell r="H240" t="str">
            <v>MERCADO LIVRE</v>
          </cell>
          <cell r="I240" t="str">
            <v>Localiza</v>
          </cell>
          <cell r="K240" t="str">
            <v>Desmobilizado</v>
          </cell>
          <cell r="L240">
            <v>45887</v>
          </cell>
          <cell r="M240" t="str">
            <v>SPR3</v>
          </cell>
        </row>
        <row r="241">
          <cell r="C241" t="str">
            <v>93YMAFEXANJ976576</v>
          </cell>
          <cell r="D241" t="str">
            <v>01269995496</v>
          </cell>
          <cell r="E241" t="str">
            <v>Curitiba</v>
          </cell>
          <cell r="F241" t="str">
            <v>PR</v>
          </cell>
          <cell r="G241" t="str">
            <v>Amarela</v>
          </cell>
          <cell r="H241" t="str">
            <v>MERCADO LIVRE</v>
          </cell>
          <cell r="I241" t="str">
            <v>Localiza</v>
          </cell>
          <cell r="K241" t="str">
            <v>Desmobilizado</v>
          </cell>
          <cell r="L241">
            <v>45873</v>
          </cell>
          <cell r="M241" t="str">
            <v>SPR2</v>
          </cell>
        </row>
        <row r="242">
          <cell r="C242" t="str">
            <v>93YMAFEXANJ976653</v>
          </cell>
          <cell r="D242" t="str">
            <v>01269995500</v>
          </cell>
          <cell r="E242" t="str">
            <v>Curitiba</v>
          </cell>
          <cell r="F242" t="str">
            <v>PR</v>
          </cell>
          <cell r="G242" t="str">
            <v>Amarela</v>
          </cell>
          <cell r="H242" t="str">
            <v>MERCADO LIVRE</v>
          </cell>
          <cell r="I242" t="str">
            <v>Localiza</v>
          </cell>
          <cell r="K242" t="str">
            <v>Desmobilizado</v>
          </cell>
          <cell r="L242">
            <v>45873</v>
          </cell>
          <cell r="M242" t="str">
            <v>SPR2</v>
          </cell>
        </row>
        <row r="243">
          <cell r="C243" t="str">
            <v>93YMAFEXANJ976700</v>
          </cell>
          <cell r="D243" t="str">
            <v>01269995518</v>
          </cell>
          <cell r="E243" t="str">
            <v>Curitiba</v>
          </cell>
          <cell r="F243" t="str">
            <v>PR</v>
          </cell>
          <cell r="G243" t="str">
            <v>Amarela</v>
          </cell>
          <cell r="H243" t="str">
            <v>MERCADO LIVRE</v>
          </cell>
          <cell r="I243" t="str">
            <v>Localiza</v>
          </cell>
          <cell r="K243" t="str">
            <v>Desmobilizado</v>
          </cell>
          <cell r="L243">
            <v>45873</v>
          </cell>
          <cell r="M243" t="str">
            <v>SPR2</v>
          </cell>
        </row>
        <row r="244">
          <cell r="C244" t="str">
            <v>93YMAFEXANJ010952</v>
          </cell>
          <cell r="D244" t="str">
            <v>01271638735</v>
          </cell>
          <cell r="E244" t="str">
            <v>Curitiba</v>
          </cell>
          <cell r="F244" t="str">
            <v>PR</v>
          </cell>
          <cell r="G244" t="str">
            <v>Amarela</v>
          </cell>
          <cell r="H244" t="str">
            <v>MERCADO LIVRE</v>
          </cell>
          <cell r="I244" t="str">
            <v>Localiza</v>
          </cell>
          <cell r="L244">
            <v>0</v>
          </cell>
          <cell r="M244" t="str">
            <v>SPR8</v>
          </cell>
        </row>
        <row r="245">
          <cell r="C245" t="str">
            <v>93YMAFEXANJ007174</v>
          </cell>
          <cell r="D245" t="str">
            <v>01271638247</v>
          </cell>
          <cell r="E245" t="str">
            <v>Curitiba</v>
          </cell>
          <cell r="F245" t="str">
            <v>PR</v>
          </cell>
          <cell r="G245" t="str">
            <v>Amarela</v>
          </cell>
          <cell r="H245" t="str">
            <v>MERCADO LIVRE</v>
          </cell>
          <cell r="I245" t="str">
            <v>Localiza</v>
          </cell>
          <cell r="K245" t="str">
            <v>Desmobilizado</v>
          </cell>
          <cell r="L245">
            <v>45849</v>
          </cell>
          <cell r="M245" t="str">
            <v>SPR3</v>
          </cell>
        </row>
        <row r="246">
          <cell r="C246" t="str">
            <v>93YMAFEXANJ976952</v>
          </cell>
          <cell r="D246" t="str">
            <v>01271638808</v>
          </cell>
          <cell r="E246" t="str">
            <v>Curitiba</v>
          </cell>
          <cell r="F246" t="str">
            <v>PR</v>
          </cell>
          <cell r="G246" t="str">
            <v>Amarela</v>
          </cell>
          <cell r="H246" t="str">
            <v>MERCADO LIVRE</v>
          </cell>
          <cell r="I246" t="str">
            <v>Localiza</v>
          </cell>
          <cell r="L246">
            <v>0</v>
          </cell>
          <cell r="M246" t="str">
            <v>SPR8</v>
          </cell>
        </row>
        <row r="247">
          <cell r="C247" t="str">
            <v>93YMAFEXANJ007065</v>
          </cell>
          <cell r="D247" t="str">
            <v>01271638212</v>
          </cell>
          <cell r="E247" t="str">
            <v>Porto Alegre</v>
          </cell>
          <cell r="F247" t="str">
            <v>RS</v>
          </cell>
          <cell r="G247" t="str">
            <v>Amarela</v>
          </cell>
          <cell r="H247" t="str">
            <v>MERCADO LIVRE</v>
          </cell>
          <cell r="I247" t="str">
            <v>Localiza</v>
          </cell>
          <cell r="K247" t="str">
            <v>Verificar</v>
          </cell>
          <cell r="L247" t="e">
            <v>#N/A</v>
          </cell>
          <cell r="M247" t="e">
            <v>#N/A</v>
          </cell>
        </row>
        <row r="248">
          <cell r="C248" t="str">
            <v>93YMAFEXANJ009184</v>
          </cell>
          <cell r="D248" t="str">
            <v>01271638557</v>
          </cell>
          <cell r="E248" t="str">
            <v>São Paulo</v>
          </cell>
          <cell r="F248" t="str">
            <v>SP</v>
          </cell>
          <cell r="G248" t="str">
            <v>Amarela</v>
          </cell>
          <cell r="H248" t="str">
            <v>MERCADO LIVRE</v>
          </cell>
          <cell r="I248" t="str">
            <v>Localiza</v>
          </cell>
          <cell r="K248" t="str">
            <v>Desmobilizado</v>
          </cell>
          <cell r="L248">
            <v>45868</v>
          </cell>
          <cell r="M248" t="str">
            <v>SSP5</v>
          </cell>
        </row>
        <row r="249">
          <cell r="C249" t="str">
            <v>93YMAFEXANJ006829</v>
          </cell>
          <cell r="D249" t="str">
            <v>01271638140</v>
          </cell>
          <cell r="E249" t="str">
            <v>Porto Alegre</v>
          </cell>
          <cell r="F249" t="str">
            <v>RS</v>
          </cell>
          <cell r="G249" t="str">
            <v>Amarela</v>
          </cell>
          <cell r="H249" t="str">
            <v>MERCADO LIVRE</v>
          </cell>
          <cell r="I249" t="str">
            <v>Localiza</v>
          </cell>
          <cell r="K249" t="str">
            <v>Verificar</v>
          </cell>
          <cell r="L249" t="e">
            <v>#N/A</v>
          </cell>
          <cell r="M249" t="e">
            <v>#N/A</v>
          </cell>
        </row>
        <row r="250">
          <cell r="C250" t="str">
            <v>93YMAFEXANJ007062</v>
          </cell>
          <cell r="D250" t="str">
            <v>01271638190</v>
          </cell>
          <cell r="E250" t="str">
            <v>Porto Alegre</v>
          </cell>
          <cell r="F250" t="str">
            <v>RS</v>
          </cell>
          <cell r="G250" t="str">
            <v>Amarela</v>
          </cell>
          <cell r="H250" t="str">
            <v>MERCADO LIVRE</v>
          </cell>
          <cell r="I250" t="str">
            <v>Localiza</v>
          </cell>
          <cell r="L250">
            <v>0</v>
          </cell>
          <cell r="M250" t="str">
            <v>SRS10</v>
          </cell>
        </row>
        <row r="251">
          <cell r="C251" t="str">
            <v>93YMAFEXANJ010953</v>
          </cell>
          <cell r="D251" t="str">
            <v>01271638778</v>
          </cell>
          <cell r="E251" t="str">
            <v>Curitiba</v>
          </cell>
          <cell r="F251" t="str">
            <v>PR</v>
          </cell>
          <cell r="G251" t="str">
            <v>Amarela</v>
          </cell>
          <cell r="H251" t="str">
            <v>MERCADO LIVRE</v>
          </cell>
          <cell r="I251" t="str">
            <v>Localiza</v>
          </cell>
          <cell r="L251">
            <v>0</v>
          </cell>
          <cell r="M251" t="str">
            <v>SPR8</v>
          </cell>
        </row>
        <row r="252">
          <cell r="C252" t="str">
            <v>93YMAFEXANJ007341</v>
          </cell>
          <cell r="D252" t="str">
            <v>01271638271</v>
          </cell>
          <cell r="E252" t="str">
            <v>Porto Alegre</v>
          </cell>
          <cell r="F252" t="str">
            <v>RS</v>
          </cell>
          <cell r="G252" t="str">
            <v>Amarela</v>
          </cell>
          <cell r="H252" t="str">
            <v>MERCADO LIVRE</v>
          </cell>
          <cell r="I252" t="str">
            <v>Localiza</v>
          </cell>
          <cell r="L252">
            <v>0</v>
          </cell>
          <cell r="M252" t="str">
            <v>SRS10</v>
          </cell>
        </row>
        <row r="253">
          <cell r="C253" t="str">
            <v>93YMAFEXANJ976192</v>
          </cell>
          <cell r="D253" t="str">
            <v>01268771098</v>
          </cell>
          <cell r="E253" t="str">
            <v>São Paulo</v>
          </cell>
          <cell r="F253" t="str">
            <v>SP</v>
          </cell>
          <cell r="G253" t="str">
            <v>Amarela</v>
          </cell>
          <cell r="H253" t="str">
            <v>MERCADO LIVRE</v>
          </cell>
          <cell r="I253" t="str">
            <v>Localiza</v>
          </cell>
          <cell r="L253">
            <v>0</v>
          </cell>
          <cell r="M253" t="str">
            <v>SSP20</v>
          </cell>
        </row>
        <row r="254">
          <cell r="C254" t="str">
            <v>93YMAFEXANJ007340</v>
          </cell>
          <cell r="D254" t="str">
            <v>01271638263</v>
          </cell>
          <cell r="E254" t="str">
            <v>Porto Alegre</v>
          </cell>
          <cell r="F254" t="str">
            <v>RS</v>
          </cell>
          <cell r="G254" t="str">
            <v>Amarela</v>
          </cell>
          <cell r="H254" t="str">
            <v>MERCADO LIVRE</v>
          </cell>
          <cell r="I254" t="str">
            <v>Localiza</v>
          </cell>
          <cell r="L254">
            <v>0</v>
          </cell>
          <cell r="M254" t="str">
            <v>SRS8</v>
          </cell>
        </row>
        <row r="255">
          <cell r="C255" t="str">
            <v>93YMAFEXANJ009114</v>
          </cell>
          <cell r="D255" t="str">
            <v>01271638549</v>
          </cell>
          <cell r="E255" t="str">
            <v>São Paulo</v>
          </cell>
          <cell r="F255" t="str">
            <v>SP</v>
          </cell>
          <cell r="G255" t="str">
            <v>Amarela</v>
          </cell>
          <cell r="H255" t="str">
            <v>MERCADO LIVRE</v>
          </cell>
          <cell r="I255" t="str">
            <v>Localiza</v>
          </cell>
          <cell r="K255" t="str">
            <v>Verificar</v>
          </cell>
          <cell r="L255" t="e">
            <v>#N/A</v>
          </cell>
          <cell r="M255" t="e">
            <v>#N/A</v>
          </cell>
        </row>
        <row r="256">
          <cell r="C256" t="str">
            <v>93YMAFEXANJ009788</v>
          </cell>
          <cell r="D256" t="str">
            <v>01271638590</v>
          </cell>
          <cell r="E256" t="str">
            <v>São Paulo</v>
          </cell>
          <cell r="F256" t="str">
            <v>SP</v>
          </cell>
          <cell r="G256" t="str">
            <v>Amarela</v>
          </cell>
          <cell r="H256" t="str">
            <v>MERCADO LIVRE</v>
          </cell>
          <cell r="I256" t="str">
            <v>Localiza</v>
          </cell>
          <cell r="L256">
            <v>0</v>
          </cell>
          <cell r="M256" t="str">
            <v>SSP5</v>
          </cell>
        </row>
        <row r="257">
          <cell r="C257" t="str">
            <v>93YMAFEXANJ009852</v>
          </cell>
          <cell r="D257" t="str">
            <v>01271638611</v>
          </cell>
          <cell r="E257" t="str">
            <v>São Paulo</v>
          </cell>
          <cell r="F257" t="str">
            <v>SP</v>
          </cell>
          <cell r="G257" t="str">
            <v>Amarela</v>
          </cell>
          <cell r="H257" t="str">
            <v>MERCADO LIVRE</v>
          </cell>
          <cell r="I257" t="str">
            <v>Localiza</v>
          </cell>
          <cell r="K257" t="str">
            <v>Desmobilizado</v>
          </cell>
          <cell r="L257">
            <v>45925</v>
          </cell>
          <cell r="M257" t="str">
            <v>SSP34</v>
          </cell>
        </row>
        <row r="258">
          <cell r="C258" t="str">
            <v>93YMAFEXANJ010667</v>
          </cell>
          <cell r="D258" t="str">
            <v>01271638662</v>
          </cell>
          <cell r="E258" t="str">
            <v>São Paulo</v>
          </cell>
          <cell r="F258" t="str">
            <v>SP</v>
          </cell>
          <cell r="G258" t="str">
            <v>Amarela</v>
          </cell>
          <cell r="H258" t="str">
            <v>MERCADO LIVRE</v>
          </cell>
          <cell r="I258" t="str">
            <v>Localiza</v>
          </cell>
          <cell r="L258">
            <v>0</v>
          </cell>
          <cell r="M258" t="str">
            <v>SSP5</v>
          </cell>
        </row>
        <row r="259">
          <cell r="C259" t="str">
            <v>93YMAFEXANJ006831</v>
          </cell>
          <cell r="D259" t="str">
            <v>01271638158</v>
          </cell>
          <cell r="E259" t="str">
            <v>Curitiba</v>
          </cell>
          <cell r="F259" t="str">
            <v>PR</v>
          </cell>
          <cell r="G259" t="str">
            <v>Amarela</v>
          </cell>
          <cell r="H259" t="str">
            <v>MERCADO LIVRE</v>
          </cell>
          <cell r="I259" t="str">
            <v>Localiza</v>
          </cell>
          <cell r="L259">
            <v>0</v>
          </cell>
          <cell r="M259" t="str">
            <v>SPR3</v>
          </cell>
        </row>
        <row r="260">
          <cell r="C260" t="str">
            <v>93YMAFEXANJ007027</v>
          </cell>
          <cell r="D260" t="str">
            <v>01271638174</v>
          </cell>
          <cell r="E260" t="str">
            <v>Porto Alegre</v>
          </cell>
          <cell r="F260" t="str">
            <v>RS</v>
          </cell>
          <cell r="G260" t="str">
            <v>Amarela</v>
          </cell>
          <cell r="H260" t="str">
            <v>MERCADO LIVRE</v>
          </cell>
          <cell r="I260" t="str">
            <v>Localiza</v>
          </cell>
          <cell r="L260">
            <v>0</v>
          </cell>
          <cell r="M260" t="str">
            <v>SRS8</v>
          </cell>
        </row>
        <row r="261">
          <cell r="C261" t="str">
            <v>93YMAFEXANJ007342</v>
          </cell>
          <cell r="D261" t="str">
            <v>01271638280</v>
          </cell>
          <cell r="E261" t="str">
            <v>Porto Alegre</v>
          </cell>
          <cell r="F261" t="str">
            <v>RS</v>
          </cell>
          <cell r="G261" t="str">
            <v>Amarela</v>
          </cell>
          <cell r="H261" t="str">
            <v>MERCADO LIVRE</v>
          </cell>
          <cell r="I261" t="str">
            <v>Localiza</v>
          </cell>
          <cell r="L261">
            <v>0</v>
          </cell>
          <cell r="M261" t="str">
            <v>SRS1</v>
          </cell>
        </row>
        <row r="262">
          <cell r="C262" t="str">
            <v>93YMAFEXANJ008347</v>
          </cell>
          <cell r="D262" t="str">
            <v>01271638379</v>
          </cell>
          <cell r="E262" t="str">
            <v>Curitiba</v>
          </cell>
          <cell r="F262" t="str">
            <v>PR</v>
          </cell>
          <cell r="G262" t="str">
            <v>Amarela</v>
          </cell>
          <cell r="H262" t="str">
            <v>MERCADO LIVRE</v>
          </cell>
          <cell r="I262" t="str">
            <v>Localiza</v>
          </cell>
          <cell r="L262">
            <v>0</v>
          </cell>
          <cell r="M262" t="str">
            <v>SPR8</v>
          </cell>
        </row>
        <row r="263">
          <cell r="C263" t="str">
            <v>93YMAFEXANJ007727</v>
          </cell>
          <cell r="D263" t="str">
            <v>01271639111</v>
          </cell>
          <cell r="E263" t="str">
            <v>Recife</v>
          </cell>
          <cell r="F263" t="str">
            <v>PE</v>
          </cell>
          <cell r="G263" t="str">
            <v>Amarela</v>
          </cell>
          <cell r="H263" t="str">
            <v>MERCADO LIVRE</v>
          </cell>
          <cell r="I263" t="str">
            <v>Localiza</v>
          </cell>
          <cell r="L263">
            <v>0</v>
          </cell>
          <cell r="M263" t="str">
            <v>SPE1</v>
          </cell>
        </row>
        <row r="264">
          <cell r="C264" t="str">
            <v>93YMAFEXANJ977574</v>
          </cell>
          <cell r="D264" t="str">
            <v>01271639472</v>
          </cell>
          <cell r="E264" t="str">
            <v>São Paulo</v>
          </cell>
          <cell r="F264" t="str">
            <v>SP</v>
          </cell>
          <cell r="G264" t="str">
            <v>Amarela</v>
          </cell>
          <cell r="H264" t="str">
            <v>MERCADO LIVRE</v>
          </cell>
          <cell r="I264" t="str">
            <v>Localiza</v>
          </cell>
          <cell r="K264" t="str">
            <v>Verificar</v>
          </cell>
          <cell r="L264" t="e">
            <v>#N/A</v>
          </cell>
          <cell r="M264" t="e">
            <v>#N/A</v>
          </cell>
        </row>
        <row r="265">
          <cell r="C265" t="str">
            <v>93YMAFEXANJ010824</v>
          </cell>
          <cell r="D265" t="str">
            <v>01271639413</v>
          </cell>
          <cell r="E265" t="str">
            <v>São Paulo</v>
          </cell>
          <cell r="F265" t="str">
            <v>SP</v>
          </cell>
          <cell r="G265" t="str">
            <v>Amarela</v>
          </cell>
          <cell r="H265" t="str">
            <v>MERCADO LIVRE</v>
          </cell>
          <cell r="I265" t="str">
            <v>Localiza</v>
          </cell>
          <cell r="K265" t="str">
            <v>Verificar</v>
          </cell>
          <cell r="L265" t="e">
            <v>#N/A</v>
          </cell>
          <cell r="M265" t="e">
            <v>#N/A</v>
          </cell>
        </row>
        <row r="266">
          <cell r="C266" t="str">
            <v>93YMAFEXANJ009052</v>
          </cell>
          <cell r="D266" t="str">
            <v>01271639243</v>
          </cell>
          <cell r="E266" t="str">
            <v>São Paulo</v>
          </cell>
          <cell r="F266" t="str">
            <v>SP</v>
          </cell>
          <cell r="G266" t="str">
            <v>Amarela</v>
          </cell>
          <cell r="H266" t="str">
            <v>MERCADO LIVRE</v>
          </cell>
          <cell r="I266" t="str">
            <v>Localiza</v>
          </cell>
          <cell r="K266" t="str">
            <v>Desmobilizado</v>
          </cell>
          <cell r="L266">
            <v>45880</v>
          </cell>
          <cell r="M266" t="str">
            <v>SSP17</v>
          </cell>
        </row>
        <row r="267">
          <cell r="C267" t="str">
            <v>93YMAFEXANJ011606</v>
          </cell>
          <cell r="D267" t="str">
            <v>01271639456</v>
          </cell>
          <cell r="E267" t="str">
            <v>São Paulo</v>
          </cell>
          <cell r="F267" t="str">
            <v>SP</v>
          </cell>
          <cell r="G267" t="str">
            <v>Amarela</v>
          </cell>
          <cell r="H267" t="str">
            <v>MERCADO LIVRE</v>
          </cell>
          <cell r="I267" t="str">
            <v>Localiza</v>
          </cell>
          <cell r="K267" t="str">
            <v>Desmobilizado</v>
          </cell>
          <cell r="L267">
            <v>45856</v>
          </cell>
          <cell r="M267" t="str">
            <v>SSP34</v>
          </cell>
        </row>
        <row r="268">
          <cell r="C268" t="str">
            <v>93YMAFEXANJ008110</v>
          </cell>
          <cell r="D268" t="str">
            <v>01271639162</v>
          </cell>
          <cell r="E268" t="str">
            <v>São Paulo</v>
          </cell>
          <cell r="F268" t="str">
            <v>SP</v>
          </cell>
          <cell r="G268" t="str">
            <v>Amarela</v>
          </cell>
          <cell r="H268" t="str">
            <v>MERCADO LIVRE</v>
          </cell>
          <cell r="I268" t="str">
            <v>Localiza</v>
          </cell>
          <cell r="L268">
            <v>0</v>
          </cell>
          <cell r="M268" t="str">
            <v>SSP5</v>
          </cell>
        </row>
        <row r="269">
          <cell r="C269" t="str">
            <v>93YMAFEXANJ009113</v>
          </cell>
          <cell r="D269" t="str">
            <v>01271639286</v>
          </cell>
          <cell r="E269" t="str">
            <v>São Paulo</v>
          </cell>
          <cell r="F269" t="str">
            <v>SP</v>
          </cell>
          <cell r="G269" t="str">
            <v>Amarela</v>
          </cell>
          <cell r="H269" t="str">
            <v>MERCADO LIVRE</v>
          </cell>
          <cell r="I269" t="str">
            <v>Localiza</v>
          </cell>
          <cell r="L269">
            <v>0</v>
          </cell>
          <cell r="M269" t="str">
            <v>SSP5</v>
          </cell>
        </row>
        <row r="270">
          <cell r="C270" t="str">
            <v>93YMAFEXANJ007726</v>
          </cell>
          <cell r="D270" t="str">
            <v>01271639090</v>
          </cell>
          <cell r="E270" t="str">
            <v>São Paulo</v>
          </cell>
          <cell r="F270" t="str">
            <v>SP</v>
          </cell>
          <cell r="G270" t="str">
            <v>Amarela</v>
          </cell>
          <cell r="H270" t="str">
            <v>MERCADO LIVRE</v>
          </cell>
          <cell r="I270" t="str">
            <v>Localiza</v>
          </cell>
          <cell r="K270" t="str">
            <v>Desmobilizado</v>
          </cell>
          <cell r="L270">
            <v>45841</v>
          </cell>
          <cell r="M270" t="str">
            <v>SSP5</v>
          </cell>
        </row>
        <row r="271">
          <cell r="C271" t="str">
            <v>93YMAFEXANJ008810</v>
          </cell>
          <cell r="D271" t="str">
            <v>01271639235</v>
          </cell>
          <cell r="E271" t="str">
            <v>São Paulo</v>
          </cell>
          <cell r="F271" t="str">
            <v>SP</v>
          </cell>
          <cell r="G271" t="str">
            <v>Amarela</v>
          </cell>
          <cell r="H271" t="str">
            <v>MERCADO LIVRE</v>
          </cell>
          <cell r="I271" t="str">
            <v>Localiza</v>
          </cell>
          <cell r="K271" t="str">
            <v>Desmobilizado</v>
          </cell>
          <cell r="L271">
            <v>45803</v>
          </cell>
          <cell r="M271" t="str">
            <v>Dev</v>
          </cell>
        </row>
        <row r="272">
          <cell r="C272" t="str">
            <v>93YMAFEXANJ009053</v>
          </cell>
          <cell r="D272" t="str">
            <v>01271639278</v>
          </cell>
          <cell r="E272" t="str">
            <v>São Paulo</v>
          </cell>
          <cell r="F272" t="str">
            <v>SP</v>
          </cell>
          <cell r="G272" t="str">
            <v>Amarela</v>
          </cell>
          <cell r="H272" t="str">
            <v>MERCADO LIVRE</v>
          </cell>
          <cell r="I272" t="str">
            <v>Localiza</v>
          </cell>
          <cell r="L272">
            <v>0</v>
          </cell>
          <cell r="M272" t="str">
            <v>SSP17</v>
          </cell>
        </row>
        <row r="273">
          <cell r="C273" t="str">
            <v>93YMAFEXANJ010954</v>
          </cell>
          <cell r="D273" t="str">
            <v>01271639430</v>
          </cell>
          <cell r="E273" t="str">
            <v>São Paulo</v>
          </cell>
          <cell r="F273" t="str">
            <v>SP</v>
          </cell>
          <cell r="G273" t="str">
            <v>Amarela</v>
          </cell>
          <cell r="H273" t="str">
            <v>MERCADO LIVRE</v>
          </cell>
          <cell r="I273" t="str">
            <v>Localiza</v>
          </cell>
          <cell r="L273">
            <v>0</v>
          </cell>
          <cell r="M273" t="str">
            <v>SSP22</v>
          </cell>
        </row>
        <row r="274">
          <cell r="C274" t="str">
            <v>93YMAFEXANJ010972</v>
          </cell>
          <cell r="D274" t="str">
            <v>01271639448</v>
          </cell>
          <cell r="E274" t="str">
            <v>São Paulo</v>
          </cell>
          <cell r="F274" t="str">
            <v>SP</v>
          </cell>
          <cell r="G274" t="str">
            <v>Amarela</v>
          </cell>
          <cell r="H274" t="str">
            <v>MERCADO LIVRE</v>
          </cell>
          <cell r="I274" t="str">
            <v>Localiza</v>
          </cell>
          <cell r="K274" t="str">
            <v>Verificar</v>
          </cell>
          <cell r="L274" t="e">
            <v>#N/A</v>
          </cell>
          <cell r="M274" t="e">
            <v>#N/A</v>
          </cell>
        </row>
        <row r="275">
          <cell r="C275" t="str">
            <v>93YMAFEXANJ010822</v>
          </cell>
          <cell r="D275" t="str">
            <v>01271639391</v>
          </cell>
          <cell r="E275" t="str">
            <v>Osasco</v>
          </cell>
          <cell r="F275" t="str">
            <v>SP</v>
          </cell>
          <cell r="G275" t="str">
            <v>Amarela</v>
          </cell>
          <cell r="H275" t="str">
            <v>MERCADO LIVRE</v>
          </cell>
          <cell r="I275" t="str">
            <v>Localiza</v>
          </cell>
          <cell r="K275" t="str">
            <v>Verificar</v>
          </cell>
          <cell r="L275" t="e">
            <v>#N/A</v>
          </cell>
          <cell r="M275" t="e">
            <v>#N/A</v>
          </cell>
        </row>
        <row r="276">
          <cell r="C276" t="str">
            <v>93YMAFEXANJ007030</v>
          </cell>
          <cell r="D276" t="str">
            <v>01271638948</v>
          </cell>
          <cell r="E276" t="str">
            <v>Porto Alegre</v>
          </cell>
          <cell r="F276" t="str">
            <v>RS</v>
          </cell>
          <cell r="G276" t="str">
            <v>Amarela</v>
          </cell>
          <cell r="H276" t="str">
            <v>MERCADO LIVRE</v>
          </cell>
          <cell r="I276" t="str">
            <v>Localiza</v>
          </cell>
          <cell r="L276">
            <v>0</v>
          </cell>
          <cell r="M276" t="str">
            <v>SSC2</v>
          </cell>
        </row>
        <row r="277">
          <cell r="C277" t="str">
            <v>93YMAFEXANJ007031</v>
          </cell>
          <cell r="D277" t="str">
            <v>01271638956</v>
          </cell>
          <cell r="E277" t="str">
            <v>Porto Alegre</v>
          </cell>
          <cell r="F277" t="str">
            <v>RS</v>
          </cell>
          <cell r="G277" t="str">
            <v>Amarela</v>
          </cell>
          <cell r="H277" t="str">
            <v>MERCADO LIVRE</v>
          </cell>
          <cell r="I277" t="str">
            <v>Localiza</v>
          </cell>
          <cell r="L277">
            <v>0</v>
          </cell>
          <cell r="M277" t="str">
            <v>SSC2</v>
          </cell>
        </row>
        <row r="278">
          <cell r="C278" t="str">
            <v>93YMAFEXANJ007067</v>
          </cell>
          <cell r="D278" t="str">
            <v>01271638972</v>
          </cell>
          <cell r="E278" t="str">
            <v>Curitiba</v>
          </cell>
          <cell r="F278" t="str">
            <v>RS</v>
          </cell>
          <cell r="G278" t="str">
            <v>Amarela</v>
          </cell>
          <cell r="H278" t="str">
            <v>MERCADO LIVRE</v>
          </cell>
          <cell r="I278" t="str">
            <v>Localiza</v>
          </cell>
          <cell r="L278">
            <v>0</v>
          </cell>
          <cell r="M278" t="str">
            <v>SSC2</v>
          </cell>
        </row>
        <row r="279">
          <cell r="C279" t="str">
            <v>93YMAFEXANJ007725</v>
          </cell>
          <cell r="D279" t="str">
            <v>01271639081</v>
          </cell>
          <cell r="E279" t="str">
            <v>Recife</v>
          </cell>
          <cell r="F279" t="str">
            <v>PE</v>
          </cell>
          <cell r="G279" t="str">
            <v>Amarela</v>
          </cell>
          <cell r="H279" t="str">
            <v>MERCADO LIVRE</v>
          </cell>
          <cell r="I279" t="str">
            <v>Localiza</v>
          </cell>
          <cell r="L279">
            <v>0</v>
          </cell>
          <cell r="M279" t="str">
            <v>SPE1</v>
          </cell>
        </row>
        <row r="280">
          <cell r="C280" t="str">
            <v>93YMAFEXANJ008354</v>
          </cell>
          <cell r="D280" t="str">
            <v>01271639200</v>
          </cell>
          <cell r="E280" t="str">
            <v>São Paulo</v>
          </cell>
          <cell r="F280" t="str">
            <v>SP</v>
          </cell>
          <cell r="G280" t="str">
            <v>Amarela</v>
          </cell>
          <cell r="H280" t="str">
            <v>MERCADO LIVRE</v>
          </cell>
          <cell r="I280" t="str">
            <v>Localiza</v>
          </cell>
          <cell r="L280">
            <v>0</v>
          </cell>
          <cell r="M280" t="str">
            <v>SSP5</v>
          </cell>
        </row>
        <row r="281">
          <cell r="C281" t="str">
            <v>93YMAFEXANJ006832</v>
          </cell>
          <cell r="D281" t="str">
            <v>01271638883</v>
          </cell>
          <cell r="E281" t="str">
            <v>Recife</v>
          </cell>
          <cell r="F281" t="str">
            <v>PE</v>
          </cell>
          <cell r="G281" t="str">
            <v>Amarela</v>
          </cell>
          <cell r="H281" t="str">
            <v>MERCADO LIVRE</v>
          </cell>
          <cell r="I281" t="str">
            <v>Localiza</v>
          </cell>
          <cell r="L281">
            <v>0</v>
          </cell>
          <cell r="M281" t="str">
            <v>SPE1</v>
          </cell>
        </row>
        <row r="282">
          <cell r="C282" t="str">
            <v>93YMAFEXANJ008403</v>
          </cell>
          <cell r="D282" t="str">
            <v>01271639219</v>
          </cell>
          <cell r="E282" t="str">
            <v>São Paulo</v>
          </cell>
          <cell r="F282" t="str">
            <v>SP</v>
          </cell>
          <cell r="G282" t="str">
            <v>Amarela</v>
          </cell>
          <cell r="H282" t="str">
            <v>MERCADO LIVRE</v>
          </cell>
          <cell r="I282" t="str">
            <v>Localiza</v>
          </cell>
          <cell r="K282" t="str">
            <v>Desmobilizado</v>
          </cell>
          <cell r="L282">
            <v>45813</v>
          </cell>
          <cell r="M282" t="str">
            <v>BRRC01</v>
          </cell>
        </row>
        <row r="283">
          <cell r="C283" t="str">
            <v>93YMAFEXANJ006833</v>
          </cell>
          <cell r="D283" t="str">
            <v>01271638913</v>
          </cell>
          <cell r="E283" t="str">
            <v>São Paulo</v>
          </cell>
          <cell r="F283" t="str">
            <v>SP</v>
          </cell>
          <cell r="G283" t="str">
            <v>Amarela</v>
          </cell>
          <cell r="H283" t="str">
            <v>MERCADO LIVRE</v>
          </cell>
          <cell r="I283" t="str">
            <v>Localiza</v>
          </cell>
          <cell r="K283" t="str">
            <v>Desmobilizado</v>
          </cell>
          <cell r="L283">
            <v>45786</v>
          </cell>
          <cell r="M283" t="str">
            <v>Dev</v>
          </cell>
        </row>
        <row r="284">
          <cell r="C284" t="str">
            <v>93YMAFEXANJ007063</v>
          </cell>
          <cell r="D284" t="str">
            <v>01271638964</v>
          </cell>
          <cell r="E284" t="str">
            <v>Curitiba</v>
          </cell>
          <cell r="F284" t="str">
            <v>RS</v>
          </cell>
          <cell r="G284" t="str">
            <v>Amarela</v>
          </cell>
          <cell r="H284" t="str">
            <v>MERCADO LIVRE</v>
          </cell>
          <cell r="I284" t="str">
            <v>Localiza</v>
          </cell>
          <cell r="L284">
            <v>0</v>
          </cell>
          <cell r="M284" t="str">
            <v>SSC2</v>
          </cell>
        </row>
        <row r="285">
          <cell r="C285" t="str">
            <v>93YMAFEXANJ007029</v>
          </cell>
          <cell r="D285" t="str">
            <v>01271638921</v>
          </cell>
          <cell r="E285" t="str">
            <v>Curitiba</v>
          </cell>
          <cell r="F285" t="str">
            <v>PR</v>
          </cell>
          <cell r="G285" t="str">
            <v>Amarela</v>
          </cell>
          <cell r="H285" t="str">
            <v>MERCADO LIVRE</v>
          </cell>
          <cell r="I285" t="str">
            <v>Localiza</v>
          </cell>
          <cell r="L285">
            <v>0</v>
          </cell>
          <cell r="M285" t="str">
            <v>SPR8</v>
          </cell>
        </row>
        <row r="286">
          <cell r="C286" t="str">
            <v>93YMAFEXANJ007069</v>
          </cell>
          <cell r="D286" t="str">
            <v>01271638980</v>
          </cell>
          <cell r="E286" t="str">
            <v>Porto Alegre</v>
          </cell>
          <cell r="F286" t="str">
            <v>RS</v>
          </cell>
          <cell r="G286" t="str">
            <v>Amarela</v>
          </cell>
          <cell r="H286" t="str">
            <v>MERCADO LIVRE</v>
          </cell>
          <cell r="I286" t="str">
            <v>Localiza</v>
          </cell>
          <cell r="L286">
            <v>0</v>
          </cell>
          <cell r="M286" t="str">
            <v>SSC2</v>
          </cell>
        </row>
        <row r="287">
          <cell r="C287" t="str">
            <v>93YMAFEXANJ007367</v>
          </cell>
          <cell r="D287" t="str">
            <v>01271639049</v>
          </cell>
          <cell r="E287" t="str">
            <v>Curitiba</v>
          </cell>
          <cell r="F287" t="str">
            <v>PR</v>
          </cell>
          <cell r="G287" t="str">
            <v>Amarela</v>
          </cell>
          <cell r="H287" t="str">
            <v>MERCADO LIVRE</v>
          </cell>
          <cell r="I287" t="str">
            <v>Localiza</v>
          </cell>
          <cell r="L287">
            <v>0</v>
          </cell>
          <cell r="M287" t="str">
            <v>SPR8</v>
          </cell>
        </row>
        <row r="288">
          <cell r="C288" t="str">
            <v>93YMAFEXANJ009630</v>
          </cell>
          <cell r="D288" t="str">
            <v>01271639308</v>
          </cell>
          <cell r="E288" t="str">
            <v>Campinas</v>
          </cell>
          <cell r="F288" t="str">
            <v>SP</v>
          </cell>
          <cell r="G288" t="str">
            <v>Amarela</v>
          </cell>
          <cell r="H288" t="str">
            <v>MERCADO LIVRE</v>
          </cell>
          <cell r="I288" t="str">
            <v>Localiza</v>
          </cell>
          <cell r="L288">
            <v>0</v>
          </cell>
          <cell r="M288" t="str">
            <v>SSP11</v>
          </cell>
        </row>
        <row r="289">
          <cell r="C289" t="str">
            <v>93YMAFEXANJ007368</v>
          </cell>
          <cell r="D289" t="str">
            <v>01271639057</v>
          </cell>
          <cell r="E289" t="str">
            <v>Curitiba</v>
          </cell>
          <cell r="F289" t="str">
            <v>PR</v>
          </cell>
          <cell r="G289" t="str">
            <v>Amarela</v>
          </cell>
          <cell r="H289" t="str">
            <v>MERCADO LIVRE</v>
          </cell>
          <cell r="I289" t="str">
            <v>Localiza</v>
          </cell>
          <cell r="L289">
            <v>0</v>
          </cell>
          <cell r="M289" t="str">
            <v>SPR8</v>
          </cell>
        </row>
        <row r="290">
          <cell r="C290" t="str">
            <v>93YMAFEXANJ007176</v>
          </cell>
          <cell r="D290" t="str">
            <v>01271639030</v>
          </cell>
          <cell r="E290" t="str">
            <v>Joinville</v>
          </cell>
          <cell r="F290" t="str">
            <v>SC</v>
          </cell>
          <cell r="G290" t="str">
            <v>Amarela</v>
          </cell>
          <cell r="H290" t="str">
            <v>MERCADO LIVRE</v>
          </cell>
          <cell r="I290" t="str">
            <v>Localiza</v>
          </cell>
          <cell r="L290">
            <v>0</v>
          </cell>
          <cell r="M290" t="str">
            <v>SSC2</v>
          </cell>
        </row>
        <row r="291">
          <cell r="C291" t="str">
            <v>93YMAFEXANJ007173</v>
          </cell>
          <cell r="D291" t="str">
            <v>01271639006</v>
          </cell>
          <cell r="E291" t="str">
            <v>Recife</v>
          </cell>
          <cell r="F291" t="str">
            <v>PE</v>
          </cell>
          <cell r="G291" t="str">
            <v>Amarela</v>
          </cell>
          <cell r="H291" t="str">
            <v>MERCADO LIVRE</v>
          </cell>
          <cell r="I291" t="str">
            <v>Localiza</v>
          </cell>
          <cell r="L291">
            <v>0</v>
          </cell>
          <cell r="M291" t="str">
            <v>SPE1</v>
          </cell>
        </row>
        <row r="292">
          <cell r="C292" t="str">
            <v>93YMAFEXANJ009953</v>
          </cell>
          <cell r="D292" t="str">
            <v>01271639375</v>
          </cell>
          <cell r="E292" t="str">
            <v>São Paulo</v>
          </cell>
          <cell r="F292" t="str">
            <v>SP</v>
          </cell>
          <cell r="G292" t="str">
            <v>Amarela</v>
          </cell>
          <cell r="H292" t="str">
            <v>MERCADO LIVRE</v>
          </cell>
          <cell r="I292" t="str">
            <v>Localiza</v>
          </cell>
          <cell r="K292" t="str">
            <v>Desmobilizado</v>
          </cell>
          <cell r="L292">
            <v>45875</v>
          </cell>
          <cell r="M292" t="str">
            <v>SSP22</v>
          </cell>
        </row>
        <row r="293">
          <cell r="C293" t="str">
            <v>93YMAFEXANJ009395</v>
          </cell>
          <cell r="D293" t="str">
            <v>01271639774</v>
          </cell>
          <cell r="E293" t="str">
            <v>São Paulo</v>
          </cell>
          <cell r="F293" t="str">
            <v>SP</v>
          </cell>
          <cell r="G293" t="str">
            <v>Amarela</v>
          </cell>
          <cell r="H293" t="str">
            <v>MERCADO LIVRE</v>
          </cell>
          <cell r="I293" t="str">
            <v>Localiza</v>
          </cell>
          <cell r="L293">
            <v>0</v>
          </cell>
          <cell r="M293" t="str">
            <v>SSP5</v>
          </cell>
        </row>
        <row r="294">
          <cell r="C294" t="str">
            <v>93YMAFEXANJ008348</v>
          </cell>
          <cell r="D294" t="str">
            <v>01271639685</v>
          </cell>
          <cell r="E294" t="str">
            <v>São Paulo</v>
          </cell>
          <cell r="F294" t="str">
            <v>SP</v>
          </cell>
          <cell r="G294" t="str">
            <v>Amarela</v>
          </cell>
          <cell r="H294" t="str">
            <v>MERCADO LIVRE</v>
          </cell>
          <cell r="I294" t="str">
            <v>Localiza</v>
          </cell>
          <cell r="L294">
            <v>0</v>
          </cell>
          <cell r="M294" t="str">
            <v>SSP22</v>
          </cell>
        </row>
        <row r="295">
          <cell r="C295" t="str">
            <v>93YMAFEXANJ008405</v>
          </cell>
          <cell r="D295" t="str">
            <v>01271639715</v>
          </cell>
          <cell r="E295" t="str">
            <v>Ribeirão Preto</v>
          </cell>
          <cell r="F295" t="str">
            <v>SP</v>
          </cell>
          <cell r="G295" t="str">
            <v>Amarela</v>
          </cell>
          <cell r="H295" t="str">
            <v>MERCADO LIVRE</v>
          </cell>
          <cell r="I295" t="str">
            <v>Localiza</v>
          </cell>
          <cell r="K295" t="str">
            <v>Verificar</v>
          </cell>
          <cell r="L295" t="e">
            <v>#N/A</v>
          </cell>
          <cell r="M295" t="e">
            <v>#N/A</v>
          </cell>
        </row>
        <row r="296">
          <cell r="C296" t="str">
            <v>93YMAFEXANJ973564</v>
          </cell>
          <cell r="D296" t="str">
            <v>01266977411</v>
          </cell>
          <cell r="E296" t="str">
            <v>São Paulo</v>
          </cell>
          <cell r="F296" t="str">
            <v>SP</v>
          </cell>
          <cell r="G296" t="str">
            <v>Amarela</v>
          </cell>
          <cell r="H296" t="str">
            <v>MERCADO LIVRE</v>
          </cell>
          <cell r="I296" t="str">
            <v>Localiza</v>
          </cell>
          <cell r="K296" t="str">
            <v>Verificar</v>
          </cell>
          <cell r="L296" t="e">
            <v>#N/A</v>
          </cell>
          <cell r="M296" t="e">
            <v>#N/A</v>
          </cell>
        </row>
        <row r="297">
          <cell r="C297" t="str">
            <v>93YMAFEXANJ974618</v>
          </cell>
          <cell r="D297" t="str">
            <v>01266977420</v>
          </cell>
          <cell r="E297" t="str">
            <v>Campinas</v>
          </cell>
          <cell r="F297" t="str">
            <v>SP</v>
          </cell>
          <cell r="G297" t="str">
            <v>Amarela</v>
          </cell>
          <cell r="H297" t="str">
            <v>MERCADO LIVRE</v>
          </cell>
          <cell r="I297" t="str">
            <v>Localiza</v>
          </cell>
          <cell r="L297">
            <v>0</v>
          </cell>
          <cell r="M297" t="str">
            <v>SSP5</v>
          </cell>
        </row>
        <row r="298">
          <cell r="C298" t="str">
            <v>93YMAFEXANJ954278</v>
          </cell>
          <cell r="D298" t="str">
            <v>01265912545</v>
          </cell>
          <cell r="E298" t="str">
            <v>São Paulo</v>
          </cell>
          <cell r="F298" t="str">
            <v>SP</v>
          </cell>
          <cell r="G298" t="str">
            <v>Amarela</v>
          </cell>
          <cell r="H298" t="str">
            <v>MERCADO LIVRE</v>
          </cell>
          <cell r="I298" t="str">
            <v>Localiza</v>
          </cell>
          <cell r="L298">
            <v>0</v>
          </cell>
          <cell r="M298" t="str">
            <v>SSP22</v>
          </cell>
        </row>
        <row r="299">
          <cell r="C299" t="str">
            <v>93YMAFEXANJ948640</v>
          </cell>
          <cell r="D299" t="str">
            <v>01265912286</v>
          </cell>
          <cell r="E299" t="str">
            <v>Curitiba</v>
          </cell>
          <cell r="F299" t="str">
            <v>PR</v>
          </cell>
          <cell r="G299" t="str">
            <v>Amarela</v>
          </cell>
          <cell r="H299" t="str">
            <v>MERCADO LIVRE</v>
          </cell>
          <cell r="I299" t="str">
            <v>Localiza</v>
          </cell>
          <cell r="L299">
            <v>0</v>
          </cell>
          <cell r="M299" t="str">
            <v>SPR8</v>
          </cell>
        </row>
        <row r="300">
          <cell r="C300" t="str">
            <v>93YMAFEXANJ949013</v>
          </cell>
          <cell r="D300" t="str">
            <v>01265912456</v>
          </cell>
          <cell r="E300" t="str">
            <v>São Paulo</v>
          </cell>
          <cell r="F300" t="str">
            <v>SP</v>
          </cell>
          <cell r="G300" t="str">
            <v>Amarela</v>
          </cell>
          <cell r="H300" t="str">
            <v>MERCADO LIVRE</v>
          </cell>
          <cell r="I300" t="str">
            <v>Localiza</v>
          </cell>
          <cell r="K300" t="str">
            <v>Verificar</v>
          </cell>
          <cell r="L300" t="e">
            <v>#N/A</v>
          </cell>
          <cell r="M300" t="e">
            <v>#N/A</v>
          </cell>
        </row>
        <row r="301">
          <cell r="C301" t="str">
            <v>93YMAFEXANJ972743</v>
          </cell>
          <cell r="D301" t="str">
            <v>01266977403</v>
          </cell>
          <cell r="E301" t="str">
            <v>São Paulo</v>
          </cell>
          <cell r="F301" t="str">
            <v>SP</v>
          </cell>
          <cell r="G301" t="str">
            <v>Amarela</v>
          </cell>
          <cell r="H301" t="str">
            <v>MERCADO LIVRE</v>
          </cell>
          <cell r="I301" t="str">
            <v>Localiza</v>
          </cell>
          <cell r="K301" t="str">
            <v>Verificar</v>
          </cell>
          <cell r="L301" t="e">
            <v>#N/A</v>
          </cell>
          <cell r="M301" t="e">
            <v>#N/A</v>
          </cell>
        </row>
        <row r="302">
          <cell r="C302" t="str">
            <v>93YMAFEXANJ975716</v>
          </cell>
          <cell r="D302" t="str">
            <v>01267190601</v>
          </cell>
          <cell r="E302" t="str">
            <v>São Paulo</v>
          </cell>
          <cell r="F302" t="str">
            <v>SP</v>
          </cell>
          <cell r="G302" t="str">
            <v>Amarela</v>
          </cell>
          <cell r="H302" t="str">
            <v>MERCADO LIVRE</v>
          </cell>
          <cell r="I302" t="str">
            <v>Localiza</v>
          </cell>
          <cell r="K302" t="str">
            <v>Desmobilizado</v>
          </cell>
          <cell r="L302">
            <v>45820</v>
          </cell>
          <cell r="M302" t="str">
            <v>Dev</v>
          </cell>
        </row>
        <row r="303">
          <cell r="C303" t="str">
            <v>93YMAFEXANJ006639</v>
          </cell>
          <cell r="D303" t="str">
            <v>01271639588</v>
          </cell>
          <cell r="E303" t="str">
            <v>São Paulo</v>
          </cell>
          <cell r="F303" t="str">
            <v>SP</v>
          </cell>
          <cell r="G303" t="str">
            <v>Amarela</v>
          </cell>
          <cell r="H303" t="str">
            <v>MERCADO LIVRE</v>
          </cell>
          <cell r="I303" t="str">
            <v>Localiza</v>
          </cell>
          <cell r="L303">
            <v>0</v>
          </cell>
          <cell r="M303" t="str">
            <v>SSP5</v>
          </cell>
        </row>
        <row r="304">
          <cell r="C304" t="str">
            <v>93YMAFEXANJ010666</v>
          </cell>
          <cell r="D304" t="str">
            <v>01271639812</v>
          </cell>
          <cell r="E304" t="str">
            <v>Campinas</v>
          </cell>
          <cell r="F304" t="str">
            <v>sp</v>
          </cell>
          <cell r="G304" t="str">
            <v>Amarela</v>
          </cell>
          <cell r="H304" t="str">
            <v>MERCADO LIVRE</v>
          </cell>
          <cell r="I304" t="str">
            <v>Localiza</v>
          </cell>
          <cell r="K304" t="str">
            <v>Desmobilizado</v>
          </cell>
          <cell r="L304">
            <v>45821</v>
          </cell>
          <cell r="M304" t="str">
            <v>SSP3</v>
          </cell>
        </row>
        <row r="305">
          <cell r="C305" t="str">
            <v>93YMAFEXANJ006480</v>
          </cell>
          <cell r="D305" t="str">
            <v>01271639570</v>
          </cell>
          <cell r="E305" t="str">
            <v>São Paulo</v>
          </cell>
          <cell r="F305" t="str">
            <v>SP</v>
          </cell>
          <cell r="G305" t="str">
            <v>Amarela</v>
          </cell>
          <cell r="H305" t="str">
            <v>MERCADO LIVRE</v>
          </cell>
          <cell r="I305" t="str">
            <v>Localiza</v>
          </cell>
          <cell r="L305">
            <v>0</v>
          </cell>
          <cell r="M305" t="str">
            <v>BRRC01</v>
          </cell>
        </row>
        <row r="306">
          <cell r="C306" t="str">
            <v>93YMAFEXANJ008991</v>
          </cell>
          <cell r="D306" t="str">
            <v>01271639731</v>
          </cell>
          <cell r="E306" t="str">
            <v>Ribeirão Preto</v>
          </cell>
          <cell r="F306" t="str">
            <v>SP</v>
          </cell>
          <cell r="G306" t="str">
            <v>Amarela</v>
          </cell>
          <cell r="H306" t="str">
            <v>MERCADO LIVRE</v>
          </cell>
          <cell r="I306" t="str">
            <v>Localiza</v>
          </cell>
          <cell r="L306">
            <v>0</v>
          </cell>
          <cell r="M306" t="str">
            <v>SSP22</v>
          </cell>
        </row>
        <row r="307">
          <cell r="C307" t="str">
            <v>93YMAFEXANJ008112</v>
          </cell>
          <cell r="D307" t="str">
            <v>01271639669</v>
          </cell>
          <cell r="E307" t="str">
            <v>São Paulo</v>
          </cell>
          <cell r="F307" t="str">
            <v>SP</v>
          </cell>
          <cell r="G307" t="str">
            <v>Amarela</v>
          </cell>
          <cell r="H307" t="str">
            <v>MERCADO LIVRE</v>
          </cell>
          <cell r="I307" t="str">
            <v>Localiza</v>
          </cell>
          <cell r="K307" t="str">
            <v>Verificar</v>
          </cell>
          <cell r="L307" t="e">
            <v>#N/A</v>
          </cell>
          <cell r="M307" t="e">
            <v>#N/A</v>
          </cell>
        </row>
        <row r="308">
          <cell r="C308" t="str">
            <v>93YMAFEXANJ008402</v>
          </cell>
          <cell r="D308" t="str">
            <v>01271639693</v>
          </cell>
          <cell r="E308" t="str">
            <v>Ribeirão Preto</v>
          </cell>
          <cell r="F308" t="str">
            <v>SP</v>
          </cell>
          <cell r="G308" t="str">
            <v>Amarela</v>
          </cell>
          <cell r="H308" t="str">
            <v>MERCADO LIVRE</v>
          </cell>
          <cell r="I308" t="str">
            <v>Localiza</v>
          </cell>
          <cell r="K308" t="str">
            <v>Desmobilizado</v>
          </cell>
          <cell r="L308">
            <v>45849</v>
          </cell>
          <cell r="M308" t="str">
            <v>SSP4</v>
          </cell>
        </row>
        <row r="309">
          <cell r="C309" t="str">
            <v>93YMAFEXANJ008987</v>
          </cell>
          <cell r="D309" t="str">
            <v>01271639723</v>
          </cell>
          <cell r="E309" t="str">
            <v>Ribeirão Preto</v>
          </cell>
          <cell r="F309" t="str">
            <v>SP</v>
          </cell>
          <cell r="G309" t="str">
            <v>Amarela</v>
          </cell>
          <cell r="H309" t="str">
            <v>MERCADO LIVRE</v>
          </cell>
          <cell r="I309" t="str">
            <v>Localiza</v>
          </cell>
          <cell r="L309">
            <v>0</v>
          </cell>
          <cell r="M309" t="str">
            <v>SSP22</v>
          </cell>
        </row>
        <row r="310">
          <cell r="C310" t="str">
            <v>93YMAFEXANJ010715</v>
          </cell>
          <cell r="D310" t="str">
            <v>01271639839</v>
          </cell>
          <cell r="E310" t="str">
            <v>São Paulo</v>
          </cell>
          <cell r="F310" t="str">
            <v>SP</v>
          </cell>
          <cell r="G310" t="str">
            <v>Amarela</v>
          </cell>
          <cell r="H310" t="str">
            <v>MERCADO LIVRE</v>
          </cell>
          <cell r="I310" t="str">
            <v>Localiza</v>
          </cell>
          <cell r="K310" t="str">
            <v>Verificar</v>
          </cell>
          <cell r="L310" t="e">
            <v>#N/A</v>
          </cell>
          <cell r="M310" t="e">
            <v>#N/A</v>
          </cell>
        </row>
        <row r="311">
          <cell r="C311" t="str">
            <v>93YMAFEXANJ890082</v>
          </cell>
          <cell r="D311" t="str">
            <v>01273508294</v>
          </cell>
          <cell r="E311" t="str">
            <v>Curitiba</v>
          </cell>
          <cell r="F311" t="str">
            <v>PR</v>
          </cell>
          <cell r="G311" t="str">
            <v>Amarela</v>
          </cell>
          <cell r="H311" t="str">
            <v>MERCADO LIVRE</v>
          </cell>
          <cell r="I311" t="str">
            <v>Localiza</v>
          </cell>
          <cell r="K311" t="str">
            <v>Desmobilizado</v>
          </cell>
          <cell r="L311">
            <v>45889</v>
          </cell>
          <cell r="M311" t="str">
            <v>SPR8</v>
          </cell>
        </row>
        <row r="312">
          <cell r="C312" t="str">
            <v>93YMAFEXANJ890083</v>
          </cell>
          <cell r="D312" t="str">
            <v>01273508308</v>
          </cell>
          <cell r="E312" t="str">
            <v>Curitiba</v>
          </cell>
          <cell r="F312" t="str">
            <v>PR</v>
          </cell>
          <cell r="G312" t="str">
            <v>Amarela</v>
          </cell>
          <cell r="H312" t="str">
            <v>MERCADO LIVRE</v>
          </cell>
          <cell r="I312" t="str">
            <v>Localiza</v>
          </cell>
          <cell r="L312">
            <v>0</v>
          </cell>
          <cell r="M312" t="str">
            <v>SPR8</v>
          </cell>
        </row>
        <row r="313">
          <cell r="C313" t="str">
            <v>93YMAFEXANJ890084</v>
          </cell>
          <cell r="D313" t="str">
            <v>01273508316</v>
          </cell>
          <cell r="E313" t="str">
            <v>Curitiba</v>
          </cell>
          <cell r="F313" t="str">
            <v>PR</v>
          </cell>
          <cell r="G313" t="str">
            <v>Amarela</v>
          </cell>
          <cell r="H313" t="str">
            <v>MERCADO LIVRE</v>
          </cell>
          <cell r="I313" t="str">
            <v>Localiza</v>
          </cell>
          <cell r="K313" t="str">
            <v>Desmobilizado</v>
          </cell>
          <cell r="L313">
            <v>45876</v>
          </cell>
          <cell r="M313" t="str">
            <v>SPR8</v>
          </cell>
        </row>
        <row r="314">
          <cell r="C314" t="str">
            <v>93YMAFEXANJ890085</v>
          </cell>
          <cell r="D314" t="str">
            <v>01273508324</v>
          </cell>
          <cell r="E314" t="str">
            <v>Curitiba</v>
          </cell>
          <cell r="F314" t="str">
            <v>PR</v>
          </cell>
          <cell r="G314" t="str">
            <v>Amarela</v>
          </cell>
          <cell r="H314" t="str">
            <v>MERCADO LIVRE</v>
          </cell>
          <cell r="I314" t="str">
            <v>Localiza</v>
          </cell>
          <cell r="K314" t="str">
            <v>Desmobilizado</v>
          </cell>
          <cell r="L314">
            <v>45944</v>
          </cell>
          <cell r="M314" t="str">
            <v>SPR8</v>
          </cell>
        </row>
        <row r="315">
          <cell r="C315" t="str">
            <v>93YMAFEXANJ890086</v>
          </cell>
          <cell r="D315" t="str">
            <v>01273508332</v>
          </cell>
          <cell r="E315" t="str">
            <v>Curitiba</v>
          </cell>
          <cell r="F315" t="str">
            <v>PR</v>
          </cell>
          <cell r="G315" t="str">
            <v>Amarela</v>
          </cell>
          <cell r="H315" t="str">
            <v>MERCADO LIVRE</v>
          </cell>
          <cell r="I315" t="str">
            <v>Localiza</v>
          </cell>
          <cell r="L315">
            <v>0</v>
          </cell>
          <cell r="M315" t="str">
            <v>SPR8</v>
          </cell>
        </row>
        <row r="316">
          <cell r="C316" t="str">
            <v>93YMAFEXANJ891298</v>
          </cell>
          <cell r="D316" t="str">
            <v>01273508340</v>
          </cell>
          <cell r="E316" t="str">
            <v>Curitiba</v>
          </cell>
          <cell r="F316" t="str">
            <v>PR</v>
          </cell>
          <cell r="G316" t="str">
            <v>Amarela</v>
          </cell>
          <cell r="H316" t="str">
            <v>MERCADO LIVRE</v>
          </cell>
          <cell r="I316" t="str">
            <v>Localiza</v>
          </cell>
          <cell r="K316" t="str">
            <v>Verificar</v>
          </cell>
          <cell r="L316" t="e">
            <v>#N/A</v>
          </cell>
          <cell r="M316" t="e">
            <v>#N/A</v>
          </cell>
        </row>
        <row r="317">
          <cell r="C317" t="str">
            <v>93YMAFEXANJ035324</v>
          </cell>
          <cell r="D317" t="str">
            <v>01275636796</v>
          </cell>
          <cell r="E317" t="str">
            <v>Recife</v>
          </cell>
          <cell r="F317" t="str">
            <v>PE</v>
          </cell>
          <cell r="G317" t="str">
            <v>Amarela</v>
          </cell>
          <cell r="H317" t="str">
            <v>MERCADO LIVRE</v>
          </cell>
          <cell r="I317" t="str">
            <v>Localiza</v>
          </cell>
          <cell r="L317">
            <v>0</v>
          </cell>
          <cell r="M317" t="str">
            <v>SPE1</v>
          </cell>
        </row>
        <row r="318">
          <cell r="C318" t="str">
            <v>93YMAFEXANJ056372</v>
          </cell>
          <cell r="D318" t="str">
            <v>01275637032</v>
          </cell>
          <cell r="E318" t="str">
            <v>São Paulo</v>
          </cell>
          <cell r="F318" t="str">
            <v>SP</v>
          </cell>
          <cell r="G318" t="str">
            <v>Amarela</v>
          </cell>
          <cell r="H318" t="str">
            <v>MERCADO LIVRE</v>
          </cell>
          <cell r="I318" t="str">
            <v>Localiza</v>
          </cell>
          <cell r="K318" t="str">
            <v>Verificar</v>
          </cell>
          <cell r="L318" t="e">
            <v>#N/A</v>
          </cell>
          <cell r="M318" t="e">
            <v>#N/A</v>
          </cell>
        </row>
        <row r="319">
          <cell r="C319" t="str">
            <v>93YMAFEXANJ033779</v>
          </cell>
          <cell r="D319" t="str">
            <v>01275636451</v>
          </cell>
          <cell r="E319" t="str">
            <v>São Paulo</v>
          </cell>
          <cell r="F319" t="str">
            <v>SP</v>
          </cell>
          <cell r="G319" t="str">
            <v>Amarela</v>
          </cell>
          <cell r="H319" t="str">
            <v>MERCADO LIVRE</v>
          </cell>
          <cell r="I319" t="str">
            <v>Localiza</v>
          </cell>
          <cell r="K319" t="str">
            <v>Desmobilizado</v>
          </cell>
          <cell r="L319">
            <v>45880</v>
          </cell>
          <cell r="M319" t="str">
            <v>SSP34</v>
          </cell>
        </row>
        <row r="320">
          <cell r="C320" t="str">
            <v>93YMAFEXANJ035126</v>
          </cell>
          <cell r="D320" t="str">
            <v>01275636737</v>
          </cell>
          <cell r="E320" t="str">
            <v>São Paulo</v>
          </cell>
          <cell r="F320" t="str">
            <v>SP</v>
          </cell>
          <cell r="G320" t="str">
            <v>Amarela</v>
          </cell>
          <cell r="H320" t="str">
            <v>MERCADO LIVRE</v>
          </cell>
          <cell r="I320" t="str">
            <v>Localiza</v>
          </cell>
          <cell r="K320" t="str">
            <v>Verificar</v>
          </cell>
          <cell r="L320" t="e">
            <v>#N/A</v>
          </cell>
          <cell r="M320" t="e">
            <v>#N/A</v>
          </cell>
        </row>
        <row r="321">
          <cell r="C321" t="str">
            <v>93YMAFEXANJ034351</v>
          </cell>
          <cell r="D321" t="str">
            <v>01275636605</v>
          </cell>
          <cell r="E321" t="str">
            <v>São Paulo</v>
          </cell>
          <cell r="F321" t="str">
            <v>SP</v>
          </cell>
          <cell r="G321" t="str">
            <v>Amarela</v>
          </cell>
          <cell r="H321" t="str">
            <v>MERCADO LIVRE</v>
          </cell>
          <cell r="I321" t="str">
            <v>Localiza</v>
          </cell>
          <cell r="K321" t="str">
            <v>Verificar</v>
          </cell>
          <cell r="L321" t="e">
            <v>#N/A</v>
          </cell>
          <cell r="M321" t="e">
            <v>#N/A</v>
          </cell>
        </row>
        <row r="322">
          <cell r="C322" t="str">
            <v>93YMAFEXANJ034692</v>
          </cell>
          <cell r="D322" t="str">
            <v>01275636699</v>
          </cell>
          <cell r="E322" t="str">
            <v>São Paulo</v>
          </cell>
          <cell r="F322" t="str">
            <v>SP</v>
          </cell>
          <cell r="G322" t="str">
            <v>Amarela</v>
          </cell>
          <cell r="H322" t="str">
            <v>MERCADO LIVRE</v>
          </cell>
          <cell r="I322" t="str">
            <v>Localiza</v>
          </cell>
          <cell r="L322">
            <v>0</v>
          </cell>
          <cell r="M322" t="str">
            <v>SSP26</v>
          </cell>
        </row>
        <row r="323">
          <cell r="C323" t="str">
            <v>93YMAFEXANJ040265</v>
          </cell>
          <cell r="D323" t="str">
            <v>01275636974</v>
          </cell>
          <cell r="E323" t="str">
            <v>São Paulo</v>
          </cell>
          <cell r="F323" t="str">
            <v>SP</v>
          </cell>
          <cell r="G323" t="str">
            <v>Amarela</v>
          </cell>
          <cell r="H323" t="str">
            <v>MERCADO LIVRE</v>
          </cell>
          <cell r="I323" t="str">
            <v>Localiza</v>
          </cell>
          <cell r="K323" t="str">
            <v>Verificar</v>
          </cell>
          <cell r="L323" t="e">
            <v>#N/A</v>
          </cell>
          <cell r="M323" t="e">
            <v>#N/A</v>
          </cell>
        </row>
        <row r="324">
          <cell r="C324" t="str">
            <v>93YMAFEXANJ034830</v>
          </cell>
          <cell r="D324" t="str">
            <v>01275638080</v>
          </cell>
          <cell r="E324" t="str">
            <v>São Paulo</v>
          </cell>
          <cell r="F324" t="str">
            <v>SP</v>
          </cell>
          <cell r="G324" t="str">
            <v>Amarela</v>
          </cell>
          <cell r="H324" t="str">
            <v>MERCADO LIVRE</v>
          </cell>
          <cell r="I324" t="str">
            <v>Localiza</v>
          </cell>
          <cell r="K324" t="str">
            <v>Desmobilizado</v>
          </cell>
          <cell r="L324">
            <v>45817</v>
          </cell>
          <cell r="M324" t="str">
            <v>SSP40</v>
          </cell>
        </row>
        <row r="325">
          <cell r="C325" t="str">
            <v>93YMAFEXANJ975221</v>
          </cell>
          <cell r="D325" t="str">
            <v>01267274961</v>
          </cell>
          <cell r="E325" t="str">
            <v>São Paulo</v>
          </cell>
          <cell r="F325" t="str">
            <v>SP</v>
          </cell>
          <cell r="G325" t="str">
            <v>Amarela</v>
          </cell>
          <cell r="H325" t="str">
            <v>MERCADO LIVRE</v>
          </cell>
          <cell r="I325" t="str">
            <v>Localiza</v>
          </cell>
          <cell r="K325" t="str">
            <v>Verificar</v>
          </cell>
          <cell r="L325" t="e">
            <v>#N/A</v>
          </cell>
          <cell r="M325" t="e">
            <v>#N/A</v>
          </cell>
        </row>
        <row r="326">
          <cell r="C326" t="str">
            <v>93YMAFEXANJ975547</v>
          </cell>
          <cell r="D326" t="str">
            <v>01267275062</v>
          </cell>
          <cell r="E326" t="str">
            <v>Curitiba</v>
          </cell>
          <cell r="F326" t="str">
            <v>PR</v>
          </cell>
          <cell r="G326" t="str">
            <v>Amarela</v>
          </cell>
          <cell r="H326" t="str">
            <v>MERCADO LIVRE</v>
          </cell>
          <cell r="I326" t="str">
            <v>Localiza</v>
          </cell>
          <cell r="K326" t="str">
            <v>Desmobilizado</v>
          </cell>
          <cell r="L326">
            <v>45845</v>
          </cell>
          <cell r="M326" t="str">
            <v>SPR8</v>
          </cell>
        </row>
        <row r="327">
          <cell r="C327" t="str">
            <v>93YMAFEXANJ119622</v>
          </cell>
          <cell r="D327" t="str">
            <v>01281672650</v>
          </cell>
          <cell r="E327" t="str">
            <v>São Paulo</v>
          </cell>
          <cell r="F327" t="str">
            <v>SP</v>
          </cell>
          <cell r="G327" t="str">
            <v>Branca</v>
          </cell>
          <cell r="H327" t="str">
            <v>MERCADO LIVRE</v>
          </cell>
          <cell r="I327" t="str">
            <v>Localiza</v>
          </cell>
          <cell r="K327" t="str">
            <v>Verificar</v>
          </cell>
          <cell r="L327" t="e">
            <v>#N/A</v>
          </cell>
          <cell r="M327" t="e">
            <v>#N/A</v>
          </cell>
        </row>
        <row r="328">
          <cell r="C328" t="str">
            <v>93YMAFEXANJ119620</v>
          </cell>
          <cell r="D328" t="str">
            <v>01281672642</v>
          </cell>
          <cell r="E328" t="str">
            <v>Campinas</v>
          </cell>
          <cell r="F328" t="str">
            <v>sp</v>
          </cell>
          <cell r="G328" t="str">
            <v>Branca</v>
          </cell>
          <cell r="H328" t="str">
            <v>MERCADO LIVRE</v>
          </cell>
          <cell r="I328" t="str">
            <v>Localiza</v>
          </cell>
          <cell r="L328">
            <v>0</v>
          </cell>
          <cell r="M328" t="str">
            <v>SSP3</v>
          </cell>
        </row>
        <row r="329">
          <cell r="C329" t="str">
            <v>93YMAFEXANJ119618</v>
          </cell>
          <cell r="D329" t="str">
            <v>01281672634</v>
          </cell>
          <cell r="E329" t="str">
            <v>São Paulo</v>
          </cell>
          <cell r="F329" t="str">
            <v>SP</v>
          </cell>
          <cell r="G329" t="str">
            <v>Branca</v>
          </cell>
          <cell r="H329" t="str">
            <v>MERCADO LIVRE</v>
          </cell>
          <cell r="I329" t="str">
            <v>Localiza</v>
          </cell>
          <cell r="K329" t="str">
            <v>Verificar</v>
          </cell>
          <cell r="L329" t="e">
            <v>#N/A</v>
          </cell>
          <cell r="M329" t="e">
            <v>#N/A</v>
          </cell>
        </row>
        <row r="330">
          <cell r="C330" t="str">
            <v>93YMAFEXANJ119616</v>
          </cell>
          <cell r="D330" t="str">
            <v>01281672626</v>
          </cell>
          <cell r="E330" t="str">
            <v>São Paulo</v>
          </cell>
          <cell r="F330" t="str">
            <v>SP</v>
          </cell>
          <cell r="G330" t="str">
            <v>Branca</v>
          </cell>
          <cell r="H330" t="str">
            <v>MERCADO LIVRE</v>
          </cell>
          <cell r="I330" t="str">
            <v>Localiza</v>
          </cell>
          <cell r="K330" t="str">
            <v>Verificar</v>
          </cell>
          <cell r="L330" t="e">
            <v>#N/A</v>
          </cell>
          <cell r="M330" t="e">
            <v>#N/A</v>
          </cell>
        </row>
        <row r="331">
          <cell r="C331" t="str">
            <v>93YMAFEXANJ119615</v>
          </cell>
          <cell r="D331" t="str">
            <v>01281672618</v>
          </cell>
          <cell r="E331" t="str">
            <v>São Paulo</v>
          </cell>
          <cell r="F331" t="str">
            <v>SP</v>
          </cell>
          <cell r="G331" t="str">
            <v>Branca</v>
          </cell>
          <cell r="H331" t="str">
            <v>MERCADO LIVRE</v>
          </cell>
          <cell r="I331" t="str">
            <v>Localiza</v>
          </cell>
          <cell r="L331">
            <v>0</v>
          </cell>
          <cell r="M331" t="str">
            <v>SSP3</v>
          </cell>
        </row>
        <row r="332">
          <cell r="C332" t="str">
            <v>93YMAFEXANJ119612</v>
          </cell>
          <cell r="D332" t="str">
            <v>01281672600</v>
          </cell>
          <cell r="E332" t="str">
            <v>São Paulo</v>
          </cell>
          <cell r="F332" t="str">
            <v>SP</v>
          </cell>
          <cell r="G332" t="str">
            <v>Branca</v>
          </cell>
          <cell r="H332" t="str">
            <v>MERCADO LIVRE</v>
          </cell>
          <cell r="I332" t="str">
            <v>Localiza</v>
          </cell>
          <cell r="K332" t="str">
            <v>Desmobilizado</v>
          </cell>
          <cell r="L332">
            <v>45828</v>
          </cell>
          <cell r="M332" t="str">
            <v>SSP40</v>
          </cell>
        </row>
        <row r="333">
          <cell r="C333" t="str">
            <v>93YMAFEXANJ119611</v>
          </cell>
          <cell r="D333" t="str">
            <v>01281672596</v>
          </cell>
          <cell r="E333" t="str">
            <v>São Paulo</v>
          </cell>
          <cell r="F333" t="str">
            <v>SP</v>
          </cell>
          <cell r="G333" t="str">
            <v>Branca</v>
          </cell>
          <cell r="H333" t="str">
            <v>MERCADO LIVRE</v>
          </cell>
          <cell r="I333" t="str">
            <v>Localiza</v>
          </cell>
          <cell r="K333" t="str">
            <v>Desmobilizado</v>
          </cell>
          <cell r="L333">
            <v>45821</v>
          </cell>
          <cell r="M333" t="str">
            <v>SSP34</v>
          </cell>
        </row>
        <row r="334">
          <cell r="C334" t="str">
            <v>93YMAFEXANJ119608</v>
          </cell>
          <cell r="D334" t="str">
            <v>01281672588</v>
          </cell>
          <cell r="E334" t="str">
            <v>São Paulo</v>
          </cell>
          <cell r="F334" t="str">
            <v>SP</v>
          </cell>
          <cell r="G334" t="str">
            <v>Branca</v>
          </cell>
          <cell r="H334" t="str">
            <v>MERCADO LIVRE</v>
          </cell>
          <cell r="I334" t="str">
            <v>Localiza</v>
          </cell>
          <cell r="L334">
            <v>0</v>
          </cell>
          <cell r="M334" t="str">
            <v>SSP5</v>
          </cell>
        </row>
        <row r="335">
          <cell r="C335" t="str">
            <v>93YMAFEXANJ119470</v>
          </cell>
          <cell r="D335" t="str">
            <v>01282254755</v>
          </cell>
          <cell r="E335" t="str">
            <v>São Paulo</v>
          </cell>
          <cell r="F335" t="str">
            <v>SP</v>
          </cell>
          <cell r="G335" t="str">
            <v>Branca</v>
          </cell>
          <cell r="H335" t="str">
            <v>MERCADO LIVRE</v>
          </cell>
          <cell r="I335" t="str">
            <v>Localiza</v>
          </cell>
          <cell r="L335">
            <v>0</v>
          </cell>
          <cell r="M335" t="str">
            <v>SSP5</v>
          </cell>
        </row>
        <row r="336">
          <cell r="C336" t="str">
            <v>3C6DFVBK1ME545494</v>
          </cell>
          <cell r="D336" t="str">
            <v>01268416905</v>
          </cell>
          <cell r="E336" t="str">
            <v>Campinas</v>
          </cell>
          <cell r="F336" t="str">
            <v>SP</v>
          </cell>
          <cell r="G336" t="str">
            <v>Branca</v>
          </cell>
          <cell r="H336" t="str">
            <v>MERCADO LIVRE</v>
          </cell>
          <cell r="I336" t="str">
            <v>Localiza</v>
          </cell>
          <cell r="K336" t="str">
            <v>Verificar</v>
          </cell>
          <cell r="L336" t="e">
            <v>#N/A</v>
          </cell>
          <cell r="M336" t="e">
            <v>#N/A</v>
          </cell>
        </row>
        <row r="337">
          <cell r="C337" t="str">
            <v>3C6DFVBK2ME545729</v>
          </cell>
          <cell r="D337" t="str">
            <v>01268417537</v>
          </cell>
          <cell r="E337" t="str">
            <v>Campinas</v>
          </cell>
          <cell r="F337" t="str">
            <v>SP</v>
          </cell>
          <cell r="G337" t="str">
            <v>Branca</v>
          </cell>
          <cell r="H337" t="str">
            <v>MERCADO LIVRE</v>
          </cell>
          <cell r="I337" t="str">
            <v>Localiza</v>
          </cell>
          <cell r="K337" t="str">
            <v>Verificar</v>
          </cell>
          <cell r="L337" t="e">
            <v>#N/A</v>
          </cell>
          <cell r="M337" t="e">
            <v>#N/A</v>
          </cell>
        </row>
        <row r="338">
          <cell r="C338" t="str">
            <v>93YMAFEXANJ058211</v>
          </cell>
          <cell r="D338" t="str">
            <v>01278178349</v>
          </cell>
          <cell r="E338" t="str">
            <v>Campinas</v>
          </cell>
          <cell r="F338" t="str">
            <v>SP</v>
          </cell>
          <cell r="G338" t="str">
            <v>Branca</v>
          </cell>
          <cell r="H338" t="str">
            <v>MERCADO LIVRE</v>
          </cell>
          <cell r="I338" t="str">
            <v>Localiza</v>
          </cell>
          <cell r="K338" t="str">
            <v>Desmobilizado</v>
          </cell>
          <cell r="L338">
            <v>45734</v>
          </cell>
          <cell r="M338" t="str">
            <v>Dev</v>
          </cell>
        </row>
        <row r="339">
          <cell r="C339" t="str">
            <v>9535PFTE6NR038701</v>
          </cell>
          <cell r="D339" t="str">
            <v>01285927122</v>
          </cell>
          <cell r="E339" t="str">
            <v>São José do Rio Preto</v>
          </cell>
          <cell r="F339" t="str">
            <v>SP</v>
          </cell>
          <cell r="G339" t="str">
            <v>Branca</v>
          </cell>
          <cell r="H339" t="str">
            <v>MERCADO LIVRE</v>
          </cell>
          <cell r="I339" t="str">
            <v>Localiza</v>
          </cell>
          <cell r="L339" t="e">
            <v>#N/A</v>
          </cell>
          <cell r="M339" t="str">
            <v>FMS09</v>
          </cell>
        </row>
        <row r="340">
          <cell r="C340" t="str">
            <v>9535PFTE7NR038576</v>
          </cell>
          <cell r="D340" t="str">
            <v>01285927130</v>
          </cell>
          <cell r="E340" t="str">
            <v>São José do Rio Preto</v>
          </cell>
          <cell r="F340" t="str">
            <v>SP</v>
          </cell>
          <cell r="G340" t="str">
            <v>Branca</v>
          </cell>
          <cell r="H340" t="str">
            <v>MERCADO LIVRE</v>
          </cell>
          <cell r="I340" t="str">
            <v>Localiza</v>
          </cell>
          <cell r="L340" t="e">
            <v>#N/A</v>
          </cell>
          <cell r="M340" t="str">
            <v>FMS09</v>
          </cell>
        </row>
        <row r="341">
          <cell r="C341" t="str">
            <v>9535PFTE9NR037803</v>
          </cell>
          <cell r="D341" t="str">
            <v>01280205471</v>
          </cell>
          <cell r="E341" t="str">
            <v>São José do Rio Preto</v>
          </cell>
          <cell r="F341" t="str">
            <v>SP</v>
          </cell>
          <cell r="G341" t="str">
            <v>Branca</v>
          </cell>
          <cell r="H341" t="str">
            <v>MERCADO LIVRE</v>
          </cell>
          <cell r="I341" t="str">
            <v>Localiza</v>
          </cell>
          <cell r="L341" t="e">
            <v>#N/A</v>
          </cell>
          <cell r="M341" t="str">
            <v>SSP5</v>
          </cell>
        </row>
        <row r="342">
          <cell r="C342" t="str">
            <v>9535PFTE1NR035771</v>
          </cell>
          <cell r="D342" t="str">
            <v>01280205072</v>
          </cell>
          <cell r="E342" t="str">
            <v>São Paulo</v>
          </cell>
          <cell r="F342" t="str">
            <v>SP</v>
          </cell>
          <cell r="G342" t="str">
            <v>Branca</v>
          </cell>
          <cell r="H342" t="str">
            <v>MERCADO LIVRE</v>
          </cell>
          <cell r="I342" t="str">
            <v>Localiza</v>
          </cell>
          <cell r="K342" t="str">
            <v>Verificar</v>
          </cell>
          <cell r="L342" t="e">
            <v>#N/A</v>
          </cell>
          <cell r="M342" t="e">
            <v>#N/A</v>
          </cell>
        </row>
        <row r="343">
          <cell r="C343" t="str">
            <v>9535PFTE0NR037768</v>
          </cell>
          <cell r="D343" t="str">
            <v>01285927084</v>
          </cell>
          <cell r="E343" t="str">
            <v>São José do Rio Preto</v>
          </cell>
          <cell r="F343" t="str">
            <v>SP</v>
          </cell>
          <cell r="G343" t="str">
            <v>Branca</v>
          </cell>
          <cell r="H343" t="str">
            <v>MERCADO LIVRE</v>
          </cell>
          <cell r="I343" t="str">
            <v>Localiza</v>
          </cell>
          <cell r="L343" t="e">
            <v>#N/A</v>
          </cell>
          <cell r="M343" t="str">
            <v>BRRC01</v>
          </cell>
        </row>
        <row r="344">
          <cell r="C344" t="str">
            <v>9535PFTE3NR038655</v>
          </cell>
          <cell r="D344" t="str">
            <v>01280205188</v>
          </cell>
          <cell r="E344" t="str">
            <v>São José do Rio Preto</v>
          </cell>
          <cell r="F344" t="str">
            <v>SP</v>
          </cell>
          <cell r="G344" t="str">
            <v>Branca</v>
          </cell>
          <cell r="H344" t="str">
            <v>MERCADO LIVRE</v>
          </cell>
          <cell r="I344" t="str">
            <v>Localiza</v>
          </cell>
          <cell r="L344" t="e">
            <v>#N/A</v>
          </cell>
          <cell r="M344" t="str">
            <v>SSC5</v>
          </cell>
        </row>
        <row r="345">
          <cell r="C345" t="str">
            <v>9535PFTE3NR038851</v>
          </cell>
          <cell r="D345" t="str">
            <v>01280205218</v>
          </cell>
          <cell r="E345" t="str">
            <v>São José do Rio Preto</v>
          </cell>
          <cell r="F345" t="str">
            <v>SP</v>
          </cell>
          <cell r="G345" t="str">
            <v>Branca</v>
          </cell>
          <cell r="H345" t="str">
            <v>MERCADO LIVRE</v>
          </cell>
          <cell r="I345" t="str">
            <v>Localiza</v>
          </cell>
          <cell r="L345" t="e">
            <v>#N/A</v>
          </cell>
          <cell r="M345" t="str">
            <v>SSP16</v>
          </cell>
        </row>
        <row r="346">
          <cell r="C346" t="str">
            <v>9535PFTE3NR038915</v>
          </cell>
          <cell r="D346" t="str">
            <v>01280205226</v>
          </cell>
          <cell r="E346" t="str">
            <v>São José do Rio Preto</v>
          </cell>
          <cell r="F346" t="str">
            <v>SP</v>
          </cell>
          <cell r="G346" t="str">
            <v>Branca</v>
          </cell>
          <cell r="H346" t="str">
            <v>MERCADO LIVRE</v>
          </cell>
          <cell r="I346" t="str">
            <v>Localiza</v>
          </cell>
          <cell r="L346" t="e">
            <v>#N/A</v>
          </cell>
          <cell r="M346" t="str">
            <v>SSC5</v>
          </cell>
        </row>
        <row r="347">
          <cell r="C347" t="str">
            <v>9535PFTE4NR039491</v>
          </cell>
          <cell r="D347" t="str">
            <v>01285927092</v>
          </cell>
          <cell r="E347" t="str">
            <v>São José do Rio Preto</v>
          </cell>
          <cell r="F347" t="str">
            <v>SP</v>
          </cell>
          <cell r="G347" t="str">
            <v>Branca</v>
          </cell>
          <cell r="H347" t="str">
            <v>MERCADO LIVRE</v>
          </cell>
          <cell r="I347" t="str">
            <v>Localiza</v>
          </cell>
          <cell r="L347" t="e">
            <v>#N/A</v>
          </cell>
          <cell r="M347" t="str">
            <v>SSP5</v>
          </cell>
        </row>
        <row r="348">
          <cell r="C348" t="str">
            <v>9BD2651DHM9203146</v>
          </cell>
          <cell r="D348" t="str">
            <v>01289088796</v>
          </cell>
          <cell r="E348" t="str">
            <v>BAURU</v>
          </cell>
          <cell r="F348" t="str">
            <v>SP</v>
          </cell>
          <cell r="G348" t="str">
            <v>Branca</v>
          </cell>
          <cell r="H348" t="str">
            <v>MERCADO LIVRE</v>
          </cell>
          <cell r="I348" t="str">
            <v>Localiza</v>
          </cell>
          <cell r="K348" t="str">
            <v>Verificar</v>
          </cell>
          <cell r="L348" t="e">
            <v>#N/A</v>
          </cell>
          <cell r="M348" t="e">
            <v>#N/A</v>
          </cell>
        </row>
        <row r="349">
          <cell r="C349" t="str">
            <v>93YVBU4X1NJ120379</v>
          </cell>
          <cell r="D349" t="str">
            <v>01285886396</v>
          </cell>
          <cell r="E349" t="str">
            <v>Osasco</v>
          </cell>
          <cell r="F349" t="str">
            <v>SP</v>
          </cell>
          <cell r="G349" t="str">
            <v>Branca</v>
          </cell>
          <cell r="H349" t="str">
            <v>MERCADO LIVRE</v>
          </cell>
          <cell r="I349" t="str">
            <v>Localiza</v>
          </cell>
          <cell r="L349">
            <v>0</v>
          </cell>
          <cell r="M349" t="str">
            <v>SSP17</v>
          </cell>
        </row>
        <row r="350">
          <cell r="C350" t="str">
            <v>93YVBU4X1NJ121916</v>
          </cell>
          <cell r="D350" t="str">
            <v>01285886582</v>
          </cell>
          <cell r="E350" t="str">
            <v>São Paulo</v>
          </cell>
          <cell r="F350" t="str">
            <v>SP</v>
          </cell>
          <cell r="G350" t="str">
            <v>Branca</v>
          </cell>
          <cell r="H350" t="str">
            <v>MERCADO LIVRE</v>
          </cell>
          <cell r="I350" t="str">
            <v>Localiza</v>
          </cell>
          <cell r="L350">
            <v>0</v>
          </cell>
          <cell r="M350" t="str">
            <v>SSP30</v>
          </cell>
        </row>
        <row r="351">
          <cell r="C351" t="str">
            <v>93YVBU4X1NJ121934</v>
          </cell>
          <cell r="D351" t="str">
            <v>01285886680</v>
          </cell>
          <cell r="E351" t="str">
            <v>São Paulo</v>
          </cell>
          <cell r="F351" t="str">
            <v>SP</v>
          </cell>
          <cell r="G351" t="str">
            <v>Branca</v>
          </cell>
          <cell r="H351" t="str">
            <v>MERCADO LIVRE</v>
          </cell>
          <cell r="I351" t="str">
            <v>Localiza</v>
          </cell>
          <cell r="L351">
            <v>0</v>
          </cell>
          <cell r="M351" t="str">
            <v>SSP40</v>
          </cell>
        </row>
        <row r="352">
          <cell r="C352" t="str">
            <v>93YVBU4X1NJ121933</v>
          </cell>
          <cell r="D352" t="str">
            <v>01285886671</v>
          </cell>
          <cell r="E352" t="str">
            <v>Osasco</v>
          </cell>
          <cell r="F352" t="str">
            <v>SP</v>
          </cell>
          <cell r="G352" t="str">
            <v>Branca</v>
          </cell>
          <cell r="H352" t="str">
            <v>MERCADO LIVRE</v>
          </cell>
          <cell r="I352" t="str">
            <v>Localiza</v>
          </cell>
          <cell r="L352">
            <v>0</v>
          </cell>
          <cell r="M352" t="str">
            <v>SSP17</v>
          </cell>
        </row>
        <row r="353">
          <cell r="C353" t="str">
            <v>93YVBU4X1NJ121937</v>
          </cell>
          <cell r="D353" t="str">
            <v>01285886698</v>
          </cell>
          <cell r="E353" t="str">
            <v>Osasco</v>
          </cell>
          <cell r="F353" t="str">
            <v>SP</v>
          </cell>
          <cell r="G353" t="str">
            <v>Branca</v>
          </cell>
          <cell r="H353" t="str">
            <v>MERCADO LIVRE</v>
          </cell>
          <cell r="I353" t="str">
            <v>Localiza</v>
          </cell>
          <cell r="L353">
            <v>0</v>
          </cell>
          <cell r="M353" t="str">
            <v>SSP17</v>
          </cell>
        </row>
        <row r="354">
          <cell r="C354" t="str">
            <v>93YVBU4X1NJ120383</v>
          </cell>
          <cell r="D354" t="str">
            <v>01285886426</v>
          </cell>
          <cell r="E354" t="str">
            <v>Osasco</v>
          </cell>
          <cell r="F354" t="str">
            <v>SP</v>
          </cell>
          <cell r="G354" t="str">
            <v>Branca</v>
          </cell>
          <cell r="H354" t="str">
            <v>MERCADO LIVRE</v>
          </cell>
          <cell r="I354" t="str">
            <v>Localiza</v>
          </cell>
          <cell r="L354">
            <v>0</v>
          </cell>
          <cell r="M354" t="str">
            <v>SSP17</v>
          </cell>
        </row>
        <row r="355">
          <cell r="C355" t="str">
            <v>93YVBU4X1NJ121771</v>
          </cell>
          <cell r="D355" t="str">
            <v>01285886493</v>
          </cell>
          <cell r="E355" t="str">
            <v>São Paulo</v>
          </cell>
          <cell r="F355" t="str">
            <v>SP</v>
          </cell>
          <cell r="G355" t="str">
            <v>Branca</v>
          </cell>
          <cell r="H355" t="str">
            <v>MERCADO LIVRE</v>
          </cell>
          <cell r="I355" t="str">
            <v>Localiza</v>
          </cell>
          <cell r="K355" t="str">
            <v>Verificar</v>
          </cell>
          <cell r="L355" t="e">
            <v>#N/A</v>
          </cell>
          <cell r="M355" t="e">
            <v>#N/A</v>
          </cell>
        </row>
        <row r="356">
          <cell r="C356" t="str">
            <v>93YVBU4X1NJ121918</v>
          </cell>
          <cell r="D356" t="str">
            <v>01285886590</v>
          </cell>
          <cell r="E356" t="str">
            <v>Porto Alegre</v>
          </cell>
          <cell r="F356" t="str">
            <v>RS</v>
          </cell>
          <cell r="G356" t="str">
            <v>Branca</v>
          </cell>
          <cell r="H356" t="str">
            <v>MERCADO LIVRE</v>
          </cell>
          <cell r="I356" t="str">
            <v>Localiza</v>
          </cell>
          <cell r="L356">
            <v>0</v>
          </cell>
          <cell r="M356" t="str">
            <v>SRS1</v>
          </cell>
        </row>
        <row r="357">
          <cell r="C357" t="str">
            <v>93YVBU4X1NJ121927</v>
          </cell>
          <cell r="D357" t="str">
            <v>01285886655</v>
          </cell>
          <cell r="E357" t="str">
            <v>São Paulo</v>
          </cell>
          <cell r="F357" t="str">
            <v>SP</v>
          </cell>
          <cell r="G357" t="str">
            <v>Branca</v>
          </cell>
          <cell r="H357" t="str">
            <v>MERCADO LIVRE</v>
          </cell>
          <cell r="I357" t="str">
            <v>Localiza</v>
          </cell>
          <cell r="L357">
            <v>0</v>
          </cell>
          <cell r="M357" t="str">
            <v>SSP30</v>
          </cell>
        </row>
        <row r="358">
          <cell r="C358" t="str">
            <v>93YVBU4X1NJ120283</v>
          </cell>
          <cell r="D358" t="str">
            <v>01285886329</v>
          </cell>
          <cell r="E358" t="str">
            <v>Guarulhos</v>
          </cell>
          <cell r="F358" t="str">
            <v>SP</v>
          </cell>
          <cell r="G358" t="str">
            <v>Branca</v>
          </cell>
          <cell r="H358" t="str">
            <v>MERCADO LIVRE</v>
          </cell>
          <cell r="I358" t="str">
            <v>Localiza</v>
          </cell>
          <cell r="L358">
            <v>0</v>
          </cell>
          <cell r="M358" t="str">
            <v>SSP17</v>
          </cell>
        </row>
        <row r="359">
          <cell r="C359" t="str">
            <v>93YVBU4X1NJ120374</v>
          </cell>
          <cell r="D359" t="str">
            <v>01285886388</v>
          </cell>
          <cell r="E359" t="str">
            <v>Porto Alegre</v>
          </cell>
          <cell r="F359" t="str">
            <v>RS</v>
          </cell>
          <cell r="G359" t="str">
            <v>Branca</v>
          </cell>
          <cell r="H359" t="str">
            <v>MERCADO LIVRE</v>
          </cell>
          <cell r="I359" t="str">
            <v>Localiza</v>
          </cell>
          <cell r="L359">
            <v>0</v>
          </cell>
          <cell r="M359" t="str">
            <v>SRS1</v>
          </cell>
        </row>
        <row r="360">
          <cell r="C360" t="str">
            <v>93YVBU4X1NJ121741</v>
          </cell>
          <cell r="D360" t="str">
            <v>01285886442</v>
          </cell>
          <cell r="E360" t="str">
            <v>São Paulo</v>
          </cell>
          <cell r="F360" t="str">
            <v>SP</v>
          </cell>
          <cell r="G360" t="str">
            <v>Branca</v>
          </cell>
          <cell r="H360" t="str">
            <v>MERCADO LIVRE</v>
          </cell>
          <cell r="I360" t="str">
            <v>Localiza</v>
          </cell>
          <cell r="L360">
            <v>0</v>
          </cell>
          <cell r="M360" t="str">
            <v>SSP17</v>
          </cell>
        </row>
        <row r="361">
          <cell r="C361" t="str">
            <v>93YVBU4X1NJ121772</v>
          </cell>
          <cell r="D361" t="str">
            <v>01285886507</v>
          </cell>
          <cell r="E361" t="str">
            <v>Osasco</v>
          </cell>
          <cell r="F361" t="str">
            <v>SP</v>
          </cell>
          <cell r="G361" t="str">
            <v>Branca</v>
          </cell>
          <cell r="H361" t="str">
            <v>MERCADO LIVRE</v>
          </cell>
          <cell r="I361" t="str">
            <v>Localiza</v>
          </cell>
          <cell r="L361">
            <v>0</v>
          </cell>
          <cell r="M361" t="str">
            <v>SSP30</v>
          </cell>
        </row>
        <row r="362">
          <cell r="C362" t="str">
            <v>93YVBU4X1NJ120307</v>
          </cell>
          <cell r="D362" t="str">
            <v>01285886337</v>
          </cell>
          <cell r="E362" t="str">
            <v>Porto Alegre</v>
          </cell>
          <cell r="F362" t="str">
            <v>RS</v>
          </cell>
          <cell r="G362" t="str">
            <v>Branca</v>
          </cell>
          <cell r="H362" t="str">
            <v>MERCADO LIVRE</v>
          </cell>
          <cell r="I362" t="str">
            <v>Localiza</v>
          </cell>
          <cell r="L362">
            <v>0</v>
          </cell>
          <cell r="M362" t="str">
            <v>SRS8</v>
          </cell>
        </row>
        <row r="363">
          <cell r="C363" t="str">
            <v>93YVBU4X1NJ121926</v>
          </cell>
          <cell r="D363" t="str">
            <v>01285886647</v>
          </cell>
          <cell r="E363" t="str">
            <v>Osasco</v>
          </cell>
          <cell r="F363" t="str">
            <v>SP</v>
          </cell>
          <cell r="G363" t="str">
            <v>Branca</v>
          </cell>
          <cell r="H363" t="str">
            <v>MERCADO LIVRE</v>
          </cell>
          <cell r="I363" t="str">
            <v>Localiza</v>
          </cell>
          <cell r="L363">
            <v>0</v>
          </cell>
          <cell r="M363" t="str">
            <v>SSP17</v>
          </cell>
        </row>
        <row r="364">
          <cell r="C364" t="str">
            <v>93YVBU4X1NJ121925</v>
          </cell>
          <cell r="D364" t="str">
            <v>01285886639</v>
          </cell>
          <cell r="E364" t="str">
            <v>São Paulo</v>
          </cell>
          <cell r="F364" t="str">
            <v>SP</v>
          </cell>
          <cell r="G364" t="str">
            <v>Branca</v>
          </cell>
          <cell r="H364" t="str">
            <v>MERCADO LIVRE</v>
          </cell>
          <cell r="I364" t="str">
            <v>Localiza</v>
          </cell>
          <cell r="L364">
            <v>0</v>
          </cell>
          <cell r="M364" t="str">
            <v>SSP40</v>
          </cell>
        </row>
        <row r="365">
          <cell r="C365" t="str">
            <v>93YVBU4X1NJ121915</v>
          </cell>
          <cell r="D365" t="str">
            <v>01285886574</v>
          </cell>
          <cell r="E365" t="str">
            <v>Porto Alegre</v>
          </cell>
          <cell r="F365" t="str">
            <v>RS</v>
          </cell>
          <cell r="G365" t="str">
            <v>Branca</v>
          </cell>
          <cell r="H365" t="str">
            <v>MERCADO LIVRE</v>
          </cell>
          <cell r="I365" t="str">
            <v>Localiza</v>
          </cell>
          <cell r="L365">
            <v>0</v>
          </cell>
          <cell r="M365" t="str">
            <v>SRS8</v>
          </cell>
        </row>
        <row r="366">
          <cell r="C366" t="str">
            <v>9535PFTEXNR046218</v>
          </cell>
          <cell r="D366" t="str">
            <v>01286087551</v>
          </cell>
          <cell r="E366" t="str">
            <v>São José do Rio Preto</v>
          </cell>
          <cell r="F366" t="str">
            <v>SP</v>
          </cell>
          <cell r="G366" t="str">
            <v>Branca</v>
          </cell>
          <cell r="H366" t="str">
            <v>MERCADO LIVRE</v>
          </cell>
          <cell r="I366" t="str">
            <v>Localiza</v>
          </cell>
          <cell r="L366" t="e">
            <v>#N/A</v>
          </cell>
          <cell r="M366" t="str">
            <v>FMS09</v>
          </cell>
        </row>
        <row r="367">
          <cell r="C367" t="str">
            <v>9535PFTE1NR050786</v>
          </cell>
          <cell r="D367" t="str">
            <v>01290152613</v>
          </cell>
          <cell r="E367" t="str">
            <v>São José do Rio Preto</v>
          </cell>
          <cell r="F367" t="str">
            <v>SP</v>
          </cell>
          <cell r="G367" t="str">
            <v>Branca</v>
          </cell>
          <cell r="H367" t="str">
            <v>MERCADO LIVRE</v>
          </cell>
          <cell r="I367" t="str">
            <v>Localiza</v>
          </cell>
          <cell r="K367" t="str">
            <v>Verificar</v>
          </cell>
          <cell r="L367" t="e">
            <v>#N/A</v>
          </cell>
          <cell r="M367" t="e">
            <v>#N/A</v>
          </cell>
        </row>
        <row r="368">
          <cell r="C368" t="str">
            <v>9535PFTE2NR050604</v>
          </cell>
          <cell r="D368" t="str">
            <v>01290152648</v>
          </cell>
          <cell r="E368" t="str">
            <v>São José do Rio Preto</v>
          </cell>
          <cell r="F368" t="str">
            <v>SP</v>
          </cell>
          <cell r="G368" t="str">
            <v>Branca</v>
          </cell>
          <cell r="H368" t="str">
            <v>MERCADO LIVRE</v>
          </cell>
          <cell r="I368" t="str">
            <v>Localiza</v>
          </cell>
          <cell r="K368" t="str">
            <v>Verificar</v>
          </cell>
          <cell r="L368" t="e">
            <v>#N/A</v>
          </cell>
          <cell r="M368" t="e">
            <v>#N/A</v>
          </cell>
        </row>
        <row r="369">
          <cell r="C369" t="str">
            <v>9535PFTE2NR050635</v>
          </cell>
          <cell r="D369" t="str">
            <v>01290152664</v>
          </cell>
          <cell r="E369" t="str">
            <v>São Paulo</v>
          </cell>
          <cell r="F369" t="str">
            <v>SP</v>
          </cell>
          <cell r="G369" t="str">
            <v>Branca</v>
          </cell>
          <cell r="H369" t="str">
            <v>MERCADO LIVRE</v>
          </cell>
          <cell r="I369" t="str">
            <v>Localiza</v>
          </cell>
          <cell r="K369" t="str">
            <v>Verificar</v>
          </cell>
          <cell r="L369" t="e">
            <v>#N/A</v>
          </cell>
          <cell r="M369" t="e">
            <v>#N/A</v>
          </cell>
        </row>
        <row r="370">
          <cell r="C370" t="str">
            <v>9535PFTE2NR050800</v>
          </cell>
          <cell r="D370" t="str">
            <v>01290152672</v>
          </cell>
          <cell r="E370" t="str">
            <v>Campinas</v>
          </cell>
          <cell r="F370" t="str">
            <v>sp</v>
          </cell>
          <cell r="G370" t="str">
            <v>Branca</v>
          </cell>
          <cell r="H370" t="str">
            <v>MERCADO LIVRE</v>
          </cell>
          <cell r="I370" t="str">
            <v>Localiza</v>
          </cell>
          <cell r="K370" t="str">
            <v>Verificar</v>
          </cell>
          <cell r="L370" t="e">
            <v>#N/A</v>
          </cell>
          <cell r="M370" t="e">
            <v>#N/A</v>
          </cell>
        </row>
        <row r="371">
          <cell r="C371" t="str">
            <v>9535PFTE3NR050269</v>
          </cell>
          <cell r="D371" t="str">
            <v>01290152680</v>
          </cell>
          <cell r="E371" t="str">
            <v>São Paulo</v>
          </cell>
          <cell r="F371" t="str">
            <v>SP</v>
          </cell>
          <cell r="G371" t="str">
            <v>Branca</v>
          </cell>
          <cell r="H371" t="str">
            <v>MERCADO LIVRE</v>
          </cell>
          <cell r="I371" t="str">
            <v>Localiza</v>
          </cell>
          <cell r="K371" t="str">
            <v>Verificar</v>
          </cell>
          <cell r="L371" t="e">
            <v>#N/A</v>
          </cell>
          <cell r="M371" t="e">
            <v>#N/A</v>
          </cell>
        </row>
        <row r="372">
          <cell r="C372" t="str">
            <v>9535PFTE3NR050580</v>
          </cell>
          <cell r="D372" t="str">
            <v>01290152702</v>
          </cell>
          <cell r="E372" t="str">
            <v>São Paulo</v>
          </cell>
          <cell r="F372" t="str">
            <v>SP</v>
          </cell>
          <cell r="G372" t="str">
            <v>Branca</v>
          </cell>
          <cell r="H372" t="str">
            <v>MERCADO LIVRE</v>
          </cell>
          <cell r="I372" t="str">
            <v>Localiza</v>
          </cell>
          <cell r="K372" t="str">
            <v>Verificar</v>
          </cell>
          <cell r="L372" t="e">
            <v>#N/A</v>
          </cell>
          <cell r="M372" t="e">
            <v>#N/A</v>
          </cell>
        </row>
        <row r="373">
          <cell r="C373" t="str">
            <v>9535PFTE3NR050630</v>
          </cell>
          <cell r="D373" t="str">
            <v>01290152710</v>
          </cell>
          <cell r="E373" t="str">
            <v>São José do Rio Preto</v>
          </cell>
          <cell r="F373" t="str">
            <v>SP</v>
          </cell>
          <cell r="G373" t="str">
            <v>Branca</v>
          </cell>
          <cell r="H373" t="str">
            <v>MERCADO LIVRE</v>
          </cell>
          <cell r="I373" t="str">
            <v>Localiza</v>
          </cell>
          <cell r="K373" t="str">
            <v>Verificar</v>
          </cell>
          <cell r="L373" t="e">
            <v>#N/A</v>
          </cell>
          <cell r="M373" t="e">
            <v>#N/A</v>
          </cell>
        </row>
        <row r="374">
          <cell r="C374" t="str">
            <v>9535PFTE8NR050638</v>
          </cell>
          <cell r="D374" t="str">
            <v>01290152931</v>
          </cell>
          <cell r="E374" t="str">
            <v>São Paulo</v>
          </cell>
          <cell r="F374" t="str">
            <v>SP</v>
          </cell>
          <cell r="G374" t="str">
            <v>Branca</v>
          </cell>
          <cell r="H374" t="str">
            <v>MERCADO LIVRE</v>
          </cell>
          <cell r="I374" t="str">
            <v>Localiza</v>
          </cell>
          <cell r="K374" t="str">
            <v>Verificar</v>
          </cell>
          <cell r="L374" t="e">
            <v>#N/A</v>
          </cell>
          <cell r="M374" t="e">
            <v>#N/A</v>
          </cell>
        </row>
        <row r="375">
          <cell r="C375" t="str">
            <v>9535PFTE0NR050651</v>
          </cell>
          <cell r="D375" t="str">
            <v>01290152532</v>
          </cell>
          <cell r="E375" t="str">
            <v>São Paulo</v>
          </cell>
          <cell r="F375" t="str">
            <v>SP</v>
          </cell>
          <cell r="G375" t="str">
            <v>Branca</v>
          </cell>
          <cell r="H375" t="str">
            <v>MERCADO LIVRE</v>
          </cell>
          <cell r="I375" t="str">
            <v>Localiza</v>
          </cell>
          <cell r="K375" t="str">
            <v>Verificar</v>
          </cell>
          <cell r="L375" t="e">
            <v>#N/A</v>
          </cell>
          <cell r="M375" t="e">
            <v>#N/A</v>
          </cell>
        </row>
        <row r="376">
          <cell r="C376" t="str">
            <v>9535PFTE1NR050903</v>
          </cell>
          <cell r="D376" t="str">
            <v>01290152621</v>
          </cell>
          <cell r="E376" t="str">
            <v>São José do Rio Preto</v>
          </cell>
          <cell r="F376" t="str">
            <v>SP</v>
          </cell>
          <cell r="G376" t="str">
            <v>Branca</v>
          </cell>
          <cell r="H376" t="str">
            <v>MERCADO LIVRE</v>
          </cell>
          <cell r="I376" t="str">
            <v>Localiza</v>
          </cell>
          <cell r="K376" t="str">
            <v>Verificar</v>
          </cell>
          <cell r="L376" t="e">
            <v>#N/A</v>
          </cell>
          <cell r="M376" t="e">
            <v>#N/A</v>
          </cell>
        </row>
        <row r="377">
          <cell r="C377" t="str">
            <v>9535PFTE1NR051839</v>
          </cell>
          <cell r="D377" t="str">
            <v>01290152630</v>
          </cell>
          <cell r="E377" t="str">
            <v>São José do Rio Preto</v>
          </cell>
          <cell r="F377" t="str">
            <v>SP</v>
          </cell>
          <cell r="G377" t="str">
            <v>Branca</v>
          </cell>
          <cell r="H377" t="str">
            <v>MERCADO LIVRE</v>
          </cell>
          <cell r="I377" t="str">
            <v>Localiza</v>
          </cell>
          <cell r="K377" t="str">
            <v>Verificar</v>
          </cell>
          <cell r="L377" t="e">
            <v>#N/A</v>
          </cell>
          <cell r="M377" t="e">
            <v>#N/A</v>
          </cell>
        </row>
        <row r="378">
          <cell r="C378" t="str">
            <v>9535PFTE3NR051079</v>
          </cell>
          <cell r="D378" t="str">
            <v>01290152737</v>
          </cell>
          <cell r="E378" t="str">
            <v>São Paulo</v>
          </cell>
          <cell r="F378" t="str">
            <v>SP</v>
          </cell>
          <cell r="G378" t="str">
            <v>Branca</v>
          </cell>
          <cell r="H378" t="str">
            <v>MERCADO LIVRE</v>
          </cell>
          <cell r="I378" t="str">
            <v>Localiza</v>
          </cell>
          <cell r="K378" t="str">
            <v>Verificar</v>
          </cell>
          <cell r="L378" t="e">
            <v>#N/A</v>
          </cell>
          <cell r="M378" t="e">
            <v>#N/A</v>
          </cell>
        </row>
        <row r="379">
          <cell r="C379" t="str">
            <v>93YF62009PJ150469</v>
          </cell>
          <cell r="D379" t="str">
            <v>01290906979</v>
          </cell>
          <cell r="E379" t="str">
            <v>Osasco</v>
          </cell>
          <cell r="F379" t="str">
            <v>SP</v>
          </cell>
          <cell r="G379" t="str">
            <v>Branca</v>
          </cell>
          <cell r="H379" t="str">
            <v>MERCADO LIVRE</v>
          </cell>
          <cell r="I379" t="str">
            <v>Localiza</v>
          </cell>
          <cell r="K379" t="str">
            <v>Desmobilizado</v>
          </cell>
          <cell r="L379">
            <v>45750</v>
          </cell>
          <cell r="M379" t="str">
            <v>SRS1</v>
          </cell>
        </row>
        <row r="380">
          <cell r="C380" t="str">
            <v>-</v>
          </cell>
          <cell r="D380" t="str">
            <v>-</v>
          </cell>
          <cell r="E380" t="str">
            <v>-</v>
          </cell>
          <cell r="F380" t="str">
            <v>-</v>
          </cell>
          <cell r="G380" t="str">
            <v>Branca</v>
          </cell>
          <cell r="H380" t="str">
            <v>MERCADO LIVRE</v>
          </cell>
          <cell r="I380" t="str">
            <v>Localiza</v>
          </cell>
          <cell r="K380" t="str">
            <v>Verificar</v>
          </cell>
          <cell r="L380" t="e">
            <v>#N/A</v>
          </cell>
          <cell r="M380" t="e">
            <v>#N/A</v>
          </cell>
        </row>
        <row r="381">
          <cell r="C381" t="str">
            <v>VF7V1ZKXZNZ002252</v>
          </cell>
          <cell r="D381" t="str">
            <v>01292512587</v>
          </cell>
          <cell r="E381" t="str">
            <v>São Paulo</v>
          </cell>
          <cell r="F381" t="str">
            <v>SP</v>
          </cell>
          <cell r="G381" t="str">
            <v>Branca</v>
          </cell>
          <cell r="H381" t="str">
            <v>MERCADO LIVRE</v>
          </cell>
          <cell r="I381" t="str">
            <v>Localiza</v>
          </cell>
          <cell r="L381" t="e">
            <v>#N/A</v>
          </cell>
          <cell r="M381" t="str">
            <v>SSC2</v>
          </cell>
        </row>
        <row r="382">
          <cell r="C382" t="str">
            <v>VF7V1ZKXZNZ002304</v>
          </cell>
          <cell r="D382" t="str">
            <v>01292512617</v>
          </cell>
          <cell r="E382" t="str">
            <v>São Paulo</v>
          </cell>
          <cell r="F382" t="str">
            <v>SP</v>
          </cell>
          <cell r="G382" t="str">
            <v>Branca</v>
          </cell>
          <cell r="H382" t="str">
            <v>MERCADO LIVRE</v>
          </cell>
          <cell r="I382" t="str">
            <v>Localiza</v>
          </cell>
          <cell r="L382" t="e">
            <v>#N/A</v>
          </cell>
          <cell r="M382" t="str">
            <v>SSP4</v>
          </cell>
        </row>
        <row r="383">
          <cell r="C383" t="str">
            <v>VF7V1ZKXZNZ002227</v>
          </cell>
          <cell r="D383" t="str">
            <v>01292512536</v>
          </cell>
          <cell r="E383" t="str">
            <v>São Paulo</v>
          </cell>
          <cell r="F383" t="str">
            <v>SP</v>
          </cell>
          <cell r="G383" t="str">
            <v>Branca</v>
          </cell>
          <cell r="H383" t="str">
            <v>MERCADO LIVRE</v>
          </cell>
          <cell r="I383" t="str">
            <v>Localiza</v>
          </cell>
          <cell r="L383" t="e">
            <v>#N/A</v>
          </cell>
          <cell r="M383" t="str">
            <v>ESP13</v>
          </cell>
        </row>
        <row r="384">
          <cell r="C384" t="str">
            <v>VF7V1ZKXZNZ002250</v>
          </cell>
          <cell r="D384" t="str">
            <v>01292512560</v>
          </cell>
          <cell r="E384" t="str">
            <v>São Paulo</v>
          </cell>
          <cell r="F384" t="str">
            <v>SP</v>
          </cell>
          <cell r="G384" t="str">
            <v>Branca</v>
          </cell>
          <cell r="H384" t="str">
            <v>MERCADO LIVRE</v>
          </cell>
          <cell r="I384" t="str">
            <v>Localiza</v>
          </cell>
          <cell r="L384" t="e">
            <v>#N/A</v>
          </cell>
          <cell r="M384" t="str">
            <v>SSP21</v>
          </cell>
        </row>
        <row r="385">
          <cell r="C385" t="str">
            <v>VF7V1ZKXZNZ002303</v>
          </cell>
          <cell r="D385" t="str">
            <v>01292512609</v>
          </cell>
          <cell r="E385" t="str">
            <v>São Paulo</v>
          </cell>
          <cell r="F385" t="str">
            <v>SP</v>
          </cell>
          <cell r="G385" t="str">
            <v>Branca</v>
          </cell>
          <cell r="H385" t="str">
            <v>MERCADO LIVRE</v>
          </cell>
          <cell r="I385" t="str">
            <v>Localiza</v>
          </cell>
          <cell r="L385" t="e">
            <v>#N/A</v>
          </cell>
          <cell r="M385" t="str">
            <v>SPR1</v>
          </cell>
        </row>
        <row r="386">
          <cell r="C386" t="str">
            <v>VF7V1ZKXZNZ002327</v>
          </cell>
          <cell r="D386" t="str">
            <v>01292512633</v>
          </cell>
          <cell r="E386" t="str">
            <v>São Paulo</v>
          </cell>
          <cell r="F386" t="str">
            <v>SP</v>
          </cell>
          <cell r="G386" t="str">
            <v>Branca</v>
          </cell>
          <cell r="H386" t="str">
            <v>MERCADO LIVRE</v>
          </cell>
          <cell r="I386" t="str">
            <v>Localiza</v>
          </cell>
          <cell r="L386" t="e">
            <v>#N/A</v>
          </cell>
          <cell r="M386" t="str">
            <v>PTL01</v>
          </cell>
        </row>
        <row r="387">
          <cell r="C387" t="str">
            <v>VF7V1ZKXZNZ002326</v>
          </cell>
          <cell r="D387" t="str">
            <v>01292512625</v>
          </cell>
          <cell r="E387" t="str">
            <v>São Paulo</v>
          </cell>
          <cell r="F387" t="str">
            <v>SP</v>
          </cell>
          <cell r="G387" t="str">
            <v>Branca</v>
          </cell>
          <cell r="H387" t="str">
            <v>MERCADO LIVRE</v>
          </cell>
          <cell r="I387" t="str">
            <v>Localiza</v>
          </cell>
          <cell r="L387" t="e">
            <v>#N/A</v>
          </cell>
          <cell r="M387" t="str">
            <v>SSP21</v>
          </cell>
        </row>
        <row r="388">
          <cell r="C388" t="str">
            <v>VF7V1ZKXZNZ002249</v>
          </cell>
          <cell r="D388" t="str">
            <v>01292512552</v>
          </cell>
          <cell r="E388" t="str">
            <v>São Paulo</v>
          </cell>
          <cell r="F388" t="str">
            <v>SP</v>
          </cell>
          <cell r="G388" t="str">
            <v>Branca</v>
          </cell>
          <cell r="H388" t="str">
            <v>MERCADO LIVRE</v>
          </cell>
          <cell r="I388" t="str">
            <v>Localiza</v>
          </cell>
          <cell r="L388" t="e">
            <v>#N/A</v>
          </cell>
          <cell r="M388" t="str">
            <v>PTL01</v>
          </cell>
        </row>
        <row r="389">
          <cell r="C389" t="str">
            <v>9BD2651PAP9212498</v>
          </cell>
          <cell r="D389" t="str">
            <v>01299742480</v>
          </cell>
          <cell r="E389" t="str">
            <v>São Paulo</v>
          </cell>
          <cell r="F389" t="str">
            <v>SP</v>
          </cell>
          <cell r="G389" t="str">
            <v>Branca</v>
          </cell>
          <cell r="H389" t="str">
            <v>MERCADO LIVRE</v>
          </cell>
          <cell r="I389" t="str">
            <v>Localiza</v>
          </cell>
          <cell r="K389" t="str">
            <v>Verificar</v>
          </cell>
          <cell r="L389" t="e">
            <v>#N/A</v>
          </cell>
          <cell r="M389" t="e">
            <v>#N/A</v>
          </cell>
        </row>
        <row r="390">
          <cell r="C390" t="str">
            <v>9BD2651PAP9212591</v>
          </cell>
          <cell r="D390" t="str">
            <v>01299743029</v>
          </cell>
          <cell r="E390" t="str">
            <v>Porto Alegre</v>
          </cell>
          <cell r="F390" t="str">
            <v>RS</v>
          </cell>
          <cell r="G390" t="str">
            <v>Branca</v>
          </cell>
          <cell r="H390" t="str">
            <v>MERCADO LIVRE</v>
          </cell>
          <cell r="I390" t="str">
            <v>Localiza</v>
          </cell>
          <cell r="K390" t="str">
            <v>Verificar</v>
          </cell>
          <cell r="L390" t="e">
            <v>#N/A</v>
          </cell>
          <cell r="M390" t="e">
            <v>#N/A</v>
          </cell>
        </row>
        <row r="391">
          <cell r="C391" t="str">
            <v>VF7V1ZKXZPZ000841</v>
          </cell>
          <cell r="D391" t="str">
            <v>01302580407</v>
          </cell>
          <cell r="E391" t="str">
            <v>São Paulo</v>
          </cell>
          <cell r="F391" t="str">
            <v>SP</v>
          </cell>
          <cell r="G391" t="str">
            <v>Branca</v>
          </cell>
          <cell r="H391" t="str">
            <v>MERCADO LIVRE</v>
          </cell>
          <cell r="I391" t="str">
            <v>Localiza</v>
          </cell>
          <cell r="L391" t="e">
            <v>#N/A</v>
          </cell>
          <cell r="M391" t="str">
            <v>SSC2</v>
          </cell>
        </row>
        <row r="392">
          <cell r="C392" t="str">
            <v>VF7V1ZKXZPZ001344</v>
          </cell>
          <cell r="D392" t="str">
            <v>01302580172</v>
          </cell>
          <cell r="E392" t="str">
            <v>São Paulo</v>
          </cell>
          <cell r="F392" t="str">
            <v>SP</v>
          </cell>
          <cell r="G392" t="str">
            <v>Branca</v>
          </cell>
          <cell r="H392" t="str">
            <v>MERCADO LIVRE</v>
          </cell>
          <cell r="I392" t="str">
            <v>Localiza</v>
          </cell>
          <cell r="K392" t="str">
            <v>Verificar</v>
          </cell>
          <cell r="L392" t="e">
            <v>#N/A</v>
          </cell>
          <cell r="M392" t="e">
            <v>#N/A</v>
          </cell>
        </row>
        <row r="393">
          <cell r="C393" t="str">
            <v>VF7V1ZKXZPZ001147</v>
          </cell>
          <cell r="D393" t="str">
            <v>01302579930</v>
          </cell>
          <cell r="E393" t="str">
            <v>São Paulo</v>
          </cell>
          <cell r="F393" t="str">
            <v>SP</v>
          </cell>
          <cell r="G393" t="str">
            <v>Branca</v>
          </cell>
          <cell r="H393" t="str">
            <v>MERCADO LIVRE</v>
          </cell>
          <cell r="I393" t="str">
            <v>Localiza</v>
          </cell>
          <cell r="L393" t="e">
            <v>#N/A</v>
          </cell>
          <cell r="M393" t="str">
            <v>SSC2</v>
          </cell>
        </row>
        <row r="394">
          <cell r="C394" t="str">
            <v>VF7V1ZKXZPZ001199</v>
          </cell>
          <cell r="D394" t="str">
            <v>01302595390</v>
          </cell>
          <cell r="E394" t="str">
            <v>São Paulo</v>
          </cell>
          <cell r="F394" t="str">
            <v>SP</v>
          </cell>
          <cell r="G394" t="str">
            <v>Branca</v>
          </cell>
          <cell r="H394" t="str">
            <v>MERCADO LIVRE</v>
          </cell>
          <cell r="I394" t="str">
            <v>Localiza</v>
          </cell>
          <cell r="L394" t="e">
            <v>#N/A</v>
          </cell>
          <cell r="M394" t="str">
            <v>SSP4</v>
          </cell>
        </row>
        <row r="395">
          <cell r="C395" t="str">
            <v>-</v>
          </cell>
          <cell r="D395" t="str">
            <v>-</v>
          </cell>
          <cell r="E395" t="str">
            <v>-</v>
          </cell>
          <cell r="F395" t="str">
            <v>-</v>
          </cell>
          <cell r="G395" t="str">
            <v>Branca</v>
          </cell>
          <cell r="H395" t="str">
            <v>MERCADO LIVRE</v>
          </cell>
          <cell r="I395" t="str">
            <v>Localiza</v>
          </cell>
          <cell r="K395" t="str">
            <v>Verificar</v>
          </cell>
          <cell r="L395" t="e">
            <v>#N/A</v>
          </cell>
          <cell r="M395" t="e">
            <v>#N/A</v>
          </cell>
        </row>
        <row r="396">
          <cell r="C396" t="str">
            <v>-</v>
          </cell>
          <cell r="D396" t="str">
            <v>-</v>
          </cell>
          <cell r="E396" t="str">
            <v>-</v>
          </cell>
          <cell r="F396" t="str">
            <v>-</v>
          </cell>
          <cell r="G396" t="str">
            <v>Branca</v>
          </cell>
          <cell r="H396" t="str">
            <v>MERCADO LIVRE</v>
          </cell>
          <cell r="I396" t="str">
            <v>Localiza</v>
          </cell>
          <cell r="K396" t="str">
            <v>Verificar</v>
          </cell>
          <cell r="L396" t="e">
            <v>#N/A</v>
          </cell>
          <cell r="M396" t="e">
            <v>#N/A</v>
          </cell>
        </row>
        <row r="397">
          <cell r="C397" t="str">
            <v>-</v>
          </cell>
          <cell r="D397" t="str">
            <v>-</v>
          </cell>
          <cell r="E397" t="str">
            <v>-</v>
          </cell>
          <cell r="F397" t="str">
            <v>-</v>
          </cell>
          <cell r="G397" t="str">
            <v>Branca</v>
          </cell>
          <cell r="H397" t="str">
            <v>MERCADO LIVRE</v>
          </cell>
          <cell r="I397" t="str">
            <v>Localiza</v>
          </cell>
          <cell r="K397" t="str">
            <v>Verificar</v>
          </cell>
          <cell r="L397" t="e">
            <v>#N/A</v>
          </cell>
          <cell r="M397" t="e">
            <v>#N/A</v>
          </cell>
        </row>
        <row r="398">
          <cell r="C398" t="str">
            <v>-</v>
          </cell>
          <cell r="D398" t="str">
            <v>-</v>
          </cell>
          <cell r="E398" t="str">
            <v>-</v>
          </cell>
          <cell r="F398" t="str">
            <v>-</v>
          </cell>
          <cell r="G398" t="str">
            <v>Branca</v>
          </cell>
          <cell r="H398" t="str">
            <v>MERCADO LIVRE</v>
          </cell>
          <cell r="I398" t="str">
            <v>Localiza</v>
          </cell>
          <cell r="K398" t="str">
            <v>Verificar</v>
          </cell>
          <cell r="L398" t="e">
            <v>#N/A</v>
          </cell>
          <cell r="M398" t="e">
            <v>#N/A</v>
          </cell>
        </row>
        <row r="399">
          <cell r="C399" t="str">
            <v>-</v>
          </cell>
          <cell r="D399" t="str">
            <v>-</v>
          </cell>
          <cell r="E399" t="str">
            <v>-</v>
          </cell>
          <cell r="F399" t="str">
            <v>-</v>
          </cell>
          <cell r="G399" t="str">
            <v>Branca</v>
          </cell>
          <cell r="H399" t="str">
            <v>MERCADO LIVRE</v>
          </cell>
          <cell r="I399" t="str">
            <v>Localiza</v>
          </cell>
          <cell r="K399" t="str">
            <v>Verificar</v>
          </cell>
          <cell r="L399" t="e">
            <v>#N/A</v>
          </cell>
          <cell r="M399" t="e">
            <v>#N/A</v>
          </cell>
        </row>
        <row r="400">
          <cell r="F400" t="str">
            <v>SP</v>
          </cell>
          <cell r="G400" t="str">
            <v>Branca</v>
          </cell>
          <cell r="H400" t="str">
            <v>MERCADO LIVRE</v>
          </cell>
          <cell r="I400" t="str">
            <v>Localiza</v>
          </cell>
          <cell r="K400" t="str">
            <v>Desmobilizado</v>
          </cell>
          <cell r="L400">
            <v>45723</v>
          </cell>
          <cell r="M400" t="str">
            <v>Dev</v>
          </cell>
        </row>
        <row r="401">
          <cell r="F401" t="str">
            <v>SP</v>
          </cell>
          <cell r="G401" t="str">
            <v>Branca</v>
          </cell>
          <cell r="H401" t="str">
            <v>MERCADO LIVRE</v>
          </cell>
          <cell r="I401" t="str">
            <v>Localiza</v>
          </cell>
          <cell r="K401" t="str">
            <v>Desmobilizado</v>
          </cell>
          <cell r="L401">
            <v>45733</v>
          </cell>
          <cell r="M401" t="str">
            <v>Dev</v>
          </cell>
        </row>
        <row r="402">
          <cell r="I402" t="str">
            <v>Localiza</v>
          </cell>
          <cell r="K402" t="str">
            <v>Verificar</v>
          </cell>
          <cell r="L402" t="e">
            <v>#N/A</v>
          </cell>
          <cell r="M402" t="e">
            <v>#N/A</v>
          </cell>
        </row>
        <row r="403">
          <cell r="I403" t="str">
            <v>Localiza</v>
          </cell>
          <cell r="K403" t="str">
            <v>Verificar</v>
          </cell>
          <cell r="L403" t="e">
            <v>#N/A</v>
          </cell>
          <cell r="M403" t="e">
            <v>#N/A</v>
          </cell>
        </row>
        <row r="404">
          <cell r="I404" t="str">
            <v>Localiza</v>
          </cell>
          <cell r="K404" t="str">
            <v>Verificar</v>
          </cell>
          <cell r="L404" t="e">
            <v>#N/A</v>
          </cell>
          <cell r="M404" t="e">
            <v>#N/A</v>
          </cell>
        </row>
        <row r="405">
          <cell r="I405" t="str">
            <v>Localiza</v>
          </cell>
          <cell r="L405">
            <v>0</v>
          </cell>
          <cell r="M405" t="str">
            <v>SSP34</v>
          </cell>
        </row>
        <row r="406">
          <cell r="I406" t="str">
            <v>Localiza</v>
          </cell>
          <cell r="K406" t="str">
            <v>Verificar</v>
          </cell>
          <cell r="L406" t="e">
            <v>#N/A</v>
          </cell>
          <cell r="M406" t="e">
            <v>#N/A</v>
          </cell>
        </row>
        <row r="407">
          <cell r="I407" t="str">
            <v>Localiza</v>
          </cell>
          <cell r="K407" t="str">
            <v>Verificar</v>
          </cell>
          <cell r="L407" t="e">
            <v>#N/A</v>
          </cell>
          <cell r="M407" t="e">
            <v>#N/A</v>
          </cell>
        </row>
        <row r="408">
          <cell r="I408" t="str">
            <v>Localiza</v>
          </cell>
          <cell r="K408" t="str">
            <v>Desmobilizado</v>
          </cell>
          <cell r="L408">
            <v>45853</v>
          </cell>
          <cell r="M408" t="str">
            <v>SSP8</v>
          </cell>
        </row>
        <row r="409">
          <cell r="I409" t="str">
            <v>Localiza</v>
          </cell>
          <cell r="L409">
            <v>0</v>
          </cell>
          <cell r="M409" t="str">
            <v>SSP8</v>
          </cell>
        </row>
        <row r="410">
          <cell r="I410" t="str">
            <v>Localiza</v>
          </cell>
          <cell r="L410">
            <v>0</v>
          </cell>
          <cell r="M410" t="str">
            <v>SSP13</v>
          </cell>
        </row>
        <row r="411">
          <cell r="I411" t="str">
            <v>Localiza</v>
          </cell>
          <cell r="K411" t="str">
            <v>Desmobilizado</v>
          </cell>
          <cell r="L411">
            <v>45936</v>
          </cell>
          <cell r="M411" t="str">
            <v>SSP6</v>
          </cell>
        </row>
        <row r="412">
          <cell r="I412" t="str">
            <v>Localiza</v>
          </cell>
          <cell r="L412">
            <v>0</v>
          </cell>
          <cell r="M412" t="str">
            <v>SSP26</v>
          </cell>
        </row>
        <row r="413">
          <cell r="I413" t="str">
            <v>Localiza</v>
          </cell>
          <cell r="L413">
            <v>0</v>
          </cell>
          <cell r="M413" t="str">
            <v>SSP8</v>
          </cell>
        </row>
        <row r="414">
          <cell r="I414" t="str">
            <v>Localiza</v>
          </cell>
          <cell r="L414">
            <v>0</v>
          </cell>
          <cell r="M414" t="str">
            <v>SSP8</v>
          </cell>
        </row>
        <row r="415">
          <cell r="I415" t="str">
            <v>Localiza</v>
          </cell>
          <cell r="K415" t="str">
            <v>Verificar</v>
          </cell>
          <cell r="L415" t="e">
            <v>#N/A</v>
          </cell>
          <cell r="M415" t="e">
            <v>#N/A</v>
          </cell>
        </row>
        <row r="416">
          <cell r="I416" t="str">
            <v>Localiza</v>
          </cell>
          <cell r="L416">
            <v>0</v>
          </cell>
          <cell r="M416" t="str">
            <v>SSP6</v>
          </cell>
        </row>
        <row r="417">
          <cell r="I417" t="str">
            <v>Localiza</v>
          </cell>
          <cell r="L417">
            <v>0</v>
          </cell>
          <cell r="M417" t="str">
            <v>EMS4</v>
          </cell>
        </row>
        <row r="418">
          <cell r="I418" t="str">
            <v>Localiza</v>
          </cell>
          <cell r="L418">
            <v>0</v>
          </cell>
          <cell r="M418" t="str">
            <v>SSP17</v>
          </cell>
        </row>
        <row r="419">
          <cell r="I419" t="str">
            <v>Localiza</v>
          </cell>
          <cell r="L419">
            <v>0</v>
          </cell>
          <cell r="M419" t="str">
            <v>SSP20</v>
          </cell>
        </row>
        <row r="420">
          <cell r="I420" t="str">
            <v>Localiza</v>
          </cell>
          <cell r="L420">
            <v>0</v>
          </cell>
          <cell r="M420" t="str">
            <v>SSP6</v>
          </cell>
        </row>
        <row r="421">
          <cell r="I421" t="str">
            <v>Localiza</v>
          </cell>
          <cell r="L421">
            <v>0</v>
          </cell>
          <cell r="M421" t="str">
            <v>SSP16</v>
          </cell>
        </row>
        <row r="422">
          <cell r="I422" t="str">
            <v>Localiza</v>
          </cell>
          <cell r="L422">
            <v>0</v>
          </cell>
          <cell r="M422" t="str">
            <v>PTL01</v>
          </cell>
        </row>
        <row r="423">
          <cell r="I423" t="str">
            <v>Localiza</v>
          </cell>
          <cell r="L423">
            <v>0</v>
          </cell>
          <cell r="M423" t="str">
            <v>SSP16</v>
          </cell>
        </row>
        <row r="424">
          <cell r="I424" t="str">
            <v>Localiza</v>
          </cell>
          <cell r="L424">
            <v>0</v>
          </cell>
          <cell r="M424" t="str">
            <v>SSP16</v>
          </cell>
        </row>
        <row r="425">
          <cell r="I425" t="str">
            <v>Localiza</v>
          </cell>
          <cell r="L425">
            <v>0</v>
          </cell>
          <cell r="M425" t="str">
            <v>SSP16</v>
          </cell>
        </row>
        <row r="426">
          <cell r="I426" t="str">
            <v>Localiza</v>
          </cell>
          <cell r="L426">
            <v>0</v>
          </cell>
          <cell r="M426" t="str">
            <v>SSP16</v>
          </cell>
        </row>
        <row r="427">
          <cell r="I427" t="str">
            <v>Localiza</v>
          </cell>
          <cell r="L427">
            <v>0</v>
          </cell>
          <cell r="M427" t="str">
            <v>SSP6</v>
          </cell>
        </row>
        <row r="428">
          <cell r="I428" t="str">
            <v>Localiza</v>
          </cell>
          <cell r="L428">
            <v>0</v>
          </cell>
          <cell r="M428" t="str">
            <v>SSP26</v>
          </cell>
        </row>
        <row r="429">
          <cell r="I429" t="str">
            <v>Localiza</v>
          </cell>
          <cell r="L429">
            <v>0</v>
          </cell>
          <cell r="M429" t="str">
            <v>SSP13</v>
          </cell>
        </row>
        <row r="430">
          <cell r="I430" t="str">
            <v>Localiza</v>
          </cell>
          <cell r="K430" t="str">
            <v>Verificar</v>
          </cell>
          <cell r="L430" t="e">
            <v>#N/A</v>
          </cell>
          <cell r="M430" t="e">
            <v>#N/A</v>
          </cell>
        </row>
        <row r="431">
          <cell r="I431" t="str">
            <v>Localiza</v>
          </cell>
          <cell r="L431">
            <v>0</v>
          </cell>
          <cell r="M431" t="str">
            <v>SSP28</v>
          </cell>
        </row>
        <row r="432">
          <cell r="I432" t="str">
            <v>Localiza</v>
          </cell>
          <cell r="L432">
            <v>0</v>
          </cell>
          <cell r="M432" t="str">
            <v>SSP28</v>
          </cell>
        </row>
        <row r="433">
          <cell r="I433" t="str">
            <v>Localiza</v>
          </cell>
          <cell r="L433">
            <v>0</v>
          </cell>
          <cell r="M433" t="str">
            <v>SSP28</v>
          </cell>
        </row>
        <row r="434">
          <cell r="I434" t="str">
            <v>Localiza</v>
          </cell>
          <cell r="L434">
            <v>0</v>
          </cell>
          <cell r="M434" t="str">
            <v>SSP28</v>
          </cell>
        </row>
        <row r="435">
          <cell r="I435" t="str">
            <v>Localiza</v>
          </cell>
          <cell r="K435" t="str">
            <v>Desmobilizado</v>
          </cell>
          <cell r="L435">
            <v>45887</v>
          </cell>
          <cell r="M435" t="str">
            <v>SSP28</v>
          </cell>
        </row>
        <row r="436">
          <cell r="I436" t="str">
            <v>Localiza</v>
          </cell>
          <cell r="L436">
            <v>0</v>
          </cell>
          <cell r="M436" t="str">
            <v>SSP28</v>
          </cell>
        </row>
        <row r="437">
          <cell r="I437" t="str">
            <v>Localiza</v>
          </cell>
          <cell r="L437">
            <v>0</v>
          </cell>
          <cell r="M437" t="str">
            <v>EMS4</v>
          </cell>
        </row>
        <row r="438">
          <cell r="I438" t="str">
            <v>Localiza</v>
          </cell>
          <cell r="L438">
            <v>0</v>
          </cell>
          <cell r="M438" t="str">
            <v>SSP38</v>
          </cell>
        </row>
        <row r="439">
          <cell r="I439" t="str">
            <v>Localiza</v>
          </cell>
          <cell r="K439" t="str">
            <v>Verificar</v>
          </cell>
          <cell r="L439" t="e">
            <v>#N/A</v>
          </cell>
          <cell r="M439" t="e">
            <v>#N/A</v>
          </cell>
        </row>
        <row r="440">
          <cell r="I440" t="str">
            <v>Localiza</v>
          </cell>
          <cell r="L440">
            <v>0</v>
          </cell>
          <cell r="M440" t="str">
            <v>SSP20</v>
          </cell>
        </row>
        <row r="441">
          <cell r="C441" t="str">
            <v>94BF1543LMR046032</v>
          </cell>
          <cell r="D441">
            <v>1245427404</v>
          </cell>
          <cell r="I441" t="str">
            <v>TKS MARONI</v>
          </cell>
          <cell r="L441" t="e">
            <v>#N/A</v>
          </cell>
          <cell r="M441" t="str">
            <v>LHS BR</v>
          </cell>
        </row>
        <row r="442">
          <cell r="C442" t="str">
            <v>94BF1543LMR046035</v>
          </cell>
          <cell r="D442">
            <v>1245427285</v>
          </cell>
          <cell r="I442" t="str">
            <v>TKS MARONI</v>
          </cell>
          <cell r="L442" t="e">
            <v>#N/A</v>
          </cell>
          <cell r="M442" t="str">
            <v>LHS BR</v>
          </cell>
        </row>
        <row r="443">
          <cell r="C443" t="str">
            <v>94BF1543RSR088958</v>
          </cell>
          <cell r="D443">
            <v>1397003593</v>
          </cell>
          <cell r="I443" t="str">
            <v>TKS MARONI</v>
          </cell>
          <cell r="L443" t="e">
            <v>#N/A</v>
          </cell>
          <cell r="M443" t="str">
            <v>LHS BR</v>
          </cell>
        </row>
        <row r="444">
          <cell r="C444" t="str">
            <v>94BF1543RSR088950</v>
          </cell>
          <cell r="D444">
            <v>1395798742</v>
          </cell>
          <cell r="I444" t="str">
            <v>TKS MARONI</v>
          </cell>
          <cell r="L444" t="e">
            <v>#N/A</v>
          </cell>
          <cell r="M444" t="str">
            <v>LHS BR</v>
          </cell>
        </row>
        <row r="445">
          <cell r="C445" t="str">
            <v>94BF1543RSR088954</v>
          </cell>
          <cell r="D445">
            <v>1395864010</v>
          </cell>
          <cell r="I445" t="str">
            <v>TKS MARONI</v>
          </cell>
          <cell r="L445" t="e">
            <v>#N/A</v>
          </cell>
          <cell r="M445" t="str">
            <v>LHS BR</v>
          </cell>
        </row>
        <row r="446">
          <cell r="C446" t="str">
            <v>94BF1543RSR088952</v>
          </cell>
          <cell r="D446">
            <v>1395779802</v>
          </cell>
          <cell r="I446" t="str">
            <v>TKS MARONI</v>
          </cell>
          <cell r="L446" t="e">
            <v>#N/A</v>
          </cell>
          <cell r="M446" t="str">
            <v>LHS BR</v>
          </cell>
        </row>
        <row r="447">
          <cell r="C447" t="str">
            <v>94BF1543RSR088933</v>
          </cell>
          <cell r="D447">
            <v>1395775513</v>
          </cell>
          <cell r="I447" t="str">
            <v>TKS MARONI</v>
          </cell>
          <cell r="L447" t="e">
            <v>#N/A</v>
          </cell>
          <cell r="M447" t="str">
            <v>LHS BR</v>
          </cell>
        </row>
        <row r="448">
          <cell r="C448" t="str">
            <v>94BF1543RSR088955</v>
          </cell>
          <cell r="D448">
            <v>1395862386</v>
          </cell>
          <cell r="I448" t="str">
            <v>TKS MARONI</v>
          </cell>
          <cell r="L448" t="e">
            <v>#N/A</v>
          </cell>
          <cell r="M448" t="str">
            <v>LHS BR</v>
          </cell>
        </row>
        <row r="449">
          <cell r="C449" t="str">
            <v>94BF1543RSR088957</v>
          </cell>
          <cell r="D449">
            <v>1395856408</v>
          </cell>
          <cell r="I449" t="str">
            <v>TKS MARONI</v>
          </cell>
          <cell r="L449" t="e">
            <v>#N/A</v>
          </cell>
          <cell r="M449" t="str">
            <v>LHS BR</v>
          </cell>
        </row>
        <row r="450">
          <cell r="C450" t="str">
            <v>94BF1543RSR088937</v>
          </cell>
          <cell r="D450">
            <v>1395829524</v>
          </cell>
          <cell r="I450" t="str">
            <v>TKS MARONI</v>
          </cell>
          <cell r="L450" t="e">
            <v>#N/A</v>
          </cell>
          <cell r="M450" t="str">
            <v>LHS BR</v>
          </cell>
        </row>
        <row r="451">
          <cell r="C451" t="str">
            <v>94BF1543RRR087393</v>
          </cell>
          <cell r="D451">
            <v>1391271200</v>
          </cell>
          <cell r="I451" t="str">
            <v>TKS MARONI</v>
          </cell>
          <cell r="L451" t="e">
            <v>#N/A</v>
          </cell>
          <cell r="M451" t="str">
            <v>LHS BR</v>
          </cell>
        </row>
        <row r="452">
          <cell r="C452" t="str">
            <v>94BF1543RSR088956</v>
          </cell>
          <cell r="D452">
            <v>1395808330</v>
          </cell>
          <cell r="I452" t="str">
            <v>TKS MARONI</v>
          </cell>
          <cell r="L452" t="e">
            <v>#N/A</v>
          </cell>
          <cell r="M452" t="str">
            <v>LHS BR</v>
          </cell>
        </row>
        <row r="453">
          <cell r="C453" t="str">
            <v>94BF1543RSR088934</v>
          </cell>
          <cell r="D453">
            <v>1395841745</v>
          </cell>
          <cell r="I453" t="str">
            <v>TKS MARONI</v>
          </cell>
          <cell r="L453" t="e">
            <v>#N/A</v>
          </cell>
          <cell r="M453" t="str">
            <v>LHS BR</v>
          </cell>
        </row>
        <row r="454">
          <cell r="C454" t="str">
            <v>94BF1543RSR088936</v>
          </cell>
          <cell r="D454">
            <v>1395780304</v>
          </cell>
          <cell r="I454" t="str">
            <v>TKS MARONI</v>
          </cell>
          <cell r="L454" t="e">
            <v>#N/A</v>
          </cell>
          <cell r="M454" t="str">
            <v>LHS BR</v>
          </cell>
        </row>
        <row r="455">
          <cell r="C455" t="str">
            <v>94BF1543RSR088953</v>
          </cell>
          <cell r="D455">
            <v>1395834498</v>
          </cell>
          <cell r="I455" t="str">
            <v>TKS MARONI</v>
          </cell>
          <cell r="L455" t="e">
            <v>#N/A</v>
          </cell>
          <cell r="M455" t="str">
            <v>LHS BR</v>
          </cell>
        </row>
        <row r="456">
          <cell r="C456" t="str">
            <v>94BF1543RSR088959</v>
          </cell>
          <cell r="D456">
            <v>1395796391</v>
          </cell>
          <cell r="I456" t="str">
            <v>TKS MARONI</v>
          </cell>
          <cell r="L456" t="e">
            <v>#N/A</v>
          </cell>
          <cell r="M456" t="str">
            <v>LHS BR</v>
          </cell>
        </row>
        <row r="457">
          <cell r="C457" t="str">
            <v>94BF1543RRR087392</v>
          </cell>
          <cell r="D457">
            <v>1391346006</v>
          </cell>
          <cell r="I457" t="str">
            <v>TKS MARONI</v>
          </cell>
          <cell r="L457" t="e">
            <v>#N/A</v>
          </cell>
          <cell r="M457" t="str">
            <v>LHS BR</v>
          </cell>
        </row>
        <row r="458">
          <cell r="C458" t="str">
            <v>94BF1543RSR088960</v>
          </cell>
          <cell r="D458">
            <v>1395805242</v>
          </cell>
          <cell r="I458" t="str">
            <v>TKS MARONI</v>
          </cell>
          <cell r="L458" t="e">
            <v>#N/A</v>
          </cell>
          <cell r="M458" t="str">
            <v>LHS BR</v>
          </cell>
        </row>
        <row r="459">
          <cell r="C459" t="str">
            <v>94BF1543RSR088935</v>
          </cell>
          <cell r="D459">
            <v>1395902183</v>
          </cell>
          <cell r="I459" t="str">
            <v>TKS MARONI</v>
          </cell>
          <cell r="L459" t="e">
            <v>#N/A</v>
          </cell>
          <cell r="M459" t="str">
            <v>LHS BR</v>
          </cell>
        </row>
        <row r="460">
          <cell r="C460" t="str">
            <v>94BF1543RSR088951</v>
          </cell>
          <cell r="D460">
            <v>1395815116</v>
          </cell>
          <cell r="I460" t="str">
            <v>TKS MARONI</v>
          </cell>
          <cell r="L460" t="e">
            <v>#N/A</v>
          </cell>
          <cell r="M460" t="str">
            <v>LHS BR</v>
          </cell>
        </row>
        <row r="461">
          <cell r="C461" t="str">
            <v>94BF1543RSR088961</v>
          </cell>
          <cell r="D461">
            <v>1395821949</v>
          </cell>
          <cell r="I461" t="str">
            <v>TKS MARONI</v>
          </cell>
          <cell r="L461" t="e">
            <v>#N/A</v>
          </cell>
          <cell r="M461" t="str">
            <v>LHS BR</v>
          </cell>
        </row>
        <row r="462">
          <cell r="C462" t="str">
            <v>94BF1543RSR088949</v>
          </cell>
          <cell r="D462">
            <v>1395818158</v>
          </cell>
          <cell r="I462" t="str">
            <v>TKS MARONI</v>
          </cell>
          <cell r="L462" t="e">
            <v>#N/A</v>
          </cell>
          <cell r="M462" t="str">
            <v>LHS BR</v>
          </cell>
        </row>
        <row r="463">
          <cell r="C463" t="str">
            <v>9535V6TB1NR007500</v>
          </cell>
          <cell r="D463">
            <v>1261630367</v>
          </cell>
          <cell r="I463" t="str">
            <v>TKS MARONI</v>
          </cell>
          <cell r="L463" t="e">
            <v>#N/A</v>
          </cell>
          <cell r="M463" t="str">
            <v>FMS09</v>
          </cell>
        </row>
        <row r="464">
          <cell r="C464" t="str">
            <v>93ZC635BZR8206673</v>
          </cell>
          <cell r="D464">
            <v>1394029443</v>
          </cell>
          <cell r="I464" t="str">
            <v>TKS MARONI</v>
          </cell>
          <cell r="L464" t="e">
            <v>#N/A</v>
          </cell>
          <cell r="M464" t="str">
            <v>SSP38</v>
          </cell>
        </row>
        <row r="465">
          <cell r="C465" t="str">
            <v>93ZC635BZR8206582</v>
          </cell>
          <cell r="D465">
            <v>1394009051</v>
          </cell>
          <cell r="I465" t="str">
            <v>TKS MARONI</v>
          </cell>
          <cell r="L465" t="e">
            <v>#N/A</v>
          </cell>
          <cell r="M465" t="str">
            <v>SSP38</v>
          </cell>
        </row>
        <row r="466">
          <cell r="C466" t="str">
            <v>93ZC635BZR8206636</v>
          </cell>
          <cell r="D466">
            <v>1394010661</v>
          </cell>
          <cell r="I466" t="str">
            <v>TKS MARONI</v>
          </cell>
          <cell r="L466" t="e">
            <v>#N/A</v>
          </cell>
          <cell r="M466" t="str">
            <v>SSP42</v>
          </cell>
        </row>
        <row r="467">
          <cell r="C467" t="str">
            <v>93ZC635BZR8206589</v>
          </cell>
          <cell r="D467">
            <v>1394003657</v>
          </cell>
          <cell r="I467" t="str">
            <v>TKS MARONI</v>
          </cell>
          <cell r="L467" t="e">
            <v>#N/A</v>
          </cell>
          <cell r="M467" t="str">
            <v>SMG5</v>
          </cell>
        </row>
        <row r="468">
          <cell r="C468" t="str">
            <v>93ZC635BZR8206703</v>
          </cell>
          <cell r="D468">
            <v>1394025910</v>
          </cell>
          <cell r="I468" t="str">
            <v>TKS MARONI</v>
          </cell>
          <cell r="L468" t="e">
            <v>#N/A</v>
          </cell>
          <cell r="M468" t="str">
            <v>SSP38</v>
          </cell>
        </row>
        <row r="469">
          <cell r="C469" t="str">
            <v>93ZC635BZR8206634</v>
          </cell>
          <cell r="D469">
            <v>1394005552</v>
          </cell>
          <cell r="I469" t="str">
            <v>TKS MARONI</v>
          </cell>
          <cell r="L469" t="e">
            <v>#N/A</v>
          </cell>
          <cell r="M469" t="str">
            <v>SSP25</v>
          </cell>
        </row>
        <row r="470">
          <cell r="C470" t="str">
            <v>93ZC635BZR8206616</v>
          </cell>
          <cell r="D470">
            <v>1394000291</v>
          </cell>
          <cell r="I470" t="str">
            <v>TKS MARONI</v>
          </cell>
          <cell r="L470" t="e">
            <v>#N/A</v>
          </cell>
          <cell r="M470" t="str">
            <v>MM01</v>
          </cell>
        </row>
        <row r="471">
          <cell r="C471" t="str">
            <v>93ZC635BZR8206626</v>
          </cell>
          <cell r="D471">
            <v>1394001263</v>
          </cell>
          <cell r="I471" t="str">
            <v>TKS MARONI</v>
          </cell>
          <cell r="L471" t="e">
            <v>#N/A</v>
          </cell>
          <cell r="M471" t="str">
            <v>MM01</v>
          </cell>
        </row>
        <row r="472">
          <cell r="C472" t="str">
            <v>93ZC635BZR8206632</v>
          </cell>
          <cell r="D472">
            <v>1394004602</v>
          </cell>
          <cell r="I472" t="str">
            <v>TKS MARONI</v>
          </cell>
          <cell r="L472" t="e">
            <v>#N/A</v>
          </cell>
          <cell r="M472" t="str">
            <v>SSP42</v>
          </cell>
        </row>
        <row r="473">
          <cell r="C473" t="str">
            <v>93ZC635BZR8206552</v>
          </cell>
          <cell r="D473">
            <v>1393953422</v>
          </cell>
          <cell r="I473" t="str">
            <v>TKS MARONI</v>
          </cell>
          <cell r="L473" t="e">
            <v>#N/A</v>
          </cell>
          <cell r="M473" t="str">
            <v>SSP42</v>
          </cell>
        </row>
        <row r="474">
          <cell r="C474" t="str">
            <v>9BM951104PB345928</v>
          </cell>
          <cell r="D474">
            <v>1394110909</v>
          </cell>
          <cell r="I474" t="str">
            <v>TKS MARONI</v>
          </cell>
          <cell r="L474" t="e">
            <v>#N/A</v>
          </cell>
          <cell r="M474" t="str">
            <v>OXXO1</v>
          </cell>
        </row>
        <row r="475">
          <cell r="C475" t="str">
            <v>9BM951104PB334757</v>
          </cell>
          <cell r="D475">
            <v>1393617082</v>
          </cell>
          <cell r="I475" t="str">
            <v>TKS MARONI</v>
          </cell>
          <cell r="L475" t="e">
            <v>#N/A</v>
          </cell>
          <cell r="M475" t="str">
            <v>SSP25</v>
          </cell>
        </row>
        <row r="476">
          <cell r="C476" t="str">
            <v>9BM951104PB346216</v>
          </cell>
          <cell r="D476">
            <v>1394108718</v>
          </cell>
          <cell r="I476" t="str">
            <v>TKS MARONI</v>
          </cell>
          <cell r="L476" t="e">
            <v>#N/A</v>
          </cell>
          <cell r="M476" t="str">
            <v>OXXO1</v>
          </cell>
        </row>
        <row r="477">
          <cell r="C477" t="str">
            <v>9BM951104PB334738</v>
          </cell>
          <cell r="D477">
            <v>1393614580</v>
          </cell>
          <cell r="I477" t="str">
            <v>TKS MARONI</v>
          </cell>
          <cell r="L477" t="e">
            <v>#N/A</v>
          </cell>
          <cell r="M477" t="str">
            <v>FMS09</v>
          </cell>
        </row>
        <row r="478">
          <cell r="C478" t="str">
            <v>9BM951104PB346162</v>
          </cell>
          <cell r="D478">
            <v>1393614580</v>
          </cell>
          <cell r="I478" t="str">
            <v>TKS MARONI</v>
          </cell>
          <cell r="L478" t="e">
            <v>#N/A</v>
          </cell>
          <cell r="M478" t="str">
            <v>FMS09</v>
          </cell>
        </row>
        <row r="479">
          <cell r="C479" t="str">
            <v>9BM951104PB334742</v>
          </cell>
          <cell r="D479">
            <v>1394108149</v>
          </cell>
          <cell r="I479" t="str">
            <v>TKS MARONI</v>
          </cell>
          <cell r="L479" t="e">
            <v>#N/A</v>
          </cell>
          <cell r="M479" t="str">
            <v>FMS09</v>
          </cell>
        </row>
        <row r="480">
          <cell r="C480" t="str">
            <v>9BM951104PB334596</v>
          </cell>
          <cell r="D480">
            <v>1393742596</v>
          </cell>
          <cell r="I480" t="str">
            <v>TKS MARONI</v>
          </cell>
          <cell r="L480" t="e">
            <v>#N/A</v>
          </cell>
          <cell r="M480" t="str">
            <v>SSP22</v>
          </cell>
        </row>
        <row r="481">
          <cell r="C481" t="str">
            <v>9BM951104PB334573</v>
          </cell>
          <cell r="D481">
            <v>1393744939</v>
          </cell>
          <cell r="I481" t="str">
            <v>TKS MARONI</v>
          </cell>
          <cell r="L481" t="e">
            <v>#N/A</v>
          </cell>
          <cell r="M481" t="str">
            <v>FMS09</v>
          </cell>
        </row>
        <row r="482">
          <cell r="C482" t="str">
            <v>9BM951104PB346195</v>
          </cell>
          <cell r="D482">
            <v>1394351604</v>
          </cell>
          <cell r="I482" t="str">
            <v>TKS MARONI</v>
          </cell>
          <cell r="L482" t="e">
            <v>#N/A</v>
          </cell>
          <cell r="M482" t="str">
            <v>FMS09</v>
          </cell>
        </row>
        <row r="483">
          <cell r="C483" t="str">
            <v>9BM951104PB345915</v>
          </cell>
          <cell r="D483">
            <v>1394106910</v>
          </cell>
          <cell r="I483" t="str">
            <v>TKS MARONI</v>
          </cell>
          <cell r="L483" t="e">
            <v>#N/A</v>
          </cell>
          <cell r="M483" t="str">
            <v>FMS09</v>
          </cell>
        </row>
        <row r="484">
          <cell r="C484" t="str">
            <v>9BM951104PB346221</v>
          </cell>
          <cell r="I484" t="str">
            <v>TKS MARONI</v>
          </cell>
          <cell r="L484" t="e">
            <v>#N/A</v>
          </cell>
          <cell r="M484" t="str">
            <v>FMS09</v>
          </cell>
        </row>
        <row r="485">
          <cell r="C485" t="str">
            <v>9BM951104PB334754</v>
          </cell>
          <cell r="I485" t="str">
            <v>TKS MARONI</v>
          </cell>
          <cell r="L485" t="e">
            <v>#N/A</v>
          </cell>
          <cell r="M485" t="str">
            <v>OXXO1</v>
          </cell>
        </row>
        <row r="486">
          <cell r="C486" t="str">
            <v>9BM951104PB346186</v>
          </cell>
          <cell r="I486" t="str">
            <v>TKS MARONI</v>
          </cell>
          <cell r="L486" t="e">
            <v>#N/A</v>
          </cell>
          <cell r="M486" t="str">
            <v>FMS09</v>
          </cell>
        </row>
        <row r="487">
          <cell r="C487" t="str">
            <v>9BM951104PB345931</v>
          </cell>
          <cell r="I487" t="str">
            <v>TKS MARONI</v>
          </cell>
          <cell r="L487" t="e">
            <v>#N/A</v>
          </cell>
          <cell r="M487" t="str">
            <v>SSP22</v>
          </cell>
        </row>
        <row r="488">
          <cell r="C488" t="str">
            <v>9BM951104PB334621</v>
          </cell>
          <cell r="I488" t="str">
            <v>TKS MARONI</v>
          </cell>
          <cell r="L488" t="e">
            <v>#N/A</v>
          </cell>
          <cell r="M488" t="str">
            <v>SSP22</v>
          </cell>
        </row>
        <row r="489">
          <cell r="C489" t="str">
            <v>9BVPZ60A5RE199581</v>
          </cell>
          <cell r="I489" t="str">
            <v>TKS MARONI</v>
          </cell>
          <cell r="L489" t="e">
            <v>#N/A</v>
          </cell>
          <cell r="M489" t="str">
            <v>LHS BR</v>
          </cell>
        </row>
        <row r="490">
          <cell r="C490" t="str">
            <v>9BVPZ60A0RE199165</v>
          </cell>
          <cell r="I490" t="str">
            <v>TKS MARONI</v>
          </cell>
          <cell r="L490" t="e">
            <v>#N/A</v>
          </cell>
          <cell r="M490" t="str">
            <v>LHS BR</v>
          </cell>
        </row>
        <row r="491">
          <cell r="C491" t="str">
            <v>9BVPZ60A8RE199582</v>
          </cell>
          <cell r="I491" t="str">
            <v>TKS MARONI</v>
          </cell>
          <cell r="L491" t="e">
            <v>#N/A</v>
          </cell>
          <cell r="M491" t="str">
            <v>LHS BR</v>
          </cell>
        </row>
        <row r="492">
          <cell r="C492" t="str">
            <v>9BVPZ60A4RE199342</v>
          </cell>
          <cell r="I492" t="str">
            <v>TKS MARONI</v>
          </cell>
          <cell r="L492" t="e">
            <v>#N/A</v>
          </cell>
          <cell r="M492" t="str">
            <v>LHS BR</v>
          </cell>
        </row>
        <row r="493">
          <cell r="C493" t="str">
            <v>9BVPZ60A6RE199998</v>
          </cell>
          <cell r="I493" t="str">
            <v>TKS MARONI</v>
          </cell>
          <cell r="L493" t="e">
            <v>#N/A</v>
          </cell>
          <cell r="M493" t="str">
            <v>LHS BR</v>
          </cell>
        </row>
        <row r="494">
          <cell r="C494" t="str">
            <v>9BVPZ60A9RE199999</v>
          </cell>
          <cell r="I494" t="str">
            <v>TKS MARONI</v>
          </cell>
          <cell r="L494" t="e">
            <v>#N/A</v>
          </cell>
          <cell r="M494" t="str">
            <v>LHS BR</v>
          </cell>
        </row>
        <row r="495">
          <cell r="C495" t="str">
            <v>9BVPZ60A7RE199612</v>
          </cell>
          <cell r="I495" t="str">
            <v>TKS MARONI</v>
          </cell>
          <cell r="L495" t="e">
            <v>#N/A</v>
          </cell>
          <cell r="M495" t="str">
            <v>LHS BR</v>
          </cell>
        </row>
        <row r="496">
          <cell r="C496" t="str">
            <v>9BVPZ60A8RE199637</v>
          </cell>
          <cell r="I496" t="str">
            <v>TKS MARONI</v>
          </cell>
          <cell r="L496" t="e">
            <v>#N/A</v>
          </cell>
          <cell r="M496" t="str">
            <v>LHS BR</v>
          </cell>
        </row>
        <row r="497">
          <cell r="C497" t="str">
            <v>9BVPZ60A0RE200033</v>
          </cell>
          <cell r="I497" t="str">
            <v>TKS MARONI</v>
          </cell>
          <cell r="L497" t="e">
            <v>#N/A</v>
          </cell>
          <cell r="M497" t="str">
            <v>LHS BR</v>
          </cell>
        </row>
        <row r="498">
          <cell r="C498" t="str">
            <v>9BVPZ60AXRE199511</v>
          </cell>
          <cell r="I498" t="str">
            <v>TKS MARONI</v>
          </cell>
          <cell r="L498" t="e">
            <v>#N/A</v>
          </cell>
          <cell r="M498" t="str">
            <v>LHS BR</v>
          </cell>
        </row>
        <row r="499">
          <cell r="C499" t="str">
            <v>9BVPZ60AXRE199613</v>
          </cell>
          <cell r="I499" t="str">
            <v>TKS MARONI</v>
          </cell>
          <cell r="L499" t="e">
            <v>#N/A</v>
          </cell>
          <cell r="M499" t="str">
            <v>LHS BR</v>
          </cell>
        </row>
        <row r="500">
          <cell r="C500" t="str">
            <v>9BVPZ60A0RE199750</v>
          </cell>
          <cell r="I500" t="str">
            <v>TKS MARONI</v>
          </cell>
          <cell r="L500" t="e">
            <v>#N/A</v>
          </cell>
          <cell r="M500" t="str">
            <v>LHS BR</v>
          </cell>
        </row>
        <row r="501">
          <cell r="C501" t="str">
            <v>9BVPZ60A7RE199510</v>
          </cell>
          <cell r="I501" t="str">
            <v>TKS MARONI</v>
          </cell>
          <cell r="L501" t="e">
            <v>#N/A</v>
          </cell>
          <cell r="M501" t="str">
            <v>LHS BR</v>
          </cell>
        </row>
        <row r="502">
          <cell r="C502" t="str">
            <v>9BVPZ60A9RE199962</v>
          </cell>
          <cell r="I502" t="str">
            <v>TKS MARONI</v>
          </cell>
          <cell r="L502" t="e">
            <v>#N/A</v>
          </cell>
          <cell r="M502" t="str">
            <v>LHS BR</v>
          </cell>
        </row>
        <row r="503">
          <cell r="C503" t="str">
            <v>9BVPZ60A3RE199618</v>
          </cell>
          <cell r="I503" t="str">
            <v>TKS MARONI</v>
          </cell>
          <cell r="L503" t="e">
            <v>#N/A</v>
          </cell>
          <cell r="M503" t="str">
            <v>LHS BR</v>
          </cell>
        </row>
        <row r="504">
          <cell r="C504" t="str">
            <v>9BVPZ60A6RE199956</v>
          </cell>
          <cell r="I504" t="str">
            <v>TKS MARONI</v>
          </cell>
          <cell r="L504" t="e">
            <v>#N/A</v>
          </cell>
          <cell r="M504" t="str">
            <v>LHS BR</v>
          </cell>
        </row>
        <row r="505">
          <cell r="C505" t="str">
            <v>9BVPZ60A3RE199751</v>
          </cell>
          <cell r="I505" t="str">
            <v>TKS MARONI</v>
          </cell>
          <cell r="L505" t="e">
            <v>#N/A</v>
          </cell>
          <cell r="M505" t="str">
            <v>LHS BR</v>
          </cell>
        </row>
        <row r="506">
          <cell r="C506" t="str">
            <v>9BVPZ60A2RE199512</v>
          </cell>
          <cell r="I506" t="str">
            <v>TKS MARONI</v>
          </cell>
          <cell r="L506" t="e">
            <v>#N/A</v>
          </cell>
          <cell r="M506" t="str">
            <v>LHS BR</v>
          </cell>
        </row>
        <row r="507">
          <cell r="C507" t="str">
            <v>9BVPZ60A8RE199509</v>
          </cell>
          <cell r="I507" t="str">
            <v>TKS MARONI</v>
          </cell>
          <cell r="L507" t="e">
            <v>#N/A</v>
          </cell>
          <cell r="M507" t="str">
            <v>LHS BR</v>
          </cell>
        </row>
        <row r="508">
          <cell r="C508" t="str">
            <v>9BVPZ60A6RE199619</v>
          </cell>
          <cell r="I508" t="str">
            <v>TKS MARONI</v>
          </cell>
          <cell r="L508" t="e">
            <v>#N/A</v>
          </cell>
          <cell r="M508" t="str">
            <v>LHS BR</v>
          </cell>
        </row>
        <row r="509">
          <cell r="C509" t="str">
            <v>9BM958166NB314072</v>
          </cell>
          <cell r="I509" t="str">
            <v>TKS MARONI</v>
          </cell>
          <cell r="L509" t="e">
            <v>#N/A</v>
          </cell>
          <cell r="M509" t="str">
            <v>LHS BR</v>
          </cell>
        </row>
        <row r="510">
          <cell r="C510" t="str">
            <v>9BM958166NB313960</v>
          </cell>
          <cell r="I510" t="str">
            <v>TKS MARONI</v>
          </cell>
          <cell r="L510" t="e">
            <v>#N/A</v>
          </cell>
          <cell r="M510" t="str">
            <v>LHS BR</v>
          </cell>
        </row>
        <row r="511">
          <cell r="C511" t="str">
            <v>93ZE62LNZP8702304</v>
          </cell>
          <cell r="I511" t="str">
            <v>TKS MARONI</v>
          </cell>
          <cell r="L511" t="e">
            <v>#N/A</v>
          </cell>
          <cell r="M511" t="str">
            <v>LHS BR</v>
          </cell>
        </row>
        <row r="512">
          <cell r="C512" t="str">
            <v>93ZE62LNZP8701706</v>
          </cell>
          <cell r="I512" t="str">
            <v>TKS MARONI</v>
          </cell>
          <cell r="L512" t="e">
            <v>#N/A</v>
          </cell>
          <cell r="M512" t="str">
            <v>LHS BR</v>
          </cell>
        </row>
        <row r="513">
          <cell r="C513" t="str">
            <v>93ZE62LNZP8701636</v>
          </cell>
          <cell r="I513" t="str">
            <v>TKS MARONI</v>
          </cell>
          <cell r="L513" t="e">
            <v>#N/A</v>
          </cell>
          <cell r="M513" t="str">
            <v>LHS BR</v>
          </cell>
        </row>
        <row r="514">
          <cell r="C514" t="str">
            <v>93ZE62LNZP8701600</v>
          </cell>
          <cell r="I514" t="str">
            <v>TKS MARONI</v>
          </cell>
          <cell r="L514" t="e">
            <v>#N/A</v>
          </cell>
          <cell r="M514" t="str">
            <v>LHS BR</v>
          </cell>
        </row>
        <row r="515">
          <cell r="C515" t="str">
            <v>93ZE62LNZP8701919</v>
          </cell>
          <cell r="I515" t="str">
            <v>TKS MARONI</v>
          </cell>
          <cell r="L515" t="e">
            <v>#N/A</v>
          </cell>
          <cell r="M515" t="str">
            <v>LHS BR</v>
          </cell>
        </row>
        <row r="516">
          <cell r="C516" t="str">
            <v>93ZE62LNZP8701147</v>
          </cell>
          <cell r="I516" t="str">
            <v>TKS MARONI</v>
          </cell>
          <cell r="L516" t="e">
            <v>#N/A</v>
          </cell>
          <cell r="M516" t="str">
            <v>LHS BR</v>
          </cell>
        </row>
        <row r="517">
          <cell r="C517" t="str">
            <v>93ZE62LNZP8701674</v>
          </cell>
          <cell r="I517" t="str">
            <v>TKS MARONI</v>
          </cell>
          <cell r="L517" t="e">
            <v>#N/A</v>
          </cell>
          <cell r="M517" t="str">
            <v>LHS BR</v>
          </cell>
        </row>
        <row r="518">
          <cell r="C518" t="str">
            <v>93ZE62LNZP8701670</v>
          </cell>
          <cell r="I518" t="str">
            <v>TKS MARONI</v>
          </cell>
          <cell r="L518" t="e">
            <v>#N/A</v>
          </cell>
          <cell r="M518" t="str">
            <v>LHS BR</v>
          </cell>
        </row>
        <row r="519">
          <cell r="C519" t="str">
            <v>93ZC635BZS8207930</v>
          </cell>
          <cell r="I519" t="str">
            <v>TKS MARONI</v>
          </cell>
          <cell r="L519" t="e">
            <v>#N/A</v>
          </cell>
          <cell r="M519" t="str">
            <v>SSP22</v>
          </cell>
        </row>
        <row r="520">
          <cell r="C520" t="str">
            <v>93ZC635BZS8207970</v>
          </cell>
          <cell r="I520" t="str">
            <v>TKS MARONI</v>
          </cell>
          <cell r="L520" t="e">
            <v>#N/A</v>
          </cell>
          <cell r="M520" t="str">
            <v>GP03</v>
          </cell>
        </row>
        <row r="521">
          <cell r="C521" t="str">
            <v>93ZC635BZS8207983</v>
          </cell>
          <cell r="I521" t="str">
            <v>TKS MARONI</v>
          </cell>
          <cell r="L521" t="e">
            <v>#N/A</v>
          </cell>
          <cell r="M521" t="str">
            <v>GP03</v>
          </cell>
        </row>
        <row r="522">
          <cell r="C522" t="str">
            <v>93ZC635BZS8207961</v>
          </cell>
          <cell r="I522" t="str">
            <v>TKS MARONI</v>
          </cell>
          <cell r="L522" t="e">
            <v>#N/A</v>
          </cell>
          <cell r="M522" t="str">
            <v>GP03</v>
          </cell>
        </row>
        <row r="523">
          <cell r="C523" t="str">
            <v>93ZC635BZS8207907</v>
          </cell>
          <cell r="I523" t="str">
            <v>TKS MARONI</v>
          </cell>
          <cell r="L523" t="e">
            <v>#N/A</v>
          </cell>
          <cell r="M523" t="str">
            <v>SSP22</v>
          </cell>
        </row>
        <row r="524">
          <cell r="C524" t="str">
            <v>93ZC635BZS8207897</v>
          </cell>
          <cell r="I524" t="str">
            <v>TKS MARONI</v>
          </cell>
          <cell r="L524" t="e">
            <v>#N/A</v>
          </cell>
          <cell r="M524" t="str">
            <v>GP03</v>
          </cell>
        </row>
        <row r="525">
          <cell r="C525" t="str">
            <v>93ZC635BZS8207836</v>
          </cell>
          <cell r="I525" t="str">
            <v>TKS MARONI</v>
          </cell>
          <cell r="L525" t="e">
            <v>#N/A</v>
          </cell>
          <cell r="M525" t="str">
            <v>MM03</v>
          </cell>
        </row>
        <row r="526">
          <cell r="C526" t="str">
            <v>93ZC635BZS8207971</v>
          </cell>
          <cell r="I526" t="str">
            <v>TKS MARONI</v>
          </cell>
          <cell r="L526" t="e">
            <v>#N/A</v>
          </cell>
          <cell r="M526" t="str">
            <v>GP03</v>
          </cell>
        </row>
        <row r="527">
          <cell r="C527" t="str">
            <v>93ZC635BZS8207962</v>
          </cell>
          <cell r="I527" t="str">
            <v>TKS MARONI</v>
          </cell>
          <cell r="L527" t="e">
            <v>#N/A</v>
          </cell>
          <cell r="M527" t="str">
            <v>SSP22</v>
          </cell>
        </row>
        <row r="528">
          <cell r="C528" t="str">
            <v>93ZC635BZS8207988</v>
          </cell>
          <cell r="I528" t="str">
            <v>TKS MARONI</v>
          </cell>
          <cell r="L528" t="e">
            <v>#N/A</v>
          </cell>
          <cell r="M528" t="str">
            <v>SSP22</v>
          </cell>
        </row>
        <row r="529">
          <cell r="C529" t="str">
            <v>9BVRT60D7RE609294</v>
          </cell>
          <cell r="I529" t="str">
            <v>TKS MARONI</v>
          </cell>
          <cell r="L529" t="e">
            <v>#N/A</v>
          </cell>
          <cell r="M529" t="str">
            <v>LHS BR</v>
          </cell>
        </row>
        <row r="530">
          <cell r="C530" t="str">
            <v>9BVRT60DXRE609295</v>
          </cell>
          <cell r="I530" t="str">
            <v>TKS MARONI</v>
          </cell>
          <cell r="L530" t="e">
            <v>#N/A</v>
          </cell>
          <cell r="M530" t="str">
            <v>LHS BR</v>
          </cell>
        </row>
        <row r="531">
          <cell r="C531" t="str">
            <v>9BM951104RB363143</v>
          </cell>
          <cell r="I531" t="str">
            <v>TKS MARONI</v>
          </cell>
          <cell r="L531" t="e">
            <v>#N/A</v>
          </cell>
          <cell r="M531" t="str">
            <v>SSP22</v>
          </cell>
        </row>
        <row r="532">
          <cell r="C532" t="str">
            <v>9BM951104RB363228</v>
          </cell>
          <cell r="I532" t="str">
            <v>TKS MARONI</v>
          </cell>
          <cell r="L532" t="e">
            <v>#N/A</v>
          </cell>
          <cell r="M532" t="str">
            <v>SSP22</v>
          </cell>
        </row>
        <row r="533">
          <cell r="C533" t="str">
            <v>9BM951104RB364864</v>
          </cell>
          <cell r="I533" t="str">
            <v>TKS MARONI</v>
          </cell>
          <cell r="L533" t="e">
            <v>#N/A</v>
          </cell>
          <cell r="M533" t="str">
            <v>SSP22</v>
          </cell>
        </row>
        <row r="534">
          <cell r="C534" t="str">
            <v>9BM951104RB361335</v>
          </cell>
          <cell r="I534" t="str">
            <v>TKS MARONI</v>
          </cell>
          <cell r="L534" t="e">
            <v>#N/A</v>
          </cell>
          <cell r="M534" t="str">
            <v>SSP22</v>
          </cell>
        </row>
        <row r="535">
          <cell r="C535" t="str">
            <v>9BM951104RB363247</v>
          </cell>
          <cell r="I535" t="str">
            <v>TKS MARONI</v>
          </cell>
          <cell r="K535" t="str">
            <v>Verificar</v>
          </cell>
          <cell r="L535" t="e">
            <v>#N/A</v>
          </cell>
          <cell r="M535" t="e">
            <v>#N/A</v>
          </cell>
        </row>
        <row r="536">
          <cell r="C536" t="str">
            <v>94BF1543MNR058268</v>
          </cell>
          <cell r="I536" t="str">
            <v>TKS MARONI</v>
          </cell>
          <cell r="K536" t="str">
            <v>Verificar</v>
          </cell>
          <cell r="L536" t="e">
            <v>#N/A</v>
          </cell>
          <cell r="M536" t="e">
            <v>#N/A</v>
          </cell>
        </row>
        <row r="537">
          <cell r="C537" t="str">
            <v>94BF1543PRR080882</v>
          </cell>
          <cell r="I537" t="str">
            <v>TKS MARONI</v>
          </cell>
          <cell r="K537" t="str">
            <v>Verificar</v>
          </cell>
          <cell r="L537" t="e">
            <v>#N/A</v>
          </cell>
          <cell r="M537" t="e">
            <v>#N/A</v>
          </cell>
        </row>
        <row r="538">
          <cell r="C538" t="str">
            <v>94BF1543MNR058270</v>
          </cell>
          <cell r="I538" t="str">
            <v>TKS MARONI</v>
          </cell>
          <cell r="K538" t="str">
            <v>Verificar</v>
          </cell>
          <cell r="L538" t="e">
            <v>#N/A</v>
          </cell>
          <cell r="M538" t="e">
            <v>#N/A</v>
          </cell>
        </row>
        <row r="539">
          <cell r="C539" t="str">
            <v>94BF1543PRR080624</v>
          </cell>
          <cell r="I539" t="str">
            <v>TKS MARONI</v>
          </cell>
          <cell r="K539" t="str">
            <v>Verificar</v>
          </cell>
          <cell r="L539" t="e">
            <v>#N/A</v>
          </cell>
          <cell r="M539" t="e">
            <v>#N/A</v>
          </cell>
        </row>
        <row r="540">
          <cell r="C540" t="str">
            <v>94BF1543RSR090112</v>
          </cell>
          <cell r="I540" t="str">
            <v>TKS MARONI</v>
          </cell>
          <cell r="K540" t="str">
            <v>Verificar</v>
          </cell>
          <cell r="L540" t="e">
            <v>#N/A</v>
          </cell>
          <cell r="M540" t="e">
            <v>#N/A</v>
          </cell>
        </row>
        <row r="541">
          <cell r="C541" t="str">
            <v>94BF1543RSR090110</v>
          </cell>
          <cell r="I541" t="str">
            <v>TKS MARONI</v>
          </cell>
          <cell r="K541" t="str">
            <v>Verificar</v>
          </cell>
          <cell r="L541" t="e">
            <v>#N/A</v>
          </cell>
          <cell r="M541" t="e">
            <v>#N/A</v>
          </cell>
        </row>
        <row r="542">
          <cell r="C542" t="str">
            <v>93ZC635BZS8208085</v>
          </cell>
          <cell r="I542" t="str">
            <v>TKS MARONI</v>
          </cell>
          <cell r="L542">
            <v>0</v>
          </cell>
          <cell r="M542" t="str">
            <v>BRRC01</v>
          </cell>
        </row>
        <row r="543">
          <cell r="C543" t="str">
            <v>93ZC635BZS8208134</v>
          </cell>
          <cell r="I543" t="str">
            <v>TKS MARONI</v>
          </cell>
          <cell r="L543">
            <v>0</v>
          </cell>
          <cell r="M543" t="str">
            <v>BRRC01</v>
          </cell>
        </row>
        <row r="544">
          <cell r="C544" t="str">
            <v>93ZC635BZS8208129</v>
          </cell>
          <cell r="I544" t="str">
            <v>TKS MARONI</v>
          </cell>
          <cell r="L544">
            <v>0</v>
          </cell>
          <cell r="M544" t="str">
            <v>BRRC01</v>
          </cell>
        </row>
        <row r="545">
          <cell r="C545" t="str">
            <v>93ZC635BZS8208138</v>
          </cell>
          <cell r="I545" t="str">
            <v>TKS MARONI</v>
          </cell>
          <cell r="L545">
            <v>0</v>
          </cell>
          <cell r="M545" t="str">
            <v>BRRC01</v>
          </cell>
        </row>
        <row r="546">
          <cell r="C546" t="str">
            <v>93ZC635BZS8208142</v>
          </cell>
          <cell r="I546" t="str">
            <v>TKS MARONI</v>
          </cell>
          <cell r="L546">
            <v>0</v>
          </cell>
          <cell r="M546" t="str">
            <v>BRRC01</v>
          </cell>
        </row>
        <row r="547">
          <cell r="C547" t="str">
            <v>93ZC635BZS8208158</v>
          </cell>
          <cell r="I547" t="str">
            <v>TKS MARONI</v>
          </cell>
          <cell r="L547">
            <v>0</v>
          </cell>
          <cell r="M547" t="str">
            <v>BRRC01</v>
          </cell>
        </row>
        <row r="548">
          <cell r="C548" t="str">
            <v>93ZC635BZS8208078</v>
          </cell>
          <cell r="I548" t="str">
            <v>TKS MARONI</v>
          </cell>
          <cell r="L548">
            <v>0</v>
          </cell>
          <cell r="M548" t="str">
            <v>BRRC01</v>
          </cell>
        </row>
        <row r="549">
          <cell r="C549" t="str">
            <v>93ZC635BZS8208189</v>
          </cell>
          <cell r="I549" t="str">
            <v>TKS MARONI</v>
          </cell>
          <cell r="L549">
            <v>0</v>
          </cell>
          <cell r="M549" t="str">
            <v>BRRC01</v>
          </cell>
        </row>
        <row r="550">
          <cell r="C550" t="str">
            <v>93ZC635BZS8208183</v>
          </cell>
          <cell r="I550" t="str">
            <v>TKS MARONI</v>
          </cell>
          <cell r="L550">
            <v>0</v>
          </cell>
          <cell r="M550" t="str">
            <v>BRRC01</v>
          </cell>
        </row>
        <row r="551">
          <cell r="C551" t="str">
            <v>93ZC635BZS8208476</v>
          </cell>
          <cell r="I551" t="str">
            <v>TKS MARONI</v>
          </cell>
          <cell r="L551">
            <v>0</v>
          </cell>
          <cell r="M551" t="str">
            <v>BRRC01</v>
          </cell>
        </row>
        <row r="552">
          <cell r="C552" t="str">
            <v>9BM951104RB364867</v>
          </cell>
          <cell r="I552" t="str">
            <v>TKS MARONI</v>
          </cell>
          <cell r="L552" t="e">
            <v>#N/A</v>
          </cell>
          <cell r="M552" t="str">
            <v>LHS BR</v>
          </cell>
        </row>
        <row r="553">
          <cell r="C553" t="str">
            <v>9BM951104RB361901</v>
          </cell>
          <cell r="I553" t="str">
            <v>TKS MARONI</v>
          </cell>
          <cell r="L553" t="e">
            <v>#N/A</v>
          </cell>
          <cell r="M553" t="str">
            <v>LHS BR</v>
          </cell>
        </row>
        <row r="554">
          <cell r="C554" t="str">
            <v>9BM951104RB361696</v>
          </cell>
          <cell r="I554" t="str">
            <v>TKS MARONI</v>
          </cell>
          <cell r="L554" t="e">
            <v>#N/A</v>
          </cell>
          <cell r="M554" t="str">
            <v>LHS BR</v>
          </cell>
        </row>
        <row r="555">
          <cell r="C555" t="str">
            <v>9BM951104RB361687</v>
          </cell>
          <cell r="I555" t="str">
            <v>TKS MARONI</v>
          </cell>
          <cell r="L555" t="e">
            <v>#N/A</v>
          </cell>
          <cell r="M555" t="str">
            <v>LHS BR</v>
          </cell>
        </row>
        <row r="556">
          <cell r="C556" t="str">
            <v>9BM951104RB364898</v>
          </cell>
          <cell r="I556" t="str">
            <v>TKS MARONI</v>
          </cell>
          <cell r="L556" t="e">
            <v>#N/A</v>
          </cell>
          <cell r="M556" t="str">
            <v>LHS BR</v>
          </cell>
        </row>
        <row r="557">
          <cell r="C557" t="str">
            <v>9BM951104RB362332</v>
          </cell>
          <cell r="I557" t="str">
            <v>TKS MARONI</v>
          </cell>
          <cell r="L557" t="e">
            <v>#N/A</v>
          </cell>
          <cell r="M557" t="str">
            <v>LHS BR</v>
          </cell>
        </row>
        <row r="558">
          <cell r="C558" t="str">
            <v>9BM951104RB365186</v>
          </cell>
          <cell r="I558" t="str">
            <v>TKS MARONI</v>
          </cell>
          <cell r="L558" t="e">
            <v>#N/A</v>
          </cell>
          <cell r="M558" t="str">
            <v>LHS BR</v>
          </cell>
        </row>
        <row r="559">
          <cell r="C559" t="str">
            <v>9BM951104RB361349</v>
          </cell>
          <cell r="I559" t="str">
            <v>TKS MARONI</v>
          </cell>
          <cell r="L559" t="e">
            <v>#N/A</v>
          </cell>
          <cell r="M559" t="str">
            <v>LHS BR</v>
          </cell>
        </row>
        <row r="560">
          <cell r="C560" t="str">
            <v>9BM951104RB361779</v>
          </cell>
          <cell r="I560" t="str">
            <v>TKS MARONI</v>
          </cell>
          <cell r="L560" t="e">
            <v>#N/A</v>
          </cell>
          <cell r="M560" t="str">
            <v>LHS BR</v>
          </cell>
        </row>
        <row r="561">
          <cell r="C561" t="str">
            <v>9BM951104RB361770</v>
          </cell>
          <cell r="I561" t="str">
            <v>TKS MARONI</v>
          </cell>
          <cell r="L561" t="e">
            <v>#N/A</v>
          </cell>
          <cell r="M561" t="str">
            <v>LHS BR</v>
          </cell>
        </row>
        <row r="562">
          <cell r="C562" t="str">
            <v>9BM951104RB361414</v>
          </cell>
          <cell r="I562" t="str">
            <v>TKS MARONI</v>
          </cell>
          <cell r="L562" t="e">
            <v>#N/A</v>
          </cell>
          <cell r="M562" t="str">
            <v>LHS BR</v>
          </cell>
        </row>
        <row r="563">
          <cell r="C563" t="str">
            <v>9BM951104RB361607</v>
          </cell>
          <cell r="I563" t="str">
            <v>TKS MARONI</v>
          </cell>
          <cell r="L563" t="e">
            <v>#N/A</v>
          </cell>
          <cell r="M563" t="str">
            <v>LHS BR</v>
          </cell>
        </row>
        <row r="564">
          <cell r="C564" t="str">
            <v>9BM951104RB365002</v>
          </cell>
          <cell r="I564" t="str">
            <v>TKS MARONI</v>
          </cell>
          <cell r="L564" t="e">
            <v>#N/A</v>
          </cell>
          <cell r="M564" t="str">
            <v>LHS BR</v>
          </cell>
        </row>
        <row r="565">
          <cell r="C565" t="str">
            <v>9BM951104RB361581</v>
          </cell>
          <cell r="I565" t="str">
            <v>TKS MARONI</v>
          </cell>
          <cell r="L565" t="e">
            <v>#N/A</v>
          </cell>
          <cell r="M565" t="str">
            <v>LHS BR</v>
          </cell>
        </row>
        <row r="566">
          <cell r="C566" t="str">
            <v>9BM951104RB361632</v>
          </cell>
          <cell r="I566" t="str">
            <v>TKS MARONI</v>
          </cell>
          <cell r="L566" t="e">
            <v>#N/A</v>
          </cell>
          <cell r="M566" t="str">
            <v>LHS BR</v>
          </cell>
        </row>
        <row r="567">
          <cell r="C567" t="str">
            <v>9536R8276NR052580</v>
          </cell>
          <cell r="I567" t="str">
            <v>TKS MARONI</v>
          </cell>
          <cell r="L567" t="e">
            <v>#N/A</v>
          </cell>
          <cell r="M567" t="str">
            <v>LHS BR</v>
          </cell>
        </row>
        <row r="568">
          <cell r="C568" t="str">
            <v>9536R8273NR052231</v>
          </cell>
          <cell r="I568" t="str">
            <v>TKS MARONI</v>
          </cell>
          <cell r="L568" t="e">
            <v>#N/A</v>
          </cell>
          <cell r="M568" t="str">
            <v>LHS BR</v>
          </cell>
        </row>
        <row r="569">
          <cell r="C569" t="str">
            <v>9536R8276NR037870</v>
          </cell>
          <cell r="I569" t="str">
            <v>TKS MARONI</v>
          </cell>
          <cell r="L569" t="e">
            <v>#N/A</v>
          </cell>
          <cell r="M569" t="str">
            <v>LHS BR</v>
          </cell>
        </row>
        <row r="570">
          <cell r="C570" t="str">
            <v>9536R8275NR051579</v>
          </cell>
          <cell r="I570" t="str">
            <v>TKS MARONI</v>
          </cell>
          <cell r="L570" t="e">
            <v>#N/A</v>
          </cell>
          <cell r="M570" t="str">
            <v>LHS BR</v>
          </cell>
        </row>
        <row r="571">
          <cell r="C571" t="str">
            <v>9536R8272NR052222</v>
          </cell>
          <cell r="I571" t="str">
            <v>TKS MARONI</v>
          </cell>
          <cell r="L571" t="e">
            <v>#N/A</v>
          </cell>
          <cell r="M571" t="str">
            <v>LHS BR</v>
          </cell>
        </row>
        <row r="572">
          <cell r="C572" t="str">
            <v>9536R8275NR038461</v>
          </cell>
          <cell r="I572" t="str">
            <v>TKS MARONI</v>
          </cell>
          <cell r="L572" t="e">
            <v>#N/A</v>
          </cell>
          <cell r="M572" t="str">
            <v>LHS BR</v>
          </cell>
        </row>
        <row r="573">
          <cell r="C573" t="str">
            <v>9536R8277NR037733</v>
          </cell>
          <cell r="I573" t="str">
            <v>TKS MARONI</v>
          </cell>
          <cell r="L573" t="e">
            <v>#N/A</v>
          </cell>
          <cell r="M573" t="str">
            <v>LHS BR</v>
          </cell>
        </row>
        <row r="574">
          <cell r="C574" t="str">
            <v>9536R8275NR037715</v>
          </cell>
          <cell r="I574" t="str">
            <v>TKS MARONI</v>
          </cell>
          <cell r="L574" t="e">
            <v>#N/A</v>
          </cell>
          <cell r="M574" t="str">
            <v>LHS BR</v>
          </cell>
        </row>
        <row r="575">
          <cell r="C575" t="str">
            <v>9536R8273NR027166</v>
          </cell>
          <cell r="I575" t="str">
            <v>TKS MARONI</v>
          </cell>
          <cell r="L575" t="e">
            <v>#N/A</v>
          </cell>
          <cell r="M575" t="str">
            <v>LHS BR</v>
          </cell>
        </row>
        <row r="576">
          <cell r="C576" t="str">
            <v>9536R8274NR051640</v>
          </cell>
          <cell r="I576" t="str">
            <v>TKS MARONI</v>
          </cell>
          <cell r="L576" t="e">
            <v>#N/A</v>
          </cell>
          <cell r="M576" t="str">
            <v>LHS BR</v>
          </cell>
        </row>
        <row r="577">
          <cell r="C577" t="str">
            <v>9536R8276NR038257</v>
          </cell>
          <cell r="I577" t="str">
            <v>TKS MARONI</v>
          </cell>
          <cell r="L577" t="e">
            <v>#N/A</v>
          </cell>
          <cell r="M577" t="str">
            <v>LHS BR</v>
          </cell>
        </row>
        <row r="578">
          <cell r="C578" t="str">
            <v>9536R8278NR050989</v>
          </cell>
          <cell r="I578" t="str">
            <v>TKS MARONI</v>
          </cell>
          <cell r="L578" t="e">
            <v>#N/A</v>
          </cell>
          <cell r="M578" t="str">
            <v>LHS BR</v>
          </cell>
        </row>
        <row r="579">
          <cell r="C579" t="str">
            <v>9536R8270NR026766</v>
          </cell>
          <cell r="I579" t="str">
            <v>TKS MARONI</v>
          </cell>
          <cell r="L579" t="e">
            <v>#N/A</v>
          </cell>
          <cell r="M579" t="str">
            <v>LHS BR</v>
          </cell>
        </row>
        <row r="580">
          <cell r="C580" t="str">
            <v>9536R8271NR026677</v>
          </cell>
          <cell r="I580" t="str">
            <v>TKS MARONI</v>
          </cell>
          <cell r="L580" t="e">
            <v>#N/A</v>
          </cell>
          <cell r="M580" t="str">
            <v>LHS BR</v>
          </cell>
        </row>
        <row r="581">
          <cell r="C581" t="str">
            <v>9536R8279NR037863</v>
          </cell>
          <cell r="I581" t="str">
            <v>TKS MARONI</v>
          </cell>
          <cell r="L581" t="e">
            <v>#N/A</v>
          </cell>
          <cell r="M581" t="str">
            <v>LHS BR</v>
          </cell>
        </row>
        <row r="582">
          <cell r="C582" t="str">
            <v>9536R8270NR038285</v>
          </cell>
          <cell r="I582" t="str">
            <v>TKS MARONI</v>
          </cell>
          <cell r="L582" t="e">
            <v>#N/A</v>
          </cell>
          <cell r="M582" t="str">
            <v>LHS BR</v>
          </cell>
        </row>
        <row r="583">
          <cell r="C583" t="str">
            <v>9536R8275NR038217</v>
          </cell>
          <cell r="I583" t="str">
            <v>TKS MARONI</v>
          </cell>
          <cell r="L583" t="e">
            <v>#N/A</v>
          </cell>
          <cell r="M583" t="str">
            <v>LHS BR</v>
          </cell>
        </row>
        <row r="584">
          <cell r="C584" t="str">
            <v>9536R827XNR052579</v>
          </cell>
          <cell r="I584" t="str">
            <v>TKS MARONI</v>
          </cell>
          <cell r="L584" t="e">
            <v>#N/A</v>
          </cell>
          <cell r="M584" t="str">
            <v>LHS BR</v>
          </cell>
        </row>
        <row r="585">
          <cell r="C585" t="str">
            <v>9536R8272NR038708</v>
          </cell>
          <cell r="I585" t="str">
            <v>TKS MARONI</v>
          </cell>
          <cell r="L585" t="e">
            <v>#N/A</v>
          </cell>
          <cell r="M585" t="str">
            <v>LHS BR</v>
          </cell>
        </row>
        <row r="586">
          <cell r="C586" t="str">
            <v>9536R8272NR038126</v>
          </cell>
          <cell r="I586" t="str">
            <v>TKS MARONI</v>
          </cell>
          <cell r="L586" t="e">
            <v>#N/A</v>
          </cell>
          <cell r="M586" t="str">
            <v>LHS BR</v>
          </cell>
        </row>
        <row r="587">
          <cell r="C587" t="str">
            <v>9536R8275NR038492</v>
          </cell>
          <cell r="I587" t="str">
            <v>TKS MARONI</v>
          </cell>
          <cell r="L587" t="e">
            <v>#N/A</v>
          </cell>
          <cell r="M587" t="str">
            <v>LHS BR</v>
          </cell>
        </row>
        <row r="588">
          <cell r="C588" t="str">
            <v>9536R8270NR052669</v>
          </cell>
          <cell r="I588" t="str">
            <v>TKS MARONI</v>
          </cell>
          <cell r="L588" t="e">
            <v>#N/A</v>
          </cell>
          <cell r="M588" t="str">
            <v>LHS BR</v>
          </cell>
        </row>
        <row r="589">
          <cell r="C589" t="str">
            <v>9536R8273NR028852</v>
          </cell>
          <cell r="I589" t="str">
            <v>TKS MARONI</v>
          </cell>
          <cell r="L589" t="e">
            <v>#N/A</v>
          </cell>
          <cell r="M589" t="str">
            <v>LHS BR</v>
          </cell>
        </row>
        <row r="590">
          <cell r="C590" t="str">
            <v>9536R8270NR027254</v>
          </cell>
          <cell r="I590" t="str">
            <v>TKS MARONI</v>
          </cell>
          <cell r="L590" t="e">
            <v>#N/A</v>
          </cell>
          <cell r="M590" t="str">
            <v>LHS BR</v>
          </cell>
        </row>
        <row r="591">
          <cell r="C591" t="str">
            <v>9536R8279NR028810</v>
          </cell>
          <cell r="I591" t="str">
            <v>TKS MARONI</v>
          </cell>
          <cell r="L591" t="e">
            <v>#N/A</v>
          </cell>
          <cell r="M591" t="str">
            <v>LHS BR</v>
          </cell>
        </row>
        <row r="592">
          <cell r="C592" t="str">
            <v>9ADR1543MMC012897</v>
          </cell>
          <cell r="I592" t="str">
            <v>TKS MARONI</v>
          </cell>
          <cell r="L592" t="e">
            <v>#N/A</v>
          </cell>
          <cell r="M592" t="str">
            <v>LHS BR</v>
          </cell>
        </row>
        <row r="593">
          <cell r="C593" t="str">
            <v>9ADR1543MNC015509</v>
          </cell>
          <cell r="I593" t="str">
            <v>TKS MARONI</v>
          </cell>
          <cell r="L593" t="e">
            <v>#N/A</v>
          </cell>
          <cell r="M593" t="str">
            <v>LHS BR</v>
          </cell>
        </row>
        <row r="594">
          <cell r="C594" t="str">
            <v>94BF1543PPR074823</v>
          </cell>
          <cell r="I594" t="str">
            <v>TKS MARONI</v>
          </cell>
          <cell r="L594" t="e">
            <v>#N/A</v>
          </cell>
          <cell r="M594" t="str">
            <v>LHS BR</v>
          </cell>
        </row>
        <row r="595">
          <cell r="C595" t="str">
            <v>94BF1543MMR053849</v>
          </cell>
          <cell r="I595" t="str">
            <v>TKS MARONI</v>
          </cell>
          <cell r="L595" t="e">
            <v>#N/A</v>
          </cell>
          <cell r="M595" t="str">
            <v>LHS BR</v>
          </cell>
        </row>
        <row r="596">
          <cell r="C596" t="str">
            <v>9ADR1543MNC015132</v>
          </cell>
          <cell r="I596" t="str">
            <v>TKS MARONI</v>
          </cell>
          <cell r="L596" t="e">
            <v>#N/A</v>
          </cell>
          <cell r="M596" t="str">
            <v>LHS BR</v>
          </cell>
        </row>
        <row r="597">
          <cell r="C597" t="str">
            <v>9ADR1543MMC012974</v>
          </cell>
          <cell r="I597" t="str">
            <v>TKS MARONI</v>
          </cell>
          <cell r="L597" t="e">
            <v>#N/A</v>
          </cell>
          <cell r="M597" t="str">
            <v>LHS BR</v>
          </cell>
        </row>
        <row r="598">
          <cell r="C598" t="str">
            <v>9ADR1543MNC015389</v>
          </cell>
          <cell r="I598" t="str">
            <v>TKS MARONI</v>
          </cell>
          <cell r="L598" t="e">
            <v>#N/A</v>
          </cell>
          <cell r="M598" t="str">
            <v>LHS BR</v>
          </cell>
        </row>
        <row r="599">
          <cell r="C599" t="str">
            <v>9ADR1543MNC015795</v>
          </cell>
          <cell r="I599" t="str">
            <v>TKS MARONI</v>
          </cell>
          <cell r="L599" t="e">
            <v>#N/A</v>
          </cell>
          <cell r="M599" t="str">
            <v>LHS BR</v>
          </cell>
        </row>
        <row r="600">
          <cell r="C600" t="str">
            <v>9ADR1543MNC014501</v>
          </cell>
          <cell r="I600" t="str">
            <v>TKS MARONI</v>
          </cell>
          <cell r="L600" t="e">
            <v>#N/A</v>
          </cell>
          <cell r="M600" t="str">
            <v>LHS BR</v>
          </cell>
        </row>
        <row r="601">
          <cell r="C601" t="str">
            <v>94BF1543PPR074821</v>
          </cell>
          <cell r="I601" t="str">
            <v>TKS MARONI</v>
          </cell>
          <cell r="L601" t="e">
            <v>#N/A</v>
          </cell>
          <cell r="M601" t="str">
            <v>LHS BR</v>
          </cell>
        </row>
        <row r="602">
          <cell r="C602" t="str">
            <v>9ADR1543MNC016203</v>
          </cell>
          <cell r="I602" t="str">
            <v>TKS MARONI</v>
          </cell>
          <cell r="L602" t="e">
            <v>#N/A</v>
          </cell>
          <cell r="M602" t="str">
            <v>LHS BR</v>
          </cell>
        </row>
        <row r="603">
          <cell r="C603" t="str">
            <v>94BF1543PPR074844</v>
          </cell>
          <cell r="I603" t="str">
            <v>TKS MARONI</v>
          </cell>
          <cell r="L603" t="e">
            <v>#N/A</v>
          </cell>
          <cell r="M603" t="str">
            <v>LHS BR</v>
          </cell>
        </row>
        <row r="604">
          <cell r="C604" t="str">
            <v>9ADR1543MMC013345</v>
          </cell>
          <cell r="I604" t="str">
            <v>TKS MARONI</v>
          </cell>
          <cell r="L604" t="e">
            <v>#N/A</v>
          </cell>
          <cell r="M604" t="str">
            <v>LHS BR</v>
          </cell>
        </row>
        <row r="605">
          <cell r="C605" t="str">
            <v>9ADR1543MMC013819</v>
          </cell>
          <cell r="I605" t="str">
            <v>TKS MARONI</v>
          </cell>
          <cell r="L605" t="e">
            <v>#N/A</v>
          </cell>
          <cell r="M605" t="str">
            <v>LHS BR</v>
          </cell>
        </row>
        <row r="606">
          <cell r="C606" t="str">
            <v>9ADR1543JKC005908</v>
          </cell>
          <cell r="I606" t="str">
            <v>TKS MARONI</v>
          </cell>
          <cell r="L606" t="e">
            <v>#N/A</v>
          </cell>
          <cell r="M606" t="str">
            <v>LHS BR</v>
          </cell>
        </row>
        <row r="607">
          <cell r="C607" t="str">
            <v>9ADR1543MNC015512</v>
          </cell>
          <cell r="I607" t="str">
            <v>TKS MARONI</v>
          </cell>
          <cell r="L607" t="e">
            <v>#N/A</v>
          </cell>
          <cell r="M607" t="str">
            <v>LHS BR</v>
          </cell>
        </row>
        <row r="608">
          <cell r="C608" t="str">
            <v>9ADR1543LLC009992</v>
          </cell>
          <cell r="I608" t="str">
            <v>TKS MARONI</v>
          </cell>
          <cell r="L608" t="e">
            <v>#N/A</v>
          </cell>
          <cell r="M608" t="str">
            <v>LHS BR</v>
          </cell>
        </row>
        <row r="609">
          <cell r="C609" t="str">
            <v>9ADR1543LLC010182</v>
          </cell>
          <cell r="I609" t="str">
            <v>TKS MARONI</v>
          </cell>
          <cell r="L609" t="e">
            <v>#N/A</v>
          </cell>
          <cell r="M609" t="str">
            <v>LHS BR</v>
          </cell>
        </row>
        <row r="610">
          <cell r="C610" t="str">
            <v>9ADR1543LLC010222</v>
          </cell>
          <cell r="I610" t="str">
            <v>TKS MARONI</v>
          </cell>
          <cell r="L610" t="e">
            <v>#N/A</v>
          </cell>
          <cell r="M610" t="str">
            <v>LHS BR</v>
          </cell>
        </row>
        <row r="611">
          <cell r="C611" t="str">
            <v>9ADR1543LLC010321</v>
          </cell>
          <cell r="I611" t="str">
            <v>TKS MARONI</v>
          </cell>
          <cell r="L611" t="e">
            <v>#N/A</v>
          </cell>
          <cell r="M611" t="str">
            <v>LHS BR</v>
          </cell>
        </row>
        <row r="612">
          <cell r="C612" t="str">
            <v>9ADR1543LMC011000</v>
          </cell>
          <cell r="I612" t="str">
            <v>TKS MARONI</v>
          </cell>
          <cell r="L612" t="e">
            <v>#N/A</v>
          </cell>
          <cell r="M612" t="str">
            <v>LHS BR</v>
          </cell>
        </row>
        <row r="613">
          <cell r="C613" t="str">
            <v>9ADR1543LMC011578</v>
          </cell>
          <cell r="I613" t="str">
            <v>TKS MARONI</v>
          </cell>
          <cell r="L613" t="e">
            <v>#N/A</v>
          </cell>
          <cell r="M613" t="str">
            <v>LHS BR</v>
          </cell>
        </row>
        <row r="614">
          <cell r="C614" t="str">
            <v>9ADR1543LMC011589</v>
          </cell>
          <cell r="I614" t="str">
            <v>TKS MARONI</v>
          </cell>
          <cell r="L614" t="e">
            <v>#N/A</v>
          </cell>
          <cell r="M614" t="str">
            <v>LHS BR</v>
          </cell>
        </row>
        <row r="615">
          <cell r="C615" t="str">
            <v>9ADR1543MNC016469</v>
          </cell>
          <cell r="I615" t="str">
            <v>TKS MARONI</v>
          </cell>
          <cell r="L615" t="e">
            <v>#N/A</v>
          </cell>
          <cell r="M615" t="str">
            <v>LHS BR</v>
          </cell>
        </row>
        <row r="616">
          <cell r="C616" t="str">
            <v>9ADR1543MNC016470</v>
          </cell>
          <cell r="I616" t="str">
            <v>TKS MARONI</v>
          </cell>
          <cell r="L616" t="e">
            <v>#N/A</v>
          </cell>
          <cell r="M616" t="str">
            <v>LHS BR</v>
          </cell>
        </row>
        <row r="617">
          <cell r="C617" t="str">
            <v>9ADR1543MNC016684</v>
          </cell>
          <cell r="I617" t="str">
            <v>TKS MARONI</v>
          </cell>
          <cell r="L617" t="e">
            <v>#N/A</v>
          </cell>
          <cell r="M617" t="str">
            <v>LHS BR</v>
          </cell>
        </row>
        <row r="618">
          <cell r="C618" t="str">
            <v>9ADR1543MNC015779</v>
          </cell>
          <cell r="I618" t="str">
            <v>TKS MARONI</v>
          </cell>
          <cell r="L618" t="e">
            <v>#N/A</v>
          </cell>
          <cell r="M618" t="str">
            <v>LHS BR</v>
          </cell>
        </row>
        <row r="619">
          <cell r="C619" t="str">
            <v>9ADR1543MNC015858</v>
          </cell>
          <cell r="I619" t="str">
            <v>TKS MARONI</v>
          </cell>
          <cell r="L619" t="e">
            <v>#N/A</v>
          </cell>
          <cell r="M619" t="str">
            <v>LHS BR</v>
          </cell>
        </row>
        <row r="620">
          <cell r="C620" t="str">
            <v>9ADR1543MNC015852</v>
          </cell>
          <cell r="I620" t="str">
            <v>TKS MARONI</v>
          </cell>
          <cell r="L620" t="e">
            <v>#N/A</v>
          </cell>
          <cell r="M620" t="str">
            <v>LHS BR</v>
          </cell>
        </row>
        <row r="621">
          <cell r="C621" t="str">
            <v>9ADR1543MNC015859</v>
          </cell>
          <cell r="I621" t="str">
            <v>TKS MARONI</v>
          </cell>
          <cell r="L621" t="e">
            <v>#N/A</v>
          </cell>
          <cell r="M621" t="str">
            <v>LHS BR</v>
          </cell>
        </row>
        <row r="622">
          <cell r="C622" t="str">
            <v>9BM958166NB313869</v>
          </cell>
          <cell r="I622" t="str">
            <v>TKS MARONI</v>
          </cell>
          <cell r="K622" t="str">
            <v>Verificar</v>
          </cell>
          <cell r="L622" t="e">
            <v>#N/A</v>
          </cell>
          <cell r="M622" t="e">
            <v>#N/A</v>
          </cell>
        </row>
        <row r="623">
          <cell r="C623" t="str">
            <v>9BM963425PB322113</v>
          </cell>
          <cell r="D623">
            <v>1399049256</v>
          </cell>
          <cell r="I623" t="str">
            <v>MAESTRO</v>
          </cell>
          <cell r="L623" t="e">
            <v>#N/A</v>
          </cell>
          <cell r="M623" t="str">
            <v>LHS BR</v>
          </cell>
        </row>
        <row r="624">
          <cell r="C624" t="str">
            <v>9BM963424PB325678</v>
          </cell>
          <cell r="D624">
            <v>1356263566</v>
          </cell>
          <cell r="I624" t="str">
            <v>MAESTRO</v>
          </cell>
          <cell r="K624" t="str">
            <v>Verificar</v>
          </cell>
          <cell r="L624" t="e">
            <v>#N/A</v>
          </cell>
          <cell r="M624" t="e">
            <v>#N/A</v>
          </cell>
        </row>
        <row r="625">
          <cell r="C625" t="str">
            <v>9BM963425PB328524</v>
          </cell>
          <cell r="D625">
            <v>1398935694</v>
          </cell>
          <cell r="I625" t="str">
            <v>MAESTRO</v>
          </cell>
          <cell r="L625" t="e">
            <v>#N/A</v>
          </cell>
          <cell r="M625" t="str">
            <v>LHS BR</v>
          </cell>
        </row>
        <row r="626">
          <cell r="C626" t="str">
            <v>9BM963424PB326055</v>
          </cell>
          <cell r="D626">
            <v>1356620210</v>
          </cell>
          <cell r="I626" t="str">
            <v>MAESTRO</v>
          </cell>
          <cell r="K626" t="str">
            <v>Verificar</v>
          </cell>
          <cell r="L626" t="e">
            <v>#N/A</v>
          </cell>
          <cell r="M626" t="e">
            <v>#N/A</v>
          </cell>
        </row>
        <row r="627">
          <cell r="C627" t="str">
            <v>9BM963424PB325689</v>
          </cell>
          <cell r="D627">
            <v>1356620342</v>
          </cell>
          <cell r="I627" t="str">
            <v>MAESTRO</v>
          </cell>
          <cell r="K627" t="str">
            <v>Verificar</v>
          </cell>
          <cell r="L627" t="e">
            <v>#N/A</v>
          </cell>
          <cell r="M627" t="e">
            <v>#N/A</v>
          </cell>
        </row>
        <row r="628">
          <cell r="C628" t="str">
            <v>9BM963424PB325934</v>
          </cell>
          <cell r="D628">
            <v>1356620032</v>
          </cell>
          <cell r="I628" t="str">
            <v>MAESTRO</v>
          </cell>
          <cell r="K628" t="str">
            <v>Verificar</v>
          </cell>
          <cell r="L628" t="e">
            <v>#N/A</v>
          </cell>
          <cell r="M628" t="e">
            <v>#N/A</v>
          </cell>
        </row>
        <row r="629">
          <cell r="C629" t="str">
            <v>9BM963424PB328340</v>
          </cell>
          <cell r="D629">
            <v>1356619905</v>
          </cell>
          <cell r="I629" t="str">
            <v>MAESTRO</v>
          </cell>
          <cell r="K629" t="str">
            <v>Verificar</v>
          </cell>
          <cell r="L629" t="e">
            <v>#N/A</v>
          </cell>
          <cell r="M629" t="e">
            <v>#N/A</v>
          </cell>
        </row>
        <row r="630">
          <cell r="C630" t="str">
            <v>9BM963424PB325603</v>
          </cell>
          <cell r="D630">
            <v>1356619956</v>
          </cell>
          <cell r="I630" t="str">
            <v>MAESTRO</v>
          </cell>
          <cell r="K630" t="str">
            <v>Verificar</v>
          </cell>
          <cell r="L630" t="e">
            <v>#N/A</v>
          </cell>
          <cell r="M630" t="e">
            <v>#N/A</v>
          </cell>
        </row>
        <row r="631">
          <cell r="C631" t="str">
            <v>9BM963424PB325639</v>
          </cell>
          <cell r="D631">
            <v>1356620636</v>
          </cell>
          <cell r="I631" t="str">
            <v>MAESTRO</v>
          </cell>
          <cell r="K631" t="str">
            <v>Verificar</v>
          </cell>
          <cell r="L631" t="e">
            <v>#N/A</v>
          </cell>
          <cell r="M631" t="e">
            <v>#N/A</v>
          </cell>
        </row>
        <row r="632">
          <cell r="C632" t="str">
            <v>9539J8TH6SR200086</v>
          </cell>
          <cell r="D632">
            <v>1377636850</v>
          </cell>
          <cell r="I632" t="str">
            <v>MAESTRO</v>
          </cell>
          <cell r="K632" t="str">
            <v>Verificar</v>
          </cell>
          <cell r="L632" t="e">
            <v>#N/A</v>
          </cell>
          <cell r="M632" t="e">
            <v>#N/A</v>
          </cell>
        </row>
        <row r="633">
          <cell r="C633" t="str">
            <v>9BM963424PB325663</v>
          </cell>
          <cell r="D633">
            <v>1356620482</v>
          </cell>
          <cell r="I633" t="str">
            <v>MAESTRO</v>
          </cell>
          <cell r="K633" t="str">
            <v>Verificar</v>
          </cell>
          <cell r="L633" t="e">
            <v>#N/A</v>
          </cell>
          <cell r="M633" t="e">
            <v>#N/A</v>
          </cell>
        </row>
        <row r="634">
          <cell r="C634" t="str">
            <v>9BM963425PB339829</v>
          </cell>
          <cell r="D634">
            <v>1399073114</v>
          </cell>
          <cell r="I634" t="str">
            <v>MAESTRO</v>
          </cell>
          <cell r="L634" t="e">
            <v>#N/A</v>
          </cell>
          <cell r="M634" t="str">
            <v>LHS BR</v>
          </cell>
        </row>
        <row r="635">
          <cell r="C635" t="str">
            <v>9BM963424PB325615</v>
          </cell>
          <cell r="D635">
            <v>1372592196</v>
          </cell>
          <cell r="I635" t="str">
            <v>MAESTRO</v>
          </cell>
          <cell r="L635" t="e">
            <v>#N/A</v>
          </cell>
          <cell r="M635" t="str">
            <v>LHS BR</v>
          </cell>
        </row>
        <row r="636">
          <cell r="C636" t="str">
            <v>9539J8TH8SR200011</v>
          </cell>
          <cell r="D636">
            <v>1377636744</v>
          </cell>
          <cell r="I636" t="str">
            <v>MAESTRO</v>
          </cell>
          <cell r="K636" t="str">
            <v>Verificar</v>
          </cell>
          <cell r="L636" t="e">
            <v>#N/A</v>
          </cell>
          <cell r="M636" t="e">
            <v>#N/A</v>
          </cell>
        </row>
        <row r="637">
          <cell r="C637" t="str">
            <v>9BM963424PB327984</v>
          </cell>
          <cell r="D637">
            <v>1372592048</v>
          </cell>
          <cell r="I637" t="str">
            <v>MAESTRO</v>
          </cell>
          <cell r="K637" t="str">
            <v>Verificar</v>
          </cell>
          <cell r="L637" t="e">
            <v>#N/A</v>
          </cell>
          <cell r="M637" t="e">
            <v>#N/A</v>
          </cell>
        </row>
        <row r="638">
          <cell r="C638" t="str">
            <v>9BM963424PB324292</v>
          </cell>
          <cell r="D638">
            <v>1401485232</v>
          </cell>
          <cell r="I638" t="str">
            <v>MAESTRO</v>
          </cell>
          <cell r="K638" t="str">
            <v>Verificar</v>
          </cell>
          <cell r="L638" t="e">
            <v>#N/A</v>
          </cell>
          <cell r="M638" t="e">
            <v>#N/A</v>
          </cell>
        </row>
        <row r="639">
          <cell r="C639" t="str">
            <v>9BM963424PB326007</v>
          </cell>
          <cell r="D639">
            <v>1378857949</v>
          </cell>
          <cell r="I639" t="str">
            <v>MAESTRO</v>
          </cell>
          <cell r="K639" t="str">
            <v>Verificar</v>
          </cell>
          <cell r="L639" t="e">
            <v>#N/A</v>
          </cell>
          <cell r="M639" t="e">
            <v>#N/A</v>
          </cell>
        </row>
        <row r="640">
          <cell r="C640" t="str">
            <v>9BM963424PB332456</v>
          </cell>
          <cell r="D640">
            <v>1417829980</v>
          </cell>
          <cell r="I640" t="str">
            <v>MAESTRO</v>
          </cell>
          <cell r="K640" t="str">
            <v>Verificar</v>
          </cell>
          <cell r="L640" t="e">
            <v>#N/A</v>
          </cell>
          <cell r="M640" t="e">
            <v>#N/A</v>
          </cell>
        </row>
        <row r="641">
          <cell r="C641" t="str">
            <v>9BM963425PB328467</v>
          </cell>
          <cell r="D641">
            <v>1392027575</v>
          </cell>
          <cell r="I641" t="str">
            <v>MAESTRO</v>
          </cell>
          <cell r="L641" t="e">
            <v>#N/A</v>
          </cell>
          <cell r="M641" t="str">
            <v>LHS BR</v>
          </cell>
        </row>
        <row r="642">
          <cell r="C642" t="str">
            <v>9BM963424PB325560</v>
          </cell>
          <cell r="D642">
            <v>1372592501</v>
          </cell>
          <cell r="I642" t="str">
            <v>MAESTRO</v>
          </cell>
          <cell r="L642" t="e">
            <v>#N/A</v>
          </cell>
          <cell r="M642" t="str">
            <v>LHS BR</v>
          </cell>
        </row>
        <row r="643">
          <cell r="C643" t="str">
            <v>9BM963424PB325694</v>
          </cell>
          <cell r="D643">
            <v>1372592340</v>
          </cell>
          <cell r="I643" t="str">
            <v>MAESTRO</v>
          </cell>
          <cell r="L643" t="e">
            <v>#N/A</v>
          </cell>
          <cell r="M643" t="str">
            <v>LHS BR</v>
          </cell>
        </row>
        <row r="644">
          <cell r="C644" t="str">
            <v>9BM963425PB336057</v>
          </cell>
          <cell r="D644">
            <v>1399068870</v>
          </cell>
          <cell r="I644" t="str">
            <v>MAESTRO</v>
          </cell>
          <cell r="L644" t="e">
            <v>#N/A</v>
          </cell>
          <cell r="M644" t="str">
            <v>LHS BR</v>
          </cell>
        </row>
        <row r="645">
          <cell r="C645" t="str">
            <v>9539J8TH2RR201987</v>
          </cell>
          <cell r="D645">
            <v>1377652537</v>
          </cell>
          <cell r="I645" t="str">
            <v>MAESTRO</v>
          </cell>
          <cell r="K645" t="str">
            <v>Verificar</v>
          </cell>
          <cell r="L645" t="e">
            <v>#N/A</v>
          </cell>
          <cell r="M645" t="e">
            <v>#N/A</v>
          </cell>
        </row>
        <row r="646">
          <cell r="C646" t="str">
            <v>9BM963424PB323118</v>
          </cell>
          <cell r="D646">
            <v>1411692060</v>
          </cell>
          <cell r="I646" t="str">
            <v>MAESTRO</v>
          </cell>
          <cell r="L646" t="e">
            <v>#N/A</v>
          </cell>
          <cell r="M646" t="str">
            <v>LHS BR</v>
          </cell>
        </row>
        <row r="647">
          <cell r="C647" t="str">
            <v>9BM963425PB335340</v>
          </cell>
          <cell r="D647">
            <v>1399098990</v>
          </cell>
          <cell r="I647" t="str">
            <v>MAESTRO</v>
          </cell>
          <cell r="L647" t="e">
            <v>#N/A</v>
          </cell>
          <cell r="M647" t="str">
            <v>LHS BR</v>
          </cell>
        </row>
        <row r="648">
          <cell r="C648" t="str">
            <v>9BM963425PB322053</v>
          </cell>
          <cell r="D648">
            <v>1391998674</v>
          </cell>
          <cell r="I648" t="str">
            <v>MAESTRO</v>
          </cell>
          <cell r="L648" t="e">
            <v>#N/A</v>
          </cell>
          <cell r="M648" t="str">
            <v>LHS BR</v>
          </cell>
        </row>
        <row r="649">
          <cell r="C649" t="str">
            <v>9539J8TH1SR201453</v>
          </cell>
          <cell r="D649">
            <v>1393806330</v>
          </cell>
          <cell r="I649" t="str">
            <v>MAESTRO</v>
          </cell>
          <cell r="K649" t="str">
            <v>Verificar</v>
          </cell>
          <cell r="L649" t="e">
            <v>#N/A</v>
          </cell>
          <cell r="M649" t="e">
            <v>#N/A</v>
          </cell>
        </row>
        <row r="650">
          <cell r="C650" t="str">
            <v>9BM963425PB334914</v>
          </cell>
          <cell r="D650">
            <v>1399058964</v>
          </cell>
          <cell r="I650" t="str">
            <v>MAESTRO</v>
          </cell>
          <cell r="L650" t="e">
            <v>#N/A</v>
          </cell>
          <cell r="M650" t="str">
            <v>LHS BR</v>
          </cell>
        </row>
        <row r="651">
          <cell r="C651" t="str">
            <v>9BM963424PB323267</v>
          </cell>
          <cell r="D651">
            <v>1413112355</v>
          </cell>
          <cell r="I651" t="str">
            <v>MAESTRO</v>
          </cell>
          <cell r="K651" t="str">
            <v>Verificar</v>
          </cell>
          <cell r="L651" t="e">
            <v>#N/A</v>
          </cell>
          <cell r="M651" t="e">
            <v>#N/A</v>
          </cell>
        </row>
        <row r="652">
          <cell r="C652" t="str">
            <v>9BM963424PB318586</v>
          </cell>
          <cell r="D652">
            <v>1413117101</v>
          </cell>
          <cell r="I652" t="str">
            <v>MAESTRO</v>
          </cell>
          <cell r="L652" t="e">
            <v>#N/A</v>
          </cell>
          <cell r="M652" t="str">
            <v>LHS BR</v>
          </cell>
        </row>
        <row r="653">
          <cell r="C653" t="str">
            <v>9BM963424PB332428</v>
          </cell>
          <cell r="D653">
            <v>1413108935</v>
          </cell>
          <cell r="I653" t="str">
            <v>MAESTRO</v>
          </cell>
          <cell r="L653" t="e">
            <v>#N/A</v>
          </cell>
          <cell r="M653" t="str">
            <v>LHS BR</v>
          </cell>
        </row>
        <row r="654">
          <cell r="C654" t="str">
            <v>9BM951511TB430532</v>
          </cell>
          <cell r="D654">
            <v>1451603077</v>
          </cell>
          <cell r="I654" t="str">
            <v>PRÓPRIO</v>
          </cell>
          <cell r="K654" t="str">
            <v>Verificar</v>
          </cell>
          <cell r="L654" t="e">
            <v>#N/A</v>
          </cell>
          <cell r="M654" t="e">
            <v>#N/A</v>
          </cell>
        </row>
        <row r="655">
          <cell r="C655" t="str">
            <v>9BM951511TB431019</v>
          </cell>
          <cell r="D655">
            <v>1451561170</v>
          </cell>
          <cell r="I655" t="str">
            <v>PRÓPRIO</v>
          </cell>
          <cell r="K655" t="str">
            <v>Verificar</v>
          </cell>
          <cell r="L655" t="e">
            <v>#N/A</v>
          </cell>
          <cell r="M655" t="e">
            <v>#N/A</v>
          </cell>
        </row>
        <row r="656">
          <cell r="C656" t="str">
            <v>9BM951511TB431067</v>
          </cell>
          <cell r="D656">
            <v>1451587578</v>
          </cell>
          <cell r="I656" t="str">
            <v>PRÓPRIO</v>
          </cell>
          <cell r="K656" t="str">
            <v>Verificar</v>
          </cell>
          <cell r="L656" t="e">
            <v>#N/A</v>
          </cell>
          <cell r="M656" t="e">
            <v>#N/A</v>
          </cell>
        </row>
        <row r="657">
          <cell r="C657" t="str">
            <v>9BM951511TB431203</v>
          </cell>
          <cell r="D657">
            <v>1451602798</v>
          </cell>
          <cell r="I657" t="str">
            <v>PRÓPRIO</v>
          </cell>
          <cell r="K657" t="str">
            <v>Verificar</v>
          </cell>
          <cell r="L657" t="e">
            <v>#N/A</v>
          </cell>
          <cell r="M657" t="e">
            <v>#N/A</v>
          </cell>
        </row>
        <row r="658">
          <cell r="C658" t="str">
            <v>9BM951511TB431651</v>
          </cell>
          <cell r="D658">
            <v>1451616403</v>
          </cell>
          <cell r="I658" t="str">
            <v>PRÓPRIO</v>
          </cell>
          <cell r="K658" t="str">
            <v>Verificar</v>
          </cell>
          <cell r="L658" t="e">
            <v>#N/A</v>
          </cell>
          <cell r="M658" t="e">
            <v>#N/A</v>
          </cell>
        </row>
        <row r="659">
          <cell r="C659" t="str">
            <v>9BM951511TB431217</v>
          </cell>
          <cell r="D659">
            <v>1452383135</v>
          </cell>
          <cell r="I659" t="str">
            <v>PRÓPRIO</v>
          </cell>
          <cell r="K659" t="str">
            <v>Verificar</v>
          </cell>
          <cell r="L659" t="e">
            <v>#N/A</v>
          </cell>
          <cell r="M659" t="e">
            <v>#N/A</v>
          </cell>
        </row>
        <row r="660">
          <cell r="C660" t="str">
            <v>9BM951511TB431838</v>
          </cell>
          <cell r="D660">
            <v>1452905387</v>
          </cell>
          <cell r="I660" t="str">
            <v>PRÓPRIO</v>
          </cell>
          <cell r="K660" t="str">
            <v>Verificar</v>
          </cell>
          <cell r="L660" t="e">
            <v>#N/A</v>
          </cell>
          <cell r="M660" t="e">
            <v>#N/A</v>
          </cell>
        </row>
        <row r="661">
          <cell r="C661" t="str">
            <v>9BM951511TB431958</v>
          </cell>
          <cell r="D661">
            <v>1452507993</v>
          </cell>
          <cell r="I661" t="str">
            <v>PRÓPRIO</v>
          </cell>
          <cell r="K661" t="str">
            <v>Verificar</v>
          </cell>
          <cell r="L661" t="e">
            <v>#N/A</v>
          </cell>
          <cell r="M661" t="e">
            <v>#N/A</v>
          </cell>
        </row>
        <row r="662">
          <cell r="C662" t="str">
            <v>9BM951511TB432090</v>
          </cell>
          <cell r="D662">
            <v>1452488514</v>
          </cell>
          <cell r="I662" t="str">
            <v>PRÓPRIO</v>
          </cell>
          <cell r="K662" t="str">
            <v>Verificar</v>
          </cell>
          <cell r="L662" t="e">
            <v>#N/A</v>
          </cell>
          <cell r="M662" t="e">
            <v>#N/A</v>
          </cell>
        </row>
        <row r="663">
          <cell r="C663" t="str">
            <v>9BM951511TB432462</v>
          </cell>
          <cell r="D663">
            <v>1452400307</v>
          </cell>
          <cell r="I663" t="str">
            <v>PRÓPRIO</v>
          </cell>
          <cell r="K663" t="str">
            <v>Verificar</v>
          </cell>
          <cell r="L663" t="e">
            <v>#N/A</v>
          </cell>
          <cell r="M663" t="e">
            <v>#N/A</v>
          </cell>
        </row>
        <row r="664">
          <cell r="C664" t="str">
            <v>9BM951511TB430842</v>
          </cell>
          <cell r="D664">
            <v>1452546646</v>
          </cell>
          <cell r="I664" t="str">
            <v>PRÓPRIO</v>
          </cell>
          <cell r="K664" t="str">
            <v>Verificar</v>
          </cell>
          <cell r="L664" t="e">
            <v>#N/A</v>
          </cell>
          <cell r="M664" t="e">
            <v>#N/A</v>
          </cell>
        </row>
        <row r="665">
          <cell r="C665" t="str">
            <v>9BM951511TB432025</v>
          </cell>
          <cell r="D665">
            <v>1454669974</v>
          </cell>
          <cell r="I665" t="str">
            <v>PRÓPRIO</v>
          </cell>
          <cell r="K665" t="str">
            <v>Verificar</v>
          </cell>
          <cell r="L665" t="e">
            <v>#N/A</v>
          </cell>
          <cell r="M665" t="e">
            <v>#N/A</v>
          </cell>
        </row>
        <row r="666">
          <cell r="C666" t="str">
            <v>9BM951511TB431740</v>
          </cell>
          <cell r="D666">
            <v>1454421255</v>
          </cell>
          <cell r="I666" t="str">
            <v>PRÓPRIO</v>
          </cell>
          <cell r="K666" t="str">
            <v>Verificar</v>
          </cell>
          <cell r="L666" t="e">
            <v>#N/A</v>
          </cell>
          <cell r="M666" t="e">
            <v>#N/A</v>
          </cell>
        </row>
        <row r="667">
          <cell r="C667" t="str">
            <v>9BM951511TB431726</v>
          </cell>
          <cell r="D667">
            <v>1454371967</v>
          </cell>
          <cell r="I667" t="str">
            <v>PRÓPRIO</v>
          </cell>
          <cell r="K667" t="str">
            <v>Verificar</v>
          </cell>
          <cell r="L667" t="e">
            <v>#N/A</v>
          </cell>
          <cell r="M667" t="e">
            <v>#N/A</v>
          </cell>
        </row>
        <row r="668">
          <cell r="C668" t="str">
            <v>9BM951511TB431127</v>
          </cell>
          <cell r="D668">
            <v>1454579363</v>
          </cell>
          <cell r="I668" t="str">
            <v>PRÓPRIO</v>
          </cell>
          <cell r="K668" t="str">
            <v>Verificar</v>
          </cell>
          <cell r="L668" t="e">
            <v>#N/A</v>
          </cell>
          <cell r="M668" t="e">
            <v>#N/A</v>
          </cell>
        </row>
        <row r="669">
          <cell r="C669" t="str">
            <v>96408152SSS003445</v>
          </cell>
          <cell r="D669">
            <v>1447911757</v>
          </cell>
          <cell r="I669" t="str">
            <v>PRÓPRIO</v>
          </cell>
          <cell r="K669" t="str">
            <v>Verificar</v>
          </cell>
          <cell r="L669" t="e">
            <v>#N/A</v>
          </cell>
          <cell r="M669" t="e">
            <v>#N/A</v>
          </cell>
        </row>
        <row r="670">
          <cell r="C670" t="str">
            <v>96408152SSS003447</v>
          </cell>
          <cell r="D670">
            <v>1447882927</v>
          </cell>
          <cell r="I670" t="str">
            <v>PRÓPRIO</v>
          </cell>
          <cell r="K670" t="str">
            <v>Verificar</v>
          </cell>
          <cell r="L670" t="e">
            <v>#N/A</v>
          </cell>
          <cell r="M670" t="e">
            <v>#N/A</v>
          </cell>
        </row>
        <row r="671">
          <cell r="C671" t="str">
            <v>96408152SSS003446</v>
          </cell>
          <cell r="D671">
            <v>1448049560</v>
          </cell>
          <cell r="I671" t="str">
            <v>PRÓPRIO</v>
          </cell>
          <cell r="K671" t="str">
            <v>Verificar</v>
          </cell>
          <cell r="L671" t="e">
            <v>#N/A</v>
          </cell>
          <cell r="M671" t="e">
            <v>#N/A</v>
          </cell>
        </row>
        <row r="672">
          <cell r="C672" t="str">
            <v>96408152SSS003444</v>
          </cell>
          <cell r="D672">
            <v>1448114974</v>
          </cell>
          <cell r="I672" t="str">
            <v>PRÓPRIO</v>
          </cell>
          <cell r="K672" t="str">
            <v>Verificar</v>
          </cell>
          <cell r="L672" t="e">
            <v>#N/A</v>
          </cell>
          <cell r="M672" t="e">
            <v>#N/A</v>
          </cell>
        </row>
        <row r="673">
          <cell r="C673" t="str">
            <v>96408152SSS003443</v>
          </cell>
          <cell r="D673">
            <v>1448020880</v>
          </cell>
          <cell r="I673" t="str">
            <v>PRÓPRIO</v>
          </cell>
          <cell r="K673" t="str">
            <v>Verificar</v>
          </cell>
          <cell r="L673" t="e">
            <v>#N/A</v>
          </cell>
          <cell r="M673" t="e">
            <v>#N/A</v>
          </cell>
        </row>
        <row r="674">
          <cell r="C674" t="str">
            <v>96408152SSS003442</v>
          </cell>
          <cell r="D674">
            <v>1448007744</v>
          </cell>
          <cell r="I674" t="str">
            <v>PRÓPRIO</v>
          </cell>
          <cell r="K674" t="str">
            <v>Verificar</v>
          </cell>
          <cell r="L674" t="e">
            <v>#N/A</v>
          </cell>
          <cell r="M674" t="e">
            <v>#N/A</v>
          </cell>
        </row>
        <row r="675">
          <cell r="C675" t="str">
            <v>96408152SSS003441</v>
          </cell>
          <cell r="D675">
            <v>1447991882</v>
          </cell>
          <cell r="I675" t="str">
            <v>PRÓPRIO</v>
          </cell>
          <cell r="K675" t="str">
            <v>Verificar</v>
          </cell>
          <cell r="L675" t="e">
            <v>#N/A</v>
          </cell>
          <cell r="M675" t="e">
            <v>#N/A</v>
          </cell>
        </row>
        <row r="676">
          <cell r="C676" t="str">
            <v>96408152SSS003440</v>
          </cell>
          <cell r="D676">
            <v>1447975518</v>
          </cell>
          <cell r="I676" t="str">
            <v>PRÓPRIO</v>
          </cell>
          <cell r="K676" t="str">
            <v>Verificar</v>
          </cell>
          <cell r="L676" t="e">
            <v>#N/A</v>
          </cell>
          <cell r="M676" t="e">
            <v>#N/A</v>
          </cell>
        </row>
        <row r="677">
          <cell r="C677" t="str">
            <v>96408152SSS003439</v>
          </cell>
          <cell r="D677">
            <v>1447788629</v>
          </cell>
          <cell r="I677" t="str">
            <v>PRÓPRIO</v>
          </cell>
          <cell r="K677" t="str">
            <v>Verificar</v>
          </cell>
          <cell r="L677" t="e">
            <v>#N/A</v>
          </cell>
          <cell r="M677" t="e">
            <v>#N/A</v>
          </cell>
        </row>
        <row r="678">
          <cell r="C678" t="str">
            <v>96408152SSS003438</v>
          </cell>
          <cell r="D678">
            <v>1448135319</v>
          </cell>
          <cell r="I678" t="str">
            <v>PRÓPRIO</v>
          </cell>
          <cell r="K678" t="str">
            <v>Verificar</v>
          </cell>
          <cell r="L678" t="e">
            <v>#N/A</v>
          </cell>
          <cell r="M678" t="e">
            <v>#N/A</v>
          </cell>
        </row>
        <row r="679">
          <cell r="C679" t="str">
            <v>96408152SSS003449</v>
          </cell>
          <cell r="D679">
            <v>1451918698</v>
          </cell>
          <cell r="I679" t="str">
            <v>PRÓPRIO</v>
          </cell>
          <cell r="K679" t="str">
            <v>Verificar</v>
          </cell>
          <cell r="L679" t="e">
            <v>#N/A</v>
          </cell>
          <cell r="M679" t="e">
            <v>#N/A</v>
          </cell>
        </row>
        <row r="680">
          <cell r="C680" t="str">
            <v>96408152SSS003450</v>
          </cell>
          <cell r="D680">
            <v>1451919872</v>
          </cell>
          <cell r="I680" t="str">
            <v>PRÓPRIO</v>
          </cell>
          <cell r="K680" t="str">
            <v>Verificar</v>
          </cell>
          <cell r="L680" t="e">
            <v>#N/A</v>
          </cell>
          <cell r="M680" t="e">
            <v>#N/A</v>
          </cell>
        </row>
        <row r="681">
          <cell r="C681" t="str">
            <v>96408152SSS003452</v>
          </cell>
          <cell r="D681">
            <v>1451941053</v>
          </cell>
          <cell r="I681" t="str">
            <v>PRÓPRIO</v>
          </cell>
          <cell r="K681" t="str">
            <v>Verificar</v>
          </cell>
          <cell r="L681" t="e">
            <v>#N/A</v>
          </cell>
          <cell r="M681" t="e">
            <v>#N/A</v>
          </cell>
        </row>
        <row r="682">
          <cell r="C682" t="str">
            <v>96408152SSS003454</v>
          </cell>
          <cell r="D682">
            <v>1451921168</v>
          </cell>
          <cell r="I682" t="str">
            <v>PRÓPRIO</v>
          </cell>
          <cell r="K682" t="str">
            <v>Verificar</v>
          </cell>
          <cell r="L682" t="e">
            <v>#N/A</v>
          </cell>
          <cell r="M682" t="e">
            <v>#N/A</v>
          </cell>
        </row>
        <row r="683">
          <cell r="C683" t="str">
            <v>96408152SSS003456</v>
          </cell>
          <cell r="D683">
            <v>1453865656</v>
          </cell>
          <cell r="I683" t="str">
            <v>PRÓPRIO</v>
          </cell>
          <cell r="K683" t="str">
            <v>Verificar</v>
          </cell>
          <cell r="L683" t="e">
            <v>#N/A</v>
          </cell>
          <cell r="M683" t="e">
            <v>#N/A</v>
          </cell>
        </row>
        <row r="684">
          <cell r="C684" t="str">
            <v>95388XZZ1LE002462</v>
          </cell>
          <cell r="D684">
            <v>1234684397</v>
          </cell>
          <cell r="I684" t="str">
            <v>PRÓPRIO</v>
          </cell>
          <cell r="K684" t="str">
            <v>Verificar</v>
          </cell>
          <cell r="L684" t="e">
            <v>#N/A</v>
          </cell>
          <cell r="M684" t="e">
            <v>#N/A</v>
          </cell>
        </row>
        <row r="685">
          <cell r="C685" t="str">
            <v>95388XZZ8LE002507</v>
          </cell>
          <cell r="D685">
            <v>1234684109</v>
          </cell>
          <cell r="I685" t="str">
            <v>PRÓPRIO</v>
          </cell>
          <cell r="K685" t="str">
            <v>Verificar</v>
          </cell>
          <cell r="L685" t="e">
            <v>#N/A</v>
          </cell>
          <cell r="M685" t="e">
            <v>#N/A</v>
          </cell>
        </row>
        <row r="686">
          <cell r="C686" t="str">
            <v>98PTS47MSJB103580</v>
          </cell>
          <cell r="D686">
            <v>1158693262</v>
          </cell>
          <cell r="I686" t="str">
            <v>PRÓPRIO</v>
          </cell>
          <cell r="K686" t="str">
            <v>Verificar</v>
          </cell>
          <cell r="L686" t="e">
            <v>#N/A</v>
          </cell>
          <cell r="M686" t="e">
            <v>#N/A</v>
          </cell>
        </row>
        <row r="687">
          <cell r="C687" t="str">
            <v>98PTS47MSJB103587</v>
          </cell>
          <cell r="D687">
            <v>1158692894</v>
          </cell>
          <cell r="I687" t="str">
            <v>PRÓPRIO</v>
          </cell>
          <cell r="K687" t="str">
            <v>Verificar</v>
          </cell>
          <cell r="L687" t="e">
            <v>#N/A</v>
          </cell>
          <cell r="M687" t="e">
            <v>#N/A</v>
          </cell>
        </row>
        <row r="688">
          <cell r="C688" t="str">
            <v>98PTS47MSJB104481</v>
          </cell>
          <cell r="D688">
            <v>1164879488</v>
          </cell>
          <cell r="I688" t="str">
            <v>PRÓPRIO</v>
          </cell>
          <cell r="K688" t="str">
            <v>Verificar</v>
          </cell>
          <cell r="L688" t="e">
            <v>#N/A</v>
          </cell>
          <cell r="M688" t="e">
            <v>#N/A</v>
          </cell>
        </row>
        <row r="689">
          <cell r="C689" t="str">
            <v>9BVRG20C7JE850861</v>
          </cell>
          <cell r="D689">
            <v>1140075630</v>
          </cell>
          <cell r="I689" t="str">
            <v>PRÓPRIO</v>
          </cell>
          <cell r="K689" t="str">
            <v>Verificar</v>
          </cell>
          <cell r="L689" t="e">
            <v>#N/A</v>
          </cell>
          <cell r="M689" t="e">
            <v>#N/A</v>
          </cell>
        </row>
        <row r="690">
          <cell r="C690" t="str">
            <v>9BVRG20C9HE842834</v>
          </cell>
          <cell r="D690" t="str">
            <v>1106473849</v>
          </cell>
          <cell r="I690" t="str">
            <v>PRÓPRIO</v>
          </cell>
          <cell r="K690" t="str">
            <v>Verificar</v>
          </cell>
          <cell r="L690" t="e">
            <v>#N/A</v>
          </cell>
          <cell r="M690" t="e">
            <v>#N/A</v>
          </cell>
        </row>
        <row r="691">
          <cell r="C691" t="str">
            <v>9BVAN60A95E713582</v>
          </cell>
          <cell r="D691" t="str">
            <v>00871477475</v>
          </cell>
          <cell r="I691" t="str">
            <v>PRÓPRIO</v>
          </cell>
          <cell r="K691" t="str">
            <v>Verificar</v>
          </cell>
          <cell r="L691" t="e">
            <v>#N/A</v>
          </cell>
          <cell r="M691" t="e">
            <v>#N/A</v>
          </cell>
        </row>
        <row r="692">
          <cell r="C692" t="str">
            <v>9BVAG1O4DE797634</v>
          </cell>
          <cell r="D692" t="str">
            <v>00524528101</v>
          </cell>
          <cell r="I692" t="str">
            <v>PRÓPRIO</v>
          </cell>
          <cell r="K692" t="str">
            <v>Verificar</v>
          </cell>
          <cell r="L692" t="e">
            <v>#N/A</v>
          </cell>
          <cell r="M692" t="e">
            <v>#N/A</v>
          </cell>
        </row>
        <row r="693">
          <cell r="C693" t="str">
            <v>9BVRG20C4JE850813</v>
          </cell>
          <cell r="D693">
            <v>1140077535</v>
          </cell>
          <cell r="I693" t="str">
            <v>PRÓPRIO</v>
          </cell>
          <cell r="K693" t="str">
            <v>Verificar</v>
          </cell>
          <cell r="L693" t="e">
            <v>#N/A</v>
          </cell>
          <cell r="M693" t="e">
            <v>#N/A</v>
          </cell>
        </row>
        <row r="694">
          <cell r="C694" t="str">
            <v>9BVRG20CXJE850815</v>
          </cell>
          <cell r="D694">
            <v>1140076369</v>
          </cell>
          <cell r="I694" t="str">
            <v>PRÓPRIO</v>
          </cell>
          <cell r="K694" t="str">
            <v>Verificar</v>
          </cell>
          <cell r="L694" t="e">
            <v>#N/A</v>
          </cell>
          <cell r="M694" t="e">
            <v>#N/A</v>
          </cell>
        </row>
        <row r="695">
          <cell r="C695" t="str">
            <v>9536R8279PR008821 </v>
          </cell>
          <cell r="D695" t="str">
            <v> 01304324130</v>
          </cell>
          <cell r="I695" t="str">
            <v>DE NIGRIS</v>
          </cell>
          <cell r="K695" t="str">
            <v>Verificar</v>
          </cell>
          <cell r="L695" t="e">
            <v>#N/A</v>
          </cell>
          <cell r="M695" t="e">
            <v>#N/A</v>
          </cell>
        </row>
        <row r="696">
          <cell r="C696" t="str">
            <v>9536R827XNR007383</v>
          </cell>
          <cell r="D696">
            <v>1267869981</v>
          </cell>
          <cell r="I696" t="str">
            <v>DE NIGRIS</v>
          </cell>
          <cell r="K696" t="str">
            <v>Verificar</v>
          </cell>
          <cell r="L696" t="e">
            <v>#N/A</v>
          </cell>
          <cell r="M696" t="e">
            <v>#N/A</v>
          </cell>
        </row>
        <row r="697">
          <cell r="C697" t="str">
            <v>9536R8276PR007626 </v>
          </cell>
          <cell r="D697" t="str">
            <v>01294099245 </v>
          </cell>
          <cell r="I697" t="str">
            <v>DE NIGRIS</v>
          </cell>
          <cell r="K697" t="str">
            <v>Verificar</v>
          </cell>
          <cell r="L697" t="e">
            <v>#N/A</v>
          </cell>
          <cell r="M697" t="e">
            <v>#N/A</v>
          </cell>
        </row>
        <row r="698">
          <cell r="C698" t="str">
            <v>9536R8276PR007626 </v>
          </cell>
          <cell r="D698" t="str">
            <v>01294382818 </v>
          </cell>
          <cell r="I698" t="str">
            <v>DE NIGRIS</v>
          </cell>
          <cell r="K698" t="str">
            <v>Verificar</v>
          </cell>
          <cell r="L698" t="e">
            <v>#N/A</v>
          </cell>
          <cell r="M698" t="e">
            <v>#N/A</v>
          </cell>
        </row>
        <row r="699">
          <cell r="C699" t="str">
            <v>9536R8278PR006283</v>
          </cell>
          <cell r="D699" t="str">
            <v>01294382818</v>
          </cell>
          <cell r="I699" t="str">
            <v>DE NIGRIS</v>
          </cell>
          <cell r="K699" t="str">
            <v>Verificar</v>
          </cell>
          <cell r="L699" t="e">
            <v>#N/A</v>
          </cell>
          <cell r="M699" t="e">
            <v>#N/A</v>
          </cell>
        </row>
        <row r="700">
          <cell r="C700" t="str">
            <v>9536R8271PR006335 </v>
          </cell>
          <cell r="D700" t="str">
            <v>01294095720 </v>
          </cell>
          <cell r="I700" t="str">
            <v>DE NIGRIS</v>
          </cell>
          <cell r="K700" t="str">
            <v>Verificar</v>
          </cell>
          <cell r="L700" t="e">
            <v>#N/A</v>
          </cell>
          <cell r="M700" t="e">
            <v>#N/A</v>
          </cell>
        </row>
        <row r="701">
          <cell r="C701" t="str">
            <v>9536R8272PR006120 </v>
          </cell>
          <cell r="D701" t="str">
            <v>01294389715</v>
          </cell>
          <cell r="I701" t="str">
            <v>DE NIGRIS</v>
          </cell>
          <cell r="K701" t="str">
            <v>Verificar</v>
          </cell>
          <cell r="L701" t="e">
            <v>#N/A</v>
          </cell>
          <cell r="M701" t="e">
            <v>#N/A</v>
          </cell>
        </row>
        <row r="702">
          <cell r="C702" t="str">
            <v>9536R8279NR014521</v>
          </cell>
          <cell r="D702">
            <v>1263252211</v>
          </cell>
          <cell r="I702" t="str">
            <v>DE NIGRIS</v>
          </cell>
          <cell r="K702" t="str">
            <v>Verificar</v>
          </cell>
          <cell r="L702" t="e">
            <v>#N/A</v>
          </cell>
          <cell r="M702" t="e">
            <v>#N/A</v>
          </cell>
        </row>
        <row r="703">
          <cell r="C703" t="str">
            <v>9536R8273NR019486</v>
          </cell>
          <cell r="D703">
            <v>1266955779</v>
          </cell>
          <cell r="I703" t="str">
            <v>DE NIGRIS</v>
          </cell>
          <cell r="K703" t="str">
            <v>Verificar</v>
          </cell>
          <cell r="L703" t="e">
            <v>#N/A</v>
          </cell>
          <cell r="M703" t="e">
            <v>#N/A</v>
          </cell>
        </row>
        <row r="704">
          <cell r="C704" t="str">
            <v>9536R8278NR019838</v>
          </cell>
          <cell r="D704">
            <v>1266609692</v>
          </cell>
          <cell r="I704" t="str">
            <v>DE NIGRIS</v>
          </cell>
          <cell r="K704" t="str">
            <v>Verificar</v>
          </cell>
          <cell r="L704" t="e">
            <v>#N/A</v>
          </cell>
          <cell r="M704" t="e">
            <v>#N/A</v>
          </cell>
        </row>
        <row r="705">
          <cell r="C705" t="str">
            <v>9536R827XNR006136</v>
          </cell>
          <cell r="D705">
            <v>1256441101</v>
          </cell>
          <cell r="I705" t="str">
            <v>DE NIGRIS</v>
          </cell>
          <cell r="K705" t="str">
            <v>Verificar</v>
          </cell>
          <cell r="L705" t="e">
            <v>#N/A</v>
          </cell>
          <cell r="M705" t="e">
            <v>#N/A</v>
          </cell>
        </row>
        <row r="706">
          <cell r="C706" t="str">
            <v>9536R8273PR005588 </v>
          </cell>
          <cell r="D706" t="str">
            <v>01293126699 </v>
          </cell>
          <cell r="I706" t="str">
            <v>DE NIGRIS</v>
          </cell>
          <cell r="K706" t="str">
            <v>Verificar</v>
          </cell>
          <cell r="L706" t="e">
            <v>#N/A</v>
          </cell>
          <cell r="M706" t="e">
            <v>#N/A</v>
          </cell>
        </row>
        <row r="707">
          <cell r="C707" t="str">
            <v>9536R8273NR006981</v>
          </cell>
          <cell r="D707">
            <v>1258647327</v>
          </cell>
          <cell r="I707" t="str">
            <v>DE NIGRIS</v>
          </cell>
          <cell r="K707" t="str">
            <v>Verificar</v>
          </cell>
          <cell r="L707" t="e">
            <v>#N/A</v>
          </cell>
          <cell r="M707" t="e">
            <v>#N/A</v>
          </cell>
        </row>
        <row r="708">
          <cell r="C708" t="str">
            <v>9536R8279PR003585 </v>
          </cell>
          <cell r="D708" t="str">
            <v> 01315823982</v>
          </cell>
          <cell r="I708" t="str">
            <v>DE NIGRIS</v>
          </cell>
          <cell r="K708" t="str">
            <v>Verificar</v>
          </cell>
          <cell r="L708" t="e">
            <v>#N/A</v>
          </cell>
          <cell r="M708" t="e">
            <v>#N/A</v>
          </cell>
        </row>
        <row r="709">
          <cell r="I709" t="str">
            <v>DE NIGRIS</v>
          </cell>
          <cell r="L709" t="e">
            <v>#N/A</v>
          </cell>
          <cell r="M709" t="str">
            <v>FMS09</v>
          </cell>
        </row>
        <row r="710">
          <cell r="I710" t="str">
            <v>DE NIGRIS</v>
          </cell>
          <cell r="L710" t="e">
            <v>#N/A</v>
          </cell>
          <cell r="M710" t="str">
            <v>FMS09</v>
          </cell>
        </row>
        <row r="711">
          <cell r="I711" t="str">
            <v>DE NIGRIS</v>
          </cell>
          <cell r="L711" t="e">
            <v>#N/A</v>
          </cell>
          <cell r="M711" t="str">
            <v>FMS09</v>
          </cell>
        </row>
        <row r="712">
          <cell r="I712" t="str">
            <v>DE NIGRIS</v>
          </cell>
          <cell r="L712" t="e">
            <v>#N/A</v>
          </cell>
          <cell r="M712" t="str">
            <v>FMS09</v>
          </cell>
        </row>
        <row r="713">
          <cell r="I713" t="str">
            <v>DE NIGRIS</v>
          </cell>
          <cell r="L713" t="e">
            <v>#N/A</v>
          </cell>
          <cell r="M713" t="str">
            <v>FMS09</v>
          </cell>
        </row>
        <row r="714">
          <cell r="I714" t="str">
            <v>DE NIGRIS</v>
          </cell>
          <cell r="L714" t="e">
            <v>#N/A</v>
          </cell>
          <cell r="M714" t="str">
            <v>FMS09</v>
          </cell>
        </row>
        <row r="715">
          <cell r="I715" t="str">
            <v>DE NIGRIS</v>
          </cell>
          <cell r="L715" t="e">
            <v>#N/A</v>
          </cell>
          <cell r="M715" t="str">
            <v>FMS09</v>
          </cell>
        </row>
        <row r="716">
          <cell r="I716" t="str">
            <v>DE NIGRIS</v>
          </cell>
          <cell r="L716" t="e">
            <v>#N/A</v>
          </cell>
          <cell r="M716" t="str">
            <v>FMS09</v>
          </cell>
        </row>
        <row r="717">
          <cell r="I717" t="str">
            <v>DE NIGRIS</v>
          </cell>
          <cell r="L717" t="e">
            <v>#N/A</v>
          </cell>
          <cell r="M717" t="str">
            <v>FMS09</v>
          </cell>
        </row>
        <row r="718">
          <cell r="I718" t="str">
            <v>DE NIGRIS</v>
          </cell>
          <cell r="L718" t="e">
            <v>#N/A</v>
          </cell>
          <cell r="M718" t="str">
            <v>FMS09</v>
          </cell>
        </row>
        <row r="719">
          <cell r="I719" t="str">
            <v>DE NIGRIS</v>
          </cell>
          <cell r="L719" t="e">
            <v>#N/A</v>
          </cell>
          <cell r="M719" t="str">
            <v>FMS09</v>
          </cell>
        </row>
        <row r="720">
          <cell r="I720" t="str">
            <v>DE NIGRIS</v>
          </cell>
          <cell r="L720" t="e">
            <v>#N/A</v>
          </cell>
          <cell r="M720" t="str">
            <v>GP01</v>
          </cell>
        </row>
        <row r="721">
          <cell r="I721" t="str">
            <v>DE NIGRIS</v>
          </cell>
          <cell r="L721" t="e">
            <v>#N/A</v>
          </cell>
          <cell r="M721" t="str">
            <v>GP01</v>
          </cell>
        </row>
        <row r="722">
          <cell r="I722" t="str">
            <v>DE NIGRIS</v>
          </cell>
          <cell r="L722" t="e">
            <v>#N/A</v>
          </cell>
          <cell r="M722" t="str">
            <v>GP02</v>
          </cell>
        </row>
        <row r="723">
          <cell r="I723" t="str">
            <v>DE NIGRIS</v>
          </cell>
          <cell r="L723" t="e">
            <v>#N/A</v>
          </cell>
          <cell r="M723" t="str">
            <v>GP01</v>
          </cell>
        </row>
        <row r="724">
          <cell r="I724" t="str">
            <v>DE NIGRIS</v>
          </cell>
          <cell r="L724" t="e">
            <v>#N/A</v>
          </cell>
          <cell r="M724" t="str">
            <v>GP01</v>
          </cell>
        </row>
        <row r="725">
          <cell r="I725" t="str">
            <v>DE NIGRIS</v>
          </cell>
          <cell r="L725" t="e">
            <v>#N/A</v>
          </cell>
          <cell r="M725" t="str">
            <v>GP01</v>
          </cell>
        </row>
        <row r="726">
          <cell r="I726" t="str">
            <v>DE NIGRIS</v>
          </cell>
          <cell r="L726" t="e">
            <v>#N/A</v>
          </cell>
          <cell r="M726" t="str">
            <v>GP01</v>
          </cell>
        </row>
        <row r="727">
          <cell r="I727" t="str">
            <v>DE NIGRIS</v>
          </cell>
          <cell r="L727" t="e">
            <v>#N/A</v>
          </cell>
          <cell r="M727" t="str">
            <v>GP01</v>
          </cell>
        </row>
        <row r="728">
          <cell r="I728" t="str">
            <v>DE NIGRIS</v>
          </cell>
          <cell r="L728" t="e">
            <v>#N/A</v>
          </cell>
          <cell r="M728" t="str">
            <v>GP01</v>
          </cell>
        </row>
        <row r="729">
          <cell r="I729" t="str">
            <v>DE NIGRIS</v>
          </cell>
          <cell r="L729" t="e">
            <v>#N/A</v>
          </cell>
          <cell r="M729" t="str">
            <v>GP01</v>
          </cell>
        </row>
        <row r="730">
          <cell r="I730" t="str">
            <v>DE NIGRIS</v>
          </cell>
          <cell r="L730" t="e">
            <v>#N/A</v>
          </cell>
          <cell r="M730" t="str">
            <v>GP01</v>
          </cell>
        </row>
        <row r="731">
          <cell r="I731" t="str">
            <v>DE NIGRIS</v>
          </cell>
          <cell r="L731" t="e">
            <v>#N/A</v>
          </cell>
          <cell r="M731" t="str">
            <v>GP01</v>
          </cell>
        </row>
        <row r="732">
          <cell r="I732" t="str">
            <v>DE NIGRIS</v>
          </cell>
          <cell r="L732" t="e">
            <v>#N/A</v>
          </cell>
          <cell r="M732" t="str">
            <v>GP01</v>
          </cell>
        </row>
        <row r="733">
          <cell r="I733" t="str">
            <v>DE NIGRIS</v>
          </cell>
          <cell r="L733" t="e">
            <v>#N/A</v>
          </cell>
          <cell r="M733" t="str">
            <v>GP01</v>
          </cell>
        </row>
        <row r="734">
          <cell r="I734" t="str">
            <v>DE NIGRIS</v>
          </cell>
          <cell r="L734" t="e">
            <v>#N/A</v>
          </cell>
          <cell r="M734" t="str">
            <v>GP01</v>
          </cell>
        </row>
        <row r="735">
          <cell r="I735" t="str">
            <v>DE NIGRIS</v>
          </cell>
          <cell r="L735" t="e">
            <v>#N/A</v>
          </cell>
          <cell r="M735" t="str">
            <v>GP01</v>
          </cell>
        </row>
        <row r="736">
          <cell r="I736" t="str">
            <v>DE NIGRIS</v>
          </cell>
          <cell r="L736" t="e">
            <v>#N/A</v>
          </cell>
          <cell r="M736" t="str">
            <v>GP02</v>
          </cell>
        </row>
        <row r="737">
          <cell r="I737" t="str">
            <v>DE NIGRIS</v>
          </cell>
          <cell r="L737" t="e">
            <v>#N/A</v>
          </cell>
          <cell r="M737" t="str">
            <v>GP02</v>
          </cell>
        </row>
        <row r="738">
          <cell r="I738" t="str">
            <v>DE NIGRIS</v>
          </cell>
          <cell r="L738" t="e">
            <v>#N/A</v>
          </cell>
          <cell r="M738" t="str">
            <v>GP03</v>
          </cell>
        </row>
        <row r="739">
          <cell r="I739" t="str">
            <v>DE NIGRIS</v>
          </cell>
          <cell r="L739" t="e">
            <v>#N/A</v>
          </cell>
          <cell r="M739" t="str">
            <v>GP01</v>
          </cell>
        </row>
        <row r="740">
          <cell r="I740" t="str">
            <v>DE NIGRIS</v>
          </cell>
          <cell r="L740" t="e">
            <v>#N/A</v>
          </cell>
          <cell r="M740" t="str">
            <v>GP02</v>
          </cell>
        </row>
        <row r="741">
          <cell r="I741" t="str">
            <v>DE NIGRIS</v>
          </cell>
          <cell r="L741" t="e">
            <v>#N/A</v>
          </cell>
          <cell r="M741" t="str">
            <v>GP01</v>
          </cell>
        </row>
        <row r="742">
          <cell r="I742" t="str">
            <v>DE NIGRIS</v>
          </cell>
          <cell r="L742" t="e">
            <v>#N/A</v>
          </cell>
          <cell r="M742" t="str">
            <v>GP03</v>
          </cell>
        </row>
        <row r="743">
          <cell r="I743" t="str">
            <v>DE NIGRIS</v>
          </cell>
          <cell r="L743" t="e">
            <v>#N/A</v>
          </cell>
          <cell r="M743" t="str">
            <v>GP02</v>
          </cell>
        </row>
        <row r="744">
          <cell r="I744" t="str">
            <v>DE NIGRIS</v>
          </cell>
          <cell r="L744" t="e">
            <v>#N/A</v>
          </cell>
          <cell r="M744" t="str">
            <v>GP02</v>
          </cell>
        </row>
        <row r="745">
          <cell r="I745" t="str">
            <v>DE NIGRIS</v>
          </cell>
          <cell r="L745" t="e">
            <v>#N/A</v>
          </cell>
          <cell r="M745" t="str">
            <v>GP02</v>
          </cell>
        </row>
        <row r="746">
          <cell r="I746" t="str">
            <v>DE NIGRIS</v>
          </cell>
          <cell r="L746" t="e">
            <v>#N/A</v>
          </cell>
          <cell r="M746" t="str">
            <v>GP02</v>
          </cell>
        </row>
        <row r="747">
          <cell r="I747" t="str">
            <v>DE NIGRIS</v>
          </cell>
          <cell r="L747" t="e">
            <v>#N/A</v>
          </cell>
          <cell r="M747" t="str">
            <v>GP02</v>
          </cell>
        </row>
        <row r="748">
          <cell r="I748" t="str">
            <v>DE NIGRIS</v>
          </cell>
          <cell r="L748" t="e">
            <v>#N/A</v>
          </cell>
          <cell r="M748" t="str">
            <v>GP02</v>
          </cell>
        </row>
        <row r="749">
          <cell r="I749" t="str">
            <v>DE NIGRIS</v>
          </cell>
          <cell r="L749" t="e">
            <v>#N/A</v>
          </cell>
          <cell r="M749" t="str">
            <v>GP02</v>
          </cell>
        </row>
        <row r="750">
          <cell r="I750" t="str">
            <v>DE NIGRIS</v>
          </cell>
          <cell r="L750" t="e">
            <v>#N/A</v>
          </cell>
          <cell r="M750" t="str">
            <v>GP02</v>
          </cell>
        </row>
        <row r="751">
          <cell r="I751" t="str">
            <v>DE NIGRIS</v>
          </cell>
          <cell r="L751" t="e">
            <v>#N/A</v>
          </cell>
          <cell r="M751" t="str">
            <v>GP02</v>
          </cell>
        </row>
        <row r="752">
          <cell r="I752" t="str">
            <v>DE NIGRIS</v>
          </cell>
          <cell r="L752" t="e">
            <v>#N/A</v>
          </cell>
          <cell r="M752" t="str">
            <v>GP02</v>
          </cell>
        </row>
        <row r="753">
          <cell r="I753" t="str">
            <v>DE NIGRIS</v>
          </cell>
          <cell r="L753" t="e">
            <v>#N/A</v>
          </cell>
          <cell r="M753" t="str">
            <v>GP02</v>
          </cell>
        </row>
        <row r="754">
          <cell r="I754" t="str">
            <v>DE NIGRIS</v>
          </cell>
          <cell r="L754" t="e">
            <v>#N/A</v>
          </cell>
          <cell r="M754" t="str">
            <v>GP02</v>
          </cell>
        </row>
        <row r="755">
          <cell r="I755" t="str">
            <v>DE NIGRIS</v>
          </cell>
          <cell r="L755" t="e">
            <v>#N/A</v>
          </cell>
          <cell r="M755" t="str">
            <v>GP02</v>
          </cell>
        </row>
        <row r="756">
          <cell r="I756" t="str">
            <v>DE NIGRIS</v>
          </cell>
          <cell r="L756" t="e">
            <v>#N/A</v>
          </cell>
          <cell r="M756" t="str">
            <v>GP02</v>
          </cell>
        </row>
        <row r="757">
          <cell r="I757" t="str">
            <v>DE NIGRIS</v>
          </cell>
          <cell r="L757" t="e">
            <v>#N/A</v>
          </cell>
          <cell r="M757" t="str">
            <v>GP03</v>
          </cell>
        </row>
        <row r="758">
          <cell r="I758" t="str">
            <v>DE NIGRIS</v>
          </cell>
          <cell r="L758" t="e">
            <v>#N/A</v>
          </cell>
          <cell r="M758" t="str">
            <v>GP02</v>
          </cell>
        </row>
        <row r="759">
          <cell r="I759" t="str">
            <v>DE NIGRIS</v>
          </cell>
          <cell r="L759" t="e">
            <v>#N/A</v>
          </cell>
          <cell r="M759" t="str">
            <v>GP03</v>
          </cell>
        </row>
        <row r="760">
          <cell r="I760" t="str">
            <v>DE NIGRIS</v>
          </cell>
          <cell r="L760" t="e">
            <v>#N/A</v>
          </cell>
          <cell r="M760" t="str">
            <v>GP03</v>
          </cell>
        </row>
        <row r="761">
          <cell r="I761" t="str">
            <v>DE NIGRIS</v>
          </cell>
          <cell r="L761" t="e">
            <v>#N/A</v>
          </cell>
          <cell r="M761" t="str">
            <v>GP03</v>
          </cell>
        </row>
        <row r="762">
          <cell r="I762" t="str">
            <v>DE NIGRIS</v>
          </cell>
          <cell r="L762" t="e">
            <v>#N/A</v>
          </cell>
          <cell r="M762" t="str">
            <v>GP03</v>
          </cell>
        </row>
        <row r="763">
          <cell r="I763" t="str">
            <v>DE NIGRIS</v>
          </cell>
          <cell r="L763" t="e">
            <v>#N/A</v>
          </cell>
          <cell r="M763" t="str">
            <v>GP03</v>
          </cell>
        </row>
        <row r="764">
          <cell r="I764" t="str">
            <v>DE NIGRIS</v>
          </cell>
          <cell r="L764" t="e">
            <v>#N/A</v>
          </cell>
          <cell r="M764" t="str">
            <v>GP03</v>
          </cell>
        </row>
        <row r="765">
          <cell r="I765" t="str">
            <v>DE NIGRIS</v>
          </cell>
          <cell r="L765" t="e">
            <v>#N/A</v>
          </cell>
          <cell r="M765" t="str">
            <v>GP02</v>
          </cell>
        </row>
        <row r="766">
          <cell r="I766" t="str">
            <v>DE NIGRIS</v>
          </cell>
          <cell r="L766" t="e">
            <v>#N/A</v>
          </cell>
          <cell r="M766" t="str">
            <v>GP03</v>
          </cell>
        </row>
        <row r="767">
          <cell r="I767" t="str">
            <v>DE NIGRIS</v>
          </cell>
          <cell r="L767" t="e">
            <v>#N/A</v>
          </cell>
          <cell r="M767" t="str">
            <v>GP03</v>
          </cell>
        </row>
        <row r="768">
          <cell r="I768" t="str">
            <v>DE NIGRIS</v>
          </cell>
          <cell r="L768" t="e">
            <v>#N/A</v>
          </cell>
          <cell r="M768" t="str">
            <v>OXXO1</v>
          </cell>
        </row>
        <row r="769">
          <cell r="I769" t="str">
            <v>DE NIGRIS</v>
          </cell>
          <cell r="L769" t="e">
            <v>#N/A</v>
          </cell>
          <cell r="M769" t="str">
            <v>OXXO1</v>
          </cell>
        </row>
        <row r="770">
          <cell r="I770" t="str">
            <v>DE NIGRIS</v>
          </cell>
          <cell r="L770" t="e">
            <v>#N/A</v>
          </cell>
          <cell r="M770" t="str">
            <v>OXXO1</v>
          </cell>
        </row>
        <row r="771">
          <cell r="I771" t="str">
            <v>DE NIGRIS</v>
          </cell>
          <cell r="L771" t="e">
            <v>#N/A</v>
          </cell>
          <cell r="M771" t="str">
            <v>OXXO1</v>
          </cell>
        </row>
        <row r="772">
          <cell r="I772" t="str">
            <v>DE NIGRIS</v>
          </cell>
          <cell r="L772" t="e">
            <v>#N/A</v>
          </cell>
          <cell r="M772" t="str">
            <v>OXXO1</v>
          </cell>
        </row>
        <row r="773">
          <cell r="I773" t="str">
            <v>DE NIGRIS</v>
          </cell>
          <cell r="L773" t="e">
            <v>#N/A</v>
          </cell>
          <cell r="M773" t="str">
            <v>OXXO1</v>
          </cell>
        </row>
        <row r="774">
          <cell r="I774" t="str">
            <v>DE NIGRIS</v>
          </cell>
          <cell r="L774" t="e">
            <v>#N/A</v>
          </cell>
          <cell r="M774" t="str">
            <v>OXXO1</v>
          </cell>
        </row>
        <row r="775">
          <cell r="I775" t="str">
            <v>DE NIGRIS</v>
          </cell>
          <cell r="L775" t="e">
            <v>#N/A</v>
          </cell>
          <cell r="M775" t="str">
            <v>SSC5</v>
          </cell>
        </row>
        <row r="776">
          <cell r="I776" t="str">
            <v>DE NIGRIS</v>
          </cell>
          <cell r="L776" t="e">
            <v>#N/A</v>
          </cell>
          <cell r="M776" t="str">
            <v>SSP14</v>
          </cell>
        </row>
        <row r="777">
          <cell r="I777" t="str">
            <v>DE NIGRIS</v>
          </cell>
          <cell r="L777" t="e">
            <v>#N/A</v>
          </cell>
          <cell r="M777" t="str">
            <v>SSP14</v>
          </cell>
        </row>
        <row r="778">
          <cell r="I778" t="str">
            <v>DE NIGRIS</v>
          </cell>
          <cell r="L778" t="e">
            <v>#N/A</v>
          </cell>
          <cell r="M778" t="str">
            <v>SSC5</v>
          </cell>
        </row>
        <row r="779">
          <cell r="I779" t="str">
            <v>DE NIGRIS</v>
          </cell>
          <cell r="L779" t="e">
            <v>#N/A</v>
          </cell>
          <cell r="M779" t="str">
            <v>SSC5</v>
          </cell>
        </row>
        <row r="780">
          <cell r="I780" t="str">
            <v>DE NIGRIS</v>
          </cell>
          <cell r="L780" t="e">
            <v>#N/A</v>
          </cell>
          <cell r="M780" t="str">
            <v>SSC5</v>
          </cell>
        </row>
        <row r="781">
          <cell r="I781" t="str">
            <v>DE NIGRIS</v>
          </cell>
          <cell r="L781" t="e">
            <v>#N/A</v>
          </cell>
          <cell r="M781" t="str">
            <v>SSC2</v>
          </cell>
        </row>
        <row r="782">
          <cell r="I782" t="str">
            <v>DE NIGRIS</v>
          </cell>
          <cell r="L782" t="e">
            <v>#N/A</v>
          </cell>
          <cell r="M782" t="str">
            <v>SSC2</v>
          </cell>
        </row>
        <row r="783">
          <cell r="I783" t="str">
            <v>DE NIGRIS</v>
          </cell>
          <cell r="L783" t="e">
            <v>#N/A</v>
          </cell>
          <cell r="M783" t="str">
            <v>BRRC01</v>
          </cell>
        </row>
        <row r="784">
          <cell r="I784" t="str">
            <v>DE NIGRIS</v>
          </cell>
          <cell r="L784" t="e">
            <v>#N/A</v>
          </cell>
          <cell r="M784" t="str">
            <v>SSP27</v>
          </cell>
        </row>
        <row r="785">
          <cell r="I785" t="str">
            <v>DE NIGRIS</v>
          </cell>
          <cell r="L785" t="e">
            <v>#N/A</v>
          </cell>
          <cell r="M785" t="str">
            <v>SSP27</v>
          </cell>
        </row>
        <row r="786">
          <cell r="I786" t="str">
            <v>DE NIGRIS</v>
          </cell>
          <cell r="L786" t="e">
            <v>#N/A</v>
          </cell>
          <cell r="M786" t="str">
            <v>SSP42</v>
          </cell>
        </row>
        <row r="787">
          <cell r="I787" t="str">
            <v>DE NIGRIS</v>
          </cell>
          <cell r="L787" t="e">
            <v>#N/A</v>
          </cell>
          <cell r="M787" t="str">
            <v>SSP28</v>
          </cell>
        </row>
        <row r="788">
          <cell r="I788" t="str">
            <v>DE NIGRIS</v>
          </cell>
          <cell r="L788" t="e">
            <v>#N/A</v>
          </cell>
          <cell r="M788">
            <v>0</v>
          </cell>
        </row>
        <row r="789">
          <cell r="I789" t="str">
            <v>DE NIGRIS</v>
          </cell>
          <cell r="L789" t="e">
            <v>#N/A</v>
          </cell>
          <cell r="M789" t="str">
            <v>SSP28</v>
          </cell>
        </row>
        <row r="790">
          <cell r="I790" t="str">
            <v>DE NIGRIS</v>
          </cell>
          <cell r="L790" t="e">
            <v>#N/A</v>
          </cell>
          <cell r="M790" t="str">
            <v>SSP40</v>
          </cell>
        </row>
        <row r="791">
          <cell r="I791" t="str">
            <v>DE NIGRIS</v>
          </cell>
          <cell r="L791" t="e">
            <v>#N/A</v>
          </cell>
          <cell r="M791" t="str">
            <v>SSP40</v>
          </cell>
        </row>
        <row r="792">
          <cell r="I792" t="str">
            <v>DE NIGRIS</v>
          </cell>
          <cell r="K792" t="str">
            <v>Verificar</v>
          </cell>
          <cell r="L792" t="e">
            <v>#N/A</v>
          </cell>
          <cell r="M792" t="e">
            <v>#N/A</v>
          </cell>
        </row>
        <row r="793">
          <cell r="I793" t="str">
            <v>DE NIGRIS</v>
          </cell>
          <cell r="K793" t="str">
            <v>Verificar</v>
          </cell>
          <cell r="L793" t="e">
            <v>#N/A</v>
          </cell>
          <cell r="M793" t="e">
            <v>#N/A</v>
          </cell>
        </row>
        <row r="794">
          <cell r="I794" t="str">
            <v>DE NIGRIS</v>
          </cell>
          <cell r="K794" t="str">
            <v>Verificar</v>
          </cell>
          <cell r="L794" t="e">
            <v>#N/A</v>
          </cell>
          <cell r="M794" t="e">
            <v>#N/A</v>
          </cell>
        </row>
        <row r="795">
          <cell r="I795" t="str">
            <v>DE NIGRIS</v>
          </cell>
          <cell r="K795" t="str">
            <v>Verificar</v>
          </cell>
          <cell r="L795" t="e">
            <v>#N/A</v>
          </cell>
          <cell r="M795" t="e">
            <v>#N/A</v>
          </cell>
        </row>
        <row r="796">
          <cell r="I796" t="str">
            <v>DE NIGRIS</v>
          </cell>
          <cell r="K796" t="str">
            <v>Verificar</v>
          </cell>
          <cell r="L796" t="e">
            <v>#N/A</v>
          </cell>
          <cell r="M796" t="e">
            <v>#N/A</v>
          </cell>
        </row>
        <row r="797">
          <cell r="I797" t="str">
            <v>DE NIGRIS</v>
          </cell>
          <cell r="K797" t="str">
            <v>Verificar</v>
          </cell>
          <cell r="L797" t="e">
            <v>#N/A</v>
          </cell>
          <cell r="M797" t="e">
            <v>#N/A</v>
          </cell>
        </row>
        <row r="798">
          <cell r="I798" t="str">
            <v>DE NIGRIS</v>
          </cell>
          <cell r="K798" t="str">
            <v>Verificar</v>
          </cell>
          <cell r="L798" t="e">
            <v>#N/A</v>
          </cell>
          <cell r="M798" t="e">
            <v>#N/A</v>
          </cell>
        </row>
        <row r="799">
          <cell r="I799" t="str">
            <v>DE NIGRIS</v>
          </cell>
          <cell r="K799" t="str">
            <v>Verificar</v>
          </cell>
          <cell r="L799" t="e">
            <v>#N/A</v>
          </cell>
          <cell r="M799" t="e">
            <v>#N/A</v>
          </cell>
        </row>
        <row r="800">
          <cell r="I800" t="str">
            <v>DE NIGRIS</v>
          </cell>
          <cell r="K800" t="str">
            <v>Verificar</v>
          </cell>
          <cell r="L800" t="e">
            <v>#N/A</v>
          </cell>
          <cell r="M800" t="e">
            <v>#N/A</v>
          </cell>
        </row>
        <row r="801">
          <cell r="I801" t="str">
            <v>DE NIGRIS</v>
          </cell>
          <cell r="K801" t="str">
            <v>Verificar</v>
          </cell>
          <cell r="L801" t="e">
            <v>#N/A</v>
          </cell>
          <cell r="M801" t="e">
            <v>#N/A</v>
          </cell>
        </row>
        <row r="802">
          <cell r="I802" t="str">
            <v>DE NIGRIS</v>
          </cell>
          <cell r="K802" t="str">
            <v>Verificar</v>
          </cell>
          <cell r="L802" t="e">
            <v>#N/A</v>
          </cell>
          <cell r="M802" t="e">
            <v>#N/A</v>
          </cell>
        </row>
        <row r="803">
          <cell r="I803" t="str">
            <v>DE NIGRIS</v>
          </cell>
          <cell r="K803" t="str">
            <v>Verificar</v>
          </cell>
          <cell r="L803" t="e">
            <v>#N/A</v>
          </cell>
          <cell r="M803" t="e">
            <v>#N/A</v>
          </cell>
        </row>
        <row r="804">
          <cell r="I804" t="str">
            <v>DE NIGRIS</v>
          </cell>
          <cell r="K804" t="str">
            <v>Verificar</v>
          </cell>
          <cell r="L804" t="e">
            <v>#N/A</v>
          </cell>
          <cell r="M804" t="e">
            <v>#N/A</v>
          </cell>
        </row>
        <row r="805">
          <cell r="I805" t="str">
            <v>DE NIGRIS</v>
          </cell>
          <cell r="K805" t="str">
            <v>Verificar</v>
          </cell>
          <cell r="L805" t="e">
            <v>#N/A</v>
          </cell>
          <cell r="M805" t="e">
            <v>#N/A</v>
          </cell>
        </row>
        <row r="806">
          <cell r="I806" t="str">
            <v>DE NIGRIS</v>
          </cell>
          <cell r="K806" t="str">
            <v>Verificar</v>
          </cell>
          <cell r="L806" t="e">
            <v>#N/A</v>
          </cell>
          <cell r="M806" t="e">
            <v>#N/A</v>
          </cell>
        </row>
        <row r="807">
          <cell r="I807" t="str">
            <v>DE NIGRIS</v>
          </cell>
          <cell r="K807" t="str">
            <v>Verificar</v>
          </cell>
          <cell r="L807" t="e">
            <v>#N/A</v>
          </cell>
          <cell r="M807" t="e">
            <v>#N/A</v>
          </cell>
        </row>
        <row r="808">
          <cell r="I808" t="str">
            <v>DE NIGRIS</v>
          </cell>
          <cell r="K808" t="str">
            <v>Verificar</v>
          </cell>
          <cell r="L808" t="e">
            <v>#N/A</v>
          </cell>
          <cell r="M808" t="e">
            <v>#N/A</v>
          </cell>
        </row>
        <row r="809">
          <cell r="I809" t="str">
            <v>DE NIGRIS</v>
          </cell>
          <cell r="K809" t="str">
            <v>Verificar</v>
          </cell>
          <cell r="L809" t="e">
            <v>#N/A</v>
          </cell>
          <cell r="M809" t="e">
            <v>#N/A</v>
          </cell>
        </row>
        <row r="810">
          <cell r="I810" t="str">
            <v>DE NIGRIS</v>
          </cell>
          <cell r="K810" t="str">
            <v>Verificar</v>
          </cell>
          <cell r="L810" t="e">
            <v>#N/A</v>
          </cell>
          <cell r="M810" t="e">
            <v>#N/A</v>
          </cell>
        </row>
        <row r="811">
          <cell r="I811" t="str">
            <v>DE NIGRIS</v>
          </cell>
          <cell r="K811" t="str">
            <v>Verificar</v>
          </cell>
          <cell r="L811" t="e">
            <v>#N/A</v>
          </cell>
          <cell r="M811" t="e">
            <v>#N/A</v>
          </cell>
        </row>
        <row r="812">
          <cell r="I812" t="str">
            <v>DE NIGRIS</v>
          </cell>
          <cell r="K812" t="str">
            <v>Verificar</v>
          </cell>
          <cell r="L812" t="e">
            <v>#N/A</v>
          </cell>
          <cell r="M812" t="e">
            <v>#N/A</v>
          </cell>
        </row>
        <row r="813">
          <cell r="I813" t="str">
            <v>DE NIGRIS</v>
          </cell>
          <cell r="K813" t="str">
            <v>Verificar</v>
          </cell>
          <cell r="L813" t="e">
            <v>#N/A</v>
          </cell>
          <cell r="M813" t="e">
            <v>#N/A</v>
          </cell>
        </row>
        <row r="814">
          <cell r="I814" t="str">
            <v>DE NIGRIS</v>
          </cell>
          <cell r="K814" t="str">
            <v>Verificar</v>
          </cell>
          <cell r="L814" t="e">
            <v>#N/A</v>
          </cell>
          <cell r="M814" t="e">
            <v>#N/A</v>
          </cell>
        </row>
        <row r="815">
          <cell r="I815" t="str">
            <v>DE NIGRIS</v>
          </cell>
          <cell r="K815" t="str">
            <v>Verificar</v>
          </cell>
          <cell r="L815" t="e">
            <v>#N/A</v>
          </cell>
          <cell r="M815" t="e">
            <v>#N/A</v>
          </cell>
        </row>
        <row r="816">
          <cell r="I816" t="str">
            <v>DE NIGRIS</v>
          </cell>
          <cell r="K816" t="str">
            <v>Verificar</v>
          </cell>
          <cell r="L816" t="e">
            <v>#N/A</v>
          </cell>
          <cell r="M816" t="e">
            <v>#N/A</v>
          </cell>
        </row>
        <row r="817">
          <cell r="I817" t="str">
            <v>DE NIGRIS</v>
          </cell>
          <cell r="K817" t="str">
            <v>Verificar</v>
          </cell>
          <cell r="L817" t="e">
            <v>#N/A</v>
          </cell>
          <cell r="M817" t="e">
            <v>#N/A</v>
          </cell>
        </row>
        <row r="818">
          <cell r="I818" t="str">
            <v>DE NIGRIS</v>
          </cell>
          <cell r="K818" t="str">
            <v>Verificar</v>
          </cell>
          <cell r="L818" t="e">
            <v>#N/A</v>
          </cell>
          <cell r="M818" t="e">
            <v>#N/A</v>
          </cell>
        </row>
        <row r="819">
          <cell r="I819" t="str">
            <v>DE NIGRIS</v>
          </cell>
          <cell r="K819" t="str">
            <v>Verificar</v>
          </cell>
          <cell r="L819" t="e">
            <v>#N/A</v>
          </cell>
          <cell r="M819" t="e">
            <v>#N/A</v>
          </cell>
        </row>
        <row r="820">
          <cell r="I820" t="str">
            <v>DE NIGRIS</v>
          </cell>
          <cell r="K820" t="str">
            <v>Verificar</v>
          </cell>
          <cell r="L820" t="e">
            <v>#N/A</v>
          </cell>
          <cell r="M820" t="e">
            <v>#N/A</v>
          </cell>
        </row>
        <row r="821">
          <cell r="I821" t="str">
            <v>DE NIGRIS</v>
          </cell>
          <cell r="K821" t="str">
            <v>Verificar</v>
          </cell>
          <cell r="L821" t="e">
            <v>#N/A</v>
          </cell>
          <cell r="M821" t="e">
            <v>#N/A</v>
          </cell>
        </row>
        <row r="822">
          <cell r="I822" t="str">
            <v>DE NIGRIS</v>
          </cell>
          <cell r="K822" t="str">
            <v>Verificar</v>
          </cell>
          <cell r="L822" t="e">
            <v>#N/A</v>
          </cell>
          <cell r="M822" t="e">
            <v>#N/A</v>
          </cell>
        </row>
        <row r="823">
          <cell r="I823" t="str">
            <v>DE NIGRIS</v>
          </cell>
          <cell r="K823" t="str">
            <v>Verificar</v>
          </cell>
          <cell r="L823" t="e">
            <v>#N/A</v>
          </cell>
          <cell r="M823" t="e">
            <v>#N/A</v>
          </cell>
        </row>
        <row r="824">
          <cell r="I824" t="str">
            <v>DE NIGRIS</v>
          </cell>
          <cell r="K824" t="str">
            <v>Verificar</v>
          </cell>
          <cell r="L824" t="e">
            <v>#N/A</v>
          </cell>
          <cell r="M824" t="e">
            <v>#N/A</v>
          </cell>
        </row>
        <row r="825">
          <cell r="I825" t="str">
            <v>DE NIGRIS</v>
          </cell>
          <cell r="K825" t="str">
            <v>Verificar</v>
          </cell>
          <cell r="L825" t="e">
            <v>#N/A</v>
          </cell>
          <cell r="M825" t="e">
            <v>#N/A</v>
          </cell>
        </row>
        <row r="826">
          <cell r="I826" t="str">
            <v>DE NIGRIS</v>
          </cell>
          <cell r="K826" t="str">
            <v>Verificar</v>
          </cell>
          <cell r="L826" t="e">
            <v>#N/A</v>
          </cell>
          <cell r="M826" t="e">
            <v>#N/A</v>
          </cell>
        </row>
        <row r="827">
          <cell r="I827" t="str">
            <v>DE NIGRIS</v>
          </cell>
          <cell r="K827" t="str">
            <v>Verificar</v>
          </cell>
          <cell r="L827" t="e">
            <v>#N/A</v>
          </cell>
          <cell r="M827" t="e">
            <v>#N/A</v>
          </cell>
        </row>
        <row r="828">
          <cell r="I828" t="str">
            <v>DE NIGRIS</v>
          </cell>
          <cell r="K828" t="str">
            <v>Verificar</v>
          </cell>
          <cell r="L828" t="e">
            <v>#N/A</v>
          </cell>
          <cell r="M828" t="e">
            <v>#N/A</v>
          </cell>
        </row>
        <row r="829">
          <cell r="I829" t="str">
            <v>DE NIGRIS</v>
          </cell>
          <cell r="K829" t="str">
            <v>Verificar</v>
          </cell>
          <cell r="L829" t="e">
            <v>#N/A</v>
          </cell>
          <cell r="M829" t="e">
            <v>#N/A</v>
          </cell>
        </row>
        <row r="830">
          <cell r="I830" t="str">
            <v>DE NIGRIS</v>
          </cell>
          <cell r="K830" t="str">
            <v>Verificar</v>
          </cell>
          <cell r="L830" t="e">
            <v>#N/A</v>
          </cell>
          <cell r="M830" t="e">
            <v>#N/A</v>
          </cell>
        </row>
        <row r="831">
          <cell r="I831" t="str">
            <v>DE NIGRIS</v>
          </cell>
          <cell r="K831" t="str">
            <v>Verificar</v>
          </cell>
          <cell r="L831" t="e">
            <v>#N/A</v>
          </cell>
          <cell r="M831" t="e">
            <v>#N/A</v>
          </cell>
        </row>
        <row r="832">
          <cell r="I832" t="str">
            <v>Dibracan</v>
          </cell>
          <cell r="L832" t="e">
            <v>#N/A</v>
          </cell>
          <cell r="M832" t="str">
            <v>FMS09</v>
          </cell>
        </row>
        <row r="833">
          <cell r="I833" t="str">
            <v>Dibracan</v>
          </cell>
          <cell r="L833" t="e">
            <v>#N/A</v>
          </cell>
          <cell r="M833" t="str">
            <v>FMS09</v>
          </cell>
        </row>
        <row r="834">
          <cell r="I834" t="str">
            <v>Dibracan</v>
          </cell>
          <cell r="L834" t="e">
            <v>#N/A</v>
          </cell>
          <cell r="M834" t="str">
            <v>FMS09</v>
          </cell>
        </row>
        <row r="835">
          <cell r="I835" t="str">
            <v>Dibracan</v>
          </cell>
          <cell r="L835" t="e">
            <v>#N/A</v>
          </cell>
          <cell r="M835" t="str">
            <v>FMS09</v>
          </cell>
        </row>
        <row r="836">
          <cell r="I836" t="str">
            <v>Dibracan</v>
          </cell>
          <cell r="L836" t="e">
            <v>#N/A</v>
          </cell>
          <cell r="M836" t="str">
            <v>LHS BR</v>
          </cell>
        </row>
        <row r="837">
          <cell r="I837" t="str">
            <v>Dibracan</v>
          </cell>
          <cell r="L837" t="e">
            <v>#N/A</v>
          </cell>
          <cell r="M837" t="str">
            <v>LHS BR</v>
          </cell>
        </row>
        <row r="838">
          <cell r="I838" t="str">
            <v>Dibracan</v>
          </cell>
          <cell r="L838" t="e">
            <v>#N/A</v>
          </cell>
          <cell r="M838" t="str">
            <v>LHS BR</v>
          </cell>
        </row>
        <row r="839">
          <cell r="I839" t="str">
            <v>Dibracan</v>
          </cell>
          <cell r="L839" t="e">
            <v>#N/A</v>
          </cell>
          <cell r="M839" t="str">
            <v>MM01</v>
          </cell>
        </row>
        <row r="840">
          <cell r="I840" t="str">
            <v>Dibracan</v>
          </cell>
          <cell r="L840" t="e">
            <v>#N/A</v>
          </cell>
          <cell r="M840" t="str">
            <v>MM01</v>
          </cell>
        </row>
        <row r="841">
          <cell r="I841" t="str">
            <v>Dibracan</v>
          </cell>
          <cell r="L841" t="e">
            <v>#N/A</v>
          </cell>
          <cell r="M841" t="str">
            <v>MM03</v>
          </cell>
        </row>
        <row r="842">
          <cell r="I842" t="str">
            <v>Dibracan</v>
          </cell>
          <cell r="L842" t="e">
            <v>#N/A</v>
          </cell>
          <cell r="M842" t="str">
            <v>MM03</v>
          </cell>
        </row>
        <row r="843">
          <cell r="I843" t="str">
            <v>Dibracan</v>
          </cell>
          <cell r="L843" t="e">
            <v>#N/A</v>
          </cell>
          <cell r="M843" t="str">
            <v>SSP5</v>
          </cell>
        </row>
        <row r="844">
          <cell r="I844" t="str">
            <v>Dibracan</v>
          </cell>
          <cell r="L844" t="e">
            <v>#N/A</v>
          </cell>
          <cell r="M844" t="str">
            <v>SSP5</v>
          </cell>
        </row>
        <row r="845">
          <cell r="I845" t="str">
            <v>Dibracan</v>
          </cell>
          <cell r="L845" t="e">
            <v>#N/A</v>
          </cell>
          <cell r="M845" t="str">
            <v>SSP5</v>
          </cell>
        </row>
        <row r="846">
          <cell r="I846" t="str">
            <v>Dibracan</v>
          </cell>
          <cell r="L846" t="e">
            <v>#N/A</v>
          </cell>
          <cell r="M846" t="str">
            <v>SSP5</v>
          </cell>
        </row>
        <row r="847">
          <cell r="I847" t="str">
            <v>Dibracan</v>
          </cell>
          <cell r="L847" t="e">
            <v>#N/A</v>
          </cell>
          <cell r="M847" t="str">
            <v>SSP5</v>
          </cell>
        </row>
        <row r="848">
          <cell r="I848" t="str">
            <v>Dibracan</v>
          </cell>
          <cell r="L848" t="e">
            <v>#N/A</v>
          </cell>
          <cell r="M848" t="str">
            <v>SSP34</v>
          </cell>
        </row>
        <row r="849">
          <cell r="I849" t="str">
            <v>Dibracan</v>
          </cell>
          <cell r="L849" t="e">
            <v>#N/A</v>
          </cell>
          <cell r="M849" t="str">
            <v>SSP38</v>
          </cell>
        </row>
        <row r="850">
          <cell r="I850" t="str">
            <v>Dibracan</v>
          </cell>
          <cell r="L850" t="e">
            <v>#N/A</v>
          </cell>
          <cell r="M850" t="str">
            <v>SSP42</v>
          </cell>
        </row>
        <row r="851">
          <cell r="I851" t="str">
            <v>Dibracan</v>
          </cell>
          <cell r="L851" t="e">
            <v>#N/A</v>
          </cell>
          <cell r="M851" t="str">
            <v>SSP42</v>
          </cell>
        </row>
        <row r="852">
          <cell r="I852" t="str">
            <v>Dibracan</v>
          </cell>
          <cell r="L852" t="e">
            <v>#N/A</v>
          </cell>
          <cell r="M852" t="str">
            <v>SSP42</v>
          </cell>
        </row>
        <row r="853">
          <cell r="I853" t="str">
            <v>Dibracan</v>
          </cell>
          <cell r="L853" t="e">
            <v>#N/A</v>
          </cell>
          <cell r="M853" t="str">
            <v>SSP22</v>
          </cell>
        </row>
        <row r="854">
          <cell r="I854" t="str">
            <v>Dibracan</v>
          </cell>
          <cell r="L854" t="e">
            <v>#N/A</v>
          </cell>
          <cell r="M854" t="str">
            <v>SSP20</v>
          </cell>
        </row>
        <row r="855">
          <cell r="I855" t="str">
            <v>Dibracan</v>
          </cell>
          <cell r="K855" t="str">
            <v>Verificar</v>
          </cell>
          <cell r="L855" t="e">
            <v>#N/A</v>
          </cell>
          <cell r="M855" t="e">
            <v>#N/A</v>
          </cell>
        </row>
        <row r="856">
          <cell r="I856" t="str">
            <v>Dibracan</v>
          </cell>
          <cell r="K856" t="str">
            <v>Verificar</v>
          </cell>
          <cell r="L856" t="e">
            <v>#N/A</v>
          </cell>
          <cell r="M856" t="e">
            <v>#N/A</v>
          </cell>
        </row>
        <row r="857">
          <cell r="I857" t="str">
            <v>Dibracan</v>
          </cell>
          <cell r="K857" t="str">
            <v>Verificar</v>
          </cell>
          <cell r="L857" t="e">
            <v>#N/A</v>
          </cell>
          <cell r="M857" t="e">
            <v>#N/A</v>
          </cell>
        </row>
        <row r="858">
          <cell r="I858" t="str">
            <v>Dibracan</v>
          </cell>
          <cell r="K858" t="str">
            <v>Verificar</v>
          </cell>
          <cell r="L858" t="e">
            <v>#N/A</v>
          </cell>
          <cell r="M858" t="e">
            <v>#N/A</v>
          </cell>
        </row>
        <row r="859">
          <cell r="I859" t="str">
            <v>Dibracan</v>
          </cell>
          <cell r="K859" t="str">
            <v>Verificar</v>
          </cell>
          <cell r="L859" t="e">
            <v>#N/A</v>
          </cell>
          <cell r="M859" t="e">
            <v>#N/A</v>
          </cell>
        </row>
        <row r="860">
          <cell r="I860" t="str">
            <v>Dibracan</v>
          </cell>
          <cell r="K860" t="str">
            <v>Verificar</v>
          </cell>
          <cell r="L860" t="e">
            <v>#N/A</v>
          </cell>
          <cell r="M860" t="e">
            <v>#N/A</v>
          </cell>
        </row>
        <row r="861">
          <cell r="I861" t="str">
            <v>Dibracan</v>
          </cell>
          <cell r="K861" t="str">
            <v>Verificar</v>
          </cell>
          <cell r="L861" t="e">
            <v>#N/A</v>
          </cell>
          <cell r="M861" t="e">
            <v>#N/A</v>
          </cell>
        </row>
        <row r="862">
          <cell r="I862" t="str">
            <v>Dibracan</v>
          </cell>
          <cell r="K862" t="str">
            <v>Verificar</v>
          </cell>
          <cell r="L862" t="e">
            <v>#N/A</v>
          </cell>
          <cell r="M862" t="e">
            <v>#N/A</v>
          </cell>
        </row>
        <row r="863">
          <cell r="I863" t="str">
            <v>Ford Go</v>
          </cell>
          <cell r="L863" t="e">
            <v>#N/A</v>
          </cell>
          <cell r="M863" t="str">
            <v>SSP16</v>
          </cell>
        </row>
        <row r="864">
          <cell r="I864" t="str">
            <v>Ford Go</v>
          </cell>
          <cell r="L864" t="e">
            <v>#N/A</v>
          </cell>
          <cell r="M864" t="str">
            <v>SPR8</v>
          </cell>
        </row>
        <row r="865">
          <cell r="I865" t="str">
            <v>Ford Go</v>
          </cell>
          <cell r="L865" t="e">
            <v>#N/A</v>
          </cell>
          <cell r="M865" t="str">
            <v>MM01</v>
          </cell>
        </row>
        <row r="866">
          <cell r="I866" t="str">
            <v>Ford Go</v>
          </cell>
          <cell r="L866" t="e">
            <v>#N/A</v>
          </cell>
          <cell r="M866" t="str">
            <v>SRS8</v>
          </cell>
        </row>
        <row r="867">
          <cell r="I867" t="str">
            <v>Ford Go</v>
          </cell>
          <cell r="L867" t="e">
            <v>#N/A</v>
          </cell>
          <cell r="M867" t="str">
            <v>SSP8</v>
          </cell>
        </row>
        <row r="868">
          <cell r="I868" t="str">
            <v>Ford Go</v>
          </cell>
          <cell r="L868" t="e">
            <v>#N/A</v>
          </cell>
          <cell r="M868" t="str">
            <v>SRS8</v>
          </cell>
        </row>
        <row r="869">
          <cell r="I869" t="str">
            <v>Ford Go</v>
          </cell>
          <cell r="L869" t="e">
            <v>#N/A</v>
          </cell>
          <cell r="M869" t="str">
            <v>SRS10</v>
          </cell>
        </row>
        <row r="870">
          <cell r="I870" t="str">
            <v>Ford Go</v>
          </cell>
          <cell r="L870" t="e">
            <v>#N/A</v>
          </cell>
          <cell r="M870" t="str">
            <v>SSC5</v>
          </cell>
        </row>
        <row r="871">
          <cell r="I871" t="str">
            <v>Ford Go</v>
          </cell>
          <cell r="L871" t="e">
            <v>#N/A</v>
          </cell>
          <cell r="M871" t="str">
            <v>SSP25</v>
          </cell>
        </row>
        <row r="872">
          <cell r="I872" t="str">
            <v>Ford Go</v>
          </cell>
          <cell r="L872" t="e">
            <v>#N/A</v>
          </cell>
          <cell r="M872" t="str">
            <v>SSC4</v>
          </cell>
        </row>
        <row r="873">
          <cell r="I873" t="str">
            <v>Ford Go</v>
          </cell>
          <cell r="L873" t="e">
            <v>#N/A</v>
          </cell>
          <cell r="M873" t="str">
            <v>SSP8</v>
          </cell>
        </row>
        <row r="874">
          <cell r="I874" t="str">
            <v>Ford Go</v>
          </cell>
          <cell r="L874" t="e">
            <v>#N/A</v>
          </cell>
          <cell r="M874" t="str">
            <v>SRS8</v>
          </cell>
        </row>
        <row r="875">
          <cell r="I875" t="str">
            <v>Ford Go</v>
          </cell>
          <cell r="L875" t="e">
            <v>#N/A</v>
          </cell>
          <cell r="M875" t="str">
            <v>SRS5</v>
          </cell>
        </row>
        <row r="876">
          <cell r="I876" t="str">
            <v>Ford Go</v>
          </cell>
          <cell r="L876" t="e">
            <v>#N/A</v>
          </cell>
          <cell r="M876" t="str">
            <v>SSP22</v>
          </cell>
        </row>
        <row r="877">
          <cell r="I877" t="str">
            <v>Ford Go</v>
          </cell>
          <cell r="L877" t="e">
            <v>#N/A</v>
          </cell>
          <cell r="M877" t="str">
            <v>SRS10</v>
          </cell>
        </row>
        <row r="878">
          <cell r="I878" t="str">
            <v>Ford Go</v>
          </cell>
          <cell r="L878" t="e">
            <v>#N/A</v>
          </cell>
          <cell r="M878" t="str">
            <v>SSP30</v>
          </cell>
        </row>
        <row r="879">
          <cell r="I879" t="str">
            <v>Ford Go</v>
          </cell>
          <cell r="L879" t="e">
            <v>#N/A</v>
          </cell>
          <cell r="M879" t="str">
            <v>SSP30</v>
          </cell>
        </row>
        <row r="880">
          <cell r="I880" t="str">
            <v>Ford Go</v>
          </cell>
          <cell r="L880" t="e">
            <v>#N/A</v>
          </cell>
          <cell r="M880" t="str">
            <v>SSP30</v>
          </cell>
        </row>
        <row r="881">
          <cell r="I881" t="str">
            <v>Ford Go</v>
          </cell>
          <cell r="L881" t="e">
            <v>#N/A</v>
          </cell>
          <cell r="M881" t="str">
            <v>SSP22</v>
          </cell>
        </row>
        <row r="882">
          <cell r="I882" t="str">
            <v>Ford Go</v>
          </cell>
          <cell r="L882" t="e">
            <v>#N/A</v>
          </cell>
          <cell r="M882" t="str">
            <v>SRS8</v>
          </cell>
        </row>
        <row r="883">
          <cell r="I883" t="str">
            <v>Ford Go</v>
          </cell>
          <cell r="L883" t="e">
            <v>#N/A</v>
          </cell>
          <cell r="M883" t="str">
            <v>SPR8</v>
          </cell>
        </row>
        <row r="884">
          <cell r="I884" t="str">
            <v>Ford Go</v>
          </cell>
          <cell r="L884" t="e">
            <v>#N/A</v>
          </cell>
          <cell r="M884" t="str">
            <v>GP01</v>
          </cell>
        </row>
        <row r="885">
          <cell r="I885" t="str">
            <v>Ford Go</v>
          </cell>
          <cell r="L885" t="e">
            <v>#N/A</v>
          </cell>
          <cell r="M885" t="str">
            <v>SSP37</v>
          </cell>
        </row>
        <row r="886">
          <cell r="I886" t="str">
            <v>Ford Go</v>
          </cell>
          <cell r="L886" t="e">
            <v>#N/A</v>
          </cell>
          <cell r="M886" t="str">
            <v>SSP40</v>
          </cell>
        </row>
        <row r="887">
          <cell r="I887" t="str">
            <v>Ford Go</v>
          </cell>
          <cell r="L887" t="e">
            <v>#N/A</v>
          </cell>
          <cell r="M887" t="str">
            <v>SSP8</v>
          </cell>
        </row>
        <row r="888">
          <cell r="I888" t="str">
            <v>Ford Go</v>
          </cell>
          <cell r="L888" t="e">
            <v>#N/A</v>
          </cell>
          <cell r="M888" t="str">
            <v>SSP40</v>
          </cell>
        </row>
        <row r="889">
          <cell r="I889" t="str">
            <v>Ford Go</v>
          </cell>
          <cell r="L889" t="e">
            <v>#N/A</v>
          </cell>
          <cell r="M889" t="str">
            <v>SSP6</v>
          </cell>
        </row>
        <row r="890">
          <cell r="I890" t="str">
            <v>Ford Go</v>
          </cell>
          <cell r="L890" t="e">
            <v>#N/A</v>
          </cell>
          <cell r="M890" t="str">
            <v>SSP30</v>
          </cell>
        </row>
        <row r="891">
          <cell r="I891" t="str">
            <v>Ford Go</v>
          </cell>
          <cell r="L891" t="e">
            <v>#N/A</v>
          </cell>
          <cell r="M891" t="str">
            <v>SSP30</v>
          </cell>
        </row>
        <row r="892">
          <cell r="I892" t="str">
            <v>Ford Go</v>
          </cell>
          <cell r="L892" t="e">
            <v>#N/A</v>
          </cell>
          <cell r="M892" t="str">
            <v>SSP30</v>
          </cell>
        </row>
        <row r="893">
          <cell r="I893" t="str">
            <v>Ford Go</v>
          </cell>
          <cell r="L893" t="e">
            <v>#N/A</v>
          </cell>
          <cell r="M893" t="str">
            <v>SSP30</v>
          </cell>
        </row>
        <row r="894">
          <cell r="I894" t="str">
            <v>Ford Go</v>
          </cell>
          <cell r="K894" t="str">
            <v>Verificar</v>
          </cell>
          <cell r="L894" t="e">
            <v>#N/A</v>
          </cell>
          <cell r="M894" t="e">
            <v>#N/A</v>
          </cell>
        </row>
        <row r="895">
          <cell r="I895" t="str">
            <v>Ford Go</v>
          </cell>
          <cell r="L895" t="e">
            <v>#N/A</v>
          </cell>
          <cell r="M895" t="str">
            <v>SSP30</v>
          </cell>
        </row>
        <row r="896">
          <cell r="I896" t="str">
            <v>Ford Go</v>
          </cell>
          <cell r="L896" t="e">
            <v>#N/A</v>
          </cell>
          <cell r="M896" t="str">
            <v>SES1</v>
          </cell>
        </row>
        <row r="897">
          <cell r="I897" t="str">
            <v>Ford Go</v>
          </cell>
          <cell r="L897" t="e">
            <v>#N/A</v>
          </cell>
          <cell r="M897" t="str">
            <v>SSP22</v>
          </cell>
        </row>
        <row r="898">
          <cell r="I898" t="str">
            <v>Ford Go</v>
          </cell>
          <cell r="L898" t="e">
            <v>#N/A</v>
          </cell>
          <cell r="M898" t="str">
            <v>SSP5</v>
          </cell>
        </row>
        <row r="899">
          <cell r="I899" t="str">
            <v>Ford Go</v>
          </cell>
          <cell r="L899" t="e">
            <v>#N/A</v>
          </cell>
          <cell r="M899" t="str">
            <v>GP01</v>
          </cell>
        </row>
        <row r="900">
          <cell r="I900" t="str">
            <v>Ford Go</v>
          </cell>
          <cell r="L900" t="e">
            <v>#N/A</v>
          </cell>
          <cell r="M900" t="str">
            <v>SSP40</v>
          </cell>
        </row>
        <row r="901">
          <cell r="I901" t="str">
            <v>Ford Go</v>
          </cell>
          <cell r="L901" t="e">
            <v>#N/A</v>
          </cell>
          <cell r="M901" t="str">
            <v>SRS1</v>
          </cell>
        </row>
        <row r="902">
          <cell r="I902" t="str">
            <v>Ford Go</v>
          </cell>
          <cell r="L902" t="e">
            <v>#N/A</v>
          </cell>
          <cell r="M902" t="str">
            <v>SRS8</v>
          </cell>
        </row>
        <row r="903">
          <cell r="I903" t="str">
            <v>Ford Go</v>
          </cell>
          <cell r="L903" t="e">
            <v>#N/A</v>
          </cell>
          <cell r="M903" t="str">
            <v>SRS8</v>
          </cell>
        </row>
        <row r="904">
          <cell r="I904" t="str">
            <v>Ford Go</v>
          </cell>
          <cell r="L904" t="e">
            <v>#N/A</v>
          </cell>
          <cell r="M904" t="str">
            <v>MM01</v>
          </cell>
        </row>
        <row r="905">
          <cell r="I905" t="str">
            <v>Ford Go</v>
          </cell>
          <cell r="L905" t="e">
            <v>#N/A</v>
          </cell>
          <cell r="M905" t="str">
            <v>SRS1</v>
          </cell>
        </row>
        <row r="906">
          <cell r="I906" t="str">
            <v>Ford Go</v>
          </cell>
          <cell r="L906" t="e">
            <v>#N/A</v>
          </cell>
          <cell r="M906" t="str">
            <v>SRS1</v>
          </cell>
        </row>
        <row r="907">
          <cell r="I907" t="str">
            <v>Ford Go</v>
          </cell>
          <cell r="L907" t="e">
            <v>#N/A</v>
          </cell>
          <cell r="M907" t="str">
            <v>SSP13</v>
          </cell>
        </row>
        <row r="908">
          <cell r="I908" t="str">
            <v>Ford Go</v>
          </cell>
          <cell r="L908" t="e">
            <v>#N/A</v>
          </cell>
          <cell r="M908" t="str">
            <v>SSP6</v>
          </cell>
        </row>
        <row r="909">
          <cell r="I909" t="str">
            <v>Ford Go</v>
          </cell>
          <cell r="L909" t="e">
            <v>#N/A</v>
          </cell>
          <cell r="M909" t="str">
            <v>ERS6/SPR5</v>
          </cell>
        </row>
        <row r="910">
          <cell r="I910" t="str">
            <v>Ford Go</v>
          </cell>
          <cell r="L910" t="e">
            <v>#N/A</v>
          </cell>
          <cell r="M910" t="str">
            <v>SSP20</v>
          </cell>
        </row>
        <row r="911">
          <cell r="I911" t="str">
            <v>Ford Go</v>
          </cell>
          <cell r="L911" t="e">
            <v>#N/A</v>
          </cell>
          <cell r="M911" t="str">
            <v>SSP24</v>
          </cell>
        </row>
        <row r="912">
          <cell r="I912" t="str">
            <v>Ford Go</v>
          </cell>
          <cell r="L912" t="e">
            <v>#N/A</v>
          </cell>
          <cell r="M912" t="str">
            <v>SSP13</v>
          </cell>
        </row>
        <row r="913">
          <cell r="I913" t="str">
            <v>Ford Go</v>
          </cell>
          <cell r="L913" t="e">
            <v>#N/A</v>
          </cell>
          <cell r="M913" t="str">
            <v>SSP11</v>
          </cell>
        </row>
        <row r="914">
          <cell r="I914" t="str">
            <v>Ford Go</v>
          </cell>
          <cell r="L914" t="e">
            <v>#N/A</v>
          </cell>
          <cell r="M914" t="str">
            <v>SSP42</v>
          </cell>
        </row>
        <row r="915">
          <cell r="I915" t="str">
            <v>Ford Go</v>
          </cell>
          <cell r="L915" t="e">
            <v>#N/A</v>
          </cell>
          <cell r="M915" t="str">
            <v>SSP42</v>
          </cell>
        </row>
        <row r="916">
          <cell r="I916" t="str">
            <v>Ford Go</v>
          </cell>
          <cell r="L916" t="e">
            <v>#N/A</v>
          </cell>
          <cell r="M916" t="str">
            <v>SSP25</v>
          </cell>
        </row>
        <row r="917">
          <cell r="I917" t="str">
            <v>Ford Go</v>
          </cell>
          <cell r="L917" t="e">
            <v>#N/A</v>
          </cell>
          <cell r="M917" t="str">
            <v>SSC1</v>
          </cell>
        </row>
        <row r="918">
          <cell r="I918" t="str">
            <v>Ford Go</v>
          </cell>
          <cell r="L918" t="e">
            <v>#N/A</v>
          </cell>
          <cell r="M918" t="str">
            <v>SBA1</v>
          </cell>
        </row>
        <row r="919">
          <cell r="I919" t="str">
            <v>Ford Go</v>
          </cell>
          <cell r="L919" t="e">
            <v>#N/A</v>
          </cell>
          <cell r="M919" t="str">
            <v>MM03</v>
          </cell>
        </row>
        <row r="920">
          <cell r="I920" t="str">
            <v>Ford Go</v>
          </cell>
          <cell r="L920" t="e">
            <v>#N/A</v>
          </cell>
          <cell r="M920" t="str">
            <v>SSP30</v>
          </cell>
        </row>
        <row r="921">
          <cell r="I921" t="str">
            <v>Ford Go</v>
          </cell>
          <cell r="L921" t="e">
            <v>#N/A</v>
          </cell>
          <cell r="M921" t="str">
            <v>SSP6</v>
          </cell>
        </row>
        <row r="922">
          <cell r="I922" t="str">
            <v>Ford Go</v>
          </cell>
          <cell r="K922" t="str">
            <v>Verificar</v>
          </cell>
          <cell r="L922" t="e">
            <v>#N/A</v>
          </cell>
          <cell r="M922" t="e">
            <v>#N/A</v>
          </cell>
        </row>
        <row r="923">
          <cell r="I923" t="str">
            <v>Ford Go</v>
          </cell>
          <cell r="L923" t="e">
            <v>#N/A</v>
          </cell>
          <cell r="M923" t="str">
            <v>SSP40</v>
          </cell>
        </row>
        <row r="924">
          <cell r="I924" t="str">
            <v>Ford Go</v>
          </cell>
          <cell r="L924" t="e">
            <v>#N/A</v>
          </cell>
          <cell r="M924" t="str">
            <v>SSP30</v>
          </cell>
        </row>
        <row r="925">
          <cell r="I925" t="str">
            <v>Ford Go</v>
          </cell>
          <cell r="L925" t="e">
            <v>#N/A</v>
          </cell>
          <cell r="M925" t="str">
            <v>SSP17</v>
          </cell>
        </row>
        <row r="926">
          <cell r="I926" t="str">
            <v>Ford Go</v>
          </cell>
          <cell r="L926" t="e">
            <v>#N/A</v>
          </cell>
          <cell r="M926" t="str">
            <v>GP03</v>
          </cell>
        </row>
        <row r="927">
          <cell r="I927" t="str">
            <v>Ford Go</v>
          </cell>
          <cell r="L927" t="e">
            <v>#N/A</v>
          </cell>
          <cell r="M927" t="str">
            <v>SRS8</v>
          </cell>
        </row>
        <row r="928">
          <cell r="I928" t="str">
            <v>Ford Go</v>
          </cell>
          <cell r="L928" t="e">
            <v>#N/A</v>
          </cell>
          <cell r="M928" t="str">
            <v>SSP5</v>
          </cell>
        </row>
        <row r="929">
          <cell r="I929" t="str">
            <v>Ford Go</v>
          </cell>
          <cell r="L929" t="e">
            <v>#N/A</v>
          </cell>
          <cell r="M929" t="str">
            <v>SSP40</v>
          </cell>
        </row>
        <row r="930">
          <cell r="I930" t="str">
            <v>Ford Go</v>
          </cell>
          <cell r="L930" t="e">
            <v>#N/A</v>
          </cell>
          <cell r="M930" t="str">
            <v>SRS8</v>
          </cell>
        </row>
        <row r="931">
          <cell r="I931" t="str">
            <v>Ford Go</v>
          </cell>
          <cell r="L931" t="e">
            <v>#N/A</v>
          </cell>
          <cell r="M931" t="str">
            <v>SRS8</v>
          </cell>
        </row>
        <row r="932">
          <cell r="I932" t="str">
            <v>Ford Go</v>
          </cell>
          <cell r="L932" t="e">
            <v>#N/A</v>
          </cell>
          <cell r="M932" t="str">
            <v>SRS8</v>
          </cell>
        </row>
        <row r="933">
          <cell r="I933" t="str">
            <v>Ford Go</v>
          </cell>
          <cell r="L933" t="e">
            <v>#N/A</v>
          </cell>
          <cell r="M933" t="str">
            <v>SRS8</v>
          </cell>
        </row>
        <row r="934">
          <cell r="I934" t="str">
            <v>Ford Go</v>
          </cell>
          <cell r="L934" t="e">
            <v>#N/A</v>
          </cell>
          <cell r="M934" t="str">
            <v>SRS8</v>
          </cell>
        </row>
        <row r="935">
          <cell r="I935" t="str">
            <v>Ford Go</v>
          </cell>
          <cell r="L935" t="e">
            <v>#N/A</v>
          </cell>
          <cell r="M935" t="str">
            <v>SSP6</v>
          </cell>
        </row>
        <row r="936">
          <cell r="I936" t="str">
            <v>Ford Go</v>
          </cell>
          <cell r="L936" t="e">
            <v>#N/A</v>
          </cell>
          <cell r="M936" t="str">
            <v>SSP8</v>
          </cell>
        </row>
        <row r="937">
          <cell r="I937" t="str">
            <v>Ford Go</v>
          </cell>
          <cell r="L937" t="e">
            <v>#N/A</v>
          </cell>
          <cell r="M937" t="str">
            <v>SSP8</v>
          </cell>
        </row>
        <row r="938">
          <cell r="I938" t="str">
            <v>Ford Go</v>
          </cell>
          <cell r="L938" t="e">
            <v>#N/A</v>
          </cell>
          <cell r="M938" t="str">
            <v>SRS1</v>
          </cell>
        </row>
        <row r="939">
          <cell r="I939" t="str">
            <v>Ford Go</v>
          </cell>
          <cell r="L939" t="e">
            <v>#N/A</v>
          </cell>
          <cell r="M939" t="str">
            <v>FMS09</v>
          </cell>
        </row>
        <row r="940">
          <cell r="I940" t="str">
            <v>Ford Go</v>
          </cell>
          <cell r="L940" t="e">
            <v>#N/A</v>
          </cell>
          <cell r="M940" t="str">
            <v>MM01</v>
          </cell>
        </row>
        <row r="941">
          <cell r="I941" t="str">
            <v>Ford Go</v>
          </cell>
          <cell r="L941" t="e">
            <v>#N/A</v>
          </cell>
          <cell r="M941" t="str">
            <v>SSP16</v>
          </cell>
        </row>
        <row r="942">
          <cell r="I942" t="str">
            <v>Ford Go</v>
          </cell>
          <cell r="L942" t="e">
            <v>#N/A</v>
          </cell>
          <cell r="M942" t="str">
            <v>SSC3</v>
          </cell>
        </row>
        <row r="943">
          <cell r="I943" t="str">
            <v>Ford Go</v>
          </cell>
          <cell r="L943" t="e">
            <v>#N/A</v>
          </cell>
          <cell r="M943" t="str">
            <v>SRS1</v>
          </cell>
        </row>
        <row r="944">
          <cell r="I944" t="str">
            <v>Ford Go</v>
          </cell>
          <cell r="L944" t="e">
            <v>#N/A</v>
          </cell>
          <cell r="M944" t="str">
            <v>SRS8</v>
          </cell>
        </row>
        <row r="945">
          <cell r="I945" t="str">
            <v>Ford Go</v>
          </cell>
          <cell r="L945" t="e">
            <v>#N/A</v>
          </cell>
          <cell r="M945" t="str">
            <v>SRS8</v>
          </cell>
        </row>
        <row r="946">
          <cell r="I946" t="str">
            <v>Ford Go</v>
          </cell>
          <cell r="L946" t="e">
            <v>#N/A</v>
          </cell>
          <cell r="M946" t="str">
            <v>SSP11</v>
          </cell>
        </row>
        <row r="947">
          <cell r="I947" t="str">
            <v>Ford Go</v>
          </cell>
          <cell r="L947" t="e">
            <v>#N/A</v>
          </cell>
          <cell r="M947" t="str">
            <v>SSP42</v>
          </cell>
        </row>
        <row r="948">
          <cell r="I948" t="str">
            <v>Ford Go</v>
          </cell>
          <cell r="L948" t="e">
            <v>#N/A</v>
          </cell>
          <cell r="M948" t="str">
            <v>SSP17</v>
          </cell>
        </row>
        <row r="949">
          <cell r="I949" t="str">
            <v>Ford Go</v>
          </cell>
          <cell r="L949" t="e">
            <v>#N/A</v>
          </cell>
          <cell r="M949" t="str">
            <v>SSP17</v>
          </cell>
        </row>
        <row r="950">
          <cell r="I950" t="str">
            <v>Ford Go</v>
          </cell>
          <cell r="L950" t="e">
            <v>#N/A</v>
          </cell>
          <cell r="M950" t="str">
            <v>SSP17</v>
          </cell>
        </row>
        <row r="951">
          <cell r="I951" t="str">
            <v>Ford Go</v>
          </cell>
          <cell r="L951" t="e">
            <v>#N/A</v>
          </cell>
          <cell r="M951" t="str">
            <v>SSP30</v>
          </cell>
        </row>
        <row r="952">
          <cell r="I952" t="str">
            <v>Ford Go</v>
          </cell>
          <cell r="L952" t="e">
            <v>#N/A</v>
          </cell>
          <cell r="M952" t="str">
            <v>SRS8</v>
          </cell>
        </row>
        <row r="953">
          <cell r="I953" t="str">
            <v>Ford Go</v>
          </cell>
          <cell r="L953" t="e">
            <v>#N/A</v>
          </cell>
          <cell r="M953" t="str">
            <v>SSP3</v>
          </cell>
        </row>
        <row r="954">
          <cell r="I954" t="str">
            <v>Ford Go</v>
          </cell>
          <cell r="L954" t="e">
            <v>#N/A</v>
          </cell>
          <cell r="M954" t="str">
            <v>SRS8</v>
          </cell>
        </row>
        <row r="955">
          <cell r="I955" t="str">
            <v>Ford Go</v>
          </cell>
          <cell r="L955" t="e">
            <v>#N/A</v>
          </cell>
          <cell r="M955" t="str">
            <v>SRS8</v>
          </cell>
        </row>
        <row r="956">
          <cell r="I956" t="str">
            <v>Ford Go</v>
          </cell>
          <cell r="L956" t="e">
            <v>#N/A</v>
          </cell>
          <cell r="M956" t="str">
            <v>SRS8</v>
          </cell>
        </row>
        <row r="957">
          <cell r="I957" t="str">
            <v>Ford Go</v>
          </cell>
          <cell r="L957" t="e">
            <v>#N/A</v>
          </cell>
          <cell r="M957" t="str">
            <v>SBA1</v>
          </cell>
        </row>
        <row r="958">
          <cell r="I958" t="str">
            <v>Ford Go</v>
          </cell>
          <cell r="L958" t="e">
            <v>#N/A</v>
          </cell>
          <cell r="M958" t="str">
            <v>SSP5</v>
          </cell>
        </row>
        <row r="959">
          <cell r="I959" t="str">
            <v>Ford Go</v>
          </cell>
          <cell r="L959" t="e">
            <v>#N/A</v>
          </cell>
          <cell r="M959" t="str">
            <v>SPR6</v>
          </cell>
        </row>
        <row r="960">
          <cell r="I960" t="str">
            <v>Ford Go</v>
          </cell>
          <cell r="L960" t="e">
            <v>#N/A</v>
          </cell>
          <cell r="M960" t="str">
            <v>SPR6</v>
          </cell>
        </row>
        <row r="961">
          <cell r="I961" t="str">
            <v>Ford Go</v>
          </cell>
          <cell r="L961" t="e">
            <v>#N/A</v>
          </cell>
          <cell r="M961" t="str">
            <v>MM04</v>
          </cell>
        </row>
        <row r="962">
          <cell r="I962" t="str">
            <v>Ford Go</v>
          </cell>
          <cell r="L962" t="e">
            <v>#N/A</v>
          </cell>
          <cell r="M962" t="str">
            <v>GP03</v>
          </cell>
        </row>
        <row r="963">
          <cell r="I963" t="str">
            <v>Ford Go</v>
          </cell>
          <cell r="L963" t="e">
            <v>#N/A</v>
          </cell>
          <cell r="M963" t="str">
            <v>SBA1</v>
          </cell>
        </row>
        <row r="964">
          <cell r="I964" t="str">
            <v>Ford Go</v>
          </cell>
          <cell r="L964" t="e">
            <v>#N/A</v>
          </cell>
          <cell r="M964" t="str">
            <v>GP03</v>
          </cell>
        </row>
        <row r="965">
          <cell r="I965" t="str">
            <v>Ford Go</v>
          </cell>
          <cell r="L965" t="e">
            <v>#N/A</v>
          </cell>
          <cell r="M965">
            <v>0</v>
          </cell>
        </row>
        <row r="966">
          <cell r="I966" t="str">
            <v>Ford Go</v>
          </cell>
          <cell r="L966" t="e">
            <v>#N/A</v>
          </cell>
          <cell r="M966" t="str">
            <v>LH</v>
          </cell>
        </row>
        <row r="967">
          <cell r="I967" t="str">
            <v>Ford Go</v>
          </cell>
          <cell r="L967" t="e">
            <v>#N/A</v>
          </cell>
          <cell r="M967" t="str">
            <v>MM04</v>
          </cell>
        </row>
        <row r="968">
          <cell r="I968" t="str">
            <v>Ford Go</v>
          </cell>
          <cell r="L968" t="e">
            <v>#N/A</v>
          </cell>
          <cell r="M968" t="str">
            <v>ERS6/SPR5</v>
          </cell>
        </row>
        <row r="969">
          <cell r="I969" t="str">
            <v>Ford Go</v>
          </cell>
          <cell r="L969" t="e">
            <v>#N/A</v>
          </cell>
          <cell r="M969" t="str">
            <v>EPR7</v>
          </cell>
        </row>
        <row r="970">
          <cell r="I970" t="str">
            <v>Ford Go</v>
          </cell>
          <cell r="L970" t="e">
            <v>#N/A</v>
          </cell>
          <cell r="M970" t="str">
            <v>MM01</v>
          </cell>
        </row>
        <row r="971">
          <cell r="I971" t="str">
            <v>Ford Go</v>
          </cell>
          <cell r="L971" t="e">
            <v>#N/A</v>
          </cell>
          <cell r="M971" t="str">
            <v>FMS09</v>
          </cell>
        </row>
        <row r="972">
          <cell r="I972" t="str">
            <v>Ford Go</v>
          </cell>
          <cell r="L972" t="e">
            <v>#N/A</v>
          </cell>
          <cell r="M972" t="str">
            <v>GP02</v>
          </cell>
        </row>
        <row r="973">
          <cell r="I973" t="str">
            <v>Ford Go</v>
          </cell>
          <cell r="L973" t="e">
            <v>#N/A</v>
          </cell>
          <cell r="M973" t="str">
            <v>GP01</v>
          </cell>
        </row>
        <row r="974">
          <cell r="I974" t="str">
            <v>Ford Go</v>
          </cell>
          <cell r="L974" t="e">
            <v>#N/A</v>
          </cell>
          <cell r="M974" t="str">
            <v>FMS09</v>
          </cell>
        </row>
        <row r="975">
          <cell r="I975" t="str">
            <v>Ford Go</v>
          </cell>
          <cell r="L975" t="e">
            <v>#N/A</v>
          </cell>
          <cell r="M975" t="str">
            <v>SBA1</v>
          </cell>
        </row>
        <row r="976">
          <cell r="I976" t="str">
            <v>Ford Go</v>
          </cell>
          <cell r="L976" t="e">
            <v>#N/A</v>
          </cell>
          <cell r="M976" t="str">
            <v>FMS09</v>
          </cell>
        </row>
        <row r="977">
          <cell r="I977" t="str">
            <v>Ford Go</v>
          </cell>
          <cell r="L977" t="e">
            <v>#N/A</v>
          </cell>
          <cell r="M977" t="str">
            <v>MM04</v>
          </cell>
        </row>
        <row r="978">
          <cell r="I978" t="str">
            <v>Ford Go</v>
          </cell>
          <cell r="L978" t="e">
            <v>#N/A</v>
          </cell>
          <cell r="M978" t="str">
            <v>FMS09</v>
          </cell>
        </row>
        <row r="979">
          <cell r="I979" t="str">
            <v>Ford Go</v>
          </cell>
          <cell r="L979" t="e">
            <v>#N/A</v>
          </cell>
          <cell r="M979" t="str">
            <v>SSP8</v>
          </cell>
        </row>
        <row r="980">
          <cell r="I980" t="str">
            <v>Ford Go</v>
          </cell>
          <cell r="L980" t="e">
            <v>#N/A</v>
          </cell>
          <cell r="M980" t="str">
            <v>SBA1</v>
          </cell>
        </row>
        <row r="981">
          <cell r="I981" t="str">
            <v>Ford Go</v>
          </cell>
          <cell r="L981" t="e">
            <v>#N/A</v>
          </cell>
          <cell r="M981" t="str">
            <v>MM03</v>
          </cell>
        </row>
        <row r="982">
          <cell r="I982" t="str">
            <v>Ford Go</v>
          </cell>
          <cell r="L982" t="e">
            <v>#N/A</v>
          </cell>
          <cell r="M982" t="str">
            <v>GP01</v>
          </cell>
        </row>
        <row r="983">
          <cell r="I983" t="str">
            <v>Ford Go</v>
          </cell>
          <cell r="L983" t="e">
            <v>#N/A</v>
          </cell>
          <cell r="M983" t="str">
            <v>SSP24</v>
          </cell>
        </row>
        <row r="984">
          <cell r="I984" t="str">
            <v>Ford Go</v>
          </cell>
          <cell r="L984" t="e">
            <v>#N/A</v>
          </cell>
          <cell r="M984" t="str">
            <v>FMS09</v>
          </cell>
        </row>
        <row r="985">
          <cell r="I985" t="str">
            <v>Ford Go</v>
          </cell>
          <cell r="L985" t="e">
            <v>#N/A</v>
          </cell>
          <cell r="M985" t="str">
            <v>SSP17</v>
          </cell>
        </row>
        <row r="986">
          <cell r="I986" t="str">
            <v>Ford Go</v>
          </cell>
          <cell r="L986" t="e">
            <v>#N/A</v>
          </cell>
          <cell r="M986" t="str">
            <v>FMS09</v>
          </cell>
        </row>
        <row r="987">
          <cell r="I987" t="str">
            <v>Ford Go</v>
          </cell>
          <cell r="L987" t="e">
            <v>#N/A</v>
          </cell>
          <cell r="M987" t="str">
            <v>MM03</v>
          </cell>
        </row>
        <row r="988">
          <cell r="I988" t="str">
            <v>Ford Go</v>
          </cell>
          <cell r="L988" t="e">
            <v>#N/A</v>
          </cell>
          <cell r="M988" t="str">
            <v>MM03</v>
          </cell>
        </row>
        <row r="989">
          <cell r="I989" t="str">
            <v>Ford Go</v>
          </cell>
          <cell r="L989" t="e">
            <v>#N/A</v>
          </cell>
          <cell r="M989" t="str">
            <v>GP01</v>
          </cell>
        </row>
        <row r="990">
          <cell r="I990" t="str">
            <v>Ford Go</v>
          </cell>
          <cell r="L990" t="e">
            <v>#N/A</v>
          </cell>
          <cell r="M990" t="str">
            <v>FMS09</v>
          </cell>
        </row>
        <row r="991">
          <cell r="I991" t="str">
            <v>Ford Go</v>
          </cell>
          <cell r="L991" t="e">
            <v>#N/A</v>
          </cell>
          <cell r="M991" t="str">
            <v>SSP24</v>
          </cell>
        </row>
        <row r="992">
          <cell r="I992" t="str">
            <v>Ford Go</v>
          </cell>
          <cell r="L992" t="e">
            <v>#N/A</v>
          </cell>
          <cell r="M992" t="str">
            <v>SRS10</v>
          </cell>
        </row>
        <row r="993">
          <cell r="I993" t="str">
            <v>Ford Go</v>
          </cell>
          <cell r="L993" t="e">
            <v>#N/A</v>
          </cell>
          <cell r="M993" t="str">
            <v>SSP30</v>
          </cell>
        </row>
        <row r="994">
          <cell r="I994" t="str">
            <v>Ford Go</v>
          </cell>
          <cell r="L994" t="e">
            <v>#N/A</v>
          </cell>
          <cell r="M994" t="str">
            <v>FMS09</v>
          </cell>
        </row>
        <row r="995">
          <cell r="I995" t="str">
            <v>Ford Go</v>
          </cell>
          <cell r="L995" t="e">
            <v>#N/A</v>
          </cell>
          <cell r="M995" t="str">
            <v>GP02</v>
          </cell>
        </row>
        <row r="996">
          <cell r="I996" t="str">
            <v>Ford Go</v>
          </cell>
          <cell r="L996" t="e">
            <v>#N/A</v>
          </cell>
          <cell r="M996" t="str">
            <v>MM03</v>
          </cell>
        </row>
        <row r="997">
          <cell r="I997" t="str">
            <v>Ford Go</v>
          </cell>
          <cell r="L997" t="e">
            <v>#N/A</v>
          </cell>
          <cell r="M997" t="str">
            <v>FMS09</v>
          </cell>
        </row>
        <row r="998">
          <cell r="I998" t="str">
            <v>Ford Go</v>
          </cell>
          <cell r="L998" t="e">
            <v>#N/A</v>
          </cell>
          <cell r="M998" t="str">
            <v>GP03</v>
          </cell>
        </row>
        <row r="999">
          <cell r="I999" t="str">
            <v>Ford Go</v>
          </cell>
          <cell r="L999" t="e">
            <v>#N/A</v>
          </cell>
          <cell r="M999" t="str">
            <v>GP02</v>
          </cell>
        </row>
        <row r="1000">
          <cell r="I1000" t="str">
            <v>Ford Go</v>
          </cell>
          <cell r="L1000" t="e">
            <v>#N/A</v>
          </cell>
          <cell r="M1000" t="str">
            <v>GP03</v>
          </cell>
        </row>
        <row r="1001">
          <cell r="I1001" t="str">
            <v>Ford Go</v>
          </cell>
          <cell r="L1001" t="e">
            <v>#N/A</v>
          </cell>
          <cell r="M1001" t="str">
            <v>LH</v>
          </cell>
        </row>
        <row r="1002">
          <cell r="I1002" t="str">
            <v>Ford Go</v>
          </cell>
          <cell r="L1002" t="e">
            <v>#N/A</v>
          </cell>
          <cell r="M1002" t="str">
            <v>MM03</v>
          </cell>
        </row>
        <row r="1003">
          <cell r="I1003" t="str">
            <v>Ford Go</v>
          </cell>
          <cell r="L1003" t="e">
            <v>#N/A</v>
          </cell>
          <cell r="M1003" t="str">
            <v>MM03</v>
          </cell>
        </row>
        <row r="1004">
          <cell r="I1004" t="str">
            <v>Ford Go</v>
          </cell>
          <cell r="L1004" t="e">
            <v>#N/A</v>
          </cell>
          <cell r="M1004" t="str">
            <v>GP03</v>
          </cell>
        </row>
        <row r="1005">
          <cell r="I1005" t="str">
            <v>Ford Go</v>
          </cell>
          <cell r="L1005" t="e">
            <v>#N/A</v>
          </cell>
          <cell r="M1005" t="str">
            <v>GP03</v>
          </cell>
        </row>
        <row r="1006">
          <cell r="I1006" t="str">
            <v>Ford Go</v>
          </cell>
          <cell r="L1006" t="e">
            <v>#N/A</v>
          </cell>
          <cell r="M1006" t="str">
            <v>GP02</v>
          </cell>
        </row>
        <row r="1007">
          <cell r="I1007" t="str">
            <v>Ford Go</v>
          </cell>
          <cell r="L1007" t="e">
            <v>#N/A</v>
          </cell>
          <cell r="M1007" t="str">
            <v>SPR6</v>
          </cell>
        </row>
        <row r="1008">
          <cell r="I1008" t="str">
            <v>Ford Go</v>
          </cell>
          <cell r="L1008" t="e">
            <v>#N/A</v>
          </cell>
          <cell r="M1008" t="str">
            <v>SPR6</v>
          </cell>
        </row>
        <row r="1009">
          <cell r="I1009" t="str">
            <v>Ford Go</v>
          </cell>
          <cell r="L1009" t="e">
            <v>#N/A</v>
          </cell>
          <cell r="M1009" t="str">
            <v>SPR6</v>
          </cell>
        </row>
        <row r="1010">
          <cell r="I1010" t="str">
            <v>Ford Go</v>
          </cell>
          <cell r="L1010" t="e">
            <v>#N/A</v>
          </cell>
          <cell r="M1010" t="str">
            <v>GP01</v>
          </cell>
        </row>
        <row r="1011">
          <cell r="I1011" t="str">
            <v>Ford Go</v>
          </cell>
          <cell r="L1011" t="e">
            <v>#N/A</v>
          </cell>
          <cell r="M1011" t="str">
            <v>FMS09</v>
          </cell>
        </row>
        <row r="1012">
          <cell r="I1012" t="str">
            <v>Ford Go</v>
          </cell>
          <cell r="L1012" t="e">
            <v>#N/A</v>
          </cell>
          <cell r="M1012" t="str">
            <v>MM01</v>
          </cell>
        </row>
        <row r="1013">
          <cell r="I1013" t="str">
            <v>Ford Go</v>
          </cell>
          <cell r="L1013" t="e">
            <v>#N/A</v>
          </cell>
          <cell r="M1013" t="str">
            <v>MM01</v>
          </cell>
        </row>
        <row r="1014">
          <cell r="I1014" t="str">
            <v>Ford Go</v>
          </cell>
          <cell r="L1014" t="e">
            <v>#N/A</v>
          </cell>
          <cell r="M1014" t="str">
            <v>MM01</v>
          </cell>
        </row>
        <row r="1015">
          <cell r="I1015" t="str">
            <v>Ford Go</v>
          </cell>
          <cell r="L1015" t="e">
            <v>#N/A</v>
          </cell>
          <cell r="M1015" t="str">
            <v>MM01</v>
          </cell>
        </row>
        <row r="1016">
          <cell r="I1016" t="str">
            <v>Ford Go</v>
          </cell>
          <cell r="K1016" t="str">
            <v>Verificar</v>
          </cell>
          <cell r="L1016" t="e">
            <v>#N/A</v>
          </cell>
          <cell r="M1016" t="e">
            <v>#N/A</v>
          </cell>
        </row>
        <row r="1017">
          <cell r="I1017" t="str">
            <v>Ford Go</v>
          </cell>
          <cell r="K1017" t="str">
            <v>Verificar</v>
          </cell>
          <cell r="L1017" t="e">
            <v>#N/A</v>
          </cell>
          <cell r="M1017" t="str">
            <v>MM03</v>
          </cell>
        </row>
        <row r="1018">
          <cell r="I1018" t="str">
            <v>Ford Go</v>
          </cell>
          <cell r="K1018" t="str">
            <v>Verificar</v>
          </cell>
          <cell r="L1018" t="e">
            <v>#N/A</v>
          </cell>
          <cell r="M1018" t="e">
            <v>#N/A</v>
          </cell>
        </row>
        <row r="1019">
          <cell r="I1019" t="str">
            <v>Ford Go</v>
          </cell>
          <cell r="K1019" t="str">
            <v>Verificar</v>
          </cell>
          <cell r="L1019" t="e">
            <v>#N/A</v>
          </cell>
          <cell r="M1019" t="e">
            <v>#N/A</v>
          </cell>
        </row>
        <row r="1020">
          <cell r="I1020" t="str">
            <v>Ford Go</v>
          </cell>
          <cell r="K1020" t="str">
            <v>Verificar</v>
          </cell>
          <cell r="L1020" t="e">
            <v>#N/A</v>
          </cell>
          <cell r="M1020" t="e">
            <v>#N/A</v>
          </cell>
        </row>
        <row r="1021">
          <cell r="I1021" t="str">
            <v>Ford Go</v>
          </cell>
          <cell r="L1021" t="e">
            <v>#N/A</v>
          </cell>
          <cell r="M1021" t="str">
            <v>SSC5</v>
          </cell>
        </row>
        <row r="1022">
          <cell r="I1022" t="str">
            <v>Ford Go</v>
          </cell>
          <cell r="L1022" t="e">
            <v>#N/A</v>
          </cell>
          <cell r="M1022" t="str">
            <v>SSC5</v>
          </cell>
        </row>
        <row r="1023">
          <cell r="I1023" t="str">
            <v>Ford Go</v>
          </cell>
          <cell r="L1023" t="e">
            <v>#N/A</v>
          </cell>
          <cell r="M1023" t="str">
            <v>SPR5</v>
          </cell>
        </row>
        <row r="1024">
          <cell r="I1024" t="str">
            <v>Ford Go</v>
          </cell>
          <cell r="L1024" t="e">
            <v>#N/A</v>
          </cell>
          <cell r="M1024" t="str">
            <v>SSC2</v>
          </cell>
        </row>
        <row r="1025">
          <cell r="I1025" t="str">
            <v>Ford Go</v>
          </cell>
          <cell r="L1025" t="e">
            <v>#N/A</v>
          </cell>
          <cell r="M1025" t="str">
            <v>SSP40</v>
          </cell>
        </row>
        <row r="1026">
          <cell r="I1026" t="str">
            <v>Ford Go</v>
          </cell>
          <cell r="L1026" t="e">
            <v>#N/A</v>
          </cell>
          <cell r="M1026" t="str">
            <v>SRS8</v>
          </cell>
        </row>
        <row r="1027">
          <cell r="I1027" t="str">
            <v>Ford Go</v>
          </cell>
          <cell r="L1027" t="e">
            <v>#N/A</v>
          </cell>
          <cell r="M1027" t="str">
            <v>SSP30</v>
          </cell>
        </row>
        <row r="1028">
          <cell r="I1028" t="str">
            <v>Ford Go</v>
          </cell>
          <cell r="L1028" t="e">
            <v>#N/A</v>
          </cell>
          <cell r="M1028" t="str">
            <v>SSP11</v>
          </cell>
        </row>
        <row r="1029">
          <cell r="I1029" t="str">
            <v>Ford Go</v>
          </cell>
          <cell r="L1029" t="e">
            <v>#N/A</v>
          </cell>
          <cell r="M1029" t="str">
            <v>SSP25</v>
          </cell>
        </row>
        <row r="1030">
          <cell r="I1030" t="str">
            <v>Ford Go</v>
          </cell>
          <cell r="L1030" t="e">
            <v>#N/A</v>
          </cell>
          <cell r="M1030" t="str">
            <v>SSP34</v>
          </cell>
        </row>
        <row r="1031">
          <cell r="I1031" t="str">
            <v>Ford Go</v>
          </cell>
          <cell r="L1031" t="e">
            <v>#N/A</v>
          </cell>
          <cell r="M1031" t="str">
            <v>SSC2</v>
          </cell>
        </row>
        <row r="1032">
          <cell r="I1032" t="str">
            <v>Ford Go</v>
          </cell>
          <cell r="L1032" t="e">
            <v>#N/A</v>
          </cell>
          <cell r="M1032" t="str">
            <v>SSC2</v>
          </cell>
        </row>
        <row r="1033">
          <cell r="I1033" t="str">
            <v>Ford Go</v>
          </cell>
          <cell r="L1033" t="e">
            <v>#N/A</v>
          </cell>
          <cell r="M1033" t="str">
            <v>SSC2</v>
          </cell>
        </row>
        <row r="1034">
          <cell r="I1034" t="str">
            <v>Ford Go</v>
          </cell>
          <cell r="L1034" t="e">
            <v>#N/A</v>
          </cell>
          <cell r="M1034" t="str">
            <v>SSP42</v>
          </cell>
        </row>
        <row r="1035">
          <cell r="I1035" t="str">
            <v>Ford Go</v>
          </cell>
          <cell r="L1035" t="e">
            <v>#N/A</v>
          </cell>
          <cell r="M1035" t="str">
            <v>SSP42</v>
          </cell>
        </row>
        <row r="1036">
          <cell r="I1036" t="str">
            <v>Ford Go</v>
          </cell>
          <cell r="L1036" t="e">
            <v>#N/A</v>
          </cell>
          <cell r="M1036" t="str">
            <v>SRS10</v>
          </cell>
        </row>
        <row r="1037">
          <cell r="I1037" t="str">
            <v>Ford Go</v>
          </cell>
          <cell r="L1037" t="e">
            <v>#N/A</v>
          </cell>
          <cell r="M1037" t="str">
            <v>SRS10</v>
          </cell>
        </row>
        <row r="1038">
          <cell r="I1038" t="str">
            <v>Ford Go</v>
          </cell>
          <cell r="L1038" t="e">
            <v>#N/A</v>
          </cell>
          <cell r="M1038" t="str">
            <v>SSP13</v>
          </cell>
        </row>
        <row r="1039">
          <cell r="I1039" t="str">
            <v>Ford Go</v>
          </cell>
          <cell r="L1039" t="e">
            <v>#N/A</v>
          </cell>
          <cell r="M1039" t="str">
            <v>SSP30</v>
          </cell>
        </row>
        <row r="1040">
          <cell r="I1040" t="str">
            <v>Ford Go</v>
          </cell>
          <cell r="L1040" t="e">
            <v>#N/A</v>
          </cell>
          <cell r="M1040" t="str">
            <v>SSP30</v>
          </cell>
        </row>
        <row r="1041">
          <cell r="I1041" t="str">
            <v>Ford Go</v>
          </cell>
          <cell r="L1041" t="e">
            <v>#N/A</v>
          </cell>
          <cell r="M1041" t="str">
            <v>SSP30</v>
          </cell>
        </row>
        <row r="1042">
          <cell r="I1042" t="str">
            <v>Ford Go</v>
          </cell>
          <cell r="L1042" t="e">
            <v>#N/A</v>
          </cell>
          <cell r="M1042" t="str">
            <v>SRS1</v>
          </cell>
        </row>
        <row r="1043">
          <cell r="I1043" t="str">
            <v>Ford Go</v>
          </cell>
          <cell r="L1043" t="e">
            <v>#N/A</v>
          </cell>
          <cell r="M1043" t="str">
            <v>SRS1</v>
          </cell>
        </row>
        <row r="1044">
          <cell r="I1044" t="str">
            <v>Ford Go</v>
          </cell>
          <cell r="L1044" t="e">
            <v>#N/A</v>
          </cell>
          <cell r="M1044" t="str">
            <v>SRS1</v>
          </cell>
        </row>
        <row r="1045">
          <cell r="I1045" t="str">
            <v>Ford Go</v>
          </cell>
          <cell r="L1045" t="e">
            <v>#N/A</v>
          </cell>
          <cell r="M1045" t="str">
            <v>SSP6</v>
          </cell>
        </row>
        <row r="1046">
          <cell r="I1046" t="str">
            <v>Ford Go</v>
          </cell>
          <cell r="L1046" t="e">
            <v>#N/A</v>
          </cell>
          <cell r="M1046" t="str">
            <v>MM03</v>
          </cell>
        </row>
        <row r="1047">
          <cell r="I1047" t="str">
            <v>Ford Go</v>
          </cell>
          <cell r="L1047" t="e">
            <v>#N/A</v>
          </cell>
          <cell r="M1047" t="str">
            <v>SSP11</v>
          </cell>
        </row>
        <row r="1048">
          <cell r="I1048" t="str">
            <v>Ford Go</v>
          </cell>
          <cell r="L1048" t="e">
            <v>#N/A</v>
          </cell>
          <cell r="M1048" t="str">
            <v>SRS3</v>
          </cell>
        </row>
        <row r="1049">
          <cell r="I1049" t="str">
            <v>Ford Go</v>
          </cell>
          <cell r="L1049" t="e">
            <v>#N/A</v>
          </cell>
          <cell r="M1049" t="str">
            <v>SSP22</v>
          </cell>
        </row>
        <row r="1050">
          <cell r="I1050" t="str">
            <v>Ford Go</v>
          </cell>
          <cell r="L1050" t="e">
            <v>#N/A</v>
          </cell>
          <cell r="M1050" t="str">
            <v>SSP20</v>
          </cell>
        </row>
        <row r="1051">
          <cell r="I1051" t="str">
            <v>Ford Go</v>
          </cell>
          <cell r="L1051" t="e">
            <v>#N/A</v>
          </cell>
          <cell r="M1051" t="str">
            <v>SES1</v>
          </cell>
        </row>
        <row r="1052">
          <cell r="I1052" t="str">
            <v>Ford Go</v>
          </cell>
          <cell r="L1052" t="e">
            <v>#N/A</v>
          </cell>
          <cell r="M1052" t="str">
            <v>SES1</v>
          </cell>
        </row>
        <row r="1053">
          <cell r="I1053" t="str">
            <v>Ford Go</v>
          </cell>
          <cell r="K1053" t="str">
            <v>Verificar</v>
          </cell>
          <cell r="L1053" t="e">
            <v>#N/A</v>
          </cell>
          <cell r="M1053" t="e">
            <v>#N/A</v>
          </cell>
        </row>
        <row r="1054">
          <cell r="I1054" t="str">
            <v>Ford Go</v>
          </cell>
          <cell r="L1054" t="e">
            <v>#N/A</v>
          </cell>
          <cell r="M1054" t="str">
            <v>GP03</v>
          </cell>
        </row>
        <row r="1055">
          <cell r="I1055" t="str">
            <v>Ford Go</v>
          </cell>
          <cell r="L1055" t="e">
            <v>#N/A</v>
          </cell>
          <cell r="M1055" t="str">
            <v>SRS8</v>
          </cell>
        </row>
        <row r="1056">
          <cell r="I1056" t="str">
            <v>Ford Go</v>
          </cell>
          <cell r="L1056" t="e">
            <v>#N/A</v>
          </cell>
          <cell r="M1056" t="str">
            <v>SRS8</v>
          </cell>
        </row>
        <row r="1057">
          <cell r="I1057" t="str">
            <v>Ford Go</v>
          </cell>
          <cell r="L1057" t="e">
            <v>#N/A</v>
          </cell>
          <cell r="M1057" t="str">
            <v>SRS8</v>
          </cell>
        </row>
        <row r="1058">
          <cell r="I1058" t="str">
            <v>Ford Go</v>
          </cell>
          <cell r="L1058" t="e">
            <v>#N/A</v>
          </cell>
          <cell r="M1058" t="str">
            <v>SRS8</v>
          </cell>
        </row>
        <row r="1059">
          <cell r="I1059" t="str">
            <v>Ford Go</v>
          </cell>
          <cell r="L1059" t="e">
            <v>#N/A</v>
          </cell>
          <cell r="M1059" t="str">
            <v>SRS8</v>
          </cell>
        </row>
        <row r="1060">
          <cell r="I1060" t="str">
            <v>Ford Go</v>
          </cell>
          <cell r="L1060" t="e">
            <v>#N/A</v>
          </cell>
          <cell r="M1060" t="str">
            <v>SRS8</v>
          </cell>
        </row>
        <row r="1061">
          <cell r="I1061" t="str">
            <v>Ford Go</v>
          </cell>
          <cell r="L1061" t="e">
            <v>#N/A</v>
          </cell>
          <cell r="M1061" t="str">
            <v>SSC4</v>
          </cell>
        </row>
        <row r="1062">
          <cell r="I1062" t="str">
            <v>Ford Go</v>
          </cell>
          <cell r="L1062" t="e">
            <v>#N/A</v>
          </cell>
          <cell r="M1062" t="str">
            <v>SRS8</v>
          </cell>
        </row>
        <row r="1063">
          <cell r="I1063" t="str">
            <v>Ford Go</v>
          </cell>
          <cell r="L1063" t="e">
            <v>#N/A</v>
          </cell>
          <cell r="M1063" t="str">
            <v>SRS8</v>
          </cell>
        </row>
        <row r="1064">
          <cell r="I1064" t="str">
            <v>Ford Go</v>
          </cell>
          <cell r="L1064" t="e">
            <v>#N/A</v>
          </cell>
          <cell r="M1064" t="str">
            <v>SRS8</v>
          </cell>
        </row>
        <row r="1065">
          <cell r="I1065" t="str">
            <v>Ford Go</v>
          </cell>
          <cell r="K1065" t="str">
            <v>Verificar</v>
          </cell>
          <cell r="L1065" t="e">
            <v>#N/A</v>
          </cell>
          <cell r="M1065" t="e">
            <v>#N/A</v>
          </cell>
        </row>
        <row r="1066">
          <cell r="I1066" t="str">
            <v>Ford Go</v>
          </cell>
          <cell r="L1066" t="e">
            <v>#N/A</v>
          </cell>
          <cell r="M1066" t="str">
            <v>SRS8</v>
          </cell>
        </row>
        <row r="1067">
          <cell r="I1067" t="str">
            <v>Ford Go</v>
          </cell>
          <cell r="L1067" t="e">
            <v>#N/A</v>
          </cell>
          <cell r="M1067" t="str">
            <v>SRS8</v>
          </cell>
        </row>
        <row r="1068">
          <cell r="I1068" t="str">
            <v>Ford Go</v>
          </cell>
          <cell r="L1068" t="e">
            <v>#N/A</v>
          </cell>
          <cell r="M1068" t="str">
            <v>SSC4</v>
          </cell>
        </row>
        <row r="1069">
          <cell r="I1069" t="str">
            <v>Ford Go</v>
          </cell>
          <cell r="L1069" t="e">
            <v>#N/A</v>
          </cell>
          <cell r="M1069" t="str">
            <v>SES1</v>
          </cell>
        </row>
        <row r="1070">
          <cell r="I1070" t="str">
            <v>Ford Go</v>
          </cell>
          <cell r="L1070" t="e">
            <v>#N/A</v>
          </cell>
          <cell r="M1070" t="str">
            <v>SRS8</v>
          </cell>
        </row>
        <row r="1071">
          <cell r="I1071" t="str">
            <v>Ford Go</v>
          </cell>
          <cell r="L1071" t="e">
            <v>#N/A</v>
          </cell>
          <cell r="M1071" t="str">
            <v>SRS10</v>
          </cell>
        </row>
        <row r="1072">
          <cell r="I1072" t="str">
            <v>Ford Go</v>
          </cell>
          <cell r="L1072" t="e">
            <v>#N/A</v>
          </cell>
          <cell r="M1072" t="str">
            <v>SSP28</v>
          </cell>
        </row>
        <row r="1073">
          <cell r="I1073" t="str">
            <v>Ford Go</v>
          </cell>
          <cell r="L1073" t="e">
            <v>#N/A</v>
          </cell>
          <cell r="M1073" t="str">
            <v>SRS8</v>
          </cell>
        </row>
        <row r="1074">
          <cell r="I1074" t="str">
            <v>Ford Go</v>
          </cell>
          <cell r="L1074" t="e">
            <v>#N/A</v>
          </cell>
          <cell r="M1074" t="str">
            <v>SRS1</v>
          </cell>
        </row>
        <row r="1075">
          <cell r="I1075" t="str">
            <v>Ford Go</v>
          </cell>
          <cell r="L1075" t="e">
            <v>#N/A</v>
          </cell>
          <cell r="M1075" t="str">
            <v>SBA1</v>
          </cell>
        </row>
        <row r="1076">
          <cell r="I1076" t="str">
            <v>Ford Go</v>
          </cell>
          <cell r="L1076" t="e">
            <v>#N/A</v>
          </cell>
          <cell r="M1076" t="str">
            <v>SRS3</v>
          </cell>
        </row>
        <row r="1077">
          <cell r="I1077" t="str">
            <v>Ford Go</v>
          </cell>
          <cell r="L1077" t="e">
            <v>#N/A</v>
          </cell>
          <cell r="M1077" t="str">
            <v>SSP16</v>
          </cell>
        </row>
        <row r="1078">
          <cell r="I1078" t="str">
            <v>Ford Go</v>
          </cell>
          <cell r="L1078" t="e">
            <v>#N/A</v>
          </cell>
          <cell r="M1078" t="str">
            <v>SSP28</v>
          </cell>
        </row>
        <row r="1079">
          <cell r="I1079" t="str">
            <v>Ford Go</v>
          </cell>
          <cell r="L1079" t="e">
            <v>#N/A</v>
          </cell>
          <cell r="M1079" t="str">
            <v>SSP28</v>
          </cell>
        </row>
        <row r="1080">
          <cell r="I1080" t="str">
            <v>Ford Go</v>
          </cell>
          <cell r="L1080" t="e">
            <v>#N/A</v>
          </cell>
          <cell r="M1080" t="str">
            <v>SSP30</v>
          </cell>
        </row>
        <row r="1081">
          <cell r="I1081" t="str">
            <v>Ford Go</v>
          </cell>
          <cell r="L1081" t="e">
            <v>#N/A</v>
          </cell>
          <cell r="M1081" t="str">
            <v>SRS8</v>
          </cell>
        </row>
        <row r="1082">
          <cell r="I1082" t="str">
            <v>Ford Go</v>
          </cell>
          <cell r="L1082" t="e">
            <v>#N/A</v>
          </cell>
          <cell r="M1082" t="str">
            <v>SRS10</v>
          </cell>
        </row>
        <row r="1083">
          <cell r="I1083" t="str">
            <v>Ford Go</v>
          </cell>
          <cell r="L1083" t="e">
            <v>#N/A</v>
          </cell>
          <cell r="M1083" t="str">
            <v>SRS10</v>
          </cell>
        </row>
        <row r="1084">
          <cell r="I1084" t="str">
            <v>Ford Go</v>
          </cell>
          <cell r="L1084" t="e">
            <v>#N/A</v>
          </cell>
          <cell r="M1084" t="str">
            <v>SSP3</v>
          </cell>
        </row>
        <row r="1085">
          <cell r="I1085" t="str">
            <v>Ford Go</v>
          </cell>
          <cell r="L1085" t="e">
            <v>#N/A</v>
          </cell>
          <cell r="M1085" t="str">
            <v>SSP3</v>
          </cell>
        </row>
        <row r="1086">
          <cell r="I1086" t="str">
            <v>Ford Go</v>
          </cell>
          <cell r="L1086" t="e">
            <v>#N/A</v>
          </cell>
          <cell r="M1086" t="str">
            <v>SSP37</v>
          </cell>
        </row>
        <row r="1087">
          <cell r="I1087" t="str">
            <v>Ford Go</v>
          </cell>
          <cell r="L1087" t="e">
            <v>#N/A</v>
          </cell>
          <cell r="M1087" t="str">
            <v>SSP37</v>
          </cell>
        </row>
        <row r="1088">
          <cell r="I1088" t="str">
            <v>Ford Go</v>
          </cell>
          <cell r="L1088" t="e">
            <v>#N/A</v>
          </cell>
          <cell r="M1088" t="str">
            <v>SSP37</v>
          </cell>
        </row>
        <row r="1089">
          <cell r="I1089" t="str">
            <v>Ford Go</v>
          </cell>
          <cell r="L1089" t="e">
            <v>#N/A</v>
          </cell>
          <cell r="M1089" t="str">
            <v>SSP37</v>
          </cell>
        </row>
        <row r="1090">
          <cell r="I1090" t="str">
            <v>Ford Go</v>
          </cell>
          <cell r="L1090" t="e">
            <v>#N/A</v>
          </cell>
          <cell r="M1090" t="str">
            <v>SSP37</v>
          </cell>
        </row>
        <row r="1091">
          <cell r="I1091" t="str">
            <v>Ford Go</v>
          </cell>
          <cell r="L1091" t="e">
            <v>#N/A</v>
          </cell>
          <cell r="M1091" t="str">
            <v>SSP17</v>
          </cell>
        </row>
        <row r="1092">
          <cell r="I1092" t="str">
            <v>Ford Go</v>
          </cell>
          <cell r="L1092" t="e">
            <v>#N/A</v>
          </cell>
          <cell r="M1092" t="str">
            <v>SSP17</v>
          </cell>
        </row>
        <row r="1093">
          <cell r="I1093" t="str">
            <v>Ford Go</v>
          </cell>
          <cell r="L1093" t="e">
            <v>#N/A</v>
          </cell>
          <cell r="M1093" t="str">
            <v>SSP17</v>
          </cell>
        </row>
        <row r="1094">
          <cell r="I1094" t="str">
            <v>Ford Go</v>
          </cell>
          <cell r="L1094" t="e">
            <v>#N/A</v>
          </cell>
          <cell r="M1094" t="str">
            <v>SSP16</v>
          </cell>
        </row>
        <row r="1095">
          <cell r="I1095" t="str">
            <v>Ford Go</v>
          </cell>
          <cell r="L1095" t="e">
            <v>#N/A</v>
          </cell>
          <cell r="M1095" t="str">
            <v>SSP17</v>
          </cell>
        </row>
        <row r="1096">
          <cell r="I1096" t="str">
            <v>Ford Go</v>
          </cell>
          <cell r="L1096" t="e">
            <v>#N/A</v>
          </cell>
          <cell r="M1096" t="str">
            <v>SSP16</v>
          </cell>
        </row>
        <row r="1097">
          <cell r="I1097" t="str">
            <v>Ford Go</v>
          </cell>
          <cell r="L1097" t="e">
            <v>#N/A</v>
          </cell>
          <cell r="M1097" t="str">
            <v>SSP16</v>
          </cell>
        </row>
        <row r="1098">
          <cell r="I1098" t="str">
            <v>Ford Go</v>
          </cell>
          <cell r="L1098" t="e">
            <v>#N/A</v>
          </cell>
          <cell r="M1098" t="str">
            <v>SSP17</v>
          </cell>
        </row>
        <row r="1099">
          <cell r="I1099" t="str">
            <v>Ford Go</v>
          </cell>
          <cell r="L1099" t="e">
            <v>#N/A</v>
          </cell>
          <cell r="M1099" t="str">
            <v>SSP17</v>
          </cell>
        </row>
        <row r="1100">
          <cell r="I1100" t="str">
            <v>Ford Go</v>
          </cell>
          <cell r="L1100" t="e">
            <v>#N/A</v>
          </cell>
          <cell r="M1100" t="str">
            <v>SSP10</v>
          </cell>
        </row>
        <row r="1101">
          <cell r="I1101" t="str">
            <v>Ford Go</v>
          </cell>
          <cell r="L1101" t="e">
            <v>#N/A</v>
          </cell>
          <cell r="M1101" t="str">
            <v>SSP34</v>
          </cell>
        </row>
        <row r="1102">
          <cell r="I1102" t="str">
            <v>Ford Go</v>
          </cell>
          <cell r="L1102" t="e">
            <v>#N/A</v>
          </cell>
          <cell r="M1102" t="str">
            <v>SSP5</v>
          </cell>
        </row>
        <row r="1103">
          <cell r="I1103" t="str">
            <v>Ford Go</v>
          </cell>
          <cell r="L1103" t="e">
            <v>#N/A</v>
          </cell>
          <cell r="M1103" t="str">
            <v>SSP5</v>
          </cell>
        </row>
        <row r="1104">
          <cell r="I1104" t="str">
            <v>Ford Go</v>
          </cell>
          <cell r="L1104" t="e">
            <v>#N/A</v>
          </cell>
          <cell r="M1104" t="str">
            <v>SSP5</v>
          </cell>
        </row>
        <row r="1105">
          <cell r="I1105" t="str">
            <v>Ford Go</v>
          </cell>
          <cell r="L1105" t="e">
            <v>#N/A</v>
          </cell>
          <cell r="M1105">
            <v>0</v>
          </cell>
        </row>
        <row r="1106">
          <cell r="I1106" t="str">
            <v>Ford Go</v>
          </cell>
          <cell r="L1106" t="e">
            <v>#N/A</v>
          </cell>
          <cell r="M1106" t="str">
            <v>SSP5</v>
          </cell>
        </row>
        <row r="1107">
          <cell r="I1107" t="str">
            <v>Ford Go</v>
          </cell>
          <cell r="L1107" t="e">
            <v>#N/A</v>
          </cell>
          <cell r="M1107" t="str">
            <v>SSP25</v>
          </cell>
        </row>
        <row r="1108">
          <cell r="I1108" t="str">
            <v>Ford Go</v>
          </cell>
          <cell r="L1108" t="e">
            <v>#N/A</v>
          </cell>
          <cell r="M1108" t="str">
            <v>SSP25</v>
          </cell>
        </row>
        <row r="1109">
          <cell r="I1109" t="str">
            <v>Ford Go</v>
          </cell>
          <cell r="L1109" t="e">
            <v>#N/A</v>
          </cell>
          <cell r="M1109" t="str">
            <v>SSP25</v>
          </cell>
        </row>
        <row r="1110">
          <cell r="I1110" t="str">
            <v>Ford Go</v>
          </cell>
          <cell r="L1110" t="e">
            <v>#N/A</v>
          </cell>
          <cell r="M1110" t="str">
            <v>SSP25</v>
          </cell>
        </row>
        <row r="1111">
          <cell r="I1111" t="str">
            <v>Ford Go</v>
          </cell>
          <cell r="L1111" t="e">
            <v>#N/A</v>
          </cell>
          <cell r="M1111" t="str">
            <v>SSP25</v>
          </cell>
        </row>
        <row r="1112">
          <cell r="I1112" t="str">
            <v>Ford Go</v>
          </cell>
          <cell r="L1112" t="e">
            <v>#N/A</v>
          </cell>
          <cell r="M1112" t="str">
            <v>SSP25</v>
          </cell>
        </row>
        <row r="1113">
          <cell r="I1113" t="str">
            <v>Ford Go</v>
          </cell>
          <cell r="L1113" t="e">
            <v>#N/A</v>
          </cell>
          <cell r="M1113" t="str">
            <v>SSP25</v>
          </cell>
        </row>
        <row r="1114">
          <cell r="I1114" t="str">
            <v>Ford Go</v>
          </cell>
          <cell r="L1114" t="e">
            <v>#N/A</v>
          </cell>
          <cell r="M1114" t="str">
            <v>SBA1</v>
          </cell>
        </row>
        <row r="1115">
          <cell r="I1115" t="str">
            <v>Ford Go</v>
          </cell>
          <cell r="L1115" t="e">
            <v>#N/A</v>
          </cell>
          <cell r="M1115" t="str">
            <v>SBA1</v>
          </cell>
        </row>
        <row r="1116">
          <cell r="I1116" t="str">
            <v>Ford Go</v>
          </cell>
          <cell r="L1116" t="e">
            <v>#N/A</v>
          </cell>
          <cell r="M1116" t="str">
            <v>SBA1</v>
          </cell>
        </row>
        <row r="1117">
          <cell r="I1117" t="str">
            <v>Ford Go</v>
          </cell>
          <cell r="L1117" t="e">
            <v>#N/A</v>
          </cell>
          <cell r="M1117" t="str">
            <v>SBA1</v>
          </cell>
        </row>
        <row r="1118">
          <cell r="I1118" t="str">
            <v>Ford Go</v>
          </cell>
          <cell r="L1118" t="e">
            <v>#N/A</v>
          </cell>
          <cell r="M1118" t="str">
            <v>EPR6</v>
          </cell>
        </row>
        <row r="1119">
          <cell r="I1119" t="str">
            <v>Ford Go</v>
          </cell>
          <cell r="L1119" t="e">
            <v>#N/A</v>
          </cell>
          <cell r="M1119" t="str">
            <v>SBA1</v>
          </cell>
        </row>
        <row r="1120">
          <cell r="I1120" t="str">
            <v>Ford Go</v>
          </cell>
          <cell r="L1120" t="e">
            <v>#N/A</v>
          </cell>
          <cell r="M1120" t="str">
            <v>SBA1</v>
          </cell>
        </row>
        <row r="1121">
          <cell r="I1121" t="str">
            <v>Ford Go</v>
          </cell>
          <cell r="L1121" t="e">
            <v>#N/A</v>
          </cell>
          <cell r="M1121" t="str">
            <v>SSP14</v>
          </cell>
        </row>
        <row r="1122">
          <cell r="I1122" t="str">
            <v>Ford Go</v>
          </cell>
          <cell r="L1122" t="e">
            <v>#N/A</v>
          </cell>
          <cell r="M1122" t="str">
            <v>SSC3</v>
          </cell>
        </row>
        <row r="1123">
          <cell r="I1123" t="str">
            <v>Ford Go</v>
          </cell>
          <cell r="L1123" t="e">
            <v>#N/A</v>
          </cell>
          <cell r="M1123" t="str">
            <v>SSC3</v>
          </cell>
        </row>
        <row r="1124">
          <cell r="I1124" t="str">
            <v>Ford Go</v>
          </cell>
          <cell r="L1124" t="e">
            <v>#N/A</v>
          </cell>
          <cell r="M1124" t="str">
            <v>SSC3</v>
          </cell>
        </row>
        <row r="1125">
          <cell r="I1125" t="str">
            <v>Ford Go</v>
          </cell>
          <cell r="L1125" t="e">
            <v>#N/A</v>
          </cell>
          <cell r="M1125" t="str">
            <v>SSC3</v>
          </cell>
        </row>
        <row r="1126">
          <cell r="I1126" t="str">
            <v>Ford Go</v>
          </cell>
          <cell r="L1126" t="e">
            <v>#N/A</v>
          </cell>
          <cell r="M1126" t="str">
            <v>SSC3</v>
          </cell>
        </row>
        <row r="1127">
          <cell r="I1127" t="str">
            <v>Ford Go</v>
          </cell>
          <cell r="L1127" t="e">
            <v>#N/A</v>
          </cell>
          <cell r="M1127" t="str">
            <v>SSC3</v>
          </cell>
        </row>
        <row r="1128">
          <cell r="I1128" t="str">
            <v>Ford Go</v>
          </cell>
          <cell r="L1128" t="e">
            <v>#N/A</v>
          </cell>
          <cell r="M1128" t="str">
            <v>SSC3</v>
          </cell>
        </row>
        <row r="1129">
          <cell r="I1129" t="str">
            <v>Ford Go</v>
          </cell>
          <cell r="L1129" t="e">
            <v>#N/A</v>
          </cell>
          <cell r="M1129" t="str">
            <v>SPR8</v>
          </cell>
        </row>
        <row r="1130">
          <cell r="I1130" t="str">
            <v>Ford Go</v>
          </cell>
          <cell r="L1130" t="e">
            <v>#N/A</v>
          </cell>
          <cell r="M1130" t="str">
            <v>SSP16</v>
          </cell>
        </row>
        <row r="1131">
          <cell r="I1131" t="str">
            <v>Ford Go</v>
          </cell>
          <cell r="L1131" t="e">
            <v>#N/A</v>
          </cell>
          <cell r="M1131" t="str">
            <v>SSC4</v>
          </cell>
        </row>
        <row r="1132">
          <cell r="I1132" t="str">
            <v>Ford Go</v>
          </cell>
          <cell r="L1132" t="e">
            <v>#N/A</v>
          </cell>
          <cell r="M1132" t="str">
            <v>SSC4</v>
          </cell>
        </row>
        <row r="1133">
          <cell r="I1133" t="str">
            <v>Ford Go</v>
          </cell>
          <cell r="L1133" t="e">
            <v>#N/A</v>
          </cell>
          <cell r="M1133" t="str">
            <v>SSP34</v>
          </cell>
        </row>
        <row r="1134">
          <cell r="I1134" t="str">
            <v>Ford Go</v>
          </cell>
          <cell r="L1134" t="e">
            <v>#N/A</v>
          </cell>
          <cell r="M1134" t="str">
            <v>SSP34</v>
          </cell>
        </row>
        <row r="1135">
          <cell r="I1135" t="str">
            <v>Ford Go</v>
          </cell>
          <cell r="L1135" t="e">
            <v>#N/A</v>
          </cell>
          <cell r="M1135" t="str">
            <v>SSC5</v>
          </cell>
        </row>
        <row r="1136">
          <cell r="I1136" t="str">
            <v>Ford Go</v>
          </cell>
          <cell r="L1136" t="e">
            <v>#N/A</v>
          </cell>
          <cell r="M1136" t="str">
            <v>SSC5</v>
          </cell>
        </row>
        <row r="1137">
          <cell r="I1137" t="str">
            <v>Ford Go</v>
          </cell>
          <cell r="L1137" t="e">
            <v>#N/A</v>
          </cell>
          <cell r="M1137" t="str">
            <v>SSC2</v>
          </cell>
        </row>
        <row r="1138">
          <cell r="I1138" t="str">
            <v>Ford Go</v>
          </cell>
          <cell r="L1138" t="e">
            <v>#N/A</v>
          </cell>
          <cell r="M1138" t="str">
            <v>SSC2</v>
          </cell>
        </row>
        <row r="1139">
          <cell r="I1139" t="str">
            <v>Ford Go</v>
          </cell>
          <cell r="L1139" t="e">
            <v>#N/A</v>
          </cell>
          <cell r="M1139" t="str">
            <v>SSC2</v>
          </cell>
        </row>
        <row r="1140">
          <cell r="I1140" t="str">
            <v>Ford Go</v>
          </cell>
          <cell r="L1140" t="e">
            <v>#N/A</v>
          </cell>
          <cell r="M1140" t="str">
            <v>SSC2</v>
          </cell>
        </row>
        <row r="1141">
          <cell r="I1141" t="str">
            <v>Ford Go</v>
          </cell>
          <cell r="L1141" t="e">
            <v>#N/A</v>
          </cell>
          <cell r="M1141" t="str">
            <v>SSC2</v>
          </cell>
        </row>
        <row r="1142">
          <cell r="I1142" t="str">
            <v>Ford Go</v>
          </cell>
          <cell r="L1142" t="e">
            <v>#N/A</v>
          </cell>
          <cell r="M1142" t="str">
            <v>SSC2</v>
          </cell>
        </row>
        <row r="1143">
          <cell r="I1143" t="str">
            <v>Ford Go</v>
          </cell>
          <cell r="L1143" t="e">
            <v>#N/A</v>
          </cell>
          <cell r="M1143" t="str">
            <v>SSC2</v>
          </cell>
        </row>
        <row r="1144">
          <cell r="I1144" t="str">
            <v>Ford Go</v>
          </cell>
          <cell r="L1144" t="e">
            <v>#N/A</v>
          </cell>
          <cell r="M1144" t="str">
            <v>SSC2</v>
          </cell>
        </row>
        <row r="1145">
          <cell r="I1145" t="str">
            <v>Ford Go</v>
          </cell>
          <cell r="L1145" t="e">
            <v>#N/A</v>
          </cell>
          <cell r="M1145" t="str">
            <v>SSC2</v>
          </cell>
        </row>
        <row r="1146">
          <cell r="I1146" t="str">
            <v>Ford Go</v>
          </cell>
          <cell r="L1146" t="e">
            <v>#N/A</v>
          </cell>
          <cell r="M1146" t="str">
            <v>SSP5</v>
          </cell>
        </row>
        <row r="1147">
          <cell r="I1147" t="str">
            <v>Ford Go</v>
          </cell>
          <cell r="L1147" t="e">
            <v>#N/A</v>
          </cell>
          <cell r="M1147" t="str">
            <v>SSP5</v>
          </cell>
        </row>
        <row r="1148">
          <cell r="I1148" t="str">
            <v>Ford Go</v>
          </cell>
          <cell r="L1148" t="e">
            <v>#N/A</v>
          </cell>
          <cell r="M1148" t="str">
            <v>SSP42</v>
          </cell>
        </row>
        <row r="1149">
          <cell r="I1149" t="str">
            <v>Ford Go</v>
          </cell>
          <cell r="L1149" t="e">
            <v>#N/A</v>
          </cell>
          <cell r="M1149" t="str">
            <v>SSP38</v>
          </cell>
        </row>
        <row r="1150">
          <cell r="I1150" t="str">
            <v>Ford Go</v>
          </cell>
          <cell r="L1150" t="e">
            <v>#N/A</v>
          </cell>
          <cell r="M1150" t="str">
            <v>SSP42</v>
          </cell>
        </row>
        <row r="1151">
          <cell r="I1151" t="str">
            <v>Ford Go</v>
          </cell>
          <cell r="L1151" t="e">
            <v>#N/A</v>
          </cell>
          <cell r="M1151" t="str">
            <v>SSP25</v>
          </cell>
        </row>
        <row r="1152">
          <cell r="I1152" t="str">
            <v>Ford Go</v>
          </cell>
          <cell r="L1152" t="e">
            <v>#N/A</v>
          </cell>
          <cell r="M1152" t="str">
            <v>SSP25</v>
          </cell>
        </row>
        <row r="1153">
          <cell r="I1153" t="str">
            <v>Ford Go</v>
          </cell>
          <cell r="L1153" t="e">
            <v>#N/A</v>
          </cell>
          <cell r="M1153" t="str">
            <v>SSP42</v>
          </cell>
        </row>
        <row r="1154">
          <cell r="I1154" t="str">
            <v>Ford Go</v>
          </cell>
          <cell r="L1154" t="e">
            <v>#N/A</v>
          </cell>
          <cell r="M1154" t="str">
            <v>SSP42</v>
          </cell>
        </row>
        <row r="1155">
          <cell r="I1155" t="str">
            <v>Ford Go</v>
          </cell>
          <cell r="L1155" t="e">
            <v>#N/A</v>
          </cell>
          <cell r="M1155" t="str">
            <v>SSP38</v>
          </cell>
        </row>
        <row r="1156">
          <cell r="I1156" t="str">
            <v>Ford Go</v>
          </cell>
          <cell r="L1156" t="e">
            <v>#N/A</v>
          </cell>
          <cell r="M1156" t="str">
            <v>SSP38</v>
          </cell>
        </row>
        <row r="1157">
          <cell r="I1157" t="str">
            <v>Ford Go</v>
          </cell>
          <cell r="L1157" t="e">
            <v>#N/A</v>
          </cell>
          <cell r="M1157" t="str">
            <v>SSP42</v>
          </cell>
        </row>
        <row r="1158">
          <cell r="I1158" t="str">
            <v>Ford Go</v>
          </cell>
          <cell r="L1158" t="e">
            <v>#N/A</v>
          </cell>
          <cell r="M1158" t="str">
            <v>SSP42</v>
          </cell>
        </row>
        <row r="1159">
          <cell r="I1159" t="str">
            <v>Ford Go</v>
          </cell>
          <cell r="L1159" t="e">
            <v>#N/A</v>
          </cell>
          <cell r="M1159" t="str">
            <v>SSP42</v>
          </cell>
        </row>
        <row r="1160">
          <cell r="I1160" t="str">
            <v>Ford Go</v>
          </cell>
          <cell r="L1160" t="e">
            <v>#N/A</v>
          </cell>
          <cell r="M1160" t="str">
            <v>SRS10</v>
          </cell>
        </row>
        <row r="1161">
          <cell r="I1161" t="str">
            <v>Ford Go</v>
          </cell>
          <cell r="L1161" t="e">
            <v>#N/A</v>
          </cell>
          <cell r="M1161" t="str">
            <v>SRS10</v>
          </cell>
        </row>
        <row r="1162">
          <cell r="I1162" t="str">
            <v>Ford Go</v>
          </cell>
          <cell r="L1162" t="e">
            <v>#N/A</v>
          </cell>
          <cell r="M1162" t="str">
            <v>SRS10</v>
          </cell>
        </row>
        <row r="1163">
          <cell r="I1163" t="str">
            <v>Ford Go</v>
          </cell>
          <cell r="L1163" t="e">
            <v>#N/A</v>
          </cell>
          <cell r="M1163" t="str">
            <v>SRS10</v>
          </cell>
        </row>
        <row r="1164">
          <cell r="I1164" t="str">
            <v>Ford Go</v>
          </cell>
          <cell r="L1164" t="e">
            <v>#N/A</v>
          </cell>
          <cell r="M1164" t="str">
            <v>SRS10</v>
          </cell>
        </row>
        <row r="1165">
          <cell r="I1165" t="str">
            <v>Ford Go</v>
          </cell>
          <cell r="L1165" t="e">
            <v>#N/A</v>
          </cell>
          <cell r="M1165" t="str">
            <v>SRS10</v>
          </cell>
        </row>
        <row r="1166">
          <cell r="I1166" t="str">
            <v>Ford Go</v>
          </cell>
          <cell r="L1166" t="e">
            <v>#N/A</v>
          </cell>
          <cell r="M1166" t="str">
            <v>SRS10</v>
          </cell>
        </row>
        <row r="1167">
          <cell r="I1167" t="str">
            <v>Ford Go</v>
          </cell>
          <cell r="L1167" t="e">
            <v>#N/A</v>
          </cell>
          <cell r="M1167" t="str">
            <v>SRS10</v>
          </cell>
        </row>
        <row r="1168">
          <cell r="I1168" t="str">
            <v>Ford Go</v>
          </cell>
          <cell r="L1168" t="e">
            <v>#N/A</v>
          </cell>
          <cell r="M1168" t="str">
            <v>SRS10</v>
          </cell>
        </row>
        <row r="1169">
          <cell r="I1169" t="str">
            <v>Ford Go</v>
          </cell>
          <cell r="L1169" t="e">
            <v>#N/A</v>
          </cell>
          <cell r="M1169" t="str">
            <v>SRS10</v>
          </cell>
        </row>
        <row r="1170">
          <cell r="I1170" t="str">
            <v>Ford Go</v>
          </cell>
          <cell r="L1170" t="e">
            <v>#N/A</v>
          </cell>
          <cell r="M1170" t="str">
            <v>SRS10</v>
          </cell>
        </row>
        <row r="1171">
          <cell r="I1171" t="str">
            <v>Ford Go</v>
          </cell>
          <cell r="L1171" t="e">
            <v>#N/A</v>
          </cell>
          <cell r="M1171" t="str">
            <v>SRS10</v>
          </cell>
        </row>
        <row r="1172">
          <cell r="I1172" t="str">
            <v>Ford Go</v>
          </cell>
          <cell r="L1172" t="e">
            <v>#N/A</v>
          </cell>
          <cell r="M1172" t="str">
            <v>SRS10</v>
          </cell>
        </row>
        <row r="1173">
          <cell r="I1173" t="str">
            <v>Ford Go</v>
          </cell>
          <cell r="L1173" t="e">
            <v>#N/A</v>
          </cell>
          <cell r="M1173" t="str">
            <v>SRS10</v>
          </cell>
        </row>
        <row r="1174">
          <cell r="I1174" t="str">
            <v>Ford Go</v>
          </cell>
          <cell r="L1174" t="e">
            <v>#N/A</v>
          </cell>
          <cell r="M1174" t="str">
            <v>SRS10</v>
          </cell>
        </row>
        <row r="1175">
          <cell r="I1175" t="str">
            <v>Ford Go</v>
          </cell>
          <cell r="L1175" t="e">
            <v>#N/A</v>
          </cell>
          <cell r="M1175" t="str">
            <v>SRS10</v>
          </cell>
        </row>
        <row r="1176">
          <cell r="I1176" t="str">
            <v>Ford Go</v>
          </cell>
          <cell r="L1176" t="e">
            <v>#N/A</v>
          </cell>
          <cell r="M1176" t="str">
            <v>SRS10</v>
          </cell>
        </row>
        <row r="1177">
          <cell r="I1177" t="str">
            <v>Ford Go</v>
          </cell>
          <cell r="L1177" t="e">
            <v>#N/A</v>
          </cell>
          <cell r="M1177" t="str">
            <v>SSP13</v>
          </cell>
        </row>
        <row r="1178">
          <cell r="I1178" t="str">
            <v>Ford Go</v>
          </cell>
          <cell r="L1178" t="e">
            <v>#N/A</v>
          </cell>
          <cell r="M1178" t="str">
            <v>SSP13</v>
          </cell>
        </row>
        <row r="1179">
          <cell r="I1179" t="str">
            <v>Ford Go</v>
          </cell>
          <cell r="L1179" t="e">
            <v>#N/A</v>
          </cell>
          <cell r="M1179" t="str">
            <v>SSP13</v>
          </cell>
        </row>
        <row r="1180">
          <cell r="I1180" t="str">
            <v>Ford Go</v>
          </cell>
          <cell r="L1180" t="e">
            <v>#N/A</v>
          </cell>
          <cell r="M1180" t="str">
            <v>SSP13</v>
          </cell>
        </row>
        <row r="1181">
          <cell r="I1181" t="str">
            <v>Ford Go</v>
          </cell>
          <cell r="L1181" t="e">
            <v>#N/A</v>
          </cell>
          <cell r="M1181" t="str">
            <v>SSP13</v>
          </cell>
        </row>
        <row r="1182">
          <cell r="I1182" t="str">
            <v>Ford Go</v>
          </cell>
          <cell r="L1182" t="e">
            <v>#N/A</v>
          </cell>
          <cell r="M1182" t="str">
            <v>SSP13</v>
          </cell>
        </row>
        <row r="1183">
          <cell r="I1183" t="str">
            <v>Ford Go</v>
          </cell>
          <cell r="L1183" t="e">
            <v>#N/A</v>
          </cell>
          <cell r="M1183" t="str">
            <v>SSP13</v>
          </cell>
        </row>
        <row r="1184">
          <cell r="I1184" t="str">
            <v>Ford Go</v>
          </cell>
          <cell r="L1184" t="e">
            <v>#N/A</v>
          </cell>
          <cell r="M1184" t="str">
            <v>SSP13</v>
          </cell>
        </row>
        <row r="1185">
          <cell r="I1185" t="str">
            <v>Ford Go</v>
          </cell>
          <cell r="L1185" t="e">
            <v>#N/A</v>
          </cell>
          <cell r="M1185" t="str">
            <v>SPR6</v>
          </cell>
        </row>
        <row r="1186">
          <cell r="I1186" t="str">
            <v>Ford Go</v>
          </cell>
          <cell r="L1186" t="e">
            <v>#N/A</v>
          </cell>
          <cell r="M1186" t="str">
            <v>SPR6</v>
          </cell>
        </row>
        <row r="1187">
          <cell r="I1187" t="str">
            <v>Ford Go</v>
          </cell>
          <cell r="L1187" t="e">
            <v>#N/A</v>
          </cell>
          <cell r="M1187" t="str">
            <v>SPR6</v>
          </cell>
        </row>
        <row r="1188">
          <cell r="I1188" t="str">
            <v>Ford Go</v>
          </cell>
          <cell r="L1188" t="e">
            <v>#N/A</v>
          </cell>
          <cell r="M1188" t="str">
            <v>SSP30</v>
          </cell>
        </row>
        <row r="1189">
          <cell r="I1189" t="str">
            <v>Ford Go</v>
          </cell>
          <cell r="L1189" t="e">
            <v>#N/A</v>
          </cell>
          <cell r="M1189" t="str">
            <v>SSP30</v>
          </cell>
        </row>
        <row r="1190">
          <cell r="I1190" t="str">
            <v>Ford Go</v>
          </cell>
          <cell r="L1190" t="e">
            <v>#N/A</v>
          </cell>
          <cell r="M1190" t="str">
            <v>SSP30</v>
          </cell>
        </row>
        <row r="1191">
          <cell r="I1191" t="str">
            <v>Ford Go</v>
          </cell>
          <cell r="L1191" t="e">
            <v>#N/A</v>
          </cell>
          <cell r="M1191" t="str">
            <v>SSP30</v>
          </cell>
        </row>
        <row r="1192">
          <cell r="I1192" t="str">
            <v>Ford Go</v>
          </cell>
          <cell r="L1192" t="e">
            <v>#N/A</v>
          </cell>
          <cell r="M1192" t="str">
            <v>SSP30</v>
          </cell>
        </row>
        <row r="1193">
          <cell r="I1193" t="str">
            <v>Ford Go</v>
          </cell>
          <cell r="L1193" t="e">
            <v>#N/A</v>
          </cell>
          <cell r="M1193" t="str">
            <v>SSP30</v>
          </cell>
        </row>
        <row r="1194">
          <cell r="I1194" t="str">
            <v>Ford Go</v>
          </cell>
          <cell r="L1194" t="e">
            <v>#N/A</v>
          </cell>
          <cell r="M1194" t="str">
            <v>SSP30</v>
          </cell>
        </row>
        <row r="1195">
          <cell r="I1195" t="str">
            <v>Ford Go</v>
          </cell>
          <cell r="L1195" t="e">
            <v>#N/A</v>
          </cell>
          <cell r="M1195" t="str">
            <v>SSP30</v>
          </cell>
        </row>
        <row r="1196">
          <cell r="I1196" t="str">
            <v>Ford Go</v>
          </cell>
          <cell r="K1196" t="str">
            <v>Verificar</v>
          </cell>
          <cell r="L1196" t="e">
            <v>#N/A</v>
          </cell>
          <cell r="M1196" t="str">
            <v>SSP30</v>
          </cell>
        </row>
        <row r="1197">
          <cell r="I1197" t="str">
            <v>Ford Go</v>
          </cell>
          <cell r="L1197" t="e">
            <v>#N/A</v>
          </cell>
          <cell r="M1197" t="str">
            <v>SSP30</v>
          </cell>
        </row>
        <row r="1198">
          <cell r="I1198" t="str">
            <v>Ford Go</v>
          </cell>
          <cell r="L1198" t="e">
            <v>#N/A</v>
          </cell>
          <cell r="M1198" t="str">
            <v>SSP30</v>
          </cell>
        </row>
        <row r="1199">
          <cell r="I1199" t="str">
            <v>Ford Go</v>
          </cell>
          <cell r="L1199" t="e">
            <v>#N/A</v>
          </cell>
          <cell r="M1199" t="str">
            <v>SSP30</v>
          </cell>
        </row>
        <row r="1200">
          <cell r="I1200" t="str">
            <v>Ford Go</v>
          </cell>
          <cell r="L1200" t="e">
            <v>#N/A</v>
          </cell>
          <cell r="M1200" t="str">
            <v>SSP30</v>
          </cell>
        </row>
        <row r="1201">
          <cell r="I1201" t="str">
            <v>Ford Go</v>
          </cell>
          <cell r="L1201" t="e">
            <v>#N/A</v>
          </cell>
          <cell r="M1201" t="str">
            <v>SSP30</v>
          </cell>
        </row>
        <row r="1202">
          <cell r="I1202" t="str">
            <v>Ford Go</v>
          </cell>
          <cell r="L1202" t="e">
            <v>#N/A</v>
          </cell>
          <cell r="M1202" t="str">
            <v>SSP30</v>
          </cell>
        </row>
        <row r="1203">
          <cell r="I1203" t="str">
            <v>Ford Go</v>
          </cell>
          <cell r="L1203" t="e">
            <v>#N/A</v>
          </cell>
          <cell r="M1203" t="str">
            <v>SSP30</v>
          </cell>
        </row>
        <row r="1204">
          <cell r="I1204" t="str">
            <v>Ford Go</v>
          </cell>
          <cell r="K1204" t="str">
            <v>Verificar</v>
          </cell>
          <cell r="L1204" t="e">
            <v>#N/A</v>
          </cell>
          <cell r="M1204" t="e">
            <v>#N/A</v>
          </cell>
        </row>
        <row r="1205">
          <cell r="I1205" t="str">
            <v>Ford Go</v>
          </cell>
          <cell r="L1205" t="e">
            <v>#N/A</v>
          </cell>
          <cell r="M1205" t="str">
            <v>SRS1</v>
          </cell>
        </row>
        <row r="1206">
          <cell r="I1206" t="str">
            <v>Ford Go</v>
          </cell>
          <cell r="L1206" t="e">
            <v>#N/A</v>
          </cell>
          <cell r="M1206" t="str">
            <v>SRS1</v>
          </cell>
        </row>
        <row r="1207">
          <cell r="I1207" t="str">
            <v>Ford Go</v>
          </cell>
          <cell r="L1207" t="e">
            <v>#N/A</v>
          </cell>
          <cell r="M1207" t="str">
            <v>SRS1</v>
          </cell>
        </row>
        <row r="1208">
          <cell r="I1208" t="str">
            <v>Ford Go</v>
          </cell>
          <cell r="L1208" t="e">
            <v>#N/A</v>
          </cell>
          <cell r="M1208" t="str">
            <v>SRS1</v>
          </cell>
        </row>
        <row r="1209">
          <cell r="I1209" t="str">
            <v>Ford Go</v>
          </cell>
          <cell r="L1209" t="e">
            <v>#N/A</v>
          </cell>
          <cell r="M1209" t="str">
            <v>SRS1</v>
          </cell>
        </row>
        <row r="1210">
          <cell r="I1210" t="str">
            <v>Ford Go</v>
          </cell>
          <cell r="L1210" t="e">
            <v>#N/A</v>
          </cell>
          <cell r="M1210" t="str">
            <v>SRS10</v>
          </cell>
        </row>
        <row r="1211">
          <cell r="I1211" t="str">
            <v>Ford Go</v>
          </cell>
          <cell r="L1211" t="e">
            <v>#N/A</v>
          </cell>
          <cell r="M1211" t="str">
            <v>SRS1</v>
          </cell>
        </row>
        <row r="1212">
          <cell r="I1212" t="str">
            <v>Ford Go</v>
          </cell>
          <cell r="L1212" t="e">
            <v>#N/A</v>
          </cell>
          <cell r="M1212" t="str">
            <v>SRS1</v>
          </cell>
        </row>
        <row r="1213">
          <cell r="I1213" t="str">
            <v>Ford Go</v>
          </cell>
          <cell r="L1213" t="e">
            <v>#N/A</v>
          </cell>
          <cell r="M1213" t="str">
            <v>SRS1</v>
          </cell>
        </row>
        <row r="1214">
          <cell r="I1214" t="str">
            <v>Ford Go</v>
          </cell>
          <cell r="L1214" t="e">
            <v>#N/A</v>
          </cell>
          <cell r="M1214" t="str">
            <v>SRS1</v>
          </cell>
        </row>
        <row r="1215">
          <cell r="I1215" t="str">
            <v>Ford Go</v>
          </cell>
          <cell r="L1215" t="e">
            <v>#N/A</v>
          </cell>
          <cell r="M1215" t="str">
            <v>SRS1</v>
          </cell>
        </row>
        <row r="1216">
          <cell r="I1216" t="str">
            <v>Ford Go</v>
          </cell>
          <cell r="L1216" t="e">
            <v>#N/A</v>
          </cell>
          <cell r="M1216" t="str">
            <v>SRS1</v>
          </cell>
        </row>
        <row r="1217">
          <cell r="I1217" t="str">
            <v>Ford Go</v>
          </cell>
          <cell r="L1217" t="e">
            <v>#N/A</v>
          </cell>
          <cell r="M1217" t="str">
            <v>SRS1</v>
          </cell>
        </row>
        <row r="1218">
          <cell r="I1218" t="str">
            <v>Ford Go</v>
          </cell>
          <cell r="L1218" t="e">
            <v>#N/A</v>
          </cell>
          <cell r="M1218" t="str">
            <v>SRS1</v>
          </cell>
        </row>
        <row r="1219">
          <cell r="I1219" t="str">
            <v>Ford Go</v>
          </cell>
          <cell r="L1219" t="e">
            <v>#N/A</v>
          </cell>
          <cell r="M1219" t="str">
            <v>SRS1</v>
          </cell>
        </row>
        <row r="1220">
          <cell r="I1220" t="str">
            <v>Ford Go</v>
          </cell>
          <cell r="L1220" t="e">
            <v>#N/A</v>
          </cell>
          <cell r="M1220" t="str">
            <v>SRS1</v>
          </cell>
        </row>
        <row r="1221">
          <cell r="I1221" t="str">
            <v>Ford Go</v>
          </cell>
          <cell r="L1221" t="e">
            <v>#N/A</v>
          </cell>
          <cell r="M1221" t="str">
            <v>SRS1</v>
          </cell>
        </row>
        <row r="1222">
          <cell r="I1222" t="str">
            <v>Ford Go</v>
          </cell>
          <cell r="L1222" t="e">
            <v>#N/A</v>
          </cell>
          <cell r="M1222" t="str">
            <v>SRS1</v>
          </cell>
        </row>
        <row r="1223">
          <cell r="I1223" t="str">
            <v>Ford Go</v>
          </cell>
          <cell r="L1223" t="e">
            <v>#N/A</v>
          </cell>
          <cell r="M1223" t="str">
            <v>SRS1</v>
          </cell>
        </row>
        <row r="1224">
          <cell r="I1224" t="str">
            <v>Ford Go</v>
          </cell>
          <cell r="L1224" t="e">
            <v>#N/A</v>
          </cell>
          <cell r="M1224" t="str">
            <v>SSP5</v>
          </cell>
        </row>
        <row r="1225">
          <cell r="I1225" t="str">
            <v>Ford Go</v>
          </cell>
          <cell r="L1225" t="e">
            <v>#N/A</v>
          </cell>
          <cell r="M1225" t="str">
            <v>SSP40</v>
          </cell>
        </row>
        <row r="1226">
          <cell r="I1226" t="str">
            <v>Ford Go</v>
          </cell>
          <cell r="L1226" t="e">
            <v>#N/A</v>
          </cell>
          <cell r="M1226" t="str">
            <v>SSP40</v>
          </cell>
        </row>
        <row r="1227">
          <cell r="I1227" t="str">
            <v>Ford Go</v>
          </cell>
          <cell r="L1227" t="e">
            <v>#N/A</v>
          </cell>
          <cell r="M1227" t="str">
            <v>SSP40</v>
          </cell>
        </row>
        <row r="1228">
          <cell r="I1228" t="str">
            <v>Ford Go</v>
          </cell>
          <cell r="L1228" t="e">
            <v>#N/A</v>
          </cell>
          <cell r="M1228" t="str">
            <v>SSP40</v>
          </cell>
        </row>
        <row r="1229">
          <cell r="I1229" t="str">
            <v>Ford Go</v>
          </cell>
          <cell r="L1229" t="e">
            <v>#N/A</v>
          </cell>
          <cell r="M1229" t="str">
            <v>SSP40</v>
          </cell>
        </row>
        <row r="1230">
          <cell r="I1230" t="str">
            <v>Ford Go</v>
          </cell>
          <cell r="L1230" t="e">
            <v>#N/A</v>
          </cell>
          <cell r="M1230" t="str">
            <v>SSP40</v>
          </cell>
        </row>
        <row r="1231">
          <cell r="I1231" t="str">
            <v>Ford Go</v>
          </cell>
          <cell r="L1231" t="e">
            <v>#N/A</v>
          </cell>
          <cell r="M1231" t="str">
            <v>SSP40</v>
          </cell>
        </row>
        <row r="1232">
          <cell r="I1232" t="str">
            <v>Ford Go</v>
          </cell>
          <cell r="L1232" t="e">
            <v>#N/A</v>
          </cell>
          <cell r="M1232" t="str">
            <v>SSP40</v>
          </cell>
        </row>
        <row r="1233">
          <cell r="I1233" t="str">
            <v>Ford Go</v>
          </cell>
          <cell r="L1233" t="e">
            <v>#N/A</v>
          </cell>
          <cell r="M1233" t="str">
            <v>SSP11</v>
          </cell>
        </row>
        <row r="1234">
          <cell r="I1234" t="str">
            <v>Ford Go</v>
          </cell>
          <cell r="L1234" t="e">
            <v>#N/A</v>
          </cell>
          <cell r="M1234" t="str">
            <v>SSP11</v>
          </cell>
        </row>
        <row r="1235">
          <cell r="I1235" t="str">
            <v>Ford Go</v>
          </cell>
          <cell r="L1235" t="e">
            <v>#N/A</v>
          </cell>
          <cell r="M1235" t="str">
            <v>SSP11</v>
          </cell>
        </row>
        <row r="1236">
          <cell r="I1236" t="str">
            <v>Ford Go</v>
          </cell>
          <cell r="L1236" t="e">
            <v>#N/A</v>
          </cell>
          <cell r="M1236" t="str">
            <v>SSP11</v>
          </cell>
        </row>
        <row r="1237">
          <cell r="I1237" t="str">
            <v>Ford Go</v>
          </cell>
          <cell r="K1237" t="str">
            <v>Verificar</v>
          </cell>
          <cell r="L1237" t="e">
            <v>#N/A</v>
          </cell>
          <cell r="M1237" t="e">
            <v>#N/A</v>
          </cell>
        </row>
        <row r="1238">
          <cell r="I1238" t="str">
            <v>Ford Go</v>
          </cell>
          <cell r="L1238" t="e">
            <v>#N/A</v>
          </cell>
          <cell r="M1238" t="str">
            <v>SSP4</v>
          </cell>
        </row>
        <row r="1239">
          <cell r="I1239" t="str">
            <v>Ford Go</v>
          </cell>
          <cell r="L1239" t="e">
            <v>#N/A</v>
          </cell>
          <cell r="M1239" t="str">
            <v>SSP4</v>
          </cell>
        </row>
        <row r="1240">
          <cell r="I1240" t="str">
            <v>Ford Go</v>
          </cell>
          <cell r="L1240" t="e">
            <v>#N/A</v>
          </cell>
          <cell r="M1240" t="str">
            <v>SSP4</v>
          </cell>
        </row>
        <row r="1241">
          <cell r="I1241" t="str">
            <v>Ford Go</v>
          </cell>
          <cell r="L1241" t="e">
            <v>#N/A</v>
          </cell>
          <cell r="M1241" t="str">
            <v>SSP4</v>
          </cell>
        </row>
        <row r="1242">
          <cell r="I1242" t="str">
            <v>Ford Go</v>
          </cell>
          <cell r="L1242" t="e">
            <v>#N/A</v>
          </cell>
          <cell r="M1242" t="str">
            <v>SSP4</v>
          </cell>
        </row>
        <row r="1243">
          <cell r="I1243" t="str">
            <v>Ford Go</v>
          </cell>
          <cell r="L1243" t="e">
            <v>#N/A</v>
          </cell>
          <cell r="M1243" t="str">
            <v>SSP4</v>
          </cell>
        </row>
        <row r="1244">
          <cell r="I1244" t="str">
            <v>Ford Go</v>
          </cell>
          <cell r="L1244" t="e">
            <v>#N/A</v>
          </cell>
          <cell r="M1244" t="str">
            <v>SRS3</v>
          </cell>
        </row>
        <row r="1245">
          <cell r="I1245" t="str">
            <v>Ford Go</v>
          </cell>
          <cell r="L1245" t="e">
            <v>#N/A</v>
          </cell>
          <cell r="M1245" t="str">
            <v>SRS3</v>
          </cell>
        </row>
        <row r="1246">
          <cell r="I1246" t="str">
            <v>Ford Go</v>
          </cell>
          <cell r="L1246" t="e">
            <v>#N/A</v>
          </cell>
          <cell r="M1246" t="str">
            <v>SSP22</v>
          </cell>
        </row>
        <row r="1247">
          <cell r="I1247" t="str">
            <v>Ford Go</v>
          </cell>
          <cell r="L1247" t="e">
            <v>#N/A</v>
          </cell>
          <cell r="M1247" t="str">
            <v>SSP22</v>
          </cell>
        </row>
        <row r="1248">
          <cell r="I1248" t="str">
            <v>Ford Go</v>
          </cell>
          <cell r="L1248" t="e">
            <v>#N/A</v>
          </cell>
          <cell r="M1248" t="str">
            <v>SSP22</v>
          </cell>
        </row>
        <row r="1249">
          <cell r="I1249" t="str">
            <v>Ford Go</v>
          </cell>
          <cell r="L1249" t="e">
            <v>#N/A</v>
          </cell>
          <cell r="M1249" t="str">
            <v>SSP22</v>
          </cell>
        </row>
        <row r="1250">
          <cell r="I1250" t="str">
            <v>Ford Go</v>
          </cell>
          <cell r="L1250" t="e">
            <v>#N/A</v>
          </cell>
          <cell r="M1250" t="str">
            <v>SSP22</v>
          </cell>
        </row>
        <row r="1251">
          <cell r="I1251" t="str">
            <v>Ford Go</v>
          </cell>
          <cell r="L1251" t="e">
            <v>#N/A</v>
          </cell>
          <cell r="M1251" t="str">
            <v>SSP22</v>
          </cell>
        </row>
        <row r="1252">
          <cell r="I1252" t="str">
            <v>Ford Go</v>
          </cell>
          <cell r="L1252" t="e">
            <v>#N/A</v>
          </cell>
          <cell r="M1252" t="str">
            <v>SSP22</v>
          </cell>
        </row>
        <row r="1253">
          <cell r="I1253" t="str">
            <v>Ford Go</v>
          </cell>
          <cell r="L1253" t="e">
            <v>#N/A</v>
          </cell>
          <cell r="M1253" t="str">
            <v>SSP22</v>
          </cell>
        </row>
        <row r="1254">
          <cell r="I1254" t="str">
            <v>Ford Go</v>
          </cell>
          <cell r="L1254" t="e">
            <v>#N/A</v>
          </cell>
          <cell r="M1254" t="str">
            <v>SSP22</v>
          </cell>
        </row>
        <row r="1255">
          <cell r="I1255" t="str">
            <v>Ford Go</v>
          </cell>
          <cell r="L1255" t="e">
            <v>#N/A</v>
          </cell>
          <cell r="M1255" t="str">
            <v>SSP22</v>
          </cell>
        </row>
        <row r="1256">
          <cell r="I1256" t="str">
            <v>Ford Go</v>
          </cell>
          <cell r="L1256" t="e">
            <v>#N/A</v>
          </cell>
          <cell r="M1256" t="str">
            <v>SSP22</v>
          </cell>
        </row>
        <row r="1257">
          <cell r="I1257" t="str">
            <v>Ford Go</v>
          </cell>
          <cell r="L1257" t="e">
            <v>#N/A</v>
          </cell>
          <cell r="M1257" t="str">
            <v>SSP22</v>
          </cell>
        </row>
        <row r="1258">
          <cell r="I1258" t="str">
            <v>Ford Go</v>
          </cell>
          <cell r="L1258" t="e">
            <v>#N/A</v>
          </cell>
          <cell r="M1258" t="str">
            <v>SSP22</v>
          </cell>
        </row>
        <row r="1259">
          <cell r="I1259" t="str">
            <v>Ford Go</v>
          </cell>
          <cell r="L1259" t="e">
            <v>#N/A</v>
          </cell>
          <cell r="M1259" t="str">
            <v>SSP22</v>
          </cell>
        </row>
        <row r="1260">
          <cell r="I1260" t="str">
            <v>Ford Go</v>
          </cell>
          <cell r="L1260" t="e">
            <v>#N/A</v>
          </cell>
          <cell r="M1260" t="str">
            <v>SSP22</v>
          </cell>
        </row>
        <row r="1261">
          <cell r="I1261" t="str">
            <v>Ford Go</v>
          </cell>
          <cell r="L1261" t="e">
            <v>#N/A</v>
          </cell>
          <cell r="M1261" t="str">
            <v>SSP8</v>
          </cell>
        </row>
        <row r="1262">
          <cell r="I1262" t="str">
            <v>Ford Go</v>
          </cell>
          <cell r="L1262" t="e">
            <v>#N/A</v>
          </cell>
          <cell r="M1262" t="str">
            <v>SSP8</v>
          </cell>
        </row>
        <row r="1263">
          <cell r="I1263" t="str">
            <v>Ford Go</v>
          </cell>
          <cell r="L1263" t="e">
            <v>#N/A</v>
          </cell>
          <cell r="M1263" t="str">
            <v>SSP8</v>
          </cell>
        </row>
        <row r="1264">
          <cell r="I1264" t="str">
            <v>Ford Go</v>
          </cell>
          <cell r="L1264" t="e">
            <v>#N/A</v>
          </cell>
          <cell r="M1264" t="str">
            <v>SRS8</v>
          </cell>
        </row>
        <row r="1265">
          <cell r="I1265" t="str">
            <v>Ford Go</v>
          </cell>
          <cell r="L1265" t="e">
            <v>#N/A</v>
          </cell>
          <cell r="M1265" t="str">
            <v>SRS8</v>
          </cell>
        </row>
        <row r="1266">
          <cell r="I1266" t="str">
            <v>Ford Go</v>
          </cell>
          <cell r="L1266" t="e">
            <v>#N/A</v>
          </cell>
          <cell r="M1266" t="str">
            <v>SRS8</v>
          </cell>
        </row>
        <row r="1267">
          <cell r="I1267" t="str">
            <v>Ford Go</v>
          </cell>
          <cell r="L1267" t="e">
            <v>#N/A</v>
          </cell>
          <cell r="M1267" t="str">
            <v>SRS8</v>
          </cell>
        </row>
        <row r="1268">
          <cell r="I1268" t="str">
            <v>Ford Go</v>
          </cell>
          <cell r="L1268" t="e">
            <v>#N/A</v>
          </cell>
          <cell r="M1268" t="str">
            <v>SRS8</v>
          </cell>
        </row>
        <row r="1269">
          <cell r="I1269" t="str">
            <v>Ford Go</v>
          </cell>
          <cell r="L1269" t="e">
            <v>#N/A</v>
          </cell>
          <cell r="M1269" t="str">
            <v>SRS8</v>
          </cell>
        </row>
        <row r="1270">
          <cell r="I1270" t="str">
            <v>Ford Go</v>
          </cell>
          <cell r="L1270" t="e">
            <v>#N/A</v>
          </cell>
          <cell r="M1270" t="str">
            <v>SRS8</v>
          </cell>
        </row>
        <row r="1271">
          <cell r="I1271" t="str">
            <v>Ford Go</v>
          </cell>
          <cell r="L1271" t="e">
            <v>#N/A</v>
          </cell>
          <cell r="M1271" t="str">
            <v>SRS8</v>
          </cell>
        </row>
        <row r="1272">
          <cell r="I1272" t="str">
            <v>Ford Go</v>
          </cell>
          <cell r="L1272" t="e">
            <v>#N/A</v>
          </cell>
          <cell r="M1272" t="str">
            <v>SRS8</v>
          </cell>
        </row>
        <row r="1273">
          <cell r="I1273" t="str">
            <v>Ford Go</v>
          </cell>
          <cell r="L1273" t="e">
            <v>#N/A</v>
          </cell>
          <cell r="M1273" t="str">
            <v>SRS8</v>
          </cell>
        </row>
        <row r="1274">
          <cell r="I1274" t="str">
            <v>Ford Go</v>
          </cell>
          <cell r="L1274" t="e">
            <v>#N/A</v>
          </cell>
          <cell r="M1274" t="str">
            <v>SRS8</v>
          </cell>
        </row>
        <row r="1275">
          <cell r="I1275" t="str">
            <v>Ford Go</v>
          </cell>
          <cell r="L1275" t="e">
            <v>#N/A</v>
          </cell>
          <cell r="M1275" t="str">
            <v>SRS8</v>
          </cell>
        </row>
        <row r="1276">
          <cell r="I1276" t="str">
            <v>Ford Go</v>
          </cell>
          <cell r="L1276" t="e">
            <v>#N/A</v>
          </cell>
          <cell r="M1276" t="str">
            <v>SRS8</v>
          </cell>
        </row>
        <row r="1277">
          <cell r="I1277" t="str">
            <v>Ford Go</v>
          </cell>
          <cell r="L1277" t="e">
            <v>#N/A</v>
          </cell>
          <cell r="M1277" t="str">
            <v>SRS8</v>
          </cell>
        </row>
        <row r="1278">
          <cell r="I1278" t="str">
            <v>Ford Go</v>
          </cell>
          <cell r="L1278" t="e">
            <v>#N/A</v>
          </cell>
          <cell r="M1278" t="str">
            <v>SRS8</v>
          </cell>
        </row>
        <row r="1279">
          <cell r="I1279" t="str">
            <v>Ford Go</v>
          </cell>
          <cell r="L1279" t="e">
            <v>#N/A</v>
          </cell>
          <cell r="M1279" t="str">
            <v>SRS8</v>
          </cell>
        </row>
        <row r="1280">
          <cell r="I1280" t="str">
            <v>Ford Go</v>
          </cell>
          <cell r="L1280" t="e">
            <v>#N/A</v>
          </cell>
          <cell r="M1280" t="str">
            <v>SRS8</v>
          </cell>
        </row>
        <row r="1281">
          <cell r="I1281" t="str">
            <v>Ford Go</v>
          </cell>
          <cell r="L1281" t="e">
            <v>#N/A</v>
          </cell>
          <cell r="M1281" t="str">
            <v>SRS8</v>
          </cell>
        </row>
        <row r="1282">
          <cell r="I1282" t="str">
            <v>Ford Go</v>
          </cell>
          <cell r="L1282" t="e">
            <v>#N/A</v>
          </cell>
          <cell r="M1282" t="str">
            <v>SSP12</v>
          </cell>
        </row>
        <row r="1283">
          <cell r="I1283" t="str">
            <v>Ford Go</v>
          </cell>
          <cell r="L1283" t="e">
            <v>#N/A</v>
          </cell>
          <cell r="M1283" t="str">
            <v>SSP20</v>
          </cell>
        </row>
        <row r="1284">
          <cell r="I1284" t="str">
            <v>Ford Go</v>
          </cell>
          <cell r="L1284" t="e">
            <v>#N/A</v>
          </cell>
          <cell r="M1284" t="str">
            <v>SSP20</v>
          </cell>
        </row>
        <row r="1285">
          <cell r="I1285" t="str">
            <v>Ford Go</v>
          </cell>
          <cell r="L1285" t="e">
            <v>#N/A</v>
          </cell>
          <cell r="M1285" t="str">
            <v>SSP20</v>
          </cell>
        </row>
        <row r="1286">
          <cell r="I1286" t="str">
            <v>Ford Go</v>
          </cell>
          <cell r="L1286" t="e">
            <v>#N/A</v>
          </cell>
          <cell r="M1286" t="str">
            <v>SSP42</v>
          </cell>
        </row>
        <row r="1287">
          <cell r="I1287" t="str">
            <v>Ford Go</v>
          </cell>
          <cell r="L1287" t="e">
            <v>#N/A</v>
          </cell>
          <cell r="M1287" t="str">
            <v>SSP20</v>
          </cell>
        </row>
        <row r="1288">
          <cell r="I1288" t="str">
            <v>Ford Go</v>
          </cell>
          <cell r="L1288" t="e">
            <v>#N/A</v>
          </cell>
          <cell r="M1288" t="str">
            <v>SSP20</v>
          </cell>
        </row>
        <row r="1289">
          <cell r="I1289" t="str">
            <v>Ford Go</v>
          </cell>
          <cell r="L1289" t="e">
            <v>#N/A</v>
          </cell>
          <cell r="M1289" t="str">
            <v>SSP20</v>
          </cell>
        </row>
        <row r="1290">
          <cell r="I1290" t="str">
            <v>Ford Go</v>
          </cell>
          <cell r="L1290" t="e">
            <v>#N/A</v>
          </cell>
          <cell r="M1290" t="str">
            <v>SES1</v>
          </cell>
        </row>
        <row r="1291">
          <cell r="I1291" t="str">
            <v>Ford Go</v>
          </cell>
          <cell r="L1291" t="e">
            <v>#N/A</v>
          </cell>
          <cell r="M1291" t="str">
            <v>SES1</v>
          </cell>
        </row>
        <row r="1292">
          <cell r="I1292" t="str">
            <v>Ford Go</v>
          </cell>
          <cell r="L1292" t="e">
            <v>#N/A</v>
          </cell>
          <cell r="M1292" t="str">
            <v>SES1</v>
          </cell>
        </row>
        <row r="1293">
          <cell r="I1293" t="str">
            <v>Ford Go</v>
          </cell>
          <cell r="L1293" t="e">
            <v>#N/A</v>
          </cell>
          <cell r="M1293" t="str">
            <v>SES1</v>
          </cell>
        </row>
        <row r="1294">
          <cell r="I1294" t="str">
            <v>Ford Go</v>
          </cell>
          <cell r="L1294" t="e">
            <v>#N/A</v>
          </cell>
          <cell r="M1294" t="str">
            <v>SSP6</v>
          </cell>
        </row>
        <row r="1295">
          <cell r="I1295" t="str">
            <v>Ford Go</v>
          </cell>
          <cell r="L1295" t="e">
            <v>#N/A</v>
          </cell>
          <cell r="M1295" t="str">
            <v>SRS8</v>
          </cell>
        </row>
        <row r="1296">
          <cell r="I1296" t="str">
            <v>Ford Go</v>
          </cell>
          <cell r="L1296" t="e">
            <v>#N/A</v>
          </cell>
          <cell r="M1296" t="str">
            <v>SRS1</v>
          </cell>
        </row>
        <row r="1297">
          <cell r="I1297" t="str">
            <v>Ford Go</v>
          </cell>
          <cell r="L1297" t="e">
            <v>#N/A</v>
          </cell>
          <cell r="M1297" t="str">
            <v>ERS6/SPR5</v>
          </cell>
        </row>
        <row r="1298">
          <cell r="I1298" t="str">
            <v>Ford Go</v>
          </cell>
          <cell r="L1298" t="e">
            <v>#N/A</v>
          </cell>
          <cell r="M1298" t="str">
            <v>ERS3/SPR5</v>
          </cell>
        </row>
        <row r="1299">
          <cell r="I1299" t="str">
            <v>Ford Go</v>
          </cell>
          <cell r="L1299" t="e">
            <v>#N/A</v>
          </cell>
          <cell r="M1299" t="str">
            <v>ERS3/SPR5</v>
          </cell>
        </row>
        <row r="1300">
          <cell r="I1300" t="str">
            <v>Ford Go</v>
          </cell>
          <cell r="L1300" t="e">
            <v>#N/A</v>
          </cell>
          <cell r="M1300" t="str">
            <v>ERS6/SPR5</v>
          </cell>
        </row>
        <row r="1301">
          <cell r="I1301" t="str">
            <v>Ford Go</v>
          </cell>
          <cell r="L1301" t="e">
            <v>#N/A</v>
          </cell>
          <cell r="M1301" t="str">
            <v>ERS3/SPR5</v>
          </cell>
        </row>
        <row r="1302">
          <cell r="I1302" t="str">
            <v>Ford Go</v>
          </cell>
          <cell r="L1302" t="e">
            <v>#N/A</v>
          </cell>
          <cell r="M1302" t="str">
            <v>ERS6/SPR5</v>
          </cell>
        </row>
        <row r="1303">
          <cell r="I1303" t="str">
            <v>Ford Go</v>
          </cell>
          <cell r="L1303" t="e">
            <v>#N/A</v>
          </cell>
          <cell r="M1303" t="str">
            <v>SSP10</v>
          </cell>
        </row>
        <row r="1304">
          <cell r="I1304" t="str">
            <v>Ford Go</v>
          </cell>
          <cell r="L1304" t="e">
            <v>#N/A</v>
          </cell>
          <cell r="M1304" t="str">
            <v>EMS4</v>
          </cell>
        </row>
        <row r="1305">
          <cell r="I1305" t="str">
            <v>Ford Go</v>
          </cell>
          <cell r="L1305" t="e">
            <v>#N/A</v>
          </cell>
          <cell r="M1305" t="str">
            <v>EMG15</v>
          </cell>
        </row>
        <row r="1306">
          <cell r="I1306" t="str">
            <v>Ford Go</v>
          </cell>
          <cell r="L1306" t="e">
            <v>#N/A</v>
          </cell>
          <cell r="M1306" t="str">
            <v>SSP37</v>
          </cell>
        </row>
        <row r="1307">
          <cell r="I1307" t="str">
            <v>Ford Go</v>
          </cell>
          <cell r="L1307" t="e">
            <v>#N/A</v>
          </cell>
          <cell r="M1307" t="str">
            <v>SSP37</v>
          </cell>
        </row>
        <row r="1308">
          <cell r="I1308" t="str">
            <v>Ford Go</v>
          </cell>
          <cell r="L1308" t="e">
            <v>#N/A</v>
          </cell>
          <cell r="M1308" t="str">
            <v>SSP10</v>
          </cell>
        </row>
        <row r="1309">
          <cell r="I1309" t="str">
            <v>Ford Go</v>
          </cell>
          <cell r="L1309" t="e">
            <v>#N/A</v>
          </cell>
          <cell r="M1309" t="str">
            <v>SSC1</v>
          </cell>
        </row>
        <row r="1310">
          <cell r="I1310" t="str">
            <v>Ford Go</v>
          </cell>
          <cell r="L1310" t="e">
            <v>#N/A</v>
          </cell>
          <cell r="M1310" t="str">
            <v>SSP13</v>
          </cell>
        </row>
        <row r="1311">
          <cell r="I1311" t="str">
            <v>Ford Go</v>
          </cell>
          <cell r="L1311" t="e">
            <v>#N/A</v>
          </cell>
          <cell r="M1311" t="str">
            <v>SRS1</v>
          </cell>
        </row>
        <row r="1312">
          <cell r="I1312" t="str">
            <v>Ford Go</v>
          </cell>
          <cell r="L1312" t="e">
            <v>#N/A</v>
          </cell>
          <cell r="M1312" t="str">
            <v>SRS1</v>
          </cell>
        </row>
        <row r="1313">
          <cell r="I1313" t="str">
            <v>Ford Go</v>
          </cell>
          <cell r="L1313" t="e">
            <v>#N/A</v>
          </cell>
          <cell r="M1313" t="str">
            <v>SRS1</v>
          </cell>
        </row>
        <row r="1314">
          <cell r="I1314" t="str">
            <v>Ford Go</v>
          </cell>
          <cell r="L1314" t="e">
            <v>#N/A</v>
          </cell>
          <cell r="M1314" t="str">
            <v>SSP10</v>
          </cell>
        </row>
        <row r="1315">
          <cell r="I1315" t="str">
            <v>Ford Go</v>
          </cell>
          <cell r="L1315" t="e">
            <v>#N/A</v>
          </cell>
          <cell r="M1315" t="str">
            <v>SSP10</v>
          </cell>
        </row>
        <row r="1316">
          <cell r="I1316" t="str">
            <v>Ford Go</v>
          </cell>
          <cell r="L1316" t="e">
            <v>#N/A</v>
          </cell>
          <cell r="M1316" t="str">
            <v>SRS5</v>
          </cell>
        </row>
        <row r="1317">
          <cell r="I1317" t="str">
            <v>Ford Go</v>
          </cell>
          <cell r="L1317" t="e">
            <v>#N/A</v>
          </cell>
          <cell r="M1317" t="str">
            <v>SPR6</v>
          </cell>
        </row>
        <row r="1318">
          <cell r="I1318" t="str">
            <v>Ford Go</v>
          </cell>
          <cell r="L1318" t="e">
            <v>#N/A</v>
          </cell>
          <cell r="M1318">
            <v>0</v>
          </cell>
        </row>
        <row r="1319">
          <cell r="I1319" t="str">
            <v>Ford Go</v>
          </cell>
          <cell r="K1319" t="str">
            <v>Verificar</v>
          </cell>
          <cell r="L1319" t="e">
            <v>#N/A</v>
          </cell>
          <cell r="M1319" t="e">
            <v>#N/A</v>
          </cell>
        </row>
        <row r="1320">
          <cell r="I1320" t="str">
            <v>Ford Go</v>
          </cell>
          <cell r="K1320" t="str">
            <v>Verificar</v>
          </cell>
          <cell r="L1320" t="e">
            <v>#N/A</v>
          </cell>
          <cell r="M1320" t="e">
            <v>#N/A</v>
          </cell>
        </row>
        <row r="1321">
          <cell r="I1321" t="str">
            <v>Ford Go</v>
          </cell>
          <cell r="K1321" t="str">
            <v>Verificar</v>
          </cell>
          <cell r="L1321" t="e">
            <v>#N/A</v>
          </cell>
          <cell r="M1321" t="e">
            <v>#N/A</v>
          </cell>
        </row>
        <row r="1322">
          <cell r="I1322" t="str">
            <v>Ford Go</v>
          </cell>
          <cell r="K1322" t="str">
            <v>Verificar</v>
          </cell>
          <cell r="L1322" t="e">
            <v>#N/A</v>
          </cell>
          <cell r="M1322" t="e">
            <v>#N/A</v>
          </cell>
        </row>
        <row r="1323">
          <cell r="I1323" t="str">
            <v>Ford Go</v>
          </cell>
          <cell r="L1323" t="e">
            <v>#N/A</v>
          </cell>
          <cell r="M1323" t="str">
            <v>MARS1</v>
          </cell>
        </row>
        <row r="1324">
          <cell r="I1324" t="str">
            <v>Ford Go</v>
          </cell>
          <cell r="L1324" t="e">
            <v>#N/A</v>
          </cell>
          <cell r="M1324" t="str">
            <v>SSP6</v>
          </cell>
        </row>
        <row r="1325">
          <cell r="I1325" t="str">
            <v>Ford Go</v>
          </cell>
          <cell r="L1325" t="e">
            <v>#N/A</v>
          </cell>
          <cell r="M1325" t="str">
            <v>FMS09</v>
          </cell>
        </row>
        <row r="1326">
          <cell r="I1326" t="str">
            <v>Ford Go</v>
          </cell>
          <cell r="L1326" t="e">
            <v>#N/A</v>
          </cell>
          <cell r="M1326" t="str">
            <v>FMS09</v>
          </cell>
        </row>
        <row r="1327">
          <cell r="I1327" t="str">
            <v>Ford Go</v>
          </cell>
          <cell r="K1327" t="str">
            <v>Verificar</v>
          </cell>
          <cell r="L1327" t="e">
            <v>#N/A</v>
          </cell>
          <cell r="M1327" t="e">
            <v>#N/A</v>
          </cell>
        </row>
        <row r="1328">
          <cell r="I1328" t="str">
            <v>Ford Go</v>
          </cell>
          <cell r="K1328" t="str">
            <v>Verificar</v>
          </cell>
          <cell r="L1328" t="e">
            <v>#N/A</v>
          </cell>
          <cell r="M1328" t="e">
            <v>#N/A</v>
          </cell>
        </row>
        <row r="1329">
          <cell r="I1329" t="str">
            <v>LM</v>
          </cell>
          <cell r="L1329" t="e">
            <v>#N/A</v>
          </cell>
          <cell r="M1329" t="str">
            <v>SSP17</v>
          </cell>
        </row>
        <row r="1330">
          <cell r="I1330" t="str">
            <v>LM</v>
          </cell>
          <cell r="L1330" t="e">
            <v>#N/A</v>
          </cell>
          <cell r="M1330" t="str">
            <v>MM01</v>
          </cell>
        </row>
        <row r="1331">
          <cell r="I1331" t="str">
            <v>LM</v>
          </cell>
          <cell r="L1331" t="e">
            <v>#N/A</v>
          </cell>
          <cell r="M1331" t="str">
            <v>MM01</v>
          </cell>
        </row>
        <row r="1332">
          <cell r="I1332" t="str">
            <v>LM</v>
          </cell>
          <cell r="L1332" t="e">
            <v>#N/A</v>
          </cell>
          <cell r="M1332" t="str">
            <v>MM01</v>
          </cell>
        </row>
        <row r="1333">
          <cell r="I1333" t="str">
            <v>LM</v>
          </cell>
          <cell r="L1333" t="e">
            <v>#N/A</v>
          </cell>
          <cell r="M1333" t="str">
            <v>MM04</v>
          </cell>
        </row>
        <row r="1334">
          <cell r="I1334" t="str">
            <v>LM</v>
          </cell>
          <cell r="L1334" t="e">
            <v>#N/A</v>
          </cell>
          <cell r="M1334" t="str">
            <v>OXXO1</v>
          </cell>
        </row>
        <row r="1335">
          <cell r="I1335" t="str">
            <v>LM</v>
          </cell>
          <cell r="L1335" t="e">
            <v>#N/A</v>
          </cell>
          <cell r="M1335" t="str">
            <v>OXXO1</v>
          </cell>
        </row>
        <row r="1336">
          <cell r="I1336" t="str">
            <v>LM</v>
          </cell>
          <cell r="L1336" t="e">
            <v>#N/A</v>
          </cell>
          <cell r="M1336" t="str">
            <v>OXXO1</v>
          </cell>
        </row>
        <row r="1337">
          <cell r="I1337" t="str">
            <v>LM</v>
          </cell>
          <cell r="L1337" t="e">
            <v>#N/A</v>
          </cell>
          <cell r="M1337" t="str">
            <v>OXXO1</v>
          </cell>
        </row>
        <row r="1338">
          <cell r="I1338" t="str">
            <v>LM</v>
          </cell>
          <cell r="L1338" t="e">
            <v>#N/A</v>
          </cell>
          <cell r="M1338" t="str">
            <v>SSP3</v>
          </cell>
        </row>
        <row r="1339">
          <cell r="I1339" t="str">
            <v>LM</v>
          </cell>
          <cell r="L1339" t="e">
            <v>#N/A</v>
          </cell>
          <cell r="M1339" t="str">
            <v>SSP17</v>
          </cell>
        </row>
        <row r="1340">
          <cell r="I1340" t="str">
            <v>LM</v>
          </cell>
          <cell r="L1340" t="e">
            <v>#N/A</v>
          </cell>
          <cell r="M1340" t="str">
            <v>SSP5</v>
          </cell>
        </row>
        <row r="1341">
          <cell r="I1341" t="str">
            <v>LM</v>
          </cell>
          <cell r="L1341" t="e">
            <v>#N/A</v>
          </cell>
          <cell r="M1341" t="str">
            <v>SSP5</v>
          </cell>
        </row>
        <row r="1342">
          <cell r="I1342" t="str">
            <v>LM</v>
          </cell>
          <cell r="L1342" t="e">
            <v>#N/A</v>
          </cell>
          <cell r="M1342" t="str">
            <v>SSP5</v>
          </cell>
        </row>
        <row r="1343">
          <cell r="I1343" t="str">
            <v>LM</v>
          </cell>
          <cell r="L1343" t="e">
            <v>#N/A</v>
          </cell>
          <cell r="M1343" t="str">
            <v>SSP5</v>
          </cell>
        </row>
        <row r="1344">
          <cell r="I1344" t="str">
            <v>LM</v>
          </cell>
          <cell r="L1344" t="e">
            <v>#N/A</v>
          </cell>
          <cell r="M1344" t="str">
            <v>SSP5</v>
          </cell>
        </row>
        <row r="1345">
          <cell r="I1345" t="str">
            <v>LM</v>
          </cell>
          <cell r="L1345" t="e">
            <v>#N/A</v>
          </cell>
          <cell r="M1345" t="str">
            <v>SSP25</v>
          </cell>
        </row>
        <row r="1346">
          <cell r="I1346" t="str">
            <v>LM</v>
          </cell>
          <cell r="L1346" t="e">
            <v>#N/A</v>
          </cell>
          <cell r="M1346" t="str">
            <v>SSP25</v>
          </cell>
        </row>
        <row r="1347">
          <cell r="I1347" t="str">
            <v>LM</v>
          </cell>
          <cell r="L1347" t="e">
            <v>#N/A</v>
          </cell>
          <cell r="M1347" t="str">
            <v>SSP25</v>
          </cell>
        </row>
        <row r="1348">
          <cell r="I1348" t="str">
            <v>LM</v>
          </cell>
          <cell r="L1348" t="e">
            <v>#N/A</v>
          </cell>
          <cell r="M1348" t="str">
            <v>SSP25</v>
          </cell>
        </row>
        <row r="1349">
          <cell r="I1349" t="str">
            <v>LM</v>
          </cell>
          <cell r="L1349" t="e">
            <v>#N/A</v>
          </cell>
          <cell r="M1349" t="str">
            <v>SSP25</v>
          </cell>
        </row>
        <row r="1350">
          <cell r="I1350" t="str">
            <v>LM</v>
          </cell>
          <cell r="L1350" t="e">
            <v>#N/A</v>
          </cell>
          <cell r="M1350" t="str">
            <v>SSP25</v>
          </cell>
        </row>
        <row r="1351">
          <cell r="I1351" t="str">
            <v>LM</v>
          </cell>
          <cell r="L1351" t="e">
            <v>#N/A</v>
          </cell>
          <cell r="M1351" t="str">
            <v>SSP25</v>
          </cell>
        </row>
        <row r="1352">
          <cell r="I1352" t="str">
            <v>LM</v>
          </cell>
          <cell r="L1352" t="e">
            <v>#N/A</v>
          </cell>
          <cell r="M1352" t="str">
            <v>SSP25</v>
          </cell>
        </row>
        <row r="1353">
          <cell r="I1353" t="str">
            <v>LM</v>
          </cell>
          <cell r="L1353" t="e">
            <v>#N/A</v>
          </cell>
          <cell r="M1353" t="str">
            <v>SSP25</v>
          </cell>
        </row>
        <row r="1354">
          <cell r="I1354" t="str">
            <v>LM</v>
          </cell>
          <cell r="L1354" t="e">
            <v>#N/A</v>
          </cell>
          <cell r="M1354" t="str">
            <v>SSP25</v>
          </cell>
        </row>
        <row r="1355">
          <cell r="I1355" t="str">
            <v>LM</v>
          </cell>
          <cell r="L1355" t="e">
            <v>#N/A</v>
          </cell>
          <cell r="M1355" t="str">
            <v>SSP25</v>
          </cell>
        </row>
        <row r="1356">
          <cell r="I1356" t="str">
            <v>LM</v>
          </cell>
          <cell r="L1356" t="e">
            <v>#N/A</v>
          </cell>
          <cell r="M1356" t="str">
            <v>SSP34</v>
          </cell>
        </row>
        <row r="1357">
          <cell r="I1357" t="str">
            <v>LM</v>
          </cell>
          <cell r="L1357" t="e">
            <v>#N/A</v>
          </cell>
          <cell r="M1357" t="str">
            <v>SSP25</v>
          </cell>
        </row>
        <row r="1358">
          <cell r="I1358" t="str">
            <v>LM</v>
          </cell>
          <cell r="L1358" t="e">
            <v>#N/A</v>
          </cell>
          <cell r="M1358" t="str">
            <v>SSP38</v>
          </cell>
        </row>
        <row r="1359">
          <cell r="I1359" t="str">
            <v>LM</v>
          </cell>
          <cell r="L1359" t="e">
            <v>#N/A</v>
          </cell>
          <cell r="M1359" t="str">
            <v>SSP38</v>
          </cell>
        </row>
        <row r="1360">
          <cell r="I1360" t="str">
            <v>LM</v>
          </cell>
          <cell r="L1360" t="e">
            <v>#N/A</v>
          </cell>
          <cell r="M1360" t="str">
            <v>SSP42</v>
          </cell>
        </row>
        <row r="1361">
          <cell r="I1361" t="str">
            <v>LM</v>
          </cell>
          <cell r="L1361" t="e">
            <v>#N/A</v>
          </cell>
          <cell r="M1361" t="str">
            <v>SSP42</v>
          </cell>
        </row>
        <row r="1362">
          <cell r="I1362" t="str">
            <v>LM</v>
          </cell>
          <cell r="L1362" t="e">
            <v>#N/A</v>
          </cell>
          <cell r="M1362" t="str">
            <v>SSP25</v>
          </cell>
        </row>
        <row r="1363">
          <cell r="I1363" t="str">
            <v>LM</v>
          </cell>
          <cell r="L1363" t="e">
            <v>#N/A</v>
          </cell>
          <cell r="M1363" t="str">
            <v>SSP42</v>
          </cell>
        </row>
        <row r="1364">
          <cell r="I1364" t="str">
            <v>LM</v>
          </cell>
          <cell r="L1364" t="e">
            <v>#N/A</v>
          </cell>
          <cell r="M1364" t="str">
            <v>SSP42</v>
          </cell>
        </row>
        <row r="1365">
          <cell r="I1365" t="str">
            <v>LM</v>
          </cell>
          <cell r="L1365" t="e">
            <v>#N/A</v>
          </cell>
          <cell r="M1365" t="str">
            <v>SSP42</v>
          </cell>
        </row>
        <row r="1366">
          <cell r="I1366" t="str">
            <v>LM</v>
          </cell>
          <cell r="L1366" t="e">
            <v>#N/A</v>
          </cell>
          <cell r="M1366" t="str">
            <v>SSP38</v>
          </cell>
        </row>
        <row r="1367">
          <cell r="I1367" t="str">
            <v>LM</v>
          </cell>
          <cell r="L1367" t="e">
            <v>#N/A</v>
          </cell>
          <cell r="M1367" t="str">
            <v>SPR2</v>
          </cell>
        </row>
        <row r="1368">
          <cell r="I1368" t="str">
            <v>LM</v>
          </cell>
          <cell r="L1368" t="e">
            <v>#N/A</v>
          </cell>
          <cell r="M1368" t="str">
            <v>SPR2</v>
          </cell>
        </row>
        <row r="1369">
          <cell r="I1369" t="str">
            <v>LM</v>
          </cell>
          <cell r="L1369" t="e">
            <v>#N/A</v>
          </cell>
          <cell r="M1369" t="str">
            <v>SPR2</v>
          </cell>
        </row>
        <row r="1370">
          <cell r="I1370" t="str">
            <v>LM</v>
          </cell>
          <cell r="L1370" t="e">
            <v>#N/A</v>
          </cell>
          <cell r="M1370" t="str">
            <v>SPR2</v>
          </cell>
        </row>
        <row r="1371">
          <cell r="I1371" t="str">
            <v>LM</v>
          </cell>
          <cell r="L1371" t="e">
            <v>#N/A</v>
          </cell>
          <cell r="M1371" t="str">
            <v>SPR2</v>
          </cell>
        </row>
        <row r="1372">
          <cell r="I1372" t="str">
            <v>LM</v>
          </cell>
          <cell r="L1372" t="e">
            <v>#N/A</v>
          </cell>
          <cell r="M1372" t="str">
            <v>SPR2</v>
          </cell>
        </row>
        <row r="1373">
          <cell r="I1373" t="str">
            <v>LM</v>
          </cell>
          <cell r="L1373" t="e">
            <v>#N/A</v>
          </cell>
          <cell r="M1373" t="str">
            <v>SPR2</v>
          </cell>
        </row>
        <row r="1374">
          <cell r="I1374" t="str">
            <v>LM</v>
          </cell>
          <cell r="L1374" t="e">
            <v>#N/A</v>
          </cell>
          <cell r="M1374" t="str">
            <v>SPR2</v>
          </cell>
        </row>
        <row r="1375">
          <cell r="I1375" t="str">
            <v>LM</v>
          </cell>
          <cell r="L1375" t="e">
            <v>#N/A</v>
          </cell>
          <cell r="M1375" t="str">
            <v>SPR2</v>
          </cell>
        </row>
        <row r="1376">
          <cell r="I1376" t="str">
            <v>LM</v>
          </cell>
          <cell r="L1376" t="e">
            <v>#N/A</v>
          </cell>
          <cell r="M1376" t="str">
            <v>SPR2</v>
          </cell>
        </row>
        <row r="1377">
          <cell r="I1377" t="str">
            <v>LM</v>
          </cell>
          <cell r="L1377" t="e">
            <v>#N/A</v>
          </cell>
          <cell r="M1377" t="str">
            <v>SPR2</v>
          </cell>
        </row>
        <row r="1378">
          <cell r="I1378" t="str">
            <v>LM</v>
          </cell>
          <cell r="L1378" t="e">
            <v>#N/A</v>
          </cell>
          <cell r="M1378" t="str">
            <v>SPR6</v>
          </cell>
        </row>
        <row r="1379">
          <cell r="I1379" t="str">
            <v>LM</v>
          </cell>
          <cell r="L1379" t="e">
            <v>#N/A</v>
          </cell>
          <cell r="M1379" t="str">
            <v>SPR6</v>
          </cell>
        </row>
        <row r="1380">
          <cell r="I1380" t="str">
            <v>LM</v>
          </cell>
          <cell r="L1380" t="e">
            <v>#N/A</v>
          </cell>
          <cell r="M1380" t="str">
            <v>SPR6</v>
          </cell>
        </row>
        <row r="1381">
          <cell r="I1381" t="str">
            <v>LM</v>
          </cell>
          <cell r="L1381" t="e">
            <v>#N/A</v>
          </cell>
          <cell r="M1381" t="str">
            <v>SPR6</v>
          </cell>
        </row>
        <row r="1382">
          <cell r="I1382" t="str">
            <v>LM</v>
          </cell>
          <cell r="L1382" t="e">
            <v>#N/A</v>
          </cell>
          <cell r="M1382" t="str">
            <v>SSP22</v>
          </cell>
        </row>
        <row r="1383">
          <cell r="I1383" t="str">
            <v>LM</v>
          </cell>
          <cell r="L1383" t="e">
            <v>#N/A</v>
          </cell>
          <cell r="M1383" t="str">
            <v>EPR8</v>
          </cell>
        </row>
        <row r="1384">
          <cell r="I1384" t="str">
            <v>LM</v>
          </cell>
          <cell r="K1384" t="str">
            <v>Verificar</v>
          </cell>
          <cell r="L1384" t="e">
            <v>#N/A</v>
          </cell>
          <cell r="M1384" t="e">
            <v>#N/A</v>
          </cell>
        </row>
        <row r="1385">
          <cell r="I1385" t="str">
            <v>LM</v>
          </cell>
          <cell r="K1385" t="str">
            <v>Verificar</v>
          </cell>
          <cell r="L1385" t="e">
            <v>#N/A</v>
          </cell>
          <cell r="M1385" t="e">
            <v>#N/A</v>
          </cell>
        </row>
        <row r="1386">
          <cell r="I1386" t="str">
            <v>LM</v>
          </cell>
          <cell r="K1386" t="str">
            <v>Verificar</v>
          </cell>
          <cell r="L1386" t="e">
            <v>#N/A</v>
          </cell>
          <cell r="M1386" t="e">
            <v>#N/A</v>
          </cell>
        </row>
        <row r="1387">
          <cell r="I1387" t="str">
            <v>LM</v>
          </cell>
          <cell r="K1387" t="str">
            <v>Verificar</v>
          </cell>
          <cell r="L1387" t="e">
            <v>#N/A</v>
          </cell>
          <cell r="M1387" t="e">
            <v>#N/A</v>
          </cell>
        </row>
        <row r="1388">
          <cell r="I1388" t="str">
            <v>LM</v>
          </cell>
          <cell r="K1388" t="str">
            <v>Verificar</v>
          </cell>
          <cell r="L1388" t="e">
            <v>#N/A</v>
          </cell>
          <cell r="M1388" t="e">
            <v>#N/A</v>
          </cell>
        </row>
        <row r="1389">
          <cell r="I1389" t="str">
            <v>LM</v>
          </cell>
          <cell r="K1389" t="str">
            <v>Verificar</v>
          </cell>
          <cell r="L1389" t="e">
            <v>#N/A</v>
          </cell>
          <cell r="M1389" t="e">
            <v>#N/A</v>
          </cell>
        </row>
        <row r="1390">
          <cell r="I1390" t="str">
            <v>LM</v>
          </cell>
          <cell r="K1390" t="str">
            <v>Verificar</v>
          </cell>
          <cell r="L1390" t="e">
            <v>#N/A</v>
          </cell>
          <cell r="M1390" t="e">
            <v>#N/A</v>
          </cell>
        </row>
        <row r="1391">
          <cell r="I1391" t="str">
            <v>LM</v>
          </cell>
          <cell r="K1391" t="str">
            <v>Verificar</v>
          </cell>
          <cell r="L1391" t="e">
            <v>#N/A</v>
          </cell>
          <cell r="M1391" t="e">
            <v>#N/A</v>
          </cell>
        </row>
        <row r="1392">
          <cell r="I1392" t="str">
            <v>Movida GTF</v>
          </cell>
          <cell r="K1392" t="str">
            <v>Desmobilizado</v>
          </cell>
          <cell r="L1392">
            <v>45915</v>
          </cell>
          <cell r="M1392" t="str">
            <v>SBA1</v>
          </cell>
        </row>
        <row r="1393">
          <cell r="I1393" t="str">
            <v>Movida GTF</v>
          </cell>
          <cell r="K1393" t="str">
            <v>Desmobilizado</v>
          </cell>
          <cell r="L1393">
            <v>45915</v>
          </cell>
          <cell r="M1393" t="str">
            <v>SBA1</v>
          </cell>
        </row>
        <row r="1394">
          <cell r="I1394" t="str">
            <v>Movida GTF</v>
          </cell>
          <cell r="L1394">
            <v>0</v>
          </cell>
          <cell r="M1394" t="str">
            <v>SBA1</v>
          </cell>
        </row>
        <row r="1395">
          <cell r="I1395" t="str">
            <v>Movida GTF</v>
          </cell>
          <cell r="K1395" t="str">
            <v>Desmobilizado</v>
          </cell>
          <cell r="L1395">
            <v>45912</v>
          </cell>
          <cell r="M1395" t="str">
            <v>SBA1</v>
          </cell>
        </row>
        <row r="1396">
          <cell r="I1396" t="str">
            <v>Movida GTF</v>
          </cell>
          <cell r="L1396">
            <v>0</v>
          </cell>
          <cell r="M1396" t="str">
            <v>SBA1</v>
          </cell>
        </row>
        <row r="1397">
          <cell r="I1397" t="str">
            <v>Movida GTF</v>
          </cell>
          <cell r="L1397">
            <v>0</v>
          </cell>
          <cell r="M1397" t="str">
            <v>SSC3</v>
          </cell>
        </row>
        <row r="1398">
          <cell r="I1398" t="str">
            <v>Movida GTF</v>
          </cell>
          <cell r="L1398">
            <v>0</v>
          </cell>
          <cell r="M1398" t="str">
            <v>SMS1</v>
          </cell>
        </row>
        <row r="1399">
          <cell r="I1399" t="str">
            <v>Movida GTF</v>
          </cell>
          <cell r="L1399">
            <v>0</v>
          </cell>
          <cell r="M1399" t="str">
            <v>SMS1</v>
          </cell>
        </row>
        <row r="1400">
          <cell r="I1400" t="str">
            <v>Movida GTF</v>
          </cell>
          <cell r="L1400">
            <v>0</v>
          </cell>
          <cell r="M1400" t="str">
            <v>SMS1</v>
          </cell>
        </row>
        <row r="1401">
          <cell r="I1401" t="str">
            <v>Movida GTF</v>
          </cell>
          <cell r="L1401">
            <v>0</v>
          </cell>
          <cell r="M1401" t="str">
            <v>SMS1</v>
          </cell>
        </row>
        <row r="1402">
          <cell r="I1402" t="str">
            <v>Movida GTF</v>
          </cell>
          <cell r="L1402">
            <v>0</v>
          </cell>
          <cell r="M1402" t="str">
            <v>SMS1</v>
          </cell>
        </row>
        <row r="1403">
          <cell r="I1403" t="str">
            <v>Movida GTF</v>
          </cell>
          <cell r="L1403">
            <v>0</v>
          </cell>
          <cell r="M1403" t="str">
            <v>SMS1</v>
          </cell>
        </row>
        <row r="1404">
          <cell r="I1404" t="str">
            <v>Movida GTF</v>
          </cell>
          <cell r="L1404">
            <v>0</v>
          </cell>
          <cell r="M1404" t="str">
            <v>SMS1</v>
          </cell>
        </row>
        <row r="1405">
          <cell r="I1405" t="str">
            <v>Movida GTF</v>
          </cell>
          <cell r="L1405">
            <v>0</v>
          </cell>
          <cell r="M1405" t="str">
            <v>SMS1</v>
          </cell>
        </row>
        <row r="1406">
          <cell r="I1406" t="str">
            <v>Movida GTF</v>
          </cell>
          <cell r="L1406">
            <v>0</v>
          </cell>
          <cell r="M1406" t="str">
            <v>SPR3</v>
          </cell>
        </row>
        <row r="1407">
          <cell r="I1407" t="str">
            <v>Movida GTF</v>
          </cell>
          <cell r="L1407">
            <v>0</v>
          </cell>
          <cell r="M1407" t="str">
            <v>SPR3</v>
          </cell>
        </row>
        <row r="1408">
          <cell r="I1408" t="str">
            <v>Movida GTF</v>
          </cell>
          <cell r="L1408">
            <v>0</v>
          </cell>
          <cell r="M1408" t="str">
            <v>SPR1</v>
          </cell>
        </row>
        <row r="1409">
          <cell r="I1409" t="str">
            <v>Movida GTF</v>
          </cell>
          <cell r="L1409">
            <v>0</v>
          </cell>
          <cell r="M1409" t="str">
            <v>SPR1</v>
          </cell>
        </row>
        <row r="1410">
          <cell r="I1410" t="str">
            <v>Movida GTF</v>
          </cell>
          <cell r="L1410">
            <v>0</v>
          </cell>
          <cell r="M1410" t="str">
            <v>SPR1</v>
          </cell>
        </row>
        <row r="1411">
          <cell r="I1411" t="str">
            <v>Movida GTF</v>
          </cell>
          <cell r="L1411">
            <v>0</v>
          </cell>
          <cell r="M1411" t="str">
            <v>SPR1</v>
          </cell>
        </row>
        <row r="1412">
          <cell r="I1412" t="str">
            <v>Movida GTF</v>
          </cell>
          <cell r="L1412">
            <v>0</v>
          </cell>
          <cell r="M1412" t="str">
            <v>SPR1</v>
          </cell>
        </row>
        <row r="1413">
          <cell r="I1413" t="str">
            <v>Movida GTF</v>
          </cell>
          <cell r="L1413">
            <v>0</v>
          </cell>
          <cell r="M1413" t="str">
            <v>SPR1</v>
          </cell>
        </row>
        <row r="1414">
          <cell r="I1414" t="str">
            <v>Movida GTF</v>
          </cell>
          <cell r="L1414">
            <v>0</v>
          </cell>
          <cell r="M1414" t="str">
            <v>SPR1</v>
          </cell>
        </row>
        <row r="1415">
          <cell r="I1415" t="str">
            <v>Movida GTF</v>
          </cell>
          <cell r="L1415">
            <v>0</v>
          </cell>
          <cell r="M1415" t="str">
            <v>SPR1</v>
          </cell>
        </row>
        <row r="1416">
          <cell r="I1416" t="str">
            <v>Movida GTF</v>
          </cell>
          <cell r="L1416">
            <v>0</v>
          </cell>
          <cell r="M1416" t="str">
            <v>SPR1</v>
          </cell>
        </row>
        <row r="1417">
          <cell r="I1417" t="str">
            <v>Movida GTF</v>
          </cell>
          <cell r="L1417">
            <v>0</v>
          </cell>
          <cell r="M1417" t="str">
            <v>SPR1</v>
          </cell>
        </row>
        <row r="1418">
          <cell r="I1418" t="str">
            <v>Movida GTF</v>
          </cell>
          <cell r="L1418">
            <v>0</v>
          </cell>
          <cell r="M1418" t="str">
            <v>SSC2</v>
          </cell>
        </row>
        <row r="1419">
          <cell r="I1419" t="str">
            <v>Movida GTF</v>
          </cell>
          <cell r="L1419">
            <v>0</v>
          </cell>
          <cell r="M1419" t="str">
            <v>SSC2</v>
          </cell>
        </row>
        <row r="1420">
          <cell r="I1420" t="str">
            <v>Movida GTF</v>
          </cell>
          <cell r="L1420">
            <v>0</v>
          </cell>
          <cell r="M1420" t="str">
            <v>SSC2</v>
          </cell>
        </row>
        <row r="1421">
          <cell r="I1421" t="str">
            <v>Movida GTF</v>
          </cell>
          <cell r="L1421">
            <v>0</v>
          </cell>
          <cell r="M1421" t="str">
            <v>SSC2</v>
          </cell>
        </row>
        <row r="1422">
          <cell r="I1422" t="str">
            <v>Movida GTF</v>
          </cell>
          <cell r="L1422">
            <v>0</v>
          </cell>
          <cell r="M1422" t="str">
            <v>SSP26</v>
          </cell>
        </row>
        <row r="1423">
          <cell r="I1423" t="str">
            <v>Movida GTF</v>
          </cell>
          <cell r="L1423">
            <v>0</v>
          </cell>
          <cell r="M1423" t="str">
            <v>SSP26</v>
          </cell>
        </row>
        <row r="1424">
          <cell r="I1424" t="str">
            <v>Movida GTF</v>
          </cell>
          <cell r="L1424">
            <v>0</v>
          </cell>
          <cell r="M1424" t="str">
            <v>SSP26</v>
          </cell>
        </row>
        <row r="1425">
          <cell r="I1425" t="str">
            <v>Movida GTF</v>
          </cell>
          <cell r="L1425">
            <v>0</v>
          </cell>
          <cell r="M1425" t="str">
            <v>SGO1</v>
          </cell>
        </row>
        <row r="1426">
          <cell r="I1426" t="str">
            <v>Movida GTF</v>
          </cell>
          <cell r="L1426">
            <v>0</v>
          </cell>
          <cell r="M1426" t="str">
            <v>SGO1</v>
          </cell>
        </row>
        <row r="1427">
          <cell r="I1427" t="str">
            <v>Movida GTF</v>
          </cell>
          <cell r="L1427">
            <v>0</v>
          </cell>
          <cell r="M1427" t="str">
            <v>SGO1</v>
          </cell>
        </row>
        <row r="1428">
          <cell r="I1428" t="str">
            <v>Movida GTF</v>
          </cell>
          <cell r="L1428">
            <v>0</v>
          </cell>
          <cell r="M1428" t="str">
            <v>SRS2</v>
          </cell>
        </row>
        <row r="1429">
          <cell r="I1429" t="str">
            <v>Movida GTF</v>
          </cell>
          <cell r="L1429">
            <v>0</v>
          </cell>
          <cell r="M1429" t="str">
            <v>SPR7</v>
          </cell>
        </row>
        <row r="1430">
          <cell r="I1430" t="str">
            <v>Movida GTF</v>
          </cell>
          <cell r="L1430">
            <v>0</v>
          </cell>
          <cell r="M1430" t="str">
            <v>SPR7</v>
          </cell>
        </row>
        <row r="1431">
          <cell r="I1431" t="str">
            <v>Movida GTF</v>
          </cell>
          <cell r="L1431">
            <v>0</v>
          </cell>
          <cell r="M1431" t="str">
            <v>SRS8</v>
          </cell>
        </row>
        <row r="1432">
          <cell r="I1432" t="str">
            <v>Movida GTF</v>
          </cell>
          <cell r="L1432">
            <v>0</v>
          </cell>
          <cell r="M1432" t="str">
            <v>SSP6</v>
          </cell>
        </row>
        <row r="1433">
          <cell r="I1433" t="str">
            <v>Movida GTF</v>
          </cell>
          <cell r="L1433">
            <v>0</v>
          </cell>
          <cell r="M1433" t="str">
            <v>SSP6</v>
          </cell>
        </row>
        <row r="1434">
          <cell r="I1434" t="str">
            <v>Movida GTF</v>
          </cell>
          <cell r="L1434">
            <v>0</v>
          </cell>
          <cell r="M1434" t="str">
            <v>SSP6</v>
          </cell>
        </row>
        <row r="1435">
          <cell r="I1435" t="str">
            <v>Movida GTF</v>
          </cell>
          <cell r="L1435">
            <v>0</v>
          </cell>
          <cell r="M1435" t="str">
            <v>SSP6</v>
          </cell>
        </row>
        <row r="1436">
          <cell r="I1436" t="str">
            <v>Movida GTF</v>
          </cell>
          <cell r="L1436">
            <v>0</v>
          </cell>
          <cell r="M1436" t="str">
            <v>SSP6</v>
          </cell>
        </row>
        <row r="1437">
          <cell r="I1437" t="str">
            <v>Movida GTF</v>
          </cell>
          <cell r="L1437">
            <v>0</v>
          </cell>
          <cell r="M1437" t="str">
            <v>SSP6</v>
          </cell>
        </row>
        <row r="1438">
          <cell r="I1438" t="str">
            <v>Movida GTF</v>
          </cell>
          <cell r="L1438">
            <v>0</v>
          </cell>
          <cell r="M1438" t="str">
            <v>SSP6</v>
          </cell>
        </row>
        <row r="1439">
          <cell r="I1439" t="str">
            <v>Movida GTF</v>
          </cell>
          <cell r="L1439">
            <v>0</v>
          </cell>
          <cell r="M1439" t="str">
            <v>SSP6</v>
          </cell>
        </row>
        <row r="1440">
          <cell r="I1440" t="str">
            <v>Movida GTF</v>
          </cell>
          <cell r="L1440">
            <v>0</v>
          </cell>
          <cell r="M1440" t="str">
            <v>EPR6</v>
          </cell>
        </row>
        <row r="1441">
          <cell r="I1441" t="str">
            <v>Movida GTF</v>
          </cell>
          <cell r="L1441">
            <v>0</v>
          </cell>
          <cell r="M1441" t="str">
            <v>EPR6</v>
          </cell>
        </row>
        <row r="1442">
          <cell r="I1442" t="str">
            <v>Movida GTF</v>
          </cell>
          <cell r="L1442">
            <v>0</v>
          </cell>
          <cell r="M1442" t="str">
            <v>EPR6</v>
          </cell>
        </row>
        <row r="1443">
          <cell r="I1443" t="str">
            <v>Movida GTF</v>
          </cell>
          <cell r="L1443">
            <v>0</v>
          </cell>
          <cell r="M1443" t="str">
            <v>EPR6</v>
          </cell>
        </row>
        <row r="1444">
          <cell r="I1444" t="str">
            <v>Movida GTF</v>
          </cell>
          <cell r="L1444">
            <v>0</v>
          </cell>
          <cell r="M1444" t="str">
            <v>SPR6</v>
          </cell>
        </row>
        <row r="1445">
          <cell r="I1445" t="str">
            <v>Movida GTF</v>
          </cell>
          <cell r="L1445">
            <v>0</v>
          </cell>
          <cell r="M1445" t="str">
            <v>SPR6</v>
          </cell>
        </row>
        <row r="1446">
          <cell r="I1446" t="str">
            <v>Vamos</v>
          </cell>
          <cell r="L1446" t="e">
            <v>#N/A</v>
          </cell>
          <cell r="M1446" t="str">
            <v>SSP17</v>
          </cell>
        </row>
        <row r="1447">
          <cell r="I1447" t="str">
            <v>Vamos</v>
          </cell>
          <cell r="L1447" t="e">
            <v>#N/A</v>
          </cell>
          <cell r="M1447" t="str">
            <v>BRRC01</v>
          </cell>
        </row>
        <row r="1448">
          <cell r="I1448" t="str">
            <v>Vamos</v>
          </cell>
          <cell r="L1448" t="e">
            <v>#N/A</v>
          </cell>
          <cell r="M1448" t="str">
            <v>SSP5</v>
          </cell>
        </row>
        <row r="1449">
          <cell r="I1449" t="str">
            <v>Vamos</v>
          </cell>
          <cell r="L1449" t="e">
            <v>#N/A</v>
          </cell>
          <cell r="M1449" t="str">
            <v>SSP5</v>
          </cell>
        </row>
        <row r="1450">
          <cell r="I1450" t="str">
            <v>Vamos</v>
          </cell>
          <cell r="L1450" t="e">
            <v>#N/A</v>
          </cell>
          <cell r="M1450" t="str">
            <v>SSP5</v>
          </cell>
        </row>
        <row r="1451">
          <cell r="I1451" t="str">
            <v>Vamos</v>
          </cell>
          <cell r="L1451" t="e">
            <v>#N/A</v>
          </cell>
          <cell r="M1451" t="str">
            <v>SSP5</v>
          </cell>
        </row>
        <row r="1452">
          <cell r="I1452" t="str">
            <v>Vamos</v>
          </cell>
          <cell r="L1452" t="e">
            <v>#N/A</v>
          </cell>
          <cell r="M1452" t="str">
            <v>SSP5</v>
          </cell>
        </row>
        <row r="1453">
          <cell r="I1453" t="str">
            <v>Vamos</v>
          </cell>
          <cell r="L1453" t="e">
            <v>#N/A</v>
          </cell>
          <cell r="M1453" t="str">
            <v>SSP5</v>
          </cell>
        </row>
        <row r="1454">
          <cell r="I1454" t="str">
            <v>Vamos</v>
          </cell>
          <cell r="L1454" t="e">
            <v>#N/A</v>
          </cell>
          <cell r="M1454" t="str">
            <v>SSP5</v>
          </cell>
        </row>
        <row r="1455">
          <cell r="I1455" t="str">
            <v>Vamos</v>
          </cell>
          <cell r="L1455" t="e">
            <v>#N/A</v>
          </cell>
          <cell r="M1455" t="str">
            <v>SSP5</v>
          </cell>
        </row>
        <row r="1456">
          <cell r="I1456" t="str">
            <v>Vamos</v>
          </cell>
          <cell r="L1456" t="e">
            <v>#N/A</v>
          </cell>
          <cell r="M1456" t="str">
            <v>SSP5</v>
          </cell>
        </row>
        <row r="1457">
          <cell r="I1457" t="str">
            <v>Vamos</v>
          </cell>
          <cell r="L1457" t="e">
            <v>#N/A</v>
          </cell>
          <cell r="M1457" t="str">
            <v>SSP5</v>
          </cell>
        </row>
        <row r="1458">
          <cell r="I1458" t="str">
            <v>Vamos</v>
          </cell>
          <cell r="L1458" t="e">
            <v>#N/A</v>
          </cell>
          <cell r="M1458" t="str">
            <v>SSP25</v>
          </cell>
        </row>
        <row r="1459">
          <cell r="I1459" t="str">
            <v>Vamos</v>
          </cell>
          <cell r="L1459" t="e">
            <v>#N/A</v>
          </cell>
          <cell r="M1459" t="str">
            <v>SSP25</v>
          </cell>
        </row>
        <row r="1460">
          <cell r="I1460" t="str">
            <v>Vamos</v>
          </cell>
          <cell r="L1460" t="e">
            <v>#N/A</v>
          </cell>
          <cell r="M1460" t="str">
            <v>BRRC01</v>
          </cell>
        </row>
        <row r="1461">
          <cell r="I1461" t="str">
            <v>Vamos</v>
          </cell>
          <cell r="L1461" t="e">
            <v>#N/A</v>
          </cell>
          <cell r="M1461" t="str">
            <v>SSP27</v>
          </cell>
        </row>
        <row r="1462">
          <cell r="I1462" t="str">
            <v>Vamos</v>
          </cell>
          <cell r="L1462" t="e">
            <v>#N/A</v>
          </cell>
          <cell r="M1462" t="str">
            <v>SSP27</v>
          </cell>
        </row>
        <row r="1463">
          <cell r="I1463" t="str">
            <v>Vamos</v>
          </cell>
          <cell r="L1463" t="e">
            <v>#N/A</v>
          </cell>
          <cell r="M1463" t="str">
            <v>SSP27</v>
          </cell>
        </row>
        <row r="1464">
          <cell r="I1464" t="str">
            <v>Vamos</v>
          </cell>
          <cell r="L1464" t="e">
            <v>#N/A</v>
          </cell>
          <cell r="M1464" t="str">
            <v>SPR2</v>
          </cell>
        </row>
        <row r="1465">
          <cell r="I1465" t="str">
            <v>Vamos</v>
          </cell>
          <cell r="L1465" t="e">
            <v>#N/A</v>
          </cell>
          <cell r="M1465" t="str">
            <v>SSP13</v>
          </cell>
        </row>
        <row r="1466">
          <cell r="I1466" t="str">
            <v>Vamos</v>
          </cell>
          <cell r="L1466" t="e">
            <v>#N/A</v>
          </cell>
          <cell r="M1466" t="str">
            <v>SSP36</v>
          </cell>
        </row>
        <row r="1467">
          <cell r="I1467" t="str">
            <v>Vamos</v>
          </cell>
          <cell r="L1467" t="e">
            <v>#N/A</v>
          </cell>
          <cell r="M1467" t="str">
            <v>SSP36</v>
          </cell>
        </row>
        <row r="1468">
          <cell r="I1468" t="str">
            <v>Vamos</v>
          </cell>
          <cell r="L1468" t="e">
            <v>#N/A</v>
          </cell>
          <cell r="M1468" t="str">
            <v>SSP36</v>
          </cell>
        </row>
        <row r="1469">
          <cell r="I1469" t="str">
            <v>Vamos</v>
          </cell>
          <cell r="L1469" t="e">
            <v>#N/A</v>
          </cell>
          <cell r="M1469" t="str">
            <v>SSP8</v>
          </cell>
        </row>
        <row r="1470">
          <cell r="I1470" t="str">
            <v>Vamos</v>
          </cell>
          <cell r="K1470" t="str">
            <v>Verificar</v>
          </cell>
          <cell r="L1470" t="e">
            <v>#N/A</v>
          </cell>
          <cell r="M1470" t="e">
            <v>#N/A</v>
          </cell>
        </row>
        <row r="1471">
          <cell r="I1471" t="str">
            <v>Vamos</v>
          </cell>
          <cell r="L1471" t="e">
            <v>#N/A</v>
          </cell>
          <cell r="M1471" t="str">
            <v>SSP8</v>
          </cell>
        </row>
        <row r="1472">
          <cell r="I1472" t="str">
            <v>Vamos</v>
          </cell>
          <cell r="L1472" t="e">
            <v>#N/A</v>
          </cell>
          <cell r="M1472" t="str">
            <v>SSP20</v>
          </cell>
        </row>
        <row r="1473">
          <cell r="I1473" t="str">
            <v>Vamos</v>
          </cell>
          <cell r="L1473" t="e">
            <v>#N/A</v>
          </cell>
          <cell r="M1473" t="str">
            <v>SSP20</v>
          </cell>
        </row>
        <row r="1474">
          <cell r="I1474" t="str">
            <v>Vamos</v>
          </cell>
          <cell r="K1474" t="str">
            <v>Verificar</v>
          </cell>
          <cell r="L1474" t="e">
            <v>#N/A</v>
          </cell>
          <cell r="M1474" t="e">
            <v>#N/A</v>
          </cell>
        </row>
        <row r="1475">
          <cell r="I1475" t="str">
            <v>Vamos</v>
          </cell>
          <cell r="L1475" t="e">
            <v>#N/A</v>
          </cell>
          <cell r="M1475" t="str">
            <v>SSP20</v>
          </cell>
        </row>
        <row r="1476">
          <cell r="L1476" t="e">
            <v>#N/A</v>
          </cell>
          <cell r="M1476">
            <v>0</v>
          </cell>
        </row>
        <row r="1477">
          <cell r="L1477" t="e">
            <v>#N/A</v>
          </cell>
          <cell r="M1477">
            <v>0</v>
          </cell>
        </row>
        <row r="1478">
          <cell r="L1478" t="e">
            <v>#N/A</v>
          </cell>
          <cell r="M1478">
            <v>0</v>
          </cell>
        </row>
        <row r="1479">
          <cell r="L1479" t="e">
            <v>#N/A</v>
          </cell>
          <cell r="M1479">
            <v>0</v>
          </cell>
        </row>
        <row r="1480">
          <cell r="L1480" t="e">
            <v>#N/A</v>
          </cell>
          <cell r="M1480">
            <v>0</v>
          </cell>
        </row>
        <row r="1481">
          <cell r="L1481" t="e">
            <v>#N/A</v>
          </cell>
          <cell r="M1481">
            <v>0</v>
          </cell>
        </row>
        <row r="1482">
          <cell r="L1482" t="e">
            <v>#N/A</v>
          </cell>
          <cell r="M1482">
            <v>0</v>
          </cell>
        </row>
        <row r="1483">
          <cell r="L1483" t="e">
            <v>#N/A</v>
          </cell>
          <cell r="M1483">
            <v>0</v>
          </cell>
        </row>
        <row r="1484">
          <cell r="L1484" t="e">
            <v>#N/A</v>
          </cell>
          <cell r="M1484">
            <v>0</v>
          </cell>
        </row>
        <row r="1485">
          <cell r="L1485" t="e">
            <v>#N/A</v>
          </cell>
          <cell r="M1485">
            <v>0</v>
          </cell>
        </row>
        <row r="1486">
          <cell r="L1486" t="e">
            <v>#N/A</v>
          </cell>
          <cell r="M1486">
            <v>0</v>
          </cell>
        </row>
        <row r="1487">
          <cell r="L1487" t="e">
            <v>#N/A</v>
          </cell>
          <cell r="M1487">
            <v>0</v>
          </cell>
        </row>
        <row r="1488">
          <cell r="L1488" t="e">
            <v>#N/A</v>
          </cell>
          <cell r="M1488">
            <v>0</v>
          </cell>
        </row>
        <row r="1489">
          <cell r="L1489" t="e">
            <v>#N/A</v>
          </cell>
          <cell r="M1489">
            <v>0</v>
          </cell>
        </row>
        <row r="1490">
          <cell r="L1490" t="e">
            <v>#N/A</v>
          </cell>
          <cell r="M1490">
            <v>0</v>
          </cell>
        </row>
        <row r="1491">
          <cell r="L1491" t="e">
            <v>#N/A</v>
          </cell>
          <cell r="M1491">
            <v>0</v>
          </cell>
        </row>
        <row r="1492">
          <cell r="L1492" t="e">
            <v>#N/A</v>
          </cell>
          <cell r="M1492">
            <v>0</v>
          </cell>
        </row>
        <row r="1493">
          <cell r="L1493" t="e">
            <v>#N/A</v>
          </cell>
          <cell r="M1493">
            <v>0</v>
          </cell>
        </row>
        <row r="1494">
          <cell r="K1494" t="str">
            <v>Verificar</v>
          </cell>
          <cell r="L1494" t="e">
            <v>#N/A</v>
          </cell>
          <cell r="M1494" t="e">
            <v>#N/A</v>
          </cell>
        </row>
        <row r="1495">
          <cell r="K1495" t="str">
            <v>Verificar</v>
          </cell>
          <cell r="L1495" t="e">
            <v>#N/A</v>
          </cell>
          <cell r="M1495" t="e">
            <v>#N/A</v>
          </cell>
        </row>
        <row r="1496">
          <cell r="K1496" t="str">
            <v>Verificar</v>
          </cell>
          <cell r="L1496" t="e">
            <v>#N/A</v>
          </cell>
          <cell r="M1496" t="e">
            <v>#N/A</v>
          </cell>
        </row>
        <row r="1497">
          <cell r="K1497" t="str">
            <v>Verificar</v>
          </cell>
          <cell r="L1497" t="e">
            <v>#N/A</v>
          </cell>
          <cell r="M1497" t="e">
            <v>#N/A</v>
          </cell>
        </row>
        <row r="1498">
          <cell r="K1498" t="str">
            <v>Verificar</v>
          </cell>
          <cell r="L1498" t="e">
            <v>#N/A</v>
          </cell>
          <cell r="M1498" t="e">
            <v>#N/A</v>
          </cell>
        </row>
        <row r="1499">
          <cell r="K1499" t="str">
            <v>Verificar</v>
          </cell>
          <cell r="L1499" t="e">
            <v>#N/A</v>
          </cell>
          <cell r="M1499" t="e">
            <v>#N/A</v>
          </cell>
        </row>
        <row r="1500">
          <cell r="K1500" t="str">
            <v>Verificar</v>
          </cell>
          <cell r="L1500" t="e">
            <v>#N/A</v>
          </cell>
          <cell r="M1500" t="e">
            <v>#N/A</v>
          </cell>
        </row>
        <row r="1501">
          <cell r="K1501" t="str">
            <v>Verificar</v>
          </cell>
          <cell r="L1501" t="e">
            <v>#N/A</v>
          </cell>
          <cell r="M1501" t="e">
            <v>#N/A</v>
          </cell>
        </row>
        <row r="1502">
          <cell r="K1502" t="str">
            <v>Verificar</v>
          </cell>
          <cell r="L1502" t="e">
            <v>#N/A</v>
          </cell>
          <cell r="M1502" t="e">
            <v>#N/A</v>
          </cell>
        </row>
        <row r="1503">
          <cell r="K1503" t="str">
            <v>Verificar</v>
          </cell>
          <cell r="L1503" t="e">
            <v>#N/A</v>
          </cell>
          <cell r="M1503" t="e">
            <v>#N/A</v>
          </cell>
        </row>
        <row r="1504">
          <cell r="K1504" t="str">
            <v>Verificar</v>
          </cell>
          <cell r="L1504" t="e">
            <v>#N/A</v>
          </cell>
          <cell r="M1504" t="e">
            <v>#N/A</v>
          </cell>
        </row>
        <row r="1505">
          <cell r="K1505" t="str">
            <v>Verificar</v>
          </cell>
          <cell r="L1505" t="e">
            <v>#N/A</v>
          </cell>
          <cell r="M1505" t="e">
            <v>#N/A</v>
          </cell>
        </row>
        <row r="1506">
          <cell r="K1506" t="str">
            <v>Verificar</v>
          </cell>
          <cell r="L1506" t="e">
            <v>#N/A</v>
          </cell>
          <cell r="M1506" t="e">
            <v>#N/A</v>
          </cell>
        </row>
        <row r="1507">
          <cell r="K1507" t="str">
            <v>Verificar</v>
          </cell>
          <cell r="L1507" t="e">
            <v>#N/A</v>
          </cell>
          <cell r="M1507" t="e">
            <v>#N/A</v>
          </cell>
        </row>
        <row r="1508">
          <cell r="K1508" t="str">
            <v>Verificar</v>
          </cell>
          <cell r="L1508" t="e">
            <v>#N/A</v>
          </cell>
          <cell r="M1508" t="e">
            <v>#N/A</v>
          </cell>
        </row>
        <row r="1509">
          <cell r="K1509" t="str">
            <v>Verificar</v>
          </cell>
          <cell r="L1509" t="e">
            <v>#N/A</v>
          </cell>
          <cell r="M1509" t="e">
            <v>#N/A</v>
          </cell>
        </row>
        <row r="1510">
          <cell r="K1510" t="str">
            <v>Verificar</v>
          </cell>
          <cell r="L1510" t="e">
            <v>#N/A</v>
          </cell>
          <cell r="M1510" t="e">
            <v>#N/A</v>
          </cell>
        </row>
        <row r="1511">
          <cell r="K1511" t="str">
            <v>Verificar</v>
          </cell>
          <cell r="L1511" t="e">
            <v>#N/A</v>
          </cell>
          <cell r="M1511" t="e">
            <v>#N/A</v>
          </cell>
        </row>
        <row r="1512">
          <cell r="K1512" t="str">
            <v>Verificar</v>
          </cell>
          <cell r="L1512" t="e">
            <v>#N/A</v>
          </cell>
          <cell r="M1512" t="e">
            <v>#N/A</v>
          </cell>
        </row>
        <row r="1513">
          <cell r="K1513" t="str">
            <v>Verificar</v>
          </cell>
          <cell r="L1513" t="e">
            <v>#N/A</v>
          </cell>
          <cell r="M1513" t="e">
            <v>#N/A</v>
          </cell>
        </row>
        <row r="1514">
          <cell r="K1514" t="str">
            <v>Verificar</v>
          </cell>
          <cell r="L1514" t="e">
            <v>#N/A</v>
          </cell>
          <cell r="M1514" t="e">
            <v>#N/A</v>
          </cell>
        </row>
        <row r="1515">
          <cell r="K1515" t="str">
            <v>Verificar</v>
          </cell>
          <cell r="L1515" t="e">
            <v>#N/A</v>
          </cell>
          <cell r="M1515" t="e">
            <v>#N/A</v>
          </cell>
        </row>
        <row r="1516">
          <cell r="K1516" t="str">
            <v>Verificar</v>
          </cell>
          <cell r="L1516" t="e">
            <v>#N/A</v>
          </cell>
          <cell r="M1516" t="e">
            <v>#N/A</v>
          </cell>
        </row>
        <row r="1517">
          <cell r="K1517" t="str">
            <v>Verificar</v>
          </cell>
          <cell r="L1517" t="e">
            <v>#N/A</v>
          </cell>
          <cell r="M1517" t="e">
            <v>#N/A</v>
          </cell>
        </row>
        <row r="1518">
          <cell r="K1518" t="str">
            <v>Verificar</v>
          </cell>
          <cell r="L1518" t="e">
            <v>#N/A</v>
          </cell>
          <cell r="M1518" t="e">
            <v>#N/A</v>
          </cell>
        </row>
        <row r="1519">
          <cell r="K1519" t="str">
            <v>Verificar</v>
          </cell>
          <cell r="L1519" t="e">
            <v>#N/A</v>
          </cell>
          <cell r="M1519" t="e">
            <v>#N/A</v>
          </cell>
        </row>
        <row r="1520">
          <cell r="K1520" t="str">
            <v>Verificar</v>
          </cell>
          <cell r="L1520" t="e">
            <v>#N/A</v>
          </cell>
          <cell r="M1520" t="e">
            <v>#N/A</v>
          </cell>
        </row>
        <row r="1521">
          <cell r="K1521" t="str">
            <v>Verificar</v>
          </cell>
          <cell r="L1521" t="e">
            <v>#N/A</v>
          </cell>
          <cell r="M1521" t="e">
            <v>#N/A</v>
          </cell>
        </row>
        <row r="1522">
          <cell r="K1522" t="str">
            <v>Verificar</v>
          </cell>
          <cell r="L1522" t="e">
            <v>#N/A</v>
          </cell>
          <cell r="M1522" t="e">
            <v>#N/A</v>
          </cell>
        </row>
        <row r="1523">
          <cell r="K1523" t="str">
            <v>Verificar</v>
          </cell>
          <cell r="L1523" t="e">
            <v>#N/A</v>
          </cell>
          <cell r="M1523" t="e">
            <v>#N/A</v>
          </cell>
        </row>
        <row r="1524">
          <cell r="K1524" t="str">
            <v>Verificar</v>
          </cell>
          <cell r="L1524" t="e">
            <v>#N/A</v>
          </cell>
          <cell r="M1524" t="e">
            <v>#N/A</v>
          </cell>
        </row>
        <row r="1525">
          <cell r="K1525" t="str">
            <v>Verificar</v>
          </cell>
          <cell r="L1525" t="e">
            <v>#N/A</v>
          </cell>
          <cell r="M1525" t="e">
            <v>#N/A</v>
          </cell>
        </row>
        <row r="1526">
          <cell r="K1526" t="str">
            <v>Verificar</v>
          </cell>
          <cell r="L1526" t="e">
            <v>#N/A</v>
          </cell>
          <cell r="M1526" t="e">
            <v>#N/A</v>
          </cell>
        </row>
        <row r="1527">
          <cell r="K1527" t="str">
            <v>Verificar</v>
          </cell>
          <cell r="L1527" t="e">
            <v>#N/A</v>
          </cell>
          <cell r="M1527" t="e">
            <v>#N/A</v>
          </cell>
        </row>
        <row r="1528">
          <cell r="K1528" t="str">
            <v>Verificar</v>
          </cell>
          <cell r="L1528" t="e">
            <v>#N/A</v>
          </cell>
          <cell r="M1528" t="e">
            <v>#N/A</v>
          </cell>
        </row>
        <row r="1529">
          <cell r="K1529" t="str">
            <v>Verificar</v>
          </cell>
          <cell r="L1529" t="e">
            <v>#N/A</v>
          </cell>
          <cell r="M1529" t="e">
            <v>#N/A</v>
          </cell>
        </row>
        <row r="1530">
          <cell r="K1530" t="str">
            <v>Verificar</v>
          </cell>
          <cell r="L1530" t="e">
            <v>#N/A</v>
          </cell>
          <cell r="M1530" t="e">
            <v>#N/A</v>
          </cell>
        </row>
        <row r="1531">
          <cell r="K1531" t="str">
            <v>Verificar</v>
          </cell>
          <cell r="L1531" t="e">
            <v>#N/A</v>
          </cell>
          <cell r="M1531" t="e">
            <v>#N/A</v>
          </cell>
        </row>
        <row r="1532">
          <cell r="K1532" t="str">
            <v>Verificar</v>
          </cell>
          <cell r="L1532" t="e">
            <v>#N/A</v>
          </cell>
          <cell r="M1532" t="e">
            <v>#N/A</v>
          </cell>
        </row>
        <row r="1533">
          <cell r="K1533" t="str">
            <v>Verificar</v>
          </cell>
          <cell r="L1533" t="e">
            <v>#N/A</v>
          </cell>
          <cell r="M1533" t="e">
            <v>#N/A</v>
          </cell>
        </row>
        <row r="1534">
          <cell r="K1534" t="str">
            <v>Verificar</v>
          </cell>
          <cell r="L1534" t="e">
            <v>#N/A</v>
          </cell>
          <cell r="M1534" t="e">
            <v>#N/A</v>
          </cell>
        </row>
        <row r="1535">
          <cell r="K1535" t="str">
            <v>Verificar</v>
          </cell>
          <cell r="L1535" t="e">
            <v>#N/A</v>
          </cell>
          <cell r="M1535" t="e">
            <v>#N/A</v>
          </cell>
        </row>
        <row r="1536">
          <cell r="K1536" t="str">
            <v>Verificar</v>
          </cell>
          <cell r="L1536" t="e">
            <v>#N/A</v>
          </cell>
          <cell r="M1536" t="e">
            <v>#N/A</v>
          </cell>
        </row>
        <row r="1537">
          <cell r="K1537" t="str">
            <v>Verificar</v>
          </cell>
          <cell r="L1537" t="e">
            <v>#N/A</v>
          </cell>
          <cell r="M1537" t="e">
            <v>#N/A</v>
          </cell>
        </row>
        <row r="1538">
          <cell r="K1538" t="str">
            <v>Verificar</v>
          </cell>
          <cell r="L1538" t="e">
            <v>#N/A</v>
          </cell>
          <cell r="M1538" t="e">
            <v>#N/A</v>
          </cell>
        </row>
        <row r="1539">
          <cell r="K1539" t="str">
            <v>Verificar</v>
          </cell>
          <cell r="L1539" t="e">
            <v>#N/A</v>
          </cell>
          <cell r="M1539" t="e">
            <v>#N/A</v>
          </cell>
        </row>
        <row r="1540">
          <cell r="K1540" t="str">
            <v>Verificar</v>
          </cell>
          <cell r="L1540" t="e">
            <v>#N/A</v>
          </cell>
          <cell r="M1540" t="e">
            <v>#N/A</v>
          </cell>
        </row>
        <row r="1541">
          <cell r="K1541" t="str">
            <v>Verificar</v>
          </cell>
          <cell r="L1541" t="e">
            <v>#N/A</v>
          </cell>
          <cell r="M1541" t="e">
            <v>#N/A</v>
          </cell>
        </row>
        <row r="1542">
          <cell r="K1542" t="str">
            <v>Verificar</v>
          </cell>
          <cell r="L1542" t="e">
            <v>#N/A</v>
          </cell>
          <cell r="M1542" t="e">
            <v>#N/A</v>
          </cell>
        </row>
        <row r="1543">
          <cell r="K1543" t="str">
            <v>Verificar</v>
          </cell>
          <cell r="L1543" t="e">
            <v>#N/A</v>
          </cell>
          <cell r="M1543" t="e">
            <v>#N/A</v>
          </cell>
        </row>
        <row r="1544">
          <cell r="K1544" t="str">
            <v>Verificar</v>
          </cell>
          <cell r="L1544" t="e">
            <v>#N/A</v>
          </cell>
          <cell r="M1544" t="e">
            <v>#N/A</v>
          </cell>
        </row>
        <row r="1545">
          <cell r="K1545" t="str">
            <v>Verificar</v>
          </cell>
          <cell r="L1545" t="e">
            <v>#N/A</v>
          </cell>
          <cell r="M1545" t="e">
            <v>#N/A</v>
          </cell>
        </row>
        <row r="1546">
          <cell r="K1546" t="str">
            <v>Verificar</v>
          </cell>
          <cell r="L1546" t="e">
            <v>#N/A</v>
          </cell>
          <cell r="M1546" t="e">
            <v>#N/A</v>
          </cell>
        </row>
        <row r="1547">
          <cell r="K1547" t="str">
            <v>Verificar</v>
          </cell>
          <cell r="L1547" t="e">
            <v>#N/A</v>
          </cell>
          <cell r="M1547" t="e">
            <v>#N/A</v>
          </cell>
        </row>
        <row r="1548">
          <cell r="K1548" t="str">
            <v>Verificar</v>
          </cell>
          <cell r="L1548" t="e">
            <v>#N/A</v>
          </cell>
          <cell r="M1548" t="e">
            <v>#N/A</v>
          </cell>
        </row>
        <row r="1549">
          <cell r="K1549" t="str">
            <v>Verificar</v>
          </cell>
          <cell r="L1549" t="e">
            <v>#N/A</v>
          </cell>
          <cell r="M1549" t="e">
            <v>#N/A</v>
          </cell>
        </row>
        <row r="1550">
          <cell r="K1550" t="str">
            <v>Verificar</v>
          </cell>
          <cell r="L1550" t="e">
            <v>#N/A</v>
          </cell>
          <cell r="M1550" t="e">
            <v>#N/A</v>
          </cell>
        </row>
        <row r="1551">
          <cell r="K1551" t="str">
            <v>Verificar</v>
          </cell>
          <cell r="L1551" t="e">
            <v>#N/A</v>
          </cell>
          <cell r="M1551" t="e">
            <v>#N/A</v>
          </cell>
        </row>
        <row r="1552">
          <cell r="K1552" t="str">
            <v>Verificar</v>
          </cell>
          <cell r="L1552" t="e">
            <v>#N/A</v>
          </cell>
          <cell r="M1552" t="e">
            <v>#N/A</v>
          </cell>
        </row>
        <row r="1553">
          <cell r="K1553" t="str">
            <v>Verificar</v>
          </cell>
          <cell r="L1553" t="e">
            <v>#N/A</v>
          </cell>
          <cell r="M1553" t="e">
            <v>#N/A</v>
          </cell>
        </row>
        <row r="1554">
          <cell r="K1554" t="str">
            <v>Verificar</v>
          </cell>
          <cell r="L1554" t="e">
            <v>#N/A</v>
          </cell>
          <cell r="M1554" t="e">
            <v>#N/A</v>
          </cell>
        </row>
        <row r="1555">
          <cell r="K1555" t="str">
            <v>Verificar</v>
          </cell>
          <cell r="L1555" t="e">
            <v>#N/A</v>
          </cell>
          <cell r="M1555" t="e">
            <v>#N/A</v>
          </cell>
        </row>
        <row r="1556">
          <cell r="K1556" t="str">
            <v>Verificar</v>
          </cell>
          <cell r="L1556" t="e">
            <v>#N/A</v>
          </cell>
          <cell r="M1556" t="e">
            <v>#N/A</v>
          </cell>
        </row>
        <row r="1557">
          <cell r="K1557" t="str">
            <v>Verificar</v>
          </cell>
          <cell r="L1557" t="e">
            <v>#N/A</v>
          </cell>
          <cell r="M1557" t="e">
            <v>#N/A</v>
          </cell>
        </row>
        <row r="1558">
          <cell r="K1558" t="str">
            <v>Verificar</v>
          </cell>
          <cell r="L1558" t="e">
            <v>#N/A</v>
          </cell>
          <cell r="M1558" t="e">
            <v>#N/A</v>
          </cell>
        </row>
        <row r="1559">
          <cell r="K1559" t="str">
            <v>Verificar</v>
          </cell>
          <cell r="L1559" t="e">
            <v>#N/A</v>
          </cell>
          <cell r="M1559" t="e">
            <v>#N/A</v>
          </cell>
        </row>
        <row r="1560">
          <cell r="K1560" t="str">
            <v>Verificar</v>
          </cell>
          <cell r="L1560" t="e">
            <v>#N/A</v>
          </cell>
          <cell r="M1560" t="e">
            <v>#N/A</v>
          </cell>
        </row>
        <row r="1561">
          <cell r="K1561" t="str">
            <v>Verificar</v>
          </cell>
          <cell r="L1561" t="e">
            <v>#N/A</v>
          </cell>
          <cell r="M1561" t="e">
            <v>#N/A</v>
          </cell>
        </row>
        <row r="1562">
          <cell r="K1562" t="str">
            <v>Verificar</v>
          </cell>
          <cell r="L1562" t="e">
            <v>#N/A</v>
          </cell>
          <cell r="M1562" t="e">
            <v>#N/A</v>
          </cell>
        </row>
        <row r="1563">
          <cell r="K1563" t="str">
            <v>Verificar</v>
          </cell>
          <cell r="L1563" t="e">
            <v>#N/A</v>
          </cell>
          <cell r="M1563" t="e">
            <v>#N/A</v>
          </cell>
        </row>
        <row r="1564">
          <cell r="K1564" t="str">
            <v>Verificar</v>
          </cell>
          <cell r="L1564" t="e">
            <v>#N/A</v>
          </cell>
          <cell r="M1564" t="e">
            <v>#N/A</v>
          </cell>
        </row>
        <row r="1565">
          <cell r="K1565" t="str">
            <v>Verificar</v>
          </cell>
          <cell r="L1565" t="e">
            <v>#N/A</v>
          </cell>
          <cell r="M1565" t="e">
            <v>#N/A</v>
          </cell>
        </row>
        <row r="1566">
          <cell r="K1566" t="str">
            <v>Verificar</v>
          </cell>
          <cell r="L1566" t="e">
            <v>#N/A</v>
          </cell>
          <cell r="M1566" t="e">
            <v>#N/A</v>
          </cell>
        </row>
        <row r="1567">
          <cell r="K1567" t="str">
            <v>Verificar</v>
          </cell>
          <cell r="L1567" t="e">
            <v>#N/A</v>
          </cell>
          <cell r="M1567" t="e">
            <v>#N/A</v>
          </cell>
        </row>
        <row r="1568">
          <cell r="K1568" t="str">
            <v>Verificar</v>
          </cell>
          <cell r="L1568" t="e">
            <v>#N/A</v>
          </cell>
          <cell r="M1568" t="e">
            <v>#N/A</v>
          </cell>
        </row>
        <row r="1569">
          <cell r="K1569" t="str">
            <v>Verificar</v>
          </cell>
          <cell r="L1569" t="e">
            <v>#N/A</v>
          </cell>
          <cell r="M1569" t="e">
            <v>#N/A</v>
          </cell>
        </row>
        <row r="1570">
          <cell r="L1570" t="e">
            <v>#N/A</v>
          </cell>
          <cell r="M1570">
            <v>0</v>
          </cell>
        </row>
        <row r="1571">
          <cell r="L1571" t="e">
            <v>#N/A</v>
          </cell>
          <cell r="M1571">
            <v>0</v>
          </cell>
        </row>
        <row r="1572">
          <cell r="L1572" t="e">
            <v>#N/A</v>
          </cell>
          <cell r="M1572">
            <v>0</v>
          </cell>
        </row>
        <row r="1573">
          <cell r="L1573" t="e">
            <v>#N/A</v>
          </cell>
          <cell r="M1573">
            <v>0</v>
          </cell>
        </row>
        <row r="1574">
          <cell r="L1574" t="e">
            <v>#N/A</v>
          </cell>
          <cell r="M1574">
            <v>0</v>
          </cell>
        </row>
        <row r="1575">
          <cell r="L1575" t="e">
            <v>#N/A</v>
          </cell>
          <cell r="M1575">
            <v>0</v>
          </cell>
        </row>
        <row r="1576">
          <cell r="L1576" t="e">
            <v>#N/A</v>
          </cell>
          <cell r="M1576">
            <v>0</v>
          </cell>
        </row>
        <row r="1577">
          <cell r="L1577" t="e">
            <v>#N/A</v>
          </cell>
          <cell r="M1577">
            <v>0</v>
          </cell>
        </row>
        <row r="1578">
          <cell r="L1578" t="e">
            <v>#N/A</v>
          </cell>
          <cell r="M1578">
            <v>0</v>
          </cell>
        </row>
        <row r="1579">
          <cell r="L1579" t="e">
            <v>#N/A</v>
          </cell>
          <cell r="M1579">
            <v>0</v>
          </cell>
        </row>
        <row r="1580">
          <cell r="L1580" t="e">
            <v>#N/A</v>
          </cell>
          <cell r="M1580">
            <v>0</v>
          </cell>
        </row>
        <row r="1581">
          <cell r="L1581" t="e">
            <v>#N/A</v>
          </cell>
          <cell r="M1581">
            <v>0</v>
          </cell>
        </row>
        <row r="1582">
          <cell r="L1582" t="e">
            <v>#N/A</v>
          </cell>
          <cell r="M1582">
            <v>0</v>
          </cell>
        </row>
        <row r="1583">
          <cell r="L1583" t="e">
            <v>#N/A</v>
          </cell>
          <cell r="M1583">
            <v>0</v>
          </cell>
        </row>
        <row r="1584">
          <cell r="L1584" t="e">
            <v>#N/A</v>
          </cell>
          <cell r="M1584">
            <v>0</v>
          </cell>
        </row>
        <row r="1585">
          <cell r="L1585" t="e">
            <v>#N/A</v>
          </cell>
          <cell r="M1585">
            <v>0</v>
          </cell>
        </row>
        <row r="1586">
          <cell r="L1586" t="e">
            <v>#N/A</v>
          </cell>
          <cell r="M1586">
            <v>0</v>
          </cell>
        </row>
        <row r="1587">
          <cell r="L1587" t="e">
            <v>#N/A</v>
          </cell>
          <cell r="M1587">
            <v>0</v>
          </cell>
        </row>
        <row r="1588">
          <cell r="L1588" t="e">
            <v>#N/A</v>
          </cell>
          <cell r="M1588">
            <v>0</v>
          </cell>
        </row>
        <row r="1589">
          <cell r="L1589" t="e">
            <v>#N/A</v>
          </cell>
          <cell r="M1589">
            <v>0</v>
          </cell>
        </row>
        <row r="1590">
          <cell r="L1590" t="e">
            <v>#N/A</v>
          </cell>
          <cell r="M1590">
            <v>0</v>
          </cell>
        </row>
        <row r="1591">
          <cell r="L1591" t="e">
            <v>#N/A</v>
          </cell>
          <cell r="M1591">
            <v>0</v>
          </cell>
        </row>
        <row r="1592">
          <cell r="L1592" t="e">
            <v>#N/A</v>
          </cell>
          <cell r="M1592">
            <v>0</v>
          </cell>
        </row>
        <row r="1593">
          <cell r="L1593" t="e">
            <v>#N/A</v>
          </cell>
          <cell r="M1593">
            <v>0</v>
          </cell>
        </row>
        <row r="1594">
          <cell r="L1594" t="e">
            <v>#N/A</v>
          </cell>
          <cell r="M1594">
            <v>0</v>
          </cell>
        </row>
        <row r="1595">
          <cell r="L1595" t="e">
            <v>#N/A</v>
          </cell>
          <cell r="M1595">
            <v>0</v>
          </cell>
        </row>
        <row r="1596">
          <cell r="L1596" t="e">
            <v>#N/A</v>
          </cell>
          <cell r="M1596">
            <v>0</v>
          </cell>
        </row>
        <row r="1597">
          <cell r="L1597" t="e">
            <v>#N/A</v>
          </cell>
          <cell r="M1597">
            <v>0</v>
          </cell>
        </row>
        <row r="1598">
          <cell r="L1598" t="e">
            <v>#N/A</v>
          </cell>
          <cell r="M1598">
            <v>0</v>
          </cell>
        </row>
        <row r="1599">
          <cell r="L1599" t="e">
            <v>#N/A</v>
          </cell>
          <cell r="M1599">
            <v>0</v>
          </cell>
        </row>
        <row r="1600">
          <cell r="L1600" t="e">
            <v>#N/A</v>
          </cell>
          <cell r="M1600">
            <v>0</v>
          </cell>
        </row>
        <row r="1601">
          <cell r="L1601" t="e">
            <v>#N/A</v>
          </cell>
          <cell r="M1601">
            <v>0</v>
          </cell>
        </row>
        <row r="1602">
          <cell r="L1602" t="e">
            <v>#N/A</v>
          </cell>
          <cell r="M1602">
            <v>0</v>
          </cell>
        </row>
        <row r="1603">
          <cell r="L1603" t="e">
            <v>#N/A</v>
          </cell>
          <cell r="M1603">
            <v>0</v>
          </cell>
        </row>
        <row r="1604">
          <cell r="L1604" t="e">
            <v>#N/A</v>
          </cell>
          <cell r="M1604">
            <v>0</v>
          </cell>
        </row>
        <row r="1605">
          <cell r="L1605" t="e">
            <v>#N/A</v>
          </cell>
          <cell r="M1605">
            <v>0</v>
          </cell>
        </row>
        <row r="1606">
          <cell r="L1606" t="e">
            <v>#N/A</v>
          </cell>
          <cell r="M1606">
            <v>0</v>
          </cell>
        </row>
        <row r="1607">
          <cell r="L1607" t="e">
            <v>#N/A</v>
          </cell>
          <cell r="M1607">
            <v>0</v>
          </cell>
        </row>
        <row r="1608">
          <cell r="L1608" t="e">
            <v>#N/A</v>
          </cell>
          <cell r="M1608">
            <v>0</v>
          </cell>
        </row>
        <row r="1609">
          <cell r="L1609" t="e">
            <v>#N/A</v>
          </cell>
          <cell r="M1609">
            <v>0</v>
          </cell>
        </row>
        <row r="1610">
          <cell r="L1610" t="e">
            <v>#N/A</v>
          </cell>
          <cell r="M1610">
            <v>0</v>
          </cell>
        </row>
        <row r="1611">
          <cell r="L1611" t="e">
            <v>#N/A</v>
          </cell>
          <cell r="M1611">
            <v>0</v>
          </cell>
        </row>
        <row r="1612">
          <cell r="L1612" t="e">
            <v>#N/A</v>
          </cell>
          <cell r="M1612">
            <v>0</v>
          </cell>
        </row>
        <row r="1613">
          <cell r="L1613" t="e">
            <v>#N/A</v>
          </cell>
          <cell r="M1613" t="str">
            <v>FMS09</v>
          </cell>
        </row>
        <row r="1614">
          <cell r="L1614" t="e">
            <v>#N/A</v>
          </cell>
          <cell r="M1614" t="str">
            <v>FMS09</v>
          </cell>
        </row>
        <row r="1615">
          <cell r="L1615" t="e">
            <v>#N/A</v>
          </cell>
          <cell r="M1615" t="str">
            <v>FMS09</v>
          </cell>
        </row>
        <row r="1616">
          <cell r="L1616" t="e">
            <v>#N/A</v>
          </cell>
          <cell r="M1616" t="str">
            <v>FMS09</v>
          </cell>
        </row>
        <row r="1617">
          <cell r="L1617" t="e">
            <v>#N/A</v>
          </cell>
          <cell r="M1617" t="str">
            <v>SSP6</v>
          </cell>
        </row>
        <row r="1618">
          <cell r="L1618" t="e">
            <v>#N/A</v>
          </cell>
          <cell r="M1618" t="str">
            <v>SSP17</v>
          </cell>
        </row>
        <row r="1619">
          <cell r="L1619" t="e">
            <v>#N/A</v>
          </cell>
          <cell r="M1619" t="str">
            <v>SSP6</v>
          </cell>
        </row>
        <row r="1620">
          <cell r="L1620" t="e">
            <v>#N/A</v>
          </cell>
          <cell r="M1620" t="str">
            <v>SSP6</v>
          </cell>
        </row>
        <row r="1621">
          <cell r="L1621" t="e">
            <v>#N/A</v>
          </cell>
          <cell r="M1621" t="str">
            <v>SSC1</v>
          </cell>
        </row>
        <row r="1622">
          <cell r="L1622" t="e">
            <v>#N/A</v>
          </cell>
          <cell r="M1622" t="str">
            <v>SSC1</v>
          </cell>
        </row>
        <row r="1623">
          <cell r="L1623" t="e">
            <v>#N/A</v>
          </cell>
          <cell r="M1623" t="str">
            <v>SSC1</v>
          </cell>
        </row>
        <row r="1624">
          <cell r="L1624" t="e">
            <v>#N/A</v>
          </cell>
          <cell r="M1624" t="str">
            <v>SSC1</v>
          </cell>
        </row>
        <row r="1625">
          <cell r="L1625" t="e">
            <v>#N/A</v>
          </cell>
          <cell r="M1625" t="str">
            <v>SSC1</v>
          </cell>
        </row>
        <row r="1626">
          <cell r="L1626" t="e">
            <v>#N/A</v>
          </cell>
          <cell r="M1626" t="str">
            <v>SSC1</v>
          </cell>
        </row>
        <row r="1627">
          <cell r="L1627" t="e">
            <v>#N/A</v>
          </cell>
          <cell r="M1627" t="str">
            <v>SSC1</v>
          </cell>
        </row>
        <row r="1628">
          <cell r="L1628" t="e">
            <v>#N/A</v>
          </cell>
          <cell r="M1628" t="str">
            <v>SSC1</v>
          </cell>
        </row>
        <row r="1629">
          <cell r="L1629" t="e">
            <v>#N/A</v>
          </cell>
          <cell r="M1629" t="str">
            <v>SSC1</v>
          </cell>
        </row>
        <row r="1630">
          <cell r="L1630" t="e">
            <v>#N/A</v>
          </cell>
          <cell r="M1630" t="str">
            <v>SSP20</v>
          </cell>
        </row>
        <row r="1631">
          <cell r="L1631" t="e">
            <v>#N/A</v>
          </cell>
          <cell r="M1631" t="str">
            <v>SSP20</v>
          </cell>
        </row>
        <row r="1632">
          <cell r="I1632" t="str">
            <v>Murici</v>
          </cell>
          <cell r="K1632" t="str">
            <v>ativo</v>
          </cell>
          <cell r="L1632" t="e">
            <v>#N/A</v>
          </cell>
          <cell r="M1632" t="str">
            <v>SSP20</v>
          </cell>
        </row>
        <row r="1633">
          <cell r="L1633" t="e">
            <v>#N/A</v>
          </cell>
          <cell r="M1633" t="str">
            <v>SPR4</v>
          </cell>
        </row>
        <row r="1634">
          <cell r="L1634" t="e">
            <v>#N/A</v>
          </cell>
          <cell r="M1634" t="str">
            <v>SAM1</v>
          </cell>
        </row>
        <row r="1635">
          <cell r="L1635" t="e">
            <v>#N/A</v>
          </cell>
          <cell r="M1635" t="str">
            <v>SAM1</v>
          </cell>
        </row>
        <row r="1636">
          <cell r="L1636" t="e">
            <v>#N/A</v>
          </cell>
          <cell r="M1636" t="str">
            <v>SAM1</v>
          </cell>
        </row>
        <row r="1637">
          <cell r="L1637">
            <v>0</v>
          </cell>
          <cell r="M1637" t="str">
            <v>SES1</v>
          </cell>
        </row>
        <row r="1638">
          <cell r="L1638">
            <v>0</v>
          </cell>
          <cell r="M1638" t="str">
            <v>SES1</v>
          </cell>
        </row>
        <row r="1639">
          <cell r="L1639">
            <v>0</v>
          </cell>
          <cell r="M1639" t="str">
            <v>SSP38</v>
          </cell>
        </row>
        <row r="1640">
          <cell r="L1640">
            <v>0</v>
          </cell>
          <cell r="M1640" t="str">
            <v>SC_ZS</v>
          </cell>
        </row>
        <row r="1641">
          <cell r="L1641">
            <v>0</v>
          </cell>
          <cell r="M1641" t="str">
            <v>SRS10</v>
          </cell>
        </row>
        <row r="1642">
          <cell r="L1642">
            <v>0</v>
          </cell>
          <cell r="M1642" t="str">
            <v>SSP20</v>
          </cell>
        </row>
        <row r="1643">
          <cell r="L1643">
            <v>0</v>
          </cell>
          <cell r="M1643" t="str">
            <v>SSP20</v>
          </cell>
        </row>
        <row r="1644">
          <cell r="L1644">
            <v>0</v>
          </cell>
          <cell r="M1644" t="str">
            <v>SSP21</v>
          </cell>
        </row>
        <row r="1645">
          <cell r="L1645" t="e">
            <v>#N/A</v>
          </cell>
          <cell r="M1645" t="str">
            <v>SMR2</v>
          </cell>
        </row>
        <row r="1646">
          <cell r="L1646">
            <v>0</v>
          </cell>
          <cell r="M1646" t="str">
            <v>EMS4</v>
          </cell>
        </row>
        <row r="1647">
          <cell r="L1647">
            <v>0</v>
          </cell>
          <cell r="M1647" t="str">
            <v>SSC2</v>
          </cell>
        </row>
        <row r="1648">
          <cell r="L1648">
            <v>0</v>
          </cell>
          <cell r="M1648" t="str">
            <v>SRS10</v>
          </cell>
        </row>
        <row r="1649">
          <cell r="L1649">
            <v>0</v>
          </cell>
          <cell r="M1649" t="str">
            <v>SBA1</v>
          </cell>
        </row>
        <row r="1650">
          <cell r="L1650">
            <v>0</v>
          </cell>
          <cell r="M1650" t="str">
            <v>SSP24</v>
          </cell>
        </row>
        <row r="1651">
          <cell r="L1651">
            <v>0</v>
          </cell>
          <cell r="M1651" t="str">
            <v>SSP6</v>
          </cell>
        </row>
        <row r="1652">
          <cell r="L1652">
            <v>0</v>
          </cell>
          <cell r="M1652" t="str">
            <v>SSC2</v>
          </cell>
        </row>
        <row r="1653">
          <cell r="L1653">
            <v>0</v>
          </cell>
          <cell r="M1653" t="str">
            <v>SSP4</v>
          </cell>
        </row>
        <row r="1654">
          <cell r="L1654">
            <v>0</v>
          </cell>
          <cell r="M1654" t="str">
            <v>SSP4</v>
          </cell>
        </row>
        <row r="1655">
          <cell r="L1655">
            <v>0</v>
          </cell>
          <cell r="M1655" t="str">
            <v>SSP28</v>
          </cell>
        </row>
        <row r="1656">
          <cell r="L1656">
            <v>0</v>
          </cell>
          <cell r="M1656" t="str">
            <v>SSC2</v>
          </cell>
        </row>
        <row r="1657">
          <cell r="L1657" t="e">
            <v>#N/A</v>
          </cell>
          <cell r="M1657" t="str">
            <v>SSC3</v>
          </cell>
        </row>
        <row r="1658">
          <cell r="L1658">
            <v>0</v>
          </cell>
          <cell r="M1658" t="str">
            <v>SSP20</v>
          </cell>
        </row>
        <row r="1659">
          <cell r="L1659" t="e">
            <v>#N/A</v>
          </cell>
          <cell r="M1659" t="str">
            <v>BRRC01</v>
          </cell>
        </row>
        <row r="1660">
          <cell r="L1660">
            <v>0</v>
          </cell>
          <cell r="M1660" t="str">
            <v>SSP26</v>
          </cell>
        </row>
        <row r="1661">
          <cell r="L1661" t="e">
            <v>#N/A</v>
          </cell>
          <cell r="M1661" t="str">
            <v>SPR2</v>
          </cell>
        </row>
        <row r="1662">
          <cell r="L1662" t="e">
            <v>#N/A</v>
          </cell>
          <cell r="M1662" t="str">
            <v>EPR6</v>
          </cell>
        </row>
        <row r="1663">
          <cell r="L1663">
            <v>0</v>
          </cell>
          <cell r="M1663" t="str">
            <v>SSP12</v>
          </cell>
        </row>
        <row r="1664">
          <cell r="L1664">
            <v>0</v>
          </cell>
          <cell r="M1664" t="str">
            <v>SSP24</v>
          </cell>
        </row>
        <row r="1665">
          <cell r="L1665">
            <v>0</v>
          </cell>
          <cell r="M1665" t="str">
            <v>SRS1</v>
          </cell>
        </row>
        <row r="1666">
          <cell r="L1666">
            <v>0</v>
          </cell>
          <cell r="M1666" t="str">
            <v>SSP3</v>
          </cell>
        </row>
        <row r="1667">
          <cell r="L1667">
            <v>0</v>
          </cell>
          <cell r="M1667" t="str">
            <v>SSP3</v>
          </cell>
        </row>
        <row r="1668">
          <cell r="L1668">
            <v>0</v>
          </cell>
          <cell r="M1668" t="str">
            <v>SSP3</v>
          </cell>
        </row>
        <row r="1669">
          <cell r="L1669">
            <v>0</v>
          </cell>
          <cell r="M1669" t="str">
            <v>SSP3</v>
          </cell>
        </row>
        <row r="1670">
          <cell r="K1670" t="str">
            <v>Desmobilizado</v>
          </cell>
          <cell r="L1670">
            <v>45860</v>
          </cell>
          <cell r="M1670" t="str">
            <v>SSP14</v>
          </cell>
        </row>
        <row r="1671">
          <cell r="K1671" t="str">
            <v>Desmobilizado</v>
          </cell>
          <cell r="L1671">
            <v>45909</v>
          </cell>
          <cell r="M1671" t="str">
            <v>SSP14</v>
          </cell>
        </row>
        <row r="1672">
          <cell r="L1672">
            <v>0</v>
          </cell>
          <cell r="M1672" t="str">
            <v>BRRC01</v>
          </cell>
        </row>
        <row r="1673">
          <cell r="K1673" t="str">
            <v>Desmobilizado</v>
          </cell>
          <cell r="L1673">
            <v>45881</v>
          </cell>
          <cell r="M1673" t="str">
            <v>SPR1</v>
          </cell>
        </row>
        <row r="1674">
          <cell r="L1674">
            <v>0</v>
          </cell>
          <cell r="M1674" t="str">
            <v>SSP37</v>
          </cell>
        </row>
        <row r="1675">
          <cell r="K1675" t="str">
            <v>devolvida</v>
          </cell>
          <cell r="L1675">
            <v>0</v>
          </cell>
          <cell r="M1675" t="str">
            <v>SSP4</v>
          </cell>
        </row>
        <row r="1676">
          <cell r="L1676">
            <v>0</v>
          </cell>
          <cell r="M1676" t="str">
            <v>SMR2</v>
          </cell>
        </row>
        <row r="1677">
          <cell r="K1677" t="str">
            <v>Desmobilizado</v>
          </cell>
          <cell r="L1677">
            <v>45881</v>
          </cell>
          <cell r="M1677" t="str">
            <v>SPR1</v>
          </cell>
        </row>
        <row r="1678">
          <cell r="L1678">
            <v>0</v>
          </cell>
          <cell r="M1678" t="str">
            <v>SPR1</v>
          </cell>
        </row>
        <row r="1679">
          <cell r="L1679">
            <v>0</v>
          </cell>
          <cell r="M1679" t="str">
            <v>SPR1</v>
          </cell>
        </row>
        <row r="1680">
          <cell r="L1680">
            <v>0</v>
          </cell>
          <cell r="M1680" t="str">
            <v>SPR1</v>
          </cell>
        </row>
        <row r="1681">
          <cell r="L1681">
            <v>0</v>
          </cell>
          <cell r="M1681" t="str">
            <v>SPR1</v>
          </cell>
        </row>
        <row r="1682">
          <cell r="L1682" t="e">
            <v>#N/A</v>
          </cell>
          <cell r="M1682" t="str">
            <v>LHM13</v>
          </cell>
        </row>
        <row r="1683">
          <cell r="L1683" t="e">
            <v>#N/A</v>
          </cell>
          <cell r="M1683" t="str">
            <v>LMS36</v>
          </cell>
        </row>
        <row r="1684">
          <cell r="L1684" t="e">
            <v>#N/A</v>
          </cell>
          <cell r="M1684" t="str">
            <v>PTL02</v>
          </cell>
        </row>
        <row r="1685">
          <cell r="L1685">
            <v>0</v>
          </cell>
          <cell r="M1685" t="str">
            <v>SSP3</v>
          </cell>
        </row>
        <row r="1686">
          <cell r="L1686">
            <v>0</v>
          </cell>
          <cell r="M1686" t="str">
            <v>SSP3</v>
          </cell>
        </row>
        <row r="1687">
          <cell r="L1687">
            <v>0</v>
          </cell>
          <cell r="M1687" t="str">
            <v>SSP3</v>
          </cell>
        </row>
        <row r="1688">
          <cell r="L1688">
            <v>0</v>
          </cell>
          <cell r="M1688" t="str">
            <v>SSP25</v>
          </cell>
        </row>
        <row r="1689">
          <cell r="L1689" t="e">
            <v>#N/A</v>
          </cell>
          <cell r="M1689" t="str">
            <v>SBA1</v>
          </cell>
        </row>
        <row r="1690">
          <cell r="L1690" t="e">
            <v>#N/A</v>
          </cell>
          <cell r="M1690" t="str">
            <v>SBA1</v>
          </cell>
        </row>
        <row r="1691">
          <cell r="L1691">
            <v>0</v>
          </cell>
          <cell r="M1691" t="str">
            <v>SSP14</v>
          </cell>
        </row>
        <row r="1692">
          <cell r="L1692">
            <v>0</v>
          </cell>
          <cell r="M1692" t="str">
            <v>SDF1</v>
          </cell>
        </row>
        <row r="1693">
          <cell r="L1693">
            <v>0</v>
          </cell>
          <cell r="M1693" t="str">
            <v>SDF1</v>
          </cell>
        </row>
        <row r="1694">
          <cell r="L1694">
            <v>0</v>
          </cell>
          <cell r="M1694" t="str">
            <v>SDF1</v>
          </cell>
        </row>
        <row r="1695">
          <cell r="L1695" t="e">
            <v>#N/A</v>
          </cell>
          <cell r="M1695" t="str">
            <v>SMG1</v>
          </cell>
        </row>
        <row r="1696">
          <cell r="L1696" t="e">
            <v>#N/A</v>
          </cell>
          <cell r="M1696" t="str">
            <v>SMG1</v>
          </cell>
        </row>
        <row r="1697">
          <cell r="L1697">
            <v>0</v>
          </cell>
          <cell r="M1697" t="str">
            <v>SSP34</v>
          </cell>
        </row>
        <row r="1698">
          <cell r="L1698">
            <v>0</v>
          </cell>
          <cell r="M1698" t="str">
            <v>SSC2</v>
          </cell>
        </row>
        <row r="1699">
          <cell r="L1699">
            <v>0</v>
          </cell>
          <cell r="M1699" t="str">
            <v>SSC2</v>
          </cell>
        </row>
        <row r="1700">
          <cell r="L1700">
            <v>0</v>
          </cell>
          <cell r="M1700" t="str">
            <v>SSC2</v>
          </cell>
        </row>
        <row r="1701">
          <cell r="L1701">
            <v>0</v>
          </cell>
          <cell r="M1701" t="str">
            <v>SSC2</v>
          </cell>
        </row>
        <row r="1702">
          <cell r="L1702">
            <v>0</v>
          </cell>
          <cell r="M1702" t="str">
            <v>SSP26</v>
          </cell>
        </row>
        <row r="1703">
          <cell r="L1703">
            <v>0</v>
          </cell>
          <cell r="M1703" t="str">
            <v>BRRC01</v>
          </cell>
        </row>
        <row r="1704">
          <cell r="L1704" t="e">
            <v>#N/A</v>
          </cell>
          <cell r="M1704" t="str">
            <v>SSP13</v>
          </cell>
        </row>
        <row r="1705">
          <cell r="L1705">
            <v>0</v>
          </cell>
          <cell r="M1705" t="str">
            <v>SSP30</v>
          </cell>
        </row>
        <row r="1706">
          <cell r="L1706" t="e">
            <v>#N/A</v>
          </cell>
          <cell r="M1706" t="str">
            <v>SSP21</v>
          </cell>
        </row>
        <row r="1707">
          <cell r="L1707">
            <v>0</v>
          </cell>
          <cell r="M1707" t="str">
            <v>SSP21</v>
          </cell>
        </row>
        <row r="1708">
          <cell r="L1708">
            <v>0</v>
          </cell>
          <cell r="M1708" t="str">
            <v>SSP21</v>
          </cell>
        </row>
        <row r="1709">
          <cell r="L1709">
            <v>0</v>
          </cell>
          <cell r="M1709" t="str">
            <v>SSP21</v>
          </cell>
        </row>
        <row r="1710">
          <cell r="L1710">
            <v>0</v>
          </cell>
          <cell r="M1710" t="str">
            <v>SSP21</v>
          </cell>
        </row>
        <row r="1711">
          <cell r="L1711">
            <v>0</v>
          </cell>
          <cell r="M1711" t="str">
            <v>SSP21</v>
          </cell>
        </row>
        <row r="1712">
          <cell r="L1712">
            <v>0</v>
          </cell>
          <cell r="M1712" t="str">
            <v>SSP21</v>
          </cell>
        </row>
        <row r="1713">
          <cell r="L1713">
            <v>0</v>
          </cell>
          <cell r="M1713" t="str">
            <v>SSP21</v>
          </cell>
        </row>
        <row r="1714">
          <cell r="L1714">
            <v>0</v>
          </cell>
          <cell r="M1714" t="str">
            <v>SSP21</v>
          </cell>
        </row>
        <row r="1715">
          <cell r="L1715">
            <v>0</v>
          </cell>
          <cell r="M1715" t="str">
            <v>SSP21</v>
          </cell>
        </row>
        <row r="1716">
          <cell r="L1716">
            <v>0</v>
          </cell>
          <cell r="M1716" t="str">
            <v>SSP21</v>
          </cell>
        </row>
        <row r="1717">
          <cell r="L1717">
            <v>0</v>
          </cell>
          <cell r="M1717" t="str">
            <v>SSP21</v>
          </cell>
        </row>
        <row r="1718">
          <cell r="L1718">
            <v>0</v>
          </cell>
          <cell r="M1718" t="str">
            <v>SSP21</v>
          </cell>
        </row>
        <row r="1719">
          <cell r="L1719">
            <v>0</v>
          </cell>
          <cell r="M1719" t="str">
            <v>SSP21</v>
          </cell>
        </row>
        <row r="1720">
          <cell r="L1720">
            <v>0</v>
          </cell>
          <cell r="M1720" t="str">
            <v>SMG5</v>
          </cell>
        </row>
        <row r="1721">
          <cell r="L1721">
            <v>0</v>
          </cell>
          <cell r="M1721" t="str">
            <v>SRS1</v>
          </cell>
        </row>
        <row r="1722">
          <cell r="L1722">
            <v>0</v>
          </cell>
          <cell r="M1722" t="str">
            <v>SRS1</v>
          </cell>
        </row>
        <row r="1723">
          <cell r="L1723">
            <v>0</v>
          </cell>
          <cell r="M1723" t="str">
            <v>SRS1</v>
          </cell>
        </row>
        <row r="1724">
          <cell r="L1724">
            <v>0</v>
          </cell>
          <cell r="M1724" t="str">
            <v>SRS1</v>
          </cell>
        </row>
        <row r="1725">
          <cell r="L1725">
            <v>0</v>
          </cell>
          <cell r="M1725" t="str">
            <v>SSP12</v>
          </cell>
        </row>
        <row r="1726">
          <cell r="L1726">
            <v>0</v>
          </cell>
          <cell r="M1726" t="str">
            <v>SSP20</v>
          </cell>
        </row>
        <row r="1727">
          <cell r="L1727" t="e">
            <v>#N/A</v>
          </cell>
          <cell r="M1727" t="str">
            <v>MG</v>
          </cell>
        </row>
        <row r="1728">
          <cell r="K1728" t="str">
            <v>Desmobilizado</v>
          </cell>
          <cell r="L1728">
            <v>45866</v>
          </cell>
          <cell r="M1728" t="str">
            <v>SPR2</v>
          </cell>
        </row>
        <row r="1729">
          <cell r="K1729" t="str">
            <v>Desmobilizado</v>
          </cell>
          <cell r="L1729">
            <v>45866</v>
          </cell>
          <cell r="M1729" t="str">
            <v>SPR2</v>
          </cell>
        </row>
        <row r="1730">
          <cell r="K1730" t="str">
            <v>Desmobilizado</v>
          </cell>
          <cell r="L1730">
            <v>45866</v>
          </cell>
          <cell r="M1730" t="str">
            <v>SPR2</v>
          </cell>
        </row>
        <row r="1731">
          <cell r="L1731">
            <v>0</v>
          </cell>
          <cell r="M1731" t="str">
            <v>SPR2</v>
          </cell>
        </row>
        <row r="1732">
          <cell r="K1732" t="str">
            <v>Desmobilizado</v>
          </cell>
          <cell r="L1732">
            <v>45856</v>
          </cell>
          <cell r="M1732" t="str">
            <v>SPR3</v>
          </cell>
        </row>
        <row r="1733">
          <cell r="L1733">
            <v>0</v>
          </cell>
          <cell r="M1733" t="str">
            <v>SPR5</v>
          </cell>
        </row>
        <row r="1734">
          <cell r="L1734" t="e">
            <v>#N/A</v>
          </cell>
          <cell r="M1734" t="str">
            <v>SPR6</v>
          </cell>
        </row>
        <row r="1735">
          <cell r="K1735" t="str">
            <v>Desmobilizado</v>
          </cell>
          <cell r="L1735">
            <v>45881</v>
          </cell>
          <cell r="M1735" t="str">
            <v>SPR8</v>
          </cell>
        </row>
        <row r="1736">
          <cell r="K1736" t="str">
            <v>Desmobilizado</v>
          </cell>
          <cell r="L1736">
            <v>45881</v>
          </cell>
          <cell r="M1736" t="str">
            <v>SPR1</v>
          </cell>
        </row>
        <row r="1737">
          <cell r="L1737" t="e">
            <v>#N/A</v>
          </cell>
          <cell r="M1737" t="str">
            <v>EPR7</v>
          </cell>
        </row>
        <row r="1738">
          <cell r="L1738">
            <v>0</v>
          </cell>
          <cell r="M1738" t="str">
            <v>SSP5</v>
          </cell>
        </row>
        <row r="1739">
          <cell r="L1739">
            <v>0</v>
          </cell>
          <cell r="M1739" t="str">
            <v>SSP4</v>
          </cell>
        </row>
        <row r="1740">
          <cell r="L1740" t="e">
            <v>#N/A</v>
          </cell>
          <cell r="M1740" t="str">
            <v>FMS09</v>
          </cell>
        </row>
        <row r="1741">
          <cell r="L1741">
            <v>0</v>
          </cell>
          <cell r="M1741" t="str">
            <v>SPR2</v>
          </cell>
        </row>
        <row r="1742">
          <cell r="L1742">
            <v>0</v>
          </cell>
          <cell r="M1742" t="str">
            <v>SMR1</v>
          </cell>
        </row>
        <row r="1743">
          <cell r="L1743">
            <v>0</v>
          </cell>
          <cell r="M1743" t="str">
            <v>SSP12</v>
          </cell>
        </row>
        <row r="1744">
          <cell r="L1744" t="e">
            <v>#N/A</v>
          </cell>
          <cell r="M1744" t="str">
            <v>SSP12</v>
          </cell>
        </row>
        <row r="1745">
          <cell r="L1745">
            <v>0</v>
          </cell>
          <cell r="M1745" t="str">
            <v>SRS1</v>
          </cell>
        </row>
        <row r="1746">
          <cell r="L1746">
            <v>0</v>
          </cell>
          <cell r="M1746" t="str">
            <v>SSP4</v>
          </cell>
        </row>
        <row r="1747">
          <cell r="L1747">
            <v>0</v>
          </cell>
          <cell r="M1747" t="str">
            <v>BRRC01</v>
          </cell>
        </row>
        <row r="1748">
          <cell r="L1748">
            <v>0</v>
          </cell>
          <cell r="M1748" t="str">
            <v>SSP24</v>
          </cell>
        </row>
        <row r="1749">
          <cell r="L1749">
            <v>0</v>
          </cell>
          <cell r="M1749" t="str">
            <v>SSP12</v>
          </cell>
        </row>
        <row r="1750">
          <cell r="L1750">
            <v>0</v>
          </cell>
          <cell r="M1750" t="str">
            <v>SCE1</v>
          </cell>
        </row>
        <row r="1751">
          <cell r="L1751">
            <v>0</v>
          </cell>
          <cell r="M1751" t="str">
            <v>SSP3</v>
          </cell>
        </row>
        <row r="1752">
          <cell r="L1752">
            <v>0</v>
          </cell>
          <cell r="M1752" t="str">
            <v>SSP4</v>
          </cell>
        </row>
        <row r="1753">
          <cell r="L1753" t="e">
            <v>#N/A</v>
          </cell>
          <cell r="M1753" t="str">
            <v>SBA1</v>
          </cell>
        </row>
        <row r="1754">
          <cell r="L1754">
            <v>0</v>
          </cell>
          <cell r="M1754" t="str">
            <v>SSP17</v>
          </cell>
        </row>
        <row r="1755">
          <cell r="L1755" t="e">
            <v>#N/A</v>
          </cell>
          <cell r="M1755" t="str">
            <v>FMS09</v>
          </cell>
        </row>
        <row r="1756">
          <cell r="L1756" t="e">
            <v>#N/A</v>
          </cell>
          <cell r="M1756" t="str">
            <v>SSC3</v>
          </cell>
        </row>
        <row r="1757">
          <cell r="L1757">
            <v>0</v>
          </cell>
          <cell r="M1757" t="str">
            <v>SSC5</v>
          </cell>
        </row>
        <row r="1758">
          <cell r="L1758">
            <v>0</v>
          </cell>
          <cell r="M1758" t="str">
            <v>SRS1</v>
          </cell>
        </row>
        <row r="1759">
          <cell r="L1759">
            <v>0</v>
          </cell>
          <cell r="M1759" t="str">
            <v>SSP24</v>
          </cell>
        </row>
        <row r="1760">
          <cell r="L1760">
            <v>0</v>
          </cell>
          <cell r="M1760" t="str">
            <v>SSP17</v>
          </cell>
        </row>
        <row r="1761">
          <cell r="L1761">
            <v>0</v>
          </cell>
          <cell r="M1761" t="str">
            <v>SSP21</v>
          </cell>
        </row>
        <row r="1762">
          <cell r="L1762">
            <v>0</v>
          </cell>
          <cell r="M1762" t="str">
            <v>SSP21</v>
          </cell>
        </row>
        <row r="1763">
          <cell r="L1763">
            <v>0</v>
          </cell>
          <cell r="M1763" t="str">
            <v>SSC2</v>
          </cell>
        </row>
        <row r="1764">
          <cell r="L1764">
            <v>0</v>
          </cell>
          <cell r="M1764" t="str">
            <v>SSP3</v>
          </cell>
        </row>
        <row r="1765">
          <cell r="L1765">
            <v>0</v>
          </cell>
          <cell r="M1765" t="str">
            <v>SBA1</v>
          </cell>
        </row>
        <row r="1766">
          <cell r="L1766">
            <v>0</v>
          </cell>
          <cell r="M1766" t="str">
            <v>SMR1</v>
          </cell>
        </row>
        <row r="1767">
          <cell r="L1767">
            <v>0</v>
          </cell>
          <cell r="M1767" t="str">
            <v>SSP20</v>
          </cell>
        </row>
        <row r="1768">
          <cell r="L1768">
            <v>0</v>
          </cell>
          <cell r="M1768" t="str">
            <v>SSP14</v>
          </cell>
        </row>
        <row r="1769">
          <cell r="L1769">
            <v>0</v>
          </cell>
          <cell r="M1769" t="str">
            <v>SSP24</v>
          </cell>
        </row>
        <row r="1770">
          <cell r="L1770">
            <v>0</v>
          </cell>
          <cell r="M1770" t="str">
            <v>SES1</v>
          </cell>
        </row>
        <row r="1771">
          <cell r="L1771">
            <v>0</v>
          </cell>
          <cell r="M1771" t="str">
            <v>SSP30</v>
          </cell>
        </row>
        <row r="1772">
          <cell r="L1772">
            <v>0</v>
          </cell>
          <cell r="M1772" t="str">
            <v>SBA1</v>
          </cell>
        </row>
        <row r="1773">
          <cell r="L1773" t="e">
            <v>#N/A</v>
          </cell>
          <cell r="M1773" t="str">
            <v>SSP38</v>
          </cell>
        </row>
        <row r="1774">
          <cell r="L1774">
            <v>0</v>
          </cell>
          <cell r="M1774" t="str">
            <v>SES1</v>
          </cell>
        </row>
        <row r="1775">
          <cell r="L1775">
            <v>0</v>
          </cell>
          <cell r="M1775" t="str">
            <v>SPR3</v>
          </cell>
        </row>
        <row r="1776">
          <cell r="L1776">
            <v>0</v>
          </cell>
          <cell r="M1776" t="str">
            <v>SCE1</v>
          </cell>
        </row>
        <row r="1777">
          <cell r="L1777" t="e">
            <v>#N/A</v>
          </cell>
          <cell r="M1777" t="str">
            <v>EPR6</v>
          </cell>
        </row>
        <row r="1778">
          <cell r="L1778">
            <v>0</v>
          </cell>
          <cell r="M1778" t="str">
            <v>SRS8</v>
          </cell>
        </row>
        <row r="1779">
          <cell r="L1779">
            <v>0</v>
          </cell>
          <cell r="M1779" t="str">
            <v>SSP21</v>
          </cell>
        </row>
        <row r="1780">
          <cell r="K1780" t="str">
            <v>Desmobilizado</v>
          </cell>
          <cell r="L1780">
            <v>45863</v>
          </cell>
          <cell r="M1780" t="str">
            <v>SSP8</v>
          </cell>
        </row>
        <row r="1781">
          <cell r="L1781">
            <v>0</v>
          </cell>
          <cell r="M1781" t="str">
            <v>SSP20</v>
          </cell>
        </row>
        <row r="1782">
          <cell r="L1782">
            <v>0</v>
          </cell>
          <cell r="M1782" t="str">
            <v>EMS4</v>
          </cell>
        </row>
        <row r="1783">
          <cell r="L1783">
            <v>0</v>
          </cell>
          <cell r="M1783" t="str">
            <v>SBA1</v>
          </cell>
        </row>
        <row r="1784">
          <cell r="L1784">
            <v>0</v>
          </cell>
          <cell r="M1784" t="str">
            <v>SGO1</v>
          </cell>
        </row>
        <row r="1785">
          <cell r="L1785">
            <v>0</v>
          </cell>
          <cell r="M1785" t="str">
            <v>SSP15</v>
          </cell>
        </row>
        <row r="1786">
          <cell r="L1786">
            <v>0</v>
          </cell>
          <cell r="M1786" t="str">
            <v>SSP8</v>
          </cell>
        </row>
        <row r="1787">
          <cell r="L1787" t="e">
            <v>#N/A</v>
          </cell>
          <cell r="M1787" t="str">
            <v>SSC3</v>
          </cell>
        </row>
        <row r="1788">
          <cell r="L1788">
            <v>0</v>
          </cell>
          <cell r="M1788" t="str">
            <v>SMR1</v>
          </cell>
        </row>
        <row r="1789">
          <cell r="L1789">
            <v>0</v>
          </cell>
          <cell r="M1789" t="str">
            <v>SMR1</v>
          </cell>
        </row>
        <row r="1790">
          <cell r="L1790">
            <v>0</v>
          </cell>
          <cell r="M1790" t="str">
            <v>SRS1</v>
          </cell>
        </row>
        <row r="1791">
          <cell r="L1791">
            <v>0</v>
          </cell>
          <cell r="M1791" t="str">
            <v>SSP21</v>
          </cell>
        </row>
        <row r="1792">
          <cell r="L1792">
            <v>0</v>
          </cell>
          <cell r="M1792" t="str">
            <v>SSP4</v>
          </cell>
        </row>
        <row r="1793">
          <cell r="K1793" t="str">
            <v>Desmobilizado</v>
          </cell>
          <cell r="L1793">
            <v>45868</v>
          </cell>
          <cell r="M1793" t="str">
            <v>SSP13</v>
          </cell>
        </row>
        <row r="1794">
          <cell r="L1794">
            <v>0</v>
          </cell>
          <cell r="M1794" t="str">
            <v>SPR1</v>
          </cell>
        </row>
        <row r="1795">
          <cell r="L1795" t="e">
            <v>#N/A</v>
          </cell>
          <cell r="M1795" t="str">
            <v>EPR13</v>
          </cell>
        </row>
        <row r="1796">
          <cell r="K1796" t="str">
            <v>Desmobilizado</v>
          </cell>
          <cell r="L1796">
            <v>45887</v>
          </cell>
          <cell r="M1796" t="str">
            <v>SSP38</v>
          </cell>
        </row>
        <row r="1797">
          <cell r="L1797">
            <v>0</v>
          </cell>
          <cell r="M1797" t="str">
            <v>EMS4</v>
          </cell>
        </row>
        <row r="1798">
          <cell r="L1798">
            <v>0</v>
          </cell>
          <cell r="M1798" t="str">
            <v>SSP12</v>
          </cell>
        </row>
        <row r="1799">
          <cell r="L1799">
            <v>0</v>
          </cell>
          <cell r="M1799" t="str">
            <v>SSP15</v>
          </cell>
        </row>
        <row r="1800">
          <cell r="L1800">
            <v>0</v>
          </cell>
          <cell r="M1800" t="str">
            <v>EMS4</v>
          </cell>
        </row>
        <row r="1801">
          <cell r="L1801">
            <v>0</v>
          </cell>
          <cell r="M1801" t="str">
            <v>SSC2</v>
          </cell>
        </row>
        <row r="1802">
          <cell r="L1802">
            <v>0</v>
          </cell>
          <cell r="M1802" t="str">
            <v>SSP28</v>
          </cell>
        </row>
        <row r="1803">
          <cell r="L1803" t="e">
            <v>#N/A</v>
          </cell>
          <cell r="M1803" t="str">
            <v>BRRC01</v>
          </cell>
        </row>
        <row r="1804">
          <cell r="L1804">
            <v>0</v>
          </cell>
          <cell r="M1804" t="str">
            <v>SSP26</v>
          </cell>
        </row>
        <row r="1805">
          <cell r="L1805">
            <v>0</v>
          </cell>
          <cell r="M1805" t="str">
            <v>SSP20</v>
          </cell>
        </row>
        <row r="1806">
          <cell r="L1806" t="e">
            <v>#N/A</v>
          </cell>
          <cell r="M1806" t="str">
            <v>SSP6</v>
          </cell>
        </row>
        <row r="1807">
          <cell r="L1807">
            <v>0</v>
          </cell>
          <cell r="M1807" t="str">
            <v>SSP28</v>
          </cell>
        </row>
        <row r="1808">
          <cell r="K1808" t="str">
            <v>Desmobilizado</v>
          </cell>
          <cell r="L1808">
            <v>45880</v>
          </cell>
          <cell r="M1808" t="str">
            <v>SSP34</v>
          </cell>
        </row>
        <row r="1809">
          <cell r="L1809">
            <v>0</v>
          </cell>
          <cell r="M1809" t="str">
            <v>SSP21</v>
          </cell>
        </row>
        <row r="1810">
          <cell r="L1810">
            <v>0</v>
          </cell>
          <cell r="M1810" t="str">
            <v>SSC3</v>
          </cell>
        </row>
        <row r="1811">
          <cell r="L1811">
            <v>0</v>
          </cell>
          <cell r="M1811" t="str">
            <v>SES1</v>
          </cell>
        </row>
        <row r="1812">
          <cell r="L1812">
            <v>0</v>
          </cell>
          <cell r="M1812" t="str">
            <v>SSP14</v>
          </cell>
        </row>
        <row r="1813">
          <cell r="L1813">
            <v>0</v>
          </cell>
          <cell r="M1813" t="str">
            <v>SPR4</v>
          </cell>
        </row>
        <row r="1814">
          <cell r="L1814">
            <v>0</v>
          </cell>
          <cell r="M1814" t="str">
            <v>SSC2</v>
          </cell>
        </row>
        <row r="1815">
          <cell r="L1815" t="e">
            <v>#N/A</v>
          </cell>
          <cell r="M1815" t="str">
            <v>SMG14</v>
          </cell>
        </row>
        <row r="1816">
          <cell r="L1816" t="e">
            <v>#N/A</v>
          </cell>
          <cell r="M1816" t="str">
            <v>SPR5</v>
          </cell>
        </row>
        <row r="1817">
          <cell r="L1817" t="e">
            <v>#N/A</v>
          </cell>
          <cell r="M1817" t="str">
            <v>OXXO1</v>
          </cell>
        </row>
        <row r="1818">
          <cell r="L1818">
            <v>0</v>
          </cell>
          <cell r="M1818" t="str">
            <v>SSC5</v>
          </cell>
        </row>
        <row r="1819">
          <cell r="L1819">
            <v>0</v>
          </cell>
          <cell r="M1819" t="str">
            <v>SPR3</v>
          </cell>
        </row>
        <row r="1820">
          <cell r="L1820">
            <v>0</v>
          </cell>
          <cell r="M1820" t="str">
            <v>SSP4</v>
          </cell>
        </row>
        <row r="1821">
          <cell r="L1821" t="e">
            <v>#N/A</v>
          </cell>
          <cell r="M1821" t="str">
            <v>SRS8</v>
          </cell>
        </row>
        <row r="1822">
          <cell r="L1822">
            <v>0</v>
          </cell>
          <cell r="M1822" t="str">
            <v>SSC5</v>
          </cell>
        </row>
        <row r="1823">
          <cell r="K1823" t="str">
            <v>Desmobilizado</v>
          </cell>
          <cell r="L1823">
            <v>45862</v>
          </cell>
          <cell r="M1823" t="str">
            <v>SSP38</v>
          </cell>
        </row>
        <row r="1824">
          <cell r="L1824">
            <v>0</v>
          </cell>
          <cell r="M1824" t="str">
            <v>SES1</v>
          </cell>
        </row>
        <row r="1825">
          <cell r="K1825" t="str">
            <v>Desmobilizado</v>
          </cell>
          <cell r="L1825">
            <v>45868</v>
          </cell>
          <cell r="M1825" t="str">
            <v>SSP38</v>
          </cell>
        </row>
        <row r="1826">
          <cell r="K1826" t="str">
            <v>Desmobilizado</v>
          </cell>
          <cell r="L1826">
            <v>45867</v>
          </cell>
          <cell r="M1826" t="str">
            <v>EMS4</v>
          </cell>
        </row>
        <row r="1827">
          <cell r="L1827">
            <v>0</v>
          </cell>
          <cell r="M1827" t="str">
            <v>SSP26</v>
          </cell>
        </row>
        <row r="1828">
          <cell r="L1828" t="e">
            <v>#N/A</v>
          </cell>
          <cell r="M1828" t="str">
            <v>EPR9</v>
          </cell>
        </row>
        <row r="1829">
          <cell r="L1829" t="e">
            <v>#N/A</v>
          </cell>
          <cell r="M1829" t="str">
            <v>EPR9</v>
          </cell>
        </row>
        <row r="1830">
          <cell r="L1830" t="e">
            <v>#N/A</v>
          </cell>
          <cell r="M1830" t="str">
            <v>EPR7</v>
          </cell>
        </row>
        <row r="1831">
          <cell r="L1831" t="e">
            <v>#N/A</v>
          </cell>
          <cell r="M1831" t="str">
            <v>EPR6</v>
          </cell>
        </row>
        <row r="1832">
          <cell r="L1832" t="e">
            <v>#N/A</v>
          </cell>
          <cell r="M1832" t="str">
            <v>EPR6</v>
          </cell>
        </row>
        <row r="1833">
          <cell r="K1833" t="str">
            <v>Desmobilizado</v>
          </cell>
          <cell r="L1833">
            <v>45876</v>
          </cell>
          <cell r="M1833" t="str">
            <v>SPR1</v>
          </cell>
        </row>
        <row r="1834">
          <cell r="K1834" t="str">
            <v>Desmobilizado</v>
          </cell>
          <cell r="L1834">
            <v>45895</v>
          </cell>
          <cell r="M1834" t="str">
            <v>SSP4</v>
          </cell>
        </row>
        <row r="1835">
          <cell r="K1835" t="str">
            <v>Desmobilizado</v>
          </cell>
          <cell r="L1835">
            <v>45866</v>
          </cell>
          <cell r="M1835" t="str">
            <v>SSP28</v>
          </cell>
        </row>
        <row r="1836">
          <cell r="K1836" t="str">
            <v>Desmobilizado</v>
          </cell>
          <cell r="L1836">
            <v>45839</v>
          </cell>
          <cell r="M1836" t="str">
            <v>SSP16</v>
          </cell>
        </row>
        <row r="1837">
          <cell r="K1837" t="str">
            <v>Desmobilizado</v>
          </cell>
          <cell r="L1837">
            <v>45910</v>
          </cell>
          <cell r="M1837" t="str">
            <v>SSP42</v>
          </cell>
        </row>
        <row r="1838">
          <cell r="K1838" t="str">
            <v>Desmobilizado</v>
          </cell>
          <cell r="L1838">
            <v>45876</v>
          </cell>
          <cell r="M1838" t="str">
            <v>SPR1</v>
          </cell>
        </row>
        <row r="1839">
          <cell r="K1839" t="str">
            <v>Desmobilizado</v>
          </cell>
          <cell r="L1839">
            <v>45881</v>
          </cell>
          <cell r="M1839" t="str">
            <v>SPR1</v>
          </cell>
        </row>
        <row r="1840">
          <cell r="K1840" t="str">
            <v>Desmobilizado</v>
          </cell>
          <cell r="L1840">
            <v>45861</v>
          </cell>
          <cell r="M1840" t="str">
            <v>SSP28</v>
          </cell>
        </row>
        <row r="1841">
          <cell r="K1841" t="str">
            <v>Desmobilizado</v>
          </cell>
          <cell r="L1841">
            <v>45863</v>
          </cell>
          <cell r="M1841" t="str">
            <v>SSP8</v>
          </cell>
        </row>
        <row r="1842">
          <cell r="L1842">
            <v>0</v>
          </cell>
          <cell r="M1842" t="str">
            <v>SSP10</v>
          </cell>
        </row>
        <row r="1843">
          <cell r="F1843" t="str">
            <v>SP</v>
          </cell>
          <cell r="G1843" t="str">
            <v>Branca</v>
          </cell>
          <cell r="H1843" t="str">
            <v>MERCADO LIVRE</v>
          </cell>
          <cell r="I1843" t="str">
            <v>Localiza</v>
          </cell>
          <cell r="K1843" t="str">
            <v>Desmobilizado</v>
          </cell>
          <cell r="L1843">
            <v>45866</v>
          </cell>
          <cell r="M1843" t="str">
            <v>Dev</v>
          </cell>
        </row>
        <row r="1844">
          <cell r="L1844">
            <v>0</v>
          </cell>
          <cell r="M1844" t="str">
            <v>SSP38</v>
          </cell>
        </row>
        <row r="1845">
          <cell r="K1845" t="str">
            <v>Desmobilizado</v>
          </cell>
          <cell r="L1845">
            <v>45838</v>
          </cell>
          <cell r="M1845" t="str">
            <v>SDF1</v>
          </cell>
        </row>
        <row r="1846">
          <cell r="K1846" t="str">
            <v>Desmobilizado</v>
          </cell>
          <cell r="L1846">
            <v>45909</v>
          </cell>
          <cell r="M1846" t="str">
            <v>SSP14</v>
          </cell>
        </row>
        <row r="1847">
          <cell r="K1847" t="str">
            <v>Desmobilizado</v>
          </cell>
          <cell r="L1847">
            <v>45881</v>
          </cell>
          <cell r="M1847" t="str">
            <v>SPR8</v>
          </cell>
        </row>
        <row r="1848">
          <cell r="K1848" t="str">
            <v>Devolvida</v>
          </cell>
          <cell r="L1848">
            <v>45896</v>
          </cell>
          <cell r="M1848" t="str">
            <v>SSP4</v>
          </cell>
        </row>
        <row r="1849">
          <cell r="L1849">
            <v>0</v>
          </cell>
          <cell r="M1849" t="str">
            <v>SSP42</v>
          </cell>
        </row>
        <row r="1850">
          <cell r="L1850">
            <v>0</v>
          </cell>
          <cell r="M1850" t="str">
            <v>SSP3</v>
          </cell>
        </row>
        <row r="1851">
          <cell r="F1851" t="str">
            <v>SP</v>
          </cell>
          <cell r="G1851" t="str">
            <v>Branca</v>
          </cell>
          <cell r="H1851" t="str">
            <v>MERCADO LIVRE</v>
          </cell>
          <cell r="I1851" t="str">
            <v>Localiza</v>
          </cell>
          <cell r="K1851" t="str">
            <v>Desmobilizado</v>
          </cell>
          <cell r="L1851">
            <v>45866</v>
          </cell>
          <cell r="M1851" t="str">
            <v>Dev</v>
          </cell>
        </row>
        <row r="1852">
          <cell r="L1852">
            <v>0</v>
          </cell>
          <cell r="M1852" t="str">
            <v>SSP10</v>
          </cell>
        </row>
        <row r="1853">
          <cell r="L1853">
            <v>0</v>
          </cell>
          <cell r="M1853" t="str">
            <v>SSP10</v>
          </cell>
        </row>
        <row r="1854">
          <cell r="K1854" t="str">
            <v>Desmobilizado</v>
          </cell>
          <cell r="L1854">
            <v>45887</v>
          </cell>
          <cell r="M1854" t="str">
            <v>SSP10</v>
          </cell>
        </row>
        <row r="1855">
          <cell r="K1855" t="str">
            <v>Desmobilizado</v>
          </cell>
          <cell r="L1855">
            <v>45908</v>
          </cell>
          <cell r="M1855" t="str">
            <v>SSP25</v>
          </cell>
        </row>
        <row r="1856">
          <cell r="K1856" t="str">
            <v>Desmobilizado</v>
          </cell>
          <cell r="L1856">
            <v>45854</v>
          </cell>
          <cell r="M1856" t="str">
            <v>SBA1</v>
          </cell>
        </row>
        <row r="1857">
          <cell r="K1857" t="str">
            <v>Desmobilizado</v>
          </cell>
          <cell r="L1857">
            <v>45854</v>
          </cell>
          <cell r="M1857" t="str">
            <v>SBA1</v>
          </cell>
        </row>
        <row r="1858">
          <cell r="L1858" t="e">
            <v>#N/A</v>
          </cell>
          <cell r="M1858" t="str">
            <v>SGO1</v>
          </cell>
        </row>
        <row r="1859">
          <cell r="K1859" t="str">
            <v>Desmobilizado</v>
          </cell>
          <cell r="L1859">
            <v>45863</v>
          </cell>
          <cell r="M1859" t="str">
            <v>SSP14</v>
          </cell>
        </row>
        <row r="1860">
          <cell r="K1860" t="str">
            <v>Desmobilizado</v>
          </cell>
          <cell r="L1860">
            <v>45881</v>
          </cell>
          <cell r="M1860" t="str">
            <v>SPR1</v>
          </cell>
        </row>
        <row r="1861">
          <cell r="K1861" t="str">
            <v>Desmobilizado</v>
          </cell>
          <cell r="L1861">
            <v>45876</v>
          </cell>
          <cell r="M1861" t="str">
            <v>SPR1</v>
          </cell>
        </row>
        <row r="1862">
          <cell r="L1862">
            <v>0</v>
          </cell>
          <cell r="M1862" t="str">
            <v>BRRC01</v>
          </cell>
        </row>
        <row r="1863">
          <cell r="L1863">
            <v>0</v>
          </cell>
          <cell r="M1863" t="str">
            <v>BRRC01</v>
          </cell>
        </row>
        <row r="1864">
          <cell r="L1864">
            <v>0</v>
          </cell>
          <cell r="M1864" t="str">
            <v>BRRC01</v>
          </cell>
        </row>
        <row r="1865">
          <cell r="L1865">
            <v>0</v>
          </cell>
          <cell r="M1865" t="str">
            <v>SSP42</v>
          </cell>
        </row>
        <row r="1866">
          <cell r="K1866" t="str">
            <v>Desmobilizado</v>
          </cell>
          <cell r="L1866">
            <v>45910</v>
          </cell>
          <cell r="M1866" t="str">
            <v>SSP42</v>
          </cell>
        </row>
        <row r="1867">
          <cell r="K1867" t="str">
            <v>Desmobilizado</v>
          </cell>
          <cell r="L1867">
            <v>45910</v>
          </cell>
          <cell r="M1867" t="str">
            <v>SSP42</v>
          </cell>
        </row>
        <row r="1868">
          <cell r="L1868">
            <v>0</v>
          </cell>
          <cell r="M1868" t="str">
            <v>SSP3</v>
          </cell>
        </row>
        <row r="1869">
          <cell r="K1869" t="str">
            <v>Desmobilizado</v>
          </cell>
          <cell r="L1869">
            <v>45852</v>
          </cell>
          <cell r="M1869" t="str">
            <v>SSP40</v>
          </cell>
        </row>
        <row r="1870">
          <cell r="K1870" t="str">
            <v>transferida</v>
          </cell>
          <cell r="L1870">
            <v>0</v>
          </cell>
          <cell r="M1870" t="str">
            <v>SSP4</v>
          </cell>
        </row>
        <row r="1871">
          <cell r="K1871" t="str">
            <v>Desmobilizado</v>
          </cell>
          <cell r="L1871">
            <v>45859</v>
          </cell>
          <cell r="M1871" t="str">
            <v>SSP4</v>
          </cell>
        </row>
        <row r="1872">
          <cell r="K1872" t="str">
            <v>Desmobilizado</v>
          </cell>
          <cell r="L1872">
            <v>45859</v>
          </cell>
          <cell r="M1872" t="str">
            <v>SSP4</v>
          </cell>
        </row>
        <row r="1873">
          <cell r="K1873" t="str">
            <v>Desmobilizado</v>
          </cell>
          <cell r="L1873">
            <v>45849</v>
          </cell>
          <cell r="M1873" t="str">
            <v>SSP8</v>
          </cell>
        </row>
        <row r="1874">
          <cell r="K1874" t="str">
            <v>transferida</v>
          </cell>
          <cell r="L1874">
            <v>0</v>
          </cell>
          <cell r="M1874" t="str">
            <v>SSP4</v>
          </cell>
        </row>
        <row r="1875">
          <cell r="L1875">
            <v>0</v>
          </cell>
          <cell r="M1875" t="str">
            <v>EMS4</v>
          </cell>
        </row>
        <row r="1876">
          <cell r="L1876">
            <v>0</v>
          </cell>
          <cell r="M1876" t="str">
            <v>SSP21</v>
          </cell>
        </row>
        <row r="1877">
          <cell r="L1877">
            <v>0</v>
          </cell>
          <cell r="M1877" t="str">
            <v>BRRC01</v>
          </cell>
        </row>
        <row r="1878">
          <cell r="L1878">
            <v>0</v>
          </cell>
          <cell r="M1878" t="str">
            <v>SPR1</v>
          </cell>
        </row>
        <row r="1879">
          <cell r="L1879">
            <v>0</v>
          </cell>
          <cell r="M1879" t="str">
            <v>SES1</v>
          </cell>
        </row>
        <row r="1880">
          <cell r="L1880">
            <v>0</v>
          </cell>
          <cell r="M1880" t="str">
            <v>SSP5</v>
          </cell>
        </row>
        <row r="1881">
          <cell r="K1881" t="str">
            <v>Desmobilizado</v>
          </cell>
          <cell r="L1881">
            <v>45846</v>
          </cell>
          <cell r="M1881" t="str">
            <v>SSP12</v>
          </cell>
        </row>
        <row r="1882">
          <cell r="L1882">
            <v>0</v>
          </cell>
          <cell r="M1882" t="str">
            <v>SPR1</v>
          </cell>
        </row>
        <row r="1883">
          <cell r="L1883">
            <v>0</v>
          </cell>
          <cell r="M1883" t="str">
            <v>SSP15</v>
          </cell>
        </row>
        <row r="1884">
          <cell r="K1884" t="str">
            <v>Desmobilizado</v>
          </cell>
          <cell r="L1884">
            <v>45863</v>
          </cell>
          <cell r="M1884" t="str">
            <v>SSP17</v>
          </cell>
        </row>
        <row r="1885">
          <cell r="L1885">
            <v>0</v>
          </cell>
          <cell r="M1885" t="str">
            <v>BRRC01</v>
          </cell>
        </row>
        <row r="1886">
          <cell r="L1886">
            <v>0</v>
          </cell>
          <cell r="M1886" t="str">
            <v>SSP4</v>
          </cell>
        </row>
        <row r="1887">
          <cell r="L1887">
            <v>0</v>
          </cell>
          <cell r="M1887" t="str">
            <v>SPR1</v>
          </cell>
        </row>
        <row r="1888">
          <cell r="L1888">
            <v>0</v>
          </cell>
          <cell r="M1888" t="str">
            <v>SBA1</v>
          </cell>
        </row>
        <row r="1889">
          <cell r="K1889" t="str">
            <v>Desmobilizado</v>
          </cell>
          <cell r="L1889">
            <v>45866</v>
          </cell>
          <cell r="M1889" t="str">
            <v>SPR2</v>
          </cell>
        </row>
        <row r="1890">
          <cell r="L1890">
            <v>0</v>
          </cell>
          <cell r="M1890" t="str">
            <v>SPR1</v>
          </cell>
        </row>
        <row r="1891">
          <cell r="L1891">
            <v>0</v>
          </cell>
          <cell r="M1891" t="str">
            <v>SPR1</v>
          </cell>
        </row>
        <row r="1892">
          <cell r="L1892">
            <v>0</v>
          </cell>
          <cell r="M1892" t="str">
            <v>SPR1</v>
          </cell>
        </row>
        <row r="1893">
          <cell r="L1893">
            <v>0</v>
          </cell>
          <cell r="M1893" t="str">
            <v>SPR1</v>
          </cell>
        </row>
        <row r="1894">
          <cell r="K1894" t="str">
            <v>Desmobilizado</v>
          </cell>
          <cell r="L1894">
            <v>45868</v>
          </cell>
          <cell r="M1894" t="str">
            <v>SSP13</v>
          </cell>
        </row>
        <row r="1895">
          <cell r="L1895">
            <v>0</v>
          </cell>
          <cell r="M1895" t="str">
            <v>SPR1</v>
          </cell>
        </row>
        <row r="1896">
          <cell r="L1896">
            <v>0</v>
          </cell>
          <cell r="M1896" t="str">
            <v>SSP26</v>
          </cell>
        </row>
        <row r="1897">
          <cell r="L1897">
            <v>0</v>
          </cell>
          <cell r="M1897" t="str">
            <v>SPR1</v>
          </cell>
        </row>
        <row r="1898">
          <cell r="L1898">
            <v>0</v>
          </cell>
          <cell r="M1898" t="str">
            <v>SSP4</v>
          </cell>
        </row>
        <row r="1899">
          <cell r="L1899" t="e">
            <v>#N/A</v>
          </cell>
          <cell r="M1899" t="str">
            <v>EPR6</v>
          </cell>
        </row>
        <row r="1900">
          <cell r="L1900">
            <v>0</v>
          </cell>
          <cell r="M1900" t="str">
            <v>SSP8</v>
          </cell>
        </row>
        <row r="1901">
          <cell r="L1901">
            <v>0</v>
          </cell>
          <cell r="M1901" t="str">
            <v>SSP25</v>
          </cell>
        </row>
        <row r="1902">
          <cell r="L1902">
            <v>0</v>
          </cell>
          <cell r="M1902" t="str">
            <v>BRRC01</v>
          </cell>
        </row>
        <row r="1903">
          <cell r="L1903">
            <v>0</v>
          </cell>
          <cell r="M1903" t="str">
            <v>SPR1</v>
          </cell>
        </row>
        <row r="1904">
          <cell r="L1904">
            <v>0</v>
          </cell>
          <cell r="M1904" t="str">
            <v>SSP20</v>
          </cell>
        </row>
        <row r="1905">
          <cell r="L1905">
            <v>0</v>
          </cell>
          <cell r="M1905" t="str">
            <v>SPR1</v>
          </cell>
        </row>
        <row r="1906">
          <cell r="L1906">
            <v>0</v>
          </cell>
          <cell r="M1906" t="str">
            <v>SPR1</v>
          </cell>
        </row>
        <row r="1907">
          <cell r="L1907">
            <v>0</v>
          </cell>
          <cell r="M1907" t="str">
            <v>SPR1</v>
          </cell>
        </row>
        <row r="1908">
          <cell r="L1908">
            <v>0</v>
          </cell>
          <cell r="M1908" t="str">
            <v>SSP28</v>
          </cell>
        </row>
        <row r="1909">
          <cell r="L1909">
            <v>0</v>
          </cell>
          <cell r="M1909" t="str">
            <v>SPR1</v>
          </cell>
        </row>
        <row r="1910">
          <cell r="L1910">
            <v>0</v>
          </cell>
          <cell r="M1910" t="str">
            <v>SPR1</v>
          </cell>
        </row>
        <row r="1911">
          <cell r="L1911">
            <v>0</v>
          </cell>
          <cell r="M1911" t="str">
            <v>SPR1</v>
          </cell>
        </row>
        <row r="1912">
          <cell r="L1912">
            <v>0</v>
          </cell>
          <cell r="M1912" t="str">
            <v>SSP4</v>
          </cell>
        </row>
        <row r="1913">
          <cell r="L1913">
            <v>0</v>
          </cell>
          <cell r="M1913" t="str">
            <v>SPR1</v>
          </cell>
        </row>
        <row r="1914">
          <cell r="L1914" t="e">
            <v>#N/A</v>
          </cell>
          <cell r="M1914" t="str">
            <v>SSP4</v>
          </cell>
        </row>
        <row r="1915">
          <cell r="L1915">
            <v>0</v>
          </cell>
          <cell r="M1915" t="str">
            <v>SPR1</v>
          </cell>
        </row>
        <row r="1916">
          <cell r="L1916">
            <v>0</v>
          </cell>
          <cell r="M1916" t="str">
            <v>SRS1</v>
          </cell>
        </row>
        <row r="1917">
          <cell r="L1917" t="e">
            <v>#N/A</v>
          </cell>
          <cell r="M1917" t="str">
            <v>SPR1</v>
          </cell>
        </row>
        <row r="1918">
          <cell r="L1918">
            <v>0</v>
          </cell>
          <cell r="M1918" t="str">
            <v>SGO1</v>
          </cell>
        </row>
        <row r="1919">
          <cell r="L1919">
            <v>0</v>
          </cell>
          <cell r="M1919" t="str">
            <v>SSP26</v>
          </cell>
        </row>
        <row r="1920">
          <cell r="L1920">
            <v>0</v>
          </cell>
          <cell r="M1920" t="str">
            <v>SSP34</v>
          </cell>
        </row>
        <row r="1921">
          <cell r="L1921">
            <v>0</v>
          </cell>
          <cell r="M1921" t="str">
            <v>SSP8</v>
          </cell>
        </row>
        <row r="1922">
          <cell r="L1922">
            <v>0</v>
          </cell>
          <cell r="M1922" t="str">
            <v>SSP8</v>
          </cell>
        </row>
        <row r="1923">
          <cell r="K1923" t="str">
            <v>Desmobilizado</v>
          </cell>
          <cell r="L1923">
            <v>45832</v>
          </cell>
          <cell r="M1923" t="str">
            <v>SMR1</v>
          </cell>
        </row>
        <row r="1924">
          <cell r="L1924">
            <v>0</v>
          </cell>
          <cell r="M1924" t="str">
            <v>SBA1</v>
          </cell>
        </row>
        <row r="1925">
          <cell r="K1925" t="str">
            <v>Desmobilizado</v>
          </cell>
          <cell r="L1925">
            <v>45853</v>
          </cell>
          <cell r="M1925" t="str">
            <v>BRRC01</v>
          </cell>
        </row>
        <row r="1926">
          <cell r="L1926">
            <v>0</v>
          </cell>
          <cell r="M1926" t="str">
            <v>SSP21</v>
          </cell>
        </row>
        <row r="1927">
          <cell r="L1927">
            <v>0</v>
          </cell>
          <cell r="M1927" t="str">
            <v>SSP13</v>
          </cell>
        </row>
        <row r="1928">
          <cell r="L1928">
            <v>0</v>
          </cell>
          <cell r="M1928" t="str">
            <v>SSP13</v>
          </cell>
        </row>
        <row r="1929">
          <cell r="L1929">
            <v>0</v>
          </cell>
          <cell r="M1929" t="str">
            <v>SSP20</v>
          </cell>
        </row>
        <row r="1930">
          <cell r="L1930">
            <v>0</v>
          </cell>
          <cell r="M1930" t="str">
            <v>SSP30</v>
          </cell>
        </row>
        <row r="1931">
          <cell r="L1931">
            <v>0</v>
          </cell>
          <cell r="M1931" t="str">
            <v>SSP12</v>
          </cell>
        </row>
        <row r="1932">
          <cell r="L1932">
            <v>0</v>
          </cell>
          <cell r="M1932" t="str">
            <v>SSP30</v>
          </cell>
        </row>
        <row r="1933">
          <cell r="L1933">
            <v>0</v>
          </cell>
          <cell r="M1933" t="str">
            <v>SSC2</v>
          </cell>
        </row>
        <row r="1934">
          <cell r="K1934" t="str">
            <v>Desmobilizado</v>
          </cell>
          <cell r="L1934">
            <v>45866</v>
          </cell>
          <cell r="M1934" t="str">
            <v>SPR2</v>
          </cell>
        </row>
        <row r="1935">
          <cell r="L1935">
            <v>0</v>
          </cell>
          <cell r="M1935" t="str">
            <v>SSP20</v>
          </cell>
        </row>
        <row r="1936">
          <cell r="K1936" t="str">
            <v>Desmobilizado</v>
          </cell>
          <cell r="L1936">
            <v>45866</v>
          </cell>
          <cell r="M1936" t="str">
            <v>SPR2</v>
          </cell>
        </row>
        <row r="1937">
          <cell r="K1937" t="str">
            <v>Desmobilizado</v>
          </cell>
          <cell r="L1937">
            <v>45866</v>
          </cell>
          <cell r="M1937" t="str">
            <v>SPR2</v>
          </cell>
        </row>
        <row r="1938">
          <cell r="K1938" t="str">
            <v>Desmobilizado</v>
          </cell>
          <cell r="L1938">
            <v>45866</v>
          </cell>
          <cell r="M1938" t="str">
            <v>SPR2</v>
          </cell>
        </row>
        <row r="1939">
          <cell r="L1939">
            <v>0</v>
          </cell>
          <cell r="M1939" t="str">
            <v>SSP16</v>
          </cell>
        </row>
        <row r="1940">
          <cell r="L1940">
            <v>0</v>
          </cell>
          <cell r="M1940" t="str">
            <v>SRS10</v>
          </cell>
        </row>
        <row r="1941">
          <cell r="L1941" t="e">
            <v>#N/A</v>
          </cell>
          <cell r="M1941" t="str">
            <v>EPR7</v>
          </cell>
        </row>
        <row r="1942">
          <cell r="L1942">
            <v>0</v>
          </cell>
          <cell r="M1942" t="str">
            <v>SSP28</v>
          </cell>
        </row>
        <row r="1943">
          <cell r="L1943">
            <v>0</v>
          </cell>
          <cell r="M1943" t="str">
            <v>SSP4</v>
          </cell>
        </row>
        <row r="1944">
          <cell r="L1944">
            <v>0</v>
          </cell>
          <cell r="M1944" t="str">
            <v>SSC2</v>
          </cell>
        </row>
        <row r="1945">
          <cell r="L1945" t="e">
            <v>#N/A</v>
          </cell>
          <cell r="M1945" t="str">
            <v>SSP5</v>
          </cell>
        </row>
        <row r="1946">
          <cell r="L1946">
            <v>0</v>
          </cell>
          <cell r="M1946" t="str">
            <v>BRRC01</v>
          </cell>
        </row>
        <row r="1947">
          <cell r="L1947">
            <v>0</v>
          </cell>
          <cell r="M1947" t="str">
            <v>SBA1</v>
          </cell>
        </row>
        <row r="1948">
          <cell r="L1948">
            <v>0</v>
          </cell>
          <cell r="M1948" t="str">
            <v>SMR1</v>
          </cell>
        </row>
        <row r="1949">
          <cell r="L1949">
            <v>0</v>
          </cell>
          <cell r="M1949" t="str">
            <v>EMS4</v>
          </cell>
        </row>
        <row r="1950">
          <cell r="L1950">
            <v>0</v>
          </cell>
          <cell r="M1950" t="str">
            <v>BRRC01</v>
          </cell>
        </row>
        <row r="1951">
          <cell r="L1951">
            <v>0</v>
          </cell>
          <cell r="M1951" t="str">
            <v>SSC2</v>
          </cell>
        </row>
        <row r="1952">
          <cell r="L1952">
            <v>0</v>
          </cell>
          <cell r="M1952" t="str">
            <v>SSC2</v>
          </cell>
        </row>
        <row r="1953">
          <cell r="L1953">
            <v>0</v>
          </cell>
          <cell r="M1953" t="str">
            <v>SSP4</v>
          </cell>
        </row>
        <row r="1954">
          <cell r="L1954">
            <v>0</v>
          </cell>
          <cell r="M1954" t="str">
            <v>BRRC01</v>
          </cell>
        </row>
        <row r="1955">
          <cell r="L1955">
            <v>0</v>
          </cell>
          <cell r="M1955" t="str">
            <v>BRRC01</v>
          </cell>
        </row>
        <row r="1956">
          <cell r="L1956">
            <v>0</v>
          </cell>
          <cell r="M1956" t="str">
            <v>SSC5</v>
          </cell>
        </row>
        <row r="1957">
          <cell r="L1957">
            <v>0</v>
          </cell>
          <cell r="M1957" t="str">
            <v>SMG5</v>
          </cell>
        </row>
        <row r="1958">
          <cell r="L1958">
            <v>0</v>
          </cell>
          <cell r="M1958" t="str">
            <v>SC_ZS</v>
          </cell>
        </row>
        <row r="1959">
          <cell r="L1959">
            <v>0</v>
          </cell>
          <cell r="M1959" t="str">
            <v>SSP21</v>
          </cell>
        </row>
        <row r="1960">
          <cell r="L1960">
            <v>0</v>
          </cell>
          <cell r="M1960" t="str">
            <v>SRS8</v>
          </cell>
        </row>
        <row r="1961">
          <cell r="L1961">
            <v>0</v>
          </cell>
          <cell r="M1961" t="str">
            <v>SES1</v>
          </cell>
        </row>
        <row r="1962">
          <cell r="L1962" t="e">
            <v>#N/A</v>
          </cell>
          <cell r="M1962" t="str">
            <v>SRS1</v>
          </cell>
        </row>
        <row r="1963">
          <cell r="L1963" t="e">
            <v>#N/A</v>
          </cell>
          <cell r="M1963" t="str">
            <v>SRS1</v>
          </cell>
        </row>
        <row r="1964">
          <cell r="L1964">
            <v>0</v>
          </cell>
          <cell r="M1964" t="str">
            <v>SSP20</v>
          </cell>
        </row>
        <row r="1965">
          <cell r="L1965">
            <v>0</v>
          </cell>
          <cell r="M1965" t="str">
            <v>SSP21</v>
          </cell>
        </row>
        <row r="1966">
          <cell r="L1966">
            <v>0</v>
          </cell>
          <cell r="M1966" t="str">
            <v>SSP4</v>
          </cell>
        </row>
        <row r="1967">
          <cell r="L1967">
            <v>0</v>
          </cell>
          <cell r="M1967" t="str">
            <v>SBA1</v>
          </cell>
        </row>
        <row r="1968">
          <cell r="L1968">
            <v>0</v>
          </cell>
          <cell r="M1968" t="str">
            <v>SSP12</v>
          </cell>
        </row>
        <row r="1969">
          <cell r="L1969">
            <v>0</v>
          </cell>
          <cell r="M1969" t="str">
            <v>SSP3</v>
          </cell>
        </row>
        <row r="1970">
          <cell r="L1970">
            <v>0</v>
          </cell>
          <cell r="M1970" t="str">
            <v>SSP21</v>
          </cell>
        </row>
        <row r="1971">
          <cell r="K1971" t="str">
            <v>Desmobilizado</v>
          </cell>
          <cell r="L1971">
            <v>45818</v>
          </cell>
          <cell r="M1971" t="str">
            <v>SSP4</v>
          </cell>
        </row>
        <row r="1972">
          <cell r="K1972" t="str">
            <v>Desmobilizado</v>
          </cell>
          <cell r="L1972">
            <v>45838</v>
          </cell>
          <cell r="M1972" t="str">
            <v>SMR1</v>
          </cell>
        </row>
        <row r="1973">
          <cell r="K1973" t="str">
            <v>Desmobilizado</v>
          </cell>
          <cell r="L1973">
            <v>45715</v>
          </cell>
          <cell r="M1973" t="str">
            <v>SSP30</v>
          </cell>
        </row>
        <row r="1974">
          <cell r="K1974" t="str">
            <v>Desmobilizado</v>
          </cell>
          <cell r="L1974">
            <v>45819</v>
          </cell>
          <cell r="M1974" t="str">
            <v>SSP30</v>
          </cell>
        </row>
        <row r="1975">
          <cell r="K1975" t="str">
            <v>Desmobilizado</v>
          </cell>
          <cell r="L1975">
            <v>45840</v>
          </cell>
          <cell r="M1975" t="str">
            <v>SSP22</v>
          </cell>
        </row>
        <row r="1976">
          <cell r="L1976">
            <v>0</v>
          </cell>
          <cell r="M1976" t="str">
            <v>SSP20</v>
          </cell>
        </row>
        <row r="1977">
          <cell r="L1977">
            <v>0</v>
          </cell>
          <cell r="M1977" t="str">
            <v>SSP21</v>
          </cell>
        </row>
        <row r="1978">
          <cell r="K1978" t="str">
            <v>Verificar</v>
          </cell>
          <cell r="L1978">
            <v>0</v>
          </cell>
          <cell r="M1978" t="e">
            <v>#N/A</v>
          </cell>
        </row>
        <row r="1979">
          <cell r="L1979">
            <v>0</v>
          </cell>
          <cell r="M1979" t="str">
            <v>SSP21</v>
          </cell>
        </row>
        <row r="1980">
          <cell r="L1980">
            <v>0</v>
          </cell>
          <cell r="M1980" t="str">
            <v>SSP21</v>
          </cell>
        </row>
        <row r="1981">
          <cell r="K1981" t="str">
            <v>Desmobilizado</v>
          </cell>
          <cell r="L1981">
            <v>45835</v>
          </cell>
          <cell r="M1981" t="str">
            <v>SSC5</v>
          </cell>
        </row>
        <row r="1982">
          <cell r="L1982">
            <v>0</v>
          </cell>
          <cell r="M1982" t="str">
            <v>SDF1</v>
          </cell>
        </row>
        <row r="1983">
          <cell r="L1983">
            <v>0</v>
          </cell>
          <cell r="M1983" t="str">
            <v>SSP6</v>
          </cell>
        </row>
        <row r="1984">
          <cell r="L1984">
            <v>0</v>
          </cell>
          <cell r="M1984" t="str">
            <v>SSP13</v>
          </cell>
        </row>
        <row r="1985">
          <cell r="L1985">
            <v>0</v>
          </cell>
          <cell r="M1985" t="str">
            <v>SMR1</v>
          </cell>
        </row>
        <row r="1986">
          <cell r="L1986">
            <v>0</v>
          </cell>
          <cell r="M1986" t="str">
            <v>SSP17</v>
          </cell>
        </row>
        <row r="1987">
          <cell r="L1987">
            <v>0</v>
          </cell>
          <cell r="M1987" t="str">
            <v>SSP12</v>
          </cell>
        </row>
        <row r="1988">
          <cell r="L1988">
            <v>0</v>
          </cell>
          <cell r="M1988" t="str">
            <v>SSP20</v>
          </cell>
        </row>
        <row r="1989">
          <cell r="L1989" t="e">
            <v>#N/A</v>
          </cell>
          <cell r="M1989" t="str">
            <v>SRS8</v>
          </cell>
        </row>
        <row r="1990">
          <cell r="L1990">
            <v>0</v>
          </cell>
          <cell r="M1990" t="str">
            <v>SSC5</v>
          </cell>
        </row>
        <row r="1991">
          <cell r="L1991">
            <v>0</v>
          </cell>
          <cell r="M1991" t="str">
            <v>SSP4</v>
          </cell>
        </row>
        <row r="1992">
          <cell r="L1992" t="e">
            <v>#N/A</v>
          </cell>
          <cell r="M1992" t="str">
            <v>BRRC01</v>
          </cell>
        </row>
        <row r="1993">
          <cell r="L1993">
            <v>0</v>
          </cell>
          <cell r="M1993" t="str">
            <v>SC_ZS</v>
          </cell>
        </row>
        <row r="1994">
          <cell r="L1994">
            <v>0</v>
          </cell>
          <cell r="M1994" t="str">
            <v>SSP21</v>
          </cell>
        </row>
        <row r="1995">
          <cell r="L1995" t="e">
            <v>#N/A</v>
          </cell>
          <cell r="M1995" t="str">
            <v>SMR2</v>
          </cell>
        </row>
        <row r="1996">
          <cell r="L1996">
            <v>0</v>
          </cell>
          <cell r="M1996" t="str">
            <v>SSP15</v>
          </cell>
        </row>
        <row r="1997">
          <cell r="L1997">
            <v>0</v>
          </cell>
          <cell r="M1997" t="str">
            <v>SPR2</v>
          </cell>
        </row>
        <row r="1998">
          <cell r="L1998">
            <v>0</v>
          </cell>
          <cell r="M1998" t="str">
            <v>SSP20</v>
          </cell>
        </row>
        <row r="1999">
          <cell r="L1999" t="e">
            <v>#N/A</v>
          </cell>
          <cell r="M1999" t="str">
            <v>LHM13</v>
          </cell>
        </row>
        <row r="2000">
          <cell r="L2000">
            <v>0</v>
          </cell>
          <cell r="M2000" t="str">
            <v>SSP13</v>
          </cell>
        </row>
        <row r="2001">
          <cell r="L2001">
            <v>0</v>
          </cell>
          <cell r="M2001" t="str">
            <v>SRS1</v>
          </cell>
        </row>
        <row r="2002">
          <cell r="L2002">
            <v>0</v>
          </cell>
          <cell r="M2002" t="str">
            <v>SSP4</v>
          </cell>
        </row>
        <row r="2003">
          <cell r="L2003">
            <v>0</v>
          </cell>
          <cell r="M2003" t="str">
            <v>SSP20</v>
          </cell>
        </row>
        <row r="2004">
          <cell r="L2004">
            <v>0</v>
          </cell>
          <cell r="M2004" t="str">
            <v>SBA1</v>
          </cell>
        </row>
        <row r="2005">
          <cell r="L2005">
            <v>0</v>
          </cell>
          <cell r="M2005" t="str">
            <v>SBA1</v>
          </cell>
        </row>
        <row r="2006">
          <cell r="L2006">
            <v>0</v>
          </cell>
          <cell r="M2006" t="str">
            <v>SRS1</v>
          </cell>
        </row>
        <row r="2007">
          <cell r="L2007">
            <v>0</v>
          </cell>
          <cell r="M2007" t="str">
            <v>EMS4</v>
          </cell>
        </row>
        <row r="2008">
          <cell r="L2008">
            <v>0</v>
          </cell>
          <cell r="M2008" t="str">
            <v>SSP4</v>
          </cell>
        </row>
        <row r="2009">
          <cell r="L2009">
            <v>0</v>
          </cell>
          <cell r="M2009" t="str">
            <v>SSP21</v>
          </cell>
        </row>
        <row r="2010">
          <cell r="L2010">
            <v>0</v>
          </cell>
          <cell r="M2010" t="str">
            <v>SSP21</v>
          </cell>
        </row>
        <row r="2011">
          <cell r="L2011">
            <v>0</v>
          </cell>
          <cell r="M2011" t="str">
            <v>SSP12</v>
          </cell>
        </row>
        <row r="2012">
          <cell r="L2012">
            <v>0</v>
          </cell>
          <cell r="M2012" t="str">
            <v>SSP22</v>
          </cell>
        </row>
        <row r="2013">
          <cell r="L2013" t="e">
            <v>#N/A</v>
          </cell>
          <cell r="M2013" t="str">
            <v>SSP8</v>
          </cell>
        </row>
        <row r="2014">
          <cell r="L2014">
            <v>0</v>
          </cell>
          <cell r="M2014" t="str">
            <v>SES1</v>
          </cell>
        </row>
        <row r="2015">
          <cell r="L2015">
            <v>0</v>
          </cell>
          <cell r="M2015" t="str">
            <v>SPR2</v>
          </cell>
        </row>
        <row r="2016">
          <cell r="L2016">
            <v>0</v>
          </cell>
          <cell r="M2016" t="str">
            <v>SPR2</v>
          </cell>
        </row>
        <row r="2017">
          <cell r="L2017">
            <v>0</v>
          </cell>
          <cell r="M2017" t="str">
            <v>SSP20</v>
          </cell>
        </row>
        <row r="2018">
          <cell r="L2018">
            <v>0</v>
          </cell>
          <cell r="M2018" t="str">
            <v>SSP20</v>
          </cell>
        </row>
        <row r="2019">
          <cell r="L2019">
            <v>0</v>
          </cell>
          <cell r="M2019" t="str">
            <v>BRRC01</v>
          </cell>
        </row>
        <row r="2020">
          <cell r="L2020">
            <v>0</v>
          </cell>
          <cell r="M2020" t="str">
            <v>BRRC01</v>
          </cell>
        </row>
        <row r="2021">
          <cell r="L2021" t="e">
            <v>#N/A</v>
          </cell>
          <cell r="M2021" t="str">
            <v>SRS10</v>
          </cell>
        </row>
        <row r="2022">
          <cell r="L2022" t="e">
            <v>#N/A</v>
          </cell>
          <cell r="M2022" t="str">
            <v>SRS10</v>
          </cell>
        </row>
        <row r="2023">
          <cell r="L2023" t="e">
            <v>#N/A</v>
          </cell>
          <cell r="M2023" t="str">
            <v>SRS10</v>
          </cell>
        </row>
        <row r="2024">
          <cell r="L2024">
            <v>0</v>
          </cell>
          <cell r="M2024" t="str">
            <v>SSP24</v>
          </cell>
        </row>
        <row r="2025">
          <cell r="L2025">
            <v>0</v>
          </cell>
          <cell r="M2025" t="str">
            <v>SDF1</v>
          </cell>
        </row>
        <row r="2026">
          <cell r="L2026">
            <v>0</v>
          </cell>
          <cell r="M2026" t="str">
            <v>SSC5</v>
          </cell>
        </row>
        <row r="2027">
          <cell r="L2027">
            <v>0</v>
          </cell>
          <cell r="M2027" t="str">
            <v>SMG5</v>
          </cell>
        </row>
        <row r="2028">
          <cell r="L2028">
            <v>0</v>
          </cell>
          <cell r="M2028" t="str">
            <v>SES1</v>
          </cell>
        </row>
        <row r="2029">
          <cell r="L2029" t="e">
            <v>#N/A</v>
          </cell>
          <cell r="M2029" t="str">
            <v>SRS8</v>
          </cell>
        </row>
        <row r="2030">
          <cell r="L2030" t="e">
            <v>#N/A</v>
          </cell>
          <cell r="M2030" t="str">
            <v>SSP8</v>
          </cell>
        </row>
        <row r="2031">
          <cell r="L2031" t="e">
            <v>#N/A</v>
          </cell>
          <cell r="M2031" t="str">
            <v>FMS09</v>
          </cell>
        </row>
        <row r="2032">
          <cell r="L2032">
            <v>0</v>
          </cell>
          <cell r="M2032" t="str">
            <v>SSP26</v>
          </cell>
        </row>
        <row r="2033">
          <cell r="L2033" t="e">
            <v>#N/A</v>
          </cell>
          <cell r="M2033" t="str">
            <v>LHS BR</v>
          </cell>
        </row>
        <row r="2034">
          <cell r="L2034" t="e">
            <v>#N/A</v>
          </cell>
          <cell r="M2034" t="str">
            <v>LHS BR</v>
          </cell>
        </row>
        <row r="2035">
          <cell r="L2035" t="e">
            <v>#N/A</v>
          </cell>
          <cell r="M2035" t="str">
            <v>LHS BR</v>
          </cell>
        </row>
        <row r="2036">
          <cell r="L2036" t="e">
            <v>#N/A</v>
          </cell>
          <cell r="M2036" t="str">
            <v>LHS BR</v>
          </cell>
        </row>
        <row r="2037">
          <cell r="L2037" t="e">
            <v>#N/A</v>
          </cell>
          <cell r="M2037" t="str">
            <v>LHS BR</v>
          </cell>
        </row>
        <row r="2038">
          <cell r="L2038" t="e">
            <v>#N/A</v>
          </cell>
          <cell r="M2038" t="str">
            <v>LHS BR</v>
          </cell>
        </row>
        <row r="2039">
          <cell r="L2039" t="e">
            <v>#N/A</v>
          </cell>
          <cell r="M2039" t="str">
            <v>MM04</v>
          </cell>
        </row>
        <row r="2040">
          <cell r="L2040">
            <v>0</v>
          </cell>
          <cell r="M2040" t="str">
            <v>SPR1</v>
          </cell>
        </row>
        <row r="2041">
          <cell r="L2041" t="e">
            <v>#N/A</v>
          </cell>
          <cell r="M2041" t="str">
            <v>OXXO1</v>
          </cell>
        </row>
        <row r="2042">
          <cell r="L2042" t="e">
            <v>#N/A</v>
          </cell>
          <cell r="M2042" t="str">
            <v>PTL01</v>
          </cell>
        </row>
        <row r="2043">
          <cell r="L2043" t="e">
            <v>#N/A</v>
          </cell>
          <cell r="M2043" t="str">
            <v>PTL01</v>
          </cell>
        </row>
        <row r="2044">
          <cell r="L2044" t="e">
            <v>#N/A</v>
          </cell>
          <cell r="M2044" t="str">
            <v>PTL02</v>
          </cell>
        </row>
        <row r="2045">
          <cell r="L2045" t="e">
            <v>#N/A</v>
          </cell>
          <cell r="M2045">
            <v>0</v>
          </cell>
        </row>
        <row r="2046">
          <cell r="L2046">
            <v>0</v>
          </cell>
          <cell r="M2046" t="str">
            <v>SSP3</v>
          </cell>
        </row>
        <row r="2047">
          <cell r="L2047">
            <v>0</v>
          </cell>
          <cell r="M2047" t="str">
            <v>SSP3</v>
          </cell>
        </row>
        <row r="2048">
          <cell r="L2048">
            <v>0</v>
          </cell>
          <cell r="M2048" t="str">
            <v>SSP3</v>
          </cell>
        </row>
        <row r="2049">
          <cell r="L2049">
            <v>0</v>
          </cell>
          <cell r="M2049" t="str">
            <v>SSP3</v>
          </cell>
        </row>
        <row r="2050">
          <cell r="L2050">
            <v>0</v>
          </cell>
          <cell r="M2050" t="str">
            <v>SSP17</v>
          </cell>
        </row>
        <row r="2051">
          <cell r="K2051" t="str">
            <v>Desmobilizado</v>
          </cell>
          <cell r="L2051">
            <v>45846</v>
          </cell>
          <cell r="M2051" t="str">
            <v>SSP17</v>
          </cell>
        </row>
        <row r="2052">
          <cell r="L2052" t="e">
            <v>#N/A</v>
          </cell>
          <cell r="M2052" t="str">
            <v>SSP17</v>
          </cell>
        </row>
        <row r="2053">
          <cell r="L2053" t="e">
            <v>#N/A</v>
          </cell>
          <cell r="M2053" t="str">
            <v>SSP5</v>
          </cell>
        </row>
        <row r="2054">
          <cell r="L2054">
            <v>0</v>
          </cell>
          <cell r="M2054" t="str">
            <v>SSP25</v>
          </cell>
        </row>
        <row r="2055">
          <cell r="L2055">
            <v>0</v>
          </cell>
          <cell r="M2055" t="str">
            <v>SSP25</v>
          </cell>
        </row>
        <row r="2056">
          <cell r="L2056">
            <v>0</v>
          </cell>
          <cell r="M2056" t="str">
            <v>SSP25</v>
          </cell>
        </row>
        <row r="2057">
          <cell r="L2057" t="e">
            <v>#N/A</v>
          </cell>
          <cell r="M2057" t="str">
            <v>SSP25</v>
          </cell>
        </row>
        <row r="2058">
          <cell r="L2058">
            <v>0</v>
          </cell>
          <cell r="M2058" t="str">
            <v>SSP25</v>
          </cell>
        </row>
        <row r="2059">
          <cell r="L2059">
            <v>0</v>
          </cell>
          <cell r="M2059" t="str">
            <v>SSP25</v>
          </cell>
        </row>
        <row r="2060">
          <cell r="L2060" t="e">
            <v>#N/A</v>
          </cell>
          <cell r="M2060" t="str">
            <v>SSP5</v>
          </cell>
        </row>
        <row r="2061">
          <cell r="L2061">
            <v>0</v>
          </cell>
          <cell r="M2061" t="str">
            <v>SBA1</v>
          </cell>
        </row>
        <row r="2062">
          <cell r="L2062">
            <v>0</v>
          </cell>
          <cell r="M2062" t="str">
            <v>SBA1</v>
          </cell>
        </row>
        <row r="2063">
          <cell r="L2063">
            <v>0</v>
          </cell>
          <cell r="M2063" t="str">
            <v>SBA1</v>
          </cell>
        </row>
        <row r="2064">
          <cell r="L2064">
            <v>0</v>
          </cell>
          <cell r="M2064" t="str">
            <v>SBA1</v>
          </cell>
        </row>
        <row r="2065">
          <cell r="L2065">
            <v>0</v>
          </cell>
          <cell r="M2065" t="str">
            <v>SBA1</v>
          </cell>
        </row>
        <row r="2066">
          <cell r="L2066">
            <v>0</v>
          </cell>
          <cell r="M2066" t="str">
            <v>SBA1</v>
          </cell>
        </row>
        <row r="2067">
          <cell r="L2067">
            <v>0</v>
          </cell>
          <cell r="M2067" t="str">
            <v>SBA1</v>
          </cell>
        </row>
        <row r="2068">
          <cell r="L2068">
            <v>0</v>
          </cell>
          <cell r="M2068" t="str">
            <v>SBA1</v>
          </cell>
        </row>
        <row r="2069">
          <cell r="L2069">
            <v>0</v>
          </cell>
          <cell r="M2069" t="str">
            <v>SBA1</v>
          </cell>
        </row>
        <row r="2070">
          <cell r="L2070">
            <v>0</v>
          </cell>
          <cell r="M2070" t="str">
            <v>SBA1</v>
          </cell>
        </row>
        <row r="2071">
          <cell r="L2071">
            <v>0</v>
          </cell>
          <cell r="M2071" t="str">
            <v>SBA1</v>
          </cell>
        </row>
        <row r="2072">
          <cell r="L2072">
            <v>0</v>
          </cell>
          <cell r="M2072" t="str">
            <v>SBA1</v>
          </cell>
        </row>
        <row r="2073">
          <cell r="L2073" t="e">
            <v>#N/A</v>
          </cell>
          <cell r="M2073" t="str">
            <v>SPA1</v>
          </cell>
        </row>
        <row r="2074">
          <cell r="L2074" t="e">
            <v>#N/A</v>
          </cell>
          <cell r="M2074" t="str">
            <v>SSC3</v>
          </cell>
        </row>
        <row r="2075">
          <cell r="L2075">
            <v>0</v>
          </cell>
          <cell r="M2075" t="str">
            <v>SDF1</v>
          </cell>
        </row>
        <row r="2076">
          <cell r="L2076">
            <v>0</v>
          </cell>
          <cell r="M2076" t="str">
            <v>SDF1</v>
          </cell>
        </row>
        <row r="2077">
          <cell r="L2077">
            <v>0</v>
          </cell>
          <cell r="M2077" t="str">
            <v>SDF1</v>
          </cell>
        </row>
        <row r="2078">
          <cell r="L2078">
            <v>0</v>
          </cell>
          <cell r="M2078" t="str">
            <v>SDF1</v>
          </cell>
        </row>
        <row r="2079">
          <cell r="L2079">
            <v>0</v>
          </cell>
          <cell r="M2079" t="str">
            <v>SDF1</v>
          </cell>
        </row>
        <row r="2080">
          <cell r="L2080">
            <v>0</v>
          </cell>
          <cell r="M2080" t="str">
            <v>SDF1</v>
          </cell>
        </row>
        <row r="2081">
          <cell r="L2081">
            <v>0</v>
          </cell>
          <cell r="M2081" t="str">
            <v>SDF1</v>
          </cell>
        </row>
        <row r="2082">
          <cell r="L2082">
            <v>0</v>
          </cell>
          <cell r="M2082" t="str">
            <v>SDF1</v>
          </cell>
        </row>
        <row r="2083">
          <cell r="L2083">
            <v>0</v>
          </cell>
          <cell r="M2083" t="str">
            <v>SDF1</v>
          </cell>
        </row>
        <row r="2084">
          <cell r="L2084">
            <v>0</v>
          </cell>
          <cell r="M2084" t="str">
            <v>SPR3</v>
          </cell>
        </row>
        <row r="2085">
          <cell r="L2085">
            <v>0</v>
          </cell>
          <cell r="M2085" t="str">
            <v>SPR3</v>
          </cell>
        </row>
        <row r="2086">
          <cell r="L2086">
            <v>0</v>
          </cell>
          <cell r="M2086" t="str">
            <v>SPR4</v>
          </cell>
        </row>
        <row r="2087">
          <cell r="L2087" t="e">
            <v>#N/A</v>
          </cell>
          <cell r="M2087" t="str">
            <v>SSP16</v>
          </cell>
        </row>
        <row r="2088">
          <cell r="L2088">
            <v>0</v>
          </cell>
          <cell r="M2088" t="str">
            <v>SSP30</v>
          </cell>
        </row>
        <row r="2089">
          <cell r="L2089" t="e">
            <v>#N/A</v>
          </cell>
          <cell r="M2089" t="str">
            <v>SPR4</v>
          </cell>
        </row>
        <row r="2090">
          <cell r="L2090">
            <v>0</v>
          </cell>
          <cell r="M2090" t="str">
            <v>SPR5</v>
          </cell>
        </row>
        <row r="2091">
          <cell r="L2091">
            <v>0</v>
          </cell>
          <cell r="M2091" t="str">
            <v>SSP34</v>
          </cell>
        </row>
        <row r="2092">
          <cell r="L2092" t="e">
            <v>#N/A</v>
          </cell>
          <cell r="M2092" t="str">
            <v>SSC5</v>
          </cell>
        </row>
        <row r="2093">
          <cell r="L2093">
            <v>0</v>
          </cell>
          <cell r="M2093" t="str">
            <v>SSC5</v>
          </cell>
        </row>
        <row r="2094">
          <cell r="L2094">
            <v>0</v>
          </cell>
          <cell r="M2094" t="str">
            <v>SSC5</v>
          </cell>
        </row>
        <row r="2095">
          <cell r="L2095">
            <v>0</v>
          </cell>
          <cell r="M2095" t="str">
            <v>SSC5</v>
          </cell>
        </row>
        <row r="2096">
          <cell r="L2096">
            <v>0</v>
          </cell>
          <cell r="M2096" t="str">
            <v>SSC5</v>
          </cell>
        </row>
        <row r="2097">
          <cell r="L2097">
            <v>0</v>
          </cell>
          <cell r="M2097" t="str">
            <v>SSC5</v>
          </cell>
        </row>
        <row r="2098">
          <cell r="L2098">
            <v>0</v>
          </cell>
          <cell r="M2098" t="str">
            <v>SSC5</v>
          </cell>
        </row>
        <row r="2099">
          <cell r="L2099">
            <v>0</v>
          </cell>
          <cell r="M2099" t="str">
            <v>SMR1</v>
          </cell>
        </row>
        <row r="2100">
          <cell r="K2100" t="str">
            <v>Desmobilizado</v>
          </cell>
          <cell r="L2100">
            <v>45810</v>
          </cell>
          <cell r="M2100" t="str">
            <v>SMR1</v>
          </cell>
        </row>
        <row r="2101">
          <cell r="L2101">
            <v>0</v>
          </cell>
          <cell r="M2101" t="str">
            <v>SMR1</v>
          </cell>
        </row>
        <row r="2102">
          <cell r="L2102" t="e">
            <v>#N/A</v>
          </cell>
          <cell r="M2102" t="str">
            <v>SPR5</v>
          </cell>
        </row>
        <row r="2103">
          <cell r="L2103" t="e">
            <v>#N/A</v>
          </cell>
          <cell r="M2103" t="str">
            <v>SPR5</v>
          </cell>
        </row>
        <row r="2104">
          <cell r="L2104" t="e">
            <v>#N/A</v>
          </cell>
          <cell r="M2104" t="str">
            <v>SPR6</v>
          </cell>
        </row>
        <row r="2105">
          <cell r="L2105" t="e">
            <v>#N/A</v>
          </cell>
          <cell r="M2105" t="str">
            <v>SPR7</v>
          </cell>
        </row>
        <row r="2106">
          <cell r="L2106" t="e">
            <v>#N/A</v>
          </cell>
          <cell r="M2106" t="str">
            <v>SPR7</v>
          </cell>
        </row>
        <row r="2107">
          <cell r="L2107">
            <v>0</v>
          </cell>
          <cell r="M2107" t="str">
            <v>SSC2</v>
          </cell>
        </row>
        <row r="2108">
          <cell r="L2108">
            <v>0</v>
          </cell>
          <cell r="M2108" t="str">
            <v>SSC2</v>
          </cell>
        </row>
        <row r="2109">
          <cell r="L2109">
            <v>0</v>
          </cell>
          <cell r="M2109" t="str">
            <v>SSC2</v>
          </cell>
        </row>
        <row r="2110">
          <cell r="L2110">
            <v>0</v>
          </cell>
          <cell r="M2110" t="str">
            <v>SSC2</v>
          </cell>
        </row>
        <row r="2111">
          <cell r="L2111">
            <v>0</v>
          </cell>
          <cell r="M2111" t="str">
            <v>SSC2</v>
          </cell>
        </row>
        <row r="2112">
          <cell r="L2112">
            <v>0</v>
          </cell>
          <cell r="M2112" t="str">
            <v>SSC2</v>
          </cell>
        </row>
        <row r="2113">
          <cell r="L2113">
            <v>0</v>
          </cell>
          <cell r="M2113" t="str">
            <v>SSC2</v>
          </cell>
        </row>
        <row r="2114">
          <cell r="L2114">
            <v>0</v>
          </cell>
          <cell r="M2114" t="str">
            <v>SCE1</v>
          </cell>
        </row>
        <row r="2115">
          <cell r="L2115">
            <v>0</v>
          </cell>
          <cell r="M2115" t="str">
            <v>SSP26</v>
          </cell>
        </row>
        <row r="2116">
          <cell r="L2116">
            <v>0</v>
          </cell>
          <cell r="M2116" t="str">
            <v>SSP26</v>
          </cell>
        </row>
        <row r="2117">
          <cell r="L2117">
            <v>0</v>
          </cell>
          <cell r="M2117" t="str">
            <v>SSP26</v>
          </cell>
        </row>
        <row r="2118">
          <cell r="L2118">
            <v>0</v>
          </cell>
          <cell r="M2118">
            <v>0</v>
          </cell>
        </row>
        <row r="2119">
          <cell r="L2119">
            <v>0</v>
          </cell>
          <cell r="M2119" t="str">
            <v>SSP26</v>
          </cell>
        </row>
        <row r="2120">
          <cell r="L2120">
            <v>0</v>
          </cell>
          <cell r="M2120" t="str">
            <v>SSP26</v>
          </cell>
        </row>
        <row r="2121">
          <cell r="L2121">
            <v>0</v>
          </cell>
          <cell r="M2121" t="str">
            <v>BRRC01</v>
          </cell>
        </row>
        <row r="2122">
          <cell r="L2122">
            <v>0</v>
          </cell>
          <cell r="M2122" t="str">
            <v>BRRC01</v>
          </cell>
        </row>
        <row r="2123">
          <cell r="L2123">
            <v>0</v>
          </cell>
          <cell r="M2123" t="str">
            <v>BRRC01</v>
          </cell>
        </row>
        <row r="2124">
          <cell r="L2124">
            <v>0</v>
          </cell>
          <cell r="M2124" t="str">
            <v>BRRC01</v>
          </cell>
        </row>
        <row r="2125">
          <cell r="L2125">
            <v>0</v>
          </cell>
          <cell r="M2125" t="str">
            <v>BRRC01</v>
          </cell>
        </row>
        <row r="2126">
          <cell r="L2126">
            <v>0</v>
          </cell>
          <cell r="M2126" t="str">
            <v>BRRC01</v>
          </cell>
        </row>
        <row r="2127">
          <cell r="L2127">
            <v>0</v>
          </cell>
          <cell r="M2127" t="str">
            <v>SGO1</v>
          </cell>
        </row>
        <row r="2128">
          <cell r="L2128">
            <v>0</v>
          </cell>
          <cell r="M2128" t="str">
            <v>SGO1</v>
          </cell>
        </row>
        <row r="2129">
          <cell r="L2129">
            <v>0</v>
          </cell>
          <cell r="M2129" t="str">
            <v>SGO1</v>
          </cell>
        </row>
        <row r="2130">
          <cell r="L2130">
            <v>0</v>
          </cell>
          <cell r="M2130" t="str">
            <v>SGO1</v>
          </cell>
        </row>
        <row r="2131">
          <cell r="L2131">
            <v>0</v>
          </cell>
          <cell r="M2131" t="str">
            <v>SGO1</v>
          </cell>
        </row>
        <row r="2132">
          <cell r="L2132">
            <v>0</v>
          </cell>
          <cell r="M2132" t="str">
            <v>SGO1</v>
          </cell>
        </row>
        <row r="2133">
          <cell r="L2133" t="e">
            <v>#N/A</v>
          </cell>
          <cell r="M2133" t="str">
            <v>EPR6</v>
          </cell>
        </row>
        <row r="2134">
          <cell r="L2134" t="e">
            <v>#N/A</v>
          </cell>
          <cell r="M2134" t="str">
            <v>EMS4</v>
          </cell>
        </row>
        <row r="2135">
          <cell r="L2135">
            <v>0</v>
          </cell>
          <cell r="M2135" t="str">
            <v>SRS10</v>
          </cell>
        </row>
        <row r="2136">
          <cell r="L2136">
            <v>0</v>
          </cell>
          <cell r="M2136" t="str">
            <v>SRS10</v>
          </cell>
        </row>
        <row r="2137">
          <cell r="K2137" t="str">
            <v>Desmobilizado</v>
          </cell>
          <cell r="L2137">
            <v>45876</v>
          </cell>
          <cell r="M2137" t="str">
            <v>SPR8</v>
          </cell>
        </row>
        <row r="2138">
          <cell r="K2138" t="str">
            <v>Desmobilizado</v>
          </cell>
          <cell r="L2138">
            <v>45881</v>
          </cell>
          <cell r="M2138" t="str">
            <v>SPR8</v>
          </cell>
        </row>
        <row r="2139">
          <cell r="L2139">
            <v>0</v>
          </cell>
          <cell r="M2139" t="str">
            <v>SSP13</v>
          </cell>
        </row>
        <row r="2140">
          <cell r="L2140">
            <v>0</v>
          </cell>
          <cell r="M2140" t="str">
            <v>SSP13</v>
          </cell>
        </row>
        <row r="2141">
          <cell r="L2141">
            <v>0</v>
          </cell>
          <cell r="M2141" t="str">
            <v>SSP13</v>
          </cell>
        </row>
        <row r="2142">
          <cell r="L2142">
            <v>0</v>
          </cell>
          <cell r="M2142" t="str">
            <v>SSP13</v>
          </cell>
        </row>
        <row r="2143">
          <cell r="L2143">
            <v>0</v>
          </cell>
          <cell r="M2143" t="str">
            <v>SSP13</v>
          </cell>
        </row>
        <row r="2144">
          <cell r="L2144">
            <v>0</v>
          </cell>
          <cell r="M2144" t="str">
            <v>SSP13</v>
          </cell>
        </row>
        <row r="2145">
          <cell r="L2145">
            <v>0</v>
          </cell>
          <cell r="M2145" t="str">
            <v>SSP30</v>
          </cell>
        </row>
        <row r="2146">
          <cell r="L2146">
            <v>0</v>
          </cell>
          <cell r="M2146" t="str">
            <v>SSP30</v>
          </cell>
        </row>
        <row r="2147">
          <cell r="L2147">
            <v>0</v>
          </cell>
          <cell r="M2147" t="str">
            <v>SSP30</v>
          </cell>
        </row>
        <row r="2148">
          <cell r="L2148">
            <v>0</v>
          </cell>
          <cell r="M2148" t="str">
            <v>SSP21</v>
          </cell>
        </row>
        <row r="2149">
          <cell r="L2149">
            <v>0</v>
          </cell>
          <cell r="M2149" t="str">
            <v>SSP21</v>
          </cell>
        </row>
        <row r="2150">
          <cell r="L2150">
            <v>0</v>
          </cell>
          <cell r="M2150" t="str">
            <v>SSP21</v>
          </cell>
        </row>
        <row r="2151">
          <cell r="L2151">
            <v>0</v>
          </cell>
          <cell r="M2151" t="str">
            <v>SSP21</v>
          </cell>
        </row>
        <row r="2152">
          <cell r="L2152">
            <v>0</v>
          </cell>
          <cell r="M2152" t="str">
            <v>SSP21</v>
          </cell>
        </row>
        <row r="2153">
          <cell r="L2153">
            <v>0</v>
          </cell>
          <cell r="M2153" t="str">
            <v>SSP21</v>
          </cell>
        </row>
        <row r="2154">
          <cell r="L2154">
            <v>0</v>
          </cell>
          <cell r="M2154" t="str">
            <v>SSP21</v>
          </cell>
        </row>
        <row r="2155">
          <cell r="L2155">
            <v>0</v>
          </cell>
          <cell r="M2155" t="str">
            <v>SSP21</v>
          </cell>
        </row>
        <row r="2156">
          <cell r="L2156">
            <v>0</v>
          </cell>
          <cell r="M2156" t="str">
            <v>SSP21</v>
          </cell>
        </row>
        <row r="2157">
          <cell r="L2157">
            <v>0</v>
          </cell>
          <cell r="M2157" t="str">
            <v>SSP21</v>
          </cell>
        </row>
        <row r="2158">
          <cell r="L2158">
            <v>0</v>
          </cell>
          <cell r="M2158" t="str">
            <v>SSP21</v>
          </cell>
        </row>
        <row r="2159">
          <cell r="L2159">
            <v>0</v>
          </cell>
          <cell r="M2159" t="str">
            <v>SSP21</v>
          </cell>
        </row>
        <row r="2160">
          <cell r="L2160">
            <v>0</v>
          </cell>
          <cell r="M2160" t="str">
            <v>SSP21</v>
          </cell>
        </row>
        <row r="2161">
          <cell r="L2161">
            <v>0</v>
          </cell>
          <cell r="M2161" t="str">
            <v>SSP21</v>
          </cell>
        </row>
        <row r="2162">
          <cell r="L2162">
            <v>0</v>
          </cell>
          <cell r="M2162" t="str">
            <v>SSP21</v>
          </cell>
        </row>
        <row r="2163">
          <cell r="L2163">
            <v>0</v>
          </cell>
          <cell r="M2163" t="str">
            <v>SSP21</v>
          </cell>
        </row>
        <row r="2164">
          <cell r="L2164" t="e">
            <v>#N/A</v>
          </cell>
          <cell r="M2164" t="str">
            <v>SMG14</v>
          </cell>
        </row>
        <row r="2165">
          <cell r="L2165" t="e">
            <v>#N/A</v>
          </cell>
          <cell r="M2165" t="str">
            <v>SMG14</v>
          </cell>
        </row>
        <row r="2166">
          <cell r="L2166" t="e">
            <v>#N/A</v>
          </cell>
          <cell r="M2166" t="str">
            <v>SMG14</v>
          </cell>
        </row>
        <row r="2167">
          <cell r="L2167" t="e">
            <v>#N/A</v>
          </cell>
          <cell r="M2167" t="str">
            <v>SMG14</v>
          </cell>
        </row>
        <row r="2168">
          <cell r="L2168" t="e">
            <v>#N/A</v>
          </cell>
          <cell r="M2168" t="str">
            <v>SRS5</v>
          </cell>
        </row>
        <row r="2169">
          <cell r="L2169" t="e">
            <v>#N/A</v>
          </cell>
          <cell r="M2169" t="str">
            <v>SMG5</v>
          </cell>
        </row>
        <row r="2170">
          <cell r="L2170">
            <v>0</v>
          </cell>
          <cell r="M2170" t="str">
            <v>SMG5</v>
          </cell>
        </row>
        <row r="2171">
          <cell r="L2171">
            <v>0</v>
          </cell>
          <cell r="M2171" t="str">
            <v>SMG5</v>
          </cell>
        </row>
        <row r="2172">
          <cell r="L2172">
            <v>0</v>
          </cell>
          <cell r="M2172" t="str">
            <v>SMG5</v>
          </cell>
        </row>
        <row r="2173">
          <cell r="L2173">
            <v>0</v>
          </cell>
          <cell r="M2173" t="str">
            <v>SMG5</v>
          </cell>
        </row>
        <row r="2174">
          <cell r="L2174" t="e">
            <v>#N/A</v>
          </cell>
          <cell r="M2174" t="str">
            <v>SPR8</v>
          </cell>
        </row>
        <row r="2175">
          <cell r="L2175" t="e">
            <v>#N/A</v>
          </cell>
          <cell r="M2175" t="str">
            <v>SPR8</v>
          </cell>
        </row>
        <row r="2176">
          <cell r="L2176">
            <v>0</v>
          </cell>
          <cell r="M2176" t="str">
            <v>SRS1</v>
          </cell>
        </row>
        <row r="2177">
          <cell r="L2177">
            <v>0</v>
          </cell>
          <cell r="M2177" t="str">
            <v>SRS1</v>
          </cell>
        </row>
        <row r="2178">
          <cell r="L2178">
            <v>0</v>
          </cell>
          <cell r="M2178" t="str">
            <v>SRS1</v>
          </cell>
        </row>
        <row r="2179">
          <cell r="L2179">
            <v>0</v>
          </cell>
          <cell r="M2179" t="str">
            <v>SSP4</v>
          </cell>
        </row>
        <row r="2180">
          <cell r="L2180">
            <v>0</v>
          </cell>
          <cell r="M2180" t="str">
            <v>SSP4</v>
          </cell>
        </row>
        <row r="2181">
          <cell r="L2181" t="e">
            <v>#N/A</v>
          </cell>
          <cell r="M2181" t="str">
            <v>SSP4</v>
          </cell>
        </row>
        <row r="2182">
          <cell r="L2182" t="e">
            <v>#N/A</v>
          </cell>
          <cell r="M2182" t="str">
            <v>SSP4</v>
          </cell>
        </row>
        <row r="2183">
          <cell r="L2183">
            <v>0</v>
          </cell>
          <cell r="M2183" t="str">
            <v>SSP4</v>
          </cell>
        </row>
        <row r="2184">
          <cell r="L2184">
            <v>0</v>
          </cell>
          <cell r="M2184" t="str">
            <v>SSP4</v>
          </cell>
        </row>
        <row r="2185">
          <cell r="L2185">
            <v>0</v>
          </cell>
          <cell r="M2185" t="str">
            <v>SSP4</v>
          </cell>
        </row>
        <row r="2186">
          <cell r="L2186">
            <v>0</v>
          </cell>
          <cell r="M2186" t="str">
            <v>SSP4</v>
          </cell>
        </row>
        <row r="2187">
          <cell r="L2187">
            <v>0</v>
          </cell>
          <cell r="M2187" t="str">
            <v>SSP4</v>
          </cell>
        </row>
        <row r="2188">
          <cell r="L2188">
            <v>0</v>
          </cell>
          <cell r="M2188" t="str">
            <v>SSP4</v>
          </cell>
        </row>
        <row r="2189">
          <cell r="L2189">
            <v>0</v>
          </cell>
          <cell r="M2189" t="str">
            <v>SSP4</v>
          </cell>
        </row>
        <row r="2190">
          <cell r="L2190">
            <v>0</v>
          </cell>
          <cell r="M2190" t="str">
            <v>SSP4</v>
          </cell>
        </row>
        <row r="2191">
          <cell r="L2191">
            <v>0</v>
          </cell>
          <cell r="M2191" t="str">
            <v>SSP4</v>
          </cell>
        </row>
        <row r="2192">
          <cell r="L2192">
            <v>0</v>
          </cell>
          <cell r="M2192" t="str">
            <v>SSP4</v>
          </cell>
        </row>
        <row r="2193">
          <cell r="L2193">
            <v>0</v>
          </cell>
          <cell r="M2193" t="str">
            <v>SSP4</v>
          </cell>
        </row>
        <row r="2194">
          <cell r="L2194">
            <v>0</v>
          </cell>
          <cell r="M2194" t="str">
            <v>SSP4</v>
          </cell>
        </row>
        <row r="2195">
          <cell r="L2195">
            <v>0</v>
          </cell>
          <cell r="M2195" t="str">
            <v>SSP4</v>
          </cell>
        </row>
        <row r="2196">
          <cell r="L2196">
            <v>0</v>
          </cell>
          <cell r="M2196" t="str">
            <v>SSP4</v>
          </cell>
        </row>
        <row r="2197">
          <cell r="L2197">
            <v>0</v>
          </cell>
          <cell r="M2197" t="str">
            <v>SSP4</v>
          </cell>
        </row>
        <row r="2198">
          <cell r="L2198">
            <v>0</v>
          </cell>
          <cell r="M2198" t="str">
            <v>SSP4</v>
          </cell>
        </row>
        <row r="2199">
          <cell r="L2199">
            <v>0</v>
          </cell>
          <cell r="M2199" t="str">
            <v>SSP4</v>
          </cell>
        </row>
        <row r="2200">
          <cell r="L2200">
            <v>0</v>
          </cell>
          <cell r="M2200" t="str">
            <v>SSP4</v>
          </cell>
        </row>
        <row r="2201">
          <cell r="L2201">
            <v>0</v>
          </cell>
          <cell r="M2201" t="str">
            <v>SSP15</v>
          </cell>
        </row>
        <row r="2202">
          <cell r="L2202">
            <v>0</v>
          </cell>
          <cell r="M2202" t="str">
            <v>SSP15</v>
          </cell>
        </row>
        <row r="2203">
          <cell r="L2203">
            <v>0</v>
          </cell>
          <cell r="M2203" t="str">
            <v>SSP15</v>
          </cell>
        </row>
        <row r="2204">
          <cell r="L2204">
            <v>0</v>
          </cell>
          <cell r="M2204" t="str">
            <v>SSP15</v>
          </cell>
        </row>
        <row r="2205">
          <cell r="L2205">
            <v>0</v>
          </cell>
          <cell r="M2205" t="str">
            <v>SSP22</v>
          </cell>
        </row>
        <row r="2206">
          <cell r="L2206" t="e">
            <v>#N/A</v>
          </cell>
          <cell r="M2206" t="str">
            <v>SSP34</v>
          </cell>
        </row>
        <row r="2207">
          <cell r="L2207">
            <v>0</v>
          </cell>
          <cell r="M2207" t="str">
            <v>SSP8</v>
          </cell>
        </row>
        <row r="2208">
          <cell r="L2208" t="e">
            <v>#N/A</v>
          </cell>
          <cell r="M2208" t="str">
            <v>PTL07</v>
          </cell>
        </row>
        <row r="2209">
          <cell r="L2209">
            <v>0</v>
          </cell>
          <cell r="M2209" t="str">
            <v>SRS8</v>
          </cell>
        </row>
        <row r="2210">
          <cell r="L2210">
            <v>0</v>
          </cell>
          <cell r="M2210" t="str">
            <v>SSP5</v>
          </cell>
        </row>
        <row r="2211">
          <cell r="L2211">
            <v>0</v>
          </cell>
          <cell r="M2211" t="str">
            <v>SRS8</v>
          </cell>
        </row>
        <row r="2212">
          <cell r="L2212" t="e">
            <v>#N/A</v>
          </cell>
          <cell r="M2212" t="str">
            <v>SRS1</v>
          </cell>
        </row>
        <row r="2213">
          <cell r="L2213">
            <v>0</v>
          </cell>
          <cell r="M2213" t="str">
            <v>SSP12</v>
          </cell>
        </row>
        <row r="2214">
          <cell r="L2214">
            <v>0</v>
          </cell>
          <cell r="M2214" t="str">
            <v>SSP12</v>
          </cell>
        </row>
        <row r="2215">
          <cell r="L2215">
            <v>0</v>
          </cell>
          <cell r="M2215" t="str">
            <v>SSP12</v>
          </cell>
        </row>
        <row r="2216">
          <cell r="L2216">
            <v>0</v>
          </cell>
          <cell r="M2216" t="str">
            <v>SSP12</v>
          </cell>
        </row>
        <row r="2217">
          <cell r="L2217">
            <v>0</v>
          </cell>
          <cell r="M2217" t="str">
            <v>SSP20</v>
          </cell>
        </row>
        <row r="2218">
          <cell r="L2218">
            <v>0</v>
          </cell>
          <cell r="M2218" t="str">
            <v>SSP20</v>
          </cell>
        </row>
        <row r="2219">
          <cell r="L2219">
            <v>0</v>
          </cell>
          <cell r="M2219" t="str">
            <v>SSP20</v>
          </cell>
        </row>
        <row r="2220">
          <cell r="L2220">
            <v>0</v>
          </cell>
          <cell r="M2220" t="str">
            <v>SSP20</v>
          </cell>
        </row>
        <row r="2221">
          <cell r="L2221">
            <v>0</v>
          </cell>
          <cell r="M2221" t="str">
            <v>SSP20</v>
          </cell>
        </row>
        <row r="2222">
          <cell r="L2222">
            <v>0</v>
          </cell>
          <cell r="M2222" t="str">
            <v>SSP20</v>
          </cell>
        </row>
        <row r="2223">
          <cell r="L2223">
            <v>0</v>
          </cell>
          <cell r="M2223" t="str">
            <v>SSP20</v>
          </cell>
        </row>
        <row r="2224">
          <cell r="L2224">
            <v>0</v>
          </cell>
          <cell r="M2224" t="str">
            <v>SSP20</v>
          </cell>
        </row>
        <row r="2225">
          <cell r="L2225">
            <v>0</v>
          </cell>
          <cell r="M2225" t="str">
            <v>SSP20</v>
          </cell>
        </row>
        <row r="2226">
          <cell r="L2226">
            <v>0</v>
          </cell>
          <cell r="M2226" t="str">
            <v>SSP20</v>
          </cell>
        </row>
        <row r="2227">
          <cell r="L2227">
            <v>0</v>
          </cell>
          <cell r="M2227" t="str">
            <v>SSP20</v>
          </cell>
        </row>
        <row r="2228">
          <cell r="L2228">
            <v>0</v>
          </cell>
          <cell r="M2228" t="str">
            <v>SSP20</v>
          </cell>
        </row>
        <row r="2229">
          <cell r="L2229">
            <v>0</v>
          </cell>
          <cell r="M2229" t="str">
            <v>SSP20</v>
          </cell>
        </row>
        <row r="2230">
          <cell r="L2230">
            <v>0</v>
          </cell>
          <cell r="M2230" t="str">
            <v>SSP20</v>
          </cell>
        </row>
        <row r="2231">
          <cell r="L2231">
            <v>0</v>
          </cell>
          <cell r="M2231" t="str">
            <v>SSP20</v>
          </cell>
        </row>
        <row r="2232">
          <cell r="L2232">
            <v>0</v>
          </cell>
          <cell r="M2232" t="str">
            <v>SSP20</v>
          </cell>
        </row>
        <row r="2233">
          <cell r="L2233">
            <v>0</v>
          </cell>
          <cell r="M2233" t="str">
            <v>SSP20</v>
          </cell>
        </row>
        <row r="2234">
          <cell r="L2234">
            <v>0</v>
          </cell>
          <cell r="M2234" t="str">
            <v>SSP20</v>
          </cell>
        </row>
        <row r="2235">
          <cell r="L2235">
            <v>0</v>
          </cell>
          <cell r="M2235" t="str">
            <v>SSP20</v>
          </cell>
        </row>
        <row r="2236">
          <cell r="L2236">
            <v>0</v>
          </cell>
          <cell r="M2236" t="str">
            <v>SSP20</v>
          </cell>
        </row>
        <row r="2237">
          <cell r="L2237">
            <v>0</v>
          </cell>
          <cell r="M2237" t="str">
            <v>SES1</v>
          </cell>
        </row>
        <row r="2238">
          <cell r="L2238">
            <v>0</v>
          </cell>
          <cell r="M2238" t="str">
            <v>SC_ZS</v>
          </cell>
        </row>
        <row r="2239">
          <cell r="L2239">
            <v>0</v>
          </cell>
          <cell r="M2239" t="str">
            <v>SC_ZS</v>
          </cell>
        </row>
        <row r="2240">
          <cell r="L2240">
            <v>0</v>
          </cell>
          <cell r="M2240" t="str">
            <v>SC_ZS</v>
          </cell>
        </row>
        <row r="2241">
          <cell r="L2241">
            <v>0</v>
          </cell>
          <cell r="M2241" t="str">
            <v>SC_ZS</v>
          </cell>
        </row>
        <row r="2242">
          <cell r="L2242">
            <v>0</v>
          </cell>
          <cell r="M2242" t="str">
            <v>SC_ZS</v>
          </cell>
        </row>
        <row r="2243">
          <cell r="L2243">
            <v>0</v>
          </cell>
          <cell r="M2243" t="str">
            <v>SC_ZS</v>
          </cell>
        </row>
        <row r="2244">
          <cell r="L2244">
            <v>0</v>
          </cell>
          <cell r="M2244" t="str">
            <v>SC_ZS</v>
          </cell>
        </row>
        <row r="2245">
          <cell r="L2245">
            <v>0</v>
          </cell>
          <cell r="M2245" t="str">
            <v>SC_ZS</v>
          </cell>
        </row>
        <row r="2246">
          <cell r="L2246">
            <v>0</v>
          </cell>
          <cell r="M2246" t="str">
            <v>SC_ZS</v>
          </cell>
        </row>
        <row r="2247">
          <cell r="L2247">
            <v>0</v>
          </cell>
          <cell r="M2247" t="str">
            <v>SMR2</v>
          </cell>
        </row>
        <row r="2248">
          <cell r="L2248" t="e">
            <v>#N/A</v>
          </cell>
          <cell r="M2248" t="str">
            <v>SMR2</v>
          </cell>
        </row>
        <row r="2249">
          <cell r="L2249" t="e">
            <v>#N/A</v>
          </cell>
          <cell r="M2249" t="str">
            <v>SMR2</v>
          </cell>
        </row>
        <row r="2250">
          <cell r="L2250">
            <v>0</v>
          </cell>
          <cell r="M2250" t="str">
            <v>SMR2</v>
          </cell>
        </row>
        <row r="2251">
          <cell r="L2251" t="e">
            <v>#N/A</v>
          </cell>
          <cell r="M2251" t="str">
            <v>SMR2</v>
          </cell>
        </row>
        <row r="2252">
          <cell r="L2252">
            <v>0</v>
          </cell>
          <cell r="M2252" t="str">
            <v>SMR2</v>
          </cell>
        </row>
        <row r="2253">
          <cell r="L2253" t="e">
            <v>#N/A</v>
          </cell>
          <cell r="M2253" t="str">
            <v>EMN3</v>
          </cell>
        </row>
        <row r="2254">
          <cell r="L2254" t="e">
            <v>#N/A</v>
          </cell>
          <cell r="M2254" t="str">
            <v>SPR8</v>
          </cell>
        </row>
        <row r="2255">
          <cell r="L2255" t="e">
            <v>#N/A</v>
          </cell>
          <cell r="M2255" t="str">
            <v>SPR8</v>
          </cell>
        </row>
        <row r="2256">
          <cell r="L2256" t="e">
            <v>#N/A</v>
          </cell>
          <cell r="M2256" t="str">
            <v>EPR9</v>
          </cell>
        </row>
        <row r="2257">
          <cell r="L2257" t="e">
            <v>#N/A</v>
          </cell>
          <cell r="M2257" t="str">
            <v>EPR6</v>
          </cell>
        </row>
        <row r="2258">
          <cell r="L2258" t="e">
            <v>#N/A</v>
          </cell>
          <cell r="M2258" t="str">
            <v>EPR6</v>
          </cell>
        </row>
        <row r="2259">
          <cell r="L2259" t="e">
            <v>#N/A</v>
          </cell>
          <cell r="M2259" t="str">
            <v>EPR6</v>
          </cell>
        </row>
        <row r="2260">
          <cell r="L2260" t="e">
            <v>#N/A</v>
          </cell>
          <cell r="M2260" t="str">
            <v>EPR6</v>
          </cell>
        </row>
        <row r="2261">
          <cell r="L2261" t="e">
            <v>#N/A</v>
          </cell>
          <cell r="M2261" t="str">
            <v>EPR13</v>
          </cell>
        </row>
        <row r="2262">
          <cell r="L2262" t="e">
            <v>#N/A</v>
          </cell>
          <cell r="M2262" t="str">
            <v>EPR6</v>
          </cell>
        </row>
        <row r="2263">
          <cell r="L2263" t="e">
            <v>#N/A</v>
          </cell>
          <cell r="M2263" t="str">
            <v>EPR6</v>
          </cell>
        </row>
        <row r="2264">
          <cell r="L2264">
            <v>0</v>
          </cell>
          <cell r="M2264" t="str">
            <v>EMS4</v>
          </cell>
        </row>
        <row r="2265">
          <cell r="L2265" t="e">
            <v>#N/A</v>
          </cell>
          <cell r="M2265" t="str">
            <v>EPR6</v>
          </cell>
        </row>
        <row r="2266">
          <cell r="K2266" t="str">
            <v>Verificar</v>
          </cell>
          <cell r="L2266" t="e">
            <v>#N/A</v>
          </cell>
          <cell r="M2266" t="e">
            <v>#N/A</v>
          </cell>
        </row>
        <row r="2267">
          <cell r="K2267" t="str">
            <v>Verificar</v>
          </cell>
          <cell r="L2267" t="e">
            <v>#N/A</v>
          </cell>
          <cell r="M2267" t="e">
            <v>#N/A</v>
          </cell>
        </row>
        <row r="2268">
          <cell r="K2268" t="str">
            <v>Verificar</v>
          </cell>
          <cell r="L2268" t="e">
            <v>#N/A</v>
          </cell>
          <cell r="M2268" t="e">
            <v>#N/A</v>
          </cell>
        </row>
        <row r="2269">
          <cell r="L2269" t="e">
            <v>#N/A</v>
          </cell>
          <cell r="M2269" t="str">
            <v>SSP6</v>
          </cell>
        </row>
        <row r="2270">
          <cell r="K2270" t="str">
            <v>Verificar</v>
          </cell>
          <cell r="L2270" t="e">
            <v>#N/A</v>
          </cell>
          <cell r="M2270" t="e">
            <v>#N/A</v>
          </cell>
        </row>
        <row r="2271">
          <cell r="K2271" t="str">
            <v>Verificar</v>
          </cell>
          <cell r="L2271" t="e">
            <v>#N/A</v>
          </cell>
          <cell r="M2271" t="e">
            <v>#N/A</v>
          </cell>
        </row>
        <row r="2272">
          <cell r="C2272" t="str">
            <v>9BFYEA5VXCBL04529</v>
          </cell>
          <cell r="D2272">
            <v>462021351</v>
          </cell>
          <cell r="E2272" t="str">
            <v>São Paulo</v>
          </cell>
          <cell r="F2272" t="str">
            <v>SP</v>
          </cell>
          <cell r="G2272" t="str">
            <v>VERMELHA</v>
          </cell>
          <cell r="H2272" t="str">
            <v>SC TRLHM13 (XPT BRASILIANDIA) SSP5_ESP13</v>
          </cell>
          <cell r="I2272" t="str">
            <v>Murici</v>
          </cell>
          <cell r="K2272" t="str">
            <v>Ativo</v>
          </cell>
          <cell r="L2272">
            <v>45925</v>
          </cell>
          <cell r="M2272" t="str">
            <v>SSP5</v>
          </cell>
        </row>
        <row r="2273">
          <cell r="I2273" t="str">
            <v>Murici</v>
          </cell>
          <cell r="K2273" t="str">
            <v>Ativo</v>
          </cell>
          <cell r="L2273">
            <v>45925</v>
          </cell>
          <cell r="M2273" t="str">
            <v>SPR8</v>
          </cell>
        </row>
        <row r="2274">
          <cell r="C2274" t="str">
            <v>9BD2651PFS9297551</v>
          </cell>
          <cell r="D2274">
            <v>1447036120</v>
          </cell>
          <cell r="E2274" t="str">
            <v>São Paulo</v>
          </cell>
          <cell r="F2274" t="str">
            <v>SP</v>
          </cell>
          <cell r="G2274" t="str">
            <v>BRANCA</v>
          </cell>
          <cell r="H2274" t="str">
            <v>XPT (ANAPOLIS) EGO4/SGO1</v>
          </cell>
          <cell r="I2274" t="str">
            <v>Murici</v>
          </cell>
          <cell r="K2274" t="str">
            <v>Ativo</v>
          </cell>
          <cell r="L2274">
            <v>45925</v>
          </cell>
          <cell r="M2274" t="str">
            <v>EGO04</v>
          </cell>
        </row>
        <row r="2275">
          <cell r="E2275" t="str">
            <v>São Paulo</v>
          </cell>
          <cell r="F2275" t="str">
            <v>SP</v>
          </cell>
          <cell r="G2275" t="str">
            <v>BRANCA</v>
          </cell>
          <cell r="H2275" t="str">
            <v>PTL02 BELEM (SEMANAL)</v>
          </cell>
          <cell r="I2275" t="str">
            <v>Murici</v>
          </cell>
          <cell r="K2275" t="str">
            <v>Ativo</v>
          </cell>
          <cell r="L2275">
            <v>45925</v>
          </cell>
          <cell r="M2275" t="str">
            <v>PTL02</v>
          </cell>
        </row>
        <row r="2276">
          <cell r="C2276" t="str">
            <v>9BD2651PFT9310887</v>
          </cell>
          <cell r="E2276" t="str">
            <v>São Paulo</v>
          </cell>
          <cell r="F2276" t="str">
            <v>SP</v>
          </cell>
          <cell r="K2276" t="str">
            <v>Ativo</v>
          </cell>
        </row>
        <row r="2277">
          <cell r="C2277" t="str">
            <v>9BD2651PFT9310891</v>
          </cell>
          <cell r="E2277" t="str">
            <v>São Paulo</v>
          </cell>
          <cell r="F2277" t="str">
            <v>SP</v>
          </cell>
          <cell r="K2277" t="str">
            <v>Ativo</v>
          </cell>
        </row>
        <row r="2278">
          <cell r="C2278" t="str">
            <v>9BD2651PFT9310900</v>
          </cell>
          <cell r="E2278" t="str">
            <v>São Paulo</v>
          </cell>
          <cell r="F2278" t="str">
            <v>SP</v>
          </cell>
          <cell r="K2278" t="str">
            <v>Ativo</v>
          </cell>
        </row>
        <row r="2279">
          <cell r="C2279" t="str">
            <v>9BD2651PFT9310897</v>
          </cell>
          <cell r="E2279" t="str">
            <v>São Paulo</v>
          </cell>
          <cell r="F2279" t="str">
            <v>SP</v>
          </cell>
          <cell r="K2279" t="str">
            <v>Ativo</v>
          </cell>
        </row>
        <row r="2280">
          <cell r="C2280" t="str">
            <v>9BD2651PFT9310908</v>
          </cell>
          <cell r="E2280" t="str">
            <v>São Paulo</v>
          </cell>
          <cell r="F2280" t="str">
            <v>SP</v>
          </cell>
          <cell r="K2280" t="str">
            <v>Ativo</v>
          </cell>
        </row>
        <row r="2281">
          <cell r="C2281" t="str">
            <v>9BD255049D8968970</v>
          </cell>
          <cell r="E2281" t="str">
            <v>São Paulo</v>
          </cell>
          <cell r="F2281" t="str">
            <v>SP</v>
          </cell>
          <cell r="H2281" t="str">
            <v>SC (PORTO ALEGRE) SRS1</v>
          </cell>
          <cell r="I2281" t="str">
            <v>Murici</v>
          </cell>
          <cell r="K2281" t="str">
            <v>Ativo</v>
          </cell>
        </row>
        <row r="2282">
          <cell r="C2282" t="str">
            <v>9BD2651PFT9310890</v>
          </cell>
          <cell r="E2282" t="str">
            <v>São Paulo</v>
          </cell>
          <cell r="F2282" t="str">
            <v>SP</v>
          </cell>
          <cell r="K2282" t="str">
            <v>Ativo</v>
          </cell>
        </row>
        <row r="2284">
          <cell r="E2284" t="str">
            <v>São Paulo</v>
          </cell>
          <cell r="F2284" t="str">
            <v>SP</v>
          </cell>
          <cell r="K2284" t="str">
            <v>Ativo</v>
          </cell>
          <cell r="M2284" t="str">
            <v>PTL01</v>
          </cell>
        </row>
        <row r="2285">
          <cell r="E2285" t="str">
            <v>São Paulo</v>
          </cell>
          <cell r="F2285" t="str">
            <v>SP</v>
          </cell>
          <cell r="K2285" t="str">
            <v>Ativo</v>
          </cell>
          <cell r="M2285" t="str">
            <v>PTL01</v>
          </cell>
        </row>
        <row r="2286">
          <cell r="H2286" t="str">
            <v>XPT (MANOEL RIBAS) EPR13/SPR5</v>
          </cell>
        </row>
        <row r="2287">
          <cell r="E2287" t="str">
            <v>São Paulo</v>
          </cell>
          <cell r="F2287" t="str">
            <v>SP</v>
          </cell>
          <cell r="H2287" t="str">
            <v>SC (SAO CARLOS) SSP22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gerio Souza Gonçalves" id="{689C0346-1115-4ECE-97F6-8810E632D727}" userId="S::RogerioSouzaGoncalves@Art22.onmicrosoft.com::a631f771-03b6-47a6-b883-09e0fd0b776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05T14:08:14.15" personId="{689C0346-1115-4ECE-97F6-8810E632D727}" id="{7C8518A7-4B3D-4665-9CC9-82C0158C5541}">
    <text xml:space="preserve">Breve Relato sobre o serviço solicitado!
</text>
  </threadedComment>
  <threadedComment ref="H1" dT="2025-09-05T14:06:11.44" personId="{689C0346-1115-4ECE-97F6-8810E632D727}" id="{4CDB53EA-6377-4580-8EC7-638D6C163F9F}">
    <text xml:space="preserve">Apenas para descrever se e Manutenção ou Sinistro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1D10-A39B-4C4B-A2DB-183A6E0F7C56}">
  <dimension ref="A1:W792"/>
  <sheetViews>
    <sheetView tabSelected="1" topLeftCell="E1" workbookViewId="0">
      <selection activeCell="E1" sqref="A1:XFD1048576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43.7109375" bestFit="1" customWidth="1"/>
    <col min="4" max="4" width="15.42578125" bestFit="1" customWidth="1"/>
    <col min="5" max="5" width="255.7109375" bestFit="1" customWidth="1"/>
    <col min="6" max="6" width="10.85546875" bestFit="1" customWidth="1"/>
    <col min="7" max="7" width="15.7109375" bestFit="1" customWidth="1"/>
    <col min="8" max="8" width="21.85546875" bestFit="1" customWidth="1"/>
    <col min="9" max="9" width="19.7109375" bestFit="1" customWidth="1"/>
    <col min="10" max="10" width="15.28515625" bestFit="1" customWidth="1"/>
    <col min="11" max="11" width="23.28515625" bestFit="1" customWidth="1"/>
    <col min="12" max="12" width="17.5703125" bestFit="1" customWidth="1"/>
    <col min="13" max="13" width="15.42578125" bestFit="1" customWidth="1"/>
    <col min="14" max="14" width="17.42578125" bestFit="1" customWidth="1"/>
    <col min="15" max="15" width="15.42578125" bestFit="1" customWidth="1"/>
    <col min="16" max="16" width="29.28515625" bestFit="1" customWidth="1"/>
    <col min="17" max="17" width="10.5703125" bestFit="1" customWidth="1"/>
    <col min="18" max="18" width="9.5703125" bestFit="1" customWidth="1"/>
    <col min="19" max="19" width="15.140625" bestFit="1" customWidth="1"/>
    <col min="20" max="20" width="53.7109375" bestFit="1" customWidth="1"/>
    <col min="21" max="21" width="27.28515625" bestFit="1" customWidth="1"/>
    <col min="22" max="22" width="7.85546875" bestFit="1" customWidth="1"/>
    <col min="23" max="23" width="37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5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x14ac:dyDescent="0.25">
      <c r="A2" s="8" t="s">
        <v>23</v>
      </c>
      <c r="B2" s="8" t="str">
        <f>A2&amp;Q2</f>
        <v>STU8B2845919</v>
      </c>
      <c r="C2" s="9" t="s">
        <v>24</v>
      </c>
      <c r="D2" s="10">
        <v>35410.421000000002</v>
      </c>
      <c r="E2" s="11" t="s">
        <v>25</v>
      </c>
      <c r="F2" s="12">
        <v>45910</v>
      </c>
      <c r="G2" s="13" t="s">
        <v>26</v>
      </c>
      <c r="H2" s="10" t="s">
        <v>27</v>
      </c>
      <c r="I2" s="14" t="s">
        <v>28</v>
      </c>
      <c r="J2" s="14" t="s">
        <v>29</v>
      </c>
      <c r="K2" s="15"/>
      <c r="L2" s="15"/>
      <c r="M2" s="16" t="e">
        <f>VLOOKUP(A2,'[1]Base Cadastro '!C:O,13,FALSE)</f>
        <v>#N/A</v>
      </c>
      <c r="N2" s="8" t="s">
        <v>30</v>
      </c>
      <c r="O2" s="8" t="s">
        <v>31</v>
      </c>
      <c r="P2" s="17">
        <v>45924</v>
      </c>
      <c r="Q2" s="18">
        <v>45919</v>
      </c>
      <c r="R2" s="9">
        <v>9</v>
      </c>
      <c r="S2" s="8" t="s">
        <v>32</v>
      </c>
      <c r="T2" s="8" t="s">
        <v>33</v>
      </c>
      <c r="U2" s="8" t="s">
        <v>34</v>
      </c>
      <c r="V2" s="8" t="s">
        <v>35</v>
      </c>
      <c r="W2" s="19"/>
    </row>
    <row r="3" spans="1:23" x14ac:dyDescent="0.25">
      <c r="A3" s="8" t="s">
        <v>36</v>
      </c>
      <c r="B3" s="8" t="str">
        <f t="shared" ref="B3:B66" si="0">A3&amp;Q3</f>
        <v>RUM2B6445922</v>
      </c>
      <c r="C3" s="9" t="s">
        <v>37</v>
      </c>
      <c r="D3" s="10">
        <v>0</v>
      </c>
      <c r="E3" s="11" t="s">
        <v>38</v>
      </c>
      <c r="F3" s="12">
        <v>45912</v>
      </c>
      <c r="G3" s="13" t="s">
        <v>39</v>
      </c>
      <c r="H3" s="10" t="s">
        <v>27</v>
      </c>
      <c r="I3" s="14" t="s">
        <v>28</v>
      </c>
      <c r="J3" s="14" t="s">
        <v>29</v>
      </c>
      <c r="K3" s="15"/>
      <c r="L3" s="15"/>
      <c r="M3" s="16" t="e">
        <f>VLOOKUP(A3,'[1]Base Cadastro '!C:O,13,FALSE)</f>
        <v>#N/A</v>
      </c>
      <c r="N3" s="8" t="s">
        <v>30</v>
      </c>
      <c r="O3" s="8" t="s">
        <v>40</v>
      </c>
      <c r="P3" s="17">
        <v>45924</v>
      </c>
      <c r="Q3" s="18">
        <v>45922</v>
      </c>
      <c r="R3" s="9">
        <v>10</v>
      </c>
      <c r="S3" s="8" t="s">
        <v>32</v>
      </c>
      <c r="T3" s="8" t="s">
        <v>41</v>
      </c>
      <c r="U3" s="8" t="s">
        <v>42</v>
      </c>
      <c r="V3" s="8" t="s">
        <v>35</v>
      </c>
      <c r="W3" s="19"/>
    </row>
    <row r="4" spans="1:23" x14ac:dyDescent="0.25">
      <c r="A4" s="8" t="s">
        <v>43</v>
      </c>
      <c r="B4" s="8" t="str">
        <f t="shared" si="0"/>
        <v>RVB8A6845919</v>
      </c>
      <c r="C4" s="9" t="s">
        <v>44</v>
      </c>
      <c r="D4" s="10">
        <v>109052.003</v>
      </c>
      <c r="E4" s="11" t="s">
        <v>45</v>
      </c>
      <c r="F4" s="12">
        <v>45881</v>
      </c>
      <c r="G4" s="13" t="s">
        <v>26</v>
      </c>
      <c r="H4" s="10" t="s">
        <v>27</v>
      </c>
      <c r="I4" s="14" t="s">
        <v>28</v>
      </c>
      <c r="J4" s="14" t="s">
        <v>29</v>
      </c>
      <c r="K4" s="15"/>
      <c r="L4" s="15"/>
      <c r="M4" s="16" t="e">
        <f>VLOOKUP(A4,'[1]Base Cadastro '!C:O,13,FALSE)</f>
        <v>#N/A</v>
      </c>
      <c r="N4" s="8" t="s">
        <v>30</v>
      </c>
      <c r="O4" s="8" t="s">
        <v>40</v>
      </c>
      <c r="P4" s="17">
        <v>45924</v>
      </c>
      <c r="Q4" s="18">
        <v>45919</v>
      </c>
      <c r="R4" s="9">
        <v>38</v>
      </c>
      <c r="S4" s="8" t="s">
        <v>32</v>
      </c>
      <c r="T4" s="8" t="s">
        <v>46</v>
      </c>
      <c r="U4" s="8" t="s">
        <v>47</v>
      </c>
      <c r="V4" s="8" t="s">
        <v>48</v>
      </c>
      <c r="W4" s="19"/>
    </row>
    <row r="5" spans="1:23" x14ac:dyDescent="0.25">
      <c r="A5" s="8" t="s">
        <v>49</v>
      </c>
      <c r="B5" s="8" t="str">
        <f t="shared" si="0"/>
        <v>SDP9J2045919</v>
      </c>
      <c r="C5" s="9" t="s">
        <v>50</v>
      </c>
      <c r="D5" s="10"/>
      <c r="E5" s="11" t="s">
        <v>51</v>
      </c>
      <c r="F5" s="12">
        <v>45906</v>
      </c>
      <c r="G5" s="13" t="s">
        <v>39</v>
      </c>
      <c r="H5" s="10" t="s">
        <v>52</v>
      </c>
      <c r="I5" s="14" t="s">
        <v>28</v>
      </c>
      <c r="J5" s="14" t="s">
        <v>29</v>
      </c>
      <c r="K5" s="15"/>
      <c r="L5" s="15"/>
      <c r="M5" s="16" t="e">
        <f>VLOOKUP(A5,'[1]Base Cadastro '!C:O,13,FALSE)</f>
        <v>#N/A</v>
      </c>
      <c r="N5" s="8" t="s">
        <v>30</v>
      </c>
      <c r="O5" s="8" t="s">
        <v>40</v>
      </c>
      <c r="P5" s="17">
        <v>45924</v>
      </c>
      <c r="Q5" s="18">
        <v>45919</v>
      </c>
      <c r="R5" s="9">
        <v>13</v>
      </c>
      <c r="S5" s="8" t="s">
        <v>32</v>
      </c>
      <c r="T5" s="8" t="s">
        <v>53</v>
      </c>
      <c r="U5" s="8" t="s">
        <v>54</v>
      </c>
      <c r="V5" s="8" t="s">
        <v>35</v>
      </c>
      <c r="W5" s="19"/>
    </row>
    <row r="6" spans="1:23" x14ac:dyDescent="0.25">
      <c r="A6" s="8" t="s">
        <v>55</v>
      </c>
      <c r="B6" s="8" t="str">
        <f t="shared" si="0"/>
        <v>RHV8D3745919</v>
      </c>
      <c r="C6" s="9" t="s">
        <v>56</v>
      </c>
      <c r="D6" s="10">
        <v>38033</v>
      </c>
      <c r="E6" s="11" t="s">
        <v>57</v>
      </c>
      <c r="F6" s="12">
        <v>45895</v>
      </c>
      <c r="G6" s="13" t="s">
        <v>26</v>
      </c>
      <c r="H6" s="10" t="s">
        <v>27</v>
      </c>
      <c r="I6" s="14" t="s">
        <v>28</v>
      </c>
      <c r="J6" s="14" t="s">
        <v>29</v>
      </c>
      <c r="K6" s="15"/>
      <c r="L6" s="15"/>
      <c r="M6" s="16" t="e">
        <f>VLOOKUP(A6,'[1]Base Cadastro '!C:O,13,FALSE)</f>
        <v>#N/A</v>
      </c>
      <c r="N6" s="8" t="s">
        <v>30</v>
      </c>
      <c r="O6" s="8" t="s">
        <v>40</v>
      </c>
      <c r="P6" s="17">
        <v>45924</v>
      </c>
      <c r="Q6" s="18">
        <v>45919</v>
      </c>
      <c r="R6" s="9">
        <v>24</v>
      </c>
      <c r="S6" s="8" t="s">
        <v>32</v>
      </c>
      <c r="T6" s="8" t="s">
        <v>58</v>
      </c>
      <c r="U6" s="8" t="s">
        <v>59</v>
      </c>
      <c r="V6" s="8" t="s">
        <v>48</v>
      </c>
      <c r="W6" s="19"/>
    </row>
    <row r="7" spans="1:23" x14ac:dyDescent="0.25">
      <c r="A7" s="8" t="s">
        <v>60</v>
      </c>
      <c r="B7" s="8" t="str">
        <f t="shared" si="0"/>
        <v>RUO6B0245922</v>
      </c>
      <c r="C7" s="9" t="s">
        <v>37</v>
      </c>
      <c r="D7" s="10"/>
      <c r="E7" s="11" t="s">
        <v>61</v>
      </c>
      <c r="F7" s="12">
        <v>45908</v>
      </c>
      <c r="G7" s="13" t="s">
        <v>39</v>
      </c>
      <c r="H7" s="10" t="s">
        <v>27</v>
      </c>
      <c r="I7" s="14" t="s">
        <v>28</v>
      </c>
      <c r="J7" s="14" t="s">
        <v>29</v>
      </c>
      <c r="K7" s="15"/>
      <c r="L7" s="15"/>
      <c r="M7" s="16" t="e">
        <f>VLOOKUP(A7,'[1]Base Cadastro '!C:O,13,FALSE)</f>
        <v>#N/A</v>
      </c>
      <c r="N7" s="8" t="s">
        <v>30</v>
      </c>
      <c r="O7" s="8" t="s">
        <v>40</v>
      </c>
      <c r="P7" s="17">
        <v>45924</v>
      </c>
      <c r="Q7" s="18">
        <v>45922</v>
      </c>
      <c r="R7" s="9">
        <v>14</v>
      </c>
      <c r="S7" s="8" t="s">
        <v>32</v>
      </c>
      <c r="T7" s="8" t="s">
        <v>62</v>
      </c>
      <c r="U7" s="8" t="s">
        <v>63</v>
      </c>
      <c r="V7" s="8" t="s">
        <v>35</v>
      </c>
      <c r="W7" s="19"/>
    </row>
    <row r="8" spans="1:23" x14ac:dyDescent="0.25">
      <c r="A8" s="8" t="s">
        <v>64</v>
      </c>
      <c r="B8" s="8" t="str">
        <f t="shared" si="0"/>
        <v>SDT9F9745922</v>
      </c>
      <c r="C8" s="9" t="s">
        <v>50</v>
      </c>
      <c r="D8" s="10">
        <v>29453</v>
      </c>
      <c r="E8" s="11" t="s">
        <v>65</v>
      </c>
      <c r="F8" s="12">
        <v>45905</v>
      </c>
      <c r="G8" s="13" t="s">
        <v>39</v>
      </c>
      <c r="H8" s="10" t="s">
        <v>27</v>
      </c>
      <c r="I8" s="14" t="s">
        <v>28</v>
      </c>
      <c r="J8" s="14" t="s">
        <v>29</v>
      </c>
      <c r="K8" s="15"/>
      <c r="L8" s="15"/>
      <c r="M8" s="16" t="e">
        <f>VLOOKUP(A8,'[1]Base Cadastro '!C:O,13,FALSE)</f>
        <v>#N/A</v>
      </c>
      <c r="N8" s="8" t="s">
        <v>30</v>
      </c>
      <c r="O8" s="8" t="s">
        <v>40</v>
      </c>
      <c r="P8" s="17">
        <v>45924</v>
      </c>
      <c r="Q8" s="18">
        <v>45922</v>
      </c>
      <c r="R8" s="9">
        <v>17</v>
      </c>
      <c r="S8" s="8" t="s">
        <v>32</v>
      </c>
      <c r="T8" s="8" t="s">
        <v>66</v>
      </c>
      <c r="U8" s="8" t="s">
        <v>67</v>
      </c>
      <c r="V8" s="8" t="s">
        <v>35</v>
      </c>
      <c r="W8" s="19"/>
    </row>
    <row r="9" spans="1:23" x14ac:dyDescent="0.25">
      <c r="A9" s="8" t="s">
        <v>68</v>
      </c>
      <c r="B9" s="8" t="str">
        <f t="shared" si="0"/>
        <v>SGH9G3345919</v>
      </c>
      <c r="C9" s="9" t="s">
        <v>69</v>
      </c>
      <c r="D9" s="10"/>
      <c r="E9" s="11" t="s">
        <v>70</v>
      </c>
      <c r="F9" s="12">
        <v>45912</v>
      </c>
      <c r="G9" s="13" t="s">
        <v>39</v>
      </c>
      <c r="H9" s="10" t="s">
        <v>27</v>
      </c>
      <c r="I9" s="14" t="s">
        <v>28</v>
      </c>
      <c r="J9" s="14" t="s">
        <v>29</v>
      </c>
      <c r="K9" s="15"/>
      <c r="L9" s="15"/>
      <c r="M9" s="16" t="e">
        <f>VLOOKUP(A9,'[1]Base Cadastro '!C:O,13,FALSE)</f>
        <v>#N/A</v>
      </c>
      <c r="N9" s="8" t="s">
        <v>30</v>
      </c>
      <c r="O9" s="8" t="s">
        <v>40</v>
      </c>
      <c r="P9" s="17">
        <v>45924</v>
      </c>
      <c r="Q9" s="18">
        <v>45919</v>
      </c>
      <c r="R9" s="9">
        <v>7</v>
      </c>
      <c r="S9" s="8" t="s">
        <v>32</v>
      </c>
      <c r="T9" s="8" t="s">
        <v>41</v>
      </c>
      <c r="U9" s="8" t="s">
        <v>42</v>
      </c>
      <c r="V9" s="8" t="s">
        <v>35</v>
      </c>
      <c r="W9" s="19"/>
    </row>
    <row r="10" spans="1:23" x14ac:dyDescent="0.25">
      <c r="A10" s="8" t="s">
        <v>71</v>
      </c>
      <c r="B10" s="8" t="str">
        <f t="shared" si="0"/>
        <v>RNJ9C9745919</v>
      </c>
      <c r="C10" s="9" t="s">
        <v>72</v>
      </c>
      <c r="D10" s="10">
        <v>1521700</v>
      </c>
      <c r="E10" s="11" t="s">
        <v>73</v>
      </c>
      <c r="F10" s="12">
        <v>45916</v>
      </c>
      <c r="G10" s="13" t="s">
        <v>26</v>
      </c>
      <c r="H10" s="10" t="s">
        <v>27</v>
      </c>
      <c r="I10" s="14" t="s">
        <v>28</v>
      </c>
      <c r="J10" s="14" t="s">
        <v>29</v>
      </c>
      <c r="K10" s="15"/>
      <c r="L10" s="15"/>
      <c r="M10" s="16" t="e">
        <f>VLOOKUP(A10,'[1]Base Cadastro '!C:O,13,FALSE)</f>
        <v>#N/A</v>
      </c>
      <c r="N10" s="8" t="s">
        <v>30</v>
      </c>
      <c r="O10" s="8" t="s">
        <v>40</v>
      </c>
      <c r="P10" s="17">
        <v>45924</v>
      </c>
      <c r="Q10" s="18">
        <v>45919</v>
      </c>
      <c r="R10" s="9">
        <v>3</v>
      </c>
      <c r="S10" s="8" t="s">
        <v>32</v>
      </c>
      <c r="T10" s="8" t="s">
        <v>74</v>
      </c>
      <c r="U10" s="8" t="s">
        <v>75</v>
      </c>
      <c r="V10" s="8" t="s">
        <v>35</v>
      </c>
      <c r="W10" s="19"/>
    </row>
    <row r="11" spans="1:23" x14ac:dyDescent="0.25">
      <c r="A11" s="8" t="s">
        <v>76</v>
      </c>
      <c r="B11" s="8" t="str">
        <f t="shared" si="0"/>
        <v>RUM2B2545922</v>
      </c>
      <c r="C11" s="9" t="s">
        <v>37</v>
      </c>
      <c r="D11" s="10"/>
      <c r="E11" s="11" t="s">
        <v>77</v>
      </c>
      <c r="F11" s="12">
        <v>45914</v>
      </c>
      <c r="G11" s="13" t="s">
        <v>39</v>
      </c>
      <c r="H11" s="10" t="s">
        <v>27</v>
      </c>
      <c r="I11" s="14" t="s">
        <v>28</v>
      </c>
      <c r="J11" s="14" t="s">
        <v>29</v>
      </c>
      <c r="K11" s="15"/>
      <c r="L11" s="15"/>
      <c r="M11" s="16" t="e">
        <f>VLOOKUP(A11,'[1]Base Cadastro '!C:O,13,FALSE)</f>
        <v>#N/A</v>
      </c>
      <c r="N11" s="8" t="s">
        <v>30</v>
      </c>
      <c r="O11" s="8" t="s">
        <v>40</v>
      </c>
      <c r="P11" s="17">
        <v>45924</v>
      </c>
      <c r="Q11" s="18">
        <v>45922</v>
      </c>
      <c r="R11" s="9">
        <v>8</v>
      </c>
      <c r="S11" s="8" t="s">
        <v>32</v>
      </c>
      <c r="T11" s="8" t="s">
        <v>41</v>
      </c>
      <c r="U11" s="8" t="s">
        <v>42</v>
      </c>
      <c r="V11" s="8" t="s">
        <v>35</v>
      </c>
      <c r="W11" s="19"/>
    </row>
    <row r="12" spans="1:23" x14ac:dyDescent="0.25">
      <c r="A12" s="8" t="s">
        <v>78</v>
      </c>
      <c r="B12" s="8" t="str">
        <f t="shared" si="0"/>
        <v>EOA8G9345919</v>
      </c>
      <c r="C12" s="9" t="s">
        <v>79</v>
      </c>
      <c r="D12" s="10">
        <v>76689</v>
      </c>
      <c r="E12" s="11" t="s">
        <v>80</v>
      </c>
      <c r="F12" s="12">
        <v>45841</v>
      </c>
      <c r="G12" s="13" t="s">
        <v>39</v>
      </c>
      <c r="H12" s="10" t="s">
        <v>27</v>
      </c>
      <c r="I12" s="14" t="s">
        <v>28</v>
      </c>
      <c r="J12" s="14" t="s">
        <v>29</v>
      </c>
      <c r="K12" s="15"/>
      <c r="L12" s="15"/>
      <c r="M12" s="16" t="e">
        <f>VLOOKUP(A12,'[1]Base Cadastro '!C:O,13,FALSE)</f>
        <v>#N/A</v>
      </c>
      <c r="N12" s="8" t="s">
        <v>30</v>
      </c>
      <c r="O12" s="8" t="s">
        <v>40</v>
      </c>
      <c r="P12" s="17">
        <v>45924</v>
      </c>
      <c r="Q12" s="18">
        <v>45919</v>
      </c>
      <c r="R12" s="9">
        <v>78</v>
      </c>
      <c r="S12" s="8" t="s">
        <v>32</v>
      </c>
      <c r="T12" s="8" t="s">
        <v>81</v>
      </c>
      <c r="U12" s="8" t="s">
        <v>82</v>
      </c>
      <c r="V12" s="8" t="s">
        <v>83</v>
      </c>
      <c r="W12" s="19"/>
    </row>
    <row r="13" spans="1:23" x14ac:dyDescent="0.25">
      <c r="A13" s="8" t="s">
        <v>84</v>
      </c>
      <c r="B13" s="8" t="str">
        <f t="shared" si="0"/>
        <v>RTM6B4745919</v>
      </c>
      <c r="C13" s="9" t="s">
        <v>72</v>
      </c>
      <c r="D13" s="10">
        <v>10000</v>
      </c>
      <c r="E13" s="11" t="s">
        <v>85</v>
      </c>
      <c r="F13" s="12">
        <v>45913</v>
      </c>
      <c r="G13" s="13" t="s">
        <v>39</v>
      </c>
      <c r="H13" s="10" t="s">
        <v>27</v>
      </c>
      <c r="I13" s="14" t="s">
        <v>28</v>
      </c>
      <c r="J13" s="14" t="s">
        <v>29</v>
      </c>
      <c r="K13" s="15"/>
      <c r="L13" s="15"/>
      <c r="M13" s="16" t="e">
        <f>VLOOKUP(A13,'[1]Base Cadastro '!C:O,13,FALSE)</f>
        <v>#N/A</v>
      </c>
      <c r="N13" s="8" t="s">
        <v>30</v>
      </c>
      <c r="O13" s="8" t="s">
        <v>40</v>
      </c>
      <c r="P13" s="17" t="s">
        <v>86</v>
      </c>
      <c r="Q13" s="18">
        <v>45919</v>
      </c>
      <c r="R13" s="9">
        <v>6</v>
      </c>
      <c r="S13" s="8" t="s">
        <v>32</v>
      </c>
      <c r="T13" s="8" t="s">
        <v>66</v>
      </c>
      <c r="U13" s="8" t="s">
        <v>67</v>
      </c>
      <c r="V13" s="8" t="s">
        <v>35</v>
      </c>
      <c r="W13" s="19"/>
    </row>
    <row r="14" spans="1:23" x14ac:dyDescent="0.25">
      <c r="A14" s="8" t="s">
        <v>87</v>
      </c>
      <c r="B14" s="8" t="str">
        <f t="shared" si="0"/>
        <v>RNJ9C8945922</v>
      </c>
      <c r="C14" s="9" t="s">
        <v>72</v>
      </c>
      <c r="D14" s="10"/>
      <c r="E14" s="11" t="s">
        <v>88</v>
      </c>
      <c r="F14" s="12">
        <v>45918</v>
      </c>
      <c r="G14" s="13" t="s">
        <v>39</v>
      </c>
      <c r="H14" s="10" t="s">
        <v>27</v>
      </c>
      <c r="I14" s="14" t="s">
        <v>28</v>
      </c>
      <c r="J14" s="14" t="s">
        <v>29</v>
      </c>
      <c r="K14" s="15"/>
      <c r="L14" s="15"/>
      <c r="M14" s="16" t="e">
        <f>VLOOKUP(A14,'[1]Base Cadastro '!C:O,13,FALSE)</f>
        <v>#N/A</v>
      </c>
      <c r="N14" s="8" t="s">
        <v>30</v>
      </c>
      <c r="O14" s="8" t="s">
        <v>40</v>
      </c>
      <c r="P14" s="17">
        <v>45924</v>
      </c>
      <c r="Q14" s="18">
        <v>45922</v>
      </c>
      <c r="R14" s="9">
        <v>4</v>
      </c>
      <c r="S14" s="8" t="s">
        <v>32</v>
      </c>
      <c r="T14" s="8" t="s">
        <v>89</v>
      </c>
      <c r="U14" s="8" t="s">
        <v>54</v>
      </c>
      <c r="V14" s="8" t="s">
        <v>35</v>
      </c>
      <c r="W14" s="19"/>
    </row>
    <row r="15" spans="1:23" x14ac:dyDescent="0.25">
      <c r="A15" s="8" t="s">
        <v>90</v>
      </c>
      <c r="B15" s="8" t="str">
        <f t="shared" si="0"/>
        <v>RNJ9D6545919</v>
      </c>
      <c r="C15" s="9" t="s">
        <v>44</v>
      </c>
      <c r="D15" s="10">
        <v>15024731.84</v>
      </c>
      <c r="E15" s="11" t="s">
        <v>91</v>
      </c>
      <c r="F15" s="12">
        <v>45912</v>
      </c>
      <c r="G15" s="13" t="s">
        <v>92</v>
      </c>
      <c r="H15" s="10" t="s">
        <v>27</v>
      </c>
      <c r="I15" s="14" t="s">
        <v>28</v>
      </c>
      <c r="J15" s="14" t="s">
        <v>29</v>
      </c>
      <c r="K15" s="15"/>
      <c r="L15" s="15"/>
      <c r="M15" s="16" t="e">
        <f>VLOOKUP(A15,'[1]Base Cadastro '!C:O,13,FALSE)</f>
        <v>#N/A</v>
      </c>
      <c r="N15" s="8" t="s">
        <v>30</v>
      </c>
      <c r="O15" s="8" t="s">
        <v>40</v>
      </c>
      <c r="P15" s="17">
        <v>45924</v>
      </c>
      <c r="Q15" s="18">
        <v>45919</v>
      </c>
      <c r="R15" s="9">
        <v>7</v>
      </c>
      <c r="S15" s="8" t="s">
        <v>32</v>
      </c>
      <c r="T15" s="8" t="s">
        <v>93</v>
      </c>
      <c r="U15" s="8" t="s">
        <v>94</v>
      </c>
      <c r="V15" s="8" t="s">
        <v>35</v>
      </c>
      <c r="W15" s="19"/>
    </row>
    <row r="16" spans="1:23" x14ac:dyDescent="0.25">
      <c r="A16" s="8" t="s">
        <v>95</v>
      </c>
      <c r="B16" s="8" t="str">
        <f t="shared" si="0"/>
        <v>SGL1J0445919</v>
      </c>
      <c r="C16" s="9" t="s">
        <v>96</v>
      </c>
      <c r="D16" s="10">
        <v>29123</v>
      </c>
      <c r="E16" s="11" t="s">
        <v>97</v>
      </c>
      <c r="F16" s="12">
        <v>45916</v>
      </c>
      <c r="G16" s="13" t="s">
        <v>26</v>
      </c>
      <c r="H16" s="10" t="s">
        <v>27</v>
      </c>
      <c r="I16" s="14" t="s">
        <v>28</v>
      </c>
      <c r="J16" s="14" t="s">
        <v>29</v>
      </c>
      <c r="K16" s="15"/>
      <c r="L16" s="15"/>
      <c r="M16" s="16" t="e">
        <f>VLOOKUP(A16,'[1]Base Cadastro '!C:O,13,FALSE)</f>
        <v>#N/A</v>
      </c>
      <c r="N16" s="8" t="s">
        <v>30</v>
      </c>
      <c r="O16" s="8" t="s">
        <v>40</v>
      </c>
      <c r="P16" s="17">
        <v>45924</v>
      </c>
      <c r="Q16" s="18">
        <v>45919</v>
      </c>
      <c r="R16" s="9">
        <v>3</v>
      </c>
      <c r="S16" s="8" t="s">
        <v>32</v>
      </c>
      <c r="T16" s="8" t="s">
        <v>98</v>
      </c>
      <c r="U16" s="8" t="s">
        <v>34</v>
      </c>
      <c r="V16" s="8" t="s">
        <v>35</v>
      </c>
      <c r="W16" s="19"/>
    </row>
    <row r="17" spans="1:23" x14ac:dyDescent="0.25">
      <c r="A17" s="8" t="s">
        <v>99</v>
      </c>
      <c r="B17" s="8" t="str">
        <f t="shared" si="0"/>
        <v>RVD4C7745918</v>
      </c>
      <c r="C17" s="9" t="s">
        <v>79</v>
      </c>
      <c r="D17" s="10"/>
      <c r="E17" s="11"/>
      <c r="F17" s="12">
        <v>45913</v>
      </c>
      <c r="G17" s="13" t="s">
        <v>26</v>
      </c>
      <c r="H17" s="10" t="s">
        <v>27</v>
      </c>
      <c r="I17" s="14" t="s">
        <v>28</v>
      </c>
      <c r="J17" s="14" t="s">
        <v>29</v>
      </c>
      <c r="K17" s="15"/>
      <c r="L17" s="15"/>
      <c r="M17" s="16" t="e">
        <f>VLOOKUP(A17,'[1]Base Cadastro '!C:O,13,FALSE)</f>
        <v>#N/A</v>
      </c>
      <c r="N17" s="8" t="s">
        <v>30</v>
      </c>
      <c r="O17" s="8" t="s">
        <v>40</v>
      </c>
      <c r="P17" s="17">
        <v>45924</v>
      </c>
      <c r="Q17" s="18">
        <v>45918</v>
      </c>
      <c r="R17" s="9">
        <v>5</v>
      </c>
      <c r="S17" s="8" t="s">
        <v>32</v>
      </c>
      <c r="T17" s="8" t="s">
        <v>100</v>
      </c>
      <c r="U17" s="8" t="s">
        <v>101</v>
      </c>
      <c r="V17" s="8" t="s">
        <v>35</v>
      </c>
      <c r="W17" s="19"/>
    </row>
    <row r="18" spans="1:23" x14ac:dyDescent="0.25">
      <c r="A18" s="8" t="s">
        <v>102</v>
      </c>
      <c r="B18" s="8" t="str">
        <f t="shared" si="0"/>
        <v>RUX2J0845919</v>
      </c>
      <c r="C18" s="9" t="s">
        <v>79</v>
      </c>
      <c r="D18" s="10"/>
      <c r="E18" s="11" t="s">
        <v>103</v>
      </c>
      <c r="F18" s="12">
        <v>45913</v>
      </c>
      <c r="G18" s="13" t="s">
        <v>39</v>
      </c>
      <c r="H18" s="10" t="s">
        <v>27</v>
      </c>
      <c r="I18" s="14" t="s">
        <v>28</v>
      </c>
      <c r="J18" s="14" t="s">
        <v>29</v>
      </c>
      <c r="K18" s="15"/>
      <c r="L18" s="15"/>
      <c r="M18" s="16" t="e">
        <f>VLOOKUP(A18,'[1]Base Cadastro '!C:O,13,FALSE)</f>
        <v>#N/A</v>
      </c>
      <c r="N18" s="8" t="s">
        <v>30</v>
      </c>
      <c r="O18" s="8" t="s">
        <v>40</v>
      </c>
      <c r="P18" s="17">
        <v>45924</v>
      </c>
      <c r="Q18" s="18">
        <v>45919</v>
      </c>
      <c r="R18" s="9">
        <v>6</v>
      </c>
      <c r="S18" s="8" t="s">
        <v>32</v>
      </c>
      <c r="T18" s="8" t="s">
        <v>104</v>
      </c>
      <c r="U18" s="8" t="s">
        <v>105</v>
      </c>
      <c r="V18" s="8" t="s">
        <v>35</v>
      </c>
      <c r="W18" s="19"/>
    </row>
    <row r="19" spans="1:23" x14ac:dyDescent="0.25">
      <c r="A19" s="8" t="s">
        <v>106</v>
      </c>
      <c r="B19" s="8" t="str">
        <f t="shared" si="0"/>
        <v>RNG5A2045922</v>
      </c>
      <c r="C19" s="9" t="s">
        <v>72</v>
      </c>
      <c r="D19" s="10"/>
      <c r="E19" s="11" t="s">
        <v>103</v>
      </c>
      <c r="F19" s="12">
        <v>45913</v>
      </c>
      <c r="G19" s="13" t="s">
        <v>39</v>
      </c>
      <c r="H19" s="10" t="s">
        <v>27</v>
      </c>
      <c r="I19" s="14" t="s">
        <v>28</v>
      </c>
      <c r="J19" s="14" t="s">
        <v>29</v>
      </c>
      <c r="K19" s="15"/>
      <c r="L19" s="15"/>
      <c r="M19" s="16" t="e">
        <f>VLOOKUP(A19,'[1]Base Cadastro '!C:O,13,FALSE)</f>
        <v>#N/A</v>
      </c>
      <c r="N19" s="8" t="s">
        <v>30</v>
      </c>
      <c r="O19" s="8" t="s">
        <v>40</v>
      </c>
      <c r="P19" s="17">
        <v>45924</v>
      </c>
      <c r="Q19" s="18">
        <v>45922</v>
      </c>
      <c r="R19" s="9">
        <v>9</v>
      </c>
      <c r="S19" s="8" t="s">
        <v>32</v>
      </c>
      <c r="T19" s="8" t="s">
        <v>41</v>
      </c>
      <c r="U19" s="8" t="s">
        <v>42</v>
      </c>
      <c r="V19" s="8" t="s">
        <v>35</v>
      </c>
      <c r="W19" s="19"/>
    </row>
    <row r="20" spans="1:23" x14ac:dyDescent="0.25">
      <c r="A20" s="8" t="s">
        <v>107</v>
      </c>
      <c r="B20" s="8" t="str">
        <f t="shared" si="0"/>
        <v>SDT9G9345918</v>
      </c>
      <c r="C20" s="9" t="s">
        <v>50</v>
      </c>
      <c r="D20" s="10">
        <v>64412.328999999998</v>
      </c>
      <c r="E20" s="11" t="s">
        <v>108</v>
      </c>
      <c r="F20" s="12">
        <v>45861</v>
      </c>
      <c r="G20" s="13" t="s">
        <v>92</v>
      </c>
      <c r="H20" s="10" t="s">
        <v>27</v>
      </c>
      <c r="I20" s="14" t="s">
        <v>28</v>
      </c>
      <c r="J20" s="14" t="s">
        <v>29</v>
      </c>
      <c r="K20" s="15"/>
      <c r="L20" s="15"/>
      <c r="M20" s="16" t="e">
        <f>VLOOKUP(A20,'[1]Base Cadastro '!C:O,13,FALSE)</f>
        <v>#N/A</v>
      </c>
      <c r="N20" s="8" t="s">
        <v>30</v>
      </c>
      <c r="O20" s="8" t="s">
        <v>40</v>
      </c>
      <c r="P20" s="17">
        <v>45924</v>
      </c>
      <c r="Q20" s="18">
        <v>45918</v>
      </c>
      <c r="R20" s="9">
        <v>57</v>
      </c>
      <c r="S20" s="8" t="s">
        <v>32</v>
      </c>
      <c r="T20" s="8" t="s">
        <v>109</v>
      </c>
      <c r="U20" s="8" t="s">
        <v>110</v>
      </c>
      <c r="V20" s="8" t="s">
        <v>83</v>
      </c>
      <c r="W20" s="19"/>
    </row>
    <row r="21" spans="1:23" x14ac:dyDescent="0.25">
      <c r="A21" s="8" t="s">
        <v>111</v>
      </c>
      <c r="B21" s="8" t="str">
        <f t="shared" si="0"/>
        <v>JCI8F7545922</v>
      </c>
      <c r="C21" s="9" t="s">
        <v>24</v>
      </c>
      <c r="D21" s="10"/>
      <c r="E21" s="11" t="s">
        <v>112</v>
      </c>
      <c r="F21" s="12">
        <v>45912</v>
      </c>
      <c r="G21" s="13" t="s">
        <v>39</v>
      </c>
      <c r="H21" s="10" t="s">
        <v>27</v>
      </c>
      <c r="I21" s="14" t="s">
        <v>28</v>
      </c>
      <c r="J21" s="14" t="s">
        <v>29</v>
      </c>
      <c r="K21" s="15"/>
      <c r="L21" s="15"/>
      <c r="M21" s="16" t="e">
        <f>VLOOKUP(A21,'[1]Base Cadastro '!C:O,13,FALSE)</f>
        <v>#N/A</v>
      </c>
      <c r="N21" s="8" t="s">
        <v>30</v>
      </c>
      <c r="O21" s="8" t="s">
        <v>40</v>
      </c>
      <c r="P21" s="17">
        <v>45924</v>
      </c>
      <c r="Q21" s="18">
        <v>45922</v>
      </c>
      <c r="R21" s="9">
        <v>10</v>
      </c>
      <c r="S21" s="8" t="s">
        <v>32</v>
      </c>
      <c r="T21" s="8" t="s">
        <v>113</v>
      </c>
      <c r="U21" s="8" t="s">
        <v>42</v>
      </c>
      <c r="V21" s="8" t="s">
        <v>35</v>
      </c>
      <c r="W21" s="19"/>
    </row>
    <row r="22" spans="1:23" x14ac:dyDescent="0.25">
      <c r="A22" s="8" t="s">
        <v>114</v>
      </c>
      <c r="B22" s="8" t="str">
        <f t="shared" si="0"/>
        <v>RUM3C0445919</v>
      </c>
      <c r="C22" s="9" t="s">
        <v>37</v>
      </c>
      <c r="D22" s="10"/>
      <c r="E22" s="11" t="s">
        <v>115</v>
      </c>
      <c r="F22" s="12">
        <v>45914</v>
      </c>
      <c r="G22" s="13" t="s">
        <v>26</v>
      </c>
      <c r="H22" s="10" t="s">
        <v>27</v>
      </c>
      <c r="I22" s="14" t="s">
        <v>28</v>
      </c>
      <c r="J22" s="14" t="s">
        <v>29</v>
      </c>
      <c r="K22" s="15"/>
      <c r="L22" s="15"/>
      <c r="M22" s="16" t="e">
        <f>VLOOKUP(A22,'[1]Base Cadastro '!C:O,13,FALSE)</f>
        <v>#N/A</v>
      </c>
      <c r="N22" s="8" t="s">
        <v>30</v>
      </c>
      <c r="O22" s="8" t="s">
        <v>40</v>
      </c>
      <c r="P22" s="17">
        <v>45924</v>
      </c>
      <c r="Q22" s="18">
        <v>45919</v>
      </c>
      <c r="R22" s="9">
        <v>5</v>
      </c>
      <c r="S22" s="8" t="s">
        <v>32</v>
      </c>
      <c r="T22" s="8" t="s">
        <v>116</v>
      </c>
      <c r="U22" s="8" t="s">
        <v>117</v>
      </c>
      <c r="V22" s="8" t="s">
        <v>35</v>
      </c>
      <c r="W22" s="19"/>
    </row>
    <row r="23" spans="1:23" x14ac:dyDescent="0.25">
      <c r="A23" s="8" t="s">
        <v>118</v>
      </c>
      <c r="B23" s="8" t="str">
        <f t="shared" si="0"/>
        <v>SDT9F6645919</v>
      </c>
      <c r="C23" s="9" t="s">
        <v>50</v>
      </c>
      <c r="D23" s="10">
        <v>37605</v>
      </c>
      <c r="E23" s="11" t="s">
        <v>108</v>
      </c>
      <c r="F23" s="12">
        <v>45786</v>
      </c>
      <c r="G23" s="13" t="s">
        <v>26</v>
      </c>
      <c r="H23" s="10" t="s">
        <v>27</v>
      </c>
      <c r="I23" s="14" t="s">
        <v>28</v>
      </c>
      <c r="J23" s="14" t="s">
        <v>29</v>
      </c>
      <c r="K23" s="15"/>
      <c r="L23" s="15"/>
      <c r="M23" s="16" t="e">
        <f>VLOOKUP(A23,'[1]Base Cadastro '!C:O,13,FALSE)</f>
        <v>#N/A</v>
      </c>
      <c r="N23" s="8" t="s">
        <v>30</v>
      </c>
      <c r="O23" s="8" t="s">
        <v>40</v>
      </c>
      <c r="P23" s="17">
        <v>45924</v>
      </c>
      <c r="Q23" s="18">
        <v>45919</v>
      </c>
      <c r="R23" s="9">
        <v>133</v>
      </c>
      <c r="S23" s="8" t="s">
        <v>32</v>
      </c>
      <c r="T23" s="8" t="s">
        <v>119</v>
      </c>
      <c r="U23" s="8" t="s">
        <v>120</v>
      </c>
      <c r="V23" s="8" t="s">
        <v>121</v>
      </c>
      <c r="W23" s="19"/>
    </row>
    <row r="24" spans="1:23" x14ac:dyDescent="0.25">
      <c r="A24" s="8" t="s">
        <v>122</v>
      </c>
      <c r="B24" s="8" t="str">
        <f t="shared" si="0"/>
        <v>SDP9J0545916</v>
      </c>
      <c r="C24" s="9" t="s">
        <v>50</v>
      </c>
      <c r="D24" s="10">
        <v>49494</v>
      </c>
      <c r="E24" s="11" t="s">
        <v>108</v>
      </c>
      <c r="F24" s="12">
        <v>45869</v>
      </c>
      <c r="G24" s="13" t="s">
        <v>123</v>
      </c>
      <c r="H24" s="10" t="s">
        <v>27</v>
      </c>
      <c r="I24" s="14" t="s">
        <v>28</v>
      </c>
      <c r="J24" s="14" t="s">
        <v>29</v>
      </c>
      <c r="K24" s="15"/>
      <c r="L24" s="15"/>
      <c r="M24" s="16" t="e">
        <f>VLOOKUP(A24,'[1]Base Cadastro '!C:O,13,FALSE)</f>
        <v>#N/A</v>
      </c>
      <c r="N24" s="8" t="s">
        <v>30</v>
      </c>
      <c r="O24" s="8" t="s">
        <v>40</v>
      </c>
      <c r="P24" s="17">
        <v>45924</v>
      </c>
      <c r="Q24" s="18">
        <v>45916</v>
      </c>
      <c r="R24" s="9">
        <v>47</v>
      </c>
      <c r="S24" s="8" t="s">
        <v>32</v>
      </c>
      <c r="T24" s="8" t="s">
        <v>124</v>
      </c>
      <c r="U24" s="8" t="s">
        <v>125</v>
      </c>
      <c r="V24" s="8" t="s">
        <v>83</v>
      </c>
      <c r="W24" s="19"/>
    </row>
    <row r="25" spans="1:23" x14ac:dyDescent="0.25">
      <c r="A25" s="8" t="s">
        <v>126</v>
      </c>
      <c r="B25" s="8" t="str">
        <f t="shared" si="0"/>
        <v>SDQ3A3245919</v>
      </c>
      <c r="C25" s="9" t="s">
        <v>127</v>
      </c>
      <c r="D25" s="10">
        <v>59013.493999999999</v>
      </c>
      <c r="E25" s="11" t="s">
        <v>128</v>
      </c>
      <c r="F25" s="12">
        <v>45870</v>
      </c>
      <c r="G25" s="13" t="s">
        <v>92</v>
      </c>
      <c r="H25" s="10" t="s">
        <v>27</v>
      </c>
      <c r="I25" s="14" t="s">
        <v>28</v>
      </c>
      <c r="J25" s="14" t="s">
        <v>29</v>
      </c>
      <c r="K25" s="15"/>
      <c r="L25" s="15"/>
      <c r="M25" s="16" t="e">
        <f>VLOOKUP(A25,'[1]Base Cadastro '!C:O,13,FALSE)</f>
        <v>#N/A</v>
      </c>
      <c r="N25" s="8" t="s">
        <v>30</v>
      </c>
      <c r="O25" s="8" t="s">
        <v>40</v>
      </c>
      <c r="P25" s="17">
        <v>45924</v>
      </c>
      <c r="Q25" s="18">
        <v>45919</v>
      </c>
      <c r="R25" s="9">
        <v>49</v>
      </c>
      <c r="S25" s="8" t="s">
        <v>32</v>
      </c>
      <c r="T25" s="8" t="s">
        <v>129</v>
      </c>
      <c r="U25" s="8" t="s">
        <v>130</v>
      </c>
      <c r="V25" s="8" t="s">
        <v>48</v>
      </c>
      <c r="W25" s="19"/>
    </row>
    <row r="26" spans="1:23" x14ac:dyDescent="0.25">
      <c r="A26" s="8" t="s">
        <v>131</v>
      </c>
      <c r="B26" s="8" t="str">
        <f t="shared" si="0"/>
        <v>RHO5B2645919</v>
      </c>
      <c r="C26" s="9" t="s">
        <v>56</v>
      </c>
      <c r="D26" s="10">
        <v>35760.542000000001</v>
      </c>
      <c r="E26" s="11" t="s">
        <v>132</v>
      </c>
      <c r="F26" s="12">
        <v>45838</v>
      </c>
      <c r="G26" s="13" t="s">
        <v>92</v>
      </c>
      <c r="H26" s="10" t="s">
        <v>27</v>
      </c>
      <c r="I26" s="14" t="s">
        <v>28</v>
      </c>
      <c r="J26" s="14" t="s">
        <v>29</v>
      </c>
      <c r="K26" s="15"/>
      <c r="L26" s="15"/>
      <c r="M26" s="16" t="e">
        <f>VLOOKUP(A26,'[1]Base Cadastro '!C:O,13,FALSE)</f>
        <v>#N/A</v>
      </c>
      <c r="N26" s="8" t="s">
        <v>30</v>
      </c>
      <c r="O26" s="8" t="s">
        <v>40</v>
      </c>
      <c r="P26" s="17">
        <v>45924</v>
      </c>
      <c r="Q26" s="18">
        <v>45919</v>
      </c>
      <c r="R26" s="9">
        <v>81</v>
      </c>
      <c r="S26" s="8" t="s">
        <v>32</v>
      </c>
      <c r="T26" s="8" t="s">
        <v>133</v>
      </c>
      <c r="U26" s="8" t="s">
        <v>134</v>
      </c>
      <c r="V26" s="8" t="s">
        <v>135</v>
      </c>
      <c r="W26" s="19"/>
    </row>
    <row r="27" spans="1:23" x14ac:dyDescent="0.25">
      <c r="A27" s="8" t="s">
        <v>136</v>
      </c>
      <c r="B27" s="8" t="str">
        <f t="shared" si="0"/>
        <v>SJT9A4045924</v>
      </c>
      <c r="C27" s="9" t="s">
        <v>24</v>
      </c>
      <c r="D27" s="10">
        <v>62294</v>
      </c>
      <c r="E27" s="11" t="s">
        <v>137</v>
      </c>
      <c r="F27" s="12">
        <v>45901</v>
      </c>
      <c r="G27" s="13" t="s">
        <v>138</v>
      </c>
      <c r="H27" s="10" t="s">
        <v>27</v>
      </c>
      <c r="I27" s="14" t="s">
        <v>28</v>
      </c>
      <c r="J27" s="14" t="s">
        <v>139</v>
      </c>
      <c r="K27" s="15"/>
      <c r="L27" s="15"/>
      <c r="M27" s="16" t="s">
        <v>140</v>
      </c>
      <c r="N27" s="8" t="s">
        <v>30</v>
      </c>
      <c r="O27" s="8" t="s">
        <v>40</v>
      </c>
      <c r="P27" s="17" t="s">
        <v>86</v>
      </c>
      <c r="Q27" s="18">
        <v>45924</v>
      </c>
      <c r="R27" s="9">
        <v>23</v>
      </c>
      <c r="S27" s="8" t="s">
        <v>32</v>
      </c>
      <c r="T27" s="8" t="s">
        <v>141</v>
      </c>
      <c r="U27" s="8" t="s">
        <v>34</v>
      </c>
      <c r="V27" s="8" t="s">
        <v>35</v>
      </c>
      <c r="W27" s="19"/>
    </row>
    <row r="28" spans="1:23" x14ac:dyDescent="0.25">
      <c r="A28" s="8" t="s">
        <v>142</v>
      </c>
      <c r="B28" s="8" t="str">
        <f t="shared" si="0"/>
        <v>RTF0B7645924</v>
      </c>
      <c r="C28" s="9" t="s">
        <v>72</v>
      </c>
      <c r="D28" s="10"/>
      <c r="E28" s="11" t="s">
        <v>143</v>
      </c>
      <c r="F28" s="12">
        <v>45913</v>
      </c>
      <c r="G28" s="13" t="s">
        <v>138</v>
      </c>
      <c r="H28" s="10" t="s">
        <v>27</v>
      </c>
      <c r="I28" s="14" t="s">
        <v>28</v>
      </c>
      <c r="J28" s="14" t="s">
        <v>139</v>
      </c>
      <c r="K28" s="15"/>
      <c r="L28" s="15"/>
      <c r="M28" s="16" t="s">
        <v>140</v>
      </c>
      <c r="N28" s="8" t="s">
        <v>30</v>
      </c>
      <c r="O28" s="8" t="s">
        <v>40</v>
      </c>
      <c r="P28" s="17" t="s">
        <v>86</v>
      </c>
      <c r="Q28" s="18">
        <v>45924</v>
      </c>
      <c r="R28" s="9">
        <v>11</v>
      </c>
      <c r="S28" s="8" t="s">
        <v>32</v>
      </c>
      <c r="T28" s="8" t="s">
        <v>98</v>
      </c>
      <c r="U28" s="8" t="s">
        <v>34</v>
      </c>
      <c r="V28" s="8" t="s">
        <v>35</v>
      </c>
      <c r="W28" s="19"/>
    </row>
    <row r="29" spans="1:23" x14ac:dyDescent="0.25">
      <c r="A29" s="8" t="s">
        <v>144</v>
      </c>
      <c r="B29" s="8" t="str">
        <f t="shared" si="0"/>
        <v>SJT5G8845924</v>
      </c>
      <c r="C29" s="9" t="s">
        <v>24</v>
      </c>
      <c r="D29" s="10">
        <v>56843</v>
      </c>
      <c r="E29" s="11" t="s">
        <v>145</v>
      </c>
      <c r="F29" s="12">
        <v>45916</v>
      </c>
      <c r="G29" s="13" t="s">
        <v>138</v>
      </c>
      <c r="H29" s="10" t="s">
        <v>27</v>
      </c>
      <c r="I29" s="14" t="s">
        <v>28</v>
      </c>
      <c r="J29" s="14" t="s">
        <v>139</v>
      </c>
      <c r="K29" s="15"/>
      <c r="L29" s="15"/>
      <c r="M29" s="16" t="s">
        <v>140</v>
      </c>
      <c r="N29" s="8" t="s">
        <v>30</v>
      </c>
      <c r="O29" s="8" t="s">
        <v>40</v>
      </c>
      <c r="P29" s="17" t="s">
        <v>86</v>
      </c>
      <c r="Q29" s="18">
        <v>45924</v>
      </c>
      <c r="R29" s="9">
        <v>8</v>
      </c>
      <c r="S29" s="8" t="s">
        <v>32</v>
      </c>
      <c r="T29" s="8" t="s">
        <v>141</v>
      </c>
      <c r="U29" s="8" t="s">
        <v>34</v>
      </c>
      <c r="V29" s="8" t="s">
        <v>35</v>
      </c>
      <c r="W29" s="19"/>
    </row>
    <row r="30" spans="1:23" x14ac:dyDescent="0.25">
      <c r="A30" s="8" t="s">
        <v>146</v>
      </c>
      <c r="B30" s="8" t="str">
        <f t="shared" si="0"/>
        <v>UGH4A0045925</v>
      </c>
      <c r="C30" s="9" t="s">
        <v>147</v>
      </c>
      <c r="D30" s="10"/>
      <c r="E30" s="11" t="s">
        <v>148</v>
      </c>
      <c r="F30" s="12">
        <v>45924</v>
      </c>
      <c r="G30" s="13" t="s">
        <v>149</v>
      </c>
      <c r="H30" s="10" t="s">
        <v>52</v>
      </c>
      <c r="I30" s="14" t="s">
        <v>28</v>
      </c>
      <c r="J30" s="14" t="s">
        <v>150</v>
      </c>
      <c r="K30" s="15"/>
      <c r="L30" s="15"/>
      <c r="M30" s="16" t="s">
        <v>151</v>
      </c>
      <c r="N30" s="8" t="s">
        <v>152</v>
      </c>
      <c r="O30" s="8" t="s">
        <v>52</v>
      </c>
      <c r="P30" s="17">
        <v>45925</v>
      </c>
      <c r="Q30" s="18">
        <v>45925</v>
      </c>
      <c r="R30" s="9">
        <v>1</v>
      </c>
      <c r="S30" s="8" t="s">
        <v>153</v>
      </c>
      <c r="T30" s="8" t="s">
        <v>154</v>
      </c>
      <c r="U30" s="8" t="s">
        <v>155</v>
      </c>
      <c r="V30" s="8" t="s">
        <v>35</v>
      </c>
      <c r="W30" s="19"/>
    </row>
    <row r="31" spans="1:23" x14ac:dyDescent="0.25">
      <c r="A31" s="8" t="s">
        <v>156</v>
      </c>
      <c r="B31" s="8" t="str">
        <f t="shared" si="0"/>
        <v>SGI8G8645926</v>
      </c>
      <c r="C31" s="9" t="s">
        <v>157</v>
      </c>
      <c r="D31" s="10">
        <v>38402</v>
      </c>
      <c r="E31" s="11" t="s">
        <v>158</v>
      </c>
      <c r="F31" s="12">
        <v>45898</v>
      </c>
      <c r="G31" s="13" t="s">
        <v>92</v>
      </c>
      <c r="H31" s="10" t="s">
        <v>27</v>
      </c>
      <c r="I31" s="14" t="s">
        <v>28</v>
      </c>
      <c r="J31" s="14" t="s">
        <v>29</v>
      </c>
      <c r="K31" s="15"/>
      <c r="L31" s="15"/>
      <c r="M31" s="16" t="e">
        <f>VLOOKUP(#REF!,'[1]Base Cadastro '!#REF!,13,FALSE)</f>
        <v>#REF!</v>
      </c>
      <c r="N31" s="8" t="s">
        <v>30</v>
      </c>
      <c r="O31" s="8" t="s">
        <v>40</v>
      </c>
      <c r="P31" s="17" t="s">
        <v>86</v>
      </c>
      <c r="Q31" s="18">
        <v>45926</v>
      </c>
      <c r="R31" s="9" t="e">
        <f ca="1">IFERROR(DATEDIF(#REF!,#REF!,"D"),DATEDIF(#REF!,TODAY(),"D"))</f>
        <v>#REF!</v>
      </c>
      <c r="S31" s="8" t="e">
        <f>IF(#REF!&lt;=2,"Dentro do Prazo","Fora do Prazo")</f>
        <v>#REF!</v>
      </c>
      <c r="T31" s="8" t="s">
        <v>159</v>
      </c>
      <c r="U31" s="8" t="s">
        <v>134</v>
      </c>
      <c r="V31" s="8" t="s">
        <v>48</v>
      </c>
      <c r="W31" s="19"/>
    </row>
    <row r="32" spans="1:23" x14ac:dyDescent="0.25">
      <c r="A32" s="8" t="s">
        <v>160</v>
      </c>
      <c r="B32" s="8" t="str">
        <f t="shared" si="0"/>
        <v>STO0I0245926</v>
      </c>
      <c r="C32" s="9" t="str">
        <f>IFERROR(VLOOKUP(#REF!,'[1]Base Cadastro '!#REF!,2,FALSE)," ")</f>
        <v xml:space="preserve"> </v>
      </c>
      <c r="D32" s="10">
        <v>69002</v>
      </c>
      <c r="E32" s="11" t="s">
        <v>161</v>
      </c>
      <c r="F32" s="12">
        <v>45916</v>
      </c>
      <c r="G32" s="13" t="s">
        <v>123</v>
      </c>
      <c r="H32" s="10" t="s">
        <v>27</v>
      </c>
      <c r="I32" s="14" t="s">
        <v>28</v>
      </c>
      <c r="J32" s="14" t="s">
        <v>29</v>
      </c>
      <c r="K32" s="15"/>
      <c r="L32" s="15"/>
      <c r="M32" s="16" t="e">
        <f>VLOOKUP(#REF!,'[1]Base Cadastro '!#REF!,13,FALSE)</f>
        <v>#REF!</v>
      </c>
      <c r="N32" s="8" t="s">
        <v>30</v>
      </c>
      <c r="O32" s="8" t="s">
        <v>40</v>
      </c>
      <c r="P32" s="17" t="s">
        <v>86</v>
      </c>
      <c r="Q32" s="18">
        <v>45926</v>
      </c>
      <c r="R32" s="9" t="e">
        <f ca="1">IFERROR(DATEDIF(#REF!,#REF!,"D"),DATEDIF(#REF!,TODAY(),"D"))</f>
        <v>#REF!</v>
      </c>
      <c r="S32" s="8" t="e">
        <f>IF(#REF!&lt;=2,"Dentro do Prazo","Fora do Prazo")</f>
        <v>#REF!</v>
      </c>
      <c r="T32" s="8" t="s">
        <v>162</v>
      </c>
      <c r="U32" s="8" t="s">
        <v>94</v>
      </c>
      <c r="V32" s="8" t="s">
        <v>35</v>
      </c>
      <c r="W32" s="19"/>
    </row>
    <row r="33" spans="1:23" x14ac:dyDescent="0.25">
      <c r="A33" s="8" t="s">
        <v>163</v>
      </c>
      <c r="B33" s="8" t="str">
        <f t="shared" si="0"/>
        <v>GIG3B72 45926</v>
      </c>
      <c r="C33" s="9" t="s">
        <v>164</v>
      </c>
      <c r="D33" s="10">
        <v>100</v>
      </c>
      <c r="E33" s="11" t="s">
        <v>165</v>
      </c>
      <c r="F33" s="12">
        <v>45924</v>
      </c>
      <c r="G33" s="13" t="s">
        <v>138</v>
      </c>
      <c r="H33" s="10" t="s">
        <v>27</v>
      </c>
      <c r="I33" s="14" t="s">
        <v>28</v>
      </c>
      <c r="J33" s="14" t="s">
        <v>29</v>
      </c>
      <c r="K33" s="15"/>
      <c r="L33" s="15"/>
      <c r="M33" s="16" t="e">
        <f>VLOOKUP(#REF!,'[1]Base Cadastro '!#REF!,13,FALSE)</f>
        <v>#REF!</v>
      </c>
      <c r="N33" s="8" t="s">
        <v>30</v>
      </c>
      <c r="O33" s="8" t="s">
        <v>40</v>
      </c>
      <c r="P33" s="17" t="s">
        <v>86</v>
      </c>
      <c r="Q33" s="18">
        <v>45926</v>
      </c>
      <c r="R33" s="9" t="e">
        <f ca="1">IFERROR(DATEDIF(#REF!,#REF!,"D"),DATEDIF(#REF!,TODAY(),"D"))</f>
        <v>#REF!</v>
      </c>
      <c r="S33" s="8" t="e">
        <f>IF(#REF!&lt;=2,"Dentro do Prazo","Fora do Prazo")</f>
        <v>#REF!</v>
      </c>
      <c r="T33" s="8" t="s">
        <v>166</v>
      </c>
      <c r="U33" s="8"/>
      <c r="V33" s="8" t="s">
        <v>35</v>
      </c>
      <c r="W33" s="19"/>
    </row>
    <row r="34" spans="1:23" x14ac:dyDescent="0.25">
      <c r="A34" s="8" t="s">
        <v>167</v>
      </c>
      <c r="B34" s="8" t="str">
        <f t="shared" si="0"/>
        <v>TAO5A3845926</v>
      </c>
      <c r="C34" s="9" t="s">
        <v>168</v>
      </c>
      <c r="D34" s="10">
        <v>100</v>
      </c>
      <c r="E34" s="11" t="s">
        <v>169</v>
      </c>
      <c r="F34" s="12">
        <v>45924</v>
      </c>
      <c r="G34" s="13" t="s">
        <v>138</v>
      </c>
      <c r="H34" s="10" t="s">
        <v>27</v>
      </c>
      <c r="I34" s="14" t="s">
        <v>28</v>
      </c>
      <c r="J34" s="14" t="s">
        <v>29</v>
      </c>
      <c r="K34" s="15"/>
      <c r="L34" s="15"/>
      <c r="M34" s="16" t="e">
        <f>VLOOKUP(#REF!,'[1]Base Cadastro '!#REF!,13,FALSE)</f>
        <v>#REF!</v>
      </c>
      <c r="N34" s="8" t="s">
        <v>30</v>
      </c>
      <c r="O34" s="8" t="s">
        <v>40</v>
      </c>
      <c r="P34" s="17" t="s">
        <v>86</v>
      </c>
      <c r="Q34" s="18">
        <v>45926</v>
      </c>
      <c r="R34" s="9" t="e">
        <f ca="1">IFERROR(DATEDIF(#REF!,#REF!,"D"),DATEDIF(#REF!,TODAY(),"D"))</f>
        <v>#REF!</v>
      </c>
      <c r="S34" s="8" t="e">
        <f>IF(#REF!&lt;=2,"Dentro do Prazo","Fora do Prazo")</f>
        <v>#REF!</v>
      </c>
      <c r="T34" s="8" t="s">
        <v>166</v>
      </c>
      <c r="U34" s="8"/>
      <c r="V34" s="8" t="s">
        <v>35</v>
      </c>
      <c r="W34" s="19"/>
    </row>
    <row r="35" spans="1:23" x14ac:dyDescent="0.25">
      <c r="A35" s="8" t="s">
        <v>170</v>
      </c>
      <c r="B35" s="8" t="str">
        <f t="shared" si="0"/>
        <v>TOE7D2945926</v>
      </c>
      <c r="C35" s="9" t="str">
        <f>IFERROR(VLOOKUP(#REF!,'[1]Base Cadastro '!#REF!,2,FALSE)," ")</f>
        <v xml:space="preserve"> </v>
      </c>
      <c r="D35" s="10"/>
      <c r="E35" s="11" t="s">
        <v>171</v>
      </c>
      <c r="F35" s="12">
        <v>45916</v>
      </c>
      <c r="G35" s="13" t="s">
        <v>149</v>
      </c>
      <c r="H35" s="10" t="s">
        <v>27</v>
      </c>
      <c r="I35" s="14" t="s">
        <v>28</v>
      </c>
      <c r="J35" s="14" t="s">
        <v>29</v>
      </c>
      <c r="K35" s="15"/>
      <c r="L35" s="15"/>
      <c r="M35" s="16" t="e">
        <f>VLOOKUP(#REF!,'[1]Base Cadastro '!#REF!,13,FALSE)</f>
        <v>#REF!</v>
      </c>
      <c r="N35" s="8" t="s">
        <v>172</v>
      </c>
      <c r="O35" s="8" t="s">
        <v>40</v>
      </c>
      <c r="P35" s="17" t="s">
        <v>86</v>
      </c>
      <c r="Q35" s="18">
        <v>45926</v>
      </c>
      <c r="R35" s="9" t="e">
        <f ca="1">IFERROR(DATEDIF(#REF!,#REF!,"D"),DATEDIF(#REF!,TODAY(),"D"))</f>
        <v>#REF!</v>
      </c>
      <c r="S35" s="8" t="e">
        <f>IF(#REF!&lt;=2,"Dentro do Prazo","Fora do Prazo")</f>
        <v>#REF!</v>
      </c>
      <c r="T35" s="8" t="s">
        <v>98</v>
      </c>
      <c r="U35" s="8" t="s">
        <v>173</v>
      </c>
      <c r="V35" s="8" t="s">
        <v>35</v>
      </c>
      <c r="W35" s="19"/>
    </row>
    <row r="36" spans="1:23" x14ac:dyDescent="0.25">
      <c r="A36" s="8" t="s">
        <v>174</v>
      </c>
      <c r="B36" s="8" t="str">
        <f t="shared" si="0"/>
        <v>SJT3D0245926</v>
      </c>
      <c r="C36" s="9" t="str">
        <f>IFERROR(VLOOKUP(#REF!,'[1]Base Cadastro '!#REF!,2,FALSE)," ")</f>
        <v xml:space="preserve"> </v>
      </c>
      <c r="D36" s="10">
        <v>76447</v>
      </c>
      <c r="E36" s="11" t="s">
        <v>175</v>
      </c>
      <c r="F36" s="12">
        <v>45917</v>
      </c>
      <c r="G36" s="13" t="s">
        <v>123</v>
      </c>
      <c r="H36" s="10" t="s">
        <v>27</v>
      </c>
      <c r="I36" s="14" t="s">
        <v>176</v>
      </c>
      <c r="J36" s="14" t="s">
        <v>29</v>
      </c>
      <c r="K36" s="15"/>
      <c r="L36" s="15"/>
      <c r="M36" s="16" t="e">
        <f>VLOOKUP(#REF!,'[1]Base Cadastro '!#REF!,13,FALSE)</f>
        <v>#REF!</v>
      </c>
      <c r="N36" s="8" t="s">
        <v>30</v>
      </c>
      <c r="O36" s="8" t="s">
        <v>31</v>
      </c>
      <c r="P36" s="17" t="s">
        <v>86</v>
      </c>
      <c r="Q36" s="18">
        <v>45926</v>
      </c>
      <c r="R36" s="9" t="e">
        <f ca="1">IFERROR(DATEDIF(#REF!,#REF!,"D"),DATEDIF(#REF!,TODAY(),"D"))</f>
        <v>#REF!</v>
      </c>
      <c r="S36" s="8" t="e">
        <f>IF(#REF!&lt;=2,"Dentro do Prazo","Fora do Prazo")</f>
        <v>#REF!</v>
      </c>
      <c r="T36" s="8" t="s">
        <v>41</v>
      </c>
      <c r="U36" s="8" t="s">
        <v>177</v>
      </c>
      <c r="V36" s="8" t="s">
        <v>35</v>
      </c>
      <c r="W36" s="19"/>
    </row>
    <row r="37" spans="1:23" x14ac:dyDescent="0.25">
      <c r="A37" s="8" t="s">
        <v>178</v>
      </c>
      <c r="B37" s="8" t="str">
        <f t="shared" si="0"/>
        <v>TOE7D0045926</v>
      </c>
      <c r="C37" s="9" t="str">
        <f>IFERROR(VLOOKUP(#REF!,'[1]Base Cadastro '!#REF!,2,FALSE)," ")</f>
        <v xml:space="preserve"> </v>
      </c>
      <c r="D37" s="10">
        <v>5890</v>
      </c>
      <c r="E37" s="11" t="s">
        <v>179</v>
      </c>
      <c r="F37" s="12">
        <v>45919</v>
      </c>
      <c r="G37" s="13" t="s">
        <v>149</v>
      </c>
      <c r="H37" s="10" t="s">
        <v>27</v>
      </c>
      <c r="I37" s="14" t="s">
        <v>28</v>
      </c>
      <c r="J37" s="14" t="s">
        <v>29</v>
      </c>
      <c r="K37" s="15"/>
      <c r="L37" s="15"/>
      <c r="M37" s="16" t="e">
        <f>VLOOKUP(#REF!,'[1]Base Cadastro '!#REF!,13,FALSE)</f>
        <v>#REF!</v>
      </c>
      <c r="N37" s="8" t="s">
        <v>180</v>
      </c>
      <c r="O37" s="8" t="s">
        <v>40</v>
      </c>
      <c r="P37" s="17" t="s">
        <v>86</v>
      </c>
      <c r="Q37" s="18">
        <v>45926</v>
      </c>
      <c r="R37" s="9" t="e">
        <f ca="1">IFERROR(DATEDIF(#REF!,#REF!,"D"),DATEDIF(#REF!,TODAY(),"D"))</f>
        <v>#REF!</v>
      </c>
      <c r="S37" s="8" t="e">
        <f>IF(#REF!&lt;=2,"Dentro do Prazo","Fora do Prazo")</f>
        <v>#REF!</v>
      </c>
      <c r="T37" s="8" t="s">
        <v>98</v>
      </c>
      <c r="U37" s="8" t="s">
        <v>181</v>
      </c>
      <c r="V37" s="8" t="s">
        <v>35</v>
      </c>
      <c r="W37" s="19"/>
    </row>
    <row r="38" spans="1:23" x14ac:dyDescent="0.25">
      <c r="A38" s="8" t="s">
        <v>182</v>
      </c>
      <c r="B38" s="8" t="str">
        <f t="shared" si="0"/>
        <v>RUX2B9745925</v>
      </c>
      <c r="C38" s="9" t="s">
        <v>79</v>
      </c>
      <c r="D38" s="10"/>
      <c r="E38" s="11" t="s">
        <v>183</v>
      </c>
      <c r="F38" s="12">
        <v>45910</v>
      </c>
      <c r="G38" s="13" t="s">
        <v>184</v>
      </c>
      <c r="H38" s="10" t="s">
        <v>27</v>
      </c>
      <c r="I38" s="14" t="s">
        <v>28</v>
      </c>
      <c r="J38" s="14" t="s">
        <v>29</v>
      </c>
      <c r="K38" s="15" t="s">
        <v>185</v>
      </c>
      <c r="L38" s="15">
        <v>5575.7</v>
      </c>
      <c r="M38" s="16" t="s">
        <v>186</v>
      </c>
      <c r="N38" s="8" t="s">
        <v>30</v>
      </c>
      <c r="O38" s="8" t="s">
        <v>40</v>
      </c>
      <c r="P38" s="17" t="s">
        <v>187</v>
      </c>
      <c r="Q38" s="18">
        <v>45925</v>
      </c>
      <c r="R38" s="9">
        <v>15</v>
      </c>
      <c r="S38" s="8" t="s">
        <v>32</v>
      </c>
      <c r="T38" s="8" t="s">
        <v>74</v>
      </c>
      <c r="U38" s="8" t="s">
        <v>188</v>
      </c>
      <c r="V38" s="8" t="s">
        <v>35</v>
      </c>
      <c r="W38" s="19"/>
    </row>
    <row r="39" spans="1:23" x14ac:dyDescent="0.25">
      <c r="A39" s="8" t="s">
        <v>189</v>
      </c>
      <c r="B39" s="8" t="str">
        <f t="shared" si="0"/>
        <v>RUX2D0445926</v>
      </c>
      <c r="C39" s="9" t="s">
        <v>79</v>
      </c>
      <c r="D39" s="10">
        <v>140508</v>
      </c>
      <c r="E39" s="11" t="s">
        <v>190</v>
      </c>
      <c r="F39" s="12">
        <v>45894</v>
      </c>
      <c r="G39" s="13" t="s">
        <v>39</v>
      </c>
      <c r="H39" s="10"/>
      <c r="I39" s="14"/>
      <c r="J39" s="14"/>
      <c r="K39" s="15"/>
      <c r="L39" s="15"/>
      <c r="M39" s="16" t="s">
        <v>191</v>
      </c>
      <c r="N39" s="8" t="s">
        <v>30</v>
      </c>
      <c r="O39" s="8"/>
      <c r="P39" s="17"/>
      <c r="Q39" s="18">
        <v>45926</v>
      </c>
      <c r="R39" s="9"/>
      <c r="S39" s="8"/>
      <c r="T39" s="8"/>
      <c r="U39" s="8" t="s">
        <v>192</v>
      </c>
      <c r="V39" s="8" t="s">
        <v>48</v>
      </c>
      <c r="W39" s="19"/>
    </row>
    <row r="40" spans="1:23" x14ac:dyDescent="0.25">
      <c r="A40" s="8" t="s">
        <v>193</v>
      </c>
      <c r="B40" s="8" t="str">
        <f t="shared" si="0"/>
        <v>RFP9G7445926</v>
      </c>
      <c r="C40" s="9" t="s">
        <v>194</v>
      </c>
      <c r="D40" s="10">
        <v>195720</v>
      </c>
      <c r="E40" s="11" t="s">
        <v>195</v>
      </c>
      <c r="F40" s="12">
        <v>45925</v>
      </c>
      <c r="G40" s="13" t="s">
        <v>138</v>
      </c>
      <c r="H40" s="10" t="s">
        <v>27</v>
      </c>
      <c r="I40" s="14" t="s">
        <v>28</v>
      </c>
      <c r="J40" s="14" t="s">
        <v>29</v>
      </c>
      <c r="K40" s="15">
        <v>2552.8000000000002</v>
      </c>
      <c r="L40" s="15">
        <v>2425.16</v>
      </c>
      <c r="M40" s="16" t="s">
        <v>196</v>
      </c>
      <c r="N40" s="8" t="s">
        <v>30</v>
      </c>
      <c r="O40" s="8" t="s">
        <v>40</v>
      </c>
      <c r="P40" s="17">
        <v>45926</v>
      </c>
      <c r="Q40" s="18">
        <v>45926</v>
      </c>
      <c r="R40" s="9">
        <v>1</v>
      </c>
      <c r="S40" s="8" t="s">
        <v>153</v>
      </c>
      <c r="T40" s="8" t="s">
        <v>197</v>
      </c>
      <c r="U40" s="8"/>
      <c r="V40" s="8" t="s">
        <v>35</v>
      </c>
      <c r="W40" s="19"/>
    </row>
    <row r="41" spans="1:23" x14ac:dyDescent="0.25">
      <c r="A41" s="8" t="s">
        <v>198</v>
      </c>
      <c r="B41" s="8" t="str">
        <f t="shared" si="0"/>
        <v>RNN0C2145924</v>
      </c>
      <c r="C41" s="9" t="s">
        <v>72</v>
      </c>
      <c r="D41" s="10">
        <v>129428</v>
      </c>
      <c r="E41" s="11" t="s">
        <v>199</v>
      </c>
      <c r="F41" s="12">
        <v>45910</v>
      </c>
      <c r="G41" s="13" t="s">
        <v>149</v>
      </c>
      <c r="H41" s="10" t="s">
        <v>27</v>
      </c>
      <c r="I41" s="14" t="s">
        <v>28</v>
      </c>
      <c r="J41" s="14" t="s">
        <v>29</v>
      </c>
      <c r="K41" s="15"/>
      <c r="L41" s="15"/>
      <c r="M41" s="16" t="s">
        <v>200</v>
      </c>
      <c r="N41" s="8" t="s">
        <v>30</v>
      </c>
      <c r="O41" s="8" t="s">
        <v>40</v>
      </c>
      <c r="P41" s="17">
        <v>45924</v>
      </c>
      <c r="Q41" s="18">
        <v>45924</v>
      </c>
      <c r="R41" s="9">
        <v>14</v>
      </c>
      <c r="S41" s="8" t="s">
        <v>32</v>
      </c>
      <c r="T41" s="8" t="s">
        <v>201</v>
      </c>
      <c r="U41" s="8" t="s">
        <v>202</v>
      </c>
      <c r="V41" s="8" t="s">
        <v>35</v>
      </c>
      <c r="W41" s="19"/>
    </row>
    <row r="42" spans="1:23" x14ac:dyDescent="0.25">
      <c r="A42" s="8" t="s">
        <v>203</v>
      </c>
      <c r="B42" s="8" t="str">
        <f t="shared" si="0"/>
        <v>RTE0I4345924</v>
      </c>
      <c r="C42" s="9" t="s">
        <v>72</v>
      </c>
      <c r="D42" s="10">
        <v>130142</v>
      </c>
      <c r="E42" s="11" t="s">
        <v>204</v>
      </c>
      <c r="F42" s="12">
        <v>45911</v>
      </c>
      <c r="G42" s="13" t="s">
        <v>138</v>
      </c>
      <c r="H42" s="10" t="s">
        <v>27</v>
      </c>
      <c r="I42" s="14" t="s">
        <v>28</v>
      </c>
      <c r="J42" s="14" t="s">
        <v>29</v>
      </c>
      <c r="K42" s="15"/>
      <c r="L42" s="15"/>
      <c r="M42" s="16" t="s">
        <v>140</v>
      </c>
      <c r="N42" s="8" t="s">
        <v>30</v>
      </c>
      <c r="O42" s="8" t="s">
        <v>40</v>
      </c>
      <c r="P42" s="17">
        <v>45924</v>
      </c>
      <c r="Q42" s="18">
        <v>45924</v>
      </c>
      <c r="R42" s="9">
        <v>13</v>
      </c>
      <c r="S42" s="8" t="s">
        <v>32</v>
      </c>
      <c r="T42" s="8" t="s">
        <v>98</v>
      </c>
      <c r="U42" s="8" t="s">
        <v>34</v>
      </c>
      <c r="V42" s="8" t="s">
        <v>35</v>
      </c>
      <c r="W42" s="19"/>
    </row>
    <row r="43" spans="1:23" x14ac:dyDescent="0.25">
      <c r="A43" s="8" t="s">
        <v>205</v>
      </c>
      <c r="B43" s="8" t="str">
        <f t="shared" si="0"/>
        <v>RND8C3845925</v>
      </c>
      <c r="C43" s="9" t="s">
        <v>72</v>
      </c>
      <c r="D43" s="10">
        <v>139984</v>
      </c>
      <c r="E43" s="11" t="s">
        <v>206</v>
      </c>
      <c r="F43" s="12">
        <v>45922</v>
      </c>
      <c r="G43" s="13" t="s">
        <v>184</v>
      </c>
      <c r="H43" s="10" t="s">
        <v>27</v>
      </c>
      <c r="I43" s="14" t="s">
        <v>28</v>
      </c>
      <c r="J43" s="14" t="s">
        <v>29</v>
      </c>
      <c r="K43" s="15">
        <v>2318.9</v>
      </c>
      <c r="L43" s="15">
        <v>2318.9</v>
      </c>
      <c r="M43" s="16" t="s">
        <v>207</v>
      </c>
      <c r="N43" s="8" t="s">
        <v>30</v>
      </c>
      <c r="O43" s="8" t="s">
        <v>40</v>
      </c>
      <c r="P43" s="17">
        <v>45925</v>
      </c>
      <c r="Q43" s="18">
        <v>45925</v>
      </c>
      <c r="R43" s="9">
        <v>3</v>
      </c>
      <c r="S43" s="8" t="s">
        <v>32</v>
      </c>
      <c r="T43" s="8" t="s">
        <v>74</v>
      </c>
      <c r="U43" s="8" t="s">
        <v>208</v>
      </c>
      <c r="V43" s="8" t="s">
        <v>35</v>
      </c>
      <c r="W43" s="19"/>
    </row>
    <row r="44" spans="1:23" x14ac:dyDescent="0.25">
      <c r="A44" s="8" t="s">
        <v>209</v>
      </c>
      <c r="B44" s="8" t="str">
        <f t="shared" si="0"/>
        <v>RNJ9C6645925</v>
      </c>
      <c r="C44" s="9" t="s">
        <v>72</v>
      </c>
      <c r="D44" s="10">
        <v>136248</v>
      </c>
      <c r="E44" s="11" t="s">
        <v>210</v>
      </c>
      <c r="F44" s="12">
        <v>45917</v>
      </c>
      <c r="G44" s="13" t="s">
        <v>149</v>
      </c>
      <c r="H44" s="10" t="s">
        <v>27</v>
      </c>
      <c r="I44" s="14" t="s">
        <v>28</v>
      </c>
      <c r="J44" s="14" t="s">
        <v>29</v>
      </c>
      <c r="K44" s="15"/>
      <c r="L44" s="15"/>
      <c r="M44" s="16" t="s">
        <v>200</v>
      </c>
      <c r="N44" s="8" t="s">
        <v>30</v>
      </c>
      <c r="O44" s="8" t="s">
        <v>40</v>
      </c>
      <c r="P44" s="17" t="s">
        <v>86</v>
      </c>
      <c r="Q44" s="18">
        <v>45925</v>
      </c>
      <c r="R44" s="9">
        <v>8</v>
      </c>
      <c r="S44" s="8" t="s">
        <v>32</v>
      </c>
      <c r="T44" s="8" t="s">
        <v>98</v>
      </c>
      <c r="U44" s="8" t="s">
        <v>211</v>
      </c>
      <c r="V44" s="8" t="s">
        <v>35</v>
      </c>
      <c r="W44" s="19"/>
    </row>
    <row r="45" spans="1:23" x14ac:dyDescent="0.25">
      <c r="A45" s="8" t="s">
        <v>212</v>
      </c>
      <c r="B45" s="8" t="str">
        <f t="shared" si="0"/>
        <v>RNB5I5645926</v>
      </c>
      <c r="C45" s="9" t="s">
        <v>72</v>
      </c>
      <c r="D45" s="10">
        <v>170010</v>
      </c>
      <c r="E45" s="11" t="s">
        <v>213</v>
      </c>
      <c r="F45" s="12">
        <v>45908</v>
      </c>
      <c r="G45" s="13" t="s">
        <v>123</v>
      </c>
      <c r="H45" s="10" t="s">
        <v>27</v>
      </c>
      <c r="I45" s="14" t="s">
        <v>28</v>
      </c>
      <c r="J45" s="14" t="s">
        <v>29</v>
      </c>
      <c r="K45" s="15"/>
      <c r="L45" s="15"/>
      <c r="M45" s="16" t="s">
        <v>214</v>
      </c>
      <c r="N45" s="8" t="s">
        <v>30</v>
      </c>
      <c r="O45" s="8" t="s">
        <v>40</v>
      </c>
      <c r="P45" s="17">
        <v>45929</v>
      </c>
      <c r="Q45" s="18">
        <v>45926</v>
      </c>
      <c r="R45" s="9">
        <v>18</v>
      </c>
      <c r="S45" s="8" t="s">
        <v>32</v>
      </c>
      <c r="T45" s="8" t="s">
        <v>98</v>
      </c>
      <c r="U45" s="8" t="s">
        <v>215</v>
      </c>
      <c r="V45" s="8" t="s">
        <v>35</v>
      </c>
      <c r="W45" s="19"/>
    </row>
    <row r="46" spans="1:23" x14ac:dyDescent="0.25">
      <c r="A46" s="8" t="s">
        <v>216</v>
      </c>
      <c r="B46" s="8" t="str">
        <f t="shared" si="0"/>
        <v>RNJ9C8045924</v>
      </c>
      <c r="C46" s="9" t="s">
        <v>72</v>
      </c>
      <c r="D46" s="10">
        <v>129733</v>
      </c>
      <c r="E46" s="11" t="s">
        <v>217</v>
      </c>
      <c r="F46" s="12">
        <v>45923</v>
      </c>
      <c r="G46" s="13" t="s">
        <v>184</v>
      </c>
      <c r="H46" s="10" t="s">
        <v>27</v>
      </c>
      <c r="I46" s="14" t="s">
        <v>28</v>
      </c>
      <c r="J46" s="14" t="s">
        <v>29</v>
      </c>
      <c r="K46" s="15">
        <v>409.9</v>
      </c>
      <c r="L46" s="15">
        <v>409.9</v>
      </c>
      <c r="M46" s="16" t="s">
        <v>207</v>
      </c>
      <c r="N46" s="8" t="s">
        <v>30</v>
      </c>
      <c r="O46" s="8" t="s">
        <v>40</v>
      </c>
      <c r="P46" s="17">
        <v>45930</v>
      </c>
      <c r="Q46" s="18">
        <v>45924</v>
      </c>
      <c r="R46" s="9">
        <v>1</v>
      </c>
      <c r="S46" s="8" t="s">
        <v>153</v>
      </c>
      <c r="T46" s="8" t="s">
        <v>74</v>
      </c>
      <c r="U46" s="8" t="s">
        <v>208</v>
      </c>
      <c r="V46" s="8" t="s">
        <v>35</v>
      </c>
      <c r="W46" s="19"/>
    </row>
    <row r="47" spans="1:23" x14ac:dyDescent="0.25">
      <c r="A47" s="8" t="s">
        <v>218</v>
      </c>
      <c r="B47" s="8" t="str">
        <f t="shared" si="0"/>
        <v>SUP5G2945925</v>
      </c>
      <c r="C47" s="9" t="s">
        <v>44</v>
      </c>
      <c r="D47" s="10"/>
      <c r="E47" s="11" t="s">
        <v>219</v>
      </c>
      <c r="F47" s="12">
        <v>45915</v>
      </c>
      <c r="G47" s="13" t="s">
        <v>184</v>
      </c>
      <c r="H47" s="10" t="s">
        <v>27</v>
      </c>
      <c r="I47" s="14" t="s">
        <v>28</v>
      </c>
      <c r="J47" s="14" t="s">
        <v>29</v>
      </c>
      <c r="K47" s="15">
        <v>5878.2</v>
      </c>
      <c r="L47" s="15">
        <v>5500</v>
      </c>
      <c r="M47" s="16" t="s">
        <v>207</v>
      </c>
      <c r="N47" s="8" t="s">
        <v>30</v>
      </c>
      <c r="O47" s="8" t="s">
        <v>40</v>
      </c>
      <c r="P47" s="17">
        <v>45925</v>
      </c>
      <c r="Q47" s="18">
        <v>45925</v>
      </c>
      <c r="R47" s="9">
        <v>10</v>
      </c>
      <c r="S47" s="8" t="s">
        <v>32</v>
      </c>
      <c r="T47" s="8" t="s">
        <v>74</v>
      </c>
      <c r="U47" s="8" t="s">
        <v>208</v>
      </c>
      <c r="V47" s="8" t="s">
        <v>35</v>
      </c>
      <c r="W47" s="19"/>
    </row>
    <row r="48" spans="1:23" x14ac:dyDescent="0.25">
      <c r="A48" s="8" t="s">
        <v>220</v>
      </c>
      <c r="B48" s="8" t="str">
        <f t="shared" si="0"/>
        <v>RFU2E2845922</v>
      </c>
      <c r="C48" s="9" t="s">
        <v>221</v>
      </c>
      <c r="D48" s="10">
        <v>131640</v>
      </c>
      <c r="E48" s="11" t="s">
        <v>222</v>
      </c>
      <c r="F48" s="12">
        <v>45910</v>
      </c>
      <c r="G48" s="13" t="s">
        <v>149</v>
      </c>
      <c r="H48" s="10" t="s">
        <v>27</v>
      </c>
      <c r="I48" s="14" t="s">
        <v>28</v>
      </c>
      <c r="J48" s="14" t="s">
        <v>29</v>
      </c>
      <c r="K48" s="15"/>
      <c r="L48" s="15"/>
      <c r="M48" s="16" t="s">
        <v>200</v>
      </c>
      <c r="N48" s="8" t="s">
        <v>30</v>
      </c>
      <c r="O48" s="8" t="s">
        <v>40</v>
      </c>
      <c r="P48" s="17">
        <v>45922</v>
      </c>
      <c r="Q48" s="18">
        <v>45922</v>
      </c>
      <c r="R48" s="9">
        <v>12</v>
      </c>
      <c r="S48" s="8" t="s">
        <v>32</v>
      </c>
      <c r="T48" s="8" t="s">
        <v>98</v>
      </c>
      <c r="U48" s="8" t="s">
        <v>202</v>
      </c>
      <c r="V48" s="8" t="s">
        <v>35</v>
      </c>
      <c r="W48" s="19"/>
    </row>
    <row r="49" spans="1:23" x14ac:dyDescent="0.25">
      <c r="A49" s="8" t="s">
        <v>223</v>
      </c>
      <c r="B49" s="8" t="str">
        <f t="shared" si="0"/>
        <v>FJG5F0345926</v>
      </c>
      <c r="C49" s="9" t="s">
        <v>224</v>
      </c>
      <c r="D49" s="10">
        <v>99784</v>
      </c>
      <c r="E49" s="11" t="s">
        <v>225</v>
      </c>
      <c r="F49" s="12">
        <v>45880</v>
      </c>
      <c r="G49" s="13" t="s">
        <v>226</v>
      </c>
      <c r="H49" s="10" t="s">
        <v>27</v>
      </c>
      <c r="I49" s="14" t="s">
        <v>28</v>
      </c>
      <c r="J49" s="14" t="s">
        <v>139</v>
      </c>
      <c r="K49" s="15"/>
      <c r="L49" s="15"/>
      <c r="M49" s="16" t="s">
        <v>227</v>
      </c>
      <c r="N49" s="8" t="s">
        <v>228</v>
      </c>
      <c r="O49" s="8" t="s">
        <v>40</v>
      </c>
      <c r="P49" s="17" t="s">
        <v>86</v>
      </c>
      <c r="Q49" s="18">
        <v>45926</v>
      </c>
      <c r="R49" s="9">
        <v>46</v>
      </c>
      <c r="S49" s="8" t="s">
        <v>32</v>
      </c>
      <c r="T49" s="8" t="s">
        <v>229</v>
      </c>
      <c r="U49" s="8" t="s">
        <v>230</v>
      </c>
      <c r="V49" s="8" t="s">
        <v>48</v>
      </c>
      <c r="W49" s="19"/>
    </row>
    <row r="50" spans="1:23" x14ac:dyDescent="0.25">
      <c r="A50" s="8" t="s">
        <v>231</v>
      </c>
      <c r="B50" s="8" t="str">
        <f t="shared" si="0"/>
        <v>GFX6D9145927</v>
      </c>
      <c r="C50" s="9" t="s">
        <v>224</v>
      </c>
      <c r="D50" s="10">
        <v>220642</v>
      </c>
      <c r="E50" s="11" t="s">
        <v>232</v>
      </c>
      <c r="F50" s="12">
        <v>45910</v>
      </c>
      <c r="G50" s="13" t="s">
        <v>138</v>
      </c>
      <c r="H50" s="10" t="s">
        <v>27</v>
      </c>
      <c r="I50" s="14" t="s">
        <v>28</v>
      </c>
      <c r="J50" s="14" t="s">
        <v>139</v>
      </c>
      <c r="K50" s="15"/>
      <c r="L50" s="15"/>
      <c r="M50" s="16" t="s">
        <v>233</v>
      </c>
      <c r="N50" s="8" t="s">
        <v>30</v>
      </c>
      <c r="O50" s="8" t="s">
        <v>40</v>
      </c>
      <c r="P50" s="17" t="s">
        <v>86</v>
      </c>
      <c r="Q50" s="18">
        <v>45927</v>
      </c>
      <c r="R50" s="9">
        <v>17</v>
      </c>
      <c r="S50" s="8" t="s">
        <v>32</v>
      </c>
      <c r="T50" s="8">
        <v>0</v>
      </c>
      <c r="U50" s="8" t="s">
        <v>234</v>
      </c>
      <c r="V50" s="8" t="s">
        <v>35</v>
      </c>
      <c r="W50" s="19"/>
    </row>
    <row r="51" spans="1:23" x14ac:dyDescent="0.25">
      <c r="A51" s="8" t="s">
        <v>235</v>
      </c>
      <c r="B51" s="8" t="str">
        <f t="shared" si="0"/>
        <v>SGI8H0345926</v>
      </c>
      <c r="C51" s="9" t="s">
        <v>96</v>
      </c>
      <c r="D51" s="10">
        <v>397005</v>
      </c>
      <c r="E51" s="11" t="s">
        <v>236</v>
      </c>
      <c r="F51" s="12">
        <v>45904</v>
      </c>
      <c r="G51" s="13" t="s">
        <v>123</v>
      </c>
      <c r="H51" s="10" t="s">
        <v>27</v>
      </c>
      <c r="I51" s="14" t="s">
        <v>28</v>
      </c>
      <c r="J51" s="14" t="s">
        <v>139</v>
      </c>
      <c r="K51" s="15"/>
      <c r="L51" s="15"/>
      <c r="M51" s="16" t="s">
        <v>237</v>
      </c>
      <c r="N51" s="8" t="s">
        <v>30</v>
      </c>
      <c r="O51" s="8" t="s">
        <v>40</v>
      </c>
      <c r="P51" s="17" t="s">
        <v>86</v>
      </c>
      <c r="Q51" s="18">
        <v>45926</v>
      </c>
      <c r="R51" s="9">
        <v>22</v>
      </c>
      <c r="S51" s="8" t="s">
        <v>32</v>
      </c>
      <c r="T51" s="8" t="s">
        <v>238</v>
      </c>
      <c r="U51" s="8" t="s">
        <v>42</v>
      </c>
      <c r="V51" s="8" t="s">
        <v>35</v>
      </c>
      <c r="W51" s="19"/>
    </row>
    <row r="52" spans="1:23" x14ac:dyDescent="0.25">
      <c r="A52" s="8" t="s">
        <v>178</v>
      </c>
      <c r="B52" s="8" t="str">
        <f t="shared" si="0"/>
        <v>TOE7D0045925</v>
      </c>
      <c r="C52" s="9" t="s">
        <v>96</v>
      </c>
      <c r="D52" s="10"/>
      <c r="E52" s="11" t="s">
        <v>239</v>
      </c>
      <c r="F52" s="12">
        <v>45842</v>
      </c>
      <c r="G52" s="13"/>
      <c r="H52" s="10" t="s">
        <v>27</v>
      </c>
      <c r="I52" s="14" t="s">
        <v>28</v>
      </c>
      <c r="J52" s="14" t="s">
        <v>139</v>
      </c>
      <c r="K52" s="15">
        <v>15404.35</v>
      </c>
      <c r="L52" s="15"/>
      <c r="M52" s="16" t="s">
        <v>240</v>
      </c>
      <c r="N52" s="8" t="s">
        <v>30</v>
      </c>
      <c r="O52" s="8" t="s">
        <v>40</v>
      </c>
      <c r="P52" s="17" t="s">
        <v>241</v>
      </c>
      <c r="Q52" s="18">
        <v>45925</v>
      </c>
      <c r="R52" s="9">
        <v>83</v>
      </c>
      <c r="S52" s="8" t="s">
        <v>32</v>
      </c>
      <c r="T52" s="8" t="s">
        <v>242</v>
      </c>
      <c r="U52" s="8"/>
      <c r="V52" s="8"/>
      <c r="W52" s="19"/>
    </row>
    <row r="53" spans="1:23" x14ac:dyDescent="0.25">
      <c r="A53" s="8" t="s">
        <v>243</v>
      </c>
      <c r="B53" s="8" t="str">
        <f t="shared" si="0"/>
        <v>SDT9F4445926</v>
      </c>
      <c r="C53" s="9" t="str">
        <f>IFERROR(VLOOKUP(#REF!,'[1]Base Cadastro '!#REF!,2,FALSE)," ")</f>
        <v xml:space="preserve"> </v>
      </c>
      <c r="D53" s="10">
        <v>94119</v>
      </c>
      <c r="E53" s="11" t="s">
        <v>244</v>
      </c>
      <c r="F53" s="12">
        <v>45915</v>
      </c>
      <c r="G53" s="13" t="s">
        <v>39</v>
      </c>
      <c r="H53" s="10" t="s">
        <v>27</v>
      </c>
      <c r="I53" s="14" t="s">
        <v>28</v>
      </c>
      <c r="J53" s="14" t="s">
        <v>139</v>
      </c>
      <c r="K53" s="15">
        <v>2530</v>
      </c>
      <c r="L53" s="15">
        <v>2530</v>
      </c>
      <c r="M53" s="16" t="e">
        <f>VLOOKUP(#REF!,'[1]Base Cadastro '!#REF!,13,FALSE)</f>
        <v>#REF!</v>
      </c>
      <c r="N53" s="8" t="s">
        <v>30</v>
      </c>
      <c r="O53" s="8" t="s">
        <v>40</v>
      </c>
      <c r="P53" s="17">
        <v>45926</v>
      </c>
      <c r="Q53" s="18">
        <v>45926</v>
      </c>
      <c r="R53" s="9" t="e">
        <f ca="1">IFERROR(DATEDIF(#REF!,#REF!,"D"),DATEDIF(#REF!,TODAY(),"D"))</f>
        <v>#REF!</v>
      </c>
      <c r="S53" s="8" t="e">
        <f>IF(#REF!&lt;=2,"Dentro do Prazo","Fora do Prazo")</f>
        <v>#REF!</v>
      </c>
      <c r="T53" s="8" t="s">
        <v>89</v>
      </c>
      <c r="U53" s="8" t="s">
        <v>54</v>
      </c>
      <c r="V53" s="8" t="s">
        <v>35</v>
      </c>
      <c r="W53" s="19"/>
    </row>
    <row r="54" spans="1:23" x14ac:dyDescent="0.25">
      <c r="A54" s="8" t="s">
        <v>245</v>
      </c>
      <c r="B54" s="8" t="str">
        <f t="shared" si="0"/>
        <v>RUL7F4845929</v>
      </c>
      <c r="C54" s="9" t="str">
        <f>IFERROR(VLOOKUP(#REF!,'[1]Base Cadastro '!#REF!,2,FALSE)," ")</f>
        <v xml:space="preserve"> </v>
      </c>
      <c r="D54" s="10">
        <v>71034</v>
      </c>
      <c r="E54" s="11" t="s">
        <v>246</v>
      </c>
      <c r="F54" s="12">
        <v>45831</v>
      </c>
      <c r="G54" s="13" t="s">
        <v>149</v>
      </c>
      <c r="H54" s="10" t="s">
        <v>27</v>
      </c>
      <c r="I54" s="14" t="s">
        <v>28</v>
      </c>
      <c r="J54" s="14" t="s">
        <v>29</v>
      </c>
      <c r="K54" s="15"/>
      <c r="L54" s="15"/>
      <c r="M54" s="16" t="e">
        <f>VLOOKUP(#REF!,'[1]Base Cadastro '!#REF!,13,FALSE)</f>
        <v>#REF!</v>
      </c>
      <c r="N54" s="8" t="s">
        <v>30</v>
      </c>
      <c r="O54" s="8" t="s">
        <v>31</v>
      </c>
      <c r="P54" s="17">
        <v>45931</v>
      </c>
      <c r="Q54" s="18">
        <v>45929</v>
      </c>
      <c r="R54" s="9" t="e">
        <f ca="1">IFERROR(DATEDIF(#REF!,#REF!,"D"),DATEDIF(#REF!,TODAY(),"D"))</f>
        <v>#REF!</v>
      </c>
      <c r="S54" s="8" t="e">
        <f>IF(#REF!&lt;=2,"Dentro do Prazo","Fora do Prazo")</f>
        <v>#REF!</v>
      </c>
      <c r="T54" s="8" t="s">
        <v>247</v>
      </c>
      <c r="U54" s="8" t="s">
        <v>248</v>
      </c>
      <c r="V54" s="8" t="s">
        <v>135</v>
      </c>
      <c r="W54" s="19"/>
    </row>
    <row r="55" spans="1:23" x14ac:dyDescent="0.25">
      <c r="A55" s="8" t="s">
        <v>249</v>
      </c>
      <c r="B55" s="8" t="str">
        <f t="shared" si="0"/>
        <v>SDQ4A2945930</v>
      </c>
      <c r="C55" s="9" t="str">
        <f>IFERROR(VLOOKUP(#REF!,'[1]Base Cadastro '!#REF!,2,FALSE)," ")</f>
        <v xml:space="preserve"> </v>
      </c>
      <c r="D55" s="10">
        <v>292435</v>
      </c>
      <c r="E55" s="11" t="s">
        <v>250</v>
      </c>
      <c r="F55" s="12">
        <v>45915</v>
      </c>
      <c r="G55" s="13" t="s">
        <v>39</v>
      </c>
      <c r="H55" s="10" t="s">
        <v>52</v>
      </c>
      <c r="I55" s="14" t="s">
        <v>28</v>
      </c>
      <c r="J55" s="14" t="s">
        <v>29</v>
      </c>
      <c r="K55" s="15">
        <v>9810</v>
      </c>
      <c r="L55" s="15">
        <v>9810</v>
      </c>
      <c r="M55" s="16" t="e">
        <f>VLOOKUP(#REF!,'[1]Base Cadastro '!#REF!,13,FALSE)</f>
        <v>#REF!</v>
      </c>
      <c r="N55" s="8" t="s">
        <v>30</v>
      </c>
      <c r="O55" s="8" t="s">
        <v>52</v>
      </c>
      <c r="P55" s="17">
        <v>45930</v>
      </c>
      <c r="Q55" s="18">
        <v>45930</v>
      </c>
      <c r="R55" s="9" t="e">
        <f ca="1">IFERROR(DATEDIF(#REF!,#REF!,"D"),DATEDIF(#REF!,TODAY(),"D"))</f>
        <v>#REF!</v>
      </c>
      <c r="S55" s="8" t="e">
        <f>IF(#REF!&lt;=2,"Dentro do Prazo","Fora do Prazo")</f>
        <v>#REF!</v>
      </c>
      <c r="T55" s="8" t="s">
        <v>93</v>
      </c>
      <c r="U55" s="8"/>
      <c r="V55" s="8" t="s">
        <v>35</v>
      </c>
      <c r="W55" s="19"/>
    </row>
    <row r="56" spans="1:23" x14ac:dyDescent="0.25">
      <c r="A56" s="8" t="s">
        <v>251</v>
      </c>
      <c r="B56" s="8" t="str">
        <f t="shared" si="0"/>
        <v>GCX2D3545930</v>
      </c>
      <c r="C56" s="9" t="str">
        <f>IFERROR(VLOOKUP(#REF!,'[1]Base Cadastro '!#REF!,2,FALSE)," ")</f>
        <v xml:space="preserve"> </v>
      </c>
      <c r="D56" s="10">
        <v>119264</v>
      </c>
      <c r="E56" s="11" t="s">
        <v>252</v>
      </c>
      <c r="F56" s="12">
        <v>45891</v>
      </c>
      <c r="G56" s="13" t="s">
        <v>253</v>
      </c>
      <c r="H56" s="10" t="s">
        <v>27</v>
      </c>
      <c r="I56" s="14" t="s">
        <v>28</v>
      </c>
      <c r="J56" s="14" t="s">
        <v>139</v>
      </c>
      <c r="K56" s="15"/>
      <c r="L56" s="15"/>
      <c r="M56" s="16" t="e">
        <f>VLOOKUP(#REF!,'[1]Base Cadastro '!#REF!,13,FALSE)</f>
        <v>#REF!</v>
      </c>
      <c r="N56" s="8" t="s">
        <v>228</v>
      </c>
      <c r="O56" s="8" t="s">
        <v>40</v>
      </c>
      <c r="P56" s="17" t="s">
        <v>86</v>
      </c>
      <c r="Q56" s="18">
        <v>45930</v>
      </c>
      <c r="R56" s="9" t="e">
        <f ca="1">IFERROR(DATEDIF(#REF!,#REF!,"D"),DATEDIF(#REF!,TODAY(),"D"))</f>
        <v>#REF!</v>
      </c>
      <c r="S56" s="8" t="e">
        <f>IF(#REF!&lt;=2,"Dentro do Prazo","Fora do Prazo")</f>
        <v>#REF!</v>
      </c>
      <c r="T56" s="8" t="s">
        <v>229</v>
      </c>
      <c r="U56" s="8" t="s">
        <v>254</v>
      </c>
      <c r="V56" s="8" t="s">
        <v>48</v>
      </c>
      <c r="W56" s="19"/>
    </row>
    <row r="57" spans="1:23" x14ac:dyDescent="0.25">
      <c r="A57" s="8" t="s">
        <v>255</v>
      </c>
      <c r="B57" s="8" t="str">
        <f t="shared" si="0"/>
        <v>SFV0D6745930</v>
      </c>
      <c r="C57" s="9" t="str">
        <f>IFERROR(VLOOKUP(#REF!,'[1]Base Cadastro '!#REF!,2,FALSE)," ")</f>
        <v xml:space="preserve"> </v>
      </c>
      <c r="D57" s="10">
        <v>85063</v>
      </c>
      <c r="E57" s="11" t="s">
        <v>256</v>
      </c>
      <c r="F57" s="12">
        <v>45894</v>
      </c>
      <c r="G57" s="13" t="s">
        <v>257</v>
      </c>
      <c r="H57" s="10" t="s">
        <v>27</v>
      </c>
      <c r="I57" s="14" t="s">
        <v>28</v>
      </c>
      <c r="J57" s="14" t="s">
        <v>139</v>
      </c>
      <c r="K57" s="15"/>
      <c r="L57" s="15"/>
      <c r="M57" s="16" t="e">
        <f>VLOOKUP(#REF!,'[1]Base Cadastro '!#REF!,13,FALSE)</f>
        <v>#REF!</v>
      </c>
      <c r="N57" s="8" t="s">
        <v>30</v>
      </c>
      <c r="O57" s="8" t="s">
        <v>40</v>
      </c>
      <c r="P57" s="17" t="s">
        <v>86</v>
      </c>
      <c r="Q57" s="18">
        <v>45930</v>
      </c>
      <c r="R57" s="9" t="e">
        <f ca="1">IFERROR(DATEDIF(#REF!,#REF!,"D"),DATEDIF(#REF!,TODAY(),"D"))</f>
        <v>#REF!</v>
      </c>
      <c r="S57" s="8" t="e">
        <f>IF(#REF!&lt;=2,"Dentro do Prazo","Fora do Prazo")</f>
        <v>#REF!</v>
      </c>
      <c r="T57" s="8" t="s">
        <v>201</v>
      </c>
      <c r="U57" s="8" t="s">
        <v>258</v>
      </c>
      <c r="V57" s="8" t="s">
        <v>48</v>
      </c>
      <c r="W57" s="19"/>
    </row>
    <row r="58" spans="1:23" x14ac:dyDescent="0.25">
      <c r="A58" s="8" t="s">
        <v>259</v>
      </c>
      <c r="B58" s="8" t="str">
        <f t="shared" si="0"/>
        <v>SGI8I9545929</v>
      </c>
      <c r="C58" s="9" t="str">
        <f>IFERROR(VLOOKUP(#REF!,'[1]Base Cadastro '!#REF!,2,FALSE)," ")</f>
        <v xml:space="preserve"> </v>
      </c>
      <c r="D58" s="10">
        <v>56930</v>
      </c>
      <c r="E58" s="11" t="s">
        <v>260</v>
      </c>
      <c r="F58" s="12">
        <v>45916</v>
      </c>
      <c r="G58" s="13" t="s">
        <v>123</v>
      </c>
      <c r="H58" s="10" t="s">
        <v>27</v>
      </c>
      <c r="I58" s="14" t="s">
        <v>28</v>
      </c>
      <c r="J58" s="14" t="s">
        <v>139</v>
      </c>
      <c r="K58" s="15"/>
      <c r="L58" s="15"/>
      <c r="M58" s="16" t="e">
        <f>VLOOKUP(#REF!,'[1]Base Cadastro '!#REF!,13,FALSE)</f>
        <v>#REF!</v>
      </c>
      <c r="N58" s="8" t="s">
        <v>30</v>
      </c>
      <c r="O58" s="8" t="s">
        <v>40</v>
      </c>
      <c r="P58" s="17">
        <v>45929</v>
      </c>
      <c r="Q58" s="18">
        <v>45929</v>
      </c>
      <c r="R58" s="9" t="e">
        <f ca="1">IFERROR(DATEDIF(#REF!,#REF!,"D"),DATEDIF(#REF!,TODAY(),"D"))</f>
        <v>#REF!</v>
      </c>
      <c r="S58" s="8" t="e">
        <f>IF(#REF!&lt;=2,"Dentro do Prazo","Fora do Prazo")</f>
        <v>#REF!</v>
      </c>
      <c r="T58" s="8" t="s">
        <v>261</v>
      </c>
      <c r="U58" s="8" t="s">
        <v>215</v>
      </c>
      <c r="V58" s="8" t="s">
        <v>35</v>
      </c>
      <c r="W58" s="19"/>
    </row>
    <row r="59" spans="1:23" x14ac:dyDescent="0.25">
      <c r="A59" s="8" t="s">
        <v>262</v>
      </c>
      <c r="B59" s="8" t="str">
        <f t="shared" si="0"/>
        <v>SGK7E2445929</v>
      </c>
      <c r="C59" s="9" t="str">
        <f>IFERROR(VLOOKUP(#REF!,'[1]Base Cadastro '!#REF!,2,FALSE)," ")</f>
        <v xml:space="preserve"> </v>
      </c>
      <c r="D59" s="10">
        <v>9829</v>
      </c>
      <c r="E59" s="11" t="s">
        <v>263</v>
      </c>
      <c r="F59" s="12">
        <v>45888</v>
      </c>
      <c r="G59" s="13" t="s">
        <v>92</v>
      </c>
      <c r="H59" s="10" t="s">
        <v>52</v>
      </c>
      <c r="I59" s="14" t="s">
        <v>28</v>
      </c>
      <c r="J59" s="14" t="s">
        <v>29</v>
      </c>
      <c r="K59" s="15">
        <v>6000</v>
      </c>
      <c r="L59" s="15">
        <v>6000</v>
      </c>
      <c r="M59" s="16" t="e">
        <f>VLOOKUP(#REF!,'[1]Base Cadastro '!#REF!,13,FALSE)</f>
        <v>#REF!</v>
      </c>
      <c r="N59" s="8" t="s">
        <v>30</v>
      </c>
      <c r="O59" s="8" t="s">
        <v>52</v>
      </c>
      <c r="P59" s="17">
        <v>45930</v>
      </c>
      <c r="Q59" s="18">
        <v>45929</v>
      </c>
      <c r="R59" s="9" t="e">
        <f ca="1">IFERROR(DATEDIF(#REF!,#REF!,"D"),DATEDIF(#REF!,TODAY(),"D"))</f>
        <v>#REF!</v>
      </c>
      <c r="S59" s="8" t="e">
        <f>IF(#REF!&lt;=2,"Dentro do Prazo","Fora do Prazo")</f>
        <v>#REF!</v>
      </c>
      <c r="T59" s="8" t="s">
        <v>264</v>
      </c>
      <c r="U59" s="8" t="s">
        <v>265</v>
      </c>
      <c r="V59" s="8" t="s">
        <v>35</v>
      </c>
      <c r="W59" s="19"/>
    </row>
    <row r="60" spans="1:23" x14ac:dyDescent="0.25">
      <c r="A60" s="8" t="s">
        <v>266</v>
      </c>
      <c r="B60" s="8" t="str">
        <f t="shared" si="0"/>
        <v>RNH7H5045929</v>
      </c>
      <c r="C60" s="9" t="str">
        <f>IFERROR(VLOOKUP(#REF!,'[1]Base Cadastro '!#REF!,2,FALSE)," ")</f>
        <v xml:space="preserve"> </v>
      </c>
      <c r="D60" s="10"/>
      <c r="E60" s="11" t="s">
        <v>267</v>
      </c>
      <c r="F60" s="12">
        <v>45915</v>
      </c>
      <c r="G60" s="13" t="s">
        <v>138</v>
      </c>
      <c r="H60" s="10" t="s">
        <v>27</v>
      </c>
      <c r="I60" s="14" t="s">
        <v>28</v>
      </c>
      <c r="J60" s="14" t="s">
        <v>139</v>
      </c>
      <c r="K60" s="15"/>
      <c r="L60" s="15"/>
      <c r="M60" s="16" t="e">
        <f>VLOOKUP(#REF!,'[1]Base Cadastro '!#REF!,13,FALSE)</f>
        <v>#REF!</v>
      </c>
      <c r="N60" s="8" t="s">
        <v>30</v>
      </c>
      <c r="O60" s="8" t="s">
        <v>40</v>
      </c>
      <c r="P60" s="17" t="s">
        <v>86</v>
      </c>
      <c r="Q60" s="18">
        <v>45929</v>
      </c>
      <c r="R60" s="9" t="e">
        <f ca="1">IFERROR(DATEDIF(#REF!,#REF!,"D"),DATEDIF(#REF!,TODAY(),"D"))</f>
        <v>#REF!</v>
      </c>
      <c r="S60" s="8" t="e">
        <f>IF(#REF!&lt;=2,"Dentro do Prazo","Fora do Prazo")</f>
        <v>#REF!</v>
      </c>
      <c r="T60" s="8" t="s">
        <v>98</v>
      </c>
      <c r="U60" s="8" t="s">
        <v>34</v>
      </c>
      <c r="V60" s="8" t="s">
        <v>35</v>
      </c>
      <c r="W60" s="19"/>
    </row>
    <row r="61" spans="1:23" x14ac:dyDescent="0.25">
      <c r="A61" s="8" t="s">
        <v>223</v>
      </c>
      <c r="B61" s="8" t="str">
        <f t="shared" si="0"/>
        <v>FJG5F0345930</v>
      </c>
      <c r="C61" s="9" t="s">
        <v>224</v>
      </c>
      <c r="D61" s="10" t="s">
        <v>268</v>
      </c>
      <c r="E61" s="11" t="s">
        <v>269</v>
      </c>
      <c r="F61" s="12">
        <v>45926</v>
      </c>
      <c r="G61" s="13" t="s">
        <v>226</v>
      </c>
      <c r="H61" s="10" t="s">
        <v>27</v>
      </c>
      <c r="I61" s="14" t="s">
        <v>28</v>
      </c>
      <c r="J61" s="14" t="s">
        <v>150</v>
      </c>
      <c r="K61" s="15"/>
      <c r="L61" s="15"/>
      <c r="M61" s="16" t="s">
        <v>227</v>
      </c>
      <c r="N61" s="8" t="s">
        <v>228</v>
      </c>
      <c r="O61" s="8" t="s">
        <v>40</v>
      </c>
      <c r="P61" s="17">
        <v>45930</v>
      </c>
      <c r="Q61" s="18">
        <v>45930</v>
      </c>
      <c r="R61" s="9" t="e">
        <f ca="1">IFERROR(DATEDIF(#REF!,#REF!,"D"),DATEDIF(#REF!,TODAY(),"D"))</f>
        <v>#REF!</v>
      </c>
      <c r="S61" s="8" t="e">
        <f>IF(#REF!&lt;=2,"Dentro do Prazo","Fora do Prazo")</f>
        <v>#REF!</v>
      </c>
      <c r="T61" s="8" t="s">
        <v>270</v>
      </c>
      <c r="U61" s="8" t="s">
        <v>271</v>
      </c>
      <c r="V61" s="8" t="s">
        <v>35</v>
      </c>
      <c r="W61" s="19"/>
    </row>
    <row r="62" spans="1:23" x14ac:dyDescent="0.25">
      <c r="A62" s="8" t="s">
        <v>272</v>
      </c>
      <c r="B62" s="8" t="str">
        <f t="shared" si="0"/>
        <v>RTM6B7045930</v>
      </c>
      <c r="C62" s="9" t="str">
        <f>IFERROR(VLOOKUP(#REF!,'[1]Base Cadastro '!#REF!,2,FALSE)," ")</f>
        <v xml:space="preserve"> </v>
      </c>
      <c r="D62" s="10"/>
      <c r="E62" s="11" t="s">
        <v>273</v>
      </c>
      <c r="F62" s="12">
        <v>45870</v>
      </c>
      <c r="G62" s="13" t="s">
        <v>149</v>
      </c>
      <c r="H62" s="10" t="s">
        <v>52</v>
      </c>
      <c r="I62" s="14" t="s">
        <v>28</v>
      </c>
      <c r="J62" s="14" t="s">
        <v>150</v>
      </c>
      <c r="K62" s="15">
        <v>3100</v>
      </c>
      <c r="L62" s="15">
        <v>3100</v>
      </c>
      <c r="M62" s="16" t="e">
        <f>VLOOKUP(#REF!,'[1]Base Cadastro '!#REF!,13,FALSE)</f>
        <v>#REF!</v>
      </c>
      <c r="N62" s="8" t="s">
        <v>30</v>
      </c>
      <c r="O62" s="8" t="s">
        <v>52</v>
      </c>
      <c r="P62" s="17" t="s">
        <v>86</v>
      </c>
      <c r="Q62" s="18">
        <v>45930</v>
      </c>
      <c r="R62" s="9" t="e">
        <f ca="1">IFERROR(DATEDIF(#REF!,#REF!,"D"),DATEDIF(#REF!,TODAY(),"D"))</f>
        <v>#REF!</v>
      </c>
      <c r="S62" s="8" t="e">
        <f>IF(#REF!&lt;=2,"Dentro do Prazo","Fora do Prazo")</f>
        <v>#REF!</v>
      </c>
      <c r="T62" s="8" t="s">
        <v>274</v>
      </c>
      <c r="U62" s="8" t="s">
        <v>275</v>
      </c>
      <c r="V62" s="8" t="s">
        <v>35</v>
      </c>
      <c r="W62" s="19"/>
    </row>
    <row r="63" spans="1:23" x14ac:dyDescent="0.25">
      <c r="A63" s="8" t="s">
        <v>276</v>
      </c>
      <c r="B63" s="8" t="str">
        <f t="shared" si="0"/>
        <v>SGH1B1945930</v>
      </c>
      <c r="C63" s="9" t="str">
        <f>IFERROR(VLOOKUP(#REF!,'[1]Base Cadastro '!#REF!,2,FALSE)," ")</f>
        <v xml:space="preserve"> </v>
      </c>
      <c r="D63" s="10">
        <v>56616</v>
      </c>
      <c r="E63" s="11" t="s">
        <v>277</v>
      </c>
      <c r="F63" s="12">
        <v>45901</v>
      </c>
      <c r="G63" s="13" t="s">
        <v>39</v>
      </c>
      <c r="H63" s="10" t="s">
        <v>27</v>
      </c>
      <c r="I63" s="14" t="s">
        <v>28</v>
      </c>
      <c r="J63" s="14" t="s">
        <v>139</v>
      </c>
      <c r="K63" s="15"/>
      <c r="L63" s="15"/>
      <c r="M63" s="16" t="e">
        <f>VLOOKUP(#REF!,'[1]Base Cadastro '!#REF!,13,FALSE)</f>
        <v>#REF!</v>
      </c>
      <c r="N63" s="8" t="s">
        <v>30</v>
      </c>
      <c r="O63" s="8" t="s">
        <v>40</v>
      </c>
      <c r="P63" s="17" t="s">
        <v>86</v>
      </c>
      <c r="Q63" s="18">
        <v>45930</v>
      </c>
      <c r="R63" s="9" t="e">
        <f ca="1">IFERROR(DATEDIF(#REF!,#REF!,"D"),DATEDIF(#REF!,TODAY(),"D"))</f>
        <v>#REF!</v>
      </c>
      <c r="S63" s="8" t="e">
        <f>IF(#REF!&lt;=2,"Dentro do Prazo","Fora do Prazo")</f>
        <v>#REF!</v>
      </c>
      <c r="T63" s="8" t="s">
        <v>278</v>
      </c>
      <c r="U63" s="8" t="s">
        <v>279</v>
      </c>
      <c r="V63" s="8" t="s">
        <v>35</v>
      </c>
      <c r="W63" s="19"/>
    </row>
    <row r="64" spans="1:23" x14ac:dyDescent="0.25">
      <c r="A64" s="8" t="s">
        <v>280</v>
      </c>
      <c r="B64" s="8" t="str">
        <f t="shared" si="0"/>
        <v>RVD4C9145931</v>
      </c>
      <c r="C64" s="9" t="str">
        <f>IFERROR(VLOOKUP(#REF!,'[1]Base Cadastro '!#REF!,2,FALSE)," ")</f>
        <v xml:space="preserve"> </v>
      </c>
      <c r="D64" s="10"/>
      <c r="E64" s="11" t="s">
        <v>281</v>
      </c>
      <c r="F64" s="12">
        <v>45744</v>
      </c>
      <c r="G64" s="13" t="s">
        <v>138</v>
      </c>
      <c r="H64" s="10" t="s">
        <v>27</v>
      </c>
      <c r="I64" s="14" t="s">
        <v>28</v>
      </c>
      <c r="J64" s="14" t="s">
        <v>139</v>
      </c>
      <c r="K64" s="15"/>
      <c r="L64" s="15"/>
      <c r="M64" s="16" t="e">
        <f>VLOOKUP(#REF!,'[1]Base Cadastro '!#REF!,13,FALSE)</f>
        <v>#REF!</v>
      </c>
      <c r="N64" s="8" t="s">
        <v>30</v>
      </c>
      <c r="O64" s="8" t="s">
        <v>40</v>
      </c>
      <c r="P64" s="17">
        <v>45931</v>
      </c>
      <c r="Q64" s="18">
        <v>45931</v>
      </c>
      <c r="R64" s="9" t="e">
        <f ca="1">IFERROR(DATEDIF(#REF!,#REF!,"D"),DATEDIF(#REF!,TODAY(),"D"))</f>
        <v>#REF!</v>
      </c>
      <c r="S64" s="8" t="e">
        <f>IF(#REF!&lt;=2,"Dentro do Prazo","Fora do Prazo")</f>
        <v>#REF!</v>
      </c>
      <c r="T64" s="8" t="s">
        <v>282</v>
      </c>
      <c r="U64" s="8" t="s">
        <v>258</v>
      </c>
      <c r="V64" s="8" t="s">
        <v>283</v>
      </c>
      <c r="W64" s="19"/>
    </row>
    <row r="65" spans="1:23" x14ac:dyDescent="0.25">
      <c r="A65" s="8" t="s">
        <v>284</v>
      </c>
      <c r="B65" s="8" t="str">
        <f t="shared" si="0"/>
        <v>GEW1I6445931</v>
      </c>
      <c r="C65" s="9" t="str">
        <f>IFERROR(VLOOKUP(#REF!,'[1]Base Cadastro '!#REF!,2,FALSE)," ")</f>
        <v xml:space="preserve"> </v>
      </c>
      <c r="D65" s="10" t="s">
        <v>285</v>
      </c>
      <c r="E65" s="11" t="s">
        <v>286</v>
      </c>
      <c r="F65" s="12">
        <v>45692</v>
      </c>
      <c r="G65" s="13" t="s">
        <v>226</v>
      </c>
      <c r="H65" s="10" t="s">
        <v>27</v>
      </c>
      <c r="I65" s="14" t="s">
        <v>28</v>
      </c>
      <c r="J65" s="14"/>
      <c r="K65" s="15"/>
      <c r="L65" s="15"/>
      <c r="M65" s="16" t="e">
        <f>VLOOKUP(#REF!,'[1]Base Cadastro '!#REF!,13,FALSE)</f>
        <v>#REF!</v>
      </c>
      <c r="N65" s="8" t="s">
        <v>287</v>
      </c>
      <c r="O65" s="8"/>
      <c r="P65" s="17" t="s">
        <v>288</v>
      </c>
      <c r="Q65" s="18">
        <v>45931</v>
      </c>
      <c r="R65" s="9"/>
      <c r="S65" s="8"/>
      <c r="T65" s="8"/>
      <c r="U65" s="8" t="s">
        <v>289</v>
      </c>
      <c r="V65" s="8" t="s">
        <v>290</v>
      </c>
      <c r="W65" s="19"/>
    </row>
    <row r="66" spans="1:23" x14ac:dyDescent="0.25">
      <c r="A66" s="8" t="s">
        <v>291</v>
      </c>
      <c r="B66" s="8" t="str">
        <f t="shared" si="0"/>
        <v>SDU2D2645931</v>
      </c>
      <c r="C66" s="9" t="str">
        <f>IFERROR(VLOOKUP(#REF!,'[1]Base Cadastro '!#REF!,2,FALSE)," ")</f>
        <v xml:space="preserve"> </v>
      </c>
      <c r="D66" s="10">
        <v>47510</v>
      </c>
      <c r="E66" s="11" t="s">
        <v>292</v>
      </c>
      <c r="F66" s="12">
        <v>45915</v>
      </c>
      <c r="G66" s="13" t="s">
        <v>39</v>
      </c>
      <c r="H66" s="10" t="s">
        <v>52</v>
      </c>
      <c r="I66" s="14" t="s">
        <v>28</v>
      </c>
      <c r="J66" s="14" t="s">
        <v>29</v>
      </c>
      <c r="K66" s="15">
        <v>3636</v>
      </c>
      <c r="L66" s="15">
        <v>3636</v>
      </c>
      <c r="M66" s="16" t="e">
        <f>VLOOKUP(#REF!,'[1]Base Cadastro '!#REF!,13,FALSE)</f>
        <v>#REF!</v>
      </c>
      <c r="N66" s="8" t="s">
        <v>30</v>
      </c>
      <c r="O66" s="8" t="s">
        <v>52</v>
      </c>
      <c r="P66" s="17">
        <v>45932</v>
      </c>
      <c r="Q66" s="18">
        <v>45931</v>
      </c>
      <c r="R66" s="9" t="e">
        <f ca="1">IFERROR(DATEDIF(#REF!,#REF!,"D"),DATEDIF(#REF!,TODAY(),"D"))</f>
        <v>#REF!</v>
      </c>
      <c r="S66" s="8" t="e">
        <f>IF(#REF!&lt;=2,"Dentro do Prazo","Fora do Prazo")</f>
        <v>#REF!</v>
      </c>
      <c r="T66" s="8" t="s">
        <v>74</v>
      </c>
      <c r="U66" s="8" t="s">
        <v>188</v>
      </c>
      <c r="V66" s="8" t="s">
        <v>35</v>
      </c>
      <c r="W66" s="19"/>
    </row>
    <row r="67" spans="1:23" x14ac:dyDescent="0.25">
      <c r="A67" s="8" t="s">
        <v>293</v>
      </c>
      <c r="B67" s="8" t="str">
        <f t="shared" ref="B67:B130" si="1">A67&amp;Q67</f>
        <v>SGF8J0845931</v>
      </c>
      <c r="C67" s="9" t="str">
        <f>IFERROR(VLOOKUP(#REF!,'[1]Base Cadastro '!#REF!,2,FALSE)," ")</f>
        <v xml:space="preserve"> </v>
      </c>
      <c r="D67" s="10">
        <v>64570</v>
      </c>
      <c r="E67" s="11" t="s">
        <v>31</v>
      </c>
      <c r="F67" s="12">
        <v>45924</v>
      </c>
      <c r="G67" s="13" t="s">
        <v>257</v>
      </c>
      <c r="H67" s="10" t="s">
        <v>27</v>
      </c>
      <c r="I67" s="14" t="s">
        <v>28</v>
      </c>
      <c r="J67" s="14" t="s">
        <v>139</v>
      </c>
      <c r="K67" s="15"/>
      <c r="L67" s="15"/>
      <c r="M67" s="16" t="s">
        <v>294</v>
      </c>
      <c r="N67" s="8" t="s">
        <v>30</v>
      </c>
      <c r="O67" s="8" t="s">
        <v>40</v>
      </c>
      <c r="P67" s="17">
        <v>45931</v>
      </c>
      <c r="Q67" s="18">
        <v>45931</v>
      </c>
      <c r="R67" s="9" t="e">
        <f ca="1">IFERROR(DATEDIF(#REF!,#REF!,"D"),DATEDIF(#REF!,TODAY(),"D"))</f>
        <v>#REF!</v>
      </c>
      <c r="S67" s="8" t="e">
        <f>IF(#REF!&lt;=2,"Dentro do Prazo","Fora do Prazo")</f>
        <v>#REF!</v>
      </c>
      <c r="T67" s="8"/>
      <c r="U67" s="8" t="s">
        <v>295</v>
      </c>
      <c r="V67" s="8" t="s">
        <v>35</v>
      </c>
      <c r="W67" s="19"/>
    </row>
    <row r="68" spans="1:23" x14ac:dyDescent="0.25">
      <c r="A68" s="8" t="s">
        <v>296</v>
      </c>
      <c r="B68" s="8" t="str">
        <f t="shared" si="1"/>
        <v>SGI8J3045931</v>
      </c>
      <c r="C68" s="9" t="str">
        <f>IFERROR(VLOOKUP(#REF!,'[1]Base Cadastro '!#REF!,2,FALSE)," ")</f>
        <v xml:space="preserve"> </v>
      </c>
      <c r="D68" s="10">
        <v>5004432</v>
      </c>
      <c r="E68" s="11" t="s">
        <v>297</v>
      </c>
      <c r="F68" s="12">
        <v>45879</v>
      </c>
      <c r="G68" s="13" t="s">
        <v>123</v>
      </c>
      <c r="H68" s="10" t="s">
        <v>27</v>
      </c>
      <c r="I68" s="14" t="s">
        <v>176</v>
      </c>
      <c r="J68" s="14" t="s">
        <v>139</v>
      </c>
      <c r="K68" s="15"/>
      <c r="L68" s="15"/>
      <c r="M68" s="16" t="e">
        <f>VLOOKUP(#REF!,'[1]Base Cadastro '!#REF!,13,FALSE)</f>
        <v>#REF!</v>
      </c>
      <c r="N68" s="8" t="s">
        <v>30</v>
      </c>
      <c r="O68" s="8" t="s">
        <v>40</v>
      </c>
      <c r="P68" s="17" t="s">
        <v>86</v>
      </c>
      <c r="Q68" s="18">
        <v>45931</v>
      </c>
      <c r="R68" s="9" t="e">
        <f ca="1">IFERROR(DATEDIF(#REF!,#REF!,"D"),DATEDIF(#REF!,TODAY(),"D"))</f>
        <v>#REF!</v>
      </c>
      <c r="S68" s="8" t="e">
        <f>IF(#REF!&lt;=2,"Dentro do Prazo","Fora do Prazo")</f>
        <v>#REF!</v>
      </c>
      <c r="T68" s="8" t="s">
        <v>298</v>
      </c>
      <c r="U68" s="8" t="s">
        <v>177</v>
      </c>
      <c r="V68" s="8" t="s">
        <v>48</v>
      </c>
      <c r="W68" s="19"/>
    </row>
    <row r="69" spans="1:23" x14ac:dyDescent="0.25">
      <c r="A69" s="8" t="s">
        <v>299</v>
      </c>
      <c r="B69" s="8" t="str">
        <f t="shared" si="1"/>
        <v>SFW0A7545931</v>
      </c>
      <c r="C69" s="9" t="str">
        <f>IFERROR(VLOOKUP(#REF!,'[1]Base Cadastro '!#REF!,2,FALSE)," ")</f>
        <v xml:space="preserve"> </v>
      </c>
      <c r="D69" s="10">
        <v>526581</v>
      </c>
      <c r="E69" s="11" t="s">
        <v>300</v>
      </c>
      <c r="F69" s="12">
        <v>45879</v>
      </c>
      <c r="G69" s="13" t="s">
        <v>123</v>
      </c>
      <c r="H69" s="10" t="s">
        <v>27</v>
      </c>
      <c r="I69" s="14" t="s">
        <v>176</v>
      </c>
      <c r="J69" s="14" t="s">
        <v>139</v>
      </c>
      <c r="K69" s="15"/>
      <c r="L69" s="15"/>
      <c r="M69" s="16" t="e">
        <f>VLOOKUP(#REF!,'[1]Base Cadastro '!#REF!,13,FALSE)</f>
        <v>#REF!</v>
      </c>
      <c r="N69" s="8" t="s">
        <v>30</v>
      </c>
      <c r="O69" s="8" t="s">
        <v>40</v>
      </c>
      <c r="P69" s="17" t="s">
        <v>86</v>
      </c>
      <c r="Q69" s="18">
        <v>45931</v>
      </c>
      <c r="R69" s="9" t="e">
        <f ca="1">IFERROR(DATEDIF(#REF!,#REF!,"D"),DATEDIF(#REF!,TODAY(),"D"))</f>
        <v>#REF!</v>
      </c>
      <c r="S69" s="8" t="e">
        <f>IF(#REF!&lt;=2,"Dentro do Prazo","Fora do Prazo")</f>
        <v>#REF!</v>
      </c>
      <c r="T69" s="8" t="s">
        <v>298</v>
      </c>
      <c r="U69" s="8" t="s">
        <v>177</v>
      </c>
      <c r="V69" s="8" t="s">
        <v>48</v>
      </c>
      <c r="W69" s="19"/>
    </row>
    <row r="70" spans="1:23" x14ac:dyDescent="0.25">
      <c r="A70" s="8" t="s">
        <v>301</v>
      </c>
      <c r="B70" s="8" t="str">
        <f t="shared" si="1"/>
        <v>SFT5B0345931</v>
      </c>
      <c r="C70" s="9" t="str">
        <f>IFERROR(VLOOKUP(#REF!,'[1]Base Cadastro '!#REF!,2,FALSE)," ")</f>
        <v xml:space="preserve"> </v>
      </c>
      <c r="D70" s="10">
        <v>48672</v>
      </c>
      <c r="E70" s="11" t="s">
        <v>80</v>
      </c>
      <c r="F70" s="12">
        <v>45902</v>
      </c>
      <c r="G70" s="13" t="s">
        <v>257</v>
      </c>
      <c r="H70" s="10" t="s">
        <v>27</v>
      </c>
      <c r="I70" s="14" t="s">
        <v>28</v>
      </c>
      <c r="J70" s="14" t="s">
        <v>139</v>
      </c>
      <c r="K70" s="15"/>
      <c r="L70" s="15"/>
      <c r="M70" s="16" t="e">
        <f>VLOOKUP(#REF!,'[1]Base Cadastro '!#REF!,13,FALSE)</f>
        <v>#REF!</v>
      </c>
      <c r="N70" s="8" t="s">
        <v>30</v>
      </c>
      <c r="O70" s="8" t="s">
        <v>40</v>
      </c>
      <c r="P70" s="17" t="s">
        <v>187</v>
      </c>
      <c r="Q70" s="18">
        <v>45931</v>
      </c>
      <c r="R70" s="9" t="e">
        <f ca="1">IFERROR(DATEDIF(#REF!,#REF!,"D"),DATEDIF(#REF!,TODAY(),"D"))</f>
        <v>#REF!</v>
      </c>
      <c r="S70" s="8" t="e">
        <f>IF(#REF!&lt;=2,"Dentro do Prazo","Fora do Prazo")</f>
        <v>#REF!</v>
      </c>
      <c r="T70" s="8" t="s">
        <v>302</v>
      </c>
      <c r="U70" s="8" t="s">
        <v>303</v>
      </c>
      <c r="V70" s="8" t="s">
        <v>35</v>
      </c>
      <c r="W70" s="19"/>
    </row>
    <row r="71" spans="1:23" x14ac:dyDescent="0.25">
      <c r="A71" s="8" t="s">
        <v>304</v>
      </c>
      <c r="B71" s="8" t="str">
        <f t="shared" si="1"/>
        <v>SGI8H4045931</v>
      </c>
      <c r="C71" s="9" t="str">
        <f>IFERROR(VLOOKUP(#REF!,'[1]Base Cadastro '!#REF!,2,FALSE)," ")</f>
        <v xml:space="preserve"> </v>
      </c>
      <c r="D71" s="10">
        <v>41234</v>
      </c>
      <c r="E71" s="11" t="s">
        <v>115</v>
      </c>
      <c r="F71" s="12">
        <v>45902</v>
      </c>
      <c r="G71" s="13" t="s">
        <v>123</v>
      </c>
      <c r="H71" s="10" t="s">
        <v>27</v>
      </c>
      <c r="I71" s="14" t="s">
        <v>28</v>
      </c>
      <c r="J71" s="14" t="s">
        <v>139</v>
      </c>
      <c r="K71" s="15"/>
      <c r="L71" s="15"/>
      <c r="M71" s="16" t="e">
        <f>VLOOKUP(#REF!,'[1]Base Cadastro '!#REF!,13,FALSE)</f>
        <v>#REF!</v>
      </c>
      <c r="N71" s="8" t="s">
        <v>30</v>
      </c>
      <c r="O71" s="8" t="s">
        <v>40</v>
      </c>
      <c r="P71" s="17" t="s">
        <v>86</v>
      </c>
      <c r="Q71" s="18">
        <v>45931</v>
      </c>
      <c r="R71" s="9" t="e">
        <f ca="1">IFERROR(DATEDIF(#REF!,#REF!,"D"),DATEDIF(#REF!,TODAY(),"D"))</f>
        <v>#REF!</v>
      </c>
      <c r="S71" s="8" t="e">
        <f>IF(#REF!&lt;=2,"Dentro do Prazo","Fora do Prazo")</f>
        <v>#REF!</v>
      </c>
      <c r="T71" s="8" t="s">
        <v>305</v>
      </c>
      <c r="U71" s="8" t="s">
        <v>177</v>
      </c>
      <c r="V71" s="8" t="s">
        <v>35</v>
      </c>
      <c r="W71" s="19"/>
    </row>
    <row r="72" spans="1:23" x14ac:dyDescent="0.25">
      <c r="A72" s="8" t="s">
        <v>306</v>
      </c>
      <c r="B72" s="8" t="str">
        <f t="shared" si="1"/>
        <v>SFT5A7845931</v>
      </c>
      <c r="C72" s="9" t="str">
        <f>IFERROR(VLOOKUP(#REF!,'[1]Base Cadastro '!#REF!,2,FALSE)," ")</f>
        <v xml:space="preserve"> </v>
      </c>
      <c r="D72" s="10">
        <v>534401</v>
      </c>
      <c r="E72" s="11" t="s">
        <v>307</v>
      </c>
      <c r="F72" s="12">
        <v>45917</v>
      </c>
      <c r="G72" s="13" t="s">
        <v>257</v>
      </c>
      <c r="H72" s="10" t="s">
        <v>27</v>
      </c>
      <c r="I72" s="14" t="s">
        <v>28</v>
      </c>
      <c r="J72" s="14" t="s">
        <v>139</v>
      </c>
      <c r="K72" s="15"/>
      <c r="L72" s="15"/>
      <c r="M72" s="16" t="e">
        <f>VLOOKUP(#REF!,'[1]Base Cadastro '!#REF!,13,FALSE)</f>
        <v>#REF!</v>
      </c>
      <c r="N72" s="8" t="s">
        <v>30</v>
      </c>
      <c r="O72" s="8" t="s">
        <v>40</v>
      </c>
      <c r="P72" s="17" t="s">
        <v>86</v>
      </c>
      <c r="Q72" s="18">
        <v>45931</v>
      </c>
      <c r="R72" s="9" t="e">
        <f ca="1">IFERROR(DATEDIF(#REF!,#REF!,"D"),DATEDIF(#REF!,TODAY(),"D"))</f>
        <v>#REF!</v>
      </c>
      <c r="S72" s="8" t="e">
        <f>IF(#REF!&lt;=2,"Dentro do Prazo","Fora do Prazo")</f>
        <v>#REF!</v>
      </c>
      <c r="T72" s="8" t="s">
        <v>308</v>
      </c>
      <c r="U72" s="8" t="s">
        <v>303</v>
      </c>
      <c r="V72" s="8" t="s">
        <v>35</v>
      </c>
      <c r="W72" s="19"/>
    </row>
    <row r="73" spans="1:23" x14ac:dyDescent="0.25">
      <c r="A73" s="8" t="s">
        <v>309</v>
      </c>
      <c r="B73" s="8" t="str">
        <f t="shared" si="1"/>
        <v>RVC0J8645931</v>
      </c>
      <c r="C73" s="9" t="str">
        <f>IFERROR(VLOOKUP(#REF!,'[1]Base Cadastro '!#REF!,2,FALSE)," ")</f>
        <v xml:space="preserve"> </v>
      </c>
      <c r="D73" s="10"/>
      <c r="E73" s="11" t="s">
        <v>310</v>
      </c>
      <c r="F73" s="12">
        <v>45929</v>
      </c>
      <c r="G73" s="13" t="s">
        <v>257</v>
      </c>
      <c r="H73" s="10" t="s">
        <v>27</v>
      </c>
      <c r="I73" s="14" t="s">
        <v>28</v>
      </c>
      <c r="J73" s="14" t="s">
        <v>139</v>
      </c>
      <c r="K73" s="15"/>
      <c r="L73" s="15"/>
      <c r="M73" s="16"/>
      <c r="N73" s="8" t="s">
        <v>30</v>
      </c>
      <c r="O73" s="8" t="s">
        <v>40</v>
      </c>
      <c r="P73" s="17" t="s">
        <v>311</v>
      </c>
      <c r="Q73" s="18">
        <v>45931</v>
      </c>
      <c r="R73" s="9" t="e">
        <f ca="1">IFERROR(DATEDIF(#REF!,#REF!,"D"),DATEDIF(#REF!,TODAY(),"D"))</f>
        <v>#REF!</v>
      </c>
      <c r="S73" s="8" t="e">
        <f>IF(#REF!&lt;=2,"Dentro do Prazo","Fora do Prazo")</f>
        <v>#REF!</v>
      </c>
      <c r="T73" s="8" t="s">
        <v>312</v>
      </c>
      <c r="U73" s="8" t="s">
        <v>59</v>
      </c>
      <c r="V73" s="8" t="s">
        <v>313</v>
      </c>
      <c r="W73" s="19"/>
    </row>
    <row r="74" spans="1:23" x14ac:dyDescent="0.25">
      <c r="A74" s="8" t="s">
        <v>251</v>
      </c>
      <c r="B74" s="8" t="str">
        <f t="shared" si="1"/>
        <v>GCX2D3545931</v>
      </c>
      <c r="C74" s="9" t="s">
        <v>224</v>
      </c>
      <c r="D74" s="10"/>
      <c r="E74" s="11" t="s">
        <v>314</v>
      </c>
      <c r="F74" s="12">
        <v>45930</v>
      </c>
      <c r="G74" s="13" t="s">
        <v>226</v>
      </c>
      <c r="H74" s="10" t="s">
        <v>27</v>
      </c>
      <c r="I74" s="14" t="s">
        <v>28</v>
      </c>
      <c r="J74" s="14" t="s">
        <v>139</v>
      </c>
      <c r="K74" s="15"/>
      <c r="L74" s="15"/>
      <c r="M74" s="16" t="s">
        <v>315</v>
      </c>
      <c r="N74" s="8" t="s">
        <v>228</v>
      </c>
      <c r="O74" s="8" t="s">
        <v>40</v>
      </c>
      <c r="P74" s="17" t="s">
        <v>86</v>
      </c>
      <c r="Q74" s="18">
        <v>45931</v>
      </c>
      <c r="R74" s="9" t="e">
        <f ca="1">IFERROR(DATEDIF(#REF!,#REF!,"D"),DATEDIF(#REF!,TODAY(),"D"))</f>
        <v>#REF!</v>
      </c>
      <c r="S74" s="8" t="e">
        <f>IF(#REF!&lt;=2,"Dentro do Prazo","Fora do Prazo")</f>
        <v>#REF!</v>
      </c>
      <c r="T74" s="8" t="s">
        <v>316</v>
      </c>
      <c r="U74" s="8" t="s">
        <v>254</v>
      </c>
      <c r="V74" s="8"/>
      <c r="W74" s="19"/>
    </row>
    <row r="75" spans="1:23" x14ac:dyDescent="0.25">
      <c r="A75" s="8" t="s">
        <v>317</v>
      </c>
      <c r="B75" s="8" t="str">
        <f t="shared" si="1"/>
        <v>RUM2B4645931</v>
      </c>
      <c r="C75" s="9" t="s">
        <v>37</v>
      </c>
      <c r="D75" s="10"/>
      <c r="E75" s="11" t="s">
        <v>103</v>
      </c>
      <c r="F75" s="12">
        <v>45930</v>
      </c>
      <c r="G75" s="13" t="s">
        <v>123</v>
      </c>
      <c r="H75" s="10" t="s">
        <v>27</v>
      </c>
      <c r="I75" s="14" t="s">
        <v>28</v>
      </c>
      <c r="J75" s="14" t="s">
        <v>139</v>
      </c>
      <c r="K75" s="15"/>
      <c r="L75" s="15"/>
      <c r="M75" s="16" t="s">
        <v>318</v>
      </c>
      <c r="N75" s="8" t="s">
        <v>30</v>
      </c>
      <c r="O75" s="8" t="s">
        <v>40</v>
      </c>
      <c r="P75" s="17">
        <v>45931</v>
      </c>
      <c r="Q75" s="18">
        <v>45931</v>
      </c>
      <c r="R75" s="9" t="e">
        <f ca="1">IFERROR(DATEDIF(#REF!,#REF!,"D"),DATEDIF(#REF!,TODAY(),"D"))</f>
        <v>#REF!</v>
      </c>
      <c r="S75" s="8" t="e">
        <f>IF(#REF!&lt;=2,"Dentro do Prazo","Fora do Prazo")</f>
        <v>#REF!</v>
      </c>
      <c r="T75" s="8" t="s">
        <v>41</v>
      </c>
      <c r="U75" s="8" t="s">
        <v>42</v>
      </c>
      <c r="V75" s="8" t="s">
        <v>35</v>
      </c>
      <c r="W75" s="19"/>
    </row>
    <row r="76" spans="1:23" x14ac:dyDescent="0.25">
      <c r="A76" s="8" t="s">
        <v>319</v>
      </c>
      <c r="B76" s="8" t="str">
        <f t="shared" si="1"/>
        <v>GDY7B2345932</v>
      </c>
      <c r="C76" s="9" t="s">
        <v>224</v>
      </c>
      <c r="D76" s="10"/>
      <c r="E76" s="11" t="s">
        <v>225</v>
      </c>
      <c r="F76" s="12">
        <v>45932</v>
      </c>
      <c r="G76" s="13" t="s">
        <v>226</v>
      </c>
      <c r="H76" s="10" t="s">
        <v>27</v>
      </c>
      <c r="I76" s="14" t="s">
        <v>28</v>
      </c>
      <c r="J76" s="14" t="s">
        <v>139</v>
      </c>
      <c r="K76" s="15"/>
      <c r="L76" s="15"/>
      <c r="M76" s="16" t="s">
        <v>227</v>
      </c>
      <c r="N76" s="8" t="s">
        <v>228</v>
      </c>
      <c r="O76" s="8" t="s">
        <v>40</v>
      </c>
      <c r="P76" s="17" t="s">
        <v>86</v>
      </c>
      <c r="Q76" s="18">
        <v>45932</v>
      </c>
      <c r="R76" s="9">
        <v>0</v>
      </c>
      <c r="S76" s="8" t="s">
        <v>153</v>
      </c>
      <c r="T76" s="8" t="s">
        <v>98</v>
      </c>
      <c r="U76" s="8" t="s">
        <v>271</v>
      </c>
      <c r="V76" s="8" t="s">
        <v>320</v>
      </c>
      <c r="W76" s="19"/>
    </row>
    <row r="77" spans="1:23" x14ac:dyDescent="0.25">
      <c r="A77" s="8" t="s">
        <v>321</v>
      </c>
      <c r="B77" s="8" t="str">
        <f t="shared" si="1"/>
        <v>RNZ3H5745932</v>
      </c>
      <c r="C77" s="9" t="s">
        <v>24</v>
      </c>
      <c r="D77" s="10">
        <v>142355</v>
      </c>
      <c r="E77" s="11" t="s">
        <v>322</v>
      </c>
      <c r="F77" s="12">
        <v>45812</v>
      </c>
      <c r="G77" s="13" t="s">
        <v>138</v>
      </c>
      <c r="H77" s="10" t="s">
        <v>27</v>
      </c>
      <c r="I77" s="14" t="s">
        <v>28</v>
      </c>
      <c r="J77" s="14" t="s">
        <v>139</v>
      </c>
      <c r="K77" s="15"/>
      <c r="L77" s="15"/>
      <c r="M77" s="16" t="s">
        <v>323</v>
      </c>
      <c r="N77" s="8" t="s">
        <v>30</v>
      </c>
      <c r="O77" s="8" t="s">
        <v>40</v>
      </c>
      <c r="P77" s="17" t="s">
        <v>86</v>
      </c>
      <c r="Q77" s="18">
        <v>45932</v>
      </c>
      <c r="R77" s="9">
        <v>120</v>
      </c>
      <c r="S77" s="8" t="s">
        <v>32</v>
      </c>
      <c r="T77" s="8" t="s">
        <v>98</v>
      </c>
      <c r="U77" s="8" t="s">
        <v>94</v>
      </c>
      <c r="V77" s="8" t="s">
        <v>135</v>
      </c>
      <c r="W77" s="19"/>
    </row>
    <row r="78" spans="1:23" x14ac:dyDescent="0.25">
      <c r="A78" s="8" t="s">
        <v>324</v>
      </c>
      <c r="B78" s="8" t="str">
        <f t="shared" si="1"/>
        <v>SWH3G6545932</v>
      </c>
      <c r="C78" s="9" t="s">
        <v>24</v>
      </c>
      <c r="D78" s="10">
        <v>68772</v>
      </c>
      <c r="E78" s="11" t="s">
        <v>325</v>
      </c>
      <c r="F78" s="12">
        <v>45923</v>
      </c>
      <c r="G78" s="13" t="s">
        <v>184</v>
      </c>
      <c r="H78" s="10" t="s">
        <v>27</v>
      </c>
      <c r="I78" s="14" t="s">
        <v>28</v>
      </c>
      <c r="J78" s="14" t="s">
        <v>139</v>
      </c>
      <c r="K78" s="15"/>
      <c r="L78" s="15"/>
      <c r="M78" s="16" t="s">
        <v>326</v>
      </c>
      <c r="N78" s="8" t="s">
        <v>30</v>
      </c>
      <c r="O78" s="8" t="s">
        <v>40</v>
      </c>
      <c r="P78" s="17" t="s">
        <v>86</v>
      </c>
      <c r="Q78" s="18">
        <v>45932</v>
      </c>
      <c r="R78" s="9">
        <v>9</v>
      </c>
      <c r="S78" s="8" t="s">
        <v>32</v>
      </c>
      <c r="T78" s="8"/>
      <c r="U78" s="8"/>
      <c r="V78" s="8" t="s">
        <v>35</v>
      </c>
      <c r="W78" s="19"/>
    </row>
    <row r="79" spans="1:23" x14ac:dyDescent="0.25">
      <c r="A79" s="8" t="s">
        <v>327</v>
      </c>
      <c r="B79" s="8" t="str">
        <f t="shared" si="1"/>
        <v>RVD9A4045932</v>
      </c>
      <c r="C79" s="9" t="s">
        <v>37</v>
      </c>
      <c r="D79" s="10">
        <v>134467</v>
      </c>
      <c r="E79" s="11" t="s">
        <v>328</v>
      </c>
      <c r="F79" s="12">
        <v>45871</v>
      </c>
      <c r="G79" s="13" t="s">
        <v>39</v>
      </c>
      <c r="H79" s="10" t="s">
        <v>27</v>
      </c>
      <c r="I79" s="14" t="s">
        <v>28</v>
      </c>
      <c r="J79" s="14" t="s">
        <v>29</v>
      </c>
      <c r="K79" s="15"/>
      <c r="L79" s="15"/>
      <c r="M79" s="16" t="s">
        <v>329</v>
      </c>
      <c r="N79" s="8" t="s">
        <v>30</v>
      </c>
      <c r="O79" s="8" t="s">
        <v>40</v>
      </c>
      <c r="P79" s="17" t="s">
        <v>86</v>
      </c>
      <c r="Q79" s="18">
        <v>45932</v>
      </c>
      <c r="R79" s="9">
        <v>61</v>
      </c>
      <c r="S79" s="8" t="s">
        <v>32</v>
      </c>
      <c r="T79" s="8" t="s">
        <v>66</v>
      </c>
      <c r="U79" s="8" t="s">
        <v>330</v>
      </c>
      <c r="V79" s="8" t="s">
        <v>48</v>
      </c>
      <c r="W79" s="19"/>
    </row>
    <row r="80" spans="1:23" x14ac:dyDescent="0.25">
      <c r="A80" s="8" t="s">
        <v>331</v>
      </c>
      <c r="B80" s="8" t="str">
        <f t="shared" si="1"/>
        <v>RUM2B3545932</v>
      </c>
      <c r="C80" s="9" t="s">
        <v>37</v>
      </c>
      <c r="D80" s="10">
        <v>1841240</v>
      </c>
      <c r="E80" s="11" t="s">
        <v>31</v>
      </c>
      <c r="F80" s="12">
        <v>45922</v>
      </c>
      <c r="G80" s="13" t="s">
        <v>123</v>
      </c>
      <c r="H80" s="10" t="s">
        <v>27</v>
      </c>
      <c r="I80" s="14" t="s">
        <v>28</v>
      </c>
      <c r="J80" s="14" t="s">
        <v>139</v>
      </c>
      <c r="K80" s="15"/>
      <c r="L80" s="15"/>
      <c r="M80" s="16" t="s">
        <v>214</v>
      </c>
      <c r="N80" s="8" t="s">
        <v>30</v>
      </c>
      <c r="O80" s="8" t="s">
        <v>31</v>
      </c>
      <c r="P80" s="17" t="s">
        <v>86</v>
      </c>
      <c r="Q80" s="18">
        <v>45932</v>
      </c>
      <c r="R80" s="9">
        <v>10</v>
      </c>
      <c r="S80" s="8" t="s">
        <v>32</v>
      </c>
      <c r="T80" s="8" t="s">
        <v>98</v>
      </c>
      <c r="U80" s="8" t="s">
        <v>215</v>
      </c>
      <c r="V80" s="8" t="s">
        <v>35</v>
      </c>
      <c r="W80" s="19"/>
    </row>
    <row r="81" spans="1:23" x14ac:dyDescent="0.25">
      <c r="A81" s="8" t="s">
        <v>332</v>
      </c>
      <c r="B81" s="8" t="str">
        <f t="shared" si="1"/>
        <v>SDQ2A6745932</v>
      </c>
      <c r="C81" s="9" t="s">
        <v>127</v>
      </c>
      <c r="D81" s="10">
        <v>48665</v>
      </c>
      <c r="E81" s="11" t="s">
        <v>333</v>
      </c>
      <c r="F81" s="12">
        <v>45911</v>
      </c>
      <c r="G81" s="13" t="s">
        <v>149</v>
      </c>
      <c r="H81" s="10" t="s">
        <v>27</v>
      </c>
      <c r="I81" s="14" t="s">
        <v>28</v>
      </c>
      <c r="J81" s="14" t="s">
        <v>139</v>
      </c>
      <c r="K81" s="15"/>
      <c r="L81" s="15"/>
      <c r="M81" s="16" t="s">
        <v>334</v>
      </c>
      <c r="N81" s="8" t="s">
        <v>30</v>
      </c>
      <c r="O81" s="8" t="s">
        <v>40</v>
      </c>
      <c r="P81" s="17" t="s">
        <v>86</v>
      </c>
      <c r="Q81" s="18">
        <v>45932</v>
      </c>
      <c r="R81" s="9">
        <v>21</v>
      </c>
      <c r="S81" s="8" t="s">
        <v>32</v>
      </c>
      <c r="T81" s="8" t="s">
        <v>335</v>
      </c>
      <c r="U81" s="8" t="s">
        <v>336</v>
      </c>
      <c r="V81" s="8" t="s">
        <v>35</v>
      </c>
      <c r="W81" s="19"/>
    </row>
    <row r="82" spans="1:23" x14ac:dyDescent="0.25">
      <c r="A82" s="8" t="s">
        <v>337</v>
      </c>
      <c r="B82" s="8" t="str">
        <f t="shared" si="1"/>
        <v>RNC5H1145932</v>
      </c>
      <c r="C82" s="9" t="s">
        <v>72</v>
      </c>
      <c r="D82" s="10">
        <v>232976</v>
      </c>
      <c r="E82" s="11" t="s">
        <v>80</v>
      </c>
      <c r="F82" s="12">
        <v>45888</v>
      </c>
      <c r="G82" s="13" t="s">
        <v>149</v>
      </c>
      <c r="H82" s="10" t="s">
        <v>27</v>
      </c>
      <c r="I82" s="14" t="s">
        <v>28</v>
      </c>
      <c r="J82" s="14" t="s">
        <v>139</v>
      </c>
      <c r="K82" s="15"/>
      <c r="L82" s="15"/>
      <c r="M82" s="16" t="s">
        <v>338</v>
      </c>
      <c r="N82" s="8" t="s">
        <v>30</v>
      </c>
      <c r="O82" s="8" t="s">
        <v>40</v>
      </c>
      <c r="P82" s="17" t="s">
        <v>86</v>
      </c>
      <c r="Q82" s="18">
        <v>45932</v>
      </c>
      <c r="R82" s="9">
        <v>44</v>
      </c>
      <c r="S82" s="8" t="s">
        <v>339</v>
      </c>
      <c r="T82" s="8" t="s">
        <v>340</v>
      </c>
      <c r="U82" s="8" t="s">
        <v>181</v>
      </c>
      <c r="V82" s="8" t="s">
        <v>48</v>
      </c>
      <c r="W82" s="19"/>
    </row>
    <row r="83" spans="1:23" x14ac:dyDescent="0.25">
      <c r="A83" s="8" t="s">
        <v>341</v>
      </c>
      <c r="B83" s="8" t="str">
        <f t="shared" si="1"/>
        <v>RNE7C8345932</v>
      </c>
      <c r="C83" s="9" t="s">
        <v>44</v>
      </c>
      <c r="D83" s="10">
        <v>100</v>
      </c>
      <c r="E83" s="11" t="s">
        <v>342</v>
      </c>
      <c r="F83" s="12">
        <v>45923</v>
      </c>
      <c r="G83" s="13" t="s">
        <v>138</v>
      </c>
      <c r="H83" s="10" t="s">
        <v>27</v>
      </c>
      <c r="I83" s="14" t="s">
        <v>28</v>
      </c>
      <c r="J83" s="14" t="s">
        <v>139</v>
      </c>
      <c r="K83" s="15"/>
      <c r="L83" s="15"/>
      <c r="M83" s="16" t="s">
        <v>343</v>
      </c>
      <c r="N83" s="8" t="s">
        <v>30</v>
      </c>
      <c r="O83" s="8" t="s">
        <v>40</v>
      </c>
      <c r="P83" s="17" t="s">
        <v>86</v>
      </c>
      <c r="Q83" s="18">
        <v>45932</v>
      </c>
      <c r="R83" s="9">
        <v>9</v>
      </c>
      <c r="S83" s="8" t="s">
        <v>32</v>
      </c>
      <c r="T83" s="8" t="s">
        <v>166</v>
      </c>
      <c r="U83" s="8" t="s">
        <v>59</v>
      </c>
      <c r="V83" s="8" t="s">
        <v>35</v>
      </c>
      <c r="W83" s="19"/>
    </row>
    <row r="84" spans="1:23" x14ac:dyDescent="0.25">
      <c r="A84" s="8" t="s">
        <v>344</v>
      </c>
      <c r="B84" s="8" t="str">
        <f t="shared" si="1"/>
        <v>GJE0D5445932</v>
      </c>
      <c r="C84" s="9" t="s">
        <v>224</v>
      </c>
      <c r="D84" s="10">
        <v>91953</v>
      </c>
      <c r="E84" s="11" t="s">
        <v>345</v>
      </c>
      <c r="F84" s="12">
        <v>45887</v>
      </c>
      <c r="G84" s="13" t="s">
        <v>253</v>
      </c>
      <c r="H84" s="10" t="s">
        <v>27</v>
      </c>
      <c r="I84" s="14" t="s">
        <v>28</v>
      </c>
      <c r="J84" s="14" t="s">
        <v>139</v>
      </c>
      <c r="K84" s="15"/>
      <c r="L84" s="15"/>
      <c r="M84" s="16" t="s">
        <v>227</v>
      </c>
      <c r="N84" s="8" t="s">
        <v>228</v>
      </c>
      <c r="O84" s="8" t="s">
        <v>40</v>
      </c>
      <c r="P84" s="17" t="s">
        <v>86</v>
      </c>
      <c r="Q84" s="18">
        <v>45932</v>
      </c>
      <c r="R84" s="9">
        <v>45</v>
      </c>
      <c r="S84" s="8" t="s">
        <v>32</v>
      </c>
      <c r="T84" s="8" t="s">
        <v>229</v>
      </c>
      <c r="U84" s="8" t="s">
        <v>230</v>
      </c>
      <c r="V84" s="8" t="s">
        <v>48</v>
      </c>
      <c r="W84" s="19"/>
    </row>
    <row r="85" spans="1:23" x14ac:dyDescent="0.25">
      <c r="A85" s="8" t="s">
        <v>346</v>
      </c>
      <c r="B85" s="8" t="str">
        <f t="shared" si="1"/>
        <v>SGH8H4845932</v>
      </c>
      <c r="C85" s="9" t="s">
        <v>96</v>
      </c>
      <c r="D85" s="10">
        <v>77599</v>
      </c>
      <c r="E85" s="11" t="s">
        <v>347</v>
      </c>
      <c r="F85" s="12">
        <v>45887</v>
      </c>
      <c r="G85" s="13" t="s">
        <v>39</v>
      </c>
      <c r="H85" s="10" t="s">
        <v>27</v>
      </c>
      <c r="I85" s="14" t="s">
        <v>28</v>
      </c>
      <c r="J85" s="14" t="s">
        <v>139</v>
      </c>
      <c r="K85" s="15"/>
      <c r="L85" s="15"/>
      <c r="M85" s="16" t="s">
        <v>348</v>
      </c>
      <c r="N85" s="8" t="s">
        <v>30</v>
      </c>
      <c r="O85" s="8" t="s">
        <v>40</v>
      </c>
      <c r="P85" s="17" t="s">
        <v>86</v>
      </c>
      <c r="Q85" s="18">
        <v>45932</v>
      </c>
      <c r="R85" s="9">
        <v>45</v>
      </c>
      <c r="S85" s="8" t="s">
        <v>32</v>
      </c>
      <c r="T85" s="8" t="s">
        <v>349</v>
      </c>
      <c r="U85" s="8" t="s">
        <v>350</v>
      </c>
      <c r="V85" s="8" t="s">
        <v>48</v>
      </c>
      <c r="W85" s="19"/>
    </row>
    <row r="86" spans="1:23" x14ac:dyDescent="0.25">
      <c r="A86" s="8" t="s">
        <v>351</v>
      </c>
      <c r="B86" s="8" t="str">
        <f t="shared" si="1"/>
        <v>SGH8H5545932</v>
      </c>
      <c r="C86" s="9" t="s">
        <v>96</v>
      </c>
      <c r="D86" s="10">
        <v>83296</v>
      </c>
      <c r="E86" s="11"/>
      <c r="F86" s="12">
        <v>45908</v>
      </c>
      <c r="G86" s="13" t="s">
        <v>39</v>
      </c>
      <c r="H86" s="10" t="s">
        <v>27</v>
      </c>
      <c r="I86" s="14" t="s">
        <v>28</v>
      </c>
      <c r="J86" s="14" t="s">
        <v>139</v>
      </c>
      <c r="K86" s="15"/>
      <c r="L86" s="15"/>
      <c r="M86" s="16" t="s">
        <v>329</v>
      </c>
      <c r="N86" s="8" t="s">
        <v>30</v>
      </c>
      <c r="O86" s="8" t="s">
        <v>40</v>
      </c>
      <c r="P86" s="17" t="s">
        <v>86</v>
      </c>
      <c r="Q86" s="18">
        <v>45932</v>
      </c>
      <c r="R86" s="9">
        <v>24</v>
      </c>
      <c r="S86" s="8" t="s">
        <v>32</v>
      </c>
      <c r="T86" s="8" t="s">
        <v>66</v>
      </c>
      <c r="U86" s="8" t="s">
        <v>330</v>
      </c>
      <c r="V86" s="8" t="s">
        <v>35</v>
      </c>
      <c r="W86" s="19"/>
    </row>
    <row r="87" spans="1:23" x14ac:dyDescent="0.25">
      <c r="A87" s="8" t="s">
        <v>352</v>
      </c>
      <c r="B87" s="8" t="str">
        <f t="shared" si="1"/>
        <v>SGH6H6545932</v>
      </c>
      <c r="C87" s="9" t="s">
        <v>96</v>
      </c>
      <c r="D87" s="10">
        <v>43011</v>
      </c>
      <c r="E87" s="11" t="s">
        <v>353</v>
      </c>
      <c r="F87" s="12">
        <v>45903</v>
      </c>
      <c r="G87" s="13" t="s">
        <v>39</v>
      </c>
      <c r="H87" s="10" t="s">
        <v>27</v>
      </c>
      <c r="I87" s="14" t="s">
        <v>28</v>
      </c>
      <c r="J87" s="14" t="s">
        <v>139</v>
      </c>
      <c r="K87" s="15"/>
      <c r="L87" s="15"/>
      <c r="M87" s="16" t="s">
        <v>354</v>
      </c>
      <c r="N87" s="8" t="s">
        <v>30</v>
      </c>
      <c r="O87" s="8" t="s">
        <v>40</v>
      </c>
      <c r="P87" s="17" t="s">
        <v>86</v>
      </c>
      <c r="Q87" s="18">
        <v>45932</v>
      </c>
      <c r="R87" s="9">
        <v>29</v>
      </c>
      <c r="S87" s="8" t="s">
        <v>32</v>
      </c>
      <c r="T87" s="8" t="s">
        <v>66</v>
      </c>
      <c r="U87" s="8" t="s">
        <v>279</v>
      </c>
      <c r="V87" s="8" t="s">
        <v>35</v>
      </c>
      <c r="W87" s="19"/>
    </row>
    <row r="88" spans="1:23" x14ac:dyDescent="0.25">
      <c r="A88" s="8" t="s">
        <v>355</v>
      </c>
      <c r="B88" s="8" t="str">
        <f t="shared" si="1"/>
        <v>SGL2C0245932</v>
      </c>
      <c r="C88" s="9" t="s">
        <v>96</v>
      </c>
      <c r="D88" s="10">
        <v>43789</v>
      </c>
      <c r="E88" s="11" t="s">
        <v>356</v>
      </c>
      <c r="F88" s="12">
        <v>45924</v>
      </c>
      <c r="G88" s="13" t="s">
        <v>257</v>
      </c>
      <c r="H88" s="10" t="s">
        <v>27</v>
      </c>
      <c r="I88" s="14" t="s">
        <v>28</v>
      </c>
      <c r="J88" s="14" t="s">
        <v>139</v>
      </c>
      <c r="K88" s="15"/>
      <c r="L88" s="15"/>
      <c r="M88" s="16" t="s">
        <v>357</v>
      </c>
      <c r="N88" s="8" t="s">
        <v>30</v>
      </c>
      <c r="O88" s="8" t="s">
        <v>40</v>
      </c>
      <c r="P88" s="17" t="s">
        <v>86</v>
      </c>
      <c r="Q88" s="18">
        <v>45932</v>
      </c>
      <c r="R88" s="9">
        <v>8</v>
      </c>
      <c r="S88" s="8" t="s">
        <v>32</v>
      </c>
      <c r="T88" s="8" t="s">
        <v>358</v>
      </c>
      <c r="U88" s="8" t="s">
        <v>303</v>
      </c>
      <c r="V88" s="8" t="s">
        <v>35</v>
      </c>
      <c r="W88" s="19"/>
    </row>
    <row r="89" spans="1:23" x14ac:dyDescent="0.25">
      <c r="A89" s="8" t="s">
        <v>359</v>
      </c>
      <c r="B89" s="8" t="str">
        <f t="shared" si="1"/>
        <v>QXJ9E7645932</v>
      </c>
      <c r="C89" s="9" t="s">
        <v>37</v>
      </c>
      <c r="D89" s="10">
        <v>16516</v>
      </c>
      <c r="E89" s="11" t="s">
        <v>360</v>
      </c>
      <c r="F89" s="12">
        <v>45895</v>
      </c>
      <c r="G89" s="13" t="s">
        <v>149</v>
      </c>
      <c r="H89" s="10" t="s">
        <v>27</v>
      </c>
      <c r="I89" s="14" t="s">
        <v>28</v>
      </c>
      <c r="J89" s="14" t="s">
        <v>150</v>
      </c>
      <c r="K89" s="15">
        <v>5800</v>
      </c>
      <c r="L89" s="15">
        <v>5250</v>
      </c>
      <c r="M89" s="16" t="s">
        <v>361</v>
      </c>
      <c r="N89" s="8" t="s">
        <v>30</v>
      </c>
      <c r="O89" s="8" t="s">
        <v>40</v>
      </c>
      <c r="P89" s="17">
        <v>45933</v>
      </c>
      <c r="Q89" s="18">
        <v>45932</v>
      </c>
      <c r="R89" s="9">
        <v>37</v>
      </c>
      <c r="S89" s="8" t="s">
        <v>32</v>
      </c>
      <c r="T89" s="8"/>
      <c r="U89" s="8"/>
      <c r="V89" s="8"/>
      <c r="W89" s="19"/>
    </row>
    <row r="90" spans="1:23" x14ac:dyDescent="0.25">
      <c r="A90" s="8" t="s">
        <v>362</v>
      </c>
      <c r="B90" s="8" t="str">
        <f t="shared" si="1"/>
        <v>RUX9G8345932</v>
      </c>
      <c r="C90" s="9" t="s">
        <v>37</v>
      </c>
      <c r="D90" s="10">
        <v>10203</v>
      </c>
      <c r="E90" s="11" t="s">
        <v>363</v>
      </c>
      <c r="F90" s="12">
        <v>45926</v>
      </c>
      <c r="G90" s="13" t="s">
        <v>364</v>
      </c>
      <c r="H90" s="10" t="s">
        <v>27</v>
      </c>
      <c r="I90" s="14" t="s">
        <v>28</v>
      </c>
      <c r="J90" s="14" t="s">
        <v>29</v>
      </c>
      <c r="K90" s="15">
        <v>2090</v>
      </c>
      <c r="L90" s="15"/>
      <c r="M90" s="16" t="s">
        <v>365</v>
      </c>
      <c r="N90" s="8" t="s">
        <v>30</v>
      </c>
      <c r="O90" s="8" t="s">
        <v>40</v>
      </c>
      <c r="P90" s="17">
        <v>45931</v>
      </c>
      <c r="Q90" s="18">
        <v>45932</v>
      </c>
      <c r="R90" s="9">
        <v>6</v>
      </c>
      <c r="S90" s="8" t="s">
        <v>32</v>
      </c>
      <c r="T90" s="8" t="s">
        <v>366</v>
      </c>
      <c r="U90" s="8" t="s">
        <v>367</v>
      </c>
      <c r="V90" s="8" t="s">
        <v>35</v>
      </c>
      <c r="W90" s="19"/>
    </row>
    <row r="91" spans="1:23" x14ac:dyDescent="0.25">
      <c r="A91" s="8" t="s">
        <v>368</v>
      </c>
      <c r="B91" s="8" t="str">
        <f t="shared" si="1"/>
        <v>RUW5D8945932</v>
      </c>
      <c r="C91" s="9" t="s">
        <v>79</v>
      </c>
      <c r="D91" s="10">
        <v>624870</v>
      </c>
      <c r="E91" s="11" t="s">
        <v>369</v>
      </c>
      <c r="F91" s="12">
        <v>45903</v>
      </c>
      <c r="G91" s="13" t="s">
        <v>364</v>
      </c>
      <c r="H91" s="10" t="s">
        <v>27</v>
      </c>
      <c r="I91" s="14" t="s">
        <v>28</v>
      </c>
      <c r="J91" s="14" t="s">
        <v>139</v>
      </c>
      <c r="K91" s="15"/>
      <c r="L91" s="15"/>
      <c r="M91" s="16" t="s">
        <v>370</v>
      </c>
      <c r="N91" s="8" t="s">
        <v>30</v>
      </c>
      <c r="O91" s="8" t="s">
        <v>40</v>
      </c>
      <c r="P91" s="17" t="s">
        <v>86</v>
      </c>
      <c r="Q91" s="18">
        <v>45932</v>
      </c>
      <c r="R91" s="9">
        <v>29</v>
      </c>
      <c r="S91" s="8" t="s">
        <v>32</v>
      </c>
      <c r="T91" s="8" t="s">
        <v>371</v>
      </c>
      <c r="U91" s="8" t="s">
        <v>372</v>
      </c>
      <c r="V91" s="8" t="s">
        <v>313</v>
      </c>
      <c r="W91" s="19"/>
    </row>
    <row r="92" spans="1:23" x14ac:dyDescent="0.25">
      <c r="A92" s="8" t="s">
        <v>373</v>
      </c>
      <c r="B92" s="8" t="str">
        <f t="shared" si="1"/>
        <v>RNF2B7445932</v>
      </c>
      <c r="C92" s="9" t="s">
        <v>72</v>
      </c>
      <c r="D92" s="10"/>
      <c r="E92" s="11"/>
      <c r="F92" s="12">
        <v>45932</v>
      </c>
      <c r="G92" s="13"/>
      <c r="H92" s="10" t="s">
        <v>27</v>
      </c>
      <c r="I92" s="14" t="s">
        <v>28</v>
      </c>
      <c r="J92" s="14" t="s">
        <v>139</v>
      </c>
      <c r="K92" s="15"/>
      <c r="L92" s="15"/>
      <c r="M92" s="16" t="s">
        <v>374</v>
      </c>
      <c r="N92" s="8" t="s">
        <v>30</v>
      </c>
      <c r="O92" s="8" t="s">
        <v>375</v>
      </c>
      <c r="P92" s="17">
        <v>45932</v>
      </c>
      <c r="Q92" s="18">
        <v>45932</v>
      </c>
      <c r="R92" s="9">
        <v>0</v>
      </c>
      <c r="S92" s="8" t="s">
        <v>153</v>
      </c>
      <c r="T92" s="8"/>
      <c r="U92" s="8"/>
      <c r="V92" s="8"/>
      <c r="W92" s="19"/>
    </row>
    <row r="93" spans="1:23" x14ac:dyDescent="0.25">
      <c r="A93" s="8" t="s">
        <v>376</v>
      </c>
      <c r="B93" s="8" t="str">
        <f t="shared" si="1"/>
        <v>GEF8B7445933</v>
      </c>
      <c r="C93" s="9" t="str">
        <f>IFERROR(VLOOKUP(#REF!,'[1]Base Cadastro '!#REF!,2,FALSE)," ")</f>
        <v xml:space="preserve"> </v>
      </c>
      <c r="D93" s="10">
        <v>113740</v>
      </c>
      <c r="E93" s="11" t="s">
        <v>377</v>
      </c>
      <c r="F93" s="12">
        <v>45891</v>
      </c>
      <c r="G93" s="13" t="s">
        <v>226</v>
      </c>
      <c r="H93" s="10" t="s">
        <v>27</v>
      </c>
      <c r="I93" s="14" t="s">
        <v>28</v>
      </c>
      <c r="J93" s="14" t="s">
        <v>139</v>
      </c>
      <c r="K93" s="15"/>
      <c r="L93" s="15"/>
      <c r="M93" s="16" t="e">
        <f>VLOOKUP(#REF!,'[1]Base Cadastro '!#REF!,13,FALSE)</f>
        <v>#REF!</v>
      </c>
      <c r="N93" s="8" t="s">
        <v>228</v>
      </c>
      <c r="O93" s="8" t="s">
        <v>40</v>
      </c>
      <c r="P93" s="17">
        <v>45933</v>
      </c>
      <c r="Q93" s="18">
        <v>45933</v>
      </c>
      <c r="R93" s="9" t="e">
        <f ca="1">IFERROR(DATEDIF(#REF!,#REF!,"D"),DATEDIF(#REF!,TODAY(),"D"))</f>
        <v>#REF!</v>
      </c>
      <c r="S93" s="8" t="e">
        <f>IF(#REF!&lt;=2,"Dentro do Prazo","Fora do Prazo")</f>
        <v>#REF!</v>
      </c>
      <c r="T93" s="8" t="s">
        <v>98</v>
      </c>
      <c r="U93" s="8" t="s">
        <v>230</v>
      </c>
      <c r="V93" s="8" t="s">
        <v>48</v>
      </c>
      <c r="W93" s="19"/>
    </row>
    <row r="94" spans="1:23" x14ac:dyDescent="0.25">
      <c r="A94" s="8" t="s">
        <v>378</v>
      </c>
      <c r="B94" s="8" t="str">
        <f t="shared" si="1"/>
        <v>RNE0J0845932</v>
      </c>
      <c r="C94" s="9" t="str">
        <f>IFERROR(VLOOKUP(#REF!,'[1]Base Cadastro '!#REF!,2,FALSE)," ")</f>
        <v xml:space="preserve"> </v>
      </c>
      <c r="D94" s="10">
        <v>217296</v>
      </c>
      <c r="E94" s="11" t="s">
        <v>379</v>
      </c>
      <c r="F94" s="12">
        <v>45930</v>
      </c>
      <c r="G94" s="13" t="s">
        <v>123</v>
      </c>
      <c r="H94" s="10" t="s">
        <v>27</v>
      </c>
      <c r="I94" s="14" t="s">
        <v>28</v>
      </c>
      <c r="J94" s="14" t="s">
        <v>139</v>
      </c>
      <c r="K94" s="15"/>
      <c r="L94" s="15"/>
      <c r="M94" s="16" t="s">
        <v>380</v>
      </c>
      <c r="N94" s="8" t="s">
        <v>30</v>
      </c>
      <c r="O94" s="8" t="s">
        <v>40</v>
      </c>
      <c r="P94" s="17" t="s">
        <v>86</v>
      </c>
      <c r="Q94" s="18">
        <v>45932</v>
      </c>
      <c r="R94" s="9" t="e">
        <f ca="1">IFERROR(DATEDIF(#REF!,#REF!,"D"),DATEDIF(#REF!,TODAY(),"D"))</f>
        <v>#REF!</v>
      </c>
      <c r="S94" s="8" t="e">
        <f>IF(#REF!&lt;=2,"Dentro do Prazo","Fora do Prazo")</f>
        <v>#REF!</v>
      </c>
      <c r="T94" s="8" t="s">
        <v>381</v>
      </c>
      <c r="U94" s="8" t="s">
        <v>42</v>
      </c>
      <c r="V94" s="8" t="s">
        <v>35</v>
      </c>
      <c r="W94" s="19"/>
    </row>
    <row r="95" spans="1:23" x14ac:dyDescent="0.25">
      <c r="A95" s="8" t="s">
        <v>382</v>
      </c>
      <c r="B95" s="8" t="str">
        <f t="shared" si="1"/>
        <v>SGF9B4045933</v>
      </c>
      <c r="C95" s="9" t="str">
        <f>IFERROR(VLOOKUP(#REF!,'[1]Base Cadastro '!#REF!,2,FALSE)," ")</f>
        <v xml:space="preserve"> </v>
      </c>
      <c r="D95" s="10" t="s">
        <v>383</v>
      </c>
      <c r="E95" s="11" t="s">
        <v>384</v>
      </c>
      <c r="F95" s="12">
        <v>45930</v>
      </c>
      <c r="G95" s="13" t="s">
        <v>226</v>
      </c>
      <c r="H95" s="10" t="s">
        <v>27</v>
      </c>
      <c r="I95" s="14" t="s">
        <v>28</v>
      </c>
      <c r="J95" s="14" t="s">
        <v>29</v>
      </c>
      <c r="K95" s="15"/>
      <c r="L95" s="15"/>
      <c r="M95" s="16" t="e">
        <f>VLOOKUP(#REF!,'[1]Base Cadastro '!#REF!,13,FALSE)</f>
        <v>#REF!</v>
      </c>
      <c r="N95" s="8" t="s">
        <v>287</v>
      </c>
      <c r="O95" s="8" t="s">
        <v>40</v>
      </c>
      <c r="P95" s="17" t="s">
        <v>86</v>
      </c>
      <c r="Q95" s="18">
        <v>45933</v>
      </c>
      <c r="R95" s="9" t="e">
        <f ca="1">IFERROR(DATEDIF(#REF!,#REF!,"D"),DATEDIF(#REF!,TODAY(),"D"))</f>
        <v>#REF!</v>
      </c>
      <c r="S95" s="8" t="e">
        <f>IF(#REF!&lt;=2,"Dentro do Prazo","Fora do Prazo")</f>
        <v>#REF!</v>
      </c>
      <c r="T95" s="8" t="s">
        <v>98</v>
      </c>
      <c r="U95" s="8"/>
      <c r="V95" s="8"/>
      <c r="W95" s="19"/>
    </row>
    <row r="96" spans="1:23" x14ac:dyDescent="0.25">
      <c r="A96" s="8" t="s">
        <v>385</v>
      </c>
      <c r="B96" s="8" t="str">
        <f t="shared" si="1"/>
        <v>SDT9G9445932</v>
      </c>
      <c r="C96" s="9" t="s">
        <v>50</v>
      </c>
      <c r="D96" s="10">
        <v>49542</v>
      </c>
      <c r="E96" s="11" t="s">
        <v>386</v>
      </c>
      <c r="F96" s="12">
        <v>45863</v>
      </c>
      <c r="G96" s="13" t="s">
        <v>39</v>
      </c>
      <c r="H96" s="10" t="s">
        <v>27</v>
      </c>
      <c r="I96" s="14" t="s">
        <v>28</v>
      </c>
      <c r="J96" s="14" t="s">
        <v>29</v>
      </c>
      <c r="K96" s="15"/>
      <c r="L96" s="15"/>
      <c r="M96" s="16" t="s">
        <v>387</v>
      </c>
      <c r="N96" s="8" t="s">
        <v>30</v>
      </c>
      <c r="O96" s="8" t="s">
        <v>388</v>
      </c>
      <c r="P96" s="17">
        <v>45930</v>
      </c>
      <c r="Q96" s="18">
        <v>45932</v>
      </c>
      <c r="R96" s="9">
        <v>69</v>
      </c>
      <c r="S96" s="8" t="s">
        <v>32</v>
      </c>
      <c r="T96" s="8" t="s">
        <v>389</v>
      </c>
      <c r="U96" s="8" t="s">
        <v>110</v>
      </c>
      <c r="V96" s="8" t="s">
        <v>48</v>
      </c>
      <c r="W96" s="19"/>
    </row>
    <row r="97" spans="1:23" x14ac:dyDescent="0.25">
      <c r="A97" s="8" t="s">
        <v>390</v>
      </c>
      <c r="B97" s="8" t="str">
        <f t="shared" si="1"/>
        <v>SFW0A7345933</v>
      </c>
      <c r="C97" s="9" t="s">
        <v>96</v>
      </c>
      <c r="D97" s="10">
        <v>59845</v>
      </c>
      <c r="E97" s="11" t="s">
        <v>391</v>
      </c>
      <c r="F97" s="12">
        <v>45914</v>
      </c>
      <c r="G97" s="13" t="s">
        <v>39</v>
      </c>
      <c r="H97" s="10" t="s">
        <v>27</v>
      </c>
      <c r="I97" s="14" t="s">
        <v>28</v>
      </c>
      <c r="J97" s="14" t="s">
        <v>29</v>
      </c>
      <c r="K97" s="15"/>
      <c r="L97" s="15"/>
      <c r="M97" s="16" t="s">
        <v>374</v>
      </c>
      <c r="N97" s="8" t="s">
        <v>30</v>
      </c>
      <c r="O97" s="8" t="s">
        <v>40</v>
      </c>
      <c r="P97" s="17">
        <v>45933</v>
      </c>
      <c r="Q97" s="18">
        <v>45933</v>
      </c>
      <c r="R97" s="9">
        <v>19</v>
      </c>
      <c r="S97" s="8" t="s">
        <v>32</v>
      </c>
      <c r="T97" s="8" t="s">
        <v>392</v>
      </c>
      <c r="U97" s="8" t="s">
        <v>393</v>
      </c>
      <c r="V97" s="8" t="s">
        <v>35</v>
      </c>
      <c r="W97" s="19"/>
    </row>
    <row r="98" spans="1:23" x14ac:dyDescent="0.25">
      <c r="A98" s="8" t="s">
        <v>394</v>
      </c>
      <c r="B98" s="8" t="str">
        <f t="shared" si="1"/>
        <v>RUX9F7445932</v>
      </c>
      <c r="C98" s="9" t="s">
        <v>37</v>
      </c>
      <c r="D98" s="10">
        <v>10203</v>
      </c>
      <c r="E98" s="11" t="s">
        <v>395</v>
      </c>
      <c r="F98" s="12">
        <v>45924</v>
      </c>
      <c r="G98" s="13" t="s">
        <v>364</v>
      </c>
      <c r="H98" s="10" t="s">
        <v>27</v>
      </c>
      <c r="I98" s="14" t="s">
        <v>28</v>
      </c>
      <c r="J98" s="14" t="s">
        <v>29</v>
      </c>
      <c r="K98" s="15"/>
      <c r="L98" s="15"/>
      <c r="M98" s="16" t="s">
        <v>396</v>
      </c>
      <c r="N98" s="8" t="s">
        <v>30</v>
      </c>
      <c r="O98" s="8" t="s">
        <v>40</v>
      </c>
      <c r="P98" s="17">
        <v>45932</v>
      </c>
      <c r="Q98" s="18">
        <v>45932</v>
      </c>
      <c r="R98" s="9">
        <v>8</v>
      </c>
      <c r="S98" s="8" t="s">
        <v>32</v>
      </c>
      <c r="T98" s="8" t="s">
        <v>366</v>
      </c>
      <c r="U98" s="8" t="s">
        <v>367</v>
      </c>
      <c r="V98" s="8" t="s">
        <v>313</v>
      </c>
      <c r="W98" s="19"/>
    </row>
    <row r="99" spans="1:23" x14ac:dyDescent="0.25">
      <c r="A99" s="8" t="s">
        <v>272</v>
      </c>
      <c r="B99" s="8" t="str">
        <f t="shared" si="1"/>
        <v>RTM6B7045930</v>
      </c>
      <c r="C99" s="9" t="s">
        <v>72</v>
      </c>
      <c r="D99" s="10">
        <v>70000</v>
      </c>
      <c r="E99" s="11" t="s">
        <v>397</v>
      </c>
      <c r="F99" s="12">
        <v>45882</v>
      </c>
      <c r="G99" s="13" t="s">
        <v>364</v>
      </c>
      <c r="H99" s="10" t="s">
        <v>52</v>
      </c>
      <c r="I99" s="14" t="s">
        <v>28</v>
      </c>
      <c r="J99" s="14" t="s">
        <v>29</v>
      </c>
      <c r="K99" s="15"/>
      <c r="L99" s="15"/>
      <c r="M99" s="16" t="s">
        <v>398</v>
      </c>
      <c r="N99" s="8" t="s">
        <v>30</v>
      </c>
      <c r="O99" s="8" t="s">
        <v>40</v>
      </c>
      <c r="P99" s="17">
        <v>45960</v>
      </c>
      <c r="Q99" s="18">
        <v>45930</v>
      </c>
      <c r="R99" s="9">
        <v>48</v>
      </c>
      <c r="S99" s="8" t="s">
        <v>32</v>
      </c>
      <c r="T99" s="8" t="s">
        <v>274</v>
      </c>
      <c r="U99" s="8" t="s">
        <v>275</v>
      </c>
      <c r="V99" s="8" t="s">
        <v>313</v>
      </c>
      <c r="W99" s="19"/>
    </row>
    <row r="100" spans="1:23" x14ac:dyDescent="0.25">
      <c r="A100" s="8" t="s">
        <v>390</v>
      </c>
      <c r="B100" s="8" t="str">
        <f t="shared" si="1"/>
        <v>SFW0A7345932</v>
      </c>
      <c r="C100" s="9" t="s">
        <v>96</v>
      </c>
      <c r="D100" s="10">
        <v>598450</v>
      </c>
      <c r="E100" s="11" t="s">
        <v>399</v>
      </c>
      <c r="F100" s="12">
        <v>45926</v>
      </c>
      <c r="G100" s="13" t="s">
        <v>123</v>
      </c>
      <c r="H100" s="10" t="s">
        <v>27</v>
      </c>
      <c r="I100" s="14" t="s">
        <v>28</v>
      </c>
      <c r="J100" s="14" t="s">
        <v>139</v>
      </c>
      <c r="K100" s="15"/>
      <c r="L100" s="15"/>
      <c r="M100" s="16" t="s">
        <v>374</v>
      </c>
      <c r="N100" s="8" t="s">
        <v>30</v>
      </c>
      <c r="O100" s="8" t="s">
        <v>40</v>
      </c>
      <c r="P100" s="17" t="s">
        <v>86</v>
      </c>
      <c r="Q100" s="18">
        <v>45932</v>
      </c>
      <c r="R100" s="9">
        <v>6</v>
      </c>
      <c r="S100" s="8" t="s">
        <v>32</v>
      </c>
      <c r="T100" s="8" t="s">
        <v>201</v>
      </c>
      <c r="U100" s="8" t="s">
        <v>393</v>
      </c>
      <c r="V100" s="8" t="s">
        <v>35</v>
      </c>
      <c r="W100" s="19"/>
    </row>
    <row r="101" spans="1:23" x14ac:dyDescent="0.25">
      <c r="A101" s="8" t="s">
        <v>400</v>
      </c>
      <c r="B101" s="8" t="str">
        <f t="shared" si="1"/>
        <v>RNJ9D3045933</v>
      </c>
      <c r="C101" s="9" t="s">
        <v>72</v>
      </c>
      <c r="D101" s="10">
        <v>130585</v>
      </c>
      <c r="E101" s="11" t="s">
        <v>401</v>
      </c>
      <c r="F101" s="12">
        <v>45924</v>
      </c>
      <c r="G101" s="13" t="s">
        <v>123</v>
      </c>
      <c r="H101" s="10" t="s">
        <v>27</v>
      </c>
      <c r="I101" s="14" t="s">
        <v>28</v>
      </c>
      <c r="J101" s="14" t="s">
        <v>139</v>
      </c>
      <c r="K101" s="15"/>
      <c r="L101" s="15"/>
      <c r="M101" s="16" t="s">
        <v>374</v>
      </c>
      <c r="N101" s="8" t="s">
        <v>30</v>
      </c>
      <c r="O101" s="8" t="s">
        <v>40</v>
      </c>
      <c r="P101" s="17" t="s">
        <v>86</v>
      </c>
      <c r="Q101" s="18">
        <v>45933</v>
      </c>
      <c r="R101" s="9">
        <v>9</v>
      </c>
      <c r="S101" s="8" t="s">
        <v>32</v>
      </c>
      <c r="T101" s="8" t="s">
        <v>201</v>
      </c>
      <c r="U101" s="8" t="s">
        <v>393</v>
      </c>
      <c r="V101" s="8" t="s">
        <v>35</v>
      </c>
      <c r="W101" s="19"/>
    </row>
    <row r="102" spans="1:23" x14ac:dyDescent="0.25">
      <c r="A102" s="8" t="s">
        <v>402</v>
      </c>
      <c r="B102" s="8" t="str">
        <f t="shared" si="1"/>
        <v>SVW6D3345933</v>
      </c>
      <c r="C102" s="9" t="s">
        <v>24</v>
      </c>
      <c r="D102" s="10">
        <v>52262</v>
      </c>
      <c r="E102" s="11" t="s">
        <v>403</v>
      </c>
      <c r="F102" s="12">
        <v>45917</v>
      </c>
      <c r="G102" s="13" t="s">
        <v>138</v>
      </c>
      <c r="H102" s="10" t="s">
        <v>27</v>
      </c>
      <c r="I102" s="14" t="s">
        <v>28</v>
      </c>
      <c r="J102" s="14" t="s">
        <v>139</v>
      </c>
      <c r="K102" s="15"/>
      <c r="L102" s="15"/>
      <c r="M102" s="16" t="s">
        <v>140</v>
      </c>
      <c r="N102" s="8" t="s">
        <v>30</v>
      </c>
      <c r="O102" s="8" t="s">
        <v>40</v>
      </c>
      <c r="P102" s="17" t="s">
        <v>187</v>
      </c>
      <c r="Q102" s="18">
        <v>45933</v>
      </c>
      <c r="R102" s="9">
        <v>16</v>
      </c>
      <c r="S102" s="8" t="s">
        <v>32</v>
      </c>
      <c r="T102" s="8" t="s">
        <v>404</v>
      </c>
      <c r="U102" s="8" t="s">
        <v>34</v>
      </c>
      <c r="V102" s="8" t="s">
        <v>35</v>
      </c>
      <c r="W102" s="19"/>
    </row>
    <row r="103" spans="1:23" x14ac:dyDescent="0.25">
      <c r="A103" s="8" t="s">
        <v>405</v>
      </c>
      <c r="B103" s="8" t="str">
        <f t="shared" si="1"/>
        <v>SDQ2J2045932</v>
      </c>
      <c r="C103" s="9" t="s">
        <v>127</v>
      </c>
      <c r="D103" s="10">
        <v>61777</v>
      </c>
      <c r="E103" s="11" t="s">
        <v>406</v>
      </c>
      <c r="F103" s="12">
        <v>45860</v>
      </c>
      <c r="G103" s="13" t="s">
        <v>123</v>
      </c>
      <c r="H103" s="10" t="s">
        <v>27</v>
      </c>
      <c r="I103" s="14" t="s">
        <v>28</v>
      </c>
      <c r="J103" s="14" t="s">
        <v>29</v>
      </c>
      <c r="K103" s="15"/>
      <c r="L103" s="15"/>
      <c r="M103" s="16" t="s">
        <v>237</v>
      </c>
      <c r="N103" s="8" t="s">
        <v>30</v>
      </c>
      <c r="O103" s="8" t="s">
        <v>388</v>
      </c>
      <c r="P103" s="17">
        <v>45930</v>
      </c>
      <c r="Q103" s="18">
        <v>45932</v>
      </c>
      <c r="R103" s="9">
        <v>72</v>
      </c>
      <c r="S103" s="8" t="s">
        <v>32</v>
      </c>
      <c r="T103" s="8" t="s">
        <v>407</v>
      </c>
      <c r="U103" s="8" t="s">
        <v>42</v>
      </c>
      <c r="V103" s="8" t="s">
        <v>83</v>
      </c>
      <c r="W103" s="19"/>
    </row>
    <row r="104" spans="1:23" x14ac:dyDescent="0.25">
      <c r="A104" s="8" t="s">
        <v>408</v>
      </c>
      <c r="B104" s="8" t="str">
        <f t="shared" si="1"/>
        <v>SGF9B4545933</v>
      </c>
      <c r="C104" s="9" t="s">
        <v>157</v>
      </c>
      <c r="D104" s="10">
        <v>407120</v>
      </c>
      <c r="E104" s="11" t="s">
        <v>409</v>
      </c>
      <c r="F104" s="12">
        <v>45926</v>
      </c>
      <c r="G104" s="13" t="s">
        <v>410</v>
      </c>
      <c r="H104" s="10" t="s">
        <v>411</v>
      </c>
      <c r="I104" s="14" t="s">
        <v>28</v>
      </c>
      <c r="J104" s="14" t="s">
        <v>29</v>
      </c>
      <c r="K104" s="15"/>
      <c r="L104" s="15"/>
      <c r="M104" s="16" t="s">
        <v>374</v>
      </c>
      <c r="N104" s="8" t="s">
        <v>30</v>
      </c>
      <c r="O104" s="8" t="s">
        <v>40</v>
      </c>
      <c r="P104" s="17">
        <v>45933</v>
      </c>
      <c r="Q104" s="18">
        <v>45933</v>
      </c>
      <c r="R104" s="9">
        <v>7</v>
      </c>
      <c r="S104" s="8" t="s">
        <v>32</v>
      </c>
      <c r="T104" s="8" t="s">
        <v>392</v>
      </c>
      <c r="U104" s="8" t="s">
        <v>393</v>
      </c>
      <c r="V104" s="8" t="s">
        <v>35</v>
      </c>
      <c r="W104" s="19"/>
    </row>
    <row r="105" spans="1:23" x14ac:dyDescent="0.25">
      <c r="A105" s="8" t="s">
        <v>412</v>
      </c>
      <c r="B105" s="8" t="str">
        <f t="shared" si="1"/>
        <v>GKB2A7345933</v>
      </c>
      <c r="C105" s="9" t="s">
        <v>224</v>
      </c>
      <c r="D105" s="10" t="s">
        <v>413</v>
      </c>
      <c r="E105" s="11" t="s">
        <v>414</v>
      </c>
      <c r="F105" s="12">
        <v>45933</v>
      </c>
      <c r="G105" s="13" t="s">
        <v>253</v>
      </c>
      <c r="H105" s="10" t="s">
        <v>27</v>
      </c>
      <c r="I105" s="14" t="s">
        <v>28</v>
      </c>
      <c r="J105" s="14" t="s">
        <v>139</v>
      </c>
      <c r="K105" s="15"/>
      <c r="L105" s="15"/>
      <c r="M105" s="16" t="s">
        <v>315</v>
      </c>
      <c r="N105" s="8" t="s">
        <v>228</v>
      </c>
      <c r="O105" s="8" t="s">
        <v>40</v>
      </c>
      <c r="P105" s="17" t="s">
        <v>86</v>
      </c>
      <c r="Q105" s="18">
        <v>45933</v>
      </c>
      <c r="R105" s="9">
        <v>0</v>
      </c>
      <c r="S105" s="8" t="s">
        <v>153</v>
      </c>
      <c r="T105" s="8" t="s">
        <v>415</v>
      </c>
      <c r="U105" s="8" t="s">
        <v>254</v>
      </c>
      <c r="V105" s="8" t="s">
        <v>320</v>
      </c>
      <c r="W105" s="19"/>
    </row>
    <row r="106" spans="1:23" x14ac:dyDescent="0.25">
      <c r="A106" s="8" t="s">
        <v>416</v>
      </c>
      <c r="B106" s="8" t="str">
        <f t="shared" si="1"/>
        <v>RUX2B9145933</v>
      </c>
      <c r="C106" s="9" t="s">
        <v>79</v>
      </c>
      <c r="D106" s="10">
        <v>110163</v>
      </c>
      <c r="E106" s="11" t="s">
        <v>417</v>
      </c>
      <c r="F106" s="12">
        <v>45914</v>
      </c>
      <c r="G106" s="13" t="s">
        <v>149</v>
      </c>
      <c r="H106" s="10" t="s">
        <v>27</v>
      </c>
      <c r="I106" s="14" t="s">
        <v>28</v>
      </c>
      <c r="J106" s="14" t="s">
        <v>139</v>
      </c>
      <c r="K106" s="15"/>
      <c r="L106" s="15"/>
      <c r="M106" s="16" t="s">
        <v>186</v>
      </c>
      <c r="N106" s="8" t="s">
        <v>30</v>
      </c>
      <c r="O106" s="8" t="s">
        <v>388</v>
      </c>
      <c r="P106" s="17" t="s">
        <v>187</v>
      </c>
      <c r="Q106" s="18">
        <v>45933</v>
      </c>
      <c r="R106" s="9">
        <v>19</v>
      </c>
      <c r="S106" s="8" t="s">
        <v>32</v>
      </c>
      <c r="T106" s="8" t="s">
        <v>74</v>
      </c>
      <c r="U106" s="8" t="s">
        <v>188</v>
      </c>
      <c r="V106" s="8" t="s">
        <v>35</v>
      </c>
      <c r="W106" s="19"/>
    </row>
    <row r="107" spans="1:23" x14ac:dyDescent="0.25">
      <c r="A107" s="8" t="s">
        <v>418</v>
      </c>
      <c r="B107" s="8" t="str">
        <f t="shared" si="1"/>
        <v>RTM6B7145933</v>
      </c>
      <c r="C107" s="9" t="s">
        <v>72</v>
      </c>
      <c r="D107" s="10">
        <v>81703</v>
      </c>
      <c r="E107" s="11" t="s">
        <v>419</v>
      </c>
      <c r="F107" s="12">
        <v>45884</v>
      </c>
      <c r="G107" s="13" t="s">
        <v>92</v>
      </c>
      <c r="H107" s="10" t="s">
        <v>27</v>
      </c>
      <c r="I107" s="14" t="s">
        <v>28</v>
      </c>
      <c r="J107" s="14" t="s">
        <v>139</v>
      </c>
      <c r="K107" s="15"/>
      <c r="L107" s="15"/>
      <c r="M107" s="16" t="s">
        <v>420</v>
      </c>
      <c r="N107" s="8" t="s">
        <v>30</v>
      </c>
      <c r="O107" s="8" t="s">
        <v>388</v>
      </c>
      <c r="P107" s="17">
        <v>45933</v>
      </c>
      <c r="Q107" s="18">
        <v>45933</v>
      </c>
      <c r="R107" s="9">
        <v>49</v>
      </c>
      <c r="S107" s="8" t="s">
        <v>32</v>
      </c>
      <c r="T107" s="8" t="s">
        <v>98</v>
      </c>
      <c r="U107" s="8" t="s">
        <v>265</v>
      </c>
      <c r="V107" s="8" t="s">
        <v>48</v>
      </c>
      <c r="W107" s="19"/>
    </row>
    <row r="108" spans="1:23" x14ac:dyDescent="0.25">
      <c r="A108" s="8" t="s">
        <v>421</v>
      </c>
      <c r="B108" s="8" t="str">
        <f t="shared" si="1"/>
        <v>RTM6B6245933</v>
      </c>
      <c r="C108" s="9" t="s">
        <v>72</v>
      </c>
      <c r="D108" s="10">
        <v>69751</v>
      </c>
      <c r="E108" s="11" t="s">
        <v>422</v>
      </c>
      <c r="F108" s="12">
        <v>45910</v>
      </c>
      <c r="G108" s="13" t="s">
        <v>423</v>
      </c>
      <c r="H108" s="10" t="s">
        <v>27</v>
      </c>
      <c r="I108" s="14" t="s">
        <v>28</v>
      </c>
      <c r="J108" s="14" t="s">
        <v>139</v>
      </c>
      <c r="K108" s="15"/>
      <c r="L108" s="15"/>
      <c r="M108" s="16" t="s">
        <v>424</v>
      </c>
      <c r="N108" s="8" t="s">
        <v>30</v>
      </c>
      <c r="O108" s="8" t="s">
        <v>388</v>
      </c>
      <c r="P108" s="17">
        <v>45933</v>
      </c>
      <c r="Q108" s="18">
        <v>45933</v>
      </c>
      <c r="R108" s="9">
        <v>23</v>
      </c>
      <c r="S108" s="8" t="s">
        <v>32</v>
      </c>
      <c r="T108" s="8" t="s">
        <v>98</v>
      </c>
      <c r="U108" s="8" t="s">
        <v>134</v>
      </c>
      <c r="V108" s="8" t="s">
        <v>35</v>
      </c>
      <c r="W108" s="19"/>
    </row>
    <row r="109" spans="1:23" x14ac:dyDescent="0.25">
      <c r="A109" s="8" t="s">
        <v>425</v>
      </c>
      <c r="B109" s="8" t="str">
        <f t="shared" si="1"/>
        <v>RTM6B5645933</v>
      </c>
      <c r="C109" s="9" t="s">
        <v>72</v>
      </c>
      <c r="D109" s="10">
        <v>89098</v>
      </c>
      <c r="E109" s="11" t="s">
        <v>426</v>
      </c>
      <c r="F109" s="12">
        <v>45914</v>
      </c>
      <c r="G109" s="13" t="s">
        <v>92</v>
      </c>
      <c r="H109" s="10" t="s">
        <v>27</v>
      </c>
      <c r="I109" s="14" t="s">
        <v>28</v>
      </c>
      <c r="J109" s="14" t="s">
        <v>139</v>
      </c>
      <c r="K109" s="15"/>
      <c r="L109" s="15"/>
      <c r="M109" s="16" t="s">
        <v>424</v>
      </c>
      <c r="N109" s="8" t="s">
        <v>30</v>
      </c>
      <c r="O109" s="8" t="s">
        <v>388</v>
      </c>
      <c r="P109" s="17" t="s">
        <v>86</v>
      </c>
      <c r="Q109" s="18">
        <v>45933</v>
      </c>
      <c r="R109" s="9">
        <v>19</v>
      </c>
      <c r="S109" s="8" t="s">
        <v>32</v>
      </c>
      <c r="T109" s="8" t="s">
        <v>98</v>
      </c>
      <c r="U109" s="8" t="s">
        <v>134</v>
      </c>
      <c r="V109" s="8" t="s">
        <v>35</v>
      </c>
      <c r="W109" s="19"/>
    </row>
    <row r="110" spans="1:23" x14ac:dyDescent="0.25">
      <c r="A110" s="8" t="s">
        <v>427</v>
      </c>
      <c r="B110" s="8" t="str">
        <f t="shared" si="1"/>
        <v>RTM6B5145933</v>
      </c>
      <c r="C110" s="9" t="s">
        <v>72</v>
      </c>
      <c r="D110" s="10">
        <v>58458</v>
      </c>
      <c r="E110" s="11" t="s">
        <v>428</v>
      </c>
      <c r="F110" s="12">
        <v>45892</v>
      </c>
      <c r="G110" s="13" t="s">
        <v>149</v>
      </c>
      <c r="H110" s="10" t="s">
        <v>27</v>
      </c>
      <c r="I110" s="14" t="s">
        <v>28</v>
      </c>
      <c r="J110" s="14" t="s">
        <v>139</v>
      </c>
      <c r="K110" s="15"/>
      <c r="L110" s="15"/>
      <c r="M110" s="16" t="s">
        <v>398</v>
      </c>
      <c r="N110" s="8" t="s">
        <v>30</v>
      </c>
      <c r="O110" s="8" t="s">
        <v>388</v>
      </c>
      <c r="P110" s="17" t="s">
        <v>86</v>
      </c>
      <c r="Q110" s="18">
        <v>45933</v>
      </c>
      <c r="R110" s="9">
        <v>41</v>
      </c>
      <c r="S110" s="8" t="s">
        <v>32</v>
      </c>
      <c r="T110" s="8" t="s">
        <v>98</v>
      </c>
      <c r="U110" s="8" t="s">
        <v>275</v>
      </c>
      <c r="V110" s="8" t="s">
        <v>48</v>
      </c>
      <c r="W110" s="19"/>
    </row>
    <row r="111" spans="1:23" x14ac:dyDescent="0.25">
      <c r="A111" s="8" t="s">
        <v>429</v>
      </c>
      <c r="B111" s="8" t="str">
        <f t="shared" si="1"/>
        <v>RVD4C9245933</v>
      </c>
      <c r="C111" s="9" t="s">
        <v>79</v>
      </c>
      <c r="D111" s="10">
        <v>175311</v>
      </c>
      <c r="E111" s="11" t="s">
        <v>430</v>
      </c>
      <c r="F111" s="12">
        <v>45890</v>
      </c>
      <c r="G111" s="13" t="s">
        <v>138</v>
      </c>
      <c r="H111" s="10" t="s">
        <v>27</v>
      </c>
      <c r="I111" s="14" t="s">
        <v>28</v>
      </c>
      <c r="J111" s="14" t="s">
        <v>29</v>
      </c>
      <c r="K111" s="15"/>
      <c r="L111" s="15"/>
      <c r="M111" s="16" t="s">
        <v>431</v>
      </c>
      <c r="N111" s="8" t="s">
        <v>30</v>
      </c>
      <c r="O111" s="8" t="s">
        <v>40</v>
      </c>
      <c r="P111" s="17" t="s">
        <v>86</v>
      </c>
      <c r="Q111" s="18">
        <v>45933</v>
      </c>
      <c r="R111" s="9">
        <v>43</v>
      </c>
      <c r="S111" s="8" t="s">
        <v>32</v>
      </c>
      <c r="T111" s="8" t="s">
        <v>100</v>
      </c>
      <c r="U111" s="8" t="s">
        <v>258</v>
      </c>
      <c r="V111" s="8" t="s">
        <v>48</v>
      </c>
      <c r="W111" s="19"/>
    </row>
    <row r="112" spans="1:23" x14ac:dyDescent="0.25">
      <c r="A112" s="8" t="s">
        <v>432</v>
      </c>
      <c r="B112" s="8" t="str">
        <f t="shared" si="1"/>
        <v>SFD5H7045933</v>
      </c>
      <c r="C112" s="9" t="s">
        <v>24</v>
      </c>
      <c r="D112" s="10">
        <v>81278</v>
      </c>
      <c r="E112" s="11" t="s">
        <v>433</v>
      </c>
      <c r="F112" s="12">
        <v>45873</v>
      </c>
      <c r="G112" s="13" t="s">
        <v>123</v>
      </c>
      <c r="H112" s="10" t="s">
        <v>27</v>
      </c>
      <c r="I112" s="14" t="s">
        <v>28</v>
      </c>
      <c r="J112" s="14" t="s">
        <v>139</v>
      </c>
      <c r="K112" s="15"/>
      <c r="L112" s="15"/>
      <c r="M112" s="16" t="s">
        <v>326</v>
      </c>
      <c r="N112" s="8" t="s">
        <v>30</v>
      </c>
      <c r="O112" s="8" t="s">
        <v>40</v>
      </c>
      <c r="P112" s="17" t="s">
        <v>86</v>
      </c>
      <c r="Q112" s="18">
        <v>45933</v>
      </c>
      <c r="R112" s="9">
        <v>60</v>
      </c>
      <c r="S112" s="8" t="s">
        <v>32</v>
      </c>
      <c r="T112" s="8" t="s">
        <v>434</v>
      </c>
      <c r="U112" s="8" t="s">
        <v>177</v>
      </c>
      <c r="V112" s="8" t="s">
        <v>48</v>
      </c>
      <c r="W112" s="19"/>
    </row>
    <row r="113" spans="1:23" x14ac:dyDescent="0.25">
      <c r="A113" s="8" t="s">
        <v>435</v>
      </c>
      <c r="B113" s="8" t="str">
        <f t="shared" si="1"/>
        <v>RNJ9C9645933</v>
      </c>
      <c r="C113" s="9" t="s">
        <v>72</v>
      </c>
      <c r="D113" s="10">
        <v>141203</v>
      </c>
      <c r="E113" s="11" t="s">
        <v>436</v>
      </c>
      <c r="F113" s="12">
        <v>45916</v>
      </c>
      <c r="G113" s="13" t="s">
        <v>149</v>
      </c>
      <c r="H113" s="10" t="s">
        <v>27</v>
      </c>
      <c r="I113" s="14" t="s">
        <v>28</v>
      </c>
      <c r="J113" s="14" t="s">
        <v>139</v>
      </c>
      <c r="K113" s="15">
        <v>4454.8999999999996</v>
      </c>
      <c r="L113" s="15">
        <v>4250</v>
      </c>
      <c r="M113" s="16" t="s">
        <v>207</v>
      </c>
      <c r="N113" s="8" t="s">
        <v>30</v>
      </c>
      <c r="O113" s="8" t="s">
        <v>40</v>
      </c>
      <c r="P113" s="17" t="s">
        <v>187</v>
      </c>
      <c r="Q113" s="18">
        <v>45933</v>
      </c>
      <c r="R113" s="9">
        <v>17</v>
      </c>
      <c r="S113" s="8" t="s">
        <v>32</v>
      </c>
      <c r="T113" s="8" t="s">
        <v>74</v>
      </c>
      <c r="U113" s="8" t="s">
        <v>75</v>
      </c>
      <c r="V113" s="8" t="s">
        <v>35</v>
      </c>
      <c r="W113" s="19"/>
    </row>
    <row r="114" spans="1:23" x14ac:dyDescent="0.25">
      <c r="A114" s="8" t="s">
        <v>437</v>
      </c>
      <c r="B114" s="8" t="str">
        <f t="shared" si="1"/>
        <v>RVQ2D5645933</v>
      </c>
      <c r="C114" s="9" t="s">
        <v>44</v>
      </c>
      <c r="D114" s="10">
        <v>84873</v>
      </c>
      <c r="E114" s="11" t="s">
        <v>328</v>
      </c>
      <c r="F114" s="12">
        <v>45902</v>
      </c>
      <c r="G114" s="13" t="s">
        <v>39</v>
      </c>
      <c r="H114" s="10" t="s">
        <v>27</v>
      </c>
      <c r="I114" s="14" t="s">
        <v>28</v>
      </c>
      <c r="J114" s="14" t="s">
        <v>139</v>
      </c>
      <c r="K114" s="15"/>
      <c r="L114" s="15"/>
      <c r="M114" s="16" t="s">
        <v>424</v>
      </c>
      <c r="N114" s="8" t="s">
        <v>30</v>
      </c>
      <c r="O114" s="8" t="s">
        <v>40</v>
      </c>
      <c r="P114" s="17" t="s">
        <v>86</v>
      </c>
      <c r="Q114" s="18">
        <v>45933</v>
      </c>
      <c r="R114" s="9">
        <v>31</v>
      </c>
      <c r="S114" s="8" t="s">
        <v>32</v>
      </c>
      <c r="T114" s="8" t="s">
        <v>98</v>
      </c>
      <c r="U114" s="8" t="s">
        <v>134</v>
      </c>
      <c r="V114" s="8" t="s">
        <v>35</v>
      </c>
      <c r="W114" s="19"/>
    </row>
    <row r="115" spans="1:23" x14ac:dyDescent="0.25">
      <c r="A115" s="8" t="s">
        <v>438</v>
      </c>
      <c r="B115" s="8" t="str">
        <f t="shared" si="1"/>
        <v>GHW1G4445933</v>
      </c>
      <c r="C115" s="9" t="s">
        <v>224</v>
      </c>
      <c r="D115" s="10" t="s">
        <v>383</v>
      </c>
      <c r="E115" s="11" t="s">
        <v>225</v>
      </c>
      <c r="F115" s="12">
        <v>45877</v>
      </c>
      <c r="G115" s="13" t="s">
        <v>226</v>
      </c>
      <c r="H115" s="10" t="s">
        <v>27</v>
      </c>
      <c r="I115" s="14" t="s">
        <v>28</v>
      </c>
      <c r="J115" s="14" t="s">
        <v>139</v>
      </c>
      <c r="K115" s="15"/>
      <c r="L115" s="15"/>
      <c r="M115" s="16" t="s">
        <v>315</v>
      </c>
      <c r="N115" s="8" t="s">
        <v>228</v>
      </c>
      <c r="O115" s="8" t="s">
        <v>40</v>
      </c>
      <c r="P115" s="17">
        <v>45933</v>
      </c>
      <c r="Q115" s="18">
        <v>45933</v>
      </c>
      <c r="R115" s="9">
        <v>56</v>
      </c>
      <c r="S115" s="8" t="s">
        <v>32</v>
      </c>
      <c r="T115" s="8" t="s">
        <v>98</v>
      </c>
      <c r="U115" s="8" t="s">
        <v>254</v>
      </c>
      <c r="V115" s="8" t="s">
        <v>48</v>
      </c>
      <c r="W115" s="19"/>
    </row>
    <row r="116" spans="1:23" x14ac:dyDescent="0.25">
      <c r="A116" s="8" t="s">
        <v>439</v>
      </c>
      <c r="B116" s="8" t="str">
        <f t="shared" si="1"/>
        <v>SGI8I3645933</v>
      </c>
      <c r="C116" s="9" t="s">
        <v>96</v>
      </c>
      <c r="D116" s="10">
        <v>25372</v>
      </c>
      <c r="E116" s="11" t="s">
        <v>440</v>
      </c>
      <c r="F116" s="12">
        <v>45894</v>
      </c>
      <c r="G116" s="13" t="s">
        <v>92</v>
      </c>
      <c r="H116" s="10" t="s">
        <v>27</v>
      </c>
      <c r="I116" s="14" t="s">
        <v>28</v>
      </c>
      <c r="J116" s="14" t="s">
        <v>139</v>
      </c>
      <c r="K116" s="15"/>
      <c r="L116" s="15"/>
      <c r="M116" s="16" t="s">
        <v>240</v>
      </c>
      <c r="N116" s="8" t="s">
        <v>30</v>
      </c>
      <c r="O116" s="8" t="s">
        <v>40</v>
      </c>
      <c r="P116" s="17" t="s">
        <v>86</v>
      </c>
      <c r="Q116" s="18">
        <v>45933</v>
      </c>
      <c r="R116" s="9">
        <v>39</v>
      </c>
      <c r="S116" s="8" t="s">
        <v>32</v>
      </c>
      <c r="T116" s="8" t="s">
        <v>98</v>
      </c>
      <c r="U116" s="8" t="s">
        <v>248</v>
      </c>
      <c r="V116" s="8" t="s">
        <v>48</v>
      </c>
      <c r="W116" s="19"/>
    </row>
    <row r="117" spans="1:23" x14ac:dyDescent="0.25">
      <c r="A117" s="8" t="s">
        <v>441</v>
      </c>
      <c r="B117" s="8" t="str">
        <f t="shared" si="1"/>
        <v>SGL2D1145933</v>
      </c>
      <c r="C117" s="9" t="s">
        <v>96</v>
      </c>
      <c r="D117" s="10">
        <v>20424</v>
      </c>
      <c r="E117" s="11" t="s">
        <v>442</v>
      </c>
      <c r="F117" s="12">
        <v>45910</v>
      </c>
      <c r="G117" s="13" t="s">
        <v>92</v>
      </c>
      <c r="H117" s="10" t="s">
        <v>27</v>
      </c>
      <c r="I117" s="14" t="s">
        <v>28</v>
      </c>
      <c r="J117" s="14" t="s">
        <v>139</v>
      </c>
      <c r="K117" s="15"/>
      <c r="L117" s="15"/>
      <c r="M117" s="16" t="s">
        <v>420</v>
      </c>
      <c r="N117" s="8" t="s">
        <v>30</v>
      </c>
      <c r="O117" s="8" t="s">
        <v>40</v>
      </c>
      <c r="P117" s="17" t="s">
        <v>86</v>
      </c>
      <c r="Q117" s="18">
        <v>45933</v>
      </c>
      <c r="R117" s="9">
        <v>23</v>
      </c>
      <c r="S117" s="8" t="s">
        <v>32</v>
      </c>
      <c r="T117" s="8" t="s">
        <v>98</v>
      </c>
      <c r="U117" s="8" t="s">
        <v>265</v>
      </c>
      <c r="V117" s="8" t="s">
        <v>35</v>
      </c>
      <c r="W117" s="19"/>
    </row>
    <row r="118" spans="1:23" x14ac:dyDescent="0.25">
      <c r="A118" s="8" t="s">
        <v>443</v>
      </c>
      <c r="B118" s="8" t="str">
        <f t="shared" si="1"/>
        <v>TOE7C3045933</v>
      </c>
      <c r="C118" s="9" t="s">
        <v>96</v>
      </c>
      <c r="D118" s="10">
        <v>65685</v>
      </c>
      <c r="E118" s="11" t="s">
        <v>444</v>
      </c>
      <c r="F118" s="12">
        <v>45890</v>
      </c>
      <c r="G118" s="13" t="s">
        <v>92</v>
      </c>
      <c r="H118" s="10" t="s">
        <v>27</v>
      </c>
      <c r="I118" s="14" t="s">
        <v>28</v>
      </c>
      <c r="J118" s="14" t="s">
        <v>139</v>
      </c>
      <c r="K118" s="15"/>
      <c r="L118" s="15"/>
      <c r="M118" s="16" t="s">
        <v>240</v>
      </c>
      <c r="N118" s="8" t="s">
        <v>30</v>
      </c>
      <c r="O118" s="8" t="s">
        <v>40</v>
      </c>
      <c r="P118" s="17">
        <v>45937</v>
      </c>
      <c r="Q118" s="18">
        <v>45933</v>
      </c>
      <c r="R118" s="9">
        <v>43</v>
      </c>
      <c r="S118" s="8" t="s">
        <v>32</v>
      </c>
      <c r="T118" s="8" t="s">
        <v>98</v>
      </c>
      <c r="U118" s="8" t="s">
        <v>248</v>
      </c>
      <c r="V118" s="8" t="s">
        <v>48</v>
      </c>
      <c r="W118" s="19"/>
    </row>
    <row r="119" spans="1:23" x14ac:dyDescent="0.25">
      <c r="A119" s="8" t="s">
        <v>445</v>
      </c>
      <c r="B119" s="8" t="str">
        <f t="shared" si="1"/>
        <v>RNF2B6845933</v>
      </c>
      <c r="C119" s="9" t="s">
        <v>72</v>
      </c>
      <c r="D119" s="10">
        <v>209835</v>
      </c>
      <c r="E119" s="11" t="s">
        <v>446</v>
      </c>
      <c r="F119" s="12">
        <v>45917</v>
      </c>
      <c r="G119" s="13" t="s">
        <v>123</v>
      </c>
      <c r="H119" s="10" t="s">
        <v>27</v>
      </c>
      <c r="I119" s="14" t="s">
        <v>28</v>
      </c>
      <c r="J119" s="14" t="s">
        <v>29</v>
      </c>
      <c r="K119" s="15"/>
      <c r="L119" s="15"/>
      <c r="M119" s="16" t="s">
        <v>374</v>
      </c>
      <c r="N119" s="8" t="s">
        <v>30</v>
      </c>
      <c r="O119" s="8" t="s">
        <v>40</v>
      </c>
      <c r="P119" s="17">
        <v>45933</v>
      </c>
      <c r="Q119" s="18">
        <v>45933</v>
      </c>
      <c r="R119" s="9">
        <v>16</v>
      </c>
      <c r="S119" s="8" t="s">
        <v>32</v>
      </c>
      <c r="T119" s="8" t="s">
        <v>392</v>
      </c>
      <c r="U119" s="8" t="s">
        <v>447</v>
      </c>
      <c r="V119" s="8" t="s">
        <v>320</v>
      </c>
      <c r="W119" s="19"/>
    </row>
    <row r="120" spans="1:23" x14ac:dyDescent="0.25">
      <c r="A120" s="8" t="s">
        <v>291</v>
      </c>
      <c r="B120" s="8" t="str">
        <f t="shared" si="1"/>
        <v>SDU2D2645932</v>
      </c>
      <c r="C120" s="9" t="s">
        <v>50</v>
      </c>
      <c r="D120" s="10">
        <v>47543</v>
      </c>
      <c r="E120" s="11" t="s">
        <v>448</v>
      </c>
      <c r="F120" s="12">
        <v>45931</v>
      </c>
      <c r="G120" s="13" t="s">
        <v>184</v>
      </c>
      <c r="H120" s="10" t="s">
        <v>27</v>
      </c>
      <c r="I120" s="14" t="s">
        <v>28</v>
      </c>
      <c r="J120" s="14" t="s">
        <v>139</v>
      </c>
      <c r="K120" s="15" t="s">
        <v>449</v>
      </c>
      <c r="L120" s="15">
        <v>3636</v>
      </c>
      <c r="M120" s="16" t="s">
        <v>186</v>
      </c>
      <c r="N120" s="8" t="s">
        <v>30</v>
      </c>
      <c r="O120" s="8" t="s">
        <v>40</v>
      </c>
      <c r="P120" s="17">
        <v>45932</v>
      </c>
      <c r="Q120" s="18">
        <v>45932</v>
      </c>
      <c r="R120" s="9">
        <v>1</v>
      </c>
      <c r="S120" s="8" t="s">
        <v>153</v>
      </c>
      <c r="T120" s="8" t="s">
        <v>74</v>
      </c>
      <c r="U120" s="8" t="s">
        <v>188</v>
      </c>
      <c r="V120" s="8" t="s">
        <v>320</v>
      </c>
      <c r="W120" s="19"/>
    </row>
    <row r="121" spans="1:23" x14ac:dyDescent="0.25">
      <c r="A121" s="8" t="s">
        <v>450</v>
      </c>
      <c r="B121" s="8" t="str">
        <f t="shared" si="1"/>
        <v>SFT5A6145933</v>
      </c>
      <c r="C121" s="9" t="s">
        <v>96</v>
      </c>
      <c r="D121" s="10">
        <v>42687</v>
      </c>
      <c r="E121" s="11" t="s">
        <v>310</v>
      </c>
      <c r="F121" s="12">
        <v>45931</v>
      </c>
      <c r="G121" s="13" t="s">
        <v>138</v>
      </c>
      <c r="H121" s="10" t="s">
        <v>27</v>
      </c>
      <c r="I121" s="14" t="s">
        <v>28</v>
      </c>
      <c r="J121" s="14" t="s">
        <v>139</v>
      </c>
      <c r="K121" s="15"/>
      <c r="L121" s="15"/>
      <c r="M121" s="16" t="s">
        <v>357</v>
      </c>
      <c r="N121" s="8" t="s">
        <v>30</v>
      </c>
      <c r="O121" s="8" t="s">
        <v>40</v>
      </c>
      <c r="P121" s="17" t="s">
        <v>86</v>
      </c>
      <c r="Q121" s="18">
        <v>45933</v>
      </c>
      <c r="R121" s="9">
        <v>2</v>
      </c>
      <c r="S121" s="8" t="s">
        <v>153</v>
      </c>
      <c r="T121" s="8" t="s">
        <v>98</v>
      </c>
      <c r="U121" s="8" t="s">
        <v>303</v>
      </c>
      <c r="V121" s="8" t="s">
        <v>313</v>
      </c>
      <c r="W121" s="19"/>
    </row>
    <row r="122" spans="1:23" x14ac:dyDescent="0.25">
      <c r="A122" s="8" t="s">
        <v>451</v>
      </c>
      <c r="B122" s="8" t="str">
        <f t="shared" si="1"/>
        <v>TOE2B9845933</v>
      </c>
      <c r="C122" s="9" t="s">
        <v>157</v>
      </c>
      <c r="D122" s="10" t="s">
        <v>452</v>
      </c>
      <c r="E122" s="11" t="s">
        <v>453</v>
      </c>
      <c r="F122" s="12">
        <v>45933</v>
      </c>
      <c r="G122" s="13" t="s">
        <v>226</v>
      </c>
      <c r="H122" s="10" t="s">
        <v>27</v>
      </c>
      <c r="I122" s="14" t="s">
        <v>28</v>
      </c>
      <c r="J122" s="14" t="s">
        <v>139</v>
      </c>
      <c r="K122" s="15"/>
      <c r="L122" s="15"/>
      <c r="M122" s="16" t="s">
        <v>454</v>
      </c>
      <c r="N122" s="8" t="s">
        <v>172</v>
      </c>
      <c r="O122" s="8" t="s">
        <v>40</v>
      </c>
      <c r="P122" s="17">
        <v>45937</v>
      </c>
      <c r="Q122" s="18">
        <v>45933</v>
      </c>
      <c r="R122" s="9">
        <v>0</v>
      </c>
      <c r="S122" s="8" t="s">
        <v>153</v>
      </c>
      <c r="T122" s="8" t="s">
        <v>98</v>
      </c>
      <c r="U122" s="8" t="s">
        <v>173</v>
      </c>
      <c r="V122" s="8" t="s">
        <v>320</v>
      </c>
      <c r="W122" s="19"/>
    </row>
    <row r="123" spans="1:23" x14ac:dyDescent="0.25">
      <c r="A123" s="8" t="s">
        <v>111</v>
      </c>
      <c r="B123" s="8" t="str">
        <f t="shared" si="1"/>
        <v>JCI8F7545933</v>
      </c>
      <c r="C123" s="9" t="s">
        <v>24</v>
      </c>
      <c r="D123" s="10">
        <v>76740</v>
      </c>
      <c r="E123" s="11" t="s">
        <v>455</v>
      </c>
      <c r="F123" s="12">
        <v>45927</v>
      </c>
      <c r="G123" s="13" t="s">
        <v>123</v>
      </c>
      <c r="H123" s="10" t="s">
        <v>27</v>
      </c>
      <c r="I123" s="14" t="s">
        <v>28</v>
      </c>
      <c r="J123" s="14" t="s">
        <v>139</v>
      </c>
      <c r="K123" s="15"/>
      <c r="L123" s="15"/>
      <c r="M123" s="16" t="s">
        <v>237</v>
      </c>
      <c r="N123" s="8" t="s">
        <v>30</v>
      </c>
      <c r="O123" s="8" t="s">
        <v>40</v>
      </c>
      <c r="P123" s="17">
        <v>45933</v>
      </c>
      <c r="Q123" s="18">
        <v>45933</v>
      </c>
      <c r="R123" s="9">
        <v>6</v>
      </c>
      <c r="S123" s="8" t="s">
        <v>32</v>
      </c>
      <c r="T123" s="8" t="s">
        <v>41</v>
      </c>
      <c r="U123" s="8" t="s">
        <v>42</v>
      </c>
      <c r="V123" s="8" t="s">
        <v>35</v>
      </c>
      <c r="W123" s="19"/>
    </row>
    <row r="124" spans="1:23" x14ac:dyDescent="0.25">
      <c r="A124" s="8" t="s">
        <v>456</v>
      </c>
      <c r="B124" s="8" t="str">
        <f t="shared" si="1"/>
        <v>SGF9C1145933</v>
      </c>
      <c r="C124" s="9" t="s">
        <v>157</v>
      </c>
      <c r="D124" s="10" t="s">
        <v>457</v>
      </c>
      <c r="E124" s="11" t="s">
        <v>414</v>
      </c>
      <c r="F124" s="12">
        <v>45932</v>
      </c>
      <c r="G124" s="13" t="s">
        <v>226</v>
      </c>
      <c r="H124" s="10" t="s">
        <v>27</v>
      </c>
      <c r="I124" s="14" t="s">
        <v>28</v>
      </c>
      <c r="J124" s="14" t="s">
        <v>139</v>
      </c>
      <c r="K124" s="15"/>
      <c r="L124" s="15"/>
      <c r="M124" s="16" t="s">
        <v>458</v>
      </c>
      <c r="N124" s="8" t="s">
        <v>172</v>
      </c>
      <c r="O124" s="8" t="s">
        <v>40</v>
      </c>
      <c r="P124" s="17" t="s">
        <v>86</v>
      </c>
      <c r="Q124" s="18">
        <v>45933</v>
      </c>
      <c r="R124" s="9">
        <v>1</v>
      </c>
      <c r="S124" s="8" t="s">
        <v>153</v>
      </c>
      <c r="T124" s="8" t="s">
        <v>459</v>
      </c>
      <c r="U124" s="8" t="s">
        <v>460</v>
      </c>
      <c r="V124" s="8" t="s">
        <v>320</v>
      </c>
      <c r="W124" s="19"/>
    </row>
    <row r="125" spans="1:23" x14ac:dyDescent="0.25">
      <c r="A125" s="8" t="s">
        <v>461</v>
      </c>
      <c r="B125" s="8" t="str">
        <f t="shared" si="1"/>
        <v>SGH0H3045933</v>
      </c>
      <c r="C125" s="9" t="s">
        <v>96</v>
      </c>
      <c r="D125" s="10">
        <v>647070</v>
      </c>
      <c r="E125" s="11" t="s">
        <v>462</v>
      </c>
      <c r="F125" s="12">
        <v>45932</v>
      </c>
      <c r="G125" s="13" t="s">
        <v>123</v>
      </c>
      <c r="H125" s="10" t="s">
        <v>27</v>
      </c>
      <c r="I125" s="14" t="s">
        <v>28</v>
      </c>
      <c r="J125" s="14" t="s">
        <v>139</v>
      </c>
      <c r="K125" s="15"/>
      <c r="L125" s="15"/>
      <c r="M125" s="16" t="s">
        <v>374</v>
      </c>
      <c r="N125" s="8" t="s">
        <v>30</v>
      </c>
      <c r="O125" s="8" t="s">
        <v>40</v>
      </c>
      <c r="P125" s="17" t="s">
        <v>86</v>
      </c>
      <c r="Q125" s="18">
        <v>45933</v>
      </c>
      <c r="R125" s="9">
        <v>1</v>
      </c>
      <c r="S125" s="8" t="s">
        <v>153</v>
      </c>
      <c r="T125" s="8" t="s">
        <v>392</v>
      </c>
      <c r="U125" s="8" t="s">
        <v>393</v>
      </c>
      <c r="V125" s="8" t="s">
        <v>320</v>
      </c>
      <c r="W125" s="19"/>
    </row>
    <row r="126" spans="1:23" x14ac:dyDescent="0.25">
      <c r="A126" s="8" t="s">
        <v>463</v>
      </c>
      <c r="B126" s="8" t="str">
        <f t="shared" si="1"/>
        <v>SGH8C3945933</v>
      </c>
      <c r="C126" s="9" t="s">
        <v>96</v>
      </c>
      <c r="D126" s="10">
        <v>79958</v>
      </c>
      <c r="E126" s="11" t="s">
        <v>464</v>
      </c>
      <c r="F126" s="12">
        <v>45933</v>
      </c>
      <c r="G126" s="13" t="s">
        <v>39</v>
      </c>
      <c r="H126" s="10" t="s">
        <v>27</v>
      </c>
      <c r="I126" s="14" t="s">
        <v>28</v>
      </c>
      <c r="J126" s="14" t="s">
        <v>139</v>
      </c>
      <c r="K126" s="15"/>
      <c r="L126" s="15"/>
      <c r="M126" s="16" t="s">
        <v>329</v>
      </c>
      <c r="N126" s="8" t="s">
        <v>30</v>
      </c>
      <c r="O126" s="8" t="s">
        <v>40</v>
      </c>
      <c r="P126" s="17" t="s">
        <v>86</v>
      </c>
      <c r="Q126" s="18">
        <v>45933</v>
      </c>
      <c r="R126" s="9">
        <v>0</v>
      </c>
      <c r="S126" s="8" t="s">
        <v>153</v>
      </c>
      <c r="T126" s="8" t="s">
        <v>66</v>
      </c>
      <c r="U126" s="8" t="s">
        <v>465</v>
      </c>
      <c r="V126" s="8" t="s">
        <v>320</v>
      </c>
      <c r="W126" s="19"/>
    </row>
    <row r="127" spans="1:23" x14ac:dyDescent="0.25">
      <c r="A127" s="8" t="s">
        <v>466</v>
      </c>
      <c r="B127" s="8" t="str">
        <f t="shared" si="1"/>
        <v>FMO8E2245933</v>
      </c>
      <c r="C127" s="9" t="s">
        <v>79</v>
      </c>
      <c r="D127" s="10">
        <v>62541</v>
      </c>
      <c r="E127" s="11" t="s">
        <v>467</v>
      </c>
      <c r="F127" s="12">
        <v>45884</v>
      </c>
      <c r="G127" s="13" t="s">
        <v>149</v>
      </c>
      <c r="H127" s="10" t="s">
        <v>52</v>
      </c>
      <c r="I127" s="14" t="s">
        <v>28</v>
      </c>
      <c r="J127" s="14" t="s">
        <v>29</v>
      </c>
      <c r="K127" s="15">
        <v>1500</v>
      </c>
      <c r="L127" s="15">
        <v>1500</v>
      </c>
      <c r="M127" s="16" t="s">
        <v>468</v>
      </c>
      <c r="N127" s="8" t="s">
        <v>30</v>
      </c>
      <c r="O127" s="8" t="s">
        <v>52</v>
      </c>
      <c r="P127" s="17">
        <v>45933</v>
      </c>
      <c r="Q127" s="18">
        <v>45933</v>
      </c>
      <c r="R127" s="9">
        <v>49</v>
      </c>
      <c r="S127" s="8" t="s">
        <v>32</v>
      </c>
      <c r="T127" s="8" t="s">
        <v>469</v>
      </c>
      <c r="U127" s="8" t="s">
        <v>82</v>
      </c>
      <c r="V127" s="8" t="s">
        <v>35</v>
      </c>
      <c r="W127" s="19"/>
    </row>
    <row r="128" spans="1:23" x14ac:dyDescent="0.25">
      <c r="A128" s="8" t="s">
        <v>470</v>
      </c>
      <c r="B128" s="8" t="str">
        <f t="shared" si="1"/>
        <v>RUL7F4645933</v>
      </c>
      <c r="C128" s="9" t="s">
        <v>37</v>
      </c>
      <c r="D128" s="10">
        <v>125000</v>
      </c>
      <c r="E128" s="11" t="s">
        <v>471</v>
      </c>
      <c r="F128" s="12">
        <v>45752</v>
      </c>
      <c r="G128" s="13" t="s">
        <v>149</v>
      </c>
      <c r="H128" s="10" t="s">
        <v>52</v>
      </c>
      <c r="I128" s="14" t="s">
        <v>28</v>
      </c>
      <c r="J128" s="14" t="s">
        <v>29</v>
      </c>
      <c r="K128" s="15">
        <v>5256</v>
      </c>
      <c r="L128" s="15">
        <v>5256</v>
      </c>
      <c r="M128" s="16" t="s">
        <v>233</v>
      </c>
      <c r="N128" s="8" t="s">
        <v>30</v>
      </c>
      <c r="O128" s="8" t="s">
        <v>52</v>
      </c>
      <c r="P128" s="17">
        <v>45933</v>
      </c>
      <c r="Q128" s="18">
        <v>45933</v>
      </c>
      <c r="R128" s="9">
        <v>181</v>
      </c>
      <c r="S128" s="8" t="s">
        <v>32</v>
      </c>
      <c r="T128" s="8" t="s">
        <v>472</v>
      </c>
      <c r="U128" s="8" t="s">
        <v>234</v>
      </c>
      <c r="V128" s="8" t="s">
        <v>473</v>
      </c>
      <c r="W128" s="19"/>
    </row>
    <row r="129" spans="1:23" x14ac:dyDescent="0.25">
      <c r="A129" s="8" t="s">
        <v>474</v>
      </c>
      <c r="B129" s="8" t="str">
        <f t="shared" si="1"/>
        <v>SGK7D7045930</v>
      </c>
      <c r="C129" s="9" t="s">
        <v>96</v>
      </c>
      <c r="D129" s="10">
        <v>11829</v>
      </c>
      <c r="E129" s="11" t="s">
        <v>475</v>
      </c>
      <c r="F129" s="12">
        <v>45708</v>
      </c>
      <c r="G129" s="13" t="s">
        <v>138</v>
      </c>
      <c r="H129" s="10" t="s">
        <v>52</v>
      </c>
      <c r="I129" s="14" t="s">
        <v>28</v>
      </c>
      <c r="J129" s="14" t="s">
        <v>29</v>
      </c>
      <c r="K129" s="15">
        <v>22000</v>
      </c>
      <c r="L129" s="15">
        <v>22000</v>
      </c>
      <c r="M129" s="16" t="s">
        <v>233</v>
      </c>
      <c r="N129" s="8" t="s">
        <v>30</v>
      </c>
      <c r="O129" s="8" t="s">
        <v>52</v>
      </c>
      <c r="P129" s="17">
        <v>45933</v>
      </c>
      <c r="Q129" s="18">
        <v>45930</v>
      </c>
      <c r="R129" s="9">
        <v>225</v>
      </c>
      <c r="S129" s="8" t="s">
        <v>32</v>
      </c>
      <c r="T129" s="8" t="s">
        <v>274</v>
      </c>
      <c r="U129" s="8" t="s">
        <v>234</v>
      </c>
      <c r="V129" s="8" t="s">
        <v>35</v>
      </c>
      <c r="W129" s="19"/>
    </row>
    <row r="130" spans="1:23" x14ac:dyDescent="0.25">
      <c r="A130" s="8" t="s">
        <v>476</v>
      </c>
      <c r="B130" s="8" t="str">
        <f t="shared" si="1"/>
        <v>RUM2B3245923</v>
      </c>
      <c r="C130" s="9" t="s">
        <v>37</v>
      </c>
      <c r="D130" s="10">
        <v>1172760</v>
      </c>
      <c r="E130" s="11" t="s">
        <v>477</v>
      </c>
      <c r="F130" s="12">
        <v>45916</v>
      </c>
      <c r="G130" s="13" t="s">
        <v>123</v>
      </c>
      <c r="H130" s="10" t="s">
        <v>27</v>
      </c>
      <c r="I130" s="14" t="s">
        <v>28</v>
      </c>
      <c r="J130" s="14" t="s">
        <v>139</v>
      </c>
      <c r="K130" s="15"/>
      <c r="L130" s="15"/>
      <c r="M130" s="16" t="s">
        <v>214</v>
      </c>
      <c r="N130" s="8" t="s">
        <v>30</v>
      </c>
      <c r="O130" s="8" t="s">
        <v>40</v>
      </c>
      <c r="P130" s="17">
        <v>45923</v>
      </c>
      <c r="Q130" s="18">
        <v>45923</v>
      </c>
      <c r="R130" s="9">
        <v>7</v>
      </c>
      <c r="S130" s="8" t="s">
        <v>32</v>
      </c>
      <c r="T130" s="8" t="s">
        <v>98</v>
      </c>
      <c r="U130" s="8" t="s">
        <v>215</v>
      </c>
      <c r="V130" s="8" t="s">
        <v>35</v>
      </c>
      <c r="W130" s="19"/>
    </row>
    <row r="131" spans="1:23" x14ac:dyDescent="0.25">
      <c r="A131" s="8" t="s">
        <v>478</v>
      </c>
      <c r="B131" s="8" t="str">
        <f t="shared" ref="B131:B194" si="2">A131&amp;Q131</f>
        <v>RVC0J6645936</v>
      </c>
      <c r="C131" s="9" t="s">
        <v>479</v>
      </c>
      <c r="D131" s="10">
        <v>193084</v>
      </c>
      <c r="E131" s="11" t="s">
        <v>480</v>
      </c>
      <c r="F131" s="12">
        <v>45929</v>
      </c>
      <c r="G131" s="13" t="s">
        <v>257</v>
      </c>
      <c r="H131" s="10" t="s">
        <v>27</v>
      </c>
      <c r="I131" s="14" t="s">
        <v>28</v>
      </c>
      <c r="J131" s="14" t="s">
        <v>139</v>
      </c>
      <c r="K131" s="15"/>
      <c r="L131" s="15"/>
      <c r="M131" s="16" t="s">
        <v>343</v>
      </c>
      <c r="N131" s="8" t="s">
        <v>30</v>
      </c>
      <c r="O131" s="8" t="s">
        <v>388</v>
      </c>
      <c r="P131" s="17">
        <v>45936</v>
      </c>
      <c r="Q131" s="18">
        <v>45936</v>
      </c>
      <c r="R131" s="9">
        <v>7</v>
      </c>
      <c r="S131" s="8" t="s">
        <v>32</v>
      </c>
      <c r="T131" s="8" t="s">
        <v>481</v>
      </c>
      <c r="U131" s="8" t="s">
        <v>59</v>
      </c>
      <c r="V131" s="8" t="s">
        <v>313</v>
      </c>
      <c r="W131" s="19"/>
    </row>
    <row r="132" spans="1:23" x14ac:dyDescent="0.25">
      <c r="A132" s="8" t="s">
        <v>482</v>
      </c>
      <c r="B132" s="8" t="str">
        <f t="shared" si="2"/>
        <v>RNG4F4945936</v>
      </c>
      <c r="C132" s="9" t="s">
        <v>44</v>
      </c>
      <c r="D132" s="10">
        <v>156551</v>
      </c>
      <c r="E132" s="11" t="s">
        <v>103</v>
      </c>
      <c r="F132" s="12">
        <v>45930</v>
      </c>
      <c r="G132" s="13" t="s">
        <v>123</v>
      </c>
      <c r="H132" s="10" t="s">
        <v>27</v>
      </c>
      <c r="I132" s="14" t="s">
        <v>28</v>
      </c>
      <c r="J132" s="14" t="s">
        <v>139</v>
      </c>
      <c r="K132" s="15"/>
      <c r="L132" s="15"/>
      <c r="M132" s="16" t="s">
        <v>237</v>
      </c>
      <c r="N132" s="8" t="s">
        <v>30</v>
      </c>
      <c r="O132" s="8" t="s">
        <v>40</v>
      </c>
      <c r="P132" s="17">
        <v>45936</v>
      </c>
      <c r="Q132" s="18">
        <v>45936</v>
      </c>
      <c r="R132" s="9">
        <v>6</v>
      </c>
      <c r="S132" s="8" t="s">
        <v>32</v>
      </c>
      <c r="T132" s="8" t="s">
        <v>41</v>
      </c>
      <c r="U132" s="8" t="s">
        <v>42</v>
      </c>
      <c r="V132" s="8" t="s">
        <v>35</v>
      </c>
      <c r="W132" s="19"/>
    </row>
    <row r="133" spans="1:23" x14ac:dyDescent="0.25">
      <c r="A133" s="8" t="s">
        <v>483</v>
      </c>
      <c r="B133" s="8" t="str">
        <f t="shared" si="2"/>
        <v>GIW6I2545936</v>
      </c>
      <c r="C133" s="9" t="s">
        <v>224</v>
      </c>
      <c r="D133" s="10">
        <v>118356</v>
      </c>
      <c r="E133" s="11" t="s">
        <v>484</v>
      </c>
      <c r="F133" s="12">
        <v>45889</v>
      </c>
      <c r="G133" s="13" t="s">
        <v>226</v>
      </c>
      <c r="H133" s="10" t="s">
        <v>27</v>
      </c>
      <c r="I133" s="14" t="s">
        <v>28</v>
      </c>
      <c r="J133" s="14" t="s">
        <v>139</v>
      </c>
      <c r="K133" s="15"/>
      <c r="L133" s="15"/>
      <c r="M133" s="16" t="s">
        <v>485</v>
      </c>
      <c r="N133" s="8" t="s">
        <v>228</v>
      </c>
      <c r="O133" s="8" t="s">
        <v>40</v>
      </c>
      <c r="P133" s="17" t="s">
        <v>86</v>
      </c>
      <c r="Q133" s="18">
        <v>45936</v>
      </c>
      <c r="R133" s="9">
        <v>47</v>
      </c>
      <c r="S133" s="8" t="s">
        <v>32</v>
      </c>
      <c r="T133" s="8" t="s">
        <v>229</v>
      </c>
      <c r="U133" s="8" t="s">
        <v>486</v>
      </c>
      <c r="V133" s="8" t="s">
        <v>48</v>
      </c>
      <c r="W133" s="19"/>
    </row>
    <row r="134" spans="1:23" x14ac:dyDescent="0.25">
      <c r="A134" s="8" t="s">
        <v>487</v>
      </c>
      <c r="B134" s="8" t="str">
        <f t="shared" si="2"/>
        <v>SGF8I5545933</v>
      </c>
      <c r="C134" s="9" t="s">
        <v>157</v>
      </c>
      <c r="D134" s="10" t="s">
        <v>488</v>
      </c>
      <c r="E134" s="11" t="s">
        <v>489</v>
      </c>
      <c r="F134" s="12">
        <v>45899</v>
      </c>
      <c r="G134" s="13" t="s">
        <v>226</v>
      </c>
      <c r="H134" s="10" t="s">
        <v>27</v>
      </c>
      <c r="I134" s="14" t="s">
        <v>28</v>
      </c>
      <c r="J134" s="14" t="s">
        <v>139</v>
      </c>
      <c r="K134" s="15"/>
      <c r="L134" s="15"/>
      <c r="M134" s="16" t="s">
        <v>458</v>
      </c>
      <c r="N134" s="8" t="s">
        <v>172</v>
      </c>
      <c r="O134" s="8" t="s">
        <v>40</v>
      </c>
      <c r="P134" s="17" t="s">
        <v>86</v>
      </c>
      <c r="Q134" s="18">
        <v>45933</v>
      </c>
      <c r="R134" s="9">
        <v>37</v>
      </c>
      <c r="S134" s="8" t="s">
        <v>32</v>
      </c>
      <c r="T134" s="8" t="s">
        <v>159</v>
      </c>
      <c r="U134" s="8" t="s">
        <v>460</v>
      </c>
      <c r="V134" s="8" t="s">
        <v>48</v>
      </c>
      <c r="W134" s="19"/>
    </row>
    <row r="135" spans="1:23" x14ac:dyDescent="0.25">
      <c r="A135" s="8" t="s">
        <v>490</v>
      </c>
      <c r="B135" s="8" t="str">
        <f t="shared" si="2"/>
        <v>SFW0A4245936</v>
      </c>
      <c r="C135" s="9" t="s">
        <v>96</v>
      </c>
      <c r="D135" s="10">
        <v>30059</v>
      </c>
      <c r="E135" s="11" t="s">
        <v>491</v>
      </c>
      <c r="F135" s="12">
        <v>45914</v>
      </c>
      <c r="G135" s="13" t="s">
        <v>92</v>
      </c>
      <c r="H135" s="10" t="s">
        <v>27</v>
      </c>
      <c r="I135" s="14" t="s">
        <v>28</v>
      </c>
      <c r="J135" s="14" t="s">
        <v>139</v>
      </c>
      <c r="K135" s="15"/>
      <c r="L135" s="15"/>
      <c r="M135" s="16" t="s">
        <v>424</v>
      </c>
      <c r="N135" s="8" t="s">
        <v>30</v>
      </c>
      <c r="O135" s="8" t="s">
        <v>40</v>
      </c>
      <c r="P135" s="17" t="s">
        <v>86</v>
      </c>
      <c r="Q135" s="18">
        <v>45936</v>
      </c>
      <c r="R135" s="9">
        <v>22</v>
      </c>
      <c r="S135" s="8" t="s">
        <v>32</v>
      </c>
      <c r="T135" s="8" t="s">
        <v>159</v>
      </c>
      <c r="U135" s="8" t="s">
        <v>134</v>
      </c>
      <c r="V135" s="8" t="s">
        <v>35</v>
      </c>
      <c r="W135" s="19"/>
    </row>
    <row r="136" spans="1:23" x14ac:dyDescent="0.25">
      <c r="A136" s="8" t="s">
        <v>492</v>
      </c>
      <c r="B136" s="8" t="str">
        <f t="shared" si="2"/>
        <v>GDG6C9345929</v>
      </c>
      <c r="C136" s="9" t="s">
        <v>224</v>
      </c>
      <c r="D136" s="10" t="s">
        <v>383</v>
      </c>
      <c r="E136" s="11" t="s">
        <v>493</v>
      </c>
      <c r="F136" s="12">
        <v>45929</v>
      </c>
      <c r="G136" s="13" t="s">
        <v>226</v>
      </c>
      <c r="H136" s="10" t="s">
        <v>27</v>
      </c>
      <c r="I136" s="14" t="s">
        <v>28</v>
      </c>
      <c r="J136" s="14" t="s">
        <v>139</v>
      </c>
      <c r="K136" s="15"/>
      <c r="L136" s="15"/>
      <c r="M136" s="16" t="s">
        <v>485</v>
      </c>
      <c r="N136" s="8" t="s">
        <v>228</v>
      </c>
      <c r="O136" s="8" t="s">
        <v>40</v>
      </c>
      <c r="P136" s="17" t="s">
        <v>86</v>
      </c>
      <c r="Q136" s="18">
        <v>45929</v>
      </c>
      <c r="R136" s="9">
        <v>7</v>
      </c>
      <c r="S136" s="8" t="s">
        <v>32</v>
      </c>
      <c r="T136" s="8" t="s">
        <v>494</v>
      </c>
      <c r="U136" s="8" t="s">
        <v>486</v>
      </c>
      <c r="V136" s="8" t="s">
        <v>313</v>
      </c>
      <c r="W136" s="19"/>
    </row>
    <row r="137" spans="1:23" x14ac:dyDescent="0.25">
      <c r="A137" s="8" t="s">
        <v>495</v>
      </c>
      <c r="B137" s="8" t="str">
        <f t="shared" si="2"/>
        <v>SGH0H4845936</v>
      </c>
      <c r="C137" s="9" t="s">
        <v>96</v>
      </c>
      <c r="D137" s="10">
        <v>38018</v>
      </c>
      <c r="E137" s="11" t="s">
        <v>496</v>
      </c>
      <c r="F137" s="12">
        <v>45903</v>
      </c>
      <c r="G137" s="13" t="s">
        <v>39</v>
      </c>
      <c r="H137" s="10" t="s">
        <v>27</v>
      </c>
      <c r="I137" s="14" t="s">
        <v>28</v>
      </c>
      <c r="J137" s="14" t="s">
        <v>139</v>
      </c>
      <c r="K137" s="15"/>
      <c r="L137" s="15"/>
      <c r="M137" s="16" t="s">
        <v>497</v>
      </c>
      <c r="N137" s="8" t="s">
        <v>30</v>
      </c>
      <c r="O137" s="8" t="s">
        <v>40</v>
      </c>
      <c r="P137" s="17" t="s">
        <v>86</v>
      </c>
      <c r="Q137" s="18">
        <v>45936</v>
      </c>
      <c r="R137" s="9">
        <v>33</v>
      </c>
      <c r="S137" s="8" t="s">
        <v>32</v>
      </c>
      <c r="T137" s="8" t="s">
        <v>349</v>
      </c>
      <c r="U137" s="8" t="s">
        <v>67</v>
      </c>
      <c r="V137" s="8" t="s">
        <v>35</v>
      </c>
      <c r="W137" s="19"/>
    </row>
    <row r="138" spans="1:23" x14ac:dyDescent="0.25">
      <c r="A138" s="8" t="s">
        <v>498</v>
      </c>
      <c r="B138" s="8" t="str">
        <f t="shared" si="2"/>
        <v>SGI8H7345936</v>
      </c>
      <c r="C138" s="9" t="s">
        <v>96</v>
      </c>
      <c r="D138" s="10"/>
      <c r="E138" s="11" t="s">
        <v>499</v>
      </c>
      <c r="F138" s="12">
        <v>45933</v>
      </c>
      <c r="G138" s="13" t="s">
        <v>138</v>
      </c>
      <c r="H138" s="10" t="s">
        <v>27</v>
      </c>
      <c r="I138" s="14" t="s">
        <v>28</v>
      </c>
      <c r="J138" s="14" t="s">
        <v>29</v>
      </c>
      <c r="K138" s="15"/>
      <c r="L138" s="15"/>
      <c r="M138" s="16" t="s">
        <v>200</v>
      </c>
      <c r="N138" s="8" t="s">
        <v>30</v>
      </c>
      <c r="O138" s="8" t="s">
        <v>40</v>
      </c>
      <c r="P138" s="17">
        <v>45936</v>
      </c>
      <c r="Q138" s="18">
        <v>45936</v>
      </c>
      <c r="R138" s="9">
        <v>3</v>
      </c>
      <c r="S138" s="8" t="s">
        <v>32</v>
      </c>
      <c r="T138" s="8"/>
      <c r="U138" s="8" t="s">
        <v>500</v>
      </c>
      <c r="V138" s="8" t="s">
        <v>320</v>
      </c>
      <c r="W138" s="19"/>
    </row>
    <row r="139" spans="1:23" x14ac:dyDescent="0.25">
      <c r="A139" s="8" t="s">
        <v>501</v>
      </c>
      <c r="B139" s="8" t="str">
        <f t="shared" si="2"/>
        <v>SGL4C7445936</v>
      </c>
      <c r="C139" s="9" t="s">
        <v>96</v>
      </c>
      <c r="D139" s="10" t="s">
        <v>502</v>
      </c>
      <c r="E139" s="11" t="s">
        <v>503</v>
      </c>
      <c r="F139" s="12">
        <v>45936</v>
      </c>
      <c r="G139" s="13" t="s">
        <v>226</v>
      </c>
      <c r="H139" s="10" t="s">
        <v>27</v>
      </c>
      <c r="I139" s="14" t="s">
        <v>28</v>
      </c>
      <c r="J139" s="14" t="s">
        <v>139</v>
      </c>
      <c r="K139" s="15"/>
      <c r="L139" s="15"/>
      <c r="M139" s="16" t="s">
        <v>200</v>
      </c>
      <c r="N139" s="8" t="s">
        <v>228</v>
      </c>
      <c r="O139" s="8" t="s">
        <v>40</v>
      </c>
      <c r="P139" s="17" t="s">
        <v>86</v>
      </c>
      <c r="Q139" s="18">
        <v>45936</v>
      </c>
      <c r="R139" s="9">
        <v>0</v>
      </c>
      <c r="S139" s="8" t="s">
        <v>153</v>
      </c>
      <c r="T139" s="8" t="s">
        <v>381</v>
      </c>
      <c r="U139" s="8" t="s">
        <v>254</v>
      </c>
      <c r="V139" s="8" t="s">
        <v>320</v>
      </c>
      <c r="W139" s="19"/>
    </row>
    <row r="140" spans="1:23" x14ac:dyDescent="0.25">
      <c r="A140" s="8" t="s">
        <v>504</v>
      </c>
      <c r="B140" s="8" t="str">
        <f t="shared" si="2"/>
        <v>RUM4B3545936</v>
      </c>
      <c r="C140" s="9" t="s">
        <v>505</v>
      </c>
      <c r="D140" s="10">
        <v>59114</v>
      </c>
      <c r="E140" s="11" t="s">
        <v>506</v>
      </c>
      <c r="F140" s="12">
        <v>45793</v>
      </c>
      <c r="G140" s="13" t="s">
        <v>92</v>
      </c>
      <c r="H140" s="10" t="s">
        <v>27</v>
      </c>
      <c r="I140" s="14" t="s">
        <v>28</v>
      </c>
      <c r="J140" s="14" t="s">
        <v>29</v>
      </c>
      <c r="K140" s="15"/>
      <c r="L140" s="15"/>
      <c r="M140" s="16" t="s">
        <v>240</v>
      </c>
      <c r="N140" s="8" t="s">
        <v>30</v>
      </c>
      <c r="O140" s="8" t="s">
        <v>40</v>
      </c>
      <c r="P140" s="17">
        <v>45936</v>
      </c>
      <c r="Q140" s="18">
        <v>45936</v>
      </c>
      <c r="R140" s="9">
        <v>143</v>
      </c>
      <c r="S140" s="8" t="s">
        <v>32</v>
      </c>
      <c r="T140" s="8" t="s">
        <v>507</v>
      </c>
      <c r="U140" s="8" t="s">
        <v>248</v>
      </c>
      <c r="V140" s="8" t="s">
        <v>121</v>
      </c>
      <c r="W140" s="19"/>
    </row>
    <row r="141" spans="1:23" x14ac:dyDescent="0.25">
      <c r="A141" s="8" t="s">
        <v>508</v>
      </c>
      <c r="B141" s="8" t="str">
        <f t="shared" si="2"/>
        <v>SUK9C1845936</v>
      </c>
      <c r="C141" s="9" t="s">
        <v>509</v>
      </c>
      <c r="D141" s="10">
        <v>140000</v>
      </c>
      <c r="E141" s="11" t="s">
        <v>510</v>
      </c>
      <c r="F141" s="12">
        <v>45880</v>
      </c>
      <c r="G141" s="13" t="s">
        <v>226</v>
      </c>
      <c r="H141" s="10" t="s">
        <v>27</v>
      </c>
      <c r="I141" s="14" t="s">
        <v>28</v>
      </c>
      <c r="J141" s="14" t="s">
        <v>139</v>
      </c>
      <c r="K141" s="15"/>
      <c r="L141" s="15"/>
      <c r="M141" s="16" t="s">
        <v>511</v>
      </c>
      <c r="N141" s="8" t="s">
        <v>512</v>
      </c>
      <c r="O141" s="8" t="s">
        <v>40</v>
      </c>
      <c r="P141" s="17" t="s">
        <v>86</v>
      </c>
      <c r="Q141" s="18">
        <v>45936</v>
      </c>
      <c r="R141" s="9">
        <v>56</v>
      </c>
      <c r="S141" s="8" t="s">
        <v>32</v>
      </c>
      <c r="T141" s="8" t="s">
        <v>201</v>
      </c>
      <c r="U141" s="8" t="s">
        <v>513</v>
      </c>
      <c r="V141" s="8" t="s">
        <v>48</v>
      </c>
      <c r="W141" s="19"/>
    </row>
    <row r="142" spans="1:23" x14ac:dyDescent="0.25">
      <c r="A142" s="8" t="s">
        <v>514</v>
      </c>
      <c r="B142" s="8" t="str">
        <f t="shared" si="2"/>
        <v>SDP9J1645936</v>
      </c>
      <c r="C142" s="9" t="s">
        <v>50</v>
      </c>
      <c r="D142" s="10">
        <v>60000</v>
      </c>
      <c r="E142" s="11" t="s">
        <v>515</v>
      </c>
      <c r="F142" s="12">
        <v>45874</v>
      </c>
      <c r="G142" s="13" t="s">
        <v>149</v>
      </c>
      <c r="H142" s="10" t="s">
        <v>27</v>
      </c>
      <c r="I142" s="14" t="s">
        <v>28</v>
      </c>
      <c r="J142" s="14" t="s">
        <v>29</v>
      </c>
      <c r="K142" s="15"/>
      <c r="L142" s="15"/>
      <c r="M142" s="16" t="s">
        <v>468</v>
      </c>
      <c r="N142" s="8" t="s">
        <v>30</v>
      </c>
      <c r="O142" s="8" t="s">
        <v>388</v>
      </c>
      <c r="P142" s="17">
        <v>45937</v>
      </c>
      <c r="Q142" s="18">
        <v>45936</v>
      </c>
      <c r="R142" s="9">
        <v>62</v>
      </c>
      <c r="S142" s="8" t="s">
        <v>32</v>
      </c>
      <c r="T142" s="8" t="s">
        <v>516</v>
      </c>
      <c r="U142" s="8" t="s">
        <v>82</v>
      </c>
      <c r="V142" s="8" t="s">
        <v>48</v>
      </c>
      <c r="W142" s="19"/>
    </row>
    <row r="143" spans="1:23" x14ac:dyDescent="0.25">
      <c r="A143" s="8" t="s">
        <v>517</v>
      </c>
      <c r="B143" s="8" t="str">
        <f t="shared" si="2"/>
        <v>SDT9G6345936</v>
      </c>
      <c r="C143" s="9" t="s">
        <v>518</v>
      </c>
      <c r="D143" s="10">
        <v>41000</v>
      </c>
      <c r="E143" s="11" t="s">
        <v>519</v>
      </c>
      <c r="F143" s="12">
        <v>45792</v>
      </c>
      <c r="G143" s="13" t="s">
        <v>123</v>
      </c>
      <c r="H143" s="10" t="s">
        <v>27</v>
      </c>
      <c r="I143" s="14" t="s">
        <v>28</v>
      </c>
      <c r="J143" s="14" t="s">
        <v>29</v>
      </c>
      <c r="K143" s="15"/>
      <c r="L143" s="15"/>
      <c r="M143" s="16" t="s">
        <v>237</v>
      </c>
      <c r="N143" s="8" t="s">
        <v>30</v>
      </c>
      <c r="O143" s="8" t="s">
        <v>388</v>
      </c>
      <c r="P143" s="17">
        <v>45939</v>
      </c>
      <c r="Q143" s="18">
        <v>45936</v>
      </c>
      <c r="R143" s="9">
        <v>144</v>
      </c>
      <c r="S143" s="8" t="s">
        <v>32</v>
      </c>
      <c r="T143" s="8" t="s">
        <v>520</v>
      </c>
      <c r="U143" s="8" t="s">
        <v>42</v>
      </c>
      <c r="V143" s="8" t="s">
        <v>121</v>
      </c>
      <c r="W143" s="19"/>
    </row>
    <row r="144" spans="1:23" x14ac:dyDescent="0.25">
      <c r="A144" s="8" t="s">
        <v>521</v>
      </c>
      <c r="B144" s="8" t="str">
        <f t="shared" si="2"/>
        <v>SGH8C2145937</v>
      </c>
      <c r="C144" s="9" t="s">
        <v>96</v>
      </c>
      <c r="D144" s="10">
        <v>29567</v>
      </c>
      <c r="E144" s="11" t="s">
        <v>522</v>
      </c>
      <c r="F144" s="12">
        <v>45905</v>
      </c>
      <c r="G144" s="13" t="s">
        <v>39</v>
      </c>
      <c r="H144" s="10" t="s">
        <v>52</v>
      </c>
      <c r="I144" s="14" t="s">
        <v>28</v>
      </c>
      <c r="J144" s="14" t="s">
        <v>139</v>
      </c>
      <c r="K144" s="15"/>
      <c r="L144" s="15"/>
      <c r="M144" s="16" t="s">
        <v>497</v>
      </c>
      <c r="N144" s="8" t="s">
        <v>30</v>
      </c>
      <c r="O144" s="8" t="s">
        <v>52</v>
      </c>
      <c r="P144" s="17" t="s">
        <v>86</v>
      </c>
      <c r="Q144" s="18">
        <v>45937</v>
      </c>
      <c r="R144" s="9">
        <v>32</v>
      </c>
      <c r="S144" s="8" t="s">
        <v>32</v>
      </c>
      <c r="T144" s="8" t="s">
        <v>66</v>
      </c>
      <c r="U144" s="8" t="s">
        <v>67</v>
      </c>
      <c r="V144" s="8" t="s">
        <v>35</v>
      </c>
      <c r="W144" s="19"/>
    </row>
    <row r="145" spans="1:23" x14ac:dyDescent="0.25">
      <c r="A145" s="8" t="s">
        <v>523</v>
      </c>
      <c r="B145" s="8" t="str">
        <f t="shared" si="2"/>
        <v>SDU2D2945936</v>
      </c>
      <c r="C145" s="9" t="s">
        <v>50</v>
      </c>
      <c r="D145" s="10">
        <v>40931</v>
      </c>
      <c r="E145" s="11" t="s">
        <v>524</v>
      </c>
      <c r="F145" s="12">
        <v>45930</v>
      </c>
      <c r="G145" s="13" t="s">
        <v>184</v>
      </c>
      <c r="H145" s="10" t="s">
        <v>52</v>
      </c>
      <c r="I145" s="14" t="s">
        <v>28</v>
      </c>
      <c r="J145" s="14" t="s">
        <v>139</v>
      </c>
      <c r="K145" s="15"/>
      <c r="L145" s="15"/>
      <c r="M145" s="16" t="s">
        <v>186</v>
      </c>
      <c r="N145" s="8" t="s">
        <v>30</v>
      </c>
      <c r="O145" s="8" t="s">
        <v>52</v>
      </c>
      <c r="P145" s="17">
        <v>45936</v>
      </c>
      <c r="Q145" s="18">
        <v>45936</v>
      </c>
      <c r="R145" s="9">
        <v>6</v>
      </c>
      <c r="S145" s="8" t="s">
        <v>32</v>
      </c>
      <c r="T145" s="8" t="s">
        <v>525</v>
      </c>
      <c r="U145" s="8" t="s">
        <v>188</v>
      </c>
      <c r="V145" s="8" t="s">
        <v>35</v>
      </c>
      <c r="W145" s="19"/>
    </row>
    <row r="146" spans="1:23" x14ac:dyDescent="0.25">
      <c r="A146" s="8" t="s">
        <v>526</v>
      </c>
      <c r="B146" s="8" t="str">
        <f t="shared" si="2"/>
        <v>RUO6B2045925</v>
      </c>
      <c r="C146" s="9" t="s">
        <v>37</v>
      </c>
      <c r="D146" s="10">
        <v>100000</v>
      </c>
      <c r="E146" s="11" t="s">
        <v>527</v>
      </c>
      <c r="F146" s="12">
        <v>45910</v>
      </c>
      <c r="G146" s="13" t="s">
        <v>138</v>
      </c>
      <c r="H146" s="10" t="s">
        <v>27</v>
      </c>
      <c r="I146" s="14" t="s">
        <v>28</v>
      </c>
      <c r="J146" s="14" t="s">
        <v>139</v>
      </c>
      <c r="K146" s="15"/>
      <c r="L146" s="15"/>
      <c r="M146" s="16" t="s">
        <v>528</v>
      </c>
      <c r="N146" s="8" t="s">
        <v>30</v>
      </c>
      <c r="O146" s="8" t="s">
        <v>40</v>
      </c>
      <c r="P146" s="17" t="s">
        <v>187</v>
      </c>
      <c r="Q146" s="18">
        <v>45925</v>
      </c>
      <c r="R146" s="9">
        <v>15</v>
      </c>
      <c r="S146" s="8" t="s">
        <v>32</v>
      </c>
      <c r="T146" s="8" t="s">
        <v>529</v>
      </c>
      <c r="U146" s="8" t="s">
        <v>117</v>
      </c>
      <c r="V146" s="8" t="s">
        <v>35</v>
      </c>
      <c r="W146" s="19"/>
    </row>
    <row r="147" spans="1:23" x14ac:dyDescent="0.25">
      <c r="A147" s="8" t="s">
        <v>530</v>
      </c>
      <c r="B147" s="8" t="str">
        <f t="shared" si="2"/>
        <v>RUM2B6345923</v>
      </c>
      <c r="C147" s="9" t="s">
        <v>37</v>
      </c>
      <c r="D147" s="10">
        <v>220000</v>
      </c>
      <c r="E147" s="11" t="s">
        <v>531</v>
      </c>
      <c r="F147" s="12">
        <v>45910</v>
      </c>
      <c r="G147" s="13" t="s">
        <v>138</v>
      </c>
      <c r="H147" s="10" t="s">
        <v>27</v>
      </c>
      <c r="I147" s="14" t="s">
        <v>28</v>
      </c>
      <c r="J147" s="14" t="s">
        <v>139</v>
      </c>
      <c r="K147" s="15"/>
      <c r="L147" s="15"/>
      <c r="M147" s="16" t="s">
        <v>528</v>
      </c>
      <c r="N147" s="8" t="s">
        <v>30</v>
      </c>
      <c r="O147" s="8" t="s">
        <v>40</v>
      </c>
      <c r="P147" s="17" t="s">
        <v>187</v>
      </c>
      <c r="Q147" s="18">
        <v>45923</v>
      </c>
      <c r="R147" s="9">
        <v>13</v>
      </c>
      <c r="S147" s="8" t="s">
        <v>32</v>
      </c>
      <c r="T147" s="8" t="s">
        <v>529</v>
      </c>
      <c r="U147" s="8" t="s">
        <v>117</v>
      </c>
      <c r="V147" s="8" t="s">
        <v>35</v>
      </c>
      <c r="W147" s="19"/>
    </row>
    <row r="148" spans="1:23" x14ac:dyDescent="0.25">
      <c r="A148" s="8" t="s">
        <v>532</v>
      </c>
      <c r="B148" s="8" t="str">
        <f t="shared" si="2"/>
        <v>SDU2D1945937</v>
      </c>
      <c r="C148" s="9" t="s">
        <v>50</v>
      </c>
      <c r="D148" s="10">
        <v>23239</v>
      </c>
      <c r="E148" s="11" t="s">
        <v>533</v>
      </c>
      <c r="F148" s="12">
        <v>45936</v>
      </c>
      <c r="G148" s="13" t="s">
        <v>184</v>
      </c>
      <c r="H148" s="10" t="s">
        <v>27</v>
      </c>
      <c r="I148" s="14" t="s">
        <v>28</v>
      </c>
      <c r="J148" s="14" t="s">
        <v>29</v>
      </c>
      <c r="K148" s="15">
        <v>6418.97</v>
      </c>
      <c r="L148" s="15">
        <v>6418.97</v>
      </c>
      <c r="M148" s="16" t="s">
        <v>534</v>
      </c>
      <c r="N148" s="8" t="s">
        <v>30</v>
      </c>
      <c r="O148" s="8" t="s">
        <v>40</v>
      </c>
      <c r="P148" s="17">
        <v>45937</v>
      </c>
      <c r="Q148" s="18">
        <v>45937</v>
      </c>
      <c r="R148" s="9">
        <v>0</v>
      </c>
      <c r="S148" s="8" t="s">
        <v>153</v>
      </c>
      <c r="T148" s="8" t="s">
        <v>535</v>
      </c>
      <c r="U148" s="8" t="s">
        <v>188</v>
      </c>
      <c r="V148" s="8" t="s">
        <v>320</v>
      </c>
      <c r="W148" s="19"/>
    </row>
    <row r="149" spans="1:23" x14ac:dyDescent="0.25">
      <c r="A149" s="8" t="s">
        <v>451</v>
      </c>
      <c r="B149" s="8" t="str">
        <f t="shared" si="2"/>
        <v>TOE2B9845937</v>
      </c>
      <c r="C149" s="9" t="s">
        <v>157</v>
      </c>
      <c r="D149" s="10" t="s">
        <v>452</v>
      </c>
      <c r="E149" s="11" t="s">
        <v>453</v>
      </c>
      <c r="F149" s="12">
        <v>45933</v>
      </c>
      <c r="G149" s="13" t="s">
        <v>226</v>
      </c>
      <c r="H149" s="10" t="s">
        <v>27</v>
      </c>
      <c r="I149" s="14" t="s">
        <v>28</v>
      </c>
      <c r="J149" s="14" t="s">
        <v>139</v>
      </c>
      <c r="K149" s="15"/>
      <c r="L149" s="15"/>
      <c r="M149" s="16" t="s">
        <v>454</v>
      </c>
      <c r="N149" s="8" t="s">
        <v>172</v>
      </c>
      <c r="O149" s="8" t="s">
        <v>40</v>
      </c>
      <c r="P149" s="17" t="s">
        <v>86</v>
      </c>
      <c r="Q149" s="18">
        <v>45937</v>
      </c>
      <c r="R149" s="9">
        <v>4</v>
      </c>
      <c r="S149" s="8" t="s">
        <v>32</v>
      </c>
      <c r="T149" s="8" t="s">
        <v>98</v>
      </c>
      <c r="U149" s="8" t="s">
        <v>173</v>
      </c>
      <c r="V149" s="8" t="s">
        <v>320</v>
      </c>
      <c r="W149" s="19"/>
    </row>
    <row r="150" spans="1:23" x14ac:dyDescent="0.25">
      <c r="A150" s="8" t="s">
        <v>536</v>
      </c>
      <c r="B150" s="8" t="str">
        <f t="shared" si="2"/>
        <v>RUX2C8045937</v>
      </c>
      <c r="C150" s="9" t="s">
        <v>79</v>
      </c>
      <c r="D150" s="10">
        <v>4587</v>
      </c>
      <c r="E150" s="11" t="s">
        <v>537</v>
      </c>
      <c r="F150" s="12">
        <v>45915</v>
      </c>
      <c r="G150" s="13" t="s">
        <v>39</v>
      </c>
      <c r="H150" s="10" t="s">
        <v>27</v>
      </c>
      <c r="I150" s="14" t="s">
        <v>28</v>
      </c>
      <c r="J150" s="14" t="s">
        <v>139</v>
      </c>
      <c r="K150" s="15"/>
      <c r="L150" s="15"/>
      <c r="M150" s="16" t="s">
        <v>329</v>
      </c>
      <c r="N150" s="8" t="s">
        <v>30</v>
      </c>
      <c r="O150" s="8" t="s">
        <v>40</v>
      </c>
      <c r="P150" s="17" t="s">
        <v>86</v>
      </c>
      <c r="Q150" s="18">
        <v>45937</v>
      </c>
      <c r="R150" s="9">
        <v>22</v>
      </c>
      <c r="S150" s="8" t="s">
        <v>32</v>
      </c>
      <c r="T150" s="8" t="s">
        <v>66</v>
      </c>
      <c r="U150" s="8" t="s">
        <v>330</v>
      </c>
      <c r="V150" s="8" t="s">
        <v>35</v>
      </c>
      <c r="W150" s="19"/>
    </row>
    <row r="151" spans="1:23" x14ac:dyDescent="0.25">
      <c r="A151" s="8" t="s">
        <v>538</v>
      </c>
      <c r="B151" s="8" t="str">
        <f t="shared" si="2"/>
        <v>RVD9A3945937</v>
      </c>
      <c r="C151" s="9" t="s">
        <v>37</v>
      </c>
      <c r="D151" s="10">
        <v>130249</v>
      </c>
      <c r="E151" s="11" t="s">
        <v>539</v>
      </c>
      <c r="F151" s="12">
        <v>45897</v>
      </c>
      <c r="G151" s="13" t="s">
        <v>39</v>
      </c>
      <c r="H151" s="10" t="s">
        <v>27</v>
      </c>
      <c r="I151" s="14" t="s">
        <v>28</v>
      </c>
      <c r="J151" s="14" t="s">
        <v>139</v>
      </c>
      <c r="K151" s="15"/>
      <c r="L151" s="15"/>
      <c r="M151" s="16" t="s">
        <v>329</v>
      </c>
      <c r="N151" s="8" t="s">
        <v>30</v>
      </c>
      <c r="O151" s="8" t="s">
        <v>40</v>
      </c>
      <c r="P151" s="17" t="s">
        <v>86</v>
      </c>
      <c r="Q151" s="18">
        <v>45937</v>
      </c>
      <c r="R151" s="9">
        <v>40</v>
      </c>
      <c r="S151" s="8" t="s">
        <v>32</v>
      </c>
      <c r="T151" s="8" t="s">
        <v>66</v>
      </c>
      <c r="U151" s="8" t="s">
        <v>330</v>
      </c>
      <c r="V151" s="8" t="s">
        <v>48</v>
      </c>
      <c r="W151" s="19"/>
    </row>
    <row r="152" spans="1:23" x14ac:dyDescent="0.25">
      <c r="A152" s="8" t="s">
        <v>540</v>
      </c>
      <c r="B152" s="8" t="str">
        <f t="shared" si="2"/>
        <v>SGH8C4545937</v>
      </c>
      <c r="C152" s="9" t="s">
        <v>96</v>
      </c>
      <c r="D152" s="10">
        <v>48865</v>
      </c>
      <c r="E152" s="11" t="s">
        <v>541</v>
      </c>
      <c r="F152" s="12">
        <v>45916</v>
      </c>
      <c r="G152" s="13" t="s">
        <v>39</v>
      </c>
      <c r="H152" s="10" t="s">
        <v>27</v>
      </c>
      <c r="I152" s="14" t="s">
        <v>28</v>
      </c>
      <c r="J152" s="14" t="s">
        <v>139</v>
      </c>
      <c r="K152" s="15"/>
      <c r="L152" s="15"/>
      <c r="M152" s="16" t="s">
        <v>354</v>
      </c>
      <c r="N152" s="8" t="s">
        <v>30</v>
      </c>
      <c r="O152" s="8" t="s">
        <v>40</v>
      </c>
      <c r="P152" s="17" t="s">
        <v>86</v>
      </c>
      <c r="Q152" s="18">
        <v>45937</v>
      </c>
      <c r="R152" s="9">
        <v>21</v>
      </c>
      <c r="S152" s="8" t="s">
        <v>32</v>
      </c>
      <c r="T152" s="8" t="s">
        <v>66</v>
      </c>
      <c r="U152" s="8" t="s">
        <v>279</v>
      </c>
      <c r="V152" s="8" t="s">
        <v>35</v>
      </c>
      <c r="W152" s="19"/>
    </row>
    <row r="153" spans="1:23" x14ac:dyDescent="0.25">
      <c r="A153" s="8" t="s">
        <v>542</v>
      </c>
      <c r="B153" s="8" t="str">
        <f t="shared" si="2"/>
        <v>SGH6H6145937</v>
      </c>
      <c r="C153" s="9" t="s">
        <v>96</v>
      </c>
      <c r="D153" s="10">
        <v>102994</v>
      </c>
      <c r="E153" s="11" t="s">
        <v>543</v>
      </c>
      <c r="F153" s="12">
        <v>45917</v>
      </c>
      <c r="G153" s="13" t="s">
        <v>39</v>
      </c>
      <c r="H153" s="10" t="s">
        <v>27</v>
      </c>
      <c r="I153" s="14" t="s">
        <v>28</v>
      </c>
      <c r="J153" s="14" t="s">
        <v>139</v>
      </c>
      <c r="K153" s="15"/>
      <c r="L153" s="15"/>
      <c r="M153" s="16" t="s">
        <v>329</v>
      </c>
      <c r="N153" s="8" t="s">
        <v>30</v>
      </c>
      <c r="O153" s="8" t="s">
        <v>31</v>
      </c>
      <c r="P153" s="17" t="s">
        <v>86</v>
      </c>
      <c r="Q153" s="18">
        <v>45937</v>
      </c>
      <c r="R153" s="9">
        <v>20</v>
      </c>
      <c r="S153" s="8" t="s">
        <v>32</v>
      </c>
      <c r="T153" s="8" t="s">
        <v>66</v>
      </c>
      <c r="U153" s="8" t="s">
        <v>330</v>
      </c>
      <c r="V153" s="8" t="s">
        <v>35</v>
      </c>
      <c r="W153" s="19"/>
    </row>
    <row r="154" spans="1:23" x14ac:dyDescent="0.25">
      <c r="A154" s="8" t="s">
        <v>445</v>
      </c>
      <c r="B154" s="8" t="str">
        <f t="shared" si="2"/>
        <v>RNF2B6845937</v>
      </c>
      <c r="C154" s="9" t="s">
        <v>72</v>
      </c>
      <c r="D154" s="10">
        <v>210344</v>
      </c>
      <c r="E154" s="11" t="s">
        <v>544</v>
      </c>
      <c r="F154" s="12">
        <v>45917</v>
      </c>
      <c r="G154" s="13" t="s">
        <v>123</v>
      </c>
      <c r="H154" s="10" t="s">
        <v>27</v>
      </c>
      <c r="I154" s="14" t="s">
        <v>28</v>
      </c>
      <c r="J154" s="14" t="s">
        <v>139</v>
      </c>
      <c r="K154" s="15"/>
      <c r="L154" s="15"/>
      <c r="M154" s="16" t="s">
        <v>374</v>
      </c>
      <c r="N154" s="8" t="s">
        <v>30</v>
      </c>
      <c r="O154" s="8" t="s">
        <v>40</v>
      </c>
      <c r="P154" s="17" t="s">
        <v>86</v>
      </c>
      <c r="Q154" s="18">
        <v>45937</v>
      </c>
      <c r="R154" s="9">
        <v>20</v>
      </c>
      <c r="S154" s="8" t="s">
        <v>32</v>
      </c>
      <c r="T154" s="8" t="s">
        <v>392</v>
      </c>
      <c r="U154" s="8" t="s">
        <v>393</v>
      </c>
      <c r="V154" s="8" t="s">
        <v>35</v>
      </c>
      <c r="W154" s="19"/>
    </row>
    <row r="155" spans="1:23" x14ac:dyDescent="0.25">
      <c r="A155" s="8" t="s">
        <v>545</v>
      </c>
      <c r="B155" s="8" t="str">
        <f t="shared" si="2"/>
        <v>SGH0H4445937</v>
      </c>
      <c r="C155" s="9" t="s">
        <v>96</v>
      </c>
      <c r="D155" s="10">
        <v>34406</v>
      </c>
      <c r="E155" s="11" t="s">
        <v>546</v>
      </c>
      <c r="F155" s="12">
        <v>45933</v>
      </c>
      <c r="G155" s="13" t="s">
        <v>39</v>
      </c>
      <c r="H155" s="10" t="s">
        <v>27</v>
      </c>
      <c r="I155" s="14" t="s">
        <v>28</v>
      </c>
      <c r="J155" s="14" t="s">
        <v>139</v>
      </c>
      <c r="K155" s="15"/>
      <c r="L155" s="15"/>
      <c r="M155" s="16" t="s">
        <v>497</v>
      </c>
      <c r="N155" s="8" t="s">
        <v>30</v>
      </c>
      <c r="O155" s="8" t="s">
        <v>40</v>
      </c>
      <c r="P155" s="17" t="s">
        <v>86</v>
      </c>
      <c r="Q155" s="18">
        <v>45937</v>
      </c>
      <c r="R155" s="9">
        <v>4</v>
      </c>
      <c r="S155" s="8" t="s">
        <v>32</v>
      </c>
      <c r="T155" s="8" t="s">
        <v>66</v>
      </c>
      <c r="U155" s="8" t="s">
        <v>67</v>
      </c>
      <c r="V155" s="8" t="s">
        <v>320</v>
      </c>
      <c r="W155" s="19"/>
    </row>
    <row r="156" spans="1:23" x14ac:dyDescent="0.25">
      <c r="A156" s="8" t="s">
        <v>547</v>
      </c>
      <c r="B156" s="8" t="str">
        <f t="shared" si="2"/>
        <v>JCJ0D4045937</v>
      </c>
      <c r="C156" s="9" t="s">
        <v>24</v>
      </c>
      <c r="D156" s="10">
        <v>114667</v>
      </c>
      <c r="E156" s="11" t="s">
        <v>103</v>
      </c>
      <c r="F156" s="12">
        <v>45933</v>
      </c>
      <c r="G156" s="13" t="s">
        <v>123</v>
      </c>
      <c r="H156" s="10" t="s">
        <v>27</v>
      </c>
      <c r="I156" s="14" t="s">
        <v>28</v>
      </c>
      <c r="J156" s="14" t="s">
        <v>29</v>
      </c>
      <c r="K156" s="15">
        <v>1200.7</v>
      </c>
      <c r="L156" s="15"/>
      <c r="M156" s="16" t="s">
        <v>548</v>
      </c>
      <c r="N156" s="8" t="s">
        <v>30</v>
      </c>
      <c r="O156" s="8" t="s">
        <v>40</v>
      </c>
      <c r="P156" s="17">
        <v>45936</v>
      </c>
      <c r="Q156" s="18">
        <v>45937</v>
      </c>
      <c r="R156" s="9">
        <v>4</v>
      </c>
      <c r="S156" s="8" t="s">
        <v>32</v>
      </c>
      <c r="T156" s="8" t="s">
        <v>549</v>
      </c>
      <c r="U156" s="8" t="s">
        <v>550</v>
      </c>
      <c r="V156" s="8" t="s">
        <v>320</v>
      </c>
      <c r="W156" s="19"/>
    </row>
    <row r="157" spans="1:23" x14ac:dyDescent="0.25">
      <c r="A157" s="8" t="s">
        <v>551</v>
      </c>
      <c r="B157" s="8" t="str">
        <f t="shared" si="2"/>
        <v>RUN2B1345937</v>
      </c>
      <c r="C157" s="9" t="s">
        <v>37</v>
      </c>
      <c r="D157" s="10" t="s">
        <v>552</v>
      </c>
      <c r="E157" s="11" t="s">
        <v>103</v>
      </c>
      <c r="F157" s="12">
        <v>45934</v>
      </c>
      <c r="G157" s="13" t="s">
        <v>123</v>
      </c>
      <c r="H157" s="10" t="s">
        <v>27</v>
      </c>
      <c r="I157" s="14" t="s">
        <v>28</v>
      </c>
      <c r="J157" s="14" t="s">
        <v>139</v>
      </c>
      <c r="K157" s="15"/>
      <c r="L157" s="15"/>
      <c r="M157" s="16" t="s">
        <v>237</v>
      </c>
      <c r="N157" s="8" t="s">
        <v>30</v>
      </c>
      <c r="O157" s="8" t="s">
        <v>40</v>
      </c>
      <c r="P157" s="17" t="s">
        <v>86</v>
      </c>
      <c r="Q157" s="18">
        <v>45937</v>
      </c>
      <c r="R157" s="9">
        <v>3</v>
      </c>
      <c r="S157" s="8" t="s">
        <v>32</v>
      </c>
      <c r="T157" s="8" t="s">
        <v>41</v>
      </c>
      <c r="U157" s="8" t="s">
        <v>42</v>
      </c>
      <c r="V157" s="8" t="s">
        <v>320</v>
      </c>
      <c r="W157" s="19"/>
    </row>
    <row r="158" spans="1:23" x14ac:dyDescent="0.25">
      <c r="A158" s="8" t="s">
        <v>553</v>
      </c>
      <c r="B158" s="8" t="str">
        <f t="shared" si="2"/>
        <v>RUM2B4945937</v>
      </c>
      <c r="C158" s="9" t="s">
        <v>37</v>
      </c>
      <c r="D158" s="10" t="s">
        <v>552</v>
      </c>
      <c r="E158" s="11" t="s">
        <v>554</v>
      </c>
      <c r="F158" s="12">
        <v>45934</v>
      </c>
      <c r="G158" s="13" t="s">
        <v>123</v>
      </c>
      <c r="H158" s="10" t="s">
        <v>27</v>
      </c>
      <c r="I158" s="14" t="s">
        <v>28</v>
      </c>
      <c r="J158" s="14" t="s">
        <v>139</v>
      </c>
      <c r="K158" s="15"/>
      <c r="L158" s="15"/>
      <c r="M158" s="16" t="s">
        <v>237</v>
      </c>
      <c r="N158" s="8" t="s">
        <v>30</v>
      </c>
      <c r="O158" s="8" t="s">
        <v>40</v>
      </c>
      <c r="P158" s="17">
        <v>45939</v>
      </c>
      <c r="Q158" s="18">
        <v>45937</v>
      </c>
      <c r="R158" s="9">
        <v>3</v>
      </c>
      <c r="S158" s="8" t="s">
        <v>32</v>
      </c>
      <c r="T158" s="8" t="s">
        <v>41</v>
      </c>
      <c r="U158" s="8" t="s">
        <v>42</v>
      </c>
      <c r="V158" s="8" t="s">
        <v>320</v>
      </c>
      <c r="W158" s="19"/>
    </row>
    <row r="159" spans="1:23" x14ac:dyDescent="0.25">
      <c r="A159" s="8" t="s">
        <v>555</v>
      </c>
      <c r="B159" s="8" t="str">
        <f t="shared" si="2"/>
        <v>SJU6F4845937</v>
      </c>
      <c r="C159" s="9" t="s">
        <v>24</v>
      </c>
      <c r="D159" s="10">
        <v>91342</v>
      </c>
      <c r="E159" s="11" t="s">
        <v>556</v>
      </c>
      <c r="F159" s="12">
        <v>45930</v>
      </c>
      <c r="G159" s="13" t="s">
        <v>123</v>
      </c>
      <c r="H159" s="10" t="s">
        <v>27</v>
      </c>
      <c r="I159" s="14" t="s">
        <v>176</v>
      </c>
      <c r="J159" s="14" t="s">
        <v>29</v>
      </c>
      <c r="K159" s="15"/>
      <c r="L159" s="15"/>
      <c r="M159" s="16" t="s">
        <v>557</v>
      </c>
      <c r="N159" s="8" t="s">
        <v>30</v>
      </c>
      <c r="O159" s="8" t="s">
        <v>40</v>
      </c>
      <c r="P159" s="17">
        <v>45937</v>
      </c>
      <c r="Q159" s="18">
        <v>45937</v>
      </c>
      <c r="R159" s="9"/>
      <c r="S159" s="8" t="s">
        <v>153</v>
      </c>
      <c r="T159" s="8" t="s">
        <v>98</v>
      </c>
      <c r="U159" s="8" t="s">
        <v>215</v>
      </c>
      <c r="V159" s="8" t="s">
        <v>35</v>
      </c>
      <c r="W159" s="19"/>
    </row>
    <row r="160" spans="1:23" x14ac:dyDescent="0.25">
      <c r="A160" s="8" t="s">
        <v>558</v>
      </c>
      <c r="B160" s="8" t="str">
        <f t="shared" si="2"/>
        <v>SDQ2B9845938</v>
      </c>
      <c r="C160" s="9" t="s">
        <v>127</v>
      </c>
      <c r="D160" s="10">
        <v>64459</v>
      </c>
      <c r="E160" s="11" t="s">
        <v>559</v>
      </c>
      <c r="F160" s="12">
        <v>45833</v>
      </c>
      <c r="G160" s="13" t="s">
        <v>39</v>
      </c>
      <c r="H160" s="10" t="s">
        <v>27</v>
      </c>
      <c r="I160" s="14" t="s">
        <v>28</v>
      </c>
      <c r="J160" s="14" t="s">
        <v>29</v>
      </c>
      <c r="K160" s="15"/>
      <c r="L160" s="15"/>
      <c r="M160" s="16" t="s">
        <v>560</v>
      </c>
      <c r="N160" s="8" t="s">
        <v>30</v>
      </c>
      <c r="O160" s="8" t="s">
        <v>40</v>
      </c>
      <c r="P160" s="17">
        <v>45938</v>
      </c>
      <c r="Q160" s="18">
        <v>45938</v>
      </c>
      <c r="R160" s="9">
        <v>105</v>
      </c>
      <c r="S160" s="8" t="s">
        <v>32</v>
      </c>
      <c r="T160" s="8" t="s">
        <v>89</v>
      </c>
      <c r="U160" s="8" t="s">
        <v>54</v>
      </c>
      <c r="V160" s="8" t="s">
        <v>135</v>
      </c>
      <c r="W160" s="19"/>
    </row>
    <row r="161" spans="1:23" x14ac:dyDescent="0.25">
      <c r="A161" s="8" t="s">
        <v>561</v>
      </c>
      <c r="B161" s="8" t="str">
        <f t="shared" si="2"/>
        <v>RNB5I3345937</v>
      </c>
      <c r="C161" s="9" t="s">
        <v>44</v>
      </c>
      <c r="D161" s="10">
        <v>255288</v>
      </c>
      <c r="E161" s="11" t="s">
        <v>103</v>
      </c>
      <c r="F161" s="12">
        <v>45926</v>
      </c>
      <c r="G161" s="13" t="s">
        <v>123</v>
      </c>
      <c r="H161" s="10" t="s">
        <v>27</v>
      </c>
      <c r="I161" s="14" t="s">
        <v>28</v>
      </c>
      <c r="J161" s="14" t="s">
        <v>139</v>
      </c>
      <c r="K161" s="15"/>
      <c r="L161" s="15"/>
      <c r="M161" s="16" t="s">
        <v>374</v>
      </c>
      <c r="N161" s="8" t="s">
        <v>30</v>
      </c>
      <c r="O161" s="8" t="s">
        <v>40</v>
      </c>
      <c r="P161" s="17">
        <v>45938</v>
      </c>
      <c r="Q161" s="18">
        <v>45937</v>
      </c>
      <c r="R161" s="9">
        <v>11</v>
      </c>
      <c r="S161" s="8" t="s">
        <v>32</v>
      </c>
      <c r="T161" s="8" t="s">
        <v>392</v>
      </c>
      <c r="U161" s="8" t="s">
        <v>393</v>
      </c>
      <c r="V161" s="8" t="s">
        <v>35</v>
      </c>
      <c r="W161" s="19"/>
    </row>
    <row r="162" spans="1:23" x14ac:dyDescent="0.25">
      <c r="A162" s="8" t="s">
        <v>562</v>
      </c>
      <c r="B162" s="8" t="str">
        <f t="shared" si="2"/>
        <v>EQJ8D0145936</v>
      </c>
      <c r="C162" s="9" t="s">
        <v>79</v>
      </c>
      <c r="D162" s="10">
        <v>28770</v>
      </c>
      <c r="E162" s="11" t="s">
        <v>563</v>
      </c>
      <c r="F162" s="12">
        <v>45796</v>
      </c>
      <c r="G162" s="13" t="s">
        <v>92</v>
      </c>
      <c r="H162" s="10" t="s">
        <v>27</v>
      </c>
      <c r="I162" s="14" t="s">
        <v>28</v>
      </c>
      <c r="J162" s="14" t="s">
        <v>29</v>
      </c>
      <c r="K162" s="15"/>
      <c r="L162" s="15"/>
      <c r="M162" s="16" t="s">
        <v>240</v>
      </c>
      <c r="N162" s="8" t="s">
        <v>30</v>
      </c>
      <c r="O162" s="8" t="s">
        <v>40</v>
      </c>
      <c r="P162" s="17" t="s">
        <v>564</v>
      </c>
      <c r="Q162" s="18">
        <v>45936</v>
      </c>
      <c r="R162" s="9">
        <v>140</v>
      </c>
      <c r="S162" s="8" t="s">
        <v>32</v>
      </c>
      <c r="T162" s="8" t="s">
        <v>565</v>
      </c>
      <c r="U162" s="8" t="s">
        <v>248</v>
      </c>
      <c r="V162" s="8" t="s">
        <v>121</v>
      </c>
      <c r="W162" s="19"/>
    </row>
    <row r="163" spans="1:23" x14ac:dyDescent="0.25">
      <c r="A163" s="8" t="s">
        <v>566</v>
      </c>
      <c r="B163" s="8" t="str">
        <f t="shared" si="2"/>
        <v>SGI8G9845938</v>
      </c>
      <c r="C163" s="9" t="s">
        <v>96</v>
      </c>
      <c r="D163" s="10" t="s">
        <v>383</v>
      </c>
      <c r="E163" s="11" t="s">
        <v>541</v>
      </c>
      <c r="F163" s="12">
        <v>45916</v>
      </c>
      <c r="G163" s="13" t="s">
        <v>39</v>
      </c>
      <c r="H163" s="10" t="s">
        <v>27</v>
      </c>
      <c r="I163" s="14" t="s">
        <v>28</v>
      </c>
      <c r="J163" s="14" t="s">
        <v>139</v>
      </c>
      <c r="K163" s="15"/>
      <c r="L163" s="15"/>
      <c r="M163" s="16" t="s">
        <v>354</v>
      </c>
      <c r="N163" s="8" t="s">
        <v>30</v>
      </c>
      <c r="O163" s="8" t="s">
        <v>40</v>
      </c>
      <c r="P163" s="17" t="s">
        <v>567</v>
      </c>
      <c r="Q163" s="18">
        <v>45938</v>
      </c>
      <c r="R163" s="9">
        <v>22</v>
      </c>
      <c r="S163" s="8" t="s">
        <v>32</v>
      </c>
      <c r="T163" s="8" t="s">
        <v>66</v>
      </c>
      <c r="U163" s="8" t="s">
        <v>279</v>
      </c>
      <c r="V163" s="8" t="s">
        <v>35</v>
      </c>
      <c r="W163" s="19"/>
    </row>
    <row r="164" spans="1:23" x14ac:dyDescent="0.25">
      <c r="A164" s="8" t="s">
        <v>568</v>
      </c>
      <c r="B164" s="8" t="str">
        <f t="shared" si="2"/>
        <v>SGH8C1945939</v>
      </c>
      <c r="C164" s="9" t="s">
        <v>96</v>
      </c>
      <c r="D164" s="10">
        <v>44470</v>
      </c>
      <c r="E164" s="11" t="s">
        <v>569</v>
      </c>
      <c r="F164" s="12">
        <v>45931</v>
      </c>
      <c r="G164" s="13" t="s">
        <v>39</v>
      </c>
      <c r="H164" s="10" t="s">
        <v>27</v>
      </c>
      <c r="I164" s="14" t="s">
        <v>28</v>
      </c>
      <c r="J164" s="14" t="s">
        <v>29</v>
      </c>
      <c r="K164" s="15"/>
      <c r="L164" s="15"/>
      <c r="M164" s="16" t="s">
        <v>354</v>
      </c>
      <c r="N164" s="8" t="s">
        <v>30</v>
      </c>
      <c r="O164" s="8" t="s">
        <v>40</v>
      </c>
      <c r="P164" s="17" t="s">
        <v>86</v>
      </c>
      <c r="Q164" s="18">
        <v>45939</v>
      </c>
      <c r="R164" s="9">
        <v>8</v>
      </c>
      <c r="S164" s="8" t="s">
        <v>32</v>
      </c>
      <c r="T164" s="8" t="s">
        <v>66</v>
      </c>
      <c r="U164" s="8" t="s">
        <v>570</v>
      </c>
      <c r="V164" s="8" t="s">
        <v>320</v>
      </c>
      <c r="W164" s="19"/>
    </row>
    <row r="165" spans="1:23" x14ac:dyDescent="0.25">
      <c r="A165" s="8" t="s">
        <v>571</v>
      </c>
      <c r="B165" s="8" t="str">
        <f t="shared" si="2"/>
        <v>SDP9J0145939</v>
      </c>
      <c r="C165" s="9" t="s">
        <v>50</v>
      </c>
      <c r="D165" s="10">
        <v>73518</v>
      </c>
      <c r="E165" s="11" t="s">
        <v>572</v>
      </c>
      <c r="F165" s="12">
        <v>45890</v>
      </c>
      <c r="G165" s="13" t="s">
        <v>149</v>
      </c>
      <c r="H165" s="10" t="s">
        <v>27</v>
      </c>
      <c r="I165" s="14" t="s">
        <v>28</v>
      </c>
      <c r="J165" s="14" t="s">
        <v>29</v>
      </c>
      <c r="K165" s="15"/>
      <c r="L165" s="15"/>
      <c r="M165" s="16" t="s">
        <v>396</v>
      </c>
      <c r="N165" s="8" t="s">
        <v>30</v>
      </c>
      <c r="O165" s="8" t="s">
        <v>388</v>
      </c>
      <c r="P165" s="17" t="s">
        <v>86</v>
      </c>
      <c r="Q165" s="18">
        <v>45939</v>
      </c>
      <c r="R165" s="9">
        <v>49</v>
      </c>
      <c r="S165" s="8" t="s">
        <v>32</v>
      </c>
      <c r="T165" s="8" t="s">
        <v>573</v>
      </c>
      <c r="U165" s="8" t="s">
        <v>574</v>
      </c>
      <c r="V165" s="8" t="s">
        <v>48</v>
      </c>
      <c r="W165" s="19"/>
    </row>
    <row r="166" spans="1:23" x14ac:dyDescent="0.25">
      <c r="A166" s="8" t="s">
        <v>575</v>
      </c>
      <c r="B166" s="8" t="str">
        <f t="shared" si="2"/>
        <v>RVE1D4245939</v>
      </c>
      <c r="C166" s="9" t="s">
        <v>37</v>
      </c>
      <c r="D166" s="10">
        <v>137876</v>
      </c>
      <c r="E166" s="11" t="s">
        <v>576</v>
      </c>
      <c r="F166" s="12">
        <v>45908</v>
      </c>
      <c r="G166" s="13" t="s">
        <v>39</v>
      </c>
      <c r="H166" s="10" t="s">
        <v>27</v>
      </c>
      <c r="I166" s="14" t="s">
        <v>28</v>
      </c>
      <c r="J166" s="14" t="s">
        <v>139</v>
      </c>
      <c r="K166" s="15"/>
      <c r="L166" s="15"/>
      <c r="M166" s="16" t="s">
        <v>560</v>
      </c>
      <c r="N166" s="8" t="s">
        <v>30</v>
      </c>
      <c r="O166" s="8" t="s">
        <v>40</v>
      </c>
      <c r="P166" s="17" t="s">
        <v>86</v>
      </c>
      <c r="Q166" s="18">
        <v>45939</v>
      </c>
      <c r="R166" s="9">
        <v>31</v>
      </c>
      <c r="S166" s="8" t="s">
        <v>32</v>
      </c>
      <c r="T166" s="8" t="s">
        <v>53</v>
      </c>
      <c r="U166" s="8" t="s">
        <v>54</v>
      </c>
      <c r="V166" s="8" t="s">
        <v>35</v>
      </c>
      <c r="W166" s="19"/>
    </row>
    <row r="167" spans="1:23" x14ac:dyDescent="0.25">
      <c r="A167" s="8" t="s">
        <v>577</v>
      </c>
      <c r="B167" s="8" t="str">
        <f t="shared" si="2"/>
        <v>RHW0D4745939</v>
      </c>
      <c r="C167" s="9" t="s">
        <v>50</v>
      </c>
      <c r="D167" s="10">
        <v>88701</v>
      </c>
      <c r="E167" s="11" t="s">
        <v>578</v>
      </c>
      <c r="F167" s="12">
        <v>45917</v>
      </c>
      <c r="G167" s="13" t="s">
        <v>149</v>
      </c>
      <c r="H167" s="10" t="s">
        <v>27</v>
      </c>
      <c r="I167" s="14" t="s">
        <v>28</v>
      </c>
      <c r="J167" s="14" t="s">
        <v>139</v>
      </c>
      <c r="K167" s="15"/>
      <c r="L167" s="15"/>
      <c r="M167" s="16" t="s">
        <v>396</v>
      </c>
      <c r="N167" s="8" t="s">
        <v>30</v>
      </c>
      <c r="O167" s="8" t="s">
        <v>388</v>
      </c>
      <c r="P167" s="17" t="s">
        <v>86</v>
      </c>
      <c r="Q167" s="18">
        <v>45939</v>
      </c>
      <c r="R167" s="9">
        <v>22</v>
      </c>
      <c r="S167" s="8" t="s">
        <v>32</v>
      </c>
      <c r="T167" s="8" t="s">
        <v>573</v>
      </c>
      <c r="U167" s="8" t="s">
        <v>574</v>
      </c>
      <c r="V167" s="8" t="s">
        <v>35</v>
      </c>
      <c r="W167" s="19"/>
    </row>
    <row r="168" spans="1:23" x14ac:dyDescent="0.25">
      <c r="A168" s="8" t="s">
        <v>579</v>
      </c>
      <c r="B168" s="8" t="str">
        <f t="shared" si="2"/>
        <v>RHW0D7545939</v>
      </c>
      <c r="C168" s="9" t="s">
        <v>50</v>
      </c>
      <c r="D168" s="10">
        <v>58742</v>
      </c>
      <c r="E168" s="11" t="s">
        <v>580</v>
      </c>
      <c r="F168" s="12">
        <v>45918</v>
      </c>
      <c r="G168" s="13" t="s">
        <v>149</v>
      </c>
      <c r="H168" s="10" t="s">
        <v>27</v>
      </c>
      <c r="I168" s="14" t="s">
        <v>28</v>
      </c>
      <c r="J168" s="14" t="s">
        <v>139</v>
      </c>
      <c r="K168" s="15"/>
      <c r="L168" s="15"/>
      <c r="M168" s="16" t="s">
        <v>396</v>
      </c>
      <c r="N168" s="8" t="s">
        <v>30</v>
      </c>
      <c r="O168" s="8" t="s">
        <v>388</v>
      </c>
      <c r="P168" s="17" t="s">
        <v>86</v>
      </c>
      <c r="Q168" s="18">
        <v>45939</v>
      </c>
      <c r="R168" s="9">
        <v>21</v>
      </c>
      <c r="S168" s="8" t="s">
        <v>32</v>
      </c>
      <c r="T168" s="8" t="s">
        <v>573</v>
      </c>
      <c r="U168" s="8" t="s">
        <v>574</v>
      </c>
      <c r="V168" s="8" t="s">
        <v>35</v>
      </c>
      <c r="W168" s="19"/>
    </row>
    <row r="169" spans="1:23" x14ac:dyDescent="0.25">
      <c r="A169" s="8" t="s">
        <v>581</v>
      </c>
      <c r="B169" s="8" t="str">
        <f t="shared" si="2"/>
        <v>RHW0D8445939</v>
      </c>
      <c r="C169" s="9" t="s">
        <v>50</v>
      </c>
      <c r="D169" s="10">
        <v>55810</v>
      </c>
      <c r="E169" s="11" t="s">
        <v>582</v>
      </c>
      <c r="F169" s="12">
        <v>45845</v>
      </c>
      <c r="G169" s="13" t="s">
        <v>149</v>
      </c>
      <c r="H169" s="10" t="s">
        <v>27</v>
      </c>
      <c r="I169" s="14" t="s">
        <v>28</v>
      </c>
      <c r="J169" s="14" t="s">
        <v>139</v>
      </c>
      <c r="K169" s="15"/>
      <c r="L169" s="15"/>
      <c r="M169" s="16" t="s">
        <v>396</v>
      </c>
      <c r="N169" s="8" t="s">
        <v>30</v>
      </c>
      <c r="O169" s="8" t="s">
        <v>388</v>
      </c>
      <c r="P169" s="17" t="s">
        <v>86</v>
      </c>
      <c r="Q169" s="18">
        <v>45939</v>
      </c>
      <c r="R169" s="9">
        <v>94</v>
      </c>
      <c r="S169" s="8" t="s">
        <v>32</v>
      </c>
      <c r="T169" s="8" t="s">
        <v>583</v>
      </c>
      <c r="U169" s="8" t="s">
        <v>574</v>
      </c>
      <c r="V169" s="8" t="s">
        <v>83</v>
      </c>
      <c r="W169" s="19"/>
    </row>
    <row r="170" spans="1:23" x14ac:dyDescent="0.25">
      <c r="A170" s="8" t="s">
        <v>584</v>
      </c>
      <c r="B170" s="8" t="str">
        <f t="shared" si="2"/>
        <v>RHW0D3745939</v>
      </c>
      <c r="C170" s="9" t="s">
        <v>50</v>
      </c>
      <c r="D170" s="10">
        <v>63500</v>
      </c>
      <c r="E170" s="11" t="s">
        <v>310</v>
      </c>
      <c r="F170" s="12">
        <v>45922</v>
      </c>
      <c r="G170" s="13" t="s">
        <v>149</v>
      </c>
      <c r="H170" s="10" t="s">
        <v>27</v>
      </c>
      <c r="I170" s="14" t="s">
        <v>28</v>
      </c>
      <c r="J170" s="14" t="s">
        <v>139</v>
      </c>
      <c r="K170" s="15"/>
      <c r="L170" s="15"/>
      <c r="M170" s="16" t="s">
        <v>396</v>
      </c>
      <c r="N170" s="8" t="s">
        <v>30</v>
      </c>
      <c r="O170" s="8" t="s">
        <v>40</v>
      </c>
      <c r="P170" s="17" t="s">
        <v>86</v>
      </c>
      <c r="Q170" s="18">
        <v>45939</v>
      </c>
      <c r="R170" s="9">
        <v>17</v>
      </c>
      <c r="S170" s="8" t="s">
        <v>32</v>
      </c>
      <c r="T170" s="8" t="s">
        <v>573</v>
      </c>
      <c r="U170" s="8" t="s">
        <v>574</v>
      </c>
      <c r="V170" s="8" t="s">
        <v>313</v>
      </c>
      <c r="W170" s="19"/>
    </row>
    <row r="171" spans="1:23" x14ac:dyDescent="0.25">
      <c r="A171" s="8" t="s">
        <v>585</v>
      </c>
      <c r="B171" s="8" t="str">
        <f t="shared" si="2"/>
        <v>JCI8F9445939</v>
      </c>
      <c r="C171" s="9" t="s">
        <v>24</v>
      </c>
      <c r="D171" s="10">
        <v>100677</v>
      </c>
      <c r="E171" s="11" t="s">
        <v>586</v>
      </c>
      <c r="F171" s="12">
        <v>45937</v>
      </c>
      <c r="G171" s="13" t="s">
        <v>138</v>
      </c>
      <c r="H171" s="10" t="s">
        <v>27</v>
      </c>
      <c r="I171" s="14" t="s">
        <v>28</v>
      </c>
      <c r="J171" s="14" t="s">
        <v>29</v>
      </c>
      <c r="K171" s="15">
        <v>1198.9000000000001</v>
      </c>
      <c r="L171" s="15">
        <v>1100</v>
      </c>
      <c r="M171" s="16" t="s">
        <v>587</v>
      </c>
      <c r="N171" s="8" t="s">
        <v>30</v>
      </c>
      <c r="O171" s="8" t="s">
        <v>40</v>
      </c>
      <c r="P171" s="17" t="s">
        <v>86</v>
      </c>
      <c r="Q171" s="18">
        <v>45939</v>
      </c>
      <c r="R171" s="9">
        <v>2</v>
      </c>
      <c r="S171" s="8" t="s">
        <v>153</v>
      </c>
      <c r="T171" s="8" t="s">
        <v>100</v>
      </c>
      <c r="U171" s="8" t="s">
        <v>101</v>
      </c>
      <c r="V171" s="8" t="s">
        <v>320</v>
      </c>
      <c r="W171" s="19"/>
    </row>
    <row r="172" spans="1:23" x14ac:dyDescent="0.25">
      <c r="A172" s="8" t="s">
        <v>588</v>
      </c>
      <c r="B172" s="8" t="str">
        <f t="shared" si="2"/>
        <v>RUO6B1145939</v>
      </c>
      <c r="C172" s="9" t="s">
        <v>37</v>
      </c>
      <c r="D172" s="10">
        <v>198087</v>
      </c>
      <c r="E172" s="11" t="s">
        <v>589</v>
      </c>
      <c r="F172" s="12">
        <v>45937</v>
      </c>
      <c r="G172" s="13" t="s">
        <v>138</v>
      </c>
      <c r="H172" s="10" t="s">
        <v>27</v>
      </c>
      <c r="I172" s="14" t="s">
        <v>28</v>
      </c>
      <c r="J172" s="14" t="s">
        <v>29</v>
      </c>
      <c r="K172" s="15">
        <v>329</v>
      </c>
      <c r="L172" s="15">
        <v>312.55</v>
      </c>
      <c r="M172" s="16" t="s">
        <v>587</v>
      </c>
      <c r="N172" s="8" t="s">
        <v>30</v>
      </c>
      <c r="O172" s="8" t="s">
        <v>40</v>
      </c>
      <c r="P172" s="17" t="s">
        <v>86</v>
      </c>
      <c r="Q172" s="18">
        <v>45939</v>
      </c>
      <c r="R172" s="9">
        <v>2</v>
      </c>
      <c r="S172" s="8" t="s">
        <v>153</v>
      </c>
      <c r="T172" s="8" t="s">
        <v>100</v>
      </c>
      <c r="U172" s="8" t="s">
        <v>101</v>
      </c>
      <c r="V172" s="8" t="s">
        <v>320</v>
      </c>
      <c r="W172" s="19"/>
    </row>
    <row r="173" spans="1:23" x14ac:dyDescent="0.25">
      <c r="A173" s="8" t="s">
        <v>590</v>
      </c>
      <c r="B173" s="8" t="str">
        <f t="shared" si="2"/>
        <v>RUM3C0945939</v>
      </c>
      <c r="C173" s="9" t="s">
        <v>37</v>
      </c>
      <c r="D173" s="10">
        <v>194771</v>
      </c>
      <c r="E173" s="11" t="s">
        <v>589</v>
      </c>
      <c r="F173" s="12">
        <v>45937</v>
      </c>
      <c r="G173" s="13" t="s">
        <v>138</v>
      </c>
      <c r="H173" s="10" t="s">
        <v>27</v>
      </c>
      <c r="I173" s="14" t="s">
        <v>28</v>
      </c>
      <c r="J173" s="14" t="s">
        <v>29</v>
      </c>
      <c r="K173" s="15">
        <v>336</v>
      </c>
      <c r="L173" s="15">
        <v>319.2</v>
      </c>
      <c r="M173" s="16" t="s">
        <v>587</v>
      </c>
      <c r="N173" s="8" t="s">
        <v>30</v>
      </c>
      <c r="O173" s="8" t="s">
        <v>40</v>
      </c>
      <c r="P173" s="17" t="s">
        <v>86</v>
      </c>
      <c r="Q173" s="18">
        <v>45939</v>
      </c>
      <c r="R173" s="9">
        <v>2</v>
      </c>
      <c r="S173" s="8" t="s">
        <v>153</v>
      </c>
      <c r="T173" s="8" t="s">
        <v>100</v>
      </c>
      <c r="U173" s="8" t="s">
        <v>101</v>
      </c>
      <c r="V173" s="8" t="s">
        <v>320</v>
      </c>
      <c r="W173" s="19"/>
    </row>
    <row r="174" spans="1:23" x14ac:dyDescent="0.25">
      <c r="A174" s="8" t="s">
        <v>591</v>
      </c>
      <c r="B174" s="8" t="str">
        <f t="shared" si="2"/>
        <v>SSW9E1945939</v>
      </c>
      <c r="C174" s="9" t="s">
        <v>509</v>
      </c>
      <c r="D174" s="10" t="s">
        <v>383</v>
      </c>
      <c r="E174" s="11" t="s">
        <v>592</v>
      </c>
      <c r="F174" s="12">
        <v>45937</v>
      </c>
      <c r="G174" s="13" t="s">
        <v>138</v>
      </c>
      <c r="H174" s="10" t="s">
        <v>27</v>
      </c>
      <c r="I174" s="14" t="s">
        <v>28</v>
      </c>
      <c r="J174" s="14" t="s">
        <v>29</v>
      </c>
      <c r="K174" s="15">
        <v>1439.4</v>
      </c>
      <c r="L174" s="15">
        <v>1350</v>
      </c>
      <c r="M174" s="16" t="s">
        <v>593</v>
      </c>
      <c r="N174" s="8" t="s">
        <v>30</v>
      </c>
      <c r="O174" s="8" t="s">
        <v>40</v>
      </c>
      <c r="P174" s="17" t="s">
        <v>86</v>
      </c>
      <c r="Q174" s="18">
        <v>45939</v>
      </c>
      <c r="R174" s="9">
        <v>2</v>
      </c>
      <c r="S174" s="8" t="s">
        <v>153</v>
      </c>
      <c r="T174" s="8" t="s">
        <v>100</v>
      </c>
      <c r="U174" s="8" t="s">
        <v>101</v>
      </c>
      <c r="V174" s="8" t="s">
        <v>320</v>
      </c>
      <c r="W174" s="19"/>
    </row>
    <row r="175" spans="1:23" x14ac:dyDescent="0.25">
      <c r="A175" s="8" t="s">
        <v>594</v>
      </c>
      <c r="B175" s="8" t="str">
        <f t="shared" si="2"/>
        <v>RNB5I5745939</v>
      </c>
      <c r="C175" s="9" t="s">
        <v>44</v>
      </c>
      <c r="D175" s="10">
        <v>165729</v>
      </c>
      <c r="E175" s="11" t="s">
        <v>595</v>
      </c>
      <c r="F175" s="12">
        <v>45938</v>
      </c>
      <c r="G175" s="13" t="s">
        <v>138</v>
      </c>
      <c r="H175" s="10" t="s">
        <v>27</v>
      </c>
      <c r="I175" s="14" t="s">
        <v>28</v>
      </c>
      <c r="J175" s="14" t="s">
        <v>139</v>
      </c>
      <c r="K175" s="15"/>
      <c r="L175" s="15"/>
      <c r="M175" s="16" t="s">
        <v>593</v>
      </c>
      <c r="N175" s="8" t="s">
        <v>30</v>
      </c>
      <c r="O175" s="8" t="s">
        <v>40</v>
      </c>
      <c r="P175" s="17" t="s">
        <v>86</v>
      </c>
      <c r="Q175" s="18">
        <v>45939</v>
      </c>
      <c r="R175" s="9">
        <v>1</v>
      </c>
      <c r="S175" s="8" t="s">
        <v>153</v>
      </c>
      <c r="T175" s="8" t="s">
        <v>100</v>
      </c>
      <c r="U175" s="8" t="s">
        <v>596</v>
      </c>
      <c r="V175" s="8" t="s">
        <v>320</v>
      </c>
      <c r="W175" s="19"/>
    </row>
    <row r="176" spans="1:23" x14ac:dyDescent="0.25">
      <c r="A176" s="8" t="s">
        <v>427</v>
      </c>
      <c r="B176" s="8" t="str">
        <f t="shared" si="2"/>
        <v>RTM6B5145939</v>
      </c>
      <c r="C176" s="9" t="s">
        <v>72</v>
      </c>
      <c r="D176" s="10">
        <v>80000</v>
      </c>
      <c r="E176" s="11" t="s">
        <v>597</v>
      </c>
      <c r="F176" s="12">
        <v>45892</v>
      </c>
      <c r="G176" s="13" t="s">
        <v>149</v>
      </c>
      <c r="H176" s="10" t="s">
        <v>27</v>
      </c>
      <c r="I176" s="14" t="s">
        <v>28</v>
      </c>
      <c r="J176" s="14"/>
      <c r="K176" s="15"/>
      <c r="L176" s="15"/>
      <c r="M176" s="16" t="s">
        <v>398</v>
      </c>
      <c r="N176" s="8" t="s">
        <v>30</v>
      </c>
      <c r="O176" s="8" t="s">
        <v>40</v>
      </c>
      <c r="P176" s="17" t="s">
        <v>86</v>
      </c>
      <c r="Q176" s="18">
        <v>45939</v>
      </c>
      <c r="R176" s="9">
        <v>47</v>
      </c>
      <c r="S176" s="8" t="s">
        <v>32</v>
      </c>
      <c r="T176" s="8" t="s">
        <v>98</v>
      </c>
      <c r="U176" s="8"/>
      <c r="V176" s="8"/>
      <c r="W176" s="19"/>
    </row>
    <row r="177" spans="1:23" x14ac:dyDescent="0.25">
      <c r="A177" s="8" t="s">
        <v>598</v>
      </c>
      <c r="B177" s="8" t="str">
        <f t="shared" si="2"/>
        <v>RTM3B0645939</v>
      </c>
      <c r="C177" s="9" t="s">
        <v>505</v>
      </c>
      <c r="D177" s="10">
        <v>22541</v>
      </c>
      <c r="E177" s="11" t="s">
        <v>31</v>
      </c>
      <c r="F177" s="12">
        <v>45846</v>
      </c>
      <c r="G177" s="13" t="s">
        <v>149</v>
      </c>
      <c r="H177" s="10" t="s">
        <v>27</v>
      </c>
      <c r="I177" s="14" t="s">
        <v>28</v>
      </c>
      <c r="J177" s="14" t="s">
        <v>139</v>
      </c>
      <c r="K177" s="15"/>
      <c r="L177" s="15"/>
      <c r="M177" s="16" t="s">
        <v>599</v>
      </c>
      <c r="N177" s="8" t="s">
        <v>30</v>
      </c>
      <c r="O177" s="8" t="s">
        <v>31</v>
      </c>
      <c r="P177" s="17" t="s">
        <v>86</v>
      </c>
      <c r="Q177" s="18">
        <v>45939</v>
      </c>
      <c r="R177" s="9">
        <v>93</v>
      </c>
      <c r="S177" s="8" t="s">
        <v>32</v>
      </c>
      <c r="T177" s="8" t="s">
        <v>600</v>
      </c>
      <c r="U177" s="8" t="s">
        <v>372</v>
      </c>
      <c r="V177" s="8" t="s">
        <v>83</v>
      </c>
      <c r="W177" s="19"/>
    </row>
    <row r="178" spans="1:23" x14ac:dyDescent="0.25">
      <c r="A178" s="8" t="s">
        <v>601</v>
      </c>
      <c r="B178" s="8" t="str">
        <f t="shared" si="2"/>
        <v>SDT9F6545939</v>
      </c>
      <c r="C178" s="9" t="s">
        <v>50</v>
      </c>
      <c r="D178" s="10">
        <v>38664</v>
      </c>
      <c r="E178" s="11" t="s">
        <v>602</v>
      </c>
      <c r="F178" s="12">
        <v>45883</v>
      </c>
      <c r="G178" s="13" t="s">
        <v>149</v>
      </c>
      <c r="H178" s="10" t="s">
        <v>27</v>
      </c>
      <c r="I178" s="14" t="s">
        <v>28</v>
      </c>
      <c r="J178" s="14" t="s">
        <v>139</v>
      </c>
      <c r="K178" s="15"/>
      <c r="L178" s="15"/>
      <c r="M178" s="16" t="s">
        <v>603</v>
      </c>
      <c r="N178" s="8" t="s">
        <v>30</v>
      </c>
      <c r="O178" s="8" t="s">
        <v>388</v>
      </c>
      <c r="P178" s="17" t="s">
        <v>86</v>
      </c>
      <c r="Q178" s="18">
        <v>45939</v>
      </c>
      <c r="R178" s="9">
        <v>56</v>
      </c>
      <c r="S178" s="8" t="s">
        <v>32</v>
      </c>
      <c r="T178" s="8" t="s">
        <v>604</v>
      </c>
      <c r="U178" s="8" t="s">
        <v>120</v>
      </c>
      <c r="V178" s="8" t="s">
        <v>48</v>
      </c>
      <c r="W178" s="19"/>
    </row>
    <row r="179" spans="1:23" x14ac:dyDescent="0.25">
      <c r="A179" s="8" t="s">
        <v>126</v>
      </c>
      <c r="B179" s="8" t="str">
        <f t="shared" si="2"/>
        <v>SDQ3A3245938</v>
      </c>
      <c r="C179" s="9" t="s">
        <v>127</v>
      </c>
      <c r="D179" s="10">
        <v>12334</v>
      </c>
      <c r="E179" s="11" t="s">
        <v>314</v>
      </c>
      <c r="F179" s="12">
        <v>45924</v>
      </c>
      <c r="G179" s="13" t="s">
        <v>92</v>
      </c>
      <c r="H179" s="10" t="s">
        <v>27</v>
      </c>
      <c r="I179" s="14" t="s">
        <v>28</v>
      </c>
      <c r="J179" s="14" t="s">
        <v>139</v>
      </c>
      <c r="K179" s="15"/>
      <c r="L179" s="15"/>
      <c r="M179" s="16" t="s">
        <v>605</v>
      </c>
      <c r="N179" s="8" t="s">
        <v>30</v>
      </c>
      <c r="O179" s="8" t="s">
        <v>388</v>
      </c>
      <c r="P179" s="17" t="s">
        <v>86</v>
      </c>
      <c r="Q179" s="18">
        <v>45938</v>
      </c>
      <c r="R179" s="9">
        <v>14</v>
      </c>
      <c r="S179" s="8" t="s">
        <v>32</v>
      </c>
      <c r="T179" s="8" t="s">
        <v>606</v>
      </c>
      <c r="U179" s="8" t="s">
        <v>130</v>
      </c>
      <c r="V179" s="8" t="s">
        <v>313</v>
      </c>
      <c r="W179" s="19"/>
    </row>
    <row r="180" spans="1:23" x14ac:dyDescent="0.25">
      <c r="A180" s="8" t="s">
        <v>607</v>
      </c>
      <c r="B180" s="8" t="str">
        <f t="shared" si="2"/>
        <v>SDP9I9945938</v>
      </c>
      <c r="C180" s="9" t="s">
        <v>50</v>
      </c>
      <c r="D180" s="10">
        <v>22380</v>
      </c>
      <c r="E180" s="11" t="s">
        <v>608</v>
      </c>
      <c r="F180" s="12">
        <v>45836</v>
      </c>
      <c r="G180" s="13" t="s">
        <v>149</v>
      </c>
      <c r="H180" s="10" t="s">
        <v>27</v>
      </c>
      <c r="I180" s="14" t="s">
        <v>28</v>
      </c>
      <c r="J180" s="14" t="s">
        <v>29</v>
      </c>
      <c r="K180" s="15"/>
      <c r="L180" s="15"/>
      <c r="M180" s="16" t="s">
        <v>396</v>
      </c>
      <c r="N180" s="8" t="s">
        <v>30</v>
      </c>
      <c r="O180" s="8" t="s">
        <v>388</v>
      </c>
      <c r="P180" s="17">
        <v>45938</v>
      </c>
      <c r="Q180" s="18">
        <v>45938</v>
      </c>
      <c r="R180" s="9">
        <v>102</v>
      </c>
      <c r="S180" s="8" t="s">
        <v>32</v>
      </c>
      <c r="T180" s="8" t="s">
        <v>573</v>
      </c>
      <c r="U180" s="8" t="s">
        <v>574</v>
      </c>
      <c r="V180" s="8" t="s">
        <v>135</v>
      </c>
      <c r="W180" s="19"/>
    </row>
    <row r="181" spans="1:23" x14ac:dyDescent="0.25">
      <c r="A181" s="8" t="s">
        <v>609</v>
      </c>
      <c r="B181" s="8" t="str">
        <f t="shared" si="2"/>
        <v>STY4H2845939</v>
      </c>
      <c r="C181" s="9" t="s">
        <v>96</v>
      </c>
      <c r="D181" s="10" t="s">
        <v>383</v>
      </c>
      <c r="E181" s="11" t="s">
        <v>610</v>
      </c>
      <c r="F181" s="12">
        <v>45916</v>
      </c>
      <c r="G181" s="13" t="s">
        <v>611</v>
      </c>
      <c r="H181" s="10" t="s">
        <v>52</v>
      </c>
      <c r="I181" s="14" t="s">
        <v>28</v>
      </c>
      <c r="J181" s="14" t="s">
        <v>139</v>
      </c>
      <c r="K181" s="15"/>
      <c r="L181" s="15"/>
      <c r="M181" s="16" t="s">
        <v>612</v>
      </c>
      <c r="N181" s="8" t="s">
        <v>30</v>
      </c>
      <c r="O181" s="8" t="s">
        <v>52</v>
      </c>
      <c r="P181" s="17" t="s">
        <v>613</v>
      </c>
      <c r="Q181" s="18">
        <v>45939</v>
      </c>
      <c r="R181" s="9">
        <v>23</v>
      </c>
      <c r="S181" s="8" t="s">
        <v>32</v>
      </c>
      <c r="T181" s="8" t="s">
        <v>201</v>
      </c>
      <c r="U181" s="8" t="s">
        <v>614</v>
      </c>
      <c r="V181" s="8" t="s">
        <v>35</v>
      </c>
      <c r="W181" s="19"/>
    </row>
    <row r="182" spans="1:23" x14ac:dyDescent="0.25">
      <c r="A182" s="8" t="s">
        <v>615</v>
      </c>
      <c r="B182" s="8" t="str">
        <f t="shared" si="2"/>
        <v>RHW0D5745939</v>
      </c>
      <c r="C182" s="9" t="s">
        <v>50</v>
      </c>
      <c r="D182" s="10">
        <v>83683</v>
      </c>
      <c r="E182" s="11" t="s">
        <v>616</v>
      </c>
      <c r="F182" s="12">
        <v>45929</v>
      </c>
      <c r="G182" s="13" t="s">
        <v>611</v>
      </c>
      <c r="H182" s="10" t="s">
        <v>52</v>
      </c>
      <c r="I182" s="14" t="s">
        <v>28</v>
      </c>
      <c r="J182" s="14" t="s">
        <v>139</v>
      </c>
      <c r="K182" s="15"/>
      <c r="L182" s="15"/>
      <c r="M182" s="16" t="s">
        <v>603</v>
      </c>
      <c r="N182" s="8" t="s">
        <v>30</v>
      </c>
      <c r="O182" s="8" t="s">
        <v>52</v>
      </c>
      <c r="P182" s="17" t="s">
        <v>613</v>
      </c>
      <c r="Q182" s="18">
        <v>45939</v>
      </c>
      <c r="R182" s="9">
        <v>10</v>
      </c>
      <c r="S182" s="8" t="s">
        <v>32</v>
      </c>
      <c r="T182" s="8" t="s">
        <v>201</v>
      </c>
      <c r="U182" s="8" t="s">
        <v>617</v>
      </c>
      <c r="V182" s="8" t="s">
        <v>313</v>
      </c>
      <c r="W182" s="19"/>
    </row>
    <row r="183" spans="1:23" x14ac:dyDescent="0.25">
      <c r="A183" s="8" t="s">
        <v>618</v>
      </c>
      <c r="B183" s="8" t="str">
        <f t="shared" si="2"/>
        <v>SFD5H7645939</v>
      </c>
      <c r="C183" s="9" t="s">
        <v>24</v>
      </c>
      <c r="D183" s="10">
        <v>87018</v>
      </c>
      <c r="E183" s="11" t="s">
        <v>619</v>
      </c>
      <c r="F183" s="12">
        <v>45931</v>
      </c>
      <c r="G183" s="13" t="s">
        <v>123</v>
      </c>
      <c r="H183" s="10" t="s">
        <v>27</v>
      </c>
      <c r="I183" s="14" t="s">
        <v>28</v>
      </c>
      <c r="J183" s="14" t="s">
        <v>139</v>
      </c>
      <c r="K183" s="15"/>
      <c r="L183" s="15"/>
      <c r="M183" s="16" t="s">
        <v>326</v>
      </c>
      <c r="N183" s="8" t="s">
        <v>30</v>
      </c>
      <c r="O183" s="8" t="s">
        <v>31</v>
      </c>
      <c r="P183" s="17">
        <v>45939</v>
      </c>
      <c r="Q183" s="18">
        <v>45939</v>
      </c>
      <c r="R183" s="9">
        <v>8</v>
      </c>
      <c r="S183" s="8" t="s">
        <v>32</v>
      </c>
      <c r="T183" s="8" t="s">
        <v>620</v>
      </c>
      <c r="U183" s="8" t="s">
        <v>177</v>
      </c>
      <c r="V183" s="8" t="s">
        <v>320</v>
      </c>
      <c r="W183" s="19"/>
    </row>
    <row r="184" spans="1:23" x14ac:dyDescent="0.25">
      <c r="A184" s="8" t="s">
        <v>621</v>
      </c>
      <c r="B184" s="8" t="str">
        <f t="shared" si="2"/>
        <v>SGH6H7845939</v>
      </c>
      <c r="C184" s="9" t="s">
        <v>96</v>
      </c>
      <c r="D184" s="10">
        <v>29603</v>
      </c>
      <c r="E184" s="11" t="s">
        <v>310</v>
      </c>
      <c r="F184" s="12">
        <v>45910</v>
      </c>
      <c r="G184" s="13" t="s">
        <v>92</v>
      </c>
      <c r="H184" s="10" t="s">
        <v>27</v>
      </c>
      <c r="I184" s="14" t="s">
        <v>28</v>
      </c>
      <c r="J184" s="14" t="s">
        <v>139</v>
      </c>
      <c r="K184" s="15"/>
      <c r="L184" s="15"/>
      <c r="M184" s="16" t="s">
        <v>420</v>
      </c>
      <c r="N184" s="8" t="s">
        <v>30</v>
      </c>
      <c r="O184" s="8" t="s">
        <v>40</v>
      </c>
      <c r="P184" s="17" t="s">
        <v>86</v>
      </c>
      <c r="Q184" s="18">
        <v>45939</v>
      </c>
      <c r="R184" s="9">
        <v>29</v>
      </c>
      <c r="S184" s="8" t="s">
        <v>32</v>
      </c>
      <c r="T184" s="8" t="s">
        <v>622</v>
      </c>
      <c r="U184" s="8" t="s">
        <v>265</v>
      </c>
      <c r="V184" s="8" t="s">
        <v>35</v>
      </c>
      <c r="W184" s="19"/>
    </row>
    <row r="185" spans="1:23" x14ac:dyDescent="0.25">
      <c r="A185" s="8" t="s">
        <v>87</v>
      </c>
      <c r="B185" s="8" t="str">
        <f t="shared" si="2"/>
        <v>RNJ9C8945939</v>
      </c>
      <c r="C185" s="9" t="s">
        <v>72</v>
      </c>
      <c r="D185" s="10">
        <v>13800</v>
      </c>
      <c r="E185" s="11" t="s">
        <v>328</v>
      </c>
      <c r="F185" s="12">
        <v>45937</v>
      </c>
      <c r="G185" s="13" t="s">
        <v>39</v>
      </c>
      <c r="H185" s="10" t="s">
        <v>27</v>
      </c>
      <c r="I185" s="14" t="s">
        <v>28</v>
      </c>
      <c r="J185" s="14" t="s">
        <v>29</v>
      </c>
      <c r="K185" s="15"/>
      <c r="L185" s="15"/>
      <c r="M185" s="16" t="s">
        <v>560</v>
      </c>
      <c r="N185" s="8" t="s">
        <v>30</v>
      </c>
      <c r="O185" s="8" t="s">
        <v>40</v>
      </c>
      <c r="P185" s="17">
        <v>45945</v>
      </c>
      <c r="Q185" s="18">
        <v>45939</v>
      </c>
      <c r="R185" s="9">
        <v>2</v>
      </c>
      <c r="S185" s="8" t="s">
        <v>153</v>
      </c>
      <c r="T185" s="8" t="s">
        <v>89</v>
      </c>
      <c r="U185" s="8" t="s">
        <v>54</v>
      </c>
      <c r="V185" s="8" t="s">
        <v>320</v>
      </c>
      <c r="W185" s="19"/>
    </row>
    <row r="186" spans="1:23" x14ac:dyDescent="0.25">
      <c r="A186" s="8" t="s">
        <v>623</v>
      </c>
      <c r="B186" s="8" t="str">
        <f t="shared" si="2"/>
        <v>RNZ3H5545939</v>
      </c>
      <c r="C186" s="9" t="s">
        <v>24</v>
      </c>
      <c r="D186" s="10">
        <v>214287</v>
      </c>
      <c r="E186" s="11" t="s">
        <v>624</v>
      </c>
      <c r="F186" s="12">
        <v>45890</v>
      </c>
      <c r="G186" s="13" t="s">
        <v>123</v>
      </c>
      <c r="H186" s="10" t="s">
        <v>27</v>
      </c>
      <c r="I186" s="14" t="s">
        <v>28</v>
      </c>
      <c r="J186" s="14" t="s">
        <v>29</v>
      </c>
      <c r="K186" s="15"/>
      <c r="L186" s="15"/>
      <c r="M186" s="16" t="s">
        <v>374</v>
      </c>
      <c r="N186" s="8" t="s">
        <v>30</v>
      </c>
      <c r="O186" s="8" t="s">
        <v>40</v>
      </c>
      <c r="P186" s="17">
        <v>45939</v>
      </c>
      <c r="Q186" s="18">
        <v>45939</v>
      </c>
      <c r="R186" s="9">
        <v>49</v>
      </c>
      <c r="S186" s="8" t="s">
        <v>32</v>
      </c>
      <c r="T186" s="8" t="s">
        <v>392</v>
      </c>
      <c r="U186" s="8" t="s">
        <v>393</v>
      </c>
      <c r="V186" s="8" t="s">
        <v>48</v>
      </c>
      <c r="W186" s="19"/>
    </row>
    <row r="187" spans="1:23" x14ac:dyDescent="0.25">
      <c r="A187" s="8" t="s">
        <v>625</v>
      </c>
      <c r="B187" s="8" t="str">
        <f t="shared" si="2"/>
        <v>SFN0B5645940</v>
      </c>
      <c r="C187" s="9" t="s">
        <v>626</v>
      </c>
      <c r="D187" s="10">
        <v>23560</v>
      </c>
      <c r="E187" s="11" t="s">
        <v>627</v>
      </c>
      <c r="F187" s="12">
        <v>45911</v>
      </c>
      <c r="G187" s="13" t="s">
        <v>123</v>
      </c>
      <c r="H187" s="10" t="s">
        <v>27</v>
      </c>
      <c r="I187" s="14" t="s">
        <v>28</v>
      </c>
      <c r="J187" s="14" t="s">
        <v>139</v>
      </c>
      <c r="K187" s="15"/>
      <c r="L187" s="15"/>
      <c r="M187" s="16" t="s">
        <v>326</v>
      </c>
      <c r="N187" s="8" t="s">
        <v>30</v>
      </c>
      <c r="O187" s="8" t="s">
        <v>40</v>
      </c>
      <c r="P187" s="17">
        <v>45940</v>
      </c>
      <c r="Q187" s="18">
        <v>45940</v>
      </c>
      <c r="R187" s="9">
        <v>29</v>
      </c>
      <c r="S187" s="8" t="s">
        <v>32</v>
      </c>
      <c r="T187" s="8" t="s">
        <v>620</v>
      </c>
      <c r="U187" s="8" t="s">
        <v>177</v>
      </c>
      <c r="V187" s="8" t="s">
        <v>35</v>
      </c>
      <c r="W187" s="19"/>
    </row>
    <row r="188" spans="1:23" x14ac:dyDescent="0.25">
      <c r="A188" s="8" t="s">
        <v>144</v>
      </c>
      <c r="B188" s="8" t="str">
        <f t="shared" si="2"/>
        <v>SJT5G8845940</v>
      </c>
      <c r="C188" s="9" t="s">
        <v>24</v>
      </c>
      <c r="D188" s="10">
        <v>57613</v>
      </c>
      <c r="E188" s="11" t="s">
        <v>628</v>
      </c>
      <c r="F188" s="12">
        <v>45939</v>
      </c>
      <c r="G188" s="13" t="s">
        <v>138</v>
      </c>
      <c r="H188" s="10" t="s">
        <v>27</v>
      </c>
      <c r="I188" s="14" t="s">
        <v>28</v>
      </c>
      <c r="J188" s="14" t="s">
        <v>139</v>
      </c>
      <c r="K188" s="15"/>
      <c r="L188" s="15"/>
      <c r="M188" s="16" t="s">
        <v>140</v>
      </c>
      <c r="N188" s="8" t="s">
        <v>30</v>
      </c>
      <c r="O188" s="8" t="s">
        <v>40</v>
      </c>
      <c r="P188" s="17" t="s">
        <v>86</v>
      </c>
      <c r="Q188" s="18">
        <v>45940</v>
      </c>
      <c r="R188" s="9">
        <v>1</v>
      </c>
      <c r="S188" s="8" t="s">
        <v>153</v>
      </c>
      <c r="T188" s="8" t="s">
        <v>629</v>
      </c>
      <c r="U188" s="8" t="s">
        <v>59</v>
      </c>
      <c r="V188" s="8" t="s">
        <v>313</v>
      </c>
      <c r="W188" s="19"/>
    </row>
    <row r="189" spans="1:23" x14ac:dyDescent="0.25">
      <c r="A189" s="8" t="s">
        <v>630</v>
      </c>
      <c r="B189" s="8" t="str">
        <f t="shared" si="2"/>
        <v>SGI8I7045940</v>
      </c>
      <c r="C189" s="9" t="s">
        <v>96</v>
      </c>
      <c r="D189" s="10"/>
      <c r="E189" s="11" t="s">
        <v>631</v>
      </c>
      <c r="F189" s="12">
        <v>45836</v>
      </c>
      <c r="G189" s="13" t="s">
        <v>92</v>
      </c>
      <c r="H189" s="10" t="s">
        <v>27</v>
      </c>
      <c r="I189" s="14" t="s">
        <v>28</v>
      </c>
      <c r="J189" s="14" t="s">
        <v>29</v>
      </c>
      <c r="K189" s="15"/>
      <c r="L189" s="15"/>
      <c r="M189" s="16" t="s">
        <v>424</v>
      </c>
      <c r="N189" s="8" t="s">
        <v>30</v>
      </c>
      <c r="O189" s="8" t="s">
        <v>40</v>
      </c>
      <c r="P189" s="17" t="s">
        <v>86</v>
      </c>
      <c r="Q189" s="18">
        <v>45940</v>
      </c>
      <c r="R189" s="9">
        <v>104</v>
      </c>
      <c r="S189" s="8" t="s">
        <v>32</v>
      </c>
      <c r="T189" s="8" t="s">
        <v>159</v>
      </c>
      <c r="U189" s="8" t="s">
        <v>632</v>
      </c>
      <c r="V189" s="8" t="s">
        <v>320</v>
      </c>
      <c r="W189" s="19"/>
    </row>
    <row r="190" spans="1:23" x14ac:dyDescent="0.25">
      <c r="A190" s="8" t="s">
        <v>633</v>
      </c>
      <c r="B190" s="8" t="str">
        <f t="shared" si="2"/>
        <v>SFT5A4045940</v>
      </c>
      <c r="C190" s="9" t="s">
        <v>96</v>
      </c>
      <c r="D190" s="10">
        <v>7179</v>
      </c>
      <c r="E190" s="11" t="s">
        <v>634</v>
      </c>
      <c r="F190" s="12">
        <v>45923</v>
      </c>
      <c r="G190" s="13" t="s">
        <v>611</v>
      </c>
      <c r="H190" s="10" t="s">
        <v>52</v>
      </c>
      <c r="I190" s="14" t="s">
        <v>28</v>
      </c>
      <c r="J190" s="14" t="s">
        <v>29</v>
      </c>
      <c r="K190" s="15">
        <v>3230</v>
      </c>
      <c r="L190" s="15">
        <v>3230</v>
      </c>
      <c r="M190" s="16" t="s">
        <v>196</v>
      </c>
      <c r="N190" s="8" t="s">
        <v>30</v>
      </c>
      <c r="O190" s="8" t="s">
        <v>52</v>
      </c>
      <c r="P190" s="17">
        <v>45940</v>
      </c>
      <c r="Q190" s="18">
        <v>45940</v>
      </c>
      <c r="R190" s="9">
        <v>17</v>
      </c>
      <c r="S190" s="8" t="s">
        <v>32</v>
      </c>
      <c r="T190" s="8" t="s">
        <v>635</v>
      </c>
      <c r="U190" s="8" t="s">
        <v>636</v>
      </c>
      <c r="V190" s="8" t="s">
        <v>313</v>
      </c>
      <c r="W190" s="19"/>
    </row>
    <row r="191" spans="1:23" x14ac:dyDescent="0.25">
      <c r="A191" s="8" t="s">
        <v>637</v>
      </c>
      <c r="B191" s="8" t="str">
        <f t="shared" si="2"/>
        <v>RTE0I4645940</v>
      </c>
      <c r="C191" s="9" t="s">
        <v>72</v>
      </c>
      <c r="D191" s="10" t="s">
        <v>383</v>
      </c>
      <c r="E191" s="11" t="s">
        <v>103</v>
      </c>
      <c r="F191" s="12">
        <v>45932</v>
      </c>
      <c r="G191" s="13" t="s">
        <v>123</v>
      </c>
      <c r="H191" s="10" t="s">
        <v>27</v>
      </c>
      <c r="I191" s="14" t="s">
        <v>28</v>
      </c>
      <c r="J191" s="14" t="s">
        <v>29</v>
      </c>
      <c r="K191" s="15"/>
      <c r="L191" s="15"/>
      <c r="M191" s="16" t="s">
        <v>638</v>
      </c>
      <c r="N191" s="8" t="s">
        <v>30</v>
      </c>
      <c r="O191" s="8" t="s">
        <v>40</v>
      </c>
      <c r="P191" s="17">
        <v>45940</v>
      </c>
      <c r="Q191" s="18">
        <v>45940</v>
      </c>
      <c r="R191" s="9">
        <v>8</v>
      </c>
      <c r="S191" s="8" t="s">
        <v>32</v>
      </c>
      <c r="T191" s="8" t="s">
        <v>340</v>
      </c>
      <c r="U191" s="8" t="s">
        <v>94</v>
      </c>
      <c r="V191" s="8" t="s">
        <v>320</v>
      </c>
      <c r="W191" s="19"/>
    </row>
    <row r="192" spans="1:23" x14ac:dyDescent="0.25">
      <c r="A192" s="8" t="s">
        <v>639</v>
      </c>
      <c r="B192" s="8" t="str">
        <f t="shared" si="2"/>
        <v>NPL6B0345940</v>
      </c>
      <c r="C192" s="9" t="s">
        <v>640</v>
      </c>
      <c r="D192" s="10" t="s">
        <v>383</v>
      </c>
      <c r="E192" s="11" t="s">
        <v>641</v>
      </c>
      <c r="F192" s="12">
        <v>45909</v>
      </c>
      <c r="G192" s="13" t="s">
        <v>138</v>
      </c>
      <c r="H192" s="10" t="s">
        <v>27</v>
      </c>
      <c r="I192" s="14" t="s">
        <v>28</v>
      </c>
      <c r="J192" s="14" t="s">
        <v>139</v>
      </c>
      <c r="K192" s="15"/>
      <c r="L192" s="15"/>
      <c r="M192" s="16" t="s">
        <v>140</v>
      </c>
      <c r="N192" s="8" t="s">
        <v>30</v>
      </c>
      <c r="O192" s="8" t="s">
        <v>40</v>
      </c>
      <c r="P192" s="17" t="s">
        <v>187</v>
      </c>
      <c r="Q192" s="18">
        <v>45940</v>
      </c>
      <c r="R192" s="9">
        <v>31</v>
      </c>
      <c r="S192" s="8" t="s">
        <v>32</v>
      </c>
      <c r="T192" s="8" t="s">
        <v>642</v>
      </c>
      <c r="U192" s="8" t="s">
        <v>643</v>
      </c>
      <c r="V192" s="8" t="s">
        <v>35</v>
      </c>
      <c r="W192" s="19"/>
    </row>
    <row r="193" spans="1:23" x14ac:dyDescent="0.25">
      <c r="A193" s="8" t="s">
        <v>644</v>
      </c>
      <c r="B193" s="8" t="str">
        <f t="shared" si="2"/>
        <v>RVA2J5745938</v>
      </c>
      <c r="C193" s="9" t="s">
        <v>44</v>
      </c>
      <c r="D193" s="10" t="s">
        <v>383</v>
      </c>
      <c r="E193" s="11" t="s">
        <v>645</v>
      </c>
      <c r="F193" s="12">
        <v>45933</v>
      </c>
      <c r="G193" s="13" t="s">
        <v>184</v>
      </c>
      <c r="H193" s="10" t="s">
        <v>27</v>
      </c>
      <c r="I193" s="14" t="s">
        <v>28</v>
      </c>
      <c r="J193" s="14" t="s">
        <v>29</v>
      </c>
      <c r="K193" s="15"/>
      <c r="L193" s="15"/>
      <c r="M193" s="16" t="s">
        <v>186</v>
      </c>
      <c r="N193" s="8" t="s">
        <v>30</v>
      </c>
      <c r="O193" s="8" t="s">
        <v>40</v>
      </c>
      <c r="P193" s="17">
        <v>45938</v>
      </c>
      <c r="Q193" s="18">
        <v>45938</v>
      </c>
      <c r="R193" s="9">
        <v>5</v>
      </c>
      <c r="S193" s="8" t="s">
        <v>32</v>
      </c>
      <c r="T193" s="8" t="s">
        <v>74</v>
      </c>
      <c r="U193" s="8" t="s">
        <v>188</v>
      </c>
      <c r="V193" s="8" t="s">
        <v>320</v>
      </c>
      <c r="W193" s="19"/>
    </row>
    <row r="194" spans="1:23" x14ac:dyDescent="0.25">
      <c r="A194" s="8" t="s">
        <v>646</v>
      </c>
      <c r="B194" s="8" t="str">
        <f t="shared" si="2"/>
        <v>RHU2D6245940</v>
      </c>
      <c r="C194" s="9" t="s">
        <v>56</v>
      </c>
      <c r="D194" s="10">
        <v>55612</v>
      </c>
      <c r="E194" s="11" t="s">
        <v>647</v>
      </c>
      <c r="F194" s="12">
        <v>45931</v>
      </c>
      <c r="G194" s="13" t="s">
        <v>138</v>
      </c>
      <c r="H194" s="10" t="s">
        <v>27</v>
      </c>
      <c r="I194" s="14" t="s">
        <v>28</v>
      </c>
      <c r="J194" s="14" t="s">
        <v>29</v>
      </c>
      <c r="K194" s="15"/>
      <c r="L194" s="15"/>
      <c r="M194" s="16" t="s">
        <v>343</v>
      </c>
      <c r="N194" s="8" t="s">
        <v>30</v>
      </c>
      <c r="O194" s="8" t="s">
        <v>40</v>
      </c>
      <c r="P194" s="17">
        <v>45943</v>
      </c>
      <c r="Q194" s="18">
        <v>45940</v>
      </c>
      <c r="R194" s="9">
        <v>9</v>
      </c>
      <c r="S194" s="8" t="s">
        <v>32</v>
      </c>
      <c r="T194" s="8" t="s">
        <v>648</v>
      </c>
      <c r="U194" s="8" t="s">
        <v>59</v>
      </c>
      <c r="V194" s="8" t="s">
        <v>320</v>
      </c>
      <c r="W194" s="19"/>
    </row>
    <row r="195" spans="1:23" x14ac:dyDescent="0.25">
      <c r="A195" s="8" t="s">
        <v>649</v>
      </c>
      <c r="B195" s="8" t="str">
        <f t="shared" ref="B195:B258" si="3">A195&amp;Q195</f>
        <v>SDQ3J5745940</v>
      </c>
      <c r="C195" s="9" t="s">
        <v>127</v>
      </c>
      <c r="D195" s="10">
        <v>20000</v>
      </c>
      <c r="E195" s="11" t="s">
        <v>650</v>
      </c>
      <c r="F195" s="12">
        <v>45874</v>
      </c>
      <c r="G195" s="13" t="s">
        <v>149</v>
      </c>
      <c r="H195" s="10" t="s">
        <v>27</v>
      </c>
      <c r="I195" s="14" t="s">
        <v>28</v>
      </c>
      <c r="J195" s="14" t="s">
        <v>29</v>
      </c>
      <c r="K195" s="15"/>
      <c r="L195" s="15"/>
      <c r="M195" s="16" t="s">
        <v>603</v>
      </c>
      <c r="N195" s="8" t="s">
        <v>30</v>
      </c>
      <c r="O195" s="8" t="s">
        <v>388</v>
      </c>
      <c r="P195" s="17">
        <v>45940</v>
      </c>
      <c r="Q195" s="18">
        <v>45940</v>
      </c>
      <c r="R195" s="9">
        <v>66</v>
      </c>
      <c r="S195" s="8" t="s">
        <v>32</v>
      </c>
      <c r="T195" s="8" t="s">
        <v>651</v>
      </c>
      <c r="U195" s="8" t="s">
        <v>120</v>
      </c>
      <c r="V195" s="8" t="s">
        <v>48</v>
      </c>
      <c r="W195" s="19"/>
    </row>
    <row r="196" spans="1:23" x14ac:dyDescent="0.25">
      <c r="A196" s="8" t="s">
        <v>652</v>
      </c>
      <c r="B196" s="8" t="str">
        <f t="shared" si="3"/>
        <v>RUX2B7045939</v>
      </c>
      <c r="C196" s="9" t="s">
        <v>79</v>
      </c>
      <c r="D196" s="10">
        <v>113211</v>
      </c>
      <c r="E196" s="11" t="s">
        <v>653</v>
      </c>
      <c r="F196" s="12">
        <v>45932</v>
      </c>
      <c r="G196" s="13" t="s">
        <v>184</v>
      </c>
      <c r="H196" s="10" t="s">
        <v>27</v>
      </c>
      <c r="I196" s="14" t="s">
        <v>28</v>
      </c>
      <c r="J196" s="14" t="s">
        <v>29</v>
      </c>
      <c r="K196" s="15">
        <v>877</v>
      </c>
      <c r="L196" s="15">
        <v>877</v>
      </c>
      <c r="M196" s="16" t="s">
        <v>186</v>
      </c>
      <c r="N196" s="8" t="s">
        <v>30</v>
      </c>
      <c r="O196" s="8" t="s">
        <v>40</v>
      </c>
      <c r="P196" s="17">
        <v>45939</v>
      </c>
      <c r="Q196" s="18">
        <v>45939</v>
      </c>
      <c r="R196" s="9">
        <v>7</v>
      </c>
      <c r="S196" s="8" t="s">
        <v>32</v>
      </c>
      <c r="T196" s="8" t="s">
        <v>535</v>
      </c>
      <c r="U196" s="8" t="s">
        <v>188</v>
      </c>
      <c r="V196" s="8" t="s">
        <v>320</v>
      </c>
      <c r="W196" s="19"/>
    </row>
    <row r="197" spans="1:23" x14ac:dyDescent="0.25">
      <c r="A197" s="8" t="s">
        <v>654</v>
      </c>
      <c r="B197" s="8" t="str">
        <f t="shared" si="3"/>
        <v>RUZ9B7745943</v>
      </c>
      <c r="C197" s="9" t="s">
        <v>44</v>
      </c>
      <c r="D197" s="10">
        <v>11452</v>
      </c>
      <c r="E197" s="11" t="s">
        <v>655</v>
      </c>
      <c r="F197" s="12">
        <v>45904</v>
      </c>
      <c r="G197" s="13" t="s">
        <v>138</v>
      </c>
      <c r="H197" s="10" t="s">
        <v>27</v>
      </c>
      <c r="I197" s="14" t="s">
        <v>28</v>
      </c>
      <c r="J197" s="14" t="s">
        <v>29</v>
      </c>
      <c r="K197" s="15">
        <v>3757.9</v>
      </c>
      <c r="L197" s="15">
        <v>3490</v>
      </c>
      <c r="M197" s="16" t="s">
        <v>593</v>
      </c>
      <c r="N197" s="8" t="s">
        <v>30</v>
      </c>
      <c r="O197" s="8" t="s">
        <v>40</v>
      </c>
      <c r="P197" s="17">
        <v>45940</v>
      </c>
      <c r="Q197" s="18">
        <v>45943</v>
      </c>
      <c r="R197" s="9">
        <v>39</v>
      </c>
      <c r="S197" s="8" t="s">
        <v>32</v>
      </c>
      <c r="T197" s="8" t="s">
        <v>100</v>
      </c>
      <c r="U197" s="8" t="s">
        <v>596</v>
      </c>
      <c r="V197" s="8" t="s">
        <v>35</v>
      </c>
      <c r="W197" s="19"/>
    </row>
    <row r="198" spans="1:23" x14ac:dyDescent="0.25">
      <c r="A198" s="8" t="s">
        <v>656</v>
      </c>
      <c r="B198" s="8" t="str">
        <f t="shared" si="3"/>
        <v>RVG0G1045943</v>
      </c>
      <c r="C198" s="9" t="s">
        <v>505</v>
      </c>
      <c r="D198" s="10">
        <v>1</v>
      </c>
      <c r="E198" s="11" t="s">
        <v>657</v>
      </c>
      <c r="F198" s="12">
        <v>45933</v>
      </c>
      <c r="G198" s="13" t="s">
        <v>658</v>
      </c>
      <c r="H198" s="10" t="s">
        <v>52</v>
      </c>
      <c r="I198" s="14" t="s">
        <v>28</v>
      </c>
      <c r="J198" s="14" t="s">
        <v>139</v>
      </c>
      <c r="K198" s="15">
        <v>880</v>
      </c>
      <c r="L198" s="15">
        <v>880</v>
      </c>
      <c r="M198" s="16" t="s">
        <v>186</v>
      </c>
      <c r="N198" s="8" t="s">
        <v>30</v>
      </c>
      <c r="O198" s="8" t="s">
        <v>52</v>
      </c>
      <c r="P198" s="17">
        <v>45943</v>
      </c>
      <c r="Q198" s="18">
        <v>45943</v>
      </c>
      <c r="R198" s="9">
        <v>10</v>
      </c>
      <c r="S198" s="8" t="s">
        <v>32</v>
      </c>
      <c r="T198" s="8" t="s">
        <v>74</v>
      </c>
      <c r="U198" s="8" t="s">
        <v>188</v>
      </c>
      <c r="V198" s="8" t="s">
        <v>320</v>
      </c>
      <c r="W198" s="19"/>
    </row>
    <row r="199" spans="1:23" x14ac:dyDescent="0.25">
      <c r="A199" s="8" t="s">
        <v>659</v>
      </c>
      <c r="B199" s="8" t="str">
        <f t="shared" si="3"/>
        <v>RNB5I1145943</v>
      </c>
      <c r="C199" s="9" t="s">
        <v>72</v>
      </c>
      <c r="D199" s="10">
        <v>61002</v>
      </c>
      <c r="E199" s="11" t="s">
        <v>660</v>
      </c>
      <c r="F199" s="12">
        <v>45936</v>
      </c>
      <c r="G199" s="13" t="s">
        <v>123</v>
      </c>
      <c r="H199" s="10" t="s">
        <v>27</v>
      </c>
      <c r="I199" s="14" t="s">
        <v>28</v>
      </c>
      <c r="J199" s="14" t="s">
        <v>29</v>
      </c>
      <c r="K199" s="15"/>
      <c r="L199" s="15"/>
      <c r="M199" s="16" t="s">
        <v>326</v>
      </c>
      <c r="N199" s="8" t="s">
        <v>30</v>
      </c>
      <c r="O199" s="8" t="s">
        <v>40</v>
      </c>
      <c r="P199" s="17">
        <v>45943</v>
      </c>
      <c r="Q199" s="18">
        <v>45943</v>
      </c>
      <c r="R199" s="9">
        <v>7</v>
      </c>
      <c r="S199" s="8" t="s">
        <v>32</v>
      </c>
      <c r="T199" s="8" t="s">
        <v>620</v>
      </c>
      <c r="U199" s="8" t="s">
        <v>177</v>
      </c>
      <c r="V199" s="8" t="s">
        <v>320</v>
      </c>
      <c r="W199" s="19"/>
    </row>
    <row r="200" spans="1:23" x14ac:dyDescent="0.25">
      <c r="A200" s="8" t="s">
        <v>136</v>
      </c>
      <c r="B200" s="8" t="str">
        <f t="shared" si="3"/>
        <v>SJT9A4045943</v>
      </c>
      <c r="C200" s="9" t="s">
        <v>24</v>
      </c>
      <c r="D200" s="10">
        <v>64024</v>
      </c>
      <c r="E200" s="11" t="s">
        <v>225</v>
      </c>
      <c r="F200" s="12">
        <v>45940</v>
      </c>
      <c r="G200" s="13" t="s">
        <v>138</v>
      </c>
      <c r="H200" s="10" t="s">
        <v>27</v>
      </c>
      <c r="I200" s="14" t="s">
        <v>28</v>
      </c>
      <c r="J200" s="14" t="s">
        <v>139</v>
      </c>
      <c r="K200" s="15"/>
      <c r="L200" s="15"/>
      <c r="M200" s="16" t="s">
        <v>140</v>
      </c>
      <c r="N200" s="8" t="s">
        <v>30</v>
      </c>
      <c r="O200" s="8" t="s">
        <v>40</v>
      </c>
      <c r="P200" s="17" t="s">
        <v>86</v>
      </c>
      <c r="Q200" s="18">
        <v>45943</v>
      </c>
      <c r="R200" s="9">
        <v>3</v>
      </c>
      <c r="S200" s="8" t="s">
        <v>32</v>
      </c>
      <c r="T200" s="8" t="s">
        <v>661</v>
      </c>
      <c r="U200" s="8" t="s">
        <v>500</v>
      </c>
      <c r="V200" s="8" t="s">
        <v>320</v>
      </c>
      <c r="W200" s="19"/>
    </row>
    <row r="201" spans="1:23" x14ac:dyDescent="0.25">
      <c r="A201" s="8" t="s">
        <v>662</v>
      </c>
      <c r="B201" s="8" t="str">
        <f t="shared" si="3"/>
        <v>RUW5E0045943</v>
      </c>
      <c r="C201" s="9" t="s">
        <v>79</v>
      </c>
      <c r="D201" s="10">
        <v>66051</v>
      </c>
      <c r="E201" s="11" t="s">
        <v>631</v>
      </c>
      <c r="F201" s="12">
        <v>45938</v>
      </c>
      <c r="G201" s="13" t="s">
        <v>149</v>
      </c>
      <c r="H201" s="10" t="s">
        <v>27</v>
      </c>
      <c r="I201" s="14" t="s">
        <v>28</v>
      </c>
      <c r="J201" s="14" t="s">
        <v>29</v>
      </c>
      <c r="K201" s="15"/>
      <c r="L201" s="15"/>
      <c r="M201" s="16" t="s">
        <v>599</v>
      </c>
      <c r="N201" s="8" t="s">
        <v>30</v>
      </c>
      <c r="O201" s="8" t="s">
        <v>40</v>
      </c>
      <c r="P201" s="17">
        <v>45940</v>
      </c>
      <c r="Q201" s="18">
        <v>45943</v>
      </c>
      <c r="R201" s="9">
        <v>5</v>
      </c>
      <c r="S201" s="8" t="s">
        <v>32</v>
      </c>
      <c r="T201" s="8" t="s">
        <v>663</v>
      </c>
      <c r="U201" s="8" t="s">
        <v>372</v>
      </c>
      <c r="V201" s="8" t="s">
        <v>320</v>
      </c>
      <c r="W201" s="19"/>
    </row>
    <row r="202" spans="1:23" x14ac:dyDescent="0.25">
      <c r="A202" s="8" t="s">
        <v>664</v>
      </c>
      <c r="B202" s="8" t="str">
        <f t="shared" si="3"/>
        <v>SVI0D3845940</v>
      </c>
      <c r="C202" s="9" t="s">
        <v>96</v>
      </c>
      <c r="D202" s="10">
        <v>35000</v>
      </c>
      <c r="E202" s="11" t="s">
        <v>236</v>
      </c>
      <c r="F202" s="12">
        <v>45936</v>
      </c>
      <c r="G202" s="13" t="s">
        <v>138</v>
      </c>
      <c r="H202" s="10" t="s">
        <v>27</v>
      </c>
      <c r="I202" s="14" t="s">
        <v>28</v>
      </c>
      <c r="J202" s="14" t="s">
        <v>29</v>
      </c>
      <c r="K202" s="15">
        <v>1209.9000000000001</v>
      </c>
      <c r="L202" s="15">
        <v>1100</v>
      </c>
      <c r="M202" s="16" t="s">
        <v>587</v>
      </c>
      <c r="N202" s="8" t="s">
        <v>30</v>
      </c>
      <c r="O202" s="8" t="s">
        <v>40</v>
      </c>
      <c r="P202" s="17">
        <v>45940</v>
      </c>
      <c r="Q202" s="18">
        <v>45940</v>
      </c>
      <c r="R202" s="9">
        <v>4</v>
      </c>
      <c r="S202" s="8" t="s">
        <v>32</v>
      </c>
      <c r="T202" s="8" t="s">
        <v>100</v>
      </c>
      <c r="U202" s="8" t="s">
        <v>101</v>
      </c>
      <c r="V202" s="8" t="s">
        <v>320</v>
      </c>
      <c r="W202" s="19"/>
    </row>
    <row r="203" spans="1:23" x14ac:dyDescent="0.25">
      <c r="A203" s="8" t="s">
        <v>665</v>
      </c>
      <c r="B203" s="8" t="str">
        <f t="shared" si="3"/>
        <v>SDT9G1945943</v>
      </c>
      <c r="C203" s="9" t="s">
        <v>50</v>
      </c>
      <c r="D203" s="10">
        <v>35147</v>
      </c>
      <c r="E203" s="11" t="s">
        <v>666</v>
      </c>
      <c r="F203" s="12">
        <v>45904</v>
      </c>
      <c r="G203" s="13" t="s">
        <v>39</v>
      </c>
      <c r="H203" s="10" t="s">
        <v>27</v>
      </c>
      <c r="I203" s="14" t="s">
        <v>28</v>
      </c>
      <c r="J203" s="14" t="s">
        <v>29</v>
      </c>
      <c r="K203" s="15"/>
      <c r="L203" s="15"/>
      <c r="M203" s="16" t="s">
        <v>497</v>
      </c>
      <c r="N203" s="8" t="s">
        <v>30</v>
      </c>
      <c r="O203" s="8" t="s">
        <v>388</v>
      </c>
      <c r="P203" s="17">
        <v>45945</v>
      </c>
      <c r="Q203" s="18">
        <v>45943</v>
      </c>
      <c r="R203" s="9">
        <v>39</v>
      </c>
      <c r="S203" s="8" t="s">
        <v>32</v>
      </c>
      <c r="T203" s="8" t="s">
        <v>667</v>
      </c>
      <c r="U203" s="8" t="s">
        <v>67</v>
      </c>
      <c r="V203" s="8" t="s">
        <v>35</v>
      </c>
      <c r="W203" s="19"/>
    </row>
    <row r="204" spans="1:23" x14ac:dyDescent="0.25">
      <c r="A204" s="8" t="s">
        <v>668</v>
      </c>
      <c r="B204" s="8" t="str">
        <f t="shared" si="3"/>
        <v>SGH8C2345943</v>
      </c>
      <c r="C204" s="9" t="s">
        <v>96</v>
      </c>
      <c r="D204" s="10">
        <v>58008</v>
      </c>
      <c r="E204" s="11" t="s">
        <v>496</v>
      </c>
      <c r="F204" s="12">
        <v>45937</v>
      </c>
      <c r="G204" s="13" t="s">
        <v>39</v>
      </c>
      <c r="H204" s="10" t="s">
        <v>27</v>
      </c>
      <c r="I204" s="14" t="s">
        <v>28</v>
      </c>
      <c r="J204" s="14" t="s">
        <v>29</v>
      </c>
      <c r="K204" s="15"/>
      <c r="L204" s="15"/>
      <c r="M204" s="16" t="s">
        <v>354</v>
      </c>
      <c r="N204" s="8" t="s">
        <v>30</v>
      </c>
      <c r="O204" s="8" t="s">
        <v>40</v>
      </c>
      <c r="P204" s="17">
        <v>45947</v>
      </c>
      <c r="Q204" s="18">
        <v>45943</v>
      </c>
      <c r="R204" s="9">
        <v>6</v>
      </c>
      <c r="S204" s="8" t="s">
        <v>32</v>
      </c>
      <c r="T204" s="8" t="s">
        <v>669</v>
      </c>
      <c r="U204" s="8" t="s">
        <v>279</v>
      </c>
      <c r="V204" s="8" t="s">
        <v>320</v>
      </c>
      <c r="W204" s="19"/>
    </row>
    <row r="205" spans="1:23" x14ac:dyDescent="0.25">
      <c r="A205" s="8" t="s">
        <v>656</v>
      </c>
      <c r="B205" s="8" t="str">
        <f t="shared" si="3"/>
        <v>RVG0G1045943</v>
      </c>
      <c r="C205" s="9" t="s">
        <v>505</v>
      </c>
      <c r="D205" s="10">
        <v>91476</v>
      </c>
      <c r="E205" s="11" t="s">
        <v>670</v>
      </c>
      <c r="F205" s="12">
        <v>45943</v>
      </c>
      <c r="G205" s="13" t="s">
        <v>184</v>
      </c>
      <c r="H205" s="10" t="s">
        <v>27</v>
      </c>
      <c r="I205" s="14" t="s">
        <v>28</v>
      </c>
      <c r="J205" s="14" t="s">
        <v>29</v>
      </c>
      <c r="K205" s="15">
        <v>1509.8</v>
      </c>
      <c r="L205" s="15">
        <v>1509.8</v>
      </c>
      <c r="M205" s="16" t="s">
        <v>186</v>
      </c>
      <c r="N205" s="8" t="s">
        <v>180</v>
      </c>
      <c r="O205" s="8"/>
      <c r="P205" s="17">
        <v>45943</v>
      </c>
      <c r="Q205" s="18">
        <v>45943</v>
      </c>
      <c r="R205" s="9">
        <v>0</v>
      </c>
      <c r="S205" s="8" t="s">
        <v>153</v>
      </c>
      <c r="T205" s="8" t="s">
        <v>74</v>
      </c>
      <c r="U205" s="8" t="s">
        <v>188</v>
      </c>
      <c r="V205" s="8" t="s">
        <v>320</v>
      </c>
      <c r="W205" s="19"/>
    </row>
    <row r="206" spans="1:23" x14ac:dyDescent="0.25">
      <c r="A206" s="8" t="s">
        <v>671</v>
      </c>
      <c r="B206" s="8" t="str">
        <f t="shared" si="3"/>
        <v>SGH6H6045943</v>
      </c>
      <c r="C206" s="9" t="s">
        <v>96</v>
      </c>
      <c r="D206" s="10">
        <v>4008628</v>
      </c>
      <c r="E206" s="11" t="s">
        <v>672</v>
      </c>
      <c r="F206" s="12">
        <v>45931</v>
      </c>
      <c r="G206" s="13" t="s">
        <v>658</v>
      </c>
      <c r="H206" s="10" t="s">
        <v>52</v>
      </c>
      <c r="I206" s="14" t="s">
        <v>28</v>
      </c>
      <c r="J206" s="14" t="s">
        <v>139</v>
      </c>
      <c r="K206" s="15">
        <v>2500</v>
      </c>
      <c r="L206" s="15">
        <v>2500</v>
      </c>
      <c r="M206" s="16" t="s">
        <v>200</v>
      </c>
      <c r="N206" s="8" t="s">
        <v>30</v>
      </c>
      <c r="O206" s="8" t="s">
        <v>52</v>
      </c>
      <c r="P206" s="17">
        <v>45944</v>
      </c>
      <c r="Q206" s="18">
        <v>45943</v>
      </c>
      <c r="R206" s="9">
        <v>12</v>
      </c>
      <c r="S206" s="8" t="s">
        <v>32</v>
      </c>
      <c r="T206" s="8" t="s">
        <v>264</v>
      </c>
      <c r="U206" s="8" t="s">
        <v>500</v>
      </c>
      <c r="V206" s="8" t="s">
        <v>320</v>
      </c>
      <c r="W206" s="19"/>
    </row>
    <row r="207" spans="1:23" x14ac:dyDescent="0.25">
      <c r="A207" s="8" t="s">
        <v>373</v>
      </c>
      <c r="B207" s="8" t="str">
        <f t="shared" si="3"/>
        <v>RNF2B7445943</v>
      </c>
      <c r="C207" s="9" t="s">
        <v>72</v>
      </c>
      <c r="D207" s="10">
        <v>231758</v>
      </c>
      <c r="E207" s="11" t="s">
        <v>377</v>
      </c>
      <c r="F207" s="12">
        <v>45926</v>
      </c>
      <c r="G207" s="13" t="s">
        <v>123</v>
      </c>
      <c r="H207" s="10" t="s">
        <v>27</v>
      </c>
      <c r="I207" s="14" t="s">
        <v>28</v>
      </c>
      <c r="J207" s="14" t="s">
        <v>29</v>
      </c>
      <c r="K207" s="15"/>
      <c r="L207" s="15"/>
      <c r="M207" s="16" t="s">
        <v>374</v>
      </c>
      <c r="N207" s="8" t="s">
        <v>30</v>
      </c>
      <c r="O207" s="8" t="s">
        <v>40</v>
      </c>
      <c r="P207" s="17">
        <v>45943</v>
      </c>
      <c r="Q207" s="18">
        <v>45943</v>
      </c>
      <c r="R207" s="9">
        <v>17</v>
      </c>
      <c r="S207" s="8" t="s">
        <v>32</v>
      </c>
      <c r="T207" s="8" t="s">
        <v>392</v>
      </c>
      <c r="U207" s="8" t="s">
        <v>393</v>
      </c>
      <c r="V207" s="8" t="s">
        <v>35</v>
      </c>
      <c r="W207" s="19"/>
    </row>
    <row r="208" spans="1:23" x14ac:dyDescent="0.25">
      <c r="A208" s="8" t="s">
        <v>673</v>
      </c>
      <c r="B208" s="8" t="str">
        <f t="shared" si="3"/>
        <v>RUW5E5645943</v>
      </c>
      <c r="C208" s="9" t="s">
        <v>79</v>
      </c>
      <c r="D208" s="10" t="s">
        <v>383</v>
      </c>
      <c r="E208" s="11" t="s">
        <v>674</v>
      </c>
      <c r="F208" s="12">
        <v>45933</v>
      </c>
      <c r="G208" s="13" t="s">
        <v>675</v>
      </c>
      <c r="H208" s="10" t="s">
        <v>27</v>
      </c>
      <c r="I208" s="14" t="s">
        <v>28</v>
      </c>
      <c r="J208" s="14" t="s">
        <v>29</v>
      </c>
      <c r="K208" s="15">
        <v>1038</v>
      </c>
      <c r="L208" s="15">
        <v>1038</v>
      </c>
      <c r="M208" s="16" t="s">
        <v>186</v>
      </c>
      <c r="N208" s="8" t="s">
        <v>30</v>
      </c>
      <c r="O208" s="8" t="s">
        <v>40</v>
      </c>
      <c r="P208" s="17">
        <v>45941</v>
      </c>
      <c r="Q208" s="18">
        <v>45943</v>
      </c>
      <c r="R208" s="9">
        <v>10</v>
      </c>
      <c r="S208" s="8" t="s">
        <v>32</v>
      </c>
      <c r="T208" s="8" t="s">
        <v>535</v>
      </c>
      <c r="U208" s="8" t="s">
        <v>208</v>
      </c>
      <c r="V208" s="8" t="s">
        <v>320</v>
      </c>
      <c r="W208" s="19"/>
    </row>
    <row r="209" spans="1:23" x14ac:dyDescent="0.25">
      <c r="A209" s="8" t="s">
        <v>676</v>
      </c>
      <c r="B209" s="8" t="str">
        <f t="shared" si="3"/>
        <v>RNR5C6545944</v>
      </c>
      <c r="C209" s="9" t="s">
        <v>72</v>
      </c>
      <c r="D209" s="10">
        <v>87004</v>
      </c>
      <c r="E209" s="11">
        <v>0.46041666666666664</v>
      </c>
      <c r="F209" s="12">
        <v>45870</v>
      </c>
      <c r="G209" s="13" t="s">
        <v>184</v>
      </c>
      <c r="H209" s="10" t="s">
        <v>27</v>
      </c>
      <c r="I209" s="14" t="s">
        <v>28</v>
      </c>
      <c r="J209" s="14" t="s">
        <v>139</v>
      </c>
      <c r="K209" s="15"/>
      <c r="L209" s="15"/>
      <c r="M209" s="16" t="s">
        <v>207</v>
      </c>
      <c r="N209" s="8" t="s">
        <v>30</v>
      </c>
      <c r="O209" s="8" t="s">
        <v>677</v>
      </c>
      <c r="P209" s="17" t="s">
        <v>678</v>
      </c>
      <c r="Q209" s="18">
        <v>45944</v>
      </c>
      <c r="R209" s="9">
        <v>74</v>
      </c>
      <c r="S209" s="8" t="s">
        <v>32</v>
      </c>
      <c r="T209" s="8"/>
      <c r="U209" s="8" t="s">
        <v>75</v>
      </c>
      <c r="V209" s="8" t="s">
        <v>83</v>
      </c>
      <c r="W209" s="19"/>
    </row>
    <row r="210" spans="1:23" x14ac:dyDescent="0.25">
      <c r="A210" s="8" t="s">
        <v>679</v>
      </c>
      <c r="B210" s="8" t="str">
        <f t="shared" si="3"/>
        <v>RUV4G2645944</v>
      </c>
      <c r="C210" s="9" t="s">
        <v>680</v>
      </c>
      <c r="D210" s="10">
        <v>114993</v>
      </c>
      <c r="E210" s="11" t="s">
        <v>681</v>
      </c>
      <c r="F210" s="12">
        <v>45854</v>
      </c>
      <c r="G210" s="13" t="s">
        <v>92</v>
      </c>
      <c r="H210" s="10" t="s">
        <v>27</v>
      </c>
      <c r="I210" s="14" t="s">
        <v>28</v>
      </c>
      <c r="J210" s="14" t="s">
        <v>29</v>
      </c>
      <c r="K210" s="15">
        <v>2380</v>
      </c>
      <c r="L210" s="15">
        <v>2380</v>
      </c>
      <c r="M210" s="16" t="s">
        <v>682</v>
      </c>
      <c r="N210" s="8" t="s">
        <v>30</v>
      </c>
      <c r="O210" s="8" t="s">
        <v>40</v>
      </c>
      <c r="P210" s="17" t="s">
        <v>683</v>
      </c>
      <c r="Q210" s="18">
        <v>45944</v>
      </c>
      <c r="R210" s="9">
        <v>90</v>
      </c>
      <c r="S210" s="8" t="s">
        <v>32</v>
      </c>
      <c r="T210" s="8" t="s">
        <v>684</v>
      </c>
      <c r="U210" s="8" t="s">
        <v>685</v>
      </c>
      <c r="V210" s="8" t="s">
        <v>83</v>
      </c>
      <c r="W210" s="19"/>
    </row>
    <row r="211" spans="1:23" x14ac:dyDescent="0.25">
      <c r="A211" s="8" t="s">
        <v>686</v>
      </c>
      <c r="B211" s="8" t="str">
        <f t="shared" si="3"/>
        <v>SGF8I9645944</v>
      </c>
      <c r="C211" s="9" t="s">
        <v>157</v>
      </c>
      <c r="D211" s="10" t="s">
        <v>687</v>
      </c>
      <c r="E211" s="11" t="s">
        <v>493</v>
      </c>
      <c r="F211" s="12">
        <v>45896</v>
      </c>
      <c r="G211" s="13" t="s">
        <v>226</v>
      </c>
      <c r="H211" s="10" t="s">
        <v>27</v>
      </c>
      <c r="I211" s="14" t="s">
        <v>28</v>
      </c>
      <c r="J211" s="14" t="s">
        <v>139</v>
      </c>
      <c r="K211" s="15"/>
      <c r="L211" s="15"/>
      <c r="M211" s="16" t="s">
        <v>458</v>
      </c>
      <c r="N211" s="8" t="s">
        <v>172</v>
      </c>
      <c r="O211" s="8" t="s">
        <v>40</v>
      </c>
      <c r="P211" s="17" t="s">
        <v>86</v>
      </c>
      <c r="Q211" s="18">
        <v>45944</v>
      </c>
      <c r="R211" s="9">
        <v>48</v>
      </c>
      <c r="S211" s="8" t="s">
        <v>32</v>
      </c>
      <c r="T211" s="8" t="s">
        <v>688</v>
      </c>
      <c r="U211" s="8" t="s">
        <v>460</v>
      </c>
      <c r="V211" s="8" t="s">
        <v>48</v>
      </c>
      <c r="W211" s="19"/>
    </row>
    <row r="212" spans="1:23" x14ac:dyDescent="0.25">
      <c r="A212" s="8" t="s">
        <v>689</v>
      </c>
      <c r="B212" s="8" t="str">
        <f t="shared" si="3"/>
        <v>RND8C5745944</v>
      </c>
      <c r="C212" s="9" t="s">
        <v>72</v>
      </c>
      <c r="D212" s="10">
        <v>135245</v>
      </c>
      <c r="E212" s="11" t="s">
        <v>690</v>
      </c>
      <c r="F212" s="12">
        <v>45905</v>
      </c>
      <c r="G212" s="13" t="s">
        <v>123</v>
      </c>
      <c r="H212" s="10" t="s">
        <v>27</v>
      </c>
      <c r="I212" s="14" t="s">
        <v>28</v>
      </c>
      <c r="J212" s="14" t="s">
        <v>29</v>
      </c>
      <c r="K212" s="15"/>
      <c r="L212" s="15"/>
      <c r="M212" s="16" t="s">
        <v>374</v>
      </c>
      <c r="N212" s="8" t="s">
        <v>30</v>
      </c>
      <c r="O212" s="8" t="s">
        <v>40</v>
      </c>
      <c r="P212" s="17">
        <v>45943</v>
      </c>
      <c r="Q212" s="18">
        <v>45944</v>
      </c>
      <c r="R212" s="9">
        <v>39</v>
      </c>
      <c r="S212" s="8" t="s">
        <v>32</v>
      </c>
      <c r="T212" s="8" t="s">
        <v>392</v>
      </c>
      <c r="U212" s="8" t="s">
        <v>393</v>
      </c>
      <c r="V212" s="8" t="s">
        <v>35</v>
      </c>
      <c r="W212" s="19"/>
    </row>
    <row r="213" spans="1:23" x14ac:dyDescent="0.25">
      <c r="A213" s="8" t="s">
        <v>691</v>
      </c>
      <c r="B213" s="8" t="str">
        <f t="shared" si="3"/>
        <v>RNF2C0145944</v>
      </c>
      <c r="C213" s="9" t="s">
        <v>72</v>
      </c>
      <c r="D213" s="10">
        <v>279147</v>
      </c>
      <c r="E213" s="11" t="s">
        <v>692</v>
      </c>
      <c r="F213" s="12">
        <v>45925</v>
      </c>
      <c r="G213" s="13" t="s">
        <v>123</v>
      </c>
      <c r="H213" s="10" t="s">
        <v>27</v>
      </c>
      <c r="I213" s="14" t="s">
        <v>28</v>
      </c>
      <c r="J213" s="14" t="s">
        <v>139</v>
      </c>
      <c r="K213" s="15"/>
      <c r="L213" s="15"/>
      <c r="M213" s="16" t="s">
        <v>374</v>
      </c>
      <c r="N213" s="8" t="s">
        <v>30</v>
      </c>
      <c r="O213" s="8" t="s">
        <v>40</v>
      </c>
      <c r="P213" s="17">
        <v>45945</v>
      </c>
      <c r="Q213" s="18">
        <v>45944</v>
      </c>
      <c r="R213" s="9">
        <v>19</v>
      </c>
      <c r="S213" s="8" t="s">
        <v>32</v>
      </c>
      <c r="T213" s="8" t="s">
        <v>392</v>
      </c>
      <c r="U213" s="8" t="s">
        <v>393</v>
      </c>
      <c r="V213" s="8" t="s">
        <v>35</v>
      </c>
      <c r="W213" s="19"/>
    </row>
    <row r="214" spans="1:23" x14ac:dyDescent="0.25">
      <c r="A214" s="8" t="s">
        <v>693</v>
      </c>
      <c r="B214" s="8" t="str">
        <f t="shared" si="3"/>
        <v>RUM2B4745944</v>
      </c>
      <c r="C214" s="9" t="s">
        <v>37</v>
      </c>
      <c r="D214" s="10">
        <v>181865</v>
      </c>
      <c r="E214" s="11" t="s">
        <v>115</v>
      </c>
      <c r="F214" s="12">
        <v>45898</v>
      </c>
      <c r="G214" s="13" t="s">
        <v>138</v>
      </c>
      <c r="H214" s="10" t="s">
        <v>27</v>
      </c>
      <c r="I214" s="14" t="s">
        <v>28</v>
      </c>
      <c r="J214" s="14" t="s">
        <v>29</v>
      </c>
      <c r="K214" s="15">
        <v>4980</v>
      </c>
      <c r="L214" s="15">
        <v>4850</v>
      </c>
      <c r="M214" s="16" t="s">
        <v>196</v>
      </c>
      <c r="N214" s="8" t="s">
        <v>30</v>
      </c>
      <c r="O214" s="8" t="s">
        <v>40</v>
      </c>
      <c r="P214" s="17">
        <v>45945</v>
      </c>
      <c r="Q214" s="18">
        <v>45944</v>
      </c>
      <c r="R214" s="9">
        <v>46</v>
      </c>
      <c r="S214" s="8" t="s">
        <v>32</v>
      </c>
      <c r="T214" s="8" t="s">
        <v>694</v>
      </c>
      <c r="U214" s="8" t="s">
        <v>636</v>
      </c>
      <c r="V214" s="8" t="s">
        <v>48</v>
      </c>
      <c r="W214" s="19"/>
    </row>
    <row r="215" spans="1:23" x14ac:dyDescent="0.25">
      <c r="A215" s="8" t="s">
        <v>243</v>
      </c>
      <c r="B215" s="8" t="str">
        <f t="shared" si="3"/>
        <v>SDT9F4445937</v>
      </c>
      <c r="C215" s="9" t="s">
        <v>50</v>
      </c>
      <c r="D215" s="10">
        <v>94172</v>
      </c>
      <c r="E215" s="11" t="s">
        <v>695</v>
      </c>
      <c r="F215" s="12">
        <v>45933</v>
      </c>
      <c r="G215" s="13" t="s">
        <v>39</v>
      </c>
      <c r="H215" s="10" t="s">
        <v>27</v>
      </c>
      <c r="I215" s="14" t="s">
        <v>28</v>
      </c>
      <c r="J215" s="14" t="s">
        <v>29</v>
      </c>
      <c r="K215" s="15"/>
      <c r="L215" s="15"/>
      <c r="M215" s="16" t="s">
        <v>560</v>
      </c>
      <c r="N215" s="8" t="s">
        <v>30</v>
      </c>
      <c r="O215" s="8" t="s">
        <v>40</v>
      </c>
      <c r="P215" s="17">
        <v>45944</v>
      </c>
      <c r="Q215" s="18">
        <v>45937</v>
      </c>
      <c r="R215" s="9">
        <v>4</v>
      </c>
      <c r="S215" s="8" t="s">
        <v>32</v>
      </c>
      <c r="T215" s="8" t="s">
        <v>89</v>
      </c>
      <c r="U215" s="8" t="s">
        <v>54</v>
      </c>
      <c r="V215" s="8" t="s">
        <v>320</v>
      </c>
      <c r="W215" s="19"/>
    </row>
    <row r="216" spans="1:23" x14ac:dyDescent="0.25">
      <c r="A216" s="8" t="s">
        <v>696</v>
      </c>
      <c r="B216" s="8" t="str">
        <f t="shared" si="3"/>
        <v>RTM6B6045943</v>
      </c>
      <c r="C216" s="9" t="s">
        <v>44</v>
      </c>
      <c r="D216" s="10">
        <v>111624</v>
      </c>
      <c r="E216" s="11" t="s">
        <v>697</v>
      </c>
      <c r="F216" s="12">
        <v>45924</v>
      </c>
      <c r="G216" s="13" t="s">
        <v>138</v>
      </c>
      <c r="H216" s="10" t="s">
        <v>27</v>
      </c>
      <c r="I216" s="14" t="s">
        <v>28</v>
      </c>
      <c r="J216" s="14" t="s">
        <v>29</v>
      </c>
      <c r="K216" s="15"/>
      <c r="L216" s="15"/>
      <c r="M216" s="16" t="s">
        <v>140</v>
      </c>
      <c r="N216" s="8" t="s">
        <v>30</v>
      </c>
      <c r="O216" s="8" t="s">
        <v>40</v>
      </c>
      <c r="P216" s="17">
        <v>45948</v>
      </c>
      <c r="Q216" s="18">
        <v>45943</v>
      </c>
      <c r="R216" s="9">
        <v>19</v>
      </c>
      <c r="S216" s="8" t="s">
        <v>32</v>
      </c>
      <c r="T216" s="8" t="s">
        <v>698</v>
      </c>
      <c r="U216" s="8" t="s">
        <v>34</v>
      </c>
      <c r="V216" s="8" t="s">
        <v>35</v>
      </c>
      <c r="W216" s="19"/>
    </row>
    <row r="217" spans="1:23" x14ac:dyDescent="0.25">
      <c r="A217" s="8" t="s">
        <v>699</v>
      </c>
      <c r="B217" s="8" t="str">
        <f t="shared" si="3"/>
        <v>RVH5G7345944</v>
      </c>
      <c r="C217" s="9" t="s">
        <v>505</v>
      </c>
      <c r="D217" s="10">
        <v>149919</v>
      </c>
      <c r="E217" s="11" t="s">
        <v>225</v>
      </c>
      <c r="F217" s="12">
        <v>45895</v>
      </c>
      <c r="G217" s="13" t="s">
        <v>39</v>
      </c>
      <c r="H217" s="10" t="s">
        <v>27</v>
      </c>
      <c r="I217" s="14" t="s">
        <v>28</v>
      </c>
      <c r="J217" s="14" t="s">
        <v>139</v>
      </c>
      <c r="K217" s="15"/>
      <c r="L217" s="15"/>
      <c r="M217" s="16" t="s">
        <v>560</v>
      </c>
      <c r="N217" s="8" t="s">
        <v>30</v>
      </c>
      <c r="O217" s="8" t="s">
        <v>40</v>
      </c>
      <c r="P217" s="17" t="s">
        <v>86</v>
      </c>
      <c r="Q217" s="18">
        <v>45944</v>
      </c>
      <c r="R217" s="9">
        <v>49</v>
      </c>
      <c r="S217" s="8" t="s">
        <v>32</v>
      </c>
      <c r="T217" s="8" t="s">
        <v>89</v>
      </c>
      <c r="U217" s="8" t="s">
        <v>54</v>
      </c>
      <c r="V217" s="8" t="s">
        <v>48</v>
      </c>
      <c r="W217" s="19"/>
    </row>
    <row r="218" spans="1:23" x14ac:dyDescent="0.25">
      <c r="A218" s="8" t="s">
        <v>679</v>
      </c>
      <c r="B218" s="8" t="str">
        <f t="shared" si="3"/>
        <v>RUV4G2645944</v>
      </c>
      <c r="C218" s="9" t="s">
        <v>680</v>
      </c>
      <c r="D218" s="10"/>
      <c r="E218" s="11" t="s">
        <v>700</v>
      </c>
      <c r="F218" s="12"/>
      <c r="G218" s="13" t="s">
        <v>701</v>
      </c>
      <c r="H218" s="10" t="s">
        <v>27</v>
      </c>
      <c r="I218" s="14" t="s">
        <v>28</v>
      </c>
      <c r="J218" s="14" t="s">
        <v>29</v>
      </c>
      <c r="K218" s="15"/>
      <c r="L218" s="15"/>
      <c r="M218" s="16" t="s">
        <v>682</v>
      </c>
      <c r="N218" s="8" t="s">
        <v>30</v>
      </c>
      <c r="O218" s="8" t="s">
        <v>40</v>
      </c>
      <c r="P218" s="17">
        <v>45944</v>
      </c>
      <c r="Q218" s="18">
        <v>45944</v>
      </c>
      <c r="R218" s="9">
        <v>45944</v>
      </c>
      <c r="S218" s="8" t="s">
        <v>32</v>
      </c>
      <c r="T218" s="8"/>
      <c r="U218" s="8"/>
      <c r="V218" s="8"/>
      <c r="W218" s="19"/>
    </row>
    <row r="219" spans="1:23" x14ac:dyDescent="0.25">
      <c r="A219" s="8" t="s">
        <v>435</v>
      </c>
      <c r="B219" s="8" t="str">
        <f t="shared" si="3"/>
        <v>RNJ9C9645944</v>
      </c>
      <c r="C219" s="9" t="s">
        <v>72</v>
      </c>
      <c r="D219" s="10">
        <v>141823</v>
      </c>
      <c r="E219" s="11"/>
      <c r="F219" s="12">
        <v>45943</v>
      </c>
      <c r="G219" s="13" t="s">
        <v>675</v>
      </c>
      <c r="H219" s="10" t="s">
        <v>27</v>
      </c>
      <c r="I219" s="14" t="s">
        <v>28</v>
      </c>
      <c r="J219" s="14" t="s">
        <v>29</v>
      </c>
      <c r="K219" s="15"/>
      <c r="L219" s="15"/>
      <c r="M219" s="16" t="s">
        <v>207</v>
      </c>
      <c r="N219" s="8" t="s">
        <v>30</v>
      </c>
      <c r="O219" s="8"/>
      <c r="P219" s="17"/>
      <c r="Q219" s="18">
        <v>45944</v>
      </c>
      <c r="R219" s="9">
        <v>1</v>
      </c>
      <c r="S219" s="8" t="s">
        <v>153</v>
      </c>
      <c r="T219" s="8"/>
      <c r="U219" s="8"/>
      <c r="V219" s="8"/>
      <c r="W219" s="19"/>
    </row>
    <row r="220" spans="1:23" x14ac:dyDescent="0.25">
      <c r="A220" s="8" t="s">
        <v>702</v>
      </c>
      <c r="B220" s="8" t="str">
        <f t="shared" si="3"/>
        <v>RTM6B7245944</v>
      </c>
      <c r="C220" s="9" t="s">
        <v>72</v>
      </c>
      <c r="D220" s="10">
        <v>74484</v>
      </c>
      <c r="E220" s="11" t="s">
        <v>703</v>
      </c>
      <c r="F220" s="12">
        <v>45933</v>
      </c>
      <c r="G220" s="13" t="s">
        <v>149</v>
      </c>
      <c r="H220" s="10" t="s">
        <v>27</v>
      </c>
      <c r="I220" s="14" t="s">
        <v>28</v>
      </c>
      <c r="J220" s="14" t="s">
        <v>29</v>
      </c>
      <c r="K220" s="15"/>
      <c r="L220" s="15"/>
      <c r="M220" s="16" t="s">
        <v>398</v>
      </c>
      <c r="N220" s="8" t="s">
        <v>30</v>
      </c>
      <c r="O220" s="8" t="s">
        <v>40</v>
      </c>
      <c r="P220" s="17">
        <v>45944</v>
      </c>
      <c r="Q220" s="18">
        <v>45944</v>
      </c>
      <c r="R220" s="9">
        <v>11</v>
      </c>
      <c r="S220" s="8" t="s">
        <v>32</v>
      </c>
      <c r="T220" s="8" t="s">
        <v>98</v>
      </c>
      <c r="U220" s="8" t="s">
        <v>275</v>
      </c>
      <c r="V220" s="8" t="s">
        <v>313</v>
      </c>
      <c r="W220" s="19"/>
    </row>
    <row r="221" spans="1:23" x14ac:dyDescent="0.25">
      <c r="A221" s="8" t="s">
        <v>704</v>
      </c>
      <c r="B221" s="8" t="str">
        <f t="shared" si="3"/>
        <v>RNB5I5045944</v>
      </c>
      <c r="C221" s="9" t="s">
        <v>72</v>
      </c>
      <c r="D221" s="10">
        <v>157167</v>
      </c>
      <c r="E221" s="11" t="s">
        <v>705</v>
      </c>
      <c r="F221" s="12">
        <v>45926</v>
      </c>
      <c r="G221" s="13" t="s">
        <v>138</v>
      </c>
      <c r="H221" s="10" t="s">
        <v>27</v>
      </c>
      <c r="I221" s="14" t="s">
        <v>28</v>
      </c>
      <c r="J221" s="14" t="s">
        <v>139</v>
      </c>
      <c r="K221" s="15"/>
      <c r="L221" s="15"/>
      <c r="M221" s="16" t="s">
        <v>140</v>
      </c>
      <c r="N221" s="8" t="s">
        <v>30</v>
      </c>
      <c r="O221" s="8" t="s">
        <v>40</v>
      </c>
      <c r="P221" s="17">
        <v>45944</v>
      </c>
      <c r="Q221" s="18">
        <v>45944</v>
      </c>
      <c r="R221" s="9">
        <v>18</v>
      </c>
      <c r="S221" s="8" t="s">
        <v>32</v>
      </c>
      <c r="T221" s="8" t="s">
        <v>98</v>
      </c>
      <c r="U221" s="8" t="s">
        <v>59</v>
      </c>
      <c r="V221" s="8" t="s">
        <v>35</v>
      </c>
      <c r="W221" s="19"/>
    </row>
    <row r="222" spans="1:23" x14ac:dyDescent="0.25">
      <c r="A222" s="8" t="s">
        <v>706</v>
      </c>
      <c r="B222" s="8" t="str">
        <f t="shared" si="3"/>
        <v>RUV4G2045944</v>
      </c>
      <c r="C222" s="9" t="s">
        <v>79</v>
      </c>
      <c r="D222" s="10" t="s">
        <v>383</v>
      </c>
      <c r="E222" s="11" t="s">
        <v>707</v>
      </c>
      <c r="F222" s="12">
        <v>45917</v>
      </c>
      <c r="G222" s="13" t="s">
        <v>92</v>
      </c>
      <c r="H222" s="10" t="s">
        <v>27</v>
      </c>
      <c r="I222" s="14" t="s">
        <v>28</v>
      </c>
      <c r="J222" s="14" t="s">
        <v>139</v>
      </c>
      <c r="K222" s="15"/>
      <c r="L222" s="15"/>
      <c r="M222" s="16" t="s">
        <v>682</v>
      </c>
      <c r="N222" s="8" t="s">
        <v>30</v>
      </c>
      <c r="O222" s="8" t="s">
        <v>40</v>
      </c>
      <c r="P222" s="17">
        <v>45950</v>
      </c>
      <c r="Q222" s="18">
        <v>45944</v>
      </c>
      <c r="R222" s="9">
        <v>27</v>
      </c>
      <c r="S222" s="8" t="s">
        <v>32</v>
      </c>
      <c r="T222" s="8" t="s">
        <v>684</v>
      </c>
      <c r="U222" s="8" t="s">
        <v>685</v>
      </c>
      <c r="V222" s="8" t="s">
        <v>320</v>
      </c>
      <c r="W222" s="19"/>
    </row>
    <row r="223" spans="1:23" x14ac:dyDescent="0.25">
      <c r="A223" s="8" t="s">
        <v>708</v>
      </c>
      <c r="B223" s="8" t="str">
        <f t="shared" si="3"/>
        <v>SGL4D1845944</v>
      </c>
      <c r="C223" s="9" t="s">
        <v>96</v>
      </c>
      <c r="D223" s="10" t="s">
        <v>709</v>
      </c>
      <c r="E223" s="11" t="s">
        <v>710</v>
      </c>
      <c r="F223" s="12">
        <v>45931</v>
      </c>
      <c r="G223" s="13" t="s">
        <v>226</v>
      </c>
      <c r="H223" s="10" t="s">
        <v>27</v>
      </c>
      <c r="I223" s="14" t="s">
        <v>28</v>
      </c>
      <c r="J223" s="14" t="s">
        <v>139</v>
      </c>
      <c r="K223" s="15"/>
      <c r="L223" s="15"/>
      <c r="M223" s="16" t="s">
        <v>227</v>
      </c>
      <c r="N223" s="8" t="s">
        <v>228</v>
      </c>
      <c r="O223" s="8" t="s">
        <v>40</v>
      </c>
      <c r="P223" s="17" t="s">
        <v>86</v>
      </c>
      <c r="Q223" s="18">
        <v>45944</v>
      </c>
      <c r="R223" s="9">
        <v>13</v>
      </c>
      <c r="S223" s="8" t="s">
        <v>32</v>
      </c>
      <c r="T223" s="8" t="s">
        <v>711</v>
      </c>
      <c r="U223" s="8" t="s">
        <v>486</v>
      </c>
      <c r="V223" s="8" t="s">
        <v>320</v>
      </c>
      <c r="W223" s="19"/>
    </row>
    <row r="224" spans="1:23" x14ac:dyDescent="0.25">
      <c r="A224" s="8" t="s">
        <v>712</v>
      </c>
      <c r="B224" s="8" t="str">
        <f t="shared" si="3"/>
        <v>RVD8H7945944</v>
      </c>
      <c r="C224" s="9" t="s">
        <v>37</v>
      </c>
      <c r="D224" s="10">
        <v>200000</v>
      </c>
      <c r="E224" s="11" t="s">
        <v>713</v>
      </c>
      <c r="F224" s="12">
        <v>45943</v>
      </c>
      <c r="G224" s="13" t="s">
        <v>138</v>
      </c>
      <c r="H224" s="10" t="s">
        <v>27</v>
      </c>
      <c r="I224" s="14" t="s">
        <v>28</v>
      </c>
      <c r="J224" s="14" t="s">
        <v>139</v>
      </c>
      <c r="K224" s="15"/>
      <c r="L224" s="15"/>
      <c r="M224" s="16" t="s">
        <v>196</v>
      </c>
      <c r="N224" s="8" t="s">
        <v>30</v>
      </c>
      <c r="O224" s="8" t="s">
        <v>40</v>
      </c>
      <c r="P224" s="17">
        <v>45944</v>
      </c>
      <c r="Q224" s="18">
        <v>45944</v>
      </c>
      <c r="R224" s="9">
        <v>1</v>
      </c>
      <c r="S224" s="8" t="s">
        <v>153</v>
      </c>
      <c r="T224" s="8" t="s">
        <v>714</v>
      </c>
      <c r="U224" s="8" t="s">
        <v>636</v>
      </c>
      <c r="V224" s="8" t="s">
        <v>320</v>
      </c>
      <c r="W224" s="19"/>
    </row>
    <row r="225" spans="1:23" x14ac:dyDescent="0.25">
      <c r="A225" s="8" t="s">
        <v>715</v>
      </c>
      <c r="B225" s="8" t="str">
        <f t="shared" si="3"/>
        <v>RUL7F4145944</v>
      </c>
      <c r="C225" s="9" t="s">
        <v>37</v>
      </c>
      <c r="D225" s="10">
        <v>65156</v>
      </c>
      <c r="E225" s="11" t="s">
        <v>716</v>
      </c>
      <c r="F225" s="12">
        <v>45936</v>
      </c>
      <c r="G225" s="13" t="s">
        <v>138</v>
      </c>
      <c r="H225" s="10" t="s">
        <v>27</v>
      </c>
      <c r="I225" s="14" t="s">
        <v>28</v>
      </c>
      <c r="J225" s="14" t="s">
        <v>29</v>
      </c>
      <c r="K225" s="15">
        <v>1530</v>
      </c>
      <c r="L225" s="15"/>
      <c r="M225" s="16" t="s">
        <v>196</v>
      </c>
      <c r="N225" s="8" t="s">
        <v>30</v>
      </c>
      <c r="O225" s="8" t="s">
        <v>40</v>
      </c>
      <c r="P225" s="17">
        <v>45945</v>
      </c>
      <c r="Q225" s="18">
        <v>45944</v>
      </c>
      <c r="R225" s="9">
        <v>8</v>
      </c>
      <c r="S225" s="8" t="s">
        <v>32</v>
      </c>
      <c r="T225" s="8" t="s">
        <v>714</v>
      </c>
      <c r="U225" s="8" t="s">
        <v>636</v>
      </c>
      <c r="V225" s="8" t="s">
        <v>320</v>
      </c>
      <c r="W225" s="19"/>
    </row>
    <row r="226" spans="1:23" x14ac:dyDescent="0.25">
      <c r="A226" s="8" t="s">
        <v>717</v>
      </c>
      <c r="B226" s="8" t="str">
        <f t="shared" si="3"/>
        <v>GDS2B6445944</v>
      </c>
      <c r="C226" s="9" t="s">
        <v>718</v>
      </c>
      <c r="D226" s="10" t="s">
        <v>383</v>
      </c>
      <c r="E226" s="11" t="s">
        <v>719</v>
      </c>
      <c r="F226" s="12">
        <v>45917</v>
      </c>
      <c r="G226" s="13" t="s">
        <v>92</v>
      </c>
      <c r="H226" s="10" t="s">
        <v>27</v>
      </c>
      <c r="I226" s="14" t="s">
        <v>28</v>
      </c>
      <c r="J226" s="14" t="s">
        <v>139</v>
      </c>
      <c r="K226" s="15"/>
      <c r="L226" s="15"/>
      <c r="M226" s="16" t="s">
        <v>605</v>
      </c>
      <c r="N226" s="8" t="s">
        <v>30</v>
      </c>
      <c r="O226" s="8" t="s">
        <v>40</v>
      </c>
      <c r="P226" s="17">
        <v>45947</v>
      </c>
      <c r="Q226" s="18">
        <v>45944</v>
      </c>
      <c r="R226" s="9">
        <v>27</v>
      </c>
      <c r="S226" s="8" t="s">
        <v>32</v>
      </c>
      <c r="T226" s="8" t="s">
        <v>720</v>
      </c>
      <c r="U226" s="8" t="s">
        <v>721</v>
      </c>
      <c r="V226" s="8" t="s">
        <v>320</v>
      </c>
      <c r="W226" s="19"/>
    </row>
    <row r="227" spans="1:23" x14ac:dyDescent="0.25">
      <c r="A227" s="8" t="s">
        <v>722</v>
      </c>
      <c r="B227" s="8" t="str">
        <f t="shared" si="3"/>
        <v>SGF9B7845938</v>
      </c>
      <c r="C227" s="9" t="s">
        <v>157</v>
      </c>
      <c r="D227" s="10">
        <v>412790</v>
      </c>
      <c r="E227" s="11" t="s">
        <v>300</v>
      </c>
      <c r="F227" s="12">
        <v>45932</v>
      </c>
      <c r="G227" s="13" t="s">
        <v>123</v>
      </c>
      <c r="H227" s="10" t="s">
        <v>27</v>
      </c>
      <c r="I227" s="14" t="s">
        <v>28</v>
      </c>
      <c r="J227" s="14" t="s">
        <v>139</v>
      </c>
      <c r="K227" s="15"/>
      <c r="L227" s="15"/>
      <c r="M227" s="16" t="s">
        <v>374</v>
      </c>
      <c r="N227" s="8" t="s">
        <v>30</v>
      </c>
      <c r="O227" s="8" t="s">
        <v>40</v>
      </c>
      <c r="P227" s="17">
        <v>45938</v>
      </c>
      <c r="Q227" s="18">
        <v>45938</v>
      </c>
      <c r="R227" s="9">
        <v>6</v>
      </c>
      <c r="S227" s="8" t="s">
        <v>32</v>
      </c>
      <c r="T227" s="8" t="s">
        <v>723</v>
      </c>
      <c r="U227" s="8" t="s">
        <v>393</v>
      </c>
      <c r="V227" s="8" t="s">
        <v>320</v>
      </c>
      <c r="W227" s="19"/>
    </row>
    <row r="228" spans="1:23" x14ac:dyDescent="0.25">
      <c r="A228" s="8" t="s">
        <v>724</v>
      </c>
      <c r="B228" s="8" t="str">
        <f t="shared" si="3"/>
        <v>RVD4D1945940</v>
      </c>
      <c r="C228" s="9" t="s">
        <v>79</v>
      </c>
      <c r="D228" s="10">
        <v>76502</v>
      </c>
      <c r="E228" s="11" t="s">
        <v>725</v>
      </c>
      <c r="F228" s="12">
        <v>45820</v>
      </c>
      <c r="G228" s="13" t="s">
        <v>92</v>
      </c>
      <c r="H228" s="10" t="s">
        <v>27</v>
      </c>
      <c r="I228" s="14" t="s">
        <v>28</v>
      </c>
      <c r="J228" s="14" t="s">
        <v>29</v>
      </c>
      <c r="K228" s="15"/>
      <c r="L228" s="15">
        <v>1090</v>
      </c>
      <c r="M228" s="16" t="s">
        <v>605</v>
      </c>
      <c r="N228" s="8" t="s">
        <v>30</v>
      </c>
      <c r="O228" s="8"/>
      <c r="P228" s="17">
        <v>45950</v>
      </c>
      <c r="Q228" s="18">
        <v>45940</v>
      </c>
      <c r="R228" s="9">
        <v>120</v>
      </c>
      <c r="S228" s="8" t="s">
        <v>32</v>
      </c>
      <c r="T228" s="8" t="s">
        <v>726</v>
      </c>
      <c r="U228" s="8" t="s">
        <v>130</v>
      </c>
      <c r="V228" s="8" t="s">
        <v>135</v>
      </c>
      <c r="W228" s="19"/>
    </row>
    <row r="229" spans="1:23" x14ac:dyDescent="0.25">
      <c r="A229" s="8" t="s">
        <v>727</v>
      </c>
      <c r="B229" s="8" t="str">
        <f t="shared" si="3"/>
        <v>SDQ2J2345945</v>
      </c>
      <c r="C229" s="9" t="s">
        <v>127</v>
      </c>
      <c r="D229" s="10">
        <v>63383</v>
      </c>
      <c r="E229" s="11" t="s">
        <v>728</v>
      </c>
      <c r="F229" s="12">
        <v>45916</v>
      </c>
      <c r="G229" s="13" t="s">
        <v>92</v>
      </c>
      <c r="H229" s="10" t="s">
        <v>27</v>
      </c>
      <c r="I229" s="14" t="s">
        <v>28</v>
      </c>
      <c r="J229" s="14" t="s">
        <v>29</v>
      </c>
      <c r="K229" s="15"/>
      <c r="L229" s="15"/>
      <c r="M229" s="16" t="s">
        <v>605</v>
      </c>
      <c r="N229" s="8" t="s">
        <v>30</v>
      </c>
      <c r="O229" s="8"/>
      <c r="P229" s="17">
        <v>45950</v>
      </c>
      <c r="Q229" s="18">
        <v>45945</v>
      </c>
      <c r="R229" s="9">
        <v>29</v>
      </c>
      <c r="S229" s="8" t="s">
        <v>32</v>
      </c>
      <c r="T229" s="8" t="s">
        <v>729</v>
      </c>
      <c r="U229" s="8" t="s">
        <v>130</v>
      </c>
      <c r="V229" s="8" t="s">
        <v>35</v>
      </c>
      <c r="W229" s="19"/>
    </row>
    <row r="230" spans="1:23" x14ac:dyDescent="0.25">
      <c r="A230" s="8" t="s">
        <v>730</v>
      </c>
      <c r="B230" s="8" t="str">
        <f t="shared" si="3"/>
        <v>RVD4D3745945</v>
      </c>
      <c r="C230" s="9" t="s">
        <v>79</v>
      </c>
      <c r="D230" s="10" t="s">
        <v>383</v>
      </c>
      <c r="E230" s="11" t="s">
        <v>731</v>
      </c>
      <c r="F230" s="12">
        <v>45907</v>
      </c>
      <c r="G230" s="13" t="s">
        <v>92</v>
      </c>
      <c r="H230" s="10" t="s">
        <v>27</v>
      </c>
      <c r="I230" s="14" t="s">
        <v>28</v>
      </c>
      <c r="J230" s="14" t="s">
        <v>29</v>
      </c>
      <c r="K230" s="15">
        <v>450</v>
      </c>
      <c r="L230" s="15">
        <v>450</v>
      </c>
      <c r="M230" s="16" t="s">
        <v>605</v>
      </c>
      <c r="N230" s="8" t="s">
        <v>30</v>
      </c>
      <c r="O230" s="8"/>
      <c r="P230" s="17">
        <v>45945</v>
      </c>
      <c r="Q230" s="18">
        <v>45945</v>
      </c>
      <c r="R230" s="9">
        <v>38</v>
      </c>
      <c r="S230" s="8" t="s">
        <v>32</v>
      </c>
      <c r="T230" s="8" t="s">
        <v>726</v>
      </c>
      <c r="U230" s="8" t="s">
        <v>721</v>
      </c>
      <c r="V230" s="8" t="s">
        <v>320</v>
      </c>
      <c r="W230" s="19"/>
    </row>
    <row r="231" spans="1:23" x14ac:dyDescent="0.25">
      <c r="A231" s="8" t="s">
        <v>732</v>
      </c>
      <c r="B231" s="8" t="str">
        <f t="shared" si="3"/>
        <v>SEF1D9645945</v>
      </c>
      <c r="C231" s="9" t="s">
        <v>50</v>
      </c>
      <c r="D231" s="10">
        <v>75643</v>
      </c>
      <c r="E231" s="11" t="s">
        <v>733</v>
      </c>
      <c r="F231" s="12">
        <v>45887</v>
      </c>
      <c r="G231" s="13" t="s">
        <v>92</v>
      </c>
      <c r="H231" s="10" t="s">
        <v>27</v>
      </c>
      <c r="I231" s="14" t="s">
        <v>28</v>
      </c>
      <c r="J231" s="14" t="s">
        <v>29</v>
      </c>
      <c r="K231" s="15"/>
      <c r="L231" s="15"/>
      <c r="M231" s="16" t="s">
        <v>605</v>
      </c>
      <c r="N231" s="8" t="s">
        <v>30</v>
      </c>
      <c r="O231" s="8" t="s">
        <v>388</v>
      </c>
      <c r="P231" s="17">
        <v>45946</v>
      </c>
      <c r="Q231" s="18">
        <v>45945</v>
      </c>
      <c r="R231" s="9">
        <v>58</v>
      </c>
      <c r="S231" s="8" t="s">
        <v>32</v>
      </c>
      <c r="T231" s="8" t="s">
        <v>734</v>
      </c>
      <c r="U231" s="8" t="s">
        <v>130</v>
      </c>
      <c r="V231" s="8" t="s">
        <v>48</v>
      </c>
      <c r="W231" s="19"/>
    </row>
    <row r="232" spans="1:23" x14ac:dyDescent="0.25">
      <c r="A232" s="8" t="s">
        <v>735</v>
      </c>
      <c r="B232" s="8" t="str">
        <f t="shared" si="3"/>
        <v>RVD4D2245931</v>
      </c>
      <c r="C232" s="9" t="s">
        <v>37</v>
      </c>
      <c r="D232" s="10">
        <v>135375</v>
      </c>
      <c r="E232" s="11" t="s">
        <v>725</v>
      </c>
      <c r="F232" s="12">
        <v>45926</v>
      </c>
      <c r="G232" s="13" t="s">
        <v>92</v>
      </c>
      <c r="H232" s="10" t="s">
        <v>27</v>
      </c>
      <c r="I232" s="14" t="s">
        <v>28</v>
      </c>
      <c r="J232" s="14" t="s">
        <v>139</v>
      </c>
      <c r="K232" s="15"/>
      <c r="L232" s="15"/>
      <c r="M232" s="16" t="s">
        <v>605</v>
      </c>
      <c r="N232" s="8" t="s">
        <v>30</v>
      </c>
      <c r="O232" s="8"/>
      <c r="P232" s="17" t="s">
        <v>567</v>
      </c>
      <c r="Q232" s="18">
        <v>45931</v>
      </c>
      <c r="R232" s="9">
        <v>5</v>
      </c>
      <c r="S232" s="8" t="s">
        <v>32</v>
      </c>
      <c r="T232" s="8" t="s">
        <v>726</v>
      </c>
      <c r="U232" s="8" t="s">
        <v>736</v>
      </c>
      <c r="V232" s="8" t="s">
        <v>35</v>
      </c>
      <c r="W232" s="19"/>
    </row>
    <row r="233" spans="1:23" x14ac:dyDescent="0.25">
      <c r="A233" s="8" t="s">
        <v>737</v>
      </c>
      <c r="B233" s="8" t="str">
        <f t="shared" si="3"/>
        <v>JCJ0D3945945</v>
      </c>
      <c r="C233" s="9" t="s">
        <v>24</v>
      </c>
      <c r="D233" s="10"/>
      <c r="E233" s="11" t="s">
        <v>738</v>
      </c>
      <c r="F233" s="12">
        <v>45945</v>
      </c>
      <c r="G233" s="13" t="s">
        <v>123</v>
      </c>
      <c r="H233" s="10" t="s">
        <v>27</v>
      </c>
      <c r="I233" s="14" t="s">
        <v>176</v>
      </c>
      <c r="J233" s="14" t="s">
        <v>29</v>
      </c>
      <c r="K233" s="15">
        <v>858</v>
      </c>
      <c r="L233" s="15">
        <v>830</v>
      </c>
      <c r="M233" s="16" t="s">
        <v>237</v>
      </c>
      <c r="N233" s="8" t="s">
        <v>30</v>
      </c>
      <c r="O233" s="8" t="s">
        <v>40</v>
      </c>
      <c r="P233" s="17">
        <v>45945</v>
      </c>
      <c r="Q233" s="18">
        <v>45945</v>
      </c>
      <c r="R233" s="9">
        <v>0</v>
      </c>
      <c r="S233" s="8" t="s">
        <v>153</v>
      </c>
      <c r="T233" s="8" t="s">
        <v>41</v>
      </c>
      <c r="U233" s="8" t="s">
        <v>42</v>
      </c>
      <c r="V233" s="8"/>
      <c r="W233" s="19"/>
    </row>
    <row r="234" spans="1:23" x14ac:dyDescent="0.25">
      <c r="A234" s="8" t="s">
        <v>739</v>
      </c>
      <c r="B234" s="8" t="str">
        <f t="shared" si="3"/>
        <v>SGI8I5045945</v>
      </c>
      <c r="C234" s="9" t="s">
        <v>96</v>
      </c>
      <c r="D234" s="10">
        <v>62364</v>
      </c>
      <c r="E234" s="11" t="s">
        <v>740</v>
      </c>
      <c r="F234" s="12">
        <v>45933</v>
      </c>
      <c r="G234" s="13" t="s">
        <v>123</v>
      </c>
      <c r="H234" s="10" t="s">
        <v>27</v>
      </c>
      <c r="I234" s="14" t="s">
        <v>28</v>
      </c>
      <c r="J234" s="14" t="s">
        <v>29</v>
      </c>
      <c r="K234" s="15"/>
      <c r="L234" s="15"/>
      <c r="M234" s="16" t="s">
        <v>638</v>
      </c>
      <c r="N234" s="8" t="s">
        <v>30</v>
      </c>
      <c r="O234" s="8" t="s">
        <v>40</v>
      </c>
      <c r="P234" s="17">
        <v>45945</v>
      </c>
      <c r="Q234" s="18">
        <v>45945</v>
      </c>
      <c r="R234" s="9">
        <v>12</v>
      </c>
      <c r="S234" s="8" t="s">
        <v>32</v>
      </c>
      <c r="T234" s="8" t="s">
        <v>711</v>
      </c>
      <c r="U234" s="8" t="s">
        <v>94</v>
      </c>
      <c r="V234" s="8" t="s">
        <v>320</v>
      </c>
      <c r="W234" s="19"/>
    </row>
    <row r="235" spans="1:23" x14ac:dyDescent="0.25">
      <c r="A235" s="8" t="s">
        <v>741</v>
      </c>
      <c r="B235" s="8" t="str">
        <f t="shared" si="3"/>
        <v>RNH7H5845945</v>
      </c>
      <c r="C235" s="9" t="s">
        <v>24</v>
      </c>
      <c r="D235" s="10"/>
      <c r="E235" s="11" t="s">
        <v>742</v>
      </c>
      <c r="F235" s="12">
        <v>45944</v>
      </c>
      <c r="G235" s="13" t="s">
        <v>743</v>
      </c>
      <c r="H235" s="10" t="s">
        <v>27</v>
      </c>
      <c r="I235" s="14" t="s">
        <v>176</v>
      </c>
      <c r="J235" s="14" t="s">
        <v>139</v>
      </c>
      <c r="K235" s="15" t="s">
        <v>744</v>
      </c>
      <c r="L235" s="15"/>
      <c r="M235" s="16" t="s">
        <v>745</v>
      </c>
      <c r="N235" s="8" t="s">
        <v>180</v>
      </c>
      <c r="O235" s="8" t="s">
        <v>40</v>
      </c>
      <c r="P235" s="17" t="s">
        <v>86</v>
      </c>
      <c r="Q235" s="18">
        <v>45945</v>
      </c>
      <c r="R235" s="9">
        <v>1</v>
      </c>
      <c r="S235" s="8" t="s">
        <v>153</v>
      </c>
      <c r="T235" s="8"/>
      <c r="U235" s="8" t="s">
        <v>63</v>
      </c>
      <c r="V235" s="8" t="s">
        <v>320</v>
      </c>
      <c r="W235" s="19"/>
    </row>
    <row r="236" spans="1:23" x14ac:dyDescent="0.25">
      <c r="A236" s="8" t="s">
        <v>439</v>
      </c>
      <c r="B236" s="8" t="str">
        <f t="shared" si="3"/>
        <v>SGI8I3645945</v>
      </c>
      <c r="C236" s="9" t="s">
        <v>96</v>
      </c>
      <c r="D236" s="10">
        <v>25372</v>
      </c>
      <c r="E236" s="11" t="s">
        <v>746</v>
      </c>
      <c r="F236" s="12">
        <v>45894</v>
      </c>
      <c r="G236" s="13" t="s">
        <v>39</v>
      </c>
      <c r="H236" s="10" t="s">
        <v>27</v>
      </c>
      <c r="I236" s="14" t="s">
        <v>28</v>
      </c>
      <c r="J236" s="14" t="s">
        <v>29</v>
      </c>
      <c r="K236" s="15"/>
      <c r="L236" s="15"/>
      <c r="M236" s="16" t="s">
        <v>240</v>
      </c>
      <c r="N236" s="8" t="s">
        <v>30</v>
      </c>
      <c r="O236" s="8" t="s">
        <v>40</v>
      </c>
      <c r="P236" s="17" t="s">
        <v>86</v>
      </c>
      <c r="Q236" s="18">
        <v>45945</v>
      </c>
      <c r="R236" s="9">
        <v>51</v>
      </c>
      <c r="S236" s="8" t="s">
        <v>32</v>
      </c>
      <c r="T236" s="8" t="s">
        <v>747</v>
      </c>
      <c r="U236" s="8" t="s">
        <v>248</v>
      </c>
      <c r="V236" s="8" t="s">
        <v>320</v>
      </c>
      <c r="W236" s="19"/>
    </row>
    <row r="237" spans="1:23" x14ac:dyDescent="0.25">
      <c r="A237" s="8" t="s">
        <v>748</v>
      </c>
      <c r="B237" s="8" t="str">
        <f t="shared" si="3"/>
        <v>SFV0D5345945</v>
      </c>
      <c r="C237" s="9" t="s">
        <v>96</v>
      </c>
      <c r="D237" s="10">
        <v>35634</v>
      </c>
      <c r="E237" s="11" t="s">
        <v>749</v>
      </c>
      <c r="F237" s="12">
        <v>45895</v>
      </c>
      <c r="G237" s="13" t="s">
        <v>39</v>
      </c>
      <c r="H237" s="10" t="s">
        <v>27</v>
      </c>
      <c r="I237" s="14" t="s">
        <v>28</v>
      </c>
      <c r="J237" s="14" t="s">
        <v>139</v>
      </c>
      <c r="K237" s="15"/>
      <c r="L237" s="15"/>
      <c r="M237" s="16" t="s">
        <v>424</v>
      </c>
      <c r="N237" s="8" t="s">
        <v>30</v>
      </c>
      <c r="O237" s="8" t="s">
        <v>40</v>
      </c>
      <c r="P237" s="17" t="s">
        <v>86</v>
      </c>
      <c r="Q237" s="18">
        <v>45945</v>
      </c>
      <c r="R237" s="9">
        <v>50</v>
      </c>
      <c r="S237" s="8" t="s">
        <v>32</v>
      </c>
      <c r="T237" s="8" t="s">
        <v>159</v>
      </c>
      <c r="U237" s="8" t="s">
        <v>632</v>
      </c>
      <c r="V237" s="8" t="s">
        <v>320</v>
      </c>
      <c r="W237" s="19"/>
    </row>
    <row r="238" spans="1:23" x14ac:dyDescent="0.25">
      <c r="A238" s="8" t="s">
        <v>750</v>
      </c>
      <c r="B238" s="8" t="str">
        <f t="shared" si="3"/>
        <v>SGL2C8945945</v>
      </c>
      <c r="C238" s="9" t="s">
        <v>96</v>
      </c>
      <c r="D238" s="10">
        <v>58551</v>
      </c>
      <c r="E238" s="11" t="s">
        <v>751</v>
      </c>
      <c r="F238" s="12">
        <v>45944</v>
      </c>
      <c r="G238" s="13" t="s">
        <v>39</v>
      </c>
      <c r="H238" s="10" t="s">
        <v>27</v>
      </c>
      <c r="I238" s="14" t="s">
        <v>28</v>
      </c>
      <c r="J238" s="14" t="s">
        <v>139</v>
      </c>
      <c r="K238" s="15"/>
      <c r="L238" s="15"/>
      <c r="M238" s="16" t="s">
        <v>752</v>
      </c>
      <c r="N238" s="8" t="s">
        <v>172</v>
      </c>
      <c r="O238" s="8" t="s">
        <v>40</v>
      </c>
      <c r="P238" s="17" t="s">
        <v>86</v>
      </c>
      <c r="Q238" s="18">
        <v>45945</v>
      </c>
      <c r="R238" s="9">
        <v>1</v>
      </c>
      <c r="S238" s="8" t="s">
        <v>153</v>
      </c>
      <c r="T238" s="8" t="s">
        <v>753</v>
      </c>
      <c r="U238" s="8" t="s">
        <v>754</v>
      </c>
      <c r="V238" s="8" t="s">
        <v>320</v>
      </c>
      <c r="W238" s="19"/>
    </row>
    <row r="239" spans="1:23" x14ac:dyDescent="0.25">
      <c r="A239" s="8" t="s">
        <v>755</v>
      </c>
      <c r="B239" s="8" t="str">
        <f t="shared" si="3"/>
        <v>RVH3F3645945</v>
      </c>
      <c r="C239" s="9" t="s">
        <v>505</v>
      </c>
      <c r="D239" s="10">
        <v>117730</v>
      </c>
      <c r="E239" s="11" t="s">
        <v>756</v>
      </c>
      <c r="F239" s="12">
        <v>45945</v>
      </c>
      <c r="G239" s="13" t="s">
        <v>184</v>
      </c>
      <c r="H239" s="10" t="s">
        <v>27</v>
      </c>
      <c r="I239" s="14" t="s">
        <v>28</v>
      </c>
      <c r="J239" s="14" t="s">
        <v>29</v>
      </c>
      <c r="K239" s="15">
        <v>456</v>
      </c>
      <c r="L239" s="15">
        <v>456</v>
      </c>
      <c r="M239" s="16" t="s">
        <v>757</v>
      </c>
      <c r="N239" s="8" t="s">
        <v>30</v>
      </c>
      <c r="O239" s="8" t="s">
        <v>40</v>
      </c>
      <c r="P239" s="17">
        <v>45945</v>
      </c>
      <c r="Q239" s="18">
        <v>45945</v>
      </c>
      <c r="R239" s="9">
        <v>0</v>
      </c>
      <c r="S239" s="8" t="s">
        <v>153</v>
      </c>
      <c r="T239" s="8" t="s">
        <v>535</v>
      </c>
      <c r="U239" s="8" t="s">
        <v>188</v>
      </c>
      <c r="V239" s="8" t="s">
        <v>320</v>
      </c>
      <c r="W239" s="19"/>
    </row>
    <row r="240" spans="1:23" x14ac:dyDescent="0.25">
      <c r="A240" s="8" t="s">
        <v>758</v>
      </c>
      <c r="B240" s="8" t="str">
        <f t="shared" si="3"/>
        <v>STG9C0945946</v>
      </c>
      <c r="C240" s="9" t="s">
        <v>44</v>
      </c>
      <c r="D240" s="10">
        <v>47828</v>
      </c>
      <c r="E240" s="11" t="s">
        <v>759</v>
      </c>
      <c r="F240" s="12">
        <v>45763</v>
      </c>
      <c r="G240" s="13" t="s">
        <v>760</v>
      </c>
      <c r="H240" s="10" t="s">
        <v>52</v>
      </c>
      <c r="I240" s="14" t="s">
        <v>28</v>
      </c>
      <c r="J240" s="14" t="s">
        <v>29</v>
      </c>
      <c r="K240" s="15">
        <v>25000</v>
      </c>
      <c r="L240" s="15">
        <v>25000</v>
      </c>
      <c r="M240" s="16" t="s">
        <v>761</v>
      </c>
      <c r="N240" s="8" t="s">
        <v>30</v>
      </c>
      <c r="O240" s="8" t="s">
        <v>52</v>
      </c>
      <c r="P240" s="17">
        <v>45946</v>
      </c>
      <c r="Q240" s="18">
        <v>45946</v>
      </c>
      <c r="R240" s="9">
        <v>183</v>
      </c>
      <c r="S240" s="8" t="s">
        <v>32</v>
      </c>
      <c r="T240" s="8" t="s">
        <v>74</v>
      </c>
      <c r="U240" s="8" t="s">
        <v>762</v>
      </c>
      <c r="V240" s="8" t="s">
        <v>473</v>
      </c>
      <c r="W240" s="19"/>
    </row>
    <row r="241" spans="1:23" x14ac:dyDescent="0.25">
      <c r="A241" s="8" t="s">
        <v>763</v>
      </c>
      <c r="B241" s="8" t="str">
        <f t="shared" si="3"/>
        <v>SGH6H6845946</v>
      </c>
      <c r="C241" s="9" t="s">
        <v>96</v>
      </c>
      <c r="D241" s="10">
        <v>39443</v>
      </c>
      <c r="E241" s="11" t="s">
        <v>764</v>
      </c>
      <c r="F241" s="12">
        <v>45943</v>
      </c>
      <c r="G241" s="13" t="s">
        <v>39</v>
      </c>
      <c r="H241" s="10" t="s">
        <v>27</v>
      </c>
      <c r="I241" s="14" t="s">
        <v>28</v>
      </c>
      <c r="J241" s="14" t="s">
        <v>29</v>
      </c>
      <c r="K241" s="15" t="s">
        <v>765</v>
      </c>
      <c r="L241" s="15"/>
      <c r="M241" s="16" t="s">
        <v>766</v>
      </c>
      <c r="N241" s="8" t="s">
        <v>30</v>
      </c>
      <c r="O241" s="8" t="s">
        <v>40</v>
      </c>
      <c r="P241" s="17">
        <v>45947</v>
      </c>
      <c r="Q241" s="18">
        <v>45946</v>
      </c>
      <c r="R241" s="9">
        <v>3</v>
      </c>
      <c r="S241" s="8" t="s">
        <v>32</v>
      </c>
      <c r="T241" s="8" t="s">
        <v>669</v>
      </c>
      <c r="U241" s="8" t="s">
        <v>279</v>
      </c>
      <c r="V241" s="8" t="s">
        <v>320</v>
      </c>
      <c r="W241" s="19"/>
    </row>
    <row r="242" spans="1:23" x14ac:dyDescent="0.25">
      <c r="A242" s="8" t="s">
        <v>767</v>
      </c>
      <c r="B242" s="8" t="str">
        <f t="shared" si="3"/>
        <v>SGH8C3845946</v>
      </c>
      <c r="C242" s="9" t="s">
        <v>96</v>
      </c>
      <c r="D242" s="10">
        <v>54722</v>
      </c>
      <c r="E242" s="11" t="s">
        <v>768</v>
      </c>
      <c r="F242" s="12">
        <v>45943</v>
      </c>
      <c r="G242" s="13" t="s">
        <v>39</v>
      </c>
      <c r="H242" s="10" t="s">
        <v>27</v>
      </c>
      <c r="I242" s="14" t="s">
        <v>28</v>
      </c>
      <c r="J242" s="14" t="s">
        <v>29</v>
      </c>
      <c r="K242" s="15"/>
      <c r="L242" s="15"/>
      <c r="M242" s="16" t="s">
        <v>354</v>
      </c>
      <c r="N242" s="8" t="s">
        <v>30</v>
      </c>
      <c r="O242" s="8" t="s">
        <v>40</v>
      </c>
      <c r="P242" s="17" t="s">
        <v>86</v>
      </c>
      <c r="Q242" s="18">
        <v>45946</v>
      </c>
      <c r="R242" s="9">
        <v>3</v>
      </c>
      <c r="S242" s="8" t="s">
        <v>32</v>
      </c>
      <c r="T242" s="8" t="s">
        <v>669</v>
      </c>
      <c r="U242" s="8" t="s">
        <v>279</v>
      </c>
      <c r="V242" s="8" t="s">
        <v>320</v>
      </c>
      <c r="W242" s="19"/>
    </row>
    <row r="243" spans="1:23" x14ac:dyDescent="0.25">
      <c r="A243" s="8" t="s">
        <v>769</v>
      </c>
      <c r="B243" s="8" t="str">
        <f t="shared" si="3"/>
        <v>SSV2H0745946</v>
      </c>
      <c r="C243" s="9" t="s">
        <v>44</v>
      </c>
      <c r="D243" s="10">
        <v>106707</v>
      </c>
      <c r="E243" s="11" t="s">
        <v>236</v>
      </c>
      <c r="F243" s="12">
        <v>45944</v>
      </c>
      <c r="G243" s="13" t="s">
        <v>138</v>
      </c>
      <c r="H243" s="10" t="s">
        <v>27</v>
      </c>
      <c r="I243" s="14" t="s">
        <v>28</v>
      </c>
      <c r="J243" s="14" t="s">
        <v>139</v>
      </c>
      <c r="K243" s="15"/>
      <c r="L243" s="15"/>
      <c r="M243" s="16" t="s">
        <v>200</v>
      </c>
      <c r="N243" s="8" t="s">
        <v>30</v>
      </c>
      <c r="O243" s="8" t="s">
        <v>40</v>
      </c>
      <c r="P243" s="17" t="s">
        <v>86</v>
      </c>
      <c r="Q243" s="18">
        <v>45946</v>
      </c>
      <c r="R243" s="9">
        <v>2</v>
      </c>
      <c r="S243" s="8" t="s">
        <v>153</v>
      </c>
      <c r="T243" s="8" t="s">
        <v>98</v>
      </c>
      <c r="U243" s="8" t="s">
        <v>500</v>
      </c>
      <c r="V243" s="8" t="s">
        <v>320</v>
      </c>
      <c r="W243" s="19"/>
    </row>
    <row r="244" spans="1:23" x14ac:dyDescent="0.25">
      <c r="A244" s="8" t="s">
        <v>770</v>
      </c>
      <c r="B244" s="8" t="str">
        <f t="shared" si="3"/>
        <v>RNJ9D65 45946</v>
      </c>
      <c r="C244" s="9" t="s">
        <v>771</v>
      </c>
      <c r="D244" s="10">
        <v>15257355</v>
      </c>
      <c r="E244" s="11" t="s">
        <v>772</v>
      </c>
      <c r="F244" s="12">
        <v>45943</v>
      </c>
      <c r="G244" s="13" t="s">
        <v>760</v>
      </c>
      <c r="H244" s="10" t="s">
        <v>52</v>
      </c>
      <c r="I244" s="14" t="s">
        <v>28</v>
      </c>
      <c r="J244" s="14" t="s">
        <v>139</v>
      </c>
      <c r="K244" s="15"/>
      <c r="L244" s="15"/>
      <c r="M244" s="16" t="s">
        <v>638</v>
      </c>
      <c r="N244" s="8" t="s">
        <v>30</v>
      </c>
      <c r="O244" s="8" t="s">
        <v>52</v>
      </c>
      <c r="P244" s="17" t="s">
        <v>86</v>
      </c>
      <c r="Q244" s="18">
        <v>45946</v>
      </c>
      <c r="R244" s="9">
        <v>3</v>
      </c>
      <c r="S244" s="8" t="s">
        <v>32</v>
      </c>
      <c r="T244" s="8" t="s">
        <v>201</v>
      </c>
      <c r="U244" s="8" t="s">
        <v>773</v>
      </c>
      <c r="V244" s="8" t="s">
        <v>283</v>
      </c>
      <c r="W244" s="19"/>
    </row>
    <row r="245" spans="1:23" x14ac:dyDescent="0.25">
      <c r="A245" s="8" t="s">
        <v>259</v>
      </c>
      <c r="B245" s="8" t="str">
        <f t="shared" si="3"/>
        <v>SGI8I9545946</v>
      </c>
      <c r="C245" s="9" t="s">
        <v>96</v>
      </c>
      <c r="D245" s="10">
        <v>56935</v>
      </c>
      <c r="E245" s="11" t="s">
        <v>774</v>
      </c>
      <c r="F245" s="12">
        <v>45937</v>
      </c>
      <c r="G245" s="13" t="s">
        <v>39</v>
      </c>
      <c r="H245" s="10" t="s">
        <v>27</v>
      </c>
      <c r="I245" s="14" t="s">
        <v>28</v>
      </c>
      <c r="J245" s="14" t="s">
        <v>29</v>
      </c>
      <c r="K245" s="15"/>
      <c r="L245" s="15"/>
      <c r="M245" s="16" t="s">
        <v>214</v>
      </c>
      <c r="N245" s="8" t="s">
        <v>30</v>
      </c>
      <c r="O245" s="8" t="s">
        <v>40</v>
      </c>
      <c r="P245" s="17">
        <v>45950</v>
      </c>
      <c r="Q245" s="18">
        <v>45946</v>
      </c>
      <c r="R245" s="9">
        <v>9</v>
      </c>
      <c r="S245" s="8" t="s">
        <v>32</v>
      </c>
      <c r="T245" s="8" t="s">
        <v>775</v>
      </c>
      <c r="U245" s="8" t="s">
        <v>215</v>
      </c>
      <c r="V245" s="8" t="s">
        <v>320</v>
      </c>
      <c r="W245" s="19"/>
    </row>
    <row r="246" spans="1:23" x14ac:dyDescent="0.25">
      <c r="A246" s="8" t="s">
        <v>776</v>
      </c>
      <c r="B246" s="8" t="str">
        <f t="shared" si="3"/>
        <v>SGI8I4845945</v>
      </c>
      <c r="C246" s="9" t="s">
        <v>96</v>
      </c>
      <c r="D246" s="10"/>
      <c r="E246" s="11" t="s">
        <v>777</v>
      </c>
      <c r="F246" s="12">
        <v>45944</v>
      </c>
      <c r="G246" s="13" t="s">
        <v>778</v>
      </c>
      <c r="H246" s="10" t="s">
        <v>52</v>
      </c>
      <c r="I246" s="14" t="s">
        <v>28</v>
      </c>
      <c r="J246" s="14" t="s">
        <v>139</v>
      </c>
      <c r="K246" s="15"/>
      <c r="L246" s="15"/>
      <c r="M246" s="16" t="s">
        <v>424</v>
      </c>
      <c r="N246" s="8" t="s">
        <v>30</v>
      </c>
      <c r="O246" s="8" t="s">
        <v>52</v>
      </c>
      <c r="P246" s="17">
        <v>45945</v>
      </c>
      <c r="Q246" s="18">
        <v>45945</v>
      </c>
      <c r="R246" s="9">
        <v>1</v>
      </c>
      <c r="S246" s="8" t="s">
        <v>153</v>
      </c>
      <c r="T246" s="8" t="s">
        <v>779</v>
      </c>
      <c r="U246" s="8" t="s">
        <v>134</v>
      </c>
      <c r="V246" s="8" t="s">
        <v>320</v>
      </c>
      <c r="W246" s="19"/>
    </row>
    <row r="247" spans="1:23" x14ac:dyDescent="0.25">
      <c r="A247" s="8" t="s">
        <v>780</v>
      </c>
      <c r="B247" s="8" t="str">
        <f t="shared" si="3"/>
        <v>JCI8F7645946</v>
      </c>
      <c r="C247" s="9" t="s">
        <v>24</v>
      </c>
      <c r="D247" s="10">
        <v>77094</v>
      </c>
      <c r="E247" s="11" t="s">
        <v>781</v>
      </c>
      <c r="F247" s="12">
        <v>45944</v>
      </c>
      <c r="G247" s="13" t="s">
        <v>138</v>
      </c>
      <c r="H247" s="10" t="s">
        <v>27</v>
      </c>
      <c r="I247" s="14" t="s">
        <v>28</v>
      </c>
      <c r="J247" s="14" t="s">
        <v>139</v>
      </c>
      <c r="K247" s="15"/>
      <c r="L247" s="15"/>
      <c r="M247" s="16" t="s">
        <v>343</v>
      </c>
      <c r="N247" s="8" t="s">
        <v>30</v>
      </c>
      <c r="O247" s="8" t="s">
        <v>40</v>
      </c>
      <c r="P247" s="17" t="s">
        <v>86</v>
      </c>
      <c r="Q247" s="18">
        <v>45946</v>
      </c>
      <c r="R247" s="9">
        <v>2</v>
      </c>
      <c r="S247" s="8" t="s">
        <v>153</v>
      </c>
      <c r="T247" s="8" t="s">
        <v>782</v>
      </c>
      <c r="U247" s="8" t="s">
        <v>34</v>
      </c>
      <c r="V247" s="8" t="s">
        <v>320</v>
      </c>
      <c r="W247" s="19"/>
    </row>
    <row r="248" spans="1:23" x14ac:dyDescent="0.25">
      <c r="A248" s="8" t="s">
        <v>783</v>
      </c>
      <c r="B248" s="8" t="str">
        <f t="shared" si="3"/>
        <v>EOO7H8745946</v>
      </c>
      <c r="C248" s="9" t="s">
        <v>79</v>
      </c>
      <c r="D248" s="10">
        <v>121379</v>
      </c>
      <c r="E248" s="11" t="s">
        <v>377</v>
      </c>
      <c r="F248" s="12">
        <v>45748</v>
      </c>
      <c r="G248" s="13" t="s">
        <v>149</v>
      </c>
      <c r="H248" s="10" t="s">
        <v>27</v>
      </c>
      <c r="I248" s="14" t="s">
        <v>28</v>
      </c>
      <c r="J248" s="14" t="s">
        <v>29</v>
      </c>
      <c r="K248" s="15"/>
      <c r="L248" s="15"/>
      <c r="M248" s="16" t="s">
        <v>396</v>
      </c>
      <c r="N248" s="8" t="s">
        <v>30</v>
      </c>
      <c r="O248" s="8" t="s">
        <v>40</v>
      </c>
      <c r="P248" s="17" t="s">
        <v>784</v>
      </c>
      <c r="Q248" s="18">
        <v>45946</v>
      </c>
      <c r="R248" s="9">
        <v>198</v>
      </c>
      <c r="S248" s="8" t="s">
        <v>32</v>
      </c>
      <c r="T248" s="8" t="s">
        <v>785</v>
      </c>
      <c r="U248" s="8" t="s">
        <v>574</v>
      </c>
      <c r="V248" s="8" t="s">
        <v>473</v>
      </c>
      <c r="W248" s="19"/>
    </row>
    <row r="249" spans="1:23" x14ac:dyDescent="0.25">
      <c r="A249" s="8" t="s">
        <v>786</v>
      </c>
      <c r="B249" s="8" t="str">
        <f t="shared" si="3"/>
        <v>SDQ3J7445946</v>
      </c>
      <c r="C249" s="9" t="s">
        <v>127</v>
      </c>
      <c r="D249" s="10">
        <v>22770</v>
      </c>
      <c r="E249" s="11" t="s">
        <v>391</v>
      </c>
      <c r="F249" s="12">
        <v>45913</v>
      </c>
      <c r="G249" s="13" t="s">
        <v>149</v>
      </c>
      <c r="H249" s="10" t="s">
        <v>27</v>
      </c>
      <c r="I249" s="14" t="s">
        <v>28</v>
      </c>
      <c r="J249" s="14" t="s">
        <v>139</v>
      </c>
      <c r="K249" s="15"/>
      <c r="L249" s="15"/>
      <c r="M249" s="16" t="s">
        <v>603</v>
      </c>
      <c r="N249" s="8" t="s">
        <v>30</v>
      </c>
      <c r="O249" s="8" t="s">
        <v>40</v>
      </c>
      <c r="P249" s="17" t="s">
        <v>567</v>
      </c>
      <c r="Q249" s="18">
        <v>45946</v>
      </c>
      <c r="R249" s="9">
        <v>33</v>
      </c>
      <c r="S249" s="8" t="s">
        <v>32</v>
      </c>
      <c r="T249" s="8" t="s">
        <v>787</v>
      </c>
      <c r="U249" s="8" t="s">
        <v>120</v>
      </c>
      <c r="V249" s="8" t="s">
        <v>35</v>
      </c>
      <c r="W249" s="19"/>
    </row>
    <row r="250" spans="1:23" x14ac:dyDescent="0.25">
      <c r="A250" s="8" t="s">
        <v>788</v>
      </c>
      <c r="B250" s="8" t="str">
        <f t="shared" si="3"/>
        <v>RUX9H1645946</v>
      </c>
      <c r="C250" s="9" t="s">
        <v>37</v>
      </c>
      <c r="D250" s="10">
        <v>57482</v>
      </c>
      <c r="E250" s="11" t="s">
        <v>789</v>
      </c>
      <c r="F250" s="12">
        <v>45915</v>
      </c>
      <c r="G250" s="13" t="s">
        <v>149</v>
      </c>
      <c r="H250" s="10" t="s">
        <v>27</v>
      </c>
      <c r="I250" s="14" t="s">
        <v>28</v>
      </c>
      <c r="J250" s="14" t="s">
        <v>139</v>
      </c>
      <c r="K250" s="15"/>
      <c r="L250" s="15"/>
      <c r="M250" s="16" t="s">
        <v>790</v>
      </c>
      <c r="N250" s="8" t="s">
        <v>30</v>
      </c>
      <c r="O250" s="8" t="s">
        <v>40</v>
      </c>
      <c r="P250" s="17" t="s">
        <v>791</v>
      </c>
      <c r="Q250" s="18">
        <v>45946</v>
      </c>
      <c r="R250" s="9">
        <v>31</v>
      </c>
      <c r="S250" s="8" t="s">
        <v>32</v>
      </c>
      <c r="T250" s="8" t="s">
        <v>792</v>
      </c>
      <c r="U250" s="8" t="s">
        <v>793</v>
      </c>
      <c r="V250" s="8" t="s">
        <v>35</v>
      </c>
      <c r="W250" s="19"/>
    </row>
    <row r="251" spans="1:23" x14ac:dyDescent="0.25">
      <c r="A251" s="8" t="s">
        <v>794</v>
      </c>
      <c r="B251" s="8" t="str">
        <f t="shared" si="3"/>
        <v>GGD5G6345946</v>
      </c>
      <c r="C251" s="9" t="s">
        <v>224</v>
      </c>
      <c r="D251" s="10">
        <v>156785</v>
      </c>
      <c r="E251" s="11" t="s">
        <v>391</v>
      </c>
      <c r="F251" s="12">
        <v>45944</v>
      </c>
      <c r="G251" s="13" t="s">
        <v>226</v>
      </c>
      <c r="H251" s="10" t="s">
        <v>27</v>
      </c>
      <c r="I251" s="14" t="s">
        <v>28</v>
      </c>
      <c r="J251" s="14" t="s">
        <v>139</v>
      </c>
      <c r="K251" s="15"/>
      <c r="L251" s="15"/>
      <c r="M251" s="16" t="s">
        <v>315</v>
      </c>
      <c r="N251" s="8" t="s">
        <v>228</v>
      </c>
      <c r="O251" s="8" t="s">
        <v>40</v>
      </c>
      <c r="P251" s="17" t="s">
        <v>86</v>
      </c>
      <c r="Q251" s="18">
        <v>45946</v>
      </c>
      <c r="R251" s="9">
        <v>2</v>
      </c>
      <c r="S251" s="8" t="s">
        <v>153</v>
      </c>
      <c r="T251" s="8" t="s">
        <v>98</v>
      </c>
      <c r="U251" s="8" t="s">
        <v>254</v>
      </c>
      <c r="V251" s="8" t="s">
        <v>320</v>
      </c>
      <c r="W251" s="19"/>
    </row>
    <row r="252" spans="1:23" x14ac:dyDescent="0.25">
      <c r="A252" s="8" t="s">
        <v>445</v>
      </c>
      <c r="B252" s="8" t="str">
        <f t="shared" si="3"/>
        <v>RNF2B6845946</v>
      </c>
      <c r="C252" s="9" t="s">
        <v>72</v>
      </c>
      <c r="D252" s="10" t="s">
        <v>383</v>
      </c>
      <c r="E252" s="11" t="s">
        <v>236</v>
      </c>
      <c r="F252" s="12">
        <v>45936</v>
      </c>
      <c r="G252" s="13" t="s">
        <v>123</v>
      </c>
      <c r="H252" s="10" t="s">
        <v>27</v>
      </c>
      <c r="I252" s="14" t="s">
        <v>28</v>
      </c>
      <c r="J252" s="14" t="s">
        <v>29</v>
      </c>
      <c r="K252" s="15">
        <v>710</v>
      </c>
      <c r="L252" s="15">
        <v>710</v>
      </c>
      <c r="M252" s="16" t="s">
        <v>374</v>
      </c>
      <c r="N252" s="8" t="s">
        <v>30</v>
      </c>
      <c r="O252" s="8" t="s">
        <v>40</v>
      </c>
      <c r="P252" s="17">
        <v>45946</v>
      </c>
      <c r="Q252" s="18">
        <v>45946</v>
      </c>
      <c r="R252" s="9">
        <v>10</v>
      </c>
      <c r="S252" s="8" t="s">
        <v>32</v>
      </c>
      <c r="T252" s="8" t="s">
        <v>340</v>
      </c>
      <c r="U252" s="8" t="s">
        <v>94</v>
      </c>
      <c r="V252" s="8" t="s">
        <v>320</v>
      </c>
      <c r="W252" s="19"/>
    </row>
    <row r="253" spans="1:23" x14ac:dyDescent="0.25">
      <c r="A253" s="8" t="s">
        <v>795</v>
      </c>
      <c r="B253" s="8" t="str">
        <f t="shared" si="3"/>
        <v>RNB5I54 45946</v>
      </c>
      <c r="C253" s="9" t="s">
        <v>44</v>
      </c>
      <c r="D253" s="10">
        <v>90388</v>
      </c>
      <c r="E253" s="11" t="s">
        <v>796</v>
      </c>
      <c r="F253" s="12">
        <v>45943</v>
      </c>
      <c r="G253" s="13" t="s">
        <v>138</v>
      </c>
      <c r="H253" s="10" t="s">
        <v>27</v>
      </c>
      <c r="I253" s="14" t="s">
        <v>28</v>
      </c>
      <c r="J253" s="14" t="s">
        <v>139</v>
      </c>
      <c r="K253" s="15"/>
      <c r="L253" s="15"/>
      <c r="M253" s="16" t="s">
        <v>431</v>
      </c>
      <c r="N253" s="8" t="s">
        <v>30</v>
      </c>
      <c r="O253" s="8" t="s">
        <v>40</v>
      </c>
      <c r="P253" s="17">
        <v>45946</v>
      </c>
      <c r="Q253" s="18">
        <v>45946</v>
      </c>
      <c r="R253" s="9">
        <v>3</v>
      </c>
      <c r="S253" s="8" t="s">
        <v>32</v>
      </c>
      <c r="T253" s="8" t="s">
        <v>98</v>
      </c>
      <c r="U253" s="8" t="s">
        <v>500</v>
      </c>
      <c r="V253" s="8" t="s">
        <v>320</v>
      </c>
      <c r="W253" s="19"/>
    </row>
    <row r="254" spans="1:23" x14ac:dyDescent="0.25">
      <c r="A254" s="8" t="s">
        <v>797</v>
      </c>
      <c r="B254" s="8" t="str">
        <f t="shared" si="3"/>
        <v>RVF9J6445943</v>
      </c>
      <c r="C254" s="9" t="s">
        <v>479</v>
      </c>
      <c r="D254" s="10">
        <v>177846</v>
      </c>
      <c r="E254" s="11" t="s">
        <v>798</v>
      </c>
      <c r="F254" s="12">
        <v>45909</v>
      </c>
      <c r="G254" s="13" t="s">
        <v>138</v>
      </c>
      <c r="H254" s="10" t="s">
        <v>27</v>
      </c>
      <c r="I254" s="14" t="s">
        <v>28</v>
      </c>
      <c r="J254" s="14" t="s">
        <v>29</v>
      </c>
      <c r="K254" s="15"/>
      <c r="L254" s="15"/>
      <c r="M254" s="16" t="s">
        <v>343</v>
      </c>
      <c r="N254" s="8" t="s">
        <v>30</v>
      </c>
      <c r="O254" s="8" t="s">
        <v>40</v>
      </c>
      <c r="P254" s="17">
        <v>45947</v>
      </c>
      <c r="Q254" s="18">
        <v>45943</v>
      </c>
      <c r="R254" s="9">
        <v>34</v>
      </c>
      <c r="S254" s="8" t="s">
        <v>32</v>
      </c>
      <c r="T254" s="8" t="s">
        <v>799</v>
      </c>
      <c r="U254" s="8" t="s">
        <v>59</v>
      </c>
      <c r="V254" s="8" t="s">
        <v>35</v>
      </c>
      <c r="W254" s="19"/>
    </row>
    <row r="255" spans="1:23" x14ac:dyDescent="0.25">
      <c r="A255" s="8" t="s">
        <v>800</v>
      </c>
      <c r="B255" s="8" t="str">
        <f t="shared" si="3"/>
        <v>SGH8H4645947</v>
      </c>
      <c r="C255" s="9" t="s">
        <v>96</v>
      </c>
      <c r="D255" s="10">
        <v>25857</v>
      </c>
      <c r="E255" s="11" t="s">
        <v>801</v>
      </c>
      <c r="F255" s="12">
        <v>45882</v>
      </c>
      <c r="G255" s="13" t="s">
        <v>39</v>
      </c>
      <c r="H255" s="10" t="s">
        <v>27</v>
      </c>
      <c r="I255" s="14" t="s">
        <v>28</v>
      </c>
      <c r="J255" s="14" t="s">
        <v>139</v>
      </c>
      <c r="K255" s="15"/>
      <c r="L255" s="15"/>
      <c r="M255" s="16" t="s">
        <v>424</v>
      </c>
      <c r="N255" s="8" t="s">
        <v>30</v>
      </c>
      <c r="O255" s="8" t="s">
        <v>40</v>
      </c>
      <c r="P255" s="17" t="s">
        <v>86</v>
      </c>
      <c r="Q255" s="18">
        <v>45947</v>
      </c>
      <c r="R255" s="9">
        <v>65</v>
      </c>
      <c r="S255" s="8" t="s">
        <v>32</v>
      </c>
      <c r="T255" s="8" t="s">
        <v>802</v>
      </c>
      <c r="U255" s="8" t="s">
        <v>134</v>
      </c>
      <c r="V255" s="8" t="s">
        <v>48</v>
      </c>
      <c r="W255" s="19"/>
    </row>
    <row r="256" spans="1:23" x14ac:dyDescent="0.25">
      <c r="A256" s="8" t="s">
        <v>803</v>
      </c>
      <c r="B256" s="8" t="str">
        <f t="shared" si="3"/>
        <v>SFT5A2045947</v>
      </c>
      <c r="C256" s="9" t="s">
        <v>96</v>
      </c>
      <c r="D256" s="10">
        <v>20048</v>
      </c>
      <c r="E256" s="11" t="s">
        <v>804</v>
      </c>
      <c r="F256" s="12">
        <v>45917</v>
      </c>
      <c r="G256" s="13" t="s">
        <v>39</v>
      </c>
      <c r="H256" s="10" t="s">
        <v>27</v>
      </c>
      <c r="I256" s="14" t="s">
        <v>28</v>
      </c>
      <c r="J256" s="14" t="s">
        <v>139</v>
      </c>
      <c r="K256" s="15"/>
      <c r="L256" s="15"/>
      <c r="M256" s="16" t="s">
        <v>805</v>
      </c>
      <c r="N256" s="8" t="s">
        <v>30</v>
      </c>
      <c r="O256" s="8" t="s">
        <v>40</v>
      </c>
      <c r="P256" s="17" t="s">
        <v>86</v>
      </c>
      <c r="Q256" s="18">
        <v>45947</v>
      </c>
      <c r="R256" s="9">
        <v>30</v>
      </c>
      <c r="S256" s="8" t="s">
        <v>32</v>
      </c>
      <c r="T256" s="8" t="s">
        <v>806</v>
      </c>
      <c r="U256" s="8" t="s">
        <v>807</v>
      </c>
      <c r="V256" s="8" t="s">
        <v>35</v>
      </c>
      <c r="W256" s="19"/>
    </row>
    <row r="257" spans="1:23" x14ac:dyDescent="0.25">
      <c r="A257" s="8" t="s">
        <v>808</v>
      </c>
      <c r="B257" s="8" t="str">
        <f t="shared" si="3"/>
        <v>SGL1J1145946</v>
      </c>
      <c r="C257" s="9" t="s">
        <v>96</v>
      </c>
      <c r="D257" s="10" t="s">
        <v>383</v>
      </c>
      <c r="E257" s="11" t="s">
        <v>809</v>
      </c>
      <c r="F257" s="12">
        <v>45941</v>
      </c>
      <c r="G257" s="13" t="s">
        <v>39</v>
      </c>
      <c r="H257" s="10" t="s">
        <v>27</v>
      </c>
      <c r="I257" s="14" t="s">
        <v>28</v>
      </c>
      <c r="J257" s="14" t="s">
        <v>139</v>
      </c>
      <c r="K257" s="15"/>
      <c r="L257" s="15"/>
      <c r="M257" s="16" t="s">
        <v>752</v>
      </c>
      <c r="N257" s="8" t="s">
        <v>810</v>
      </c>
      <c r="O257" s="8" t="s">
        <v>40</v>
      </c>
      <c r="P257" s="17" t="s">
        <v>811</v>
      </c>
      <c r="Q257" s="18">
        <v>45946</v>
      </c>
      <c r="R257" s="9">
        <v>5</v>
      </c>
      <c r="S257" s="8" t="s">
        <v>32</v>
      </c>
      <c r="T257" s="8" t="s">
        <v>98</v>
      </c>
      <c r="U257" s="8" t="s">
        <v>500</v>
      </c>
      <c r="V257" s="8" t="s">
        <v>320</v>
      </c>
      <c r="W257" s="19"/>
    </row>
    <row r="258" spans="1:23" x14ac:dyDescent="0.25">
      <c r="A258" s="8" t="s">
        <v>812</v>
      </c>
      <c r="B258" s="8" t="str">
        <f t="shared" si="3"/>
        <v>SGH0H2945947</v>
      </c>
      <c r="C258" s="9" t="s">
        <v>96</v>
      </c>
      <c r="D258" s="10">
        <v>45272</v>
      </c>
      <c r="E258" s="11" t="s">
        <v>419</v>
      </c>
      <c r="F258" s="12">
        <v>45910</v>
      </c>
      <c r="G258" s="13" t="s">
        <v>39</v>
      </c>
      <c r="H258" s="10" t="s">
        <v>27</v>
      </c>
      <c r="I258" s="14" t="s">
        <v>28</v>
      </c>
      <c r="J258" s="14" t="s">
        <v>29</v>
      </c>
      <c r="K258" s="15"/>
      <c r="L258" s="15"/>
      <c r="M258" s="16" t="s">
        <v>354</v>
      </c>
      <c r="N258" s="8" t="s">
        <v>30</v>
      </c>
      <c r="O258" s="8" t="s">
        <v>40</v>
      </c>
      <c r="P258" s="17">
        <v>45949</v>
      </c>
      <c r="Q258" s="18">
        <v>45947</v>
      </c>
      <c r="R258" s="9">
        <v>37</v>
      </c>
      <c r="S258" s="8" t="s">
        <v>32</v>
      </c>
      <c r="T258" s="8" t="s">
        <v>66</v>
      </c>
      <c r="U258" s="8" t="s">
        <v>279</v>
      </c>
      <c r="V258" s="8" t="s">
        <v>35</v>
      </c>
      <c r="W258" s="19"/>
    </row>
    <row r="259" spans="1:23" x14ac:dyDescent="0.25">
      <c r="A259" s="8" t="s">
        <v>55</v>
      </c>
      <c r="B259" s="8" t="str">
        <f t="shared" ref="B259:B322" si="4">A259&amp;Q259</f>
        <v>RHV8D3745947</v>
      </c>
      <c r="C259" s="9" t="s">
        <v>56</v>
      </c>
      <c r="D259" s="10">
        <v>38033</v>
      </c>
      <c r="E259" s="11" t="s">
        <v>813</v>
      </c>
      <c r="F259" s="12">
        <v>45930</v>
      </c>
      <c r="G259" s="13" t="s">
        <v>138</v>
      </c>
      <c r="H259" s="10" t="s">
        <v>27</v>
      </c>
      <c r="I259" s="14" t="s">
        <v>28</v>
      </c>
      <c r="J259" s="14" t="s">
        <v>29</v>
      </c>
      <c r="K259" s="15"/>
      <c r="L259" s="15"/>
      <c r="M259" s="16" t="s">
        <v>343</v>
      </c>
      <c r="N259" s="8" t="s">
        <v>30</v>
      </c>
      <c r="O259" s="8" t="s">
        <v>40</v>
      </c>
      <c r="P259" s="17">
        <v>45947</v>
      </c>
      <c r="Q259" s="18">
        <v>45947</v>
      </c>
      <c r="R259" s="9">
        <v>17</v>
      </c>
      <c r="S259" s="8" t="s">
        <v>32</v>
      </c>
      <c r="T259" s="8" t="s">
        <v>648</v>
      </c>
      <c r="U259" s="8" t="s">
        <v>59</v>
      </c>
      <c r="V259" s="8" t="s">
        <v>313</v>
      </c>
      <c r="W259" s="19"/>
    </row>
    <row r="260" spans="1:23" x14ac:dyDescent="0.25">
      <c r="A260" s="8" t="s">
        <v>814</v>
      </c>
      <c r="B260" s="8" t="str">
        <f t="shared" si="4"/>
        <v>SFW6D0245947</v>
      </c>
      <c r="C260" s="9" t="s">
        <v>96</v>
      </c>
      <c r="D260" s="10">
        <v>59802</v>
      </c>
      <c r="E260" s="11" t="s">
        <v>815</v>
      </c>
      <c r="F260" s="12">
        <v>45943</v>
      </c>
      <c r="G260" s="13" t="s">
        <v>39</v>
      </c>
      <c r="H260" s="10" t="s">
        <v>27</v>
      </c>
      <c r="I260" s="14" t="s">
        <v>28</v>
      </c>
      <c r="J260" s="14" t="s">
        <v>139</v>
      </c>
      <c r="K260" s="15"/>
      <c r="L260" s="15"/>
      <c r="M260" s="16" t="s">
        <v>326</v>
      </c>
      <c r="N260" s="8" t="s">
        <v>30</v>
      </c>
      <c r="O260" s="8" t="s">
        <v>40</v>
      </c>
      <c r="P260" s="17" t="s">
        <v>86</v>
      </c>
      <c r="Q260" s="18">
        <v>45947</v>
      </c>
      <c r="R260" s="9">
        <v>4</v>
      </c>
      <c r="S260" s="8" t="s">
        <v>32</v>
      </c>
      <c r="T260" s="8" t="s">
        <v>816</v>
      </c>
      <c r="U260" s="8" t="s">
        <v>177</v>
      </c>
      <c r="V260" s="8" t="s">
        <v>320</v>
      </c>
      <c r="W260" s="19"/>
    </row>
    <row r="261" spans="1:23" x14ac:dyDescent="0.25">
      <c r="A261" s="8" t="s">
        <v>817</v>
      </c>
      <c r="B261" s="8" t="str">
        <f t="shared" si="4"/>
        <v>SFN0B5445950</v>
      </c>
      <c r="C261" s="9" t="s">
        <v>626</v>
      </c>
      <c r="D261" s="10">
        <v>100677</v>
      </c>
      <c r="E261" s="11" t="s">
        <v>818</v>
      </c>
      <c r="F261" s="12">
        <v>45937</v>
      </c>
      <c r="G261" s="13" t="s">
        <v>123</v>
      </c>
      <c r="H261" s="10" t="s">
        <v>27</v>
      </c>
      <c r="I261" s="14" t="s">
        <v>28</v>
      </c>
      <c r="J261" s="14" t="s">
        <v>139</v>
      </c>
      <c r="K261" s="15"/>
      <c r="L261" s="15"/>
      <c r="M261" s="16" t="s">
        <v>819</v>
      </c>
      <c r="N261" s="8" t="s">
        <v>30</v>
      </c>
      <c r="O261" s="8" t="s">
        <v>40</v>
      </c>
      <c r="P261" s="17">
        <v>45947</v>
      </c>
      <c r="Q261" s="18">
        <v>45950</v>
      </c>
      <c r="R261" s="9">
        <v>13</v>
      </c>
      <c r="S261" s="8" t="s">
        <v>32</v>
      </c>
      <c r="T261" s="8" t="s">
        <v>620</v>
      </c>
      <c r="U261" s="8" t="s">
        <v>820</v>
      </c>
      <c r="V261" s="8" t="s">
        <v>320</v>
      </c>
      <c r="W261" s="19"/>
    </row>
    <row r="262" spans="1:23" x14ac:dyDescent="0.25">
      <c r="A262" s="8" t="s">
        <v>821</v>
      </c>
      <c r="B262" s="8" t="str">
        <f t="shared" si="4"/>
        <v>RUM2B5445950</v>
      </c>
      <c r="C262" s="9" t="s">
        <v>37</v>
      </c>
      <c r="D262" s="10">
        <v>176981</v>
      </c>
      <c r="E262" s="11" t="s">
        <v>822</v>
      </c>
      <c r="F262" s="12">
        <v>45939</v>
      </c>
      <c r="G262" s="13" t="s">
        <v>138</v>
      </c>
      <c r="H262" s="10" t="s">
        <v>27</v>
      </c>
      <c r="I262" s="14" t="s">
        <v>28</v>
      </c>
      <c r="J262" s="14" t="s">
        <v>139</v>
      </c>
      <c r="K262" s="15"/>
      <c r="L262" s="15"/>
      <c r="M262" s="16" t="s">
        <v>196</v>
      </c>
      <c r="N262" s="8" t="s">
        <v>30</v>
      </c>
      <c r="O262" s="8" t="s">
        <v>40</v>
      </c>
      <c r="P262" s="17" t="s">
        <v>86</v>
      </c>
      <c r="Q262" s="18">
        <v>45950</v>
      </c>
      <c r="R262" s="9">
        <v>11</v>
      </c>
      <c r="S262" s="8" t="s">
        <v>32</v>
      </c>
      <c r="T262" s="8" t="s">
        <v>201</v>
      </c>
      <c r="U262" s="8" t="s">
        <v>823</v>
      </c>
      <c r="V262" s="8" t="s">
        <v>320</v>
      </c>
      <c r="W262" s="19"/>
    </row>
    <row r="263" spans="1:23" x14ac:dyDescent="0.25">
      <c r="A263" s="8" t="s">
        <v>824</v>
      </c>
      <c r="B263" s="8" t="str">
        <f t="shared" si="4"/>
        <v>FKH3F94 45950</v>
      </c>
      <c r="C263" s="9" t="s">
        <v>825</v>
      </c>
      <c r="D263" s="10">
        <v>101965</v>
      </c>
      <c r="E263" s="11" t="s">
        <v>826</v>
      </c>
      <c r="F263" s="12">
        <v>45943</v>
      </c>
      <c r="G263" s="13" t="s">
        <v>138</v>
      </c>
      <c r="H263" s="10" t="s">
        <v>27</v>
      </c>
      <c r="I263" s="14" t="s">
        <v>28</v>
      </c>
      <c r="J263" s="14" t="s">
        <v>139</v>
      </c>
      <c r="K263" s="15"/>
      <c r="L263" s="15"/>
      <c r="M263" s="16" t="s">
        <v>140</v>
      </c>
      <c r="N263" s="8" t="s">
        <v>30</v>
      </c>
      <c r="O263" s="8" t="s">
        <v>40</v>
      </c>
      <c r="P263" s="17">
        <v>45951</v>
      </c>
      <c r="Q263" s="18">
        <v>45950</v>
      </c>
      <c r="R263" s="9">
        <v>7</v>
      </c>
      <c r="S263" s="8" t="s">
        <v>32</v>
      </c>
      <c r="T263" s="8" t="s">
        <v>98</v>
      </c>
      <c r="U263" s="8" t="s">
        <v>500</v>
      </c>
      <c r="V263" s="8" t="s">
        <v>320</v>
      </c>
      <c r="W263" s="19"/>
    </row>
    <row r="264" spans="1:23" x14ac:dyDescent="0.25">
      <c r="A264" s="8" t="s">
        <v>827</v>
      </c>
      <c r="B264" s="8" t="str">
        <f t="shared" si="4"/>
        <v>RNJ9D5045950</v>
      </c>
      <c r="C264" s="9" t="s">
        <v>72</v>
      </c>
      <c r="D264" s="10">
        <v>136583</v>
      </c>
      <c r="E264" s="11" t="s">
        <v>31</v>
      </c>
      <c r="F264" s="12">
        <v>45946</v>
      </c>
      <c r="G264" s="13" t="s">
        <v>123</v>
      </c>
      <c r="H264" s="10" t="s">
        <v>27</v>
      </c>
      <c r="I264" s="14" t="s">
        <v>28</v>
      </c>
      <c r="J264" s="14" t="s">
        <v>29</v>
      </c>
      <c r="K264" s="15">
        <v>1905</v>
      </c>
      <c r="L264" s="15">
        <v>1905</v>
      </c>
      <c r="M264" s="16" t="s">
        <v>374</v>
      </c>
      <c r="N264" s="8" t="s">
        <v>30</v>
      </c>
      <c r="O264" s="8" t="s">
        <v>31</v>
      </c>
      <c r="P264" s="17">
        <v>45947</v>
      </c>
      <c r="Q264" s="18">
        <v>45950</v>
      </c>
      <c r="R264" s="9">
        <v>4</v>
      </c>
      <c r="S264" s="8" t="s">
        <v>32</v>
      </c>
      <c r="T264" s="8" t="s">
        <v>392</v>
      </c>
      <c r="U264" s="8" t="s">
        <v>393</v>
      </c>
      <c r="V264" s="8" t="s">
        <v>320</v>
      </c>
      <c r="W264" s="19"/>
    </row>
    <row r="265" spans="1:23" x14ac:dyDescent="0.25">
      <c r="A265" s="8" t="s">
        <v>828</v>
      </c>
      <c r="B265" s="8" t="str">
        <f t="shared" si="4"/>
        <v>SFN0B7845948</v>
      </c>
      <c r="C265" s="9" t="s">
        <v>626</v>
      </c>
      <c r="D265" s="10">
        <v>46000</v>
      </c>
      <c r="E265" s="11" t="s">
        <v>829</v>
      </c>
      <c r="F265" s="12">
        <v>45816</v>
      </c>
      <c r="G265" s="13" t="s">
        <v>226</v>
      </c>
      <c r="H265" s="10" t="s">
        <v>27</v>
      </c>
      <c r="I265" s="14" t="s">
        <v>28</v>
      </c>
      <c r="J265" s="14" t="s">
        <v>139</v>
      </c>
      <c r="K265" s="15"/>
      <c r="L265" s="15"/>
      <c r="M265" s="16" t="s">
        <v>454</v>
      </c>
      <c r="N265" s="8" t="s">
        <v>172</v>
      </c>
      <c r="O265" s="8" t="s">
        <v>40</v>
      </c>
      <c r="P265" s="17" t="s">
        <v>187</v>
      </c>
      <c r="Q265" s="18">
        <v>45948</v>
      </c>
      <c r="R265" s="9">
        <v>132</v>
      </c>
      <c r="S265" s="8" t="s">
        <v>32</v>
      </c>
      <c r="T265" s="8" t="s">
        <v>830</v>
      </c>
      <c r="U265" s="8" t="s">
        <v>831</v>
      </c>
      <c r="V265" s="8" t="s">
        <v>135</v>
      </c>
      <c r="W265" s="19"/>
    </row>
    <row r="266" spans="1:23" x14ac:dyDescent="0.25">
      <c r="A266" s="8" t="s">
        <v>832</v>
      </c>
      <c r="B266" s="8" t="str">
        <f t="shared" si="4"/>
        <v>SGH0G9745950</v>
      </c>
      <c r="C266" s="9" t="s">
        <v>96</v>
      </c>
      <c r="D266" s="10">
        <v>38023</v>
      </c>
      <c r="E266" s="11" t="s">
        <v>764</v>
      </c>
      <c r="F266" s="12">
        <v>45943</v>
      </c>
      <c r="G266" s="13" t="s">
        <v>39</v>
      </c>
      <c r="H266" s="10" t="s">
        <v>27</v>
      </c>
      <c r="I266" s="14" t="s">
        <v>28</v>
      </c>
      <c r="J266" s="14" t="s">
        <v>29</v>
      </c>
      <c r="K266" s="15"/>
      <c r="L266" s="15"/>
      <c r="M266" s="16" t="s">
        <v>497</v>
      </c>
      <c r="N266" s="8" t="s">
        <v>30</v>
      </c>
      <c r="O266" s="8" t="s">
        <v>40</v>
      </c>
      <c r="P266" s="17">
        <v>45951</v>
      </c>
      <c r="Q266" s="18">
        <v>45950</v>
      </c>
      <c r="R266" s="9">
        <v>7</v>
      </c>
      <c r="S266" s="8" t="s">
        <v>32</v>
      </c>
      <c r="T266" s="8" t="s">
        <v>669</v>
      </c>
      <c r="U266" s="8" t="s">
        <v>465</v>
      </c>
      <c r="V266" s="8" t="s">
        <v>833</v>
      </c>
      <c r="W266" s="19"/>
    </row>
    <row r="267" spans="1:23" x14ac:dyDescent="0.25">
      <c r="A267" s="8" t="s">
        <v>834</v>
      </c>
      <c r="B267" s="8" t="str">
        <f t="shared" si="4"/>
        <v>SVK8G87 45950</v>
      </c>
      <c r="C267" s="9" t="s">
        <v>835</v>
      </c>
      <c r="D267" s="10" t="s">
        <v>383</v>
      </c>
      <c r="E267" s="11" t="s">
        <v>836</v>
      </c>
      <c r="F267" s="12">
        <v>45946</v>
      </c>
      <c r="G267" s="13" t="s">
        <v>138</v>
      </c>
      <c r="H267" s="10" t="s">
        <v>27</v>
      </c>
      <c r="I267" s="14" t="s">
        <v>28</v>
      </c>
      <c r="J267" s="14" t="s">
        <v>29</v>
      </c>
      <c r="K267" s="15">
        <v>6321</v>
      </c>
      <c r="L267" s="15">
        <v>6321</v>
      </c>
      <c r="M267" s="16" t="s">
        <v>200</v>
      </c>
      <c r="N267" s="8" t="s">
        <v>30</v>
      </c>
      <c r="O267" s="8" t="s">
        <v>40</v>
      </c>
      <c r="P267" s="17">
        <v>45950</v>
      </c>
      <c r="Q267" s="18">
        <v>45950</v>
      </c>
      <c r="R267" s="9">
        <v>4</v>
      </c>
      <c r="S267" s="8" t="s">
        <v>32</v>
      </c>
      <c r="T267" s="8" t="s">
        <v>837</v>
      </c>
      <c r="U267" s="8" t="s">
        <v>838</v>
      </c>
      <c r="V267" s="8" t="s">
        <v>320</v>
      </c>
      <c r="W267" s="19"/>
    </row>
    <row r="268" spans="1:23" x14ac:dyDescent="0.25">
      <c r="A268" s="8" t="s">
        <v>839</v>
      </c>
      <c r="B268" s="8" t="str">
        <f t="shared" si="4"/>
        <v>SDQ2A2545950</v>
      </c>
      <c r="C268" s="9" t="s">
        <v>50</v>
      </c>
      <c r="D268" s="10">
        <v>24510</v>
      </c>
      <c r="E268" s="11" t="s">
        <v>840</v>
      </c>
      <c r="F268" s="12">
        <v>45894</v>
      </c>
      <c r="G268" s="13" t="s">
        <v>149</v>
      </c>
      <c r="H268" s="10" t="s">
        <v>27</v>
      </c>
      <c r="I268" s="14" t="s">
        <v>28</v>
      </c>
      <c r="J268" s="14" t="s">
        <v>29</v>
      </c>
      <c r="K268" s="15"/>
      <c r="L268" s="15"/>
      <c r="M268" s="16" t="s">
        <v>468</v>
      </c>
      <c r="N268" s="8" t="s">
        <v>30</v>
      </c>
      <c r="O268" s="8" t="s">
        <v>388</v>
      </c>
      <c r="P268" s="17">
        <v>45950</v>
      </c>
      <c r="Q268" s="18">
        <v>45950</v>
      </c>
      <c r="R268" s="9">
        <v>56</v>
      </c>
      <c r="S268" s="8" t="s">
        <v>32</v>
      </c>
      <c r="T268" s="8" t="s">
        <v>841</v>
      </c>
      <c r="U268" s="8" t="s">
        <v>82</v>
      </c>
      <c r="V268" s="8" t="s">
        <v>48</v>
      </c>
      <c r="W268" s="19"/>
    </row>
    <row r="269" spans="1:23" x14ac:dyDescent="0.25">
      <c r="A269" s="8" t="s">
        <v>842</v>
      </c>
      <c r="B269" s="8" t="str">
        <f t="shared" si="4"/>
        <v>RTM6B6645947</v>
      </c>
      <c r="C269" s="9" t="s">
        <v>72</v>
      </c>
      <c r="D269" s="10">
        <v>80000</v>
      </c>
      <c r="E269" s="11" t="s">
        <v>843</v>
      </c>
      <c r="F269" s="12">
        <v>45944</v>
      </c>
      <c r="G269" s="13" t="s">
        <v>658</v>
      </c>
      <c r="H269" s="10" t="s">
        <v>52</v>
      </c>
      <c r="I269" s="14" t="s">
        <v>28</v>
      </c>
      <c r="J269" s="14" t="s">
        <v>139</v>
      </c>
      <c r="K269" s="15">
        <v>3500</v>
      </c>
      <c r="L269" s="15">
        <v>2860</v>
      </c>
      <c r="M269" s="16" t="s">
        <v>398</v>
      </c>
      <c r="N269" s="8" t="s">
        <v>30</v>
      </c>
      <c r="O269" s="8" t="s">
        <v>52</v>
      </c>
      <c r="P269" s="17">
        <v>45952</v>
      </c>
      <c r="Q269" s="18">
        <v>45947</v>
      </c>
      <c r="R269" s="9">
        <v>3</v>
      </c>
      <c r="S269" s="8" t="s">
        <v>32</v>
      </c>
      <c r="T269" s="8" t="s">
        <v>844</v>
      </c>
      <c r="U269" s="8" t="s">
        <v>845</v>
      </c>
      <c r="V269" s="8" t="s">
        <v>320</v>
      </c>
      <c r="W269" s="19"/>
    </row>
    <row r="270" spans="1:23" x14ac:dyDescent="0.25">
      <c r="A270" s="8" t="s">
        <v>846</v>
      </c>
      <c r="B270" s="8" t="str">
        <f t="shared" si="4"/>
        <v>RUY3D3345950</v>
      </c>
      <c r="C270" s="9" t="s">
        <v>44</v>
      </c>
      <c r="D270" s="10" t="s">
        <v>383</v>
      </c>
      <c r="E270" s="11" t="s">
        <v>847</v>
      </c>
      <c r="F270" s="12">
        <v>45929</v>
      </c>
      <c r="G270" s="13" t="s">
        <v>743</v>
      </c>
      <c r="H270" s="10" t="s">
        <v>27</v>
      </c>
      <c r="I270" s="14" t="s">
        <v>28</v>
      </c>
      <c r="J270" s="14" t="s">
        <v>29</v>
      </c>
      <c r="K270" s="15">
        <v>3000</v>
      </c>
      <c r="L270" s="15">
        <v>3000</v>
      </c>
      <c r="M270" s="16" t="s">
        <v>605</v>
      </c>
      <c r="N270" s="8" t="s">
        <v>30</v>
      </c>
      <c r="O270" s="8" t="s">
        <v>40</v>
      </c>
      <c r="P270" s="17">
        <v>45947</v>
      </c>
      <c r="Q270" s="18">
        <v>45950</v>
      </c>
      <c r="R270" s="9">
        <v>21</v>
      </c>
      <c r="S270" s="8" t="s">
        <v>32</v>
      </c>
      <c r="T270" s="8" t="s">
        <v>848</v>
      </c>
      <c r="U270" s="8" t="s">
        <v>721</v>
      </c>
      <c r="V270" s="8" t="s">
        <v>320</v>
      </c>
      <c r="W270" s="19"/>
    </row>
    <row r="271" spans="1:23" x14ac:dyDescent="0.25">
      <c r="A271" s="8" t="s">
        <v>849</v>
      </c>
      <c r="B271" s="8" t="str">
        <f t="shared" si="4"/>
        <v>GIG4F9345950</v>
      </c>
      <c r="C271" s="9" t="s">
        <v>224</v>
      </c>
      <c r="D271" s="10">
        <v>99923</v>
      </c>
      <c r="E271" s="11" t="s">
        <v>850</v>
      </c>
      <c r="F271" s="12">
        <v>45902</v>
      </c>
      <c r="G271" s="13" t="s">
        <v>760</v>
      </c>
      <c r="H271" s="10" t="s">
        <v>52</v>
      </c>
      <c r="I271" s="14" t="s">
        <v>28</v>
      </c>
      <c r="J271" s="14" t="s">
        <v>29</v>
      </c>
      <c r="K271" s="15">
        <v>4800</v>
      </c>
      <c r="L271" s="15">
        <v>4800</v>
      </c>
      <c r="M271" s="16" t="s">
        <v>485</v>
      </c>
      <c r="N271" s="8" t="s">
        <v>228</v>
      </c>
      <c r="O271" s="8" t="s">
        <v>52</v>
      </c>
      <c r="P271" s="17">
        <v>45950</v>
      </c>
      <c r="Q271" s="18">
        <v>45950</v>
      </c>
      <c r="R271" s="9">
        <v>48</v>
      </c>
      <c r="S271" s="8" t="s">
        <v>32</v>
      </c>
      <c r="T271" s="8" t="s">
        <v>851</v>
      </c>
      <c r="U271" s="8" t="s">
        <v>486</v>
      </c>
      <c r="V271" s="8" t="s">
        <v>35</v>
      </c>
      <c r="W271" s="19"/>
    </row>
    <row r="272" spans="1:23" x14ac:dyDescent="0.25">
      <c r="A272" s="8" t="s">
        <v>852</v>
      </c>
      <c r="B272" s="8" t="str">
        <f t="shared" si="4"/>
        <v>SGL2C2145950</v>
      </c>
      <c r="C272" s="9" t="s">
        <v>96</v>
      </c>
      <c r="D272" s="10">
        <v>24900</v>
      </c>
      <c r="E272" s="11" t="s">
        <v>672</v>
      </c>
      <c r="F272" s="12">
        <v>45919</v>
      </c>
      <c r="G272" s="13" t="s">
        <v>760</v>
      </c>
      <c r="H272" s="10" t="s">
        <v>52</v>
      </c>
      <c r="I272" s="14" t="s">
        <v>28</v>
      </c>
      <c r="J272" s="14" t="s">
        <v>29</v>
      </c>
      <c r="K272" s="15">
        <v>4000</v>
      </c>
      <c r="L272" s="15">
        <v>4000</v>
      </c>
      <c r="M272" s="16" t="s">
        <v>458</v>
      </c>
      <c r="N272" s="8" t="s">
        <v>172</v>
      </c>
      <c r="O272" s="8" t="s">
        <v>52</v>
      </c>
      <c r="P272" s="17">
        <v>45950</v>
      </c>
      <c r="Q272" s="18">
        <v>45950</v>
      </c>
      <c r="R272" s="9">
        <v>31</v>
      </c>
      <c r="S272" s="8" t="s">
        <v>32</v>
      </c>
      <c r="T272" s="8" t="s">
        <v>264</v>
      </c>
      <c r="U272" s="8" t="s">
        <v>460</v>
      </c>
      <c r="V272" s="8" t="s">
        <v>35</v>
      </c>
      <c r="W272" s="19"/>
    </row>
    <row r="273" spans="1:23" x14ac:dyDescent="0.25">
      <c r="A273" s="8" t="s">
        <v>568</v>
      </c>
      <c r="B273" s="8" t="str">
        <f t="shared" si="4"/>
        <v>SGH8C1945950</v>
      </c>
      <c r="C273" s="9" t="s">
        <v>96</v>
      </c>
      <c r="D273" s="10">
        <v>44570</v>
      </c>
      <c r="E273" s="11" t="s">
        <v>768</v>
      </c>
      <c r="F273" s="12">
        <v>45943</v>
      </c>
      <c r="G273" s="13" t="s">
        <v>39</v>
      </c>
      <c r="H273" s="10" t="s">
        <v>27</v>
      </c>
      <c r="I273" s="14" t="s">
        <v>28</v>
      </c>
      <c r="J273" s="14" t="s">
        <v>139</v>
      </c>
      <c r="K273" s="15"/>
      <c r="L273" s="15"/>
      <c r="M273" s="16" t="s">
        <v>354</v>
      </c>
      <c r="N273" s="8" t="s">
        <v>30</v>
      </c>
      <c r="O273" s="8" t="s">
        <v>40</v>
      </c>
      <c r="P273" s="17">
        <v>45950</v>
      </c>
      <c r="Q273" s="18">
        <v>45950</v>
      </c>
      <c r="R273" s="9">
        <v>7</v>
      </c>
      <c r="S273" s="8" t="s">
        <v>32</v>
      </c>
      <c r="T273" s="8" t="s">
        <v>669</v>
      </c>
      <c r="U273" s="8" t="s">
        <v>279</v>
      </c>
      <c r="V273" s="8" t="s">
        <v>320</v>
      </c>
      <c r="W273" s="19"/>
    </row>
    <row r="274" spans="1:23" x14ac:dyDescent="0.25">
      <c r="A274" s="8" t="s">
        <v>853</v>
      </c>
      <c r="B274" s="8" t="str">
        <f t="shared" si="4"/>
        <v>SDP9J0745950</v>
      </c>
      <c r="C274" s="9" t="s">
        <v>50</v>
      </c>
      <c r="D274" s="10">
        <v>30000</v>
      </c>
      <c r="E274" s="11" t="s">
        <v>854</v>
      </c>
      <c r="F274" s="12">
        <v>45726</v>
      </c>
      <c r="G274" s="13" t="s">
        <v>149</v>
      </c>
      <c r="H274" s="10" t="s">
        <v>27</v>
      </c>
      <c r="I274" s="14" t="s">
        <v>28</v>
      </c>
      <c r="J274" s="14" t="s">
        <v>29</v>
      </c>
      <c r="K274" s="15"/>
      <c r="L274" s="15"/>
      <c r="M274" s="16" t="s">
        <v>855</v>
      </c>
      <c r="N274" s="8" t="s">
        <v>30</v>
      </c>
      <c r="O274" s="8" t="s">
        <v>388</v>
      </c>
      <c r="P274" s="17">
        <v>45950</v>
      </c>
      <c r="Q274" s="18">
        <v>45950</v>
      </c>
      <c r="R274" s="9">
        <v>224</v>
      </c>
      <c r="S274" s="8" t="s">
        <v>32</v>
      </c>
      <c r="T274" s="8" t="s">
        <v>124</v>
      </c>
      <c r="U274" s="8" t="s">
        <v>125</v>
      </c>
      <c r="V274" s="8" t="s">
        <v>283</v>
      </c>
      <c r="W274" s="19"/>
    </row>
    <row r="275" spans="1:23" x14ac:dyDescent="0.25">
      <c r="A275" s="8" t="s">
        <v>856</v>
      </c>
      <c r="B275" s="8" t="str">
        <f t="shared" si="4"/>
        <v>EAS777845951</v>
      </c>
      <c r="C275" s="9" t="s">
        <v>857</v>
      </c>
      <c r="D275" s="10">
        <v>789099</v>
      </c>
      <c r="E275" s="11" t="s">
        <v>858</v>
      </c>
      <c r="F275" s="12">
        <v>45692</v>
      </c>
      <c r="G275" s="13" t="s">
        <v>149</v>
      </c>
      <c r="H275" s="10" t="s">
        <v>27</v>
      </c>
      <c r="I275" s="14" t="s">
        <v>28</v>
      </c>
      <c r="J275" s="14" t="s">
        <v>29</v>
      </c>
      <c r="K275" s="15"/>
      <c r="L275" s="15"/>
      <c r="M275" s="16" t="s">
        <v>859</v>
      </c>
      <c r="N275" s="8" t="s">
        <v>30</v>
      </c>
      <c r="O275" s="8" t="s">
        <v>40</v>
      </c>
      <c r="P275" s="17">
        <v>45950</v>
      </c>
      <c r="Q275" s="18">
        <v>45951</v>
      </c>
      <c r="R275" s="9">
        <v>259</v>
      </c>
      <c r="S275" s="8" t="s">
        <v>32</v>
      </c>
      <c r="T275" s="8" t="s">
        <v>98</v>
      </c>
      <c r="U275" s="8" t="s">
        <v>860</v>
      </c>
      <c r="V275" s="8" t="s">
        <v>290</v>
      </c>
      <c r="W275" s="19"/>
    </row>
    <row r="276" spans="1:23" x14ac:dyDescent="0.25">
      <c r="A276" s="8" t="s">
        <v>251</v>
      </c>
      <c r="B276" s="8" t="str">
        <f t="shared" si="4"/>
        <v>GCX2D3545951</v>
      </c>
      <c r="C276" s="9" t="s">
        <v>224</v>
      </c>
      <c r="D276" s="10" t="s">
        <v>861</v>
      </c>
      <c r="E276" s="11" t="s">
        <v>862</v>
      </c>
      <c r="F276" s="12">
        <v>45936</v>
      </c>
      <c r="G276" s="13" t="s">
        <v>226</v>
      </c>
      <c r="H276" s="10" t="s">
        <v>27</v>
      </c>
      <c r="I276" s="14" t="s">
        <v>28</v>
      </c>
      <c r="J276" s="14" t="s">
        <v>29</v>
      </c>
      <c r="K276" s="15"/>
      <c r="L276" s="15"/>
      <c r="M276" s="16" t="s">
        <v>315</v>
      </c>
      <c r="N276" s="8" t="s">
        <v>228</v>
      </c>
      <c r="O276" s="8" t="s">
        <v>40</v>
      </c>
      <c r="P276" s="17" t="s">
        <v>187</v>
      </c>
      <c r="Q276" s="18">
        <v>45951</v>
      </c>
      <c r="R276" s="9">
        <v>15</v>
      </c>
      <c r="S276" s="8" t="s">
        <v>32</v>
      </c>
      <c r="T276" s="8" t="s">
        <v>863</v>
      </c>
      <c r="U276" s="8" t="s">
        <v>864</v>
      </c>
      <c r="V276" s="8" t="s">
        <v>320</v>
      </c>
      <c r="W276" s="19"/>
    </row>
    <row r="277" spans="1:23" x14ac:dyDescent="0.25">
      <c r="A277" s="8" t="s">
        <v>223</v>
      </c>
      <c r="B277" s="8" t="str">
        <f t="shared" si="4"/>
        <v>FJG5F0345951</v>
      </c>
      <c r="C277" s="9" t="s">
        <v>224</v>
      </c>
      <c r="D277" s="10" t="s">
        <v>865</v>
      </c>
      <c r="E277" s="11" t="s">
        <v>80</v>
      </c>
      <c r="F277" s="12">
        <v>45932</v>
      </c>
      <c r="G277" s="13" t="s">
        <v>226</v>
      </c>
      <c r="H277" s="10" t="s">
        <v>27</v>
      </c>
      <c r="I277" s="14" t="s">
        <v>28</v>
      </c>
      <c r="J277" s="14" t="s">
        <v>29</v>
      </c>
      <c r="K277" s="15"/>
      <c r="L277" s="15"/>
      <c r="M277" s="16" t="s">
        <v>227</v>
      </c>
      <c r="N277" s="8" t="s">
        <v>228</v>
      </c>
      <c r="O277" s="8" t="s">
        <v>40</v>
      </c>
      <c r="P277" s="17" t="s">
        <v>187</v>
      </c>
      <c r="Q277" s="18">
        <v>45951</v>
      </c>
      <c r="R277" s="9">
        <v>19</v>
      </c>
      <c r="S277" s="8" t="s">
        <v>32</v>
      </c>
      <c r="T277" s="8" t="s">
        <v>863</v>
      </c>
      <c r="U277" s="8" t="s">
        <v>271</v>
      </c>
      <c r="V277" s="8" t="s">
        <v>320</v>
      </c>
      <c r="W277" s="19"/>
    </row>
    <row r="278" spans="1:23" x14ac:dyDescent="0.25">
      <c r="A278" s="8" t="s">
        <v>866</v>
      </c>
      <c r="B278" s="8" t="str">
        <f t="shared" si="4"/>
        <v>SEF1D9245950</v>
      </c>
      <c r="C278" s="9" t="s">
        <v>50</v>
      </c>
      <c r="D278" s="10">
        <v>37767</v>
      </c>
      <c r="E278" s="11" t="s">
        <v>867</v>
      </c>
      <c r="F278" s="12">
        <v>45910</v>
      </c>
      <c r="G278" s="13" t="s">
        <v>743</v>
      </c>
      <c r="H278" s="10" t="s">
        <v>27</v>
      </c>
      <c r="I278" s="14" t="s">
        <v>28</v>
      </c>
      <c r="J278" s="14" t="s">
        <v>29</v>
      </c>
      <c r="K278" s="15"/>
      <c r="L278" s="15"/>
      <c r="M278" s="16" t="s">
        <v>387</v>
      </c>
      <c r="N278" s="8" t="s">
        <v>30</v>
      </c>
      <c r="O278" s="8" t="s">
        <v>388</v>
      </c>
      <c r="P278" s="17" t="s">
        <v>86</v>
      </c>
      <c r="Q278" s="18">
        <v>45950</v>
      </c>
      <c r="R278" s="9">
        <v>40</v>
      </c>
      <c r="S278" s="8" t="s">
        <v>32</v>
      </c>
      <c r="T278" s="8" t="s">
        <v>868</v>
      </c>
      <c r="U278" s="8" t="s">
        <v>110</v>
      </c>
      <c r="V278" s="8" t="s">
        <v>35</v>
      </c>
      <c r="W278" s="19"/>
    </row>
    <row r="279" spans="1:23" x14ac:dyDescent="0.25">
      <c r="A279" s="8" t="s">
        <v>869</v>
      </c>
      <c r="B279" s="8" t="str">
        <f t="shared" si="4"/>
        <v>SGH6H6945951</v>
      </c>
      <c r="C279" s="9" t="s">
        <v>96</v>
      </c>
      <c r="D279" s="10">
        <v>54936</v>
      </c>
      <c r="E279" s="11" t="s">
        <v>377</v>
      </c>
      <c r="F279" s="12">
        <v>45914</v>
      </c>
      <c r="G279" s="13" t="s">
        <v>39</v>
      </c>
      <c r="H279" s="10" t="s">
        <v>27</v>
      </c>
      <c r="I279" s="14" t="s">
        <v>28</v>
      </c>
      <c r="J279" s="14" t="s">
        <v>139</v>
      </c>
      <c r="K279" s="15"/>
      <c r="L279" s="15"/>
      <c r="M279" s="16" t="s">
        <v>326</v>
      </c>
      <c r="N279" s="8" t="s">
        <v>30</v>
      </c>
      <c r="O279" s="8" t="s">
        <v>40</v>
      </c>
      <c r="P279" s="17">
        <v>45955</v>
      </c>
      <c r="Q279" s="18">
        <v>45951</v>
      </c>
      <c r="R279" s="9">
        <v>37</v>
      </c>
      <c r="S279" s="8" t="s">
        <v>32</v>
      </c>
      <c r="T279" s="8" t="s">
        <v>711</v>
      </c>
      <c r="U279" s="8" t="s">
        <v>177</v>
      </c>
      <c r="V279" s="8" t="s">
        <v>35</v>
      </c>
      <c r="W279" s="19"/>
    </row>
    <row r="280" spans="1:23" x14ac:dyDescent="0.25">
      <c r="A280" s="8" t="s">
        <v>344</v>
      </c>
      <c r="B280" s="8" t="str">
        <f t="shared" si="4"/>
        <v>GJE0D5445951</v>
      </c>
      <c r="C280" s="9" t="s">
        <v>224</v>
      </c>
      <c r="D280" s="10">
        <v>93479</v>
      </c>
      <c r="E280" s="11" t="s">
        <v>870</v>
      </c>
      <c r="F280" s="12">
        <v>45950</v>
      </c>
      <c r="G280" s="13" t="s">
        <v>226</v>
      </c>
      <c r="H280" s="10" t="s">
        <v>27</v>
      </c>
      <c r="I280" s="14" t="s">
        <v>28</v>
      </c>
      <c r="J280" s="14" t="s">
        <v>139</v>
      </c>
      <c r="K280" s="15"/>
      <c r="L280" s="15"/>
      <c r="M280" s="16" t="s">
        <v>227</v>
      </c>
      <c r="N280" s="8" t="s">
        <v>228</v>
      </c>
      <c r="O280" s="8" t="s">
        <v>40</v>
      </c>
      <c r="P280" s="17" t="s">
        <v>187</v>
      </c>
      <c r="Q280" s="18">
        <v>45951</v>
      </c>
      <c r="R280" s="9">
        <v>1</v>
      </c>
      <c r="S280" s="8" t="s">
        <v>153</v>
      </c>
      <c r="T280" s="8" t="s">
        <v>98</v>
      </c>
      <c r="U280" s="8" t="s">
        <v>271</v>
      </c>
      <c r="V280" s="8" t="s">
        <v>320</v>
      </c>
      <c r="W280" s="19"/>
    </row>
    <row r="281" spans="1:23" x14ac:dyDescent="0.25">
      <c r="A281" s="8" t="s">
        <v>575</v>
      </c>
      <c r="B281" s="8" t="str">
        <f t="shared" si="4"/>
        <v>RVE1D4245951</v>
      </c>
      <c r="C281" s="9" t="s">
        <v>37</v>
      </c>
      <c r="D281" s="10" t="s">
        <v>383</v>
      </c>
      <c r="E281" s="11" t="s">
        <v>871</v>
      </c>
      <c r="F281" s="12">
        <v>45951</v>
      </c>
      <c r="G281" s="13" t="s">
        <v>872</v>
      </c>
      <c r="H281" s="10" t="s">
        <v>27</v>
      </c>
      <c r="I281" s="14" t="s">
        <v>28</v>
      </c>
      <c r="J281" s="14" t="s">
        <v>139</v>
      </c>
      <c r="K281" s="15"/>
      <c r="L281" s="15"/>
      <c r="M281" s="16" t="s">
        <v>560</v>
      </c>
      <c r="N281" s="8" t="s">
        <v>30</v>
      </c>
      <c r="O281" s="8" t="s">
        <v>40</v>
      </c>
      <c r="P281" s="17" t="s">
        <v>86</v>
      </c>
      <c r="Q281" s="18">
        <v>45951</v>
      </c>
      <c r="R281" s="9">
        <v>0</v>
      </c>
      <c r="S281" s="8" t="s">
        <v>153</v>
      </c>
      <c r="T281" s="8" t="s">
        <v>89</v>
      </c>
      <c r="U281" s="8" t="s">
        <v>54</v>
      </c>
      <c r="V281" s="8" t="s">
        <v>320</v>
      </c>
      <c r="W281" s="19"/>
    </row>
    <row r="282" spans="1:23" x14ac:dyDescent="0.25">
      <c r="A282" s="8" t="s">
        <v>873</v>
      </c>
      <c r="B282" s="8" t="str">
        <f t="shared" si="4"/>
        <v>SGI8I9645951</v>
      </c>
      <c r="C282" s="9" t="s">
        <v>96</v>
      </c>
      <c r="D282" s="10">
        <v>55705</v>
      </c>
      <c r="E282" s="11" t="s">
        <v>515</v>
      </c>
      <c r="F282" s="12">
        <v>45950</v>
      </c>
      <c r="G282" s="13" t="s">
        <v>872</v>
      </c>
      <c r="H282" s="10" t="s">
        <v>27</v>
      </c>
      <c r="I282" s="14" t="s">
        <v>28</v>
      </c>
      <c r="J282" s="14" t="s">
        <v>139</v>
      </c>
      <c r="K282" s="15"/>
      <c r="L282" s="15"/>
      <c r="M282" s="16" t="s">
        <v>560</v>
      </c>
      <c r="N282" s="8" t="s">
        <v>30</v>
      </c>
      <c r="O282" s="8" t="s">
        <v>40</v>
      </c>
      <c r="P282" s="17">
        <v>45950</v>
      </c>
      <c r="Q282" s="18">
        <v>45951</v>
      </c>
      <c r="R282" s="9">
        <v>1</v>
      </c>
      <c r="S282" s="8" t="s">
        <v>153</v>
      </c>
      <c r="T282" s="8" t="s">
        <v>89</v>
      </c>
      <c r="U282" s="8" t="s">
        <v>54</v>
      </c>
      <c r="V282" s="8" t="s">
        <v>320</v>
      </c>
      <c r="W282" s="19"/>
    </row>
    <row r="283" spans="1:23" x14ac:dyDescent="0.25">
      <c r="A283" s="8" t="s">
        <v>874</v>
      </c>
      <c r="B283" s="8" t="str">
        <f t="shared" si="4"/>
        <v>RUM3C1745951</v>
      </c>
      <c r="C283" s="9" t="s">
        <v>37</v>
      </c>
      <c r="D283" s="10" t="s">
        <v>383</v>
      </c>
      <c r="E283" s="11" t="s">
        <v>875</v>
      </c>
      <c r="F283" s="12">
        <v>45910</v>
      </c>
      <c r="G283" s="13" t="s">
        <v>123</v>
      </c>
      <c r="H283" s="10" t="s">
        <v>27</v>
      </c>
      <c r="I283" s="14" t="s">
        <v>28</v>
      </c>
      <c r="J283" s="14" t="s">
        <v>29</v>
      </c>
      <c r="K283" s="15"/>
      <c r="L283" s="15"/>
      <c r="M283" s="16" t="s">
        <v>237</v>
      </c>
      <c r="N283" s="8" t="s">
        <v>30</v>
      </c>
      <c r="O283" s="8" t="s">
        <v>31</v>
      </c>
      <c r="P283" s="17">
        <v>45951</v>
      </c>
      <c r="Q283" s="18">
        <v>45951</v>
      </c>
      <c r="R283" s="9">
        <v>41</v>
      </c>
      <c r="S283" s="8" t="s">
        <v>32</v>
      </c>
      <c r="T283" s="8" t="s">
        <v>782</v>
      </c>
      <c r="U283" s="8" t="s">
        <v>42</v>
      </c>
      <c r="V283" s="8" t="s">
        <v>35</v>
      </c>
      <c r="W283" s="19"/>
    </row>
    <row r="284" spans="1:23" x14ac:dyDescent="0.25">
      <c r="A284" s="8" t="s">
        <v>876</v>
      </c>
      <c r="B284" s="8" t="str">
        <f t="shared" si="4"/>
        <v>RUO6B0445951</v>
      </c>
      <c r="C284" s="9" t="s">
        <v>37</v>
      </c>
      <c r="D284" s="10">
        <v>121367</v>
      </c>
      <c r="E284" s="11" t="s">
        <v>877</v>
      </c>
      <c r="F284" s="12">
        <v>45887</v>
      </c>
      <c r="G284" s="13" t="s">
        <v>743</v>
      </c>
      <c r="H284" s="10" t="s">
        <v>27</v>
      </c>
      <c r="I284" s="14" t="s">
        <v>28</v>
      </c>
      <c r="J284" s="14" t="s">
        <v>139</v>
      </c>
      <c r="K284" s="15"/>
      <c r="L284" s="15"/>
      <c r="M284" s="16" t="s">
        <v>745</v>
      </c>
      <c r="N284" s="8" t="s">
        <v>30</v>
      </c>
      <c r="O284" s="8" t="s">
        <v>40</v>
      </c>
      <c r="P284" s="17">
        <v>45950</v>
      </c>
      <c r="Q284" s="18">
        <v>45951</v>
      </c>
      <c r="R284" s="9">
        <v>64</v>
      </c>
      <c r="S284" s="8" t="s">
        <v>32</v>
      </c>
      <c r="T284" s="8" t="s">
        <v>782</v>
      </c>
      <c r="U284" s="8" t="s">
        <v>63</v>
      </c>
      <c r="V284" s="8" t="s">
        <v>48</v>
      </c>
      <c r="W284" s="19"/>
    </row>
    <row r="285" spans="1:23" x14ac:dyDescent="0.25">
      <c r="A285" s="8" t="s">
        <v>878</v>
      </c>
      <c r="B285" s="8" t="str">
        <f t="shared" si="4"/>
        <v>SFW2E7745951</v>
      </c>
      <c r="C285" s="9" t="s">
        <v>96</v>
      </c>
      <c r="D285" s="10">
        <v>628030</v>
      </c>
      <c r="E285" s="11" t="s">
        <v>879</v>
      </c>
      <c r="F285" s="12">
        <v>45931</v>
      </c>
      <c r="G285" s="13" t="s">
        <v>39</v>
      </c>
      <c r="H285" s="10" t="s">
        <v>27</v>
      </c>
      <c r="I285" s="14" t="s">
        <v>176</v>
      </c>
      <c r="J285" s="14" t="s">
        <v>139</v>
      </c>
      <c r="K285" s="15"/>
      <c r="L285" s="15"/>
      <c r="M285" s="16" t="s">
        <v>326</v>
      </c>
      <c r="N285" s="8" t="s">
        <v>30</v>
      </c>
      <c r="O285" s="8" t="s">
        <v>40</v>
      </c>
      <c r="P285" s="17">
        <v>45955</v>
      </c>
      <c r="Q285" s="18">
        <v>45951</v>
      </c>
      <c r="R285" s="9">
        <v>20</v>
      </c>
      <c r="S285" s="8" t="s">
        <v>32</v>
      </c>
      <c r="T285" s="8" t="s">
        <v>711</v>
      </c>
      <c r="U285" s="8" t="s">
        <v>177</v>
      </c>
      <c r="V285" s="8" t="s">
        <v>320</v>
      </c>
      <c r="W285" s="19"/>
    </row>
    <row r="286" spans="1:23" x14ac:dyDescent="0.25">
      <c r="A286" s="8" t="s">
        <v>880</v>
      </c>
      <c r="B286" s="8" t="str">
        <f t="shared" si="4"/>
        <v>RUO6B3745924</v>
      </c>
      <c r="C286" s="9" t="s">
        <v>37</v>
      </c>
      <c r="D286" s="10">
        <v>166925</v>
      </c>
      <c r="E286" s="11" t="s">
        <v>31</v>
      </c>
      <c r="F286" s="12">
        <v>45867</v>
      </c>
      <c r="G286" s="13" t="s">
        <v>123</v>
      </c>
      <c r="H286" s="10" t="s">
        <v>27</v>
      </c>
      <c r="I286" s="14" t="s">
        <v>28</v>
      </c>
      <c r="J286" s="14" t="s">
        <v>139</v>
      </c>
      <c r="K286" s="15"/>
      <c r="L286" s="15"/>
      <c r="M286" s="16" t="s">
        <v>237</v>
      </c>
      <c r="N286" s="8" t="s">
        <v>30</v>
      </c>
      <c r="O286" s="8" t="s">
        <v>31</v>
      </c>
      <c r="P286" s="17" t="s">
        <v>86</v>
      </c>
      <c r="Q286" s="18">
        <v>45924</v>
      </c>
      <c r="R286" s="9">
        <v>57</v>
      </c>
      <c r="S286" s="8" t="s">
        <v>32</v>
      </c>
      <c r="T286" s="8" t="s">
        <v>782</v>
      </c>
      <c r="U286" s="8" t="s">
        <v>42</v>
      </c>
      <c r="V286" s="8" t="s">
        <v>83</v>
      </c>
      <c r="W286" s="19"/>
    </row>
    <row r="287" spans="1:23" x14ac:dyDescent="0.25">
      <c r="A287" s="8" t="s">
        <v>78</v>
      </c>
      <c r="B287" s="8" t="str">
        <f t="shared" si="4"/>
        <v>EOA8G9345951</v>
      </c>
      <c r="C287" s="9" t="s">
        <v>79</v>
      </c>
      <c r="D287" s="10">
        <v>76689</v>
      </c>
      <c r="E287" s="11" t="s">
        <v>881</v>
      </c>
      <c r="F287" s="12">
        <v>45841</v>
      </c>
      <c r="G287" s="13" t="s">
        <v>149</v>
      </c>
      <c r="H287" s="10" t="s">
        <v>27</v>
      </c>
      <c r="I287" s="14" t="s">
        <v>28</v>
      </c>
      <c r="J287" s="14" t="s">
        <v>139</v>
      </c>
      <c r="K287" s="15"/>
      <c r="L287" s="15"/>
      <c r="M287" s="16" t="s">
        <v>354</v>
      </c>
      <c r="N287" s="8" t="s">
        <v>30</v>
      </c>
      <c r="O287" s="8" t="s">
        <v>40</v>
      </c>
      <c r="P287" s="17" t="s">
        <v>187</v>
      </c>
      <c r="Q287" s="18">
        <v>45951</v>
      </c>
      <c r="R287" s="9">
        <v>110</v>
      </c>
      <c r="S287" s="8" t="s">
        <v>32</v>
      </c>
      <c r="T287" s="8" t="s">
        <v>81</v>
      </c>
      <c r="U287" s="8" t="s">
        <v>882</v>
      </c>
      <c r="V287" s="8" t="s">
        <v>83</v>
      </c>
      <c r="W287" s="19"/>
    </row>
    <row r="288" spans="1:23" x14ac:dyDescent="0.25">
      <c r="A288" s="8" t="s">
        <v>883</v>
      </c>
      <c r="B288" s="8" t="str">
        <f t="shared" si="4"/>
        <v>GEY9H0745951</v>
      </c>
      <c r="C288" s="9" t="s">
        <v>224</v>
      </c>
      <c r="D288" s="10" t="s">
        <v>884</v>
      </c>
      <c r="E288" s="11" t="s">
        <v>885</v>
      </c>
      <c r="F288" s="12">
        <v>45951</v>
      </c>
      <c r="G288" s="13" t="s">
        <v>226</v>
      </c>
      <c r="H288" s="10" t="s">
        <v>27</v>
      </c>
      <c r="I288" s="14" t="s">
        <v>28</v>
      </c>
      <c r="J288" s="14" t="s">
        <v>139</v>
      </c>
      <c r="K288" s="15"/>
      <c r="L288" s="15"/>
      <c r="M288" s="16" t="s">
        <v>315</v>
      </c>
      <c r="N288" s="8" t="s">
        <v>228</v>
      </c>
      <c r="O288" s="8" t="s">
        <v>40</v>
      </c>
      <c r="P288" s="17" t="s">
        <v>86</v>
      </c>
      <c r="Q288" s="18">
        <v>45951</v>
      </c>
      <c r="R288" s="9">
        <v>0</v>
      </c>
      <c r="S288" s="8" t="s">
        <v>153</v>
      </c>
      <c r="T288" s="8" t="s">
        <v>98</v>
      </c>
      <c r="U288" s="8" t="s">
        <v>254</v>
      </c>
      <c r="V288" s="8" t="s">
        <v>320</v>
      </c>
      <c r="W288" s="19"/>
    </row>
    <row r="289" spans="1:23" x14ac:dyDescent="0.25">
      <c r="A289" s="8" t="s">
        <v>886</v>
      </c>
      <c r="B289" s="8" t="str">
        <f t="shared" si="4"/>
        <v>SDT9G91 45951</v>
      </c>
      <c r="C289" s="9" t="s">
        <v>50</v>
      </c>
      <c r="D289" s="10">
        <v>53000</v>
      </c>
      <c r="E289" s="11" t="s">
        <v>533</v>
      </c>
      <c r="F289" s="12">
        <v>45944</v>
      </c>
      <c r="G289" s="13" t="s">
        <v>743</v>
      </c>
      <c r="H289" s="10" t="s">
        <v>27</v>
      </c>
      <c r="I289" s="14" t="s">
        <v>28</v>
      </c>
      <c r="J289" s="14" t="s">
        <v>139</v>
      </c>
      <c r="K289" s="15"/>
      <c r="L289" s="15"/>
      <c r="M289" s="16" t="s">
        <v>387</v>
      </c>
      <c r="N289" s="8" t="s">
        <v>30</v>
      </c>
      <c r="O289" s="8" t="s">
        <v>388</v>
      </c>
      <c r="P289" s="17">
        <v>45951</v>
      </c>
      <c r="Q289" s="18">
        <v>45951</v>
      </c>
      <c r="R289" s="9">
        <v>7</v>
      </c>
      <c r="S289" s="8" t="s">
        <v>32</v>
      </c>
      <c r="T289" s="8" t="s">
        <v>887</v>
      </c>
      <c r="U289" s="8" t="s">
        <v>888</v>
      </c>
      <c r="V289" s="8" t="s">
        <v>320</v>
      </c>
      <c r="W289" s="19"/>
    </row>
    <row r="290" spans="1:23" x14ac:dyDescent="0.25">
      <c r="A290" s="8" t="s">
        <v>889</v>
      </c>
      <c r="B290" s="8" t="str">
        <f t="shared" si="4"/>
        <v>SFT5B0245952</v>
      </c>
      <c r="C290" s="9" t="s">
        <v>96</v>
      </c>
      <c r="D290" s="10">
        <v>58885</v>
      </c>
      <c r="E290" s="11" t="s">
        <v>890</v>
      </c>
      <c r="F290" s="12">
        <v>45931</v>
      </c>
      <c r="G290" s="13" t="s">
        <v>39</v>
      </c>
      <c r="H290" s="10" t="s">
        <v>27</v>
      </c>
      <c r="I290" s="14" t="s">
        <v>28</v>
      </c>
      <c r="J290" s="14" t="s">
        <v>29</v>
      </c>
      <c r="K290" s="15">
        <v>27171</v>
      </c>
      <c r="L290" s="15">
        <v>2620</v>
      </c>
      <c r="M290" s="16" t="s">
        <v>357</v>
      </c>
      <c r="N290" s="8" t="s">
        <v>30</v>
      </c>
      <c r="O290" s="8" t="s">
        <v>40</v>
      </c>
      <c r="P290" s="17">
        <v>45954</v>
      </c>
      <c r="Q290" s="18">
        <v>45952</v>
      </c>
      <c r="R290" s="9">
        <v>21</v>
      </c>
      <c r="S290" s="8" t="s">
        <v>32</v>
      </c>
      <c r="T290" s="8" t="s">
        <v>891</v>
      </c>
      <c r="U290" s="8" t="s">
        <v>303</v>
      </c>
      <c r="V290" s="8" t="s">
        <v>313</v>
      </c>
      <c r="W290" s="19"/>
    </row>
    <row r="291" spans="1:23" x14ac:dyDescent="0.25">
      <c r="A291" s="8" t="s">
        <v>892</v>
      </c>
      <c r="B291" s="8" t="str">
        <f t="shared" si="4"/>
        <v>SGH0H4045952</v>
      </c>
      <c r="C291" s="9" t="s">
        <v>96</v>
      </c>
      <c r="D291" s="10">
        <v>51528</v>
      </c>
      <c r="E291" s="11" t="s">
        <v>764</v>
      </c>
      <c r="F291" s="12">
        <v>45943</v>
      </c>
      <c r="G291" s="13" t="s">
        <v>39</v>
      </c>
      <c r="H291" s="10" t="s">
        <v>27</v>
      </c>
      <c r="I291" s="14" t="s">
        <v>893</v>
      </c>
      <c r="J291" s="14" t="s">
        <v>29</v>
      </c>
      <c r="K291" s="15"/>
      <c r="L291" s="15"/>
      <c r="M291" s="16" t="s">
        <v>207</v>
      </c>
      <c r="N291" s="8" t="s">
        <v>30</v>
      </c>
      <c r="O291" s="8" t="s">
        <v>40</v>
      </c>
      <c r="P291" s="17">
        <v>45953</v>
      </c>
      <c r="Q291" s="18">
        <v>45952</v>
      </c>
      <c r="R291" s="9">
        <v>9</v>
      </c>
      <c r="S291" s="8" t="s">
        <v>32</v>
      </c>
      <c r="T291" s="8" t="s">
        <v>669</v>
      </c>
      <c r="U291" s="8" t="s">
        <v>279</v>
      </c>
      <c r="V291" s="8" t="s">
        <v>320</v>
      </c>
      <c r="W291" s="19"/>
    </row>
    <row r="292" spans="1:23" x14ac:dyDescent="0.25">
      <c r="A292" s="8" t="s">
        <v>894</v>
      </c>
      <c r="B292" s="8" t="str">
        <f t="shared" si="4"/>
        <v>SFW2C6645952</v>
      </c>
      <c r="C292" s="9" t="s">
        <v>96</v>
      </c>
      <c r="D292" s="10">
        <v>47033</v>
      </c>
      <c r="E292" s="11" t="s">
        <v>895</v>
      </c>
      <c r="F292" s="12">
        <v>45951</v>
      </c>
      <c r="G292" s="13" t="s">
        <v>39</v>
      </c>
      <c r="H292" s="10" t="s">
        <v>27</v>
      </c>
      <c r="I292" s="14" t="s">
        <v>28</v>
      </c>
      <c r="J292" s="14" t="s">
        <v>139</v>
      </c>
      <c r="K292" s="15"/>
      <c r="L292" s="15"/>
      <c r="M292" s="16" t="s">
        <v>896</v>
      </c>
      <c r="N292" s="8" t="s">
        <v>30</v>
      </c>
      <c r="O292" s="8" t="s">
        <v>40</v>
      </c>
      <c r="P292" s="17" t="s">
        <v>86</v>
      </c>
      <c r="Q292" s="18">
        <v>45952</v>
      </c>
      <c r="R292" s="9">
        <v>1</v>
      </c>
      <c r="S292" s="8" t="s">
        <v>153</v>
      </c>
      <c r="T292" s="8" t="s">
        <v>897</v>
      </c>
      <c r="U292" s="8" t="s">
        <v>898</v>
      </c>
      <c r="V292" s="8" t="s">
        <v>320</v>
      </c>
      <c r="W292" s="19"/>
    </row>
    <row r="293" spans="1:23" x14ac:dyDescent="0.25">
      <c r="A293" s="8" t="s">
        <v>625</v>
      </c>
      <c r="B293" s="8" t="str">
        <f t="shared" si="4"/>
        <v>SFN0B5645952</v>
      </c>
      <c r="C293" s="9" t="s">
        <v>168</v>
      </c>
      <c r="D293" s="10" t="s">
        <v>383</v>
      </c>
      <c r="E293" s="11" t="s">
        <v>899</v>
      </c>
      <c r="F293" s="12">
        <v>45939</v>
      </c>
      <c r="G293" s="13" t="s">
        <v>123</v>
      </c>
      <c r="H293" s="10" t="s">
        <v>27</v>
      </c>
      <c r="I293" s="14" t="s">
        <v>28</v>
      </c>
      <c r="J293" s="14" t="s">
        <v>29</v>
      </c>
      <c r="K293" s="15"/>
      <c r="L293" s="15"/>
      <c r="M293" s="16" t="s">
        <v>326</v>
      </c>
      <c r="N293" s="8" t="s">
        <v>30</v>
      </c>
      <c r="O293" s="8" t="s">
        <v>40</v>
      </c>
      <c r="P293" s="17">
        <v>45954</v>
      </c>
      <c r="Q293" s="18">
        <v>45952</v>
      </c>
      <c r="R293" s="9">
        <v>13</v>
      </c>
      <c r="S293" s="8" t="s">
        <v>32</v>
      </c>
      <c r="T293" s="8" t="s">
        <v>98</v>
      </c>
      <c r="U293" s="8" t="s">
        <v>177</v>
      </c>
      <c r="V293" s="8" t="s">
        <v>320</v>
      </c>
      <c r="W293" s="19"/>
    </row>
    <row r="294" spans="1:23" x14ac:dyDescent="0.25">
      <c r="A294" s="8" t="s">
        <v>463</v>
      </c>
      <c r="B294" s="8" t="str">
        <f t="shared" si="4"/>
        <v>SGH8C3945952</v>
      </c>
      <c r="C294" s="9" t="s">
        <v>96</v>
      </c>
      <c r="D294" s="10">
        <v>79972</v>
      </c>
      <c r="E294" s="11" t="s">
        <v>768</v>
      </c>
      <c r="F294" s="12">
        <v>45936</v>
      </c>
      <c r="G294" s="13" t="s">
        <v>39</v>
      </c>
      <c r="H294" s="10" t="s">
        <v>27</v>
      </c>
      <c r="I294" s="14" t="s">
        <v>28</v>
      </c>
      <c r="J294" s="14" t="s">
        <v>139</v>
      </c>
      <c r="K294" s="15"/>
      <c r="L294" s="15"/>
      <c r="M294" s="16" t="s">
        <v>329</v>
      </c>
      <c r="N294" s="8" t="s">
        <v>30</v>
      </c>
      <c r="O294" s="8" t="s">
        <v>40</v>
      </c>
      <c r="P294" s="17">
        <v>45952</v>
      </c>
      <c r="Q294" s="18">
        <v>45952</v>
      </c>
      <c r="R294" s="9">
        <v>16</v>
      </c>
      <c r="S294" s="8" t="s">
        <v>32</v>
      </c>
      <c r="T294" s="8" t="s">
        <v>900</v>
      </c>
      <c r="U294" s="8" t="s">
        <v>465</v>
      </c>
      <c r="V294" s="8" t="s">
        <v>320</v>
      </c>
      <c r="W294" s="19"/>
    </row>
    <row r="295" spans="1:23" x14ac:dyDescent="0.25">
      <c r="A295" s="8" t="s">
        <v>901</v>
      </c>
      <c r="B295" s="8" t="str">
        <f t="shared" si="4"/>
        <v>SGH6H6645952</v>
      </c>
      <c r="C295" s="9" t="s">
        <v>96</v>
      </c>
      <c r="D295" s="10">
        <v>116491</v>
      </c>
      <c r="E295" s="11" t="s">
        <v>902</v>
      </c>
      <c r="F295" s="12">
        <v>45946</v>
      </c>
      <c r="G295" s="13" t="s">
        <v>39</v>
      </c>
      <c r="H295" s="10" t="s">
        <v>27</v>
      </c>
      <c r="I295" s="14" t="s">
        <v>28</v>
      </c>
      <c r="J295" s="14" t="s">
        <v>139</v>
      </c>
      <c r="K295" s="15"/>
      <c r="L295" s="15"/>
      <c r="M295" s="16" t="s">
        <v>903</v>
      </c>
      <c r="N295" s="8" t="s">
        <v>30</v>
      </c>
      <c r="O295" s="8" t="s">
        <v>40</v>
      </c>
      <c r="P295" s="17" t="s">
        <v>86</v>
      </c>
      <c r="Q295" s="18">
        <v>45952</v>
      </c>
      <c r="R295" s="9">
        <v>6</v>
      </c>
      <c r="S295" s="8" t="s">
        <v>32</v>
      </c>
      <c r="T295" s="8" t="s">
        <v>66</v>
      </c>
      <c r="U295" s="8" t="s">
        <v>465</v>
      </c>
      <c r="V295" s="8" t="s">
        <v>320</v>
      </c>
      <c r="W295" s="19"/>
    </row>
    <row r="296" spans="1:23" x14ac:dyDescent="0.25">
      <c r="A296" s="8" t="s">
        <v>904</v>
      </c>
      <c r="B296" s="8" t="str">
        <f t="shared" si="4"/>
        <v>RTM7G7945952</v>
      </c>
      <c r="C296" s="9" t="s">
        <v>905</v>
      </c>
      <c r="D296" s="10">
        <v>155503</v>
      </c>
      <c r="E296" s="11" t="s">
        <v>906</v>
      </c>
      <c r="F296" s="12">
        <v>45944</v>
      </c>
      <c r="G296" s="13" t="s">
        <v>138</v>
      </c>
      <c r="H296" s="10" t="s">
        <v>27</v>
      </c>
      <c r="I296" s="14" t="s">
        <v>28</v>
      </c>
      <c r="J296" s="14" t="s">
        <v>139</v>
      </c>
      <c r="K296" s="15"/>
      <c r="L296" s="15"/>
      <c r="M296" s="16" t="s">
        <v>343</v>
      </c>
      <c r="N296" s="8" t="s">
        <v>30</v>
      </c>
      <c r="O296" s="8" t="s">
        <v>40</v>
      </c>
      <c r="P296" s="17">
        <v>45952</v>
      </c>
      <c r="Q296" s="18">
        <v>45952</v>
      </c>
      <c r="R296" s="9">
        <v>8</v>
      </c>
      <c r="S296" s="8" t="s">
        <v>32</v>
      </c>
      <c r="T296" s="8" t="s">
        <v>782</v>
      </c>
      <c r="U296" s="8" t="s">
        <v>500</v>
      </c>
      <c r="V296" s="8" t="s">
        <v>320</v>
      </c>
      <c r="W296" s="19"/>
    </row>
    <row r="297" spans="1:23" x14ac:dyDescent="0.25">
      <c r="A297" s="8" t="s">
        <v>907</v>
      </c>
      <c r="B297" s="8" t="str">
        <f t="shared" si="4"/>
        <v>GCP5D3445952</v>
      </c>
      <c r="C297" s="9" t="s">
        <v>224</v>
      </c>
      <c r="D297" s="10">
        <v>108802</v>
      </c>
      <c r="E297" s="11" t="s">
        <v>908</v>
      </c>
      <c r="F297" s="12">
        <v>45881</v>
      </c>
      <c r="G297" s="13" t="s">
        <v>226</v>
      </c>
      <c r="H297" s="10" t="s">
        <v>27</v>
      </c>
      <c r="I297" s="14" t="s">
        <v>28</v>
      </c>
      <c r="J297" s="14" t="s">
        <v>29</v>
      </c>
      <c r="K297" s="15"/>
      <c r="L297" s="15"/>
      <c r="M297" s="16" t="s">
        <v>227</v>
      </c>
      <c r="N297" s="8" t="s">
        <v>228</v>
      </c>
      <c r="O297" s="8" t="s">
        <v>40</v>
      </c>
      <c r="P297" s="17">
        <v>45952</v>
      </c>
      <c r="Q297" s="18">
        <v>45952</v>
      </c>
      <c r="R297" s="9">
        <v>71</v>
      </c>
      <c r="S297" s="8" t="s">
        <v>32</v>
      </c>
      <c r="T297" s="8" t="s">
        <v>863</v>
      </c>
      <c r="U297" s="8" t="s">
        <v>271</v>
      </c>
      <c r="V297" s="8" t="s">
        <v>48</v>
      </c>
      <c r="W297" s="19"/>
    </row>
    <row r="298" spans="1:23" x14ac:dyDescent="0.25">
      <c r="A298" s="8" t="s">
        <v>909</v>
      </c>
      <c r="B298" s="8" t="str">
        <f t="shared" si="4"/>
        <v>RNG4F4845952</v>
      </c>
      <c r="C298" s="9" t="s">
        <v>44</v>
      </c>
      <c r="D298" s="10">
        <v>1307336</v>
      </c>
      <c r="E298" s="11" t="s">
        <v>493</v>
      </c>
      <c r="F298" s="12">
        <v>45941</v>
      </c>
      <c r="G298" s="13" t="s">
        <v>123</v>
      </c>
      <c r="H298" s="10" t="s">
        <v>27</v>
      </c>
      <c r="I298" s="14" t="s">
        <v>28</v>
      </c>
      <c r="J298" s="14" t="s">
        <v>29</v>
      </c>
      <c r="K298" s="15">
        <v>4453.8</v>
      </c>
      <c r="L298" s="15">
        <v>4300</v>
      </c>
      <c r="M298" s="16" t="s">
        <v>237</v>
      </c>
      <c r="N298" s="8" t="s">
        <v>30</v>
      </c>
      <c r="O298" s="8" t="s">
        <v>40</v>
      </c>
      <c r="P298" s="17">
        <v>45954</v>
      </c>
      <c r="Q298" s="18">
        <v>45952</v>
      </c>
      <c r="R298" s="9">
        <v>11</v>
      </c>
      <c r="S298" s="8" t="s">
        <v>32</v>
      </c>
      <c r="T298" s="8" t="s">
        <v>41</v>
      </c>
      <c r="U298" s="8" t="s">
        <v>42</v>
      </c>
      <c r="V298" s="8" t="s">
        <v>320</v>
      </c>
      <c r="W298" s="19"/>
    </row>
    <row r="299" spans="1:23" x14ac:dyDescent="0.25">
      <c r="A299" s="8" t="s">
        <v>910</v>
      </c>
      <c r="B299" s="8" t="str">
        <f t="shared" si="4"/>
        <v>RVH5G7245952</v>
      </c>
      <c r="C299" s="9" t="s">
        <v>505</v>
      </c>
      <c r="D299" s="10">
        <v>165684</v>
      </c>
      <c r="E299" s="11" t="s">
        <v>911</v>
      </c>
      <c r="F299" s="12">
        <v>45950</v>
      </c>
      <c r="G299" s="13" t="s">
        <v>872</v>
      </c>
      <c r="H299" s="10" t="s">
        <v>27</v>
      </c>
      <c r="I299" s="14" t="s">
        <v>28</v>
      </c>
      <c r="J299" s="14" t="s">
        <v>139</v>
      </c>
      <c r="K299" s="15"/>
      <c r="L299" s="15"/>
      <c r="M299" s="16" t="s">
        <v>560</v>
      </c>
      <c r="N299" s="8" t="s">
        <v>30</v>
      </c>
      <c r="O299" s="8" t="s">
        <v>40</v>
      </c>
      <c r="P299" s="17" t="s">
        <v>86</v>
      </c>
      <c r="Q299" s="18">
        <v>45952</v>
      </c>
      <c r="R299" s="9">
        <v>2</v>
      </c>
      <c r="S299" s="8" t="s">
        <v>153</v>
      </c>
      <c r="T299" s="8" t="s">
        <v>89</v>
      </c>
      <c r="U299" s="8" t="s">
        <v>54</v>
      </c>
      <c r="V299" s="8" t="s">
        <v>320</v>
      </c>
      <c r="W299" s="19"/>
    </row>
    <row r="300" spans="1:23" x14ac:dyDescent="0.25">
      <c r="A300" s="8" t="s">
        <v>912</v>
      </c>
      <c r="B300" s="8" t="str">
        <f t="shared" si="4"/>
        <v>SGF8J3445966</v>
      </c>
      <c r="C300" s="9" t="s">
        <v>157</v>
      </c>
      <c r="D300" s="10">
        <v>62410</v>
      </c>
      <c r="E300" s="11" t="s">
        <v>768</v>
      </c>
      <c r="F300" s="12">
        <v>45877</v>
      </c>
      <c r="G300" s="13" t="s">
        <v>39</v>
      </c>
      <c r="H300" s="10" t="s">
        <v>27</v>
      </c>
      <c r="I300" s="14" t="s">
        <v>28</v>
      </c>
      <c r="J300" s="14" t="s">
        <v>29</v>
      </c>
      <c r="K300" s="15"/>
      <c r="L300" s="15"/>
      <c r="M300" s="16" t="s">
        <v>374</v>
      </c>
      <c r="N300" s="8" t="s">
        <v>30</v>
      </c>
      <c r="O300" s="8" t="s">
        <v>40</v>
      </c>
      <c r="P300" s="17">
        <v>45957</v>
      </c>
      <c r="Q300" s="18">
        <v>45966</v>
      </c>
      <c r="R300" s="9">
        <v>98</v>
      </c>
      <c r="S300" s="8" t="s">
        <v>32</v>
      </c>
      <c r="T300" s="8" t="s">
        <v>392</v>
      </c>
      <c r="U300" s="8" t="s">
        <v>393</v>
      </c>
      <c r="V300" s="8" t="s">
        <v>48</v>
      </c>
      <c r="W300" s="19"/>
    </row>
    <row r="301" spans="1:23" x14ac:dyDescent="0.25">
      <c r="A301" s="8" t="s">
        <v>913</v>
      </c>
      <c r="B301" s="8" t="str">
        <f t="shared" si="4"/>
        <v>SFN0C5945952</v>
      </c>
      <c r="C301" s="9" t="s">
        <v>626</v>
      </c>
      <c r="D301" s="10" t="s">
        <v>914</v>
      </c>
      <c r="E301" s="11" t="s">
        <v>915</v>
      </c>
      <c r="F301" s="12">
        <v>45939</v>
      </c>
      <c r="G301" s="13" t="s">
        <v>226</v>
      </c>
      <c r="H301" s="10" t="s">
        <v>27</v>
      </c>
      <c r="I301" s="14" t="s">
        <v>28</v>
      </c>
      <c r="J301" s="14" t="s">
        <v>139</v>
      </c>
      <c r="K301" s="15"/>
      <c r="L301" s="15"/>
      <c r="M301" s="16" t="s">
        <v>454</v>
      </c>
      <c r="N301" s="8" t="s">
        <v>172</v>
      </c>
      <c r="O301" s="8" t="s">
        <v>40</v>
      </c>
      <c r="P301" s="17" t="s">
        <v>86</v>
      </c>
      <c r="Q301" s="18">
        <v>45952</v>
      </c>
      <c r="R301" s="9">
        <v>13</v>
      </c>
      <c r="S301" s="8" t="s">
        <v>32</v>
      </c>
      <c r="T301" s="8" t="s">
        <v>98</v>
      </c>
      <c r="U301" s="8" t="s">
        <v>831</v>
      </c>
      <c r="V301" s="8" t="s">
        <v>320</v>
      </c>
      <c r="W301" s="19"/>
    </row>
    <row r="302" spans="1:23" x14ac:dyDescent="0.25">
      <c r="A302" s="8" t="s">
        <v>916</v>
      </c>
      <c r="B302" s="8" t="str">
        <f t="shared" si="4"/>
        <v>RNE4J0245952</v>
      </c>
      <c r="C302" s="9" t="s">
        <v>44</v>
      </c>
      <c r="D302" s="10"/>
      <c r="E302" s="11" t="s">
        <v>917</v>
      </c>
      <c r="F302" s="12">
        <v>45952</v>
      </c>
      <c r="G302" s="13" t="s">
        <v>138</v>
      </c>
      <c r="H302" s="10" t="s">
        <v>27</v>
      </c>
      <c r="I302" s="14" t="s">
        <v>28</v>
      </c>
      <c r="J302" s="14" t="s">
        <v>139</v>
      </c>
      <c r="K302" s="15"/>
      <c r="L302" s="15"/>
      <c r="M302" s="16" t="s">
        <v>343</v>
      </c>
      <c r="N302" s="8" t="s">
        <v>30</v>
      </c>
      <c r="O302" s="8" t="s">
        <v>40</v>
      </c>
      <c r="P302" s="17" t="s">
        <v>86</v>
      </c>
      <c r="Q302" s="18">
        <v>45952</v>
      </c>
      <c r="R302" s="9">
        <v>0</v>
      </c>
      <c r="S302" s="8" t="s">
        <v>153</v>
      </c>
      <c r="T302" s="8" t="s">
        <v>98</v>
      </c>
      <c r="U302" s="8" t="s">
        <v>500</v>
      </c>
      <c r="V302" s="8" t="s">
        <v>320</v>
      </c>
      <c r="W302" s="19"/>
    </row>
    <row r="303" spans="1:23" x14ac:dyDescent="0.25">
      <c r="A303" s="8" t="s">
        <v>918</v>
      </c>
      <c r="B303" s="8" t="str">
        <f t="shared" si="4"/>
        <v>QPC0J2845953</v>
      </c>
      <c r="C303" s="9" t="s">
        <v>44</v>
      </c>
      <c r="D303" s="10">
        <v>155000</v>
      </c>
      <c r="E303" s="11" t="s">
        <v>919</v>
      </c>
      <c r="F303" s="12">
        <v>45945</v>
      </c>
      <c r="G303" s="13" t="s">
        <v>138</v>
      </c>
      <c r="H303" s="10" t="s">
        <v>27</v>
      </c>
      <c r="I303" s="14" t="s">
        <v>28</v>
      </c>
      <c r="J303" s="14" t="s">
        <v>29</v>
      </c>
      <c r="K303" s="15"/>
      <c r="L303" s="15"/>
      <c r="M303" s="16" t="s">
        <v>233</v>
      </c>
      <c r="N303" s="8" t="s">
        <v>30</v>
      </c>
      <c r="O303" s="8" t="s">
        <v>40</v>
      </c>
      <c r="P303" s="17">
        <v>45953</v>
      </c>
      <c r="Q303" s="18">
        <v>45953</v>
      </c>
      <c r="R303" s="9">
        <v>8</v>
      </c>
      <c r="S303" s="8" t="s">
        <v>32</v>
      </c>
      <c r="T303" s="8" t="s">
        <v>782</v>
      </c>
      <c r="U303" s="8" t="s">
        <v>234</v>
      </c>
      <c r="V303" s="8" t="s">
        <v>320</v>
      </c>
      <c r="W303" s="19"/>
    </row>
    <row r="304" spans="1:23" x14ac:dyDescent="0.25">
      <c r="A304" s="8" t="s">
        <v>920</v>
      </c>
      <c r="B304" s="8" t="str">
        <f t="shared" si="4"/>
        <v>RVH5G7545953</v>
      </c>
      <c r="C304" s="9" t="s">
        <v>505</v>
      </c>
      <c r="D304" s="10">
        <v>147266</v>
      </c>
      <c r="E304" s="11" t="s">
        <v>921</v>
      </c>
      <c r="F304" s="12">
        <v>45872</v>
      </c>
      <c r="G304" s="13" t="s">
        <v>872</v>
      </c>
      <c r="H304" s="10" t="s">
        <v>27</v>
      </c>
      <c r="I304" s="14" t="s">
        <v>28</v>
      </c>
      <c r="J304" s="14" t="s">
        <v>139</v>
      </c>
      <c r="K304" s="15"/>
      <c r="L304" s="15"/>
      <c r="M304" s="16" t="s">
        <v>560</v>
      </c>
      <c r="N304" s="8" t="s">
        <v>30</v>
      </c>
      <c r="O304" s="8" t="s">
        <v>40</v>
      </c>
      <c r="P304" s="17" t="s">
        <v>86</v>
      </c>
      <c r="Q304" s="18">
        <v>45953</v>
      </c>
      <c r="R304" s="9">
        <v>81</v>
      </c>
      <c r="S304" s="8" t="s">
        <v>32</v>
      </c>
      <c r="T304" s="8" t="s">
        <v>922</v>
      </c>
      <c r="U304" s="8" t="s">
        <v>54</v>
      </c>
      <c r="V304" s="8" t="s">
        <v>48</v>
      </c>
      <c r="W304" s="19"/>
    </row>
    <row r="305" spans="1:23" x14ac:dyDescent="0.25">
      <c r="A305" s="8" t="s">
        <v>737</v>
      </c>
      <c r="B305" s="8" t="str">
        <f t="shared" si="4"/>
        <v>JCJ0D3945953</v>
      </c>
      <c r="C305" s="9" t="s">
        <v>24</v>
      </c>
      <c r="D305" s="10">
        <v>70812</v>
      </c>
      <c r="E305" s="11" t="s">
        <v>923</v>
      </c>
      <c r="F305" s="12">
        <v>45951</v>
      </c>
      <c r="G305" s="13" t="s">
        <v>123</v>
      </c>
      <c r="H305" s="10" t="s">
        <v>27</v>
      </c>
      <c r="I305" s="14" t="s">
        <v>28</v>
      </c>
      <c r="J305" s="14" t="s">
        <v>29</v>
      </c>
      <c r="K305" s="15">
        <v>250</v>
      </c>
      <c r="L305" s="15">
        <v>230</v>
      </c>
      <c r="M305" s="16" t="s">
        <v>237</v>
      </c>
      <c r="N305" s="8" t="s">
        <v>30</v>
      </c>
      <c r="O305" s="8" t="s">
        <v>40</v>
      </c>
      <c r="P305" s="17">
        <v>45953</v>
      </c>
      <c r="Q305" s="18">
        <v>45953</v>
      </c>
      <c r="R305" s="9">
        <v>2</v>
      </c>
      <c r="S305" s="8" t="s">
        <v>153</v>
      </c>
      <c r="T305" s="8" t="s">
        <v>41</v>
      </c>
      <c r="U305" s="8" t="s">
        <v>42</v>
      </c>
      <c r="V305" s="8" t="s">
        <v>320</v>
      </c>
      <c r="W305" s="19"/>
    </row>
    <row r="306" spans="1:23" x14ac:dyDescent="0.25">
      <c r="A306" s="8" t="s">
        <v>71</v>
      </c>
      <c r="B306" s="8" t="str">
        <f t="shared" si="4"/>
        <v>RNJ9C9745953</v>
      </c>
      <c r="C306" s="9" t="s">
        <v>72</v>
      </c>
      <c r="D306" s="10">
        <v>15217</v>
      </c>
      <c r="E306" s="11" t="s">
        <v>31</v>
      </c>
      <c r="F306" s="12">
        <v>45950</v>
      </c>
      <c r="G306" s="13" t="s">
        <v>184</v>
      </c>
      <c r="H306" s="10" t="s">
        <v>27</v>
      </c>
      <c r="I306" s="14" t="s">
        <v>28</v>
      </c>
      <c r="J306" s="14" t="s">
        <v>29</v>
      </c>
      <c r="K306" s="15">
        <v>5062</v>
      </c>
      <c r="L306" s="15">
        <v>4800</v>
      </c>
      <c r="M306" s="16" t="s">
        <v>924</v>
      </c>
      <c r="N306" s="8" t="s">
        <v>30</v>
      </c>
      <c r="O306" s="8" t="s">
        <v>31</v>
      </c>
      <c r="P306" s="17">
        <v>45953</v>
      </c>
      <c r="Q306" s="18">
        <v>45953</v>
      </c>
      <c r="R306" s="9">
        <v>3</v>
      </c>
      <c r="S306" s="8" t="s">
        <v>32</v>
      </c>
      <c r="T306" s="8" t="s">
        <v>74</v>
      </c>
      <c r="U306" s="8" t="s">
        <v>75</v>
      </c>
      <c r="V306" s="8" t="s">
        <v>320</v>
      </c>
      <c r="W306" s="19"/>
    </row>
    <row r="307" spans="1:23" x14ac:dyDescent="0.25">
      <c r="A307" s="8" t="s">
        <v>925</v>
      </c>
      <c r="B307" s="8" t="str">
        <f t="shared" si="4"/>
        <v>SVC1A9645953</v>
      </c>
      <c r="C307" s="9" t="s">
        <v>926</v>
      </c>
      <c r="D307" s="10">
        <v>612580</v>
      </c>
      <c r="E307" s="11" t="s">
        <v>927</v>
      </c>
      <c r="F307" s="12">
        <v>45925</v>
      </c>
      <c r="G307" s="13" t="s">
        <v>123</v>
      </c>
      <c r="H307" s="10" t="s">
        <v>27</v>
      </c>
      <c r="I307" s="14" t="s">
        <v>28</v>
      </c>
      <c r="J307" s="14" t="s">
        <v>139</v>
      </c>
      <c r="K307" s="15"/>
      <c r="L307" s="15"/>
      <c r="M307" s="16" t="s">
        <v>374</v>
      </c>
      <c r="N307" s="8" t="s">
        <v>30</v>
      </c>
      <c r="O307" s="8" t="s">
        <v>40</v>
      </c>
      <c r="P307" s="17" t="s">
        <v>811</v>
      </c>
      <c r="Q307" s="18">
        <v>45953</v>
      </c>
      <c r="R307" s="9">
        <v>28</v>
      </c>
      <c r="S307" s="8" t="s">
        <v>32</v>
      </c>
      <c r="T307" s="8" t="s">
        <v>392</v>
      </c>
      <c r="U307" s="8" t="s">
        <v>393</v>
      </c>
      <c r="V307" s="8" t="s">
        <v>35</v>
      </c>
      <c r="W307" s="19"/>
    </row>
    <row r="308" spans="1:23" x14ac:dyDescent="0.25">
      <c r="A308" s="8" t="s">
        <v>656</v>
      </c>
      <c r="B308" s="8" t="str">
        <f t="shared" si="4"/>
        <v>RVG0G1045953</v>
      </c>
      <c r="C308" s="9" t="s">
        <v>505</v>
      </c>
      <c r="D308" s="10">
        <v>99441</v>
      </c>
      <c r="E308" s="11" t="s">
        <v>928</v>
      </c>
      <c r="F308" s="12">
        <v>45950</v>
      </c>
      <c r="G308" s="13" t="s">
        <v>184</v>
      </c>
      <c r="H308" s="10" t="s">
        <v>27</v>
      </c>
      <c r="I308" s="14" t="s">
        <v>28</v>
      </c>
      <c r="J308" s="14" t="s">
        <v>29</v>
      </c>
      <c r="K308" s="15">
        <v>1088.3</v>
      </c>
      <c r="L308" s="15"/>
      <c r="M308" s="16" t="s">
        <v>929</v>
      </c>
      <c r="N308" s="8" t="s">
        <v>30</v>
      </c>
      <c r="O308" s="8" t="s">
        <v>40</v>
      </c>
      <c r="P308" s="17">
        <v>45952</v>
      </c>
      <c r="Q308" s="18">
        <v>45953</v>
      </c>
      <c r="R308" s="9">
        <v>3</v>
      </c>
      <c r="S308" s="8" t="s">
        <v>32</v>
      </c>
      <c r="T308" s="8" t="s">
        <v>535</v>
      </c>
      <c r="U308" s="8" t="s">
        <v>188</v>
      </c>
      <c r="V308" s="8" t="s">
        <v>320</v>
      </c>
      <c r="W308" s="19"/>
    </row>
    <row r="309" spans="1:23" x14ac:dyDescent="0.25">
      <c r="A309" s="8" t="s">
        <v>930</v>
      </c>
      <c r="B309" s="8" t="str">
        <f t="shared" si="4"/>
        <v>RUX6F6545953</v>
      </c>
      <c r="C309" s="9" t="s">
        <v>505</v>
      </c>
      <c r="D309" s="10">
        <v>109475</v>
      </c>
      <c r="E309" s="11" t="s">
        <v>931</v>
      </c>
      <c r="F309" s="12">
        <v>45909</v>
      </c>
      <c r="G309" s="13" t="s">
        <v>184</v>
      </c>
      <c r="H309" s="10" t="s">
        <v>27</v>
      </c>
      <c r="I309" s="14" t="s">
        <v>28</v>
      </c>
      <c r="J309" s="14" t="s">
        <v>29</v>
      </c>
      <c r="K309" s="15"/>
      <c r="L309" s="15"/>
      <c r="M309" s="16" t="s">
        <v>186</v>
      </c>
      <c r="N309" s="8" t="s">
        <v>30</v>
      </c>
      <c r="O309" s="8" t="s">
        <v>40</v>
      </c>
      <c r="P309" s="17">
        <v>45959</v>
      </c>
      <c r="Q309" s="18">
        <v>45953</v>
      </c>
      <c r="R309" s="9">
        <v>44</v>
      </c>
      <c r="S309" s="8" t="s">
        <v>32</v>
      </c>
      <c r="T309" s="8" t="s">
        <v>535</v>
      </c>
      <c r="U309" s="8" t="s">
        <v>188</v>
      </c>
      <c r="V309" s="8" t="s">
        <v>320</v>
      </c>
      <c r="W309" s="19"/>
    </row>
    <row r="310" spans="1:23" x14ac:dyDescent="0.25">
      <c r="A310" s="8" t="s">
        <v>932</v>
      </c>
      <c r="B310" s="8" t="str">
        <f t="shared" si="4"/>
        <v>SJV1B0445953</v>
      </c>
      <c r="C310" s="9" t="s">
        <v>24</v>
      </c>
      <c r="D310" s="10">
        <v>48778</v>
      </c>
      <c r="E310" s="11" t="s">
        <v>933</v>
      </c>
      <c r="F310" s="12">
        <v>45952</v>
      </c>
      <c r="G310" s="13" t="s">
        <v>184</v>
      </c>
      <c r="H310" s="10" t="s">
        <v>27</v>
      </c>
      <c r="I310" s="14" t="s">
        <v>28</v>
      </c>
      <c r="J310" s="14" t="s">
        <v>40</v>
      </c>
      <c r="K310" s="15">
        <v>1200</v>
      </c>
      <c r="L310" s="15"/>
      <c r="M310" s="16" t="s">
        <v>934</v>
      </c>
      <c r="N310" s="8" t="s">
        <v>30</v>
      </c>
      <c r="O310" s="8" t="s">
        <v>40</v>
      </c>
      <c r="P310" s="17">
        <v>45973</v>
      </c>
      <c r="Q310" s="18">
        <v>45953</v>
      </c>
      <c r="R310" s="9">
        <v>1</v>
      </c>
      <c r="S310" s="8" t="s">
        <v>153</v>
      </c>
      <c r="T310" s="8" t="s">
        <v>935</v>
      </c>
      <c r="U310" s="8" t="s">
        <v>936</v>
      </c>
      <c r="V310" s="8" t="s">
        <v>320</v>
      </c>
      <c r="W310" s="19"/>
    </row>
    <row r="311" spans="1:23" x14ac:dyDescent="0.25">
      <c r="A311" s="8" t="s">
        <v>937</v>
      </c>
      <c r="B311" s="8" t="str">
        <f t="shared" si="4"/>
        <v>RUW5D7845953</v>
      </c>
      <c r="C311" s="9" t="s">
        <v>79</v>
      </c>
      <c r="D311" s="10">
        <v>115845</v>
      </c>
      <c r="E311" s="11" t="s">
        <v>225</v>
      </c>
      <c r="F311" s="12">
        <v>45951</v>
      </c>
      <c r="G311" s="13" t="s">
        <v>184</v>
      </c>
      <c r="H311" s="10" t="s">
        <v>27</v>
      </c>
      <c r="I311" s="14" t="s">
        <v>28</v>
      </c>
      <c r="J311" s="14" t="s">
        <v>29</v>
      </c>
      <c r="K311" s="15"/>
      <c r="L311" s="15"/>
      <c r="M311" s="16" t="s">
        <v>938</v>
      </c>
      <c r="N311" s="8" t="s">
        <v>30</v>
      </c>
      <c r="O311" s="8" t="s">
        <v>40</v>
      </c>
      <c r="P311" s="17">
        <v>45953</v>
      </c>
      <c r="Q311" s="18">
        <v>45953</v>
      </c>
      <c r="R311" s="9">
        <v>1</v>
      </c>
      <c r="S311" s="8" t="s">
        <v>153</v>
      </c>
      <c r="T311" s="8" t="s">
        <v>939</v>
      </c>
      <c r="U311" s="8" t="s">
        <v>940</v>
      </c>
      <c r="V311" s="8" t="s">
        <v>320</v>
      </c>
      <c r="W311" s="19"/>
    </row>
    <row r="312" spans="1:23" x14ac:dyDescent="0.25">
      <c r="A312" s="8" t="s">
        <v>941</v>
      </c>
      <c r="B312" s="8" t="str">
        <f t="shared" si="4"/>
        <v>RUW5D9845953</v>
      </c>
      <c r="C312" s="9" t="s">
        <v>79</v>
      </c>
      <c r="D312" s="10">
        <v>127329</v>
      </c>
      <c r="E312" s="11" t="s">
        <v>768</v>
      </c>
      <c r="F312" s="12">
        <v>45951</v>
      </c>
      <c r="G312" s="13" t="s">
        <v>184</v>
      </c>
      <c r="H312" s="10" t="s">
        <v>27</v>
      </c>
      <c r="I312" s="14" t="s">
        <v>28</v>
      </c>
      <c r="J312" s="14" t="s">
        <v>29</v>
      </c>
      <c r="K312" s="15"/>
      <c r="L312" s="15"/>
      <c r="M312" s="16" t="s">
        <v>942</v>
      </c>
      <c r="N312" s="8" t="s">
        <v>30</v>
      </c>
      <c r="O312" s="8" t="s">
        <v>40</v>
      </c>
      <c r="P312" s="17">
        <v>45953</v>
      </c>
      <c r="Q312" s="18">
        <v>45953</v>
      </c>
      <c r="R312" s="9">
        <v>1</v>
      </c>
      <c r="S312" s="8" t="s">
        <v>153</v>
      </c>
      <c r="T312" s="8" t="s">
        <v>939</v>
      </c>
      <c r="U312" s="8" t="s">
        <v>762</v>
      </c>
      <c r="V312" s="8" t="s">
        <v>320</v>
      </c>
      <c r="W312" s="19"/>
    </row>
    <row r="313" spans="1:23" x14ac:dyDescent="0.25">
      <c r="A313" s="8" t="s">
        <v>943</v>
      </c>
      <c r="B313" s="8" t="str">
        <f t="shared" si="4"/>
        <v>SUI3B7045953</v>
      </c>
      <c r="C313" s="9" t="s">
        <v>44</v>
      </c>
      <c r="D313" s="10">
        <v>90638</v>
      </c>
      <c r="E313" s="11" t="s">
        <v>944</v>
      </c>
      <c r="F313" s="12">
        <v>45952</v>
      </c>
      <c r="G313" s="13" t="s">
        <v>184</v>
      </c>
      <c r="H313" s="10" t="s">
        <v>27</v>
      </c>
      <c r="I313" s="14" t="s">
        <v>28</v>
      </c>
      <c r="J313" s="14" t="s">
        <v>29</v>
      </c>
      <c r="K313" s="15">
        <v>5310</v>
      </c>
      <c r="L313" s="15"/>
      <c r="M313" s="16" t="s">
        <v>945</v>
      </c>
      <c r="N313" s="8" t="s">
        <v>30</v>
      </c>
      <c r="O313" s="8" t="s">
        <v>40</v>
      </c>
      <c r="P313" s="17">
        <v>45953</v>
      </c>
      <c r="Q313" s="18">
        <v>45953</v>
      </c>
      <c r="R313" s="9">
        <v>1</v>
      </c>
      <c r="S313" s="8" t="s">
        <v>153</v>
      </c>
      <c r="T313" s="8" t="s">
        <v>946</v>
      </c>
      <c r="U313" s="8" t="s">
        <v>947</v>
      </c>
      <c r="V313" s="8" t="s">
        <v>320</v>
      </c>
      <c r="W313" s="19"/>
    </row>
    <row r="314" spans="1:23" x14ac:dyDescent="0.25">
      <c r="A314" s="8" t="s">
        <v>948</v>
      </c>
      <c r="B314" s="8" t="str">
        <f t="shared" si="4"/>
        <v>RTM6B6145953</v>
      </c>
      <c r="C314" s="9" t="s">
        <v>72</v>
      </c>
      <c r="D314" s="10">
        <v>50089</v>
      </c>
      <c r="E314" s="11" t="s">
        <v>949</v>
      </c>
      <c r="F314" s="12">
        <v>45637</v>
      </c>
      <c r="G314" s="13" t="s">
        <v>872</v>
      </c>
      <c r="H314" s="10" t="s">
        <v>27</v>
      </c>
      <c r="I314" s="14" t="s">
        <v>28</v>
      </c>
      <c r="J314" s="14" t="s">
        <v>29</v>
      </c>
      <c r="K314" s="15"/>
      <c r="L314" s="15"/>
      <c r="M314" s="16" t="s">
        <v>354</v>
      </c>
      <c r="N314" s="8" t="s">
        <v>30</v>
      </c>
      <c r="O314" s="8"/>
      <c r="P314" s="17">
        <v>45953</v>
      </c>
      <c r="Q314" s="18">
        <v>45953</v>
      </c>
      <c r="R314" s="9">
        <v>316</v>
      </c>
      <c r="S314" s="8" t="s">
        <v>32</v>
      </c>
      <c r="T314" s="8" t="s">
        <v>66</v>
      </c>
      <c r="U314" s="8" t="s">
        <v>279</v>
      </c>
      <c r="V314" s="8" t="s">
        <v>950</v>
      </c>
      <c r="W314" s="19"/>
    </row>
    <row r="315" spans="1:23" x14ac:dyDescent="0.25">
      <c r="A315" s="8" t="s">
        <v>951</v>
      </c>
      <c r="B315" s="8" t="str">
        <f t="shared" si="4"/>
        <v>SGH8C3545953</v>
      </c>
      <c r="C315" s="9" t="s">
        <v>96</v>
      </c>
      <c r="D315" s="10">
        <v>39067</v>
      </c>
      <c r="E315" s="11" t="s">
        <v>768</v>
      </c>
      <c r="F315" s="12">
        <v>45923</v>
      </c>
      <c r="G315" s="13" t="s">
        <v>39</v>
      </c>
      <c r="H315" s="10" t="s">
        <v>27</v>
      </c>
      <c r="I315" s="14" t="s">
        <v>28</v>
      </c>
      <c r="J315" s="14" t="s">
        <v>29</v>
      </c>
      <c r="K315" s="15"/>
      <c r="L315" s="15"/>
      <c r="M315" s="16" t="s">
        <v>497</v>
      </c>
      <c r="N315" s="8" t="s">
        <v>30</v>
      </c>
      <c r="O315" s="8" t="s">
        <v>40</v>
      </c>
      <c r="P315" s="17">
        <v>45957</v>
      </c>
      <c r="Q315" s="18">
        <v>45953</v>
      </c>
      <c r="R315" s="9">
        <v>2</v>
      </c>
      <c r="S315" s="8" t="s">
        <v>153</v>
      </c>
      <c r="T315" s="8" t="s">
        <v>349</v>
      </c>
      <c r="U315" s="8" t="s">
        <v>67</v>
      </c>
      <c r="V315" s="8" t="s">
        <v>35</v>
      </c>
      <c r="W315" s="19"/>
    </row>
    <row r="316" spans="1:23" x14ac:dyDescent="0.25">
      <c r="A316" s="8" t="s">
        <v>952</v>
      </c>
      <c r="B316" s="8" t="str">
        <f t="shared" si="4"/>
        <v>SGH6H7245953</v>
      </c>
      <c r="C316" s="9" t="s">
        <v>96</v>
      </c>
      <c r="D316" s="10">
        <v>38827</v>
      </c>
      <c r="E316" s="11" t="s">
        <v>768</v>
      </c>
      <c r="F316" s="12">
        <v>45891</v>
      </c>
      <c r="G316" s="13" t="s">
        <v>39</v>
      </c>
      <c r="H316" s="10" t="s">
        <v>27</v>
      </c>
      <c r="I316" s="14" t="s">
        <v>28</v>
      </c>
      <c r="J316" s="14" t="s">
        <v>29</v>
      </c>
      <c r="K316" s="15">
        <v>2730.3</v>
      </c>
      <c r="L316" s="15"/>
      <c r="M316" s="16" t="s">
        <v>497</v>
      </c>
      <c r="N316" s="8" t="s">
        <v>30</v>
      </c>
      <c r="O316" s="8" t="s">
        <v>40</v>
      </c>
      <c r="P316" s="17">
        <v>45957</v>
      </c>
      <c r="Q316" s="18">
        <v>45953</v>
      </c>
      <c r="R316" s="9">
        <v>62</v>
      </c>
      <c r="S316" s="8" t="s">
        <v>32</v>
      </c>
      <c r="T316" s="8" t="s">
        <v>349</v>
      </c>
      <c r="U316" s="8" t="s">
        <v>67</v>
      </c>
      <c r="V316" s="8" t="s">
        <v>48</v>
      </c>
      <c r="W316" s="19"/>
    </row>
    <row r="317" spans="1:23" x14ac:dyDescent="0.25">
      <c r="A317" s="8" t="s">
        <v>953</v>
      </c>
      <c r="B317" s="8" t="str">
        <f t="shared" si="4"/>
        <v>RNB5H9745953</v>
      </c>
      <c r="C317" s="9" t="s">
        <v>44</v>
      </c>
      <c r="D317" s="10">
        <v>1690960</v>
      </c>
      <c r="E317" s="11" t="s">
        <v>954</v>
      </c>
      <c r="F317" s="12">
        <v>45952</v>
      </c>
      <c r="G317" s="13" t="s">
        <v>123</v>
      </c>
      <c r="H317" s="10" t="s">
        <v>27</v>
      </c>
      <c r="I317" s="14" t="s">
        <v>28</v>
      </c>
      <c r="J317" s="14" t="s">
        <v>139</v>
      </c>
      <c r="K317" s="15">
        <v>1380.63</v>
      </c>
      <c r="L317" s="15">
        <v>1300</v>
      </c>
      <c r="M317" s="16" t="s">
        <v>237</v>
      </c>
      <c r="N317" s="8" t="s">
        <v>30</v>
      </c>
      <c r="O317" s="8" t="s">
        <v>40</v>
      </c>
      <c r="P317" s="17">
        <v>45957</v>
      </c>
      <c r="Q317" s="18">
        <v>45953</v>
      </c>
      <c r="R317" s="9">
        <v>1</v>
      </c>
      <c r="S317" s="8" t="s">
        <v>153</v>
      </c>
      <c r="T317" s="8" t="s">
        <v>41</v>
      </c>
      <c r="U317" s="8" t="s">
        <v>42</v>
      </c>
      <c r="V317" s="8" t="s">
        <v>320</v>
      </c>
      <c r="W317" s="19"/>
    </row>
    <row r="318" spans="1:23" x14ac:dyDescent="0.25">
      <c r="A318" s="8" t="s">
        <v>955</v>
      </c>
      <c r="B318" s="8" t="str">
        <f t="shared" si="4"/>
        <v>SDQ2A3045954</v>
      </c>
      <c r="C318" s="9" t="s">
        <v>50</v>
      </c>
      <c r="D318" s="10">
        <v>32269</v>
      </c>
      <c r="E318" s="11" t="s">
        <v>225</v>
      </c>
      <c r="F318" s="12">
        <v>45953</v>
      </c>
      <c r="G318" s="13" t="s">
        <v>149</v>
      </c>
      <c r="H318" s="10" t="s">
        <v>27</v>
      </c>
      <c r="I318" s="14" t="s">
        <v>28</v>
      </c>
      <c r="J318" s="14" t="s">
        <v>139</v>
      </c>
      <c r="K318" s="15"/>
      <c r="L318" s="15"/>
      <c r="M318" s="16" t="s">
        <v>468</v>
      </c>
      <c r="N318" s="8" t="s">
        <v>30</v>
      </c>
      <c r="O318" s="8" t="s">
        <v>40</v>
      </c>
      <c r="P318" s="17" t="s">
        <v>86</v>
      </c>
      <c r="Q318" s="18">
        <v>45954</v>
      </c>
      <c r="R318" s="9">
        <v>1</v>
      </c>
      <c r="S318" s="8" t="s">
        <v>153</v>
      </c>
      <c r="T318" s="8" t="s">
        <v>956</v>
      </c>
      <c r="U318" s="8" t="s">
        <v>82</v>
      </c>
      <c r="V318" s="8" t="s">
        <v>320</v>
      </c>
      <c r="W318" s="19"/>
    </row>
    <row r="319" spans="1:23" x14ac:dyDescent="0.25">
      <c r="A319" s="8" t="s">
        <v>686</v>
      </c>
      <c r="B319" s="8" t="str">
        <f t="shared" si="4"/>
        <v>SGF8I9645953</v>
      </c>
      <c r="C319" s="9" t="s">
        <v>157</v>
      </c>
      <c r="D319" s="10" t="s">
        <v>957</v>
      </c>
      <c r="E319" s="11" t="s">
        <v>595</v>
      </c>
      <c r="F319" s="12">
        <v>45945</v>
      </c>
      <c r="G319" s="13" t="s">
        <v>39</v>
      </c>
      <c r="H319" s="10" t="s">
        <v>27</v>
      </c>
      <c r="I319" s="14" t="s">
        <v>28</v>
      </c>
      <c r="J319" s="14" t="s">
        <v>29</v>
      </c>
      <c r="K319" s="15"/>
      <c r="L319" s="15"/>
      <c r="M319" s="16" t="s">
        <v>458</v>
      </c>
      <c r="N319" s="8" t="s">
        <v>172</v>
      </c>
      <c r="O319" s="8" t="s">
        <v>40</v>
      </c>
      <c r="P319" s="17">
        <v>45958</v>
      </c>
      <c r="Q319" s="18">
        <v>45953</v>
      </c>
      <c r="R319" s="9">
        <v>8</v>
      </c>
      <c r="S319" s="8" t="s">
        <v>32</v>
      </c>
      <c r="T319" s="8" t="s">
        <v>98</v>
      </c>
      <c r="U319" s="8" t="s">
        <v>754</v>
      </c>
      <c r="V319" s="8" t="s">
        <v>320</v>
      </c>
      <c r="W319" s="19"/>
    </row>
    <row r="320" spans="1:23" x14ac:dyDescent="0.25">
      <c r="A320" s="8" t="s">
        <v>958</v>
      </c>
      <c r="B320" s="8" t="str">
        <f t="shared" si="4"/>
        <v>SGH8C4145954</v>
      </c>
      <c r="C320" s="9" t="s">
        <v>96</v>
      </c>
      <c r="D320" s="10">
        <v>89017</v>
      </c>
      <c r="E320" s="11" t="s">
        <v>310</v>
      </c>
      <c r="F320" s="12">
        <v>45949</v>
      </c>
      <c r="G320" s="13" t="s">
        <v>39</v>
      </c>
      <c r="H320" s="10" t="s">
        <v>27</v>
      </c>
      <c r="I320" s="14" t="s">
        <v>28</v>
      </c>
      <c r="J320" s="14" t="s">
        <v>139</v>
      </c>
      <c r="K320" s="15"/>
      <c r="L320" s="15"/>
      <c r="M320" s="16" t="s">
        <v>896</v>
      </c>
      <c r="N320" s="8" t="s">
        <v>30</v>
      </c>
      <c r="O320" s="8" t="s">
        <v>40</v>
      </c>
      <c r="P320" s="17" t="s">
        <v>187</v>
      </c>
      <c r="Q320" s="18">
        <v>45954</v>
      </c>
      <c r="R320" s="9">
        <v>5</v>
      </c>
      <c r="S320" s="8" t="s">
        <v>32</v>
      </c>
      <c r="T320" s="8" t="s">
        <v>959</v>
      </c>
      <c r="U320" s="8" t="s">
        <v>898</v>
      </c>
      <c r="V320" s="8" t="s">
        <v>320</v>
      </c>
      <c r="W320" s="19"/>
    </row>
    <row r="321" spans="1:23" x14ac:dyDescent="0.25">
      <c r="A321" s="8" t="s">
        <v>373</v>
      </c>
      <c r="B321" s="8" t="str">
        <f t="shared" si="4"/>
        <v>RNF2B7445954</v>
      </c>
      <c r="C321" s="9" t="s">
        <v>72</v>
      </c>
      <c r="D321" s="10" t="s">
        <v>960</v>
      </c>
      <c r="E321" s="11" t="s">
        <v>961</v>
      </c>
      <c r="F321" s="12">
        <v>45951</v>
      </c>
      <c r="G321" s="13" t="s">
        <v>123</v>
      </c>
      <c r="H321" s="10" t="s">
        <v>27</v>
      </c>
      <c r="I321" s="14" t="s">
        <v>28</v>
      </c>
      <c r="J321" s="14" t="s">
        <v>29</v>
      </c>
      <c r="K321" s="15">
        <v>1012</v>
      </c>
      <c r="L321" s="15">
        <v>1012</v>
      </c>
      <c r="M321" s="16" t="s">
        <v>374</v>
      </c>
      <c r="N321" s="8" t="s">
        <v>30</v>
      </c>
      <c r="O321" s="8" t="s">
        <v>40</v>
      </c>
      <c r="P321" s="17">
        <v>45954</v>
      </c>
      <c r="Q321" s="18">
        <v>45954</v>
      </c>
      <c r="R321" s="9">
        <v>3</v>
      </c>
      <c r="S321" s="8" t="s">
        <v>32</v>
      </c>
      <c r="T321" s="8" t="s">
        <v>392</v>
      </c>
      <c r="U321" s="8" t="s">
        <v>393</v>
      </c>
      <c r="V321" s="8" t="s">
        <v>320</v>
      </c>
      <c r="W321" s="19"/>
    </row>
    <row r="322" spans="1:23" x14ac:dyDescent="0.25">
      <c r="A322" s="8" t="s">
        <v>111</v>
      </c>
      <c r="B322" s="8" t="str">
        <f t="shared" si="4"/>
        <v>JCI8F7545954</v>
      </c>
      <c r="C322" s="9" t="s">
        <v>24</v>
      </c>
      <c r="D322" s="10">
        <v>78528</v>
      </c>
      <c r="E322" s="11" t="s">
        <v>962</v>
      </c>
      <c r="F322" s="12">
        <v>45954</v>
      </c>
      <c r="G322" s="13" t="s">
        <v>123</v>
      </c>
      <c r="H322" s="10" t="s">
        <v>27</v>
      </c>
      <c r="I322" s="14" t="s">
        <v>176</v>
      </c>
      <c r="J322" s="14" t="s">
        <v>29</v>
      </c>
      <c r="K322" s="15">
        <v>796.3</v>
      </c>
      <c r="L322" s="15">
        <v>700</v>
      </c>
      <c r="M322" s="16" t="s">
        <v>237</v>
      </c>
      <c r="N322" s="8" t="s">
        <v>30</v>
      </c>
      <c r="O322" s="8" t="s">
        <v>40</v>
      </c>
      <c r="P322" s="17">
        <v>45957</v>
      </c>
      <c r="Q322" s="18">
        <v>45954</v>
      </c>
      <c r="R322" s="9">
        <v>0</v>
      </c>
      <c r="S322" s="8" t="s">
        <v>153</v>
      </c>
      <c r="T322" s="8" t="s">
        <v>41</v>
      </c>
      <c r="U322" s="8" t="s">
        <v>42</v>
      </c>
      <c r="V322" s="8" t="s">
        <v>320</v>
      </c>
      <c r="W322" s="19"/>
    </row>
    <row r="323" spans="1:23" x14ac:dyDescent="0.25">
      <c r="A323" s="8" t="s">
        <v>963</v>
      </c>
      <c r="B323" s="8" t="str">
        <f t="shared" ref="B323:B386" si="5">A323&amp;Q323</f>
        <v>GJN6D0445954</v>
      </c>
      <c r="C323" s="9" t="s">
        <v>224</v>
      </c>
      <c r="D323" s="10" t="s">
        <v>964</v>
      </c>
      <c r="E323" s="11" t="s">
        <v>965</v>
      </c>
      <c r="F323" s="12">
        <v>45951</v>
      </c>
      <c r="G323" s="13" t="s">
        <v>226</v>
      </c>
      <c r="H323" s="10" t="s">
        <v>27</v>
      </c>
      <c r="I323" s="14" t="s">
        <v>28</v>
      </c>
      <c r="J323" s="14" t="s">
        <v>29</v>
      </c>
      <c r="K323" s="15"/>
      <c r="L323" s="15"/>
      <c r="M323" s="16" t="s">
        <v>227</v>
      </c>
      <c r="N323" s="8" t="s">
        <v>228</v>
      </c>
      <c r="O323" s="8" t="s">
        <v>40</v>
      </c>
      <c r="P323" s="17">
        <v>45954</v>
      </c>
      <c r="Q323" s="18">
        <v>45954</v>
      </c>
      <c r="R323" s="9">
        <v>3</v>
      </c>
      <c r="S323" s="8" t="s">
        <v>32</v>
      </c>
      <c r="T323" s="8" t="s">
        <v>98</v>
      </c>
      <c r="U323" s="8" t="s">
        <v>271</v>
      </c>
      <c r="V323" s="8" t="s">
        <v>320</v>
      </c>
      <c r="W323" s="19"/>
    </row>
    <row r="324" spans="1:23" x14ac:dyDescent="0.25">
      <c r="A324" s="8" t="s">
        <v>966</v>
      </c>
      <c r="B324" s="8" t="str">
        <f t="shared" si="5"/>
        <v>GIY0J5745954</v>
      </c>
      <c r="C324" s="9" t="s">
        <v>718</v>
      </c>
      <c r="D324" s="10">
        <v>173844</v>
      </c>
      <c r="E324" s="11" t="s">
        <v>967</v>
      </c>
      <c r="F324" s="12">
        <v>45952</v>
      </c>
      <c r="G324" s="13" t="s">
        <v>138</v>
      </c>
      <c r="H324" s="10" t="s">
        <v>27</v>
      </c>
      <c r="I324" s="14" t="s">
        <v>28</v>
      </c>
      <c r="J324" s="14" t="s">
        <v>29</v>
      </c>
      <c r="K324" s="15">
        <v>2951.5</v>
      </c>
      <c r="L324" s="15">
        <v>2730</v>
      </c>
      <c r="M324" s="16" t="s">
        <v>587</v>
      </c>
      <c r="N324" s="8" t="s">
        <v>30</v>
      </c>
      <c r="O324" s="8" t="s">
        <v>40</v>
      </c>
      <c r="P324" s="17">
        <v>45954</v>
      </c>
      <c r="Q324" s="18">
        <v>45954</v>
      </c>
      <c r="R324" s="9">
        <v>2</v>
      </c>
      <c r="S324" s="8" t="s">
        <v>153</v>
      </c>
      <c r="T324" s="8" t="s">
        <v>100</v>
      </c>
      <c r="U324" s="8" t="s">
        <v>968</v>
      </c>
      <c r="V324" s="8" t="s">
        <v>320</v>
      </c>
      <c r="W324" s="19"/>
    </row>
    <row r="325" spans="1:23" x14ac:dyDescent="0.25">
      <c r="A325" s="8" t="s">
        <v>969</v>
      </c>
      <c r="B325" s="8" t="str">
        <f t="shared" si="5"/>
        <v>SFD5H7445954</v>
      </c>
      <c r="C325" s="9" t="s">
        <v>24</v>
      </c>
      <c r="D325" s="10">
        <v>59935</v>
      </c>
      <c r="E325" s="11" t="s">
        <v>970</v>
      </c>
      <c r="F325" s="12">
        <v>45930</v>
      </c>
      <c r="G325" s="13" t="s">
        <v>123</v>
      </c>
      <c r="H325" s="10" t="s">
        <v>27</v>
      </c>
      <c r="I325" s="14" t="s">
        <v>28</v>
      </c>
      <c r="J325" s="14" t="s">
        <v>29</v>
      </c>
      <c r="K325" s="15"/>
      <c r="L325" s="15"/>
      <c r="M325" s="16" t="s">
        <v>819</v>
      </c>
      <c r="N325" s="8" t="s">
        <v>30</v>
      </c>
      <c r="O325" s="8" t="s">
        <v>40</v>
      </c>
      <c r="P325" s="17">
        <v>45589</v>
      </c>
      <c r="Q325" s="18">
        <v>45954</v>
      </c>
      <c r="R325" s="9">
        <v>24</v>
      </c>
      <c r="S325" s="8" t="s">
        <v>32</v>
      </c>
      <c r="T325" s="8" t="s">
        <v>98</v>
      </c>
      <c r="U325" s="8" t="s">
        <v>177</v>
      </c>
      <c r="V325" s="8" t="s">
        <v>35</v>
      </c>
      <c r="W325" s="19"/>
    </row>
    <row r="326" spans="1:23" x14ac:dyDescent="0.25">
      <c r="A326" s="8" t="s">
        <v>971</v>
      </c>
      <c r="B326" s="8" t="str">
        <f t="shared" si="5"/>
        <v>SFG2D5445954</v>
      </c>
      <c r="C326" s="9" t="s">
        <v>24</v>
      </c>
      <c r="D326" s="10"/>
      <c r="E326" s="11" t="s">
        <v>972</v>
      </c>
      <c r="F326" s="12">
        <v>45952</v>
      </c>
      <c r="G326" s="13" t="s">
        <v>138</v>
      </c>
      <c r="H326" s="10" t="s">
        <v>27</v>
      </c>
      <c r="I326" s="14" t="s">
        <v>28</v>
      </c>
      <c r="J326" s="14" t="s">
        <v>139</v>
      </c>
      <c r="K326" s="15"/>
      <c r="L326" s="15"/>
      <c r="M326" s="16" t="s">
        <v>140</v>
      </c>
      <c r="N326" s="8" t="s">
        <v>30</v>
      </c>
      <c r="O326" s="8" t="s">
        <v>31</v>
      </c>
      <c r="P326" s="17">
        <v>45960</v>
      </c>
      <c r="Q326" s="18">
        <v>45954</v>
      </c>
      <c r="R326" s="9">
        <v>2</v>
      </c>
      <c r="S326" s="8" t="s">
        <v>153</v>
      </c>
      <c r="T326" s="8" t="s">
        <v>782</v>
      </c>
      <c r="U326" s="8" t="s">
        <v>973</v>
      </c>
      <c r="V326" s="8" t="s">
        <v>320</v>
      </c>
      <c r="W326" s="19"/>
    </row>
    <row r="327" spans="1:23" x14ac:dyDescent="0.25">
      <c r="A327" s="8" t="s">
        <v>974</v>
      </c>
      <c r="B327" s="8" t="str">
        <f t="shared" si="5"/>
        <v>RUX2C1845954</v>
      </c>
      <c r="C327" s="9" t="s">
        <v>79</v>
      </c>
      <c r="D327" s="10">
        <v>129660</v>
      </c>
      <c r="E327" s="11" t="s">
        <v>225</v>
      </c>
      <c r="F327" s="12">
        <v>45938</v>
      </c>
      <c r="G327" s="13" t="s">
        <v>184</v>
      </c>
      <c r="H327" s="10" t="s">
        <v>27</v>
      </c>
      <c r="I327" s="14" t="s">
        <v>28</v>
      </c>
      <c r="J327" s="14" t="s">
        <v>29</v>
      </c>
      <c r="K327" s="15">
        <v>2257</v>
      </c>
      <c r="L327" s="15">
        <v>2257</v>
      </c>
      <c r="M327" s="16" t="s">
        <v>975</v>
      </c>
      <c r="N327" s="8" t="s">
        <v>30</v>
      </c>
      <c r="O327" s="8" t="s">
        <v>40</v>
      </c>
      <c r="P327" s="17">
        <v>45954</v>
      </c>
      <c r="Q327" s="18">
        <v>45954</v>
      </c>
      <c r="R327" s="9">
        <v>16</v>
      </c>
      <c r="S327" s="8" t="s">
        <v>32</v>
      </c>
      <c r="T327" s="8" t="s">
        <v>976</v>
      </c>
      <c r="U327" s="8" t="s">
        <v>977</v>
      </c>
      <c r="V327" s="8" t="s">
        <v>320</v>
      </c>
      <c r="W327" s="19"/>
    </row>
    <row r="328" spans="1:23" x14ac:dyDescent="0.25">
      <c r="A328" s="8" t="s">
        <v>978</v>
      </c>
      <c r="B328" s="8" t="str">
        <f t="shared" si="5"/>
        <v>RNJ9C3145954</v>
      </c>
      <c r="C328" s="9" t="s">
        <v>72</v>
      </c>
      <c r="D328" s="10">
        <v>107056</v>
      </c>
      <c r="E328" s="11" t="s">
        <v>31</v>
      </c>
      <c r="F328" s="12">
        <v>45945</v>
      </c>
      <c r="G328" s="13" t="s">
        <v>184</v>
      </c>
      <c r="H328" s="10" t="s">
        <v>27</v>
      </c>
      <c r="I328" s="14" t="s">
        <v>28</v>
      </c>
      <c r="J328" s="14" t="s">
        <v>29</v>
      </c>
      <c r="K328" s="15">
        <v>750</v>
      </c>
      <c r="L328" s="15">
        <v>950</v>
      </c>
      <c r="M328" s="16" t="s">
        <v>979</v>
      </c>
      <c r="N328" s="8" t="s">
        <v>30</v>
      </c>
      <c r="O328" s="8" t="s">
        <v>31</v>
      </c>
      <c r="P328" s="17">
        <v>45954</v>
      </c>
      <c r="Q328" s="18">
        <v>45954</v>
      </c>
      <c r="R328" s="9">
        <v>9</v>
      </c>
      <c r="S328" s="8" t="s">
        <v>32</v>
      </c>
      <c r="T328" s="8" t="s">
        <v>976</v>
      </c>
      <c r="U328" s="8" t="s">
        <v>977</v>
      </c>
      <c r="V328" s="8" t="s">
        <v>320</v>
      </c>
      <c r="W328" s="19"/>
    </row>
    <row r="329" spans="1:23" x14ac:dyDescent="0.25">
      <c r="A329" s="8" t="s">
        <v>435</v>
      </c>
      <c r="B329" s="8" t="str">
        <f t="shared" si="5"/>
        <v>RNJ9C9645954</v>
      </c>
      <c r="C329" s="9" t="s">
        <v>72</v>
      </c>
      <c r="D329" s="10">
        <v>143128</v>
      </c>
      <c r="E329" s="11"/>
      <c r="F329" s="12">
        <v>45954</v>
      </c>
      <c r="G329" s="13" t="s">
        <v>184</v>
      </c>
      <c r="H329" s="10" t="s">
        <v>27</v>
      </c>
      <c r="I329" s="14" t="s">
        <v>28</v>
      </c>
      <c r="J329" s="14" t="s">
        <v>29</v>
      </c>
      <c r="K329" s="15">
        <v>3755</v>
      </c>
      <c r="L329" s="15"/>
      <c r="M329" s="16" t="s">
        <v>207</v>
      </c>
      <c r="N329" s="8" t="s">
        <v>30</v>
      </c>
      <c r="O329" s="8" t="s">
        <v>40</v>
      </c>
      <c r="P329" s="17">
        <v>45954</v>
      </c>
      <c r="Q329" s="18">
        <v>45954</v>
      </c>
      <c r="R329" s="9">
        <v>1</v>
      </c>
      <c r="S329" s="8" t="s">
        <v>153</v>
      </c>
      <c r="T329" s="8" t="s">
        <v>535</v>
      </c>
      <c r="U329" s="8" t="s">
        <v>75</v>
      </c>
      <c r="V329" s="8" t="s">
        <v>320</v>
      </c>
      <c r="W329" s="19"/>
    </row>
    <row r="330" spans="1:23" x14ac:dyDescent="0.25">
      <c r="A330" s="8" t="s">
        <v>980</v>
      </c>
      <c r="B330" s="8" t="str">
        <f t="shared" si="5"/>
        <v>SGH7F7945954</v>
      </c>
      <c r="C330" s="9" t="s">
        <v>69</v>
      </c>
      <c r="D330" s="10">
        <v>24352</v>
      </c>
      <c r="E330" s="11" t="s">
        <v>981</v>
      </c>
      <c r="F330" s="12">
        <v>45945</v>
      </c>
      <c r="G330" s="13" t="s">
        <v>778</v>
      </c>
      <c r="H330" s="10" t="s">
        <v>52</v>
      </c>
      <c r="I330" s="14" t="s">
        <v>28</v>
      </c>
      <c r="J330" s="14" t="s">
        <v>29</v>
      </c>
      <c r="K330" s="15">
        <v>4200</v>
      </c>
      <c r="L330" s="15">
        <v>4200</v>
      </c>
      <c r="M330" s="16" t="s">
        <v>420</v>
      </c>
      <c r="N330" s="8" t="s">
        <v>30</v>
      </c>
      <c r="O330" s="8" t="s">
        <v>52</v>
      </c>
      <c r="P330" s="17">
        <v>45955</v>
      </c>
      <c r="Q330" s="18">
        <v>45954</v>
      </c>
      <c r="R330" s="9" t="e">
        <f ca="1">IFERROR(DATEDIF([1]!Tabela1[[#This Row],[Data Agenda]],[1]!Tabela1[[#This Row],[Liberado]],"D"),DATEDIF([1]!Tabela1[[#This Row],[Data Agenda]],TODAY(),"D"))</f>
        <v>#VALUE!</v>
      </c>
      <c r="S330" s="8" t="e">
        <f>IF([1]!Tabela1[[#This Row],[D+Manut]]&lt;=2,"Dentro do Prazo","Fora do Prazo")</f>
        <v>#VALUE!</v>
      </c>
      <c r="T330" s="8" t="s">
        <v>851</v>
      </c>
      <c r="U330" s="8" t="s">
        <v>982</v>
      </c>
      <c r="V330" s="8" t="s">
        <v>320</v>
      </c>
      <c r="W330" s="19"/>
    </row>
    <row r="331" spans="1:23" x14ac:dyDescent="0.25">
      <c r="A331" s="8" t="s">
        <v>797</v>
      </c>
      <c r="B331" s="8" t="str">
        <f t="shared" si="5"/>
        <v>RVF9J6445957</v>
      </c>
      <c r="C331" s="9" t="s">
        <v>479</v>
      </c>
      <c r="D331" s="10">
        <v>177855</v>
      </c>
      <c r="E331" s="11" t="s">
        <v>983</v>
      </c>
      <c r="F331" s="12">
        <v>45951</v>
      </c>
      <c r="G331" s="13" t="s">
        <v>138</v>
      </c>
      <c r="H331" s="10" t="s">
        <v>27</v>
      </c>
      <c r="I331" s="14" t="s">
        <v>28</v>
      </c>
      <c r="J331" s="14" t="s">
        <v>139</v>
      </c>
      <c r="K331" s="15"/>
      <c r="L331" s="15"/>
      <c r="M331" s="16" t="s">
        <v>343</v>
      </c>
      <c r="N331" s="8" t="s">
        <v>30</v>
      </c>
      <c r="O331" s="8" t="s">
        <v>40</v>
      </c>
      <c r="P331" s="17" t="s">
        <v>86</v>
      </c>
      <c r="Q331" s="18">
        <v>45957</v>
      </c>
      <c r="R331" s="9" t="e">
        <f ca="1">IFERROR(DATEDIF([1]!Tabela1[[#This Row],[Data Agenda]],[1]!Tabela1[[#This Row],[Liberado]],"D"),DATEDIF([1]!Tabela1[[#This Row],[Data Agenda]],TODAY(),"D"))</f>
        <v>#VALUE!</v>
      </c>
      <c r="S331" s="8" t="e">
        <f>IF([1]!Tabela1[[#This Row],[D+Manut]]&lt;=2,"Dentro do Prazo","Fora do Prazo")</f>
        <v>#VALUE!</v>
      </c>
      <c r="T331" s="8" t="s">
        <v>984</v>
      </c>
      <c r="U331" s="8" t="s">
        <v>59</v>
      </c>
      <c r="V331" s="8" t="s">
        <v>320</v>
      </c>
      <c r="W331" s="19"/>
    </row>
    <row r="332" spans="1:23" x14ac:dyDescent="0.25">
      <c r="A332" s="8" t="s">
        <v>985</v>
      </c>
      <c r="B332" s="8" t="str">
        <f t="shared" si="5"/>
        <v>SGL2B84 45955</v>
      </c>
      <c r="C332" s="9" t="s">
        <v>69</v>
      </c>
      <c r="D332" s="10">
        <v>19090</v>
      </c>
      <c r="E332" s="11" t="s">
        <v>981</v>
      </c>
      <c r="F332" s="12">
        <v>45945</v>
      </c>
      <c r="G332" s="13" t="s">
        <v>778</v>
      </c>
      <c r="H332" s="10" t="s">
        <v>52</v>
      </c>
      <c r="I332" s="14" t="s">
        <v>28</v>
      </c>
      <c r="J332" s="14" t="s">
        <v>29</v>
      </c>
      <c r="K332" s="15">
        <v>3400</v>
      </c>
      <c r="L332" s="15">
        <v>3400</v>
      </c>
      <c r="M332" s="16" t="s">
        <v>420</v>
      </c>
      <c r="N332" s="8" t="s">
        <v>30</v>
      </c>
      <c r="O332" s="8" t="s">
        <v>52</v>
      </c>
      <c r="P332" s="17">
        <v>45955</v>
      </c>
      <c r="Q332" s="18">
        <v>45955</v>
      </c>
      <c r="R332" s="9">
        <v>10</v>
      </c>
      <c r="S332" s="8" t="s">
        <v>32</v>
      </c>
      <c r="T332" s="8" t="s">
        <v>851</v>
      </c>
      <c r="U332" s="8" t="s">
        <v>982</v>
      </c>
      <c r="V332" s="8" t="s">
        <v>320</v>
      </c>
      <c r="W332" s="19"/>
    </row>
    <row r="333" spans="1:23" x14ac:dyDescent="0.25">
      <c r="A333" s="8" t="s">
        <v>986</v>
      </c>
      <c r="B333" s="8" t="str">
        <f t="shared" si="5"/>
        <v>SFW2B3245957</v>
      </c>
      <c r="C333" s="9" t="s">
        <v>96</v>
      </c>
      <c r="D333" s="10">
        <v>46695</v>
      </c>
      <c r="E333" s="11" t="s">
        <v>987</v>
      </c>
      <c r="F333" s="12">
        <v>45936</v>
      </c>
      <c r="G333" s="13" t="s">
        <v>39</v>
      </c>
      <c r="H333" s="10" t="s">
        <v>27</v>
      </c>
      <c r="I333" s="14" t="s">
        <v>28</v>
      </c>
      <c r="J333" s="14" t="s">
        <v>139</v>
      </c>
      <c r="K333" s="15"/>
      <c r="L333" s="15"/>
      <c r="M333" s="16" t="s">
        <v>396</v>
      </c>
      <c r="N333" s="8" t="s">
        <v>30</v>
      </c>
      <c r="O333" s="8" t="s">
        <v>40</v>
      </c>
      <c r="P333" s="17" t="s">
        <v>86</v>
      </c>
      <c r="Q333" s="18">
        <v>45957</v>
      </c>
      <c r="R333" s="9">
        <v>14</v>
      </c>
      <c r="S333" s="8" t="s">
        <v>32</v>
      </c>
      <c r="T333" s="8" t="s">
        <v>988</v>
      </c>
      <c r="U333" s="8" t="s">
        <v>989</v>
      </c>
      <c r="V333" s="8"/>
      <c r="W333" s="19"/>
    </row>
    <row r="334" spans="1:23" x14ac:dyDescent="0.25">
      <c r="A334" s="8" t="s">
        <v>990</v>
      </c>
      <c r="B334" s="8" t="str">
        <f t="shared" si="5"/>
        <v>RNJ9C8845954</v>
      </c>
      <c r="C334" s="9" t="s">
        <v>72</v>
      </c>
      <c r="D334" s="10" t="s">
        <v>383</v>
      </c>
      <c r="E334" s="11" t="s">
        <v>991</v>
      </c>
      <c r="F334" s="12">
        <v>45953</v>
      </c>
      <c r="G334" s="13" t="s">
        <v>872</v>
      </c>
      <c r="H334" s="10" t="s">
        <v>27</v>
      </c>
      <c r="I334" s="14" t="s">
        <v>28</v>
      </c>
      <c r="J334" s="14" t="s">
        <v>139</v>
      </c>
      <c r="K334" s="15"/>
      <c r="L334" s="15"/>
      <c r="M334" s="16" t="s">
        <v>560</v>
      </c>
      <c r="N334" s="8" t="s">
        <v>30</v>
      </c>
      <c r="O334" s="8" t="s">
        <v>40</v>
      </c>
      <c r="P334" s="17" t="s">
        <v>86</v>
      </c>
      <c r="Q334" s="18">
        <v>45954</v>
      </c>
      <c r="R334" s="9">
        <v>1</v>
      </c>
      <c r="S334" s="8" t="s">
        <v>153</v>
      </c>
      <c r="T334" s="8" t="s">
        <v>89</v>
      </c>
      <c r="U334" s="8" t="s">
        <v>54</v>
      </c>
      <c r="V334" s="8" t="s">
        <v>320</v>
      </c>
      <c r="W334" s="19"/>
    </row>
    <row r="335" spans="1:23" x14ac:dyDescent="0.25">
      <c r="A335" s="8" t="s">
        <v>992</v>
      </c>
      <c r="B335" s="8" t="str">
        <f t="shared" si="5"/>
        <v>STC0D5745957</v>
      </c>
      <c r="C335" s="9" t="s">
        <v>24</v>
      </c>
      <c r="D335" s="10">
        <v>626262</v>
      </c>
      <c r="E335" s="11" t="s">
        <v>993</v>
      </c>
      <c r="F335" s="12">
        <v>45945</v>
      </c>
      <c r="G335" s="13" t="s">
        <v>184</v>
      </c>
      <c r="H335" s="10" t="s">
        <v>27</v>
      </c>
      <c r="I335" s="14" t="s">
        <v>28</v>
      </c>
      <c r="J335" s="14" t="s">
        <v>29</v>
      </c>
      <c r="K335" s="15"/>
      <c r="L335" s="15"/>
      <c r="M335" s="16" t="s">
        <v>934</v>
      </c>
      <c r="N335" s="8" t="s">
        <v>30</v>
      </c>
      <c r="O335" s="8" t="s">
        <v>40</v>
      </c>
      <c r="P335" s="17">
        <v>45957</v>
      </c>
      <c r="Q335" s="18">
        <v>45957</v>
      </c>
      <c r="R335" s="9">
        <v>12</v>
      </c>
      <c r="S335" s="8" t="s">
        <v>32</v>
      </c>
      <c r="T335" s="8" t="s">
        <v>935</v>
      </c>
      <c r="U335" s="8" t="s">
        <v>994</v>
      </c>
      <c r="V335" s="8" t="s">
        <v>320</v>
      </c>
      <c r="W335" s="19"/>
    </row>
    <row r="336" spans="1:23" x14ac:dyDescent="0.25">
      <c r="A336" s="8" t="s">
        <v>995</v>
      </c>
      <c r="B336" s="8" t="str">
        <f t="shared" si="5"/>
        <v>GID6J6445957</v>
      </c>
      <c r="C336" s="9" t="s">
        <v>224</v>
      </c>
      <c r="D336" s="10" t="s">
        <v>996</v>
      </c>
      <c r="E336" s="11" t="s">
        <v>885</v>
      </c>
      <c r="F336" s="12">
        <v>45951</v>
      </c>
      <c r="G336" s="13" t="s">
        <v>226</v>
      </c>
      <c r="H336" s="10" t="s">
        <v>27</v>
      </c>
      <c r="I336" s="14" t="s">
        <v>28</v>
      </c>
      <c r="J336" s="14" t="s">
        <v>139</v>
      </c>
      <c r="K336" s="15"/>
      <c r="L336" s="15"/>
      <c r="M336" s="16" t="s">
        <v>315</v>
      </c>
      <c r="N336" s="8" t="s">
        <v>228</v>
      </c>
      <c r="O336" s="8" t="s">
        <v>40</v>
      </c>
      <c r="P336" s="17" t="s">
        <v>86</v>
      </c>
      <c r="Q336" s="18">
        <v>45957</v>
      </c>
      <c r="R336" s="9">
        <v>6</v>
      </c>
      <c r="S336" s="8" t="s">
        <v>32</v>
      </c>
      <c r="T336" s="8" t="s">
        <v>98</v>
      </c>
      <c r="U336" s="8" t="s">
        <v>254</v>
      </c>
      <c r="V336" s="8" t="s">
        <v>320</v>
      </c>
      <c r="W336" s="19"/>
    </row>
    <row r="337" spans="1:23" x14ac:dyDescent="0.25">
      <c r="A337" s="8" t="s">
        <v>997</v>
      </c>
      <c r="B337" s="8" t="str">
        <f t="shared" si="5"/>
        <v>SJT7C8845957</v>
      </c>
      <c r="C337" s="9" t="s">
        <v>24</v>
      </c>
      <c r="D337" s="10">
        <v>67137</v>
      </c>
      <c r="E337" s="11" t="s">
        <v>998</v>
      </c>
      <c r="F337" s="12">
        <v>45944</v>
      </c>
      <c r="G337" s="13" t="s">
        <v>184</v>
      </c>
      <c r="H337" s="10" t="s">
        <v>27</v>
      </c>
      <c r="I337" s="14" t="s">
        <v>28</v>
      </c>
      <c r="J337" s="14" t="s">
        <v>139</v>
      </c>
      <c r="K337" s="15">
        <v>1885</v>
      </c>
      <c r="L337" s="15"/>
      <c r="M337" s="16" t="s">
        <v>999</v>
      </c>
      <c r="N337" s="8" t="s">
        <v>30</v>
      </c>
      <c r="O337" s="8" t="s">
        <v>40</v>
      </c>
      <c r="P337" s="17" t="s">
        <v>187</v>
      </c>
      <c r="Q337" s="18">
        <v>45957</v>
      </c>
      <c r="R337" s="9">
        <v>13</v>
      </c>
      <c r="S337" s="8" t="s">
        <v>32</v>
      </c>
      <c r="T337" s="8" t="s">
        <v>1000</v>
      </c>
      <c r="U337" s="8" t="s">
        <v>47</v>
      </c>
      <c r="V337" s="8" t="s">
        <v>320</v>
      </c>
      <c r="W337" s="19"/>
    </row>
    <row r="338" spans="1:23" x14ac:dyDescent="0.25">
      <c r="A338" s="8" t="s">
        <v>1001</v>
      </c>
      <c r="B338" s="8" t="str">
        <f t="shared" si="5"/>
        <v>SDQ3A2845957</v>
      </c>
      <c r="C338" s="9" t="s">
        <v>127</v>
      </c>
      <c r="D338" s="10">
        <v>44000</v>
      </c>
      <c r="E338" s="11" t="s">
        <v>1002</v>
      </c>
      <c r="F338" s="12">
        <v>45894</v>
      </c>
      <c r="G338" s="13" t="s">
        <v>743</v>
      </c>
      <c r="H338" s="10" t="s">
        <v>27</v>
      </c>
      <c r="I338" s="14" t="s">
        <v>28</v>
      </c>
      <c r="J338" s="14" t="s">
        <v>29</v>
      </c>
      <c r="K338" s="15"/>
      <c r="L338" s="15"/>
      <c r="M338" s="16" t="s">
        <v>605</v>
      </c>
      <c r="N338" s="8" t="s">
        <v>30</v>
      </c>
      <c r="O338" s="8" t="s">
        <v>40</v>
      </c>
      <c r="P338" s="17">
        <v>45960</v>
      </c>
      <c r="Q338" s="18">
        <v>45957</v>
      </c>
      <c r="R338" s="9">
        <v>63</v>
      </c>
      <c r="S338" s="8" t="s">
        <v>32</v>
      </c>
      <c r="T338" s="8" t="s">
        <v>1003</v>
      </c>
      <c r="U338" s="8" t="s">
        <v>130</v>
      </c>
      <c r="V338" s="8" t="s">
        <v>48</v>
      </c>
      <c r="W338" s="19"/>
    </row>
    <row r="339" spans="1:23" x14ac:dyDescent="0.25">
      <c r="A339" s="8" t="s">
        <v>1004</v>
      </c>
      <c r="B339" s="8" t="str">
        <f t="shared" si="5"/>
        <v>RTM6B6545957</v>
      </c>
      <c r="C339" s="9" t="s">
        <v>72</v>
      </c>
      <c r="D339" s="10">
        <v>82511</v>
      </c>
      <c r="E339" s="11" t="s">
        <v>1005</v>
      </c>
      <c r="F339" s="12">
        <v>45853</v>
      </c>
      <c r="G339" s="13" t="s">
        <v>743</v>
      </c>
      <c r="H339" s="10" t="s">
        <v>27</v>
      </c>
      <c r="I339" s="14" t="s">
        <v>28</v>
      </c>
      <c r="J339" s="14" t="s">
        <v>29</v>
      </c>
      <c r="K339" s="15"/>
      <c r="L339" s="15"/>
      <c r="M339" s="16" t="s">
        <v>420</v>
      </c>
      <c r="N339" s="8" t="s">
        <v>30</v>
      </c>
      <c r="O339" s="8" t="s">
        <v>31</v>
      </c>
      <c r="P339" s="17">
        <v>45957</v>
      </c>
      <c r="Q339" s="18">
        <v>45957</v>
      </c>
      <c r="R339" s="9">
        <v>104</v>
      </c>
      <c r="S339" s="8" t="s">
        <v>32</v>
      </c>
      <c r="T339" s="8" t="s">
        <v>98</v>
      </c>
      <c r="U339" s="8" t="s">
        <v>265</v>
      </c>
      <c r="V339" s="8" t="s">
        <v>83</v>
      </c>
      <c r="W339" s="19"/>
    </row>
    <row r="340" spans="1:23" x14ac:dyDescent="0.25">
      <c r="A340" s="8" t="s">
        <v>490</v>
      </c>
      <c r="B340" s="8" t="str">
        <f t="shared" si="5"/>
        <v>SFW0A4245957</v>
      </c>
      <c r="C340" s="9" t="s">
        <v>96</v>
      </c>
      <c r="D340" s="10">
        <v>30149</v>
      </c>
      <c r="E340" s="11" t="s">
        <v>1006</v>
      </c>
      <c r="F340" s="12">
        <v>45914</v>
      </c>
      <c r="G340" s="13" t="s">
        <v>39</v>
      </c>
      <c r="H340" s="10" t="s">
        <v>27</v>
      </c>
      <c r="I340" s="14" t="s">
        <v>28</v>
      </c>
      <c r="J340" s="14" t="s">
        <v>139</v>
      </c>
      <c r="K340" s="15"/>
      <c r="L340" s="15"/>
      <c r="M340" s="16" t="s">
        <v>424</v>
      </c>
      <c r="N340" s="8" t="s">
        <v>30</v>
      </c>
      <c r="O340" s="8" t="s">
        <v>40</v>
      </c>
      <c r="P340" s="17" t="s">
        <v>86</v>
      </c>
      <c r="Q340" s="18">
        <v>45957</v>
      </c>
      <c r="R340" s="9">
        <v>43</v>
      </c>
      <c r="S340" s="8" t="s">
        <v>32</v>
      </c>
      <c r="T340" s="8" t="s">
        <v>98</v>
      </c>
      <c r="U340" s="8" t="s">
        <v>134</v>
      </c>
      <c r="V340" s="8" t="s">
        <v>320</v>
      </c>
      <c r="W340" s="19"/>
    </row>
    <row r="341" spans="1:23" x14ac:dyDescent="0.25">
      <c r="A341" s="8" t="s">
        <v>517</v>
      </c>
      <c r="B341" s="8" t="str">
        <f t="shared" si="5"/>
        <v>SDT9G6345957</v>
      </c>
      <c r="C341" s="9" t="s">
        <v>518</v>
      </c>
      <c r="D341" s="10" t="s">
        <v>383</v>
      </c>
      <c r="E341" s="11" t="s">
        <v>310</v>
      </c>
      <c r="F341" s="12">
        <v>45946</v>
      </c>
      <c r="G341" s="13" t="s">
        <v>123</v>
      </c>
      <c r="H341" s="10" t="s">
        <v>27</v>
      </c>
      <c r="I341" s="14" t="s">
        <v>28</v>
      </c>
      <c r="J341" s="14" t="s">
        <v>139</v>
      </c>
      <c r="K341" s="15"/>
      <c r="L341" s="15"/>
      <c r="M341" s="16" t="s">
        <v>237</v>
      </c>
      <c r="N341" s="8" t="s">
        <v>30</v>
      </c>
      <c r="O341" s="8" t="s">
        <v>40</v>
      </c>
      <c r="P341" s="17" t="s">
        <v>86</v>
      </c>
      <c r="Q341" s="18">
        <v>45957</v>
      </c>
      <c r="R341" s="9">
        <v>11</v>
      </c>
      <c r="S341" s="8" t="s">
        <v>32</v>
      </c>
      <c r="T341" s="8" t="s">
        <v>1007</v>
      </c>
      <c r="U341" s="8" t="s">
        <v>42</v>
      </c>
      <c r="V341" s="8" t="s">
        <v>320</v>
      </c>
      <c r="W341" s="19"/>
    </row>
    <row r="342" spans="1:23" x14ac:dyDescent="0.25">
      <c r="A342" s="8" t="s">
        <v>1008</v>
      </c>
      <c r="B342" s="8" t="str">
        <f t="shared" si="5"/>
        <v>SFT5A3645957</v>
      </c>
      <c r="C342" s="9" t="s">
        <v>96</v>
      </c>
      <c r="D342" s="10">
        <v>23599</v>
      </c>
      <c r="E342" s="11" t="s">
        <v>1009</v>
      </c>
      <c r="F342" s="12">
        <v>45895</v>
      </c>
      <c r="G342" s="13" t="s">
        <v>39</v>
      </c>
      <c r="H342" s="10"/>
      <c r="I342" s="14"/>
      <c r="J342" s="14" t="s">
        <v>29</v>
      </c>
      <c r="K342" s="15"/>
      <c r="L342" s="15"/>
      <c r="M342" s="16" t="s">
        <v>424</v>
      </c>
      <c r="N342" s="8" t="s">
        <v>30</v>
      </c>
      <c r="O342" s="8"/>
      <c r="P342" s="17"/>
      <c r="Q342" s="18">
        <v>45957</v>
      </c>
      <c r="R342" s="9">
        <v>62</v>
      </c>
      <c r="S342" s="8" t="s">
        <v>32</v>
      </c>
      <c r="T342" s="8" t="s">
        <v>98</v>
      </c>
      <c r="U342" s="8" t="s">
        <v>134</v>
      </c>
      <c r="V342" s="8" t="s">
        <v>48</v>
      </c>
      <c r="W342" s="19"/>
    </row>
    <row r="343" spans="1:23" x14ac:dyDescent="0.25">
      <c r="A343" s="8" t="s">
        <v>1010</v>
      </c>
      <c r="B343" s="8" t="str">
        <f t="shared" si="5"/>
        <v>SFW0A7945957</v>
      </c>
      <c r="C343" s="9" t="s">
        <v>96</v>
      </c>
      <c r="D343" s="10">
        <v>301899</v>
      </c>
      <c r="E343" s="11" t="s">
        <v>1011</v>
      </c>
      <c r="F343" s="12">
        <v>45909</v>
      </c>
      <c r="G343" s="13" t="s">
        <v>39</v>
      </c>
      <c r="H343" s="10" t="s">
        <v>27</v>
      </c>
      <c r="I343" s="14" t="s">
        <v>28</v>
      </c>
      <c r="J343" s="14" t="s">
        <v>139</v>
      </c>
      <c r="K343" s="15"/>
      <c r="L343" s="15"/>
      <c r="M343" s="16" t="s">
        <v>424</v>
      </c>
      <c r="N343" s="8" t="s">
        <v>30</v>
      </c>
      <c r="O343" s="8" t="s">
        <v>40</v>
      </c>
      <c r="P343" s="17">
        <v>45960</v>
      </c>
      <c r="Q343" s="18">
        <v>45957</v>
      </c>
      <c r="R343" s="9">
        <v>48</v>
      </c>
      <c r="S343" s="8" t="s">
        <v>32</v>
      </c>
      <c r="T343" s="8" t="s">
        <v>98</v>
      </c>
      <c r="U343" s="8" t="s">
        <v>134</v>
      </c>
      <c r="V343" s="8" t="s">
        <v>320</v>
      </c>
      <c r="W343" s="19"/>
    </row>
    <row r="344" spans="1:23" x14ac:dyDescent="0.25">
      <c r="A344" s="8" t="s">
        <v>1012</v>
      </c>
      <c r="B344" s="8" t="str">
        <f t="shared" si="5"/>
        <v>RTM6B4945957</v>
      </c>
      <c r="C344" s="9" t="s">
        <v>44</v>
      </c>
      <c r="D344" s="10" t="s">
        <v>383</v>
      </c>
      <c r="E344" s="11" t="s">
        <v>595</v>
      </c>
      <c r="F344" s="12">
        <v>45940</v>
      </c>
      <c r="G344" s="13" t="s">
        <v>149</v>
      </c>
      <c r="H344" s="10"/>
      <c r="I344" s="14"/>
      <c r="J344" s="14" t="s">
        <v>29</v>
      </c>
      <c r="K344" s="15"/>
      <c r="L344" s="15"/>
      <c r="M344" s="16" t="s">
        <v>398</v>
      </c>
      <c r="N344" s="8" t="s">
        <v>30</v>
      </c>
      <c r="O344" s="8"/>
      <c r="P344" s="17">
        <v>45975</v>
      </c>
      <c r="Q344" s="18">
        <v>45957</v>
      </c>
      <c r="R344" s="9">
        <v>17</v>
      </c>
      <c r="S344" s="8" t="s">
        <v>32</v>
      </c>
      <c r="T344" s="8" t="s">
        <v>1013</v>
      </c>
      <c r="U344" s="8" t="s">
        <v>275</v>
      </c>
      <c r="V344" s="8" t="s">
        <v>320</v>
      </c>
      <c r="W344" s="19"/>
    </row>
    <row r="345" spans="1:23" x14ac:dyDescent="0.25">
      <c r="A345" s="8" t="s">
        <v>1014</v>
      </c>
      <c r="B345" s="8" t="str">
        <f t="shared" si="5"/>
        <v>SDQ3A2745957</v>
      </c>
      <c r="C345" s="9" t="s">
        <v>127</v>
      </c>
      <c r="D345" s="10">
        <v>62837</v>
      </c>
      <c r="E345" s="11" t="s">
        <v>1015</v>
      </c>
      <c r="F345" s="12">
        <v>45937</v>
      </c>
      <c r="G345" s="13" t="s">
        <v>743</v>
      </c>
      <c r="H345" s="10" t="s">
        <v>27</v>
      </c>
      <c r="I345" s="14" t="s">
        <v>28</v>
      </c>
      <c r="J345" s="14" t="s">
        <v>29</v>
      </c>
      <c r="K345" s="15"/>
      <c r="L345" s="15"/>
      <c r="M345" s="16" t="s">
        <v>605</v>
      </c>
      <c r="N345" s="8" t="s">
        <v>30</v>
      </c>
      <c r="O345" s="8" t="s">
        <v>40</v>
      </c>
      <c r="P345" s="17">
        <v>45958</v>
      </c>
      <c r="Q345" s="18">
        <v>45957</v>
      </c>
      <c r="R345" s="9">
        <v>20</v>
      </c>
      <c r="S345" s="8" t="s">
        <v>32</v>
      </c>
      <c r="T345" s="8" t="s">
        <v>1016</v>
      </c>
      <c r="U345" s="8" t="s">
        <v>1017</v>
      </c>
      <c r="V345" s="8" t="s">
        <v>320</v>
      </c>
      <c r="W345" s="19"/>
    </row>
    <row r="346" spans="1:23" x14ac:dyDescent="0.25">
      <c r="A346" s="8" t="s">
        <v>1018</v>
      </c>
      <c r="B346" s="8" t="str">
        <f t="shared" si="5"/>
        <v>SDU2C9745957</v>
      </c>
      <c r="C346" s="9" t="s">
        <v>50</v>
      </c>
      <c r="D346" s="10"/>
      <c r="E346" s="11" t="s">
        <v>1019</v>
      </c>
      <c r="F346" s="12">
        <v>45944</v>
      </c>
      <c r="G346" s="13" t="s">
        <v>743</v>
      </c>
      <c r="H346" s="10" t="s">
        <v>27</v>
      </c>
      <c r="I346" s="14" t="s">
        <v>28</v>
      </c>
      <c r="J346" s="14" t="s">
        <v>139</v>
      </c>
      <c r="K346" s="15"/>
      <c r="L346" s="15"/>
      <c r="M346" s="16" t="s">
        <v>387</v>
      </c>
      <c r="N346" s="8" t="s">
        <v>30</v>
      </c>
      <c r="O346" s="8" t="s">
        <v>40</v>
      </c>
      <c r="P346" s="17">
        <v>45957</v>
      </c>
      <c r="Q346" s="18">
        <v>45957</v>
      </c>
      <c r="R346" s="9">
        <v>13</v>
      </c>
      <c r="S346" s="8" t="s">
        <v>32</v>
      </c>
      <c r="T346" s="8" t="s">
        <v>1020</v>
      </c>
      <c r="U346" s="8" t="s">
        <v>736</v>
      </c>
      <c r="V346" s="8" t="s">
        <v>320</v>
      </c>
      <c r="W346" s="19"/>
    </row>
    <row r="347" spans="1:23" x14ac:dyDescent="0.25">
      <c r="A347" s="8" t="s">
        <v>1021</v>
      </c>
      <c r="B347" s="8" t="str">
        <f t="shared" si="5"/>
        <v>SFV0D1445957</v>
      </c>
      <c r="C347" s="9" t="s">
        <v>69</v>
      </c>
      <c r="D347" s="10">
        <v>31580</v>
      </c>
      <c r="E347" s="11" t="s">
        <v>236</v>
      </c>
      <c r="F347" s="12">
        <v>45939</v>
      </c>
      <c r="G347" s="13" t="s">
        <v>743</v>
      </c>
      <c r="H347" s="10" t="s">
        <v>27</v>
      </c>
      <c r="I347" s="14" t="s">
        <v>28</v>
      </c>
      <c r="J347" s="14" t="s">
        <v>29</v>
      </c>
      <c r="K347" s="15"/>
      <c r="L347" s="15"/>
      <c r="M347" s="16" t="s">
        <v>424</v>
      </c>
      <c r="N347" s="8" t="s">
        <v>30</v>
      </c>
      <c r="O347" s="8" t="s">
        <v>40</v>
      </c>
      <c r="P347" s="17" t="s">
        <v>86</v>
      </c>
      <c r="Q347" s="18">
        <v>45957</v>
      </c>
      <c r="R347" s="9">
        <v>20</v>
      </c>
      <c r="S347" s="8" t="s">
        <v>32</v>
      </c>
      <c r="T347" s="8" t="s">
        <v>98</v>
      </c>
      <c r="U347" s="8" t="s">
        <v>134</v>
      </c>
      <c r="V347" s="8"/>
      <c r="W347" s="19"/>
    </row>
    <row r="348" spans="1:23" x14ac:dyDescent="0.25">
      <c r="A348" s="8" t="s">
        <v>1022</v>
      </c>
      <c r="B348" s="8" t="str">
        <f t="shared" si="5"/>
        <v>RHW0D8345958</v>
      </c>
      <c r="C348" s="9" t="s">
        <v>50</v>
      </c>
      <c r="D348" s="10">
        <v>81496</v>
      </c>
      <c r="E348" s="11" t="s">
        <v>1023</v>
      </c>
      <c r="F348" s="12">
        <v>45944</v>
      </c>
      <c r="G348" s="13" t="s">
        <v>149</v>
      </c>
      <c r="H348" s="10" t="s">
        <v>27</v>
      </c>
      <c r="I348" s="14" t="s">
        <v>28</v>
      </c>
      <c r="J348" s="14" t="s">
        <v>139</v>
      </c>
      <c r="K348" s="15"/>
      <c r="L348" s="15"/>
      <c r="M348" s="16" t="s">
        <v>396</v>
      </c>
      <c r="N348" s="8" t="s">
        <v>30</v>
      </c>
      <c r="O348" s="8" t="s">
        <v>40</v>
      </c>
      <c r="P348" s="17" t="s">
        <v>86</v>
      </c>
      <c r="Q348" s="18">
        <v>45958</v>
      </c>
      <c r="R348" s="9">
        <v>14</v>
      </c>
      <c r="S348" s="8" t="s">
        <v>32</v>
      </c>
      <c r="T348" s="8" t="s">
        <v>1024</v>
      </c>
      <c r="U348" s="8" t="s">
        <v>574</v>
      </c>
      <c r="V348" s="8" t="s">
        <v>320</v>
      </c>
      <c r="W348" s="19"/>
    </row>
    <row r="349" spans="1:23" x14ac:dyDescent="0.25">
      <c r="A349" s="8" t="s">
        <v>1025</v>
      </c>
      <c r="B349" s="8" t="str">
        <f t="shared" si="5"/>
        <v>RHW0D7845958</v>
      </c>
      <c r="C349" s="9" t="s">
        <v>50</v>
      </c>
      <c r="D349" s="10">
        <v>73460</v>
      </c>
      <c r="E349" s="11" t="s">
        <v>1026</v>
      </c>
      <c r="F349" s="12">
        <v>45953</v>
      </c>
      <c r="G349" s="13" t="s">
        <v>149</v>
      </c>
      <c r="H349" s="10" t="s">
        <v>27</v>
      </c>
      <c r="I349" s="14" t="s">
        <v>28</v>
      </c>
      <c r="J349" s="14" t="s">
        <v>29</v>
      </c>
      <c r="K349" s="15"/>
      <c r="L349" s="15"/>
      <c r="M349" s="16" t="s">
        <v>396</v>
      </c>
      <c r="N349" s="8" t="s">
        <v>30</v>
      </c>
      <c r="O349" s="8" t="s">
        <v>40</v>
      </c>
      <c r="P349" s="17">
        <v>45959</v>
      </c>
      <c r="Q349" s="18">
        <v>45958</v>
      </c>
      <c r="R349" s="9">
        <v>5</v>
      </c>
      <c r="S349" s="8" t="s">
        <v>32</v>
      </c>
      <c r="T349" s="8" t="s">
        <v>1024</v>
      </c>
      <c r="U349" s="8" t="s">
        <v>574</v>
      </c>
      <c r="V349" s="8" t="s">
        <v>320</v>
      </c>
      <c r="W349" s="19"/>
    </row>
    <row r="350" spans="1:23" x14ac:dyDescent="0.25">
      <c r="A350" s="8" t="s">
        <v>205</v>
      </c>
      <c r="B350" s="8" t="str">
        <f t="shared" si="5"/>
        <v>RND8C3845958</v>
      </c>
      <c r="C350" s="9" t="s">
        <v>72</v>
      </c>
      <c r="D350" s="10">
        <v>139985</v>
      </c>
      <c r="E350" s="11" t="s">
        <v>1027</v>
      </c>
      <c r="F350" s="12">
        <v>45954</v>
      </c>
      <c r="G350" s="13" t="s">
        <v>226</v>
      </c>
      <c r="H350" s="10" t="s">
        <v>27</v>
      </c>
      <c r="I350" s="14" t="s">
        <v>28</v>
      </c>
      <c r="J350" s="14" t="s">
        <v>139</v>
      </c>
      <c r="K350" s="15">
        <v>2707</v>
      </c>
      <c r="L350" s="15"/>
      <c r="M350" s="16" t="s">
        <v>207</v>
      </c>
      <c r="N350" s="8" t="s">
        <v>30</v>
      </c>
      <c r="O350" s="8" t="s">
        <v>40</v>
      </c>
      <c r="P350" s="17" t="s">
        <v>187</v>
      </c>
      <c r="Q350" s="18">
        <v>45958</v>
      </c>
      <c r="R350" s="9">
        <v>4</v>
      </c>
      <c r="S350" s="8" t="s">
        <v>32</v>
      </c>
      <c r="T350" s="8" t="s">
        <v>74</v>
      </c>
      <c r="U350" s="8" t="s">
        <v>75</v>
      </c>
      <c r="V350" s="8" t="s">
        <v>320</v>
      </c>
      <c r="W350" s="19"/>
    </row>
    <row r="351" spans="1:23" x14ac:dyDescent="0.25">
      <c r="A351" s="8" t="s">
        <v>1028</v>
      </c>
      <c r="B351" s="8" t="str">
        <f t="shared" si="5"/>
        <v>SWH8D5445957</v>
      </c>
      <c r="C351" s="9" t="s">
        <v>926</v>
      </c>
      <c r="D351" s="10" t="s">
        <v>383</v>
      </c>
      <c r="E351" s="11" t="s">
        <v>1029</v>
      </c>
      <c r="F351" s="12">
        <v>45952</v>
      </c>
      <c r="G351" s="13" t="s">
        <v>226</v>
      </c>
      <c r="H351" s="10" t="s">
        <v>27</v>
      </c>
      <c r="I351" s="14" t="s">
        <v>28</v>
      </c>
      <c r="J351" s="14" t="s">
        <v>139</v>
      </c>
      <c r="K351" s="15"/>
      <c r="L351" s="15"/>
      <c r="M351" s="16" t="s">
        <v>511</v>
      </c>
      <c r="N351" s="8" t="s">
        <v>512</v>
      </c>
      <c r="O351" s="8" t="s">
        <v>40</v>
      </c>
      <c r="P351" s="17" t="s">
        <v>86</v>
      </c>
      <c r="Q351" s="18">
        <v>45957</v>
      </c>
      <c r="R351" s="9">
        <v>5</v>
      </c>
      <c r="S351" s="8" t="s">
        <v>32</v>
      </c>
      <c r="T351" s="8" t="s">
        <v>98</v>
      </c>
      <c r="U351" s="8" t="s">
        <v>513</v>
      </c>
      <c r="V351" s="8" t="s">
        <v>320</v>
      </c>
      <c r="W351" s="19"/>
    </row>
    <row r="352" spans="1:23" x14ac:dyDescent="0.25">
      <c r="A352" s="8" t="s">
        <v>1030</v>
      </c>
      <c r="B352" s="8" t="str">
        <f t="shared" si="5"/>
        <v>RUW5E4645958</v>
      </c>
      <c r="C352" s="9" t="s">
        <v>79</v>
      </c>
      <c r="D352" s="10">
        <v>58284</v>
      </c>
      <c r="E352" s="11" t="s">
        <v>1031</v>
      </c>
      <c r="F352" s="12">
        <v>45944</v>
      </c>
      <c r="G352" s="13" t="s">
        <v>149</v>
      </c>
      <c r="H352" s="10" t="s">
        <v>27</v>
      </c>
      <c r="I352" s="14" t="s">
        <v>28</v>
      </c>
      <c r="J352" s="14" t="s">
        <v>29</v>
      </c>
      <c r="K352" s="15"/>
      <c r="L352" s="15"/>
      <c r="M352" s="16" t="s">
        <v>599</v>
      </c>
      <c r="N352" s="8" t="s">
        <v>30</v>
      </c>
      <c r="O352" s="8" t="s">
        <v>40</v>
      </c>
      <c r="P352" s="17" t="s">
        <v>1032</v>
      </c>
      <c r="Q352" s="18">
        <v>45958</v>
      </c>
      <c r="R352" s="9">
        <v>14</v>
      </c>
      <c r="S352" s="8" t="s">
        <v>153</v>
      </c>
      <c r="T352" s="8" t="s">
        <v>1033</v>
      </c>
      <c r="U352" s="8" t="s">
        <v>372</v>
      </c>
      <c r="V352" s="8" t="s">
        <v>320</v>
      </c>
      <c r="W352" s="19"/>
    </row>
    <row r="353" spans="1:23" x14ac:dyDescent="0.25">
      <c r="A353" s="8" t="s">
        <v>23</v>
      </c>
      <c r="B353" s="8" t="str">
        <f t="shared" si="5"/>
        <v>STU8B2845958</v>
      </c>
      <c r="C353" s="9" t="s">
        <v>24</v>
      </c>
      <c r="D353" s="10">
        <v>38805</v>
      </c>
      <c r="E353" s="11" t="s">
        <v>1034</v>
      </c>
      <c r="F353" s="12">
        <v>45954</v>
      </c>
      <c r="G353" s="13" t="s">
        <v>138</v>
      </c>
      <c r="H353" s="10" t="s">
        <v>27</v>
      </c>
      <c r="I353" s="14" t="s">
        <v>28</v>
      </c>
      <c r="J353" s="14" t="s">
        <v>139</v>
      </c>
      <c r="K353" s="15"/>
      <c r="L353" s="15"/>
      <c r="M353" s="16" t="s">
        <v>140</v>
      </c>
      <c r="N353" s="8" t="s">
        <v>30</v>
      </c>
      <c r="O353" s="8" t="s">
        <v>40</v>
      </c>
      <c r="P353" s="17" t="s">
        <v>811</v>
      </c>
      <c r="Q353" s="18">
        <v>45958</v>
      </c>
      <c r="R353" s="9">
        <v>4</v>
      </c>
      <c r="S353" s="8" t="s">
        <v>32</v>
      </c>
      <c r="T353" s="8" t="s">
        <v>98</v>
      </c>
      <c r="U353" s="8" t="s">
        <v>973</v>
      </c>
      <c r="V353" s="8" t="s">
        <v>320</v>
      </c>
      <c r="W353" s="19"/>
    </row>
    <row r="354" spans="1:23" x14ac:dyDescent="0.25">
      <c r="A354" s="8" t="s">
        <v>1035</v>
      </c>
      <c r="B354" s="8" t="str">
        <f t="shared" si="5"/>
        <v>RVE1D1945958</v>
      </c>
      <c r="C354" s="9" t="s">
        <v>37</v>
      </c>
      <c r="D354" s="10">
        <v>10203</v>
      </c>
      <c r="E354" s="11" t="s">
        <v>225</v>
      </c>
      <c r="F354" s="12">
        <v>45932</v>
      </c>
      <c r="G354" s="13" t="s">
        <v>149</v>
      </c>
      <c r="H354" s="10" t="s">
        <v>27</v>
      </c>
      <c r="I354" s="14" t="s">
        <v>28</v>
      </c>
      <c r="J354" s="14" t="s">
        <v>29</v>
      </c>
      <c r="K354" s="15"/>
      <c r="L354" s="15"/>
      <c r="M354" s="16" t="s">
        <v>396</v>
      </c>
      <c r="N354" s="8" t="s">
        <v>30</v>
      </c>
      <c r="O354" s="8" t="s">
        <v>40</v>
      </c>
      <c r="P354" s="17">
        <v>45959</v>
      </c>
      <c r="Q354" s="18">
        <v>45958</v>
      </c>
      <c r="R354" s="9">
        <v>26</v>
      </c>
      <c r="S354" s="8" t="s">
        <v>32</v>
      </c>
      <c r="T354" s="8" t="s">
        <v>1036</v>
      </c>
      <c r="U354" s="8" t="s">
        <v>1037</v>
      </c>
      <c r="V354" s="8" t="s">
        <v>313</v>
      </c>
      <c r="W354" s="19"/>
    </row>
    <row r="355" spans="1:23" x14ac:dyDescent="0.25">
      <c r="A355" s="8" t="s">
        <v>1038</v>
      </c>
      <c r="B355" s="8" t="str">
        <f t="shared" si="5"/>
        <v>SGI8J0745958</v>
      </c>
      <c r="C355" s="9" t="s">
        <v>96</v>
      </c>
      <c r="D355" s="10">
        <v>27621</v>
      </c>
      <c r="E355" s="11" t="s">
        <v>493</v>
      </c>
      <c r="F355" s="12">
        <v>45883</v>
      </c>
      <c r="G355" s="13" t="s">
        <v>39</v>
      </c>
      <c r="H355" s="10" t="s">
        <v>27</v>
      </c>
      <c r="I355" s="14" t="s">
        <v>28</v>
      </c>
      <c r="J355" s="14" t="s">
        <v>139</v>
      </c>
      <c r="K355" s="15"/>
      <c r="L355" s="15"/>
      <c r="M355" s="16" t="s">
        <v>424</v>
      </c>
      <c r="N355" s="8" t="s">
        <v>30</v>
      </c>
      <c r="O355" s="8"/>
      <c r="P355" s="17"/>
      <c r="Q355" s="18">
        <v>45958</v>
      </c>
      <c r="R355" s="9">
        <v>75</v>
      </c>
      <c r="S355" s="8" t="s">
        <v>32</v>
      </c>
      <c r="T355" s="8" t="s">
        <v>98</v>
      </c>
      <c r="U355" s="8" t="s">
        <v>134</v>
      </c>
      <c r="V355" s="8" t="s">
        <v>48</v>
      </c>
      <c r="W355" s="19"/>
    </row>
    <row r="356" spans="1:23" x14ac:dyDescent="0.25">
      <c r="A356" s="8" t="s">
        <v>376</v>
      </c>
      <c r="B356" s="8" t="str">
        <f t="shared" si="5"/>
        <v>GEF8B7445958</v>
      </c>
      <c r="C356" s="9" t="s">
        <v>224</v>
      </c>
      <c r="D356" s="10">
        <v>113740</v>
      </c>
      <c r="E356" s="11" t="s">
        <v>1039</v>
      </c>
      <c r="F356" s="12">
        <v>45954</v>
      </c>
      <c r="G356" s="13" t="s">
        <v>226</v>
      </c>
      <c r="H356" s="10" t="s">
        <v>27</v>
      </c>
      <c r="I356" s="14" t="s">
        <v>28</v>
      </c>
      <c r="J356" s="14" t="s">
        <v>139</v>
      </c>
      <c r="K356" s="15"/>
      <c r="L356" s="15"/>
      <c r="M356" s="16" t="s">
        <v>227</v>
      </c>
      <c r="N356" s="8" t="s">
        <v>228</v>
      </c>
      <c r="O356" s="8" t="s">
        <v>40</v>
      </c>
      <c r="P356" s="17" t="s">
        <v>86</v>
      </c>
      <c r="Q356" s="18">
        <v>45958</v>
      </c>
      <c r="R356" s="9">
        <v>4</v>
      </c>
      <c r="S356" s="8" t="s">
        <v>32</v>
      </c>
      <c r="T356" s="8" t="s">
        <v>98</v>
      </c>
      <c r="U356" s="8" t="s">
        <v>271</v>
      </c>
      <c r="V356" s="8" t="s">
        <v>320</v>
      </c>
      <c r="W356" s="19"/>
    </row>
    <row r="357" spans="1:23" x14ac:dyDescent="0.25">
      <c r="A357" s="8" t="s">
        <v>1040</v>
      </c>
      <c r="B357" s="8" t="str">
        <f t="shared" si="5"/>
        <v>SGI8H8345958</v>
      </c>
      <c r="C357" s="9" t="s">
        <v>96</v>
      </c>
      <c r="D357" s="10">
        <v>55685</v>
      </c>
      <c r="E357" s="11" t="s">
        <v>768</v>
      </c>
      <c r="F357" s="12">
        <v>45943</v>
      </c>
      <c r="G357" s="13" t="s">
        <v>39</v>
      </c>
      <c r="H357" s="10" t="s">
        <v>27</v>
      </c>
      <c r="I357" s="14" t="s">
        <v>28</v>
      </c>
      <c r="J357" s="14" t="s">
        <v>139</v>
      </c>
      <c r="K357" s="15"/>
      <c r="L357" s="15"/>
      <c r="M357" s="16" t="s">
        <v>354</v>
      </c>
      <c r="N357" s="8" t="s">
        <v>30</v>
      </c>
      <c r="O357" s="8" t="s">
        <v>40</v>
      </c>
      <c r="P357" s="17">
        <v>45961</v>
      </c>
      <c r="Q357" s="18">
        <v>45958</v>
      </c>
      <c r="R357" s="9">
        <v>15</v>
      </c>
      <c r="S357" s="8" t="s">
        <v>32</v>
      </c>
      <c r="T357" s="8" t="s">
        <v>669</v>
      </c>
      <c r="U357" s="8" t="s">
        <v>279</v>
      </c>
      <c r="V357" s="8" t="s">
        <v>320</v>
      </c>
      <c r="W357" s="19"/>
    </row>
    <row r="358" spans="1:23" x14ac:dyDescent="0.25">
      <c r="A358" s="8" t="s">
        <v>1041</v>
      </c>
      <c r="B358" s="8" t="str">
        <f t="shared" si="5"/>
        <v>SGL4D2445959</v>
      </c>
      <c r="C358" s="9" t="s">
        <v>96</v>
      </c>
      <c r="D358" s="10">
        <v>6318</v>
      </c>
      <c r="E358" s="11" t="s">
        <v>1042</v>
      </c>
      <c r="F358" s="12">
        <v>45938</v>
      </c>
      <c r="G358" s="13" t="s">
        <v>39</v>
      </c>
      <c r="H358" s="10" t="s">
        <v>27</v>
      </c>
      <c r="I358" s="14" t="s">
        <v>28</v>
      </c>
      <c r="J358" s="14" t="s">
        <v>139</v>
      </c>
      <c r="K358" s="15"/>
      <c r="L358" s="15"/>
      <c r="M358" s="16" t="s">
        <v>396</v>
      </c>
      <c r="N358" s="8" t="s">
        <v>30</v>
      </c>
      <c r="O358" s="8" t="s">
        <v>40</v>
      </c>
      <c r="P358" s="17">
        <v>45959</v>
      </c>
      <c r="Q358" s="18">
        <v>45959</v>
      </c>
      <c r="R358" s="9">
        <v>21</v>
      </c>
      <c r="S358" s="8" t="s">
        <v>32</v>
      </c>
      <c r="T358" s="8" t="s">
        <v>1043</v>
      </c>
      <c r="U358" s="8" t="s">
        <v>574</v>
      </c>
      <c r="V358" s="8" t="s">
        <v>320</v>
      </c>
      <c r="W358" s="19"/>
    </row>
    <row r="359" spans="1:23" x14ac:dyDescent="0.25">
      <c r="A359" s="8" t="s">
        <v>1044</v>
      </c>
      <c r="B359" s="8" t="str">
        <f t="shared" si="5"/>
        <v>RNC5H1545959</v>
      </c>
      <c r="C359" s="9" t="s">
        <v>72</v>
      </c>
      <c r="D359" s="10" t="s">
        <v>383</v>
      </c>
      <c r="E359" s="11" t="s">
        <v>1045</v>
      </c>
      <c r="F359" s="12">
        <v>45957</v>
      </c>
      <c r="G359" s="13" t="s">
        <v>123</v>
      </c>
      <c r="H359" s="10" t="s">
        <v>27</v>
      </c>
      <c r="I359" s="14" t="s">
        <v>28</v>
      </c>
      <c r="J359" s="14" t="s">
        <v>29</v>
      </c>
      <c r="K359" s="15"/>
      <c r="L359" s="15"/>
      <c r="M359" s="16" t="s">
        <v>638</v>
      </c>
      <c r="N359" s="8" t="s">
        <v>30</v>
      </c>
      <c r="O359" s="8" t="s">
        <v>31</v>
      </c>
      <c r="P359" s="17">
        <v>45959</v>
      </c>
      <c r="Q359" s="18">
        <v>45959</v>
      </c>
      <c r="R359" s="9">
        <v>2</v>
      </c>
      <c r="S359" s="8" t="s">
        <v>153</v>
      </c>
      <c r="T359" s="8" t="s">
        <v>1046</v>
      </c>
      <c r="U359" s="8" t="s">
        <v>94</v>
      </c>
      <c r="V359" s="8" t="s">
        <v>320</v>
      </c>
      <c r="W359" s="19"/>
    </row>
    <row r="360" spans="1:23" x14ac:dyDescent="0.25">
      <c r="A360" s="8" t="s">
        <v>501</v>
      </c>
      <c r="B360" s="8" t="str">
        <f t="shared" si="5"/>
        <v>SGL4C7445959</v>
      </c>
      <c r="C360" s="9" t="s">
        <v>96</v>
      </c>
      <c r="D360" s="10">
        <v>40131</v>
      </c>
      <c r="E360" s="11" t="s">
        <v>1047</v>
      </c>
      <c r="F360" s="12">
        <v>45954</v>
      </c>
      <c r="G360" s="13" t="s">
        <v>39</v>
      </c>
      <c r="H360" s="10" t="s">
        <v>27</v>
      </c>
      <c r="I360" s="14" t="s">
        <v>28</v>
      </c>
      <c r="J360" s="14" t="s">
        <v>139</v>
      </c>
      <c r="K360" s="15"/>
      <c r="L360" s="15"/>
      <c r="M360" s="16" t="s">
        <v>485</v>
      </c>
      <c r="N360" s="8" t="s">
        <v>228</v>
      </c>
      <c r="O360" s="8" t="s">
        <v>40</v>
      </c>
      <c r="P360" s="17" t="s">
        <v>86</v>
      </c>
      <c r="Q360" s="18">
        <v>45959</v>
      </c>
      <c r="R360" s="9">
        <v>5</v>
      </c>
      <c r="S360" s="8" t="s">
        <v>32</v>
      </c>
      <c r="T360" s="8" t="s">
        <v>1048</v>
      </c>
      <c r="U360" s="8" t="s">
        <v>486</v>
      </c>
      <c r="V360" s="8" t="s">
        <v>320</v>
      </c>
      <c r="W360" s="19"/>
    </row>
    <row r="361" spans="1:23" x14ac:dyDescent="0.25">
      <c r="A361" s="8" t="s">
        <v>1049</v>
      </c>
      <c r="B361" s="8" t="str">
        <f t="shared" si="5"/>
        <v>RVA2J6345959</v>
      </c>
      <c r="C361" s="9" t="s">
        <v>44</v>
      </c>
      <c r="D361" s="10">
        <v>152272</v>
      </c>
      <c r="E361" s="11" t="s">
        <v>1050</v>
      </c>
      <c r="F361" s="12">
        <v>45821</v>
      </c>
      <c r="G361" s="13" t="s">
        <v>743</v>
      </c>
      <c r="H361" s="10" t="s">
        <v>27</v>
      </c>
      <c r="I361" s="14" t="s">
        <v>28</v>
      </c>
      <c r="J361" s="14" t="s">
        <v>29</v>
      </c>
      <c r="K361" s="15"/>
      <c r="L361" s="15"/>
      <c r="M361" s="16" t="s">
        <v>605</v>
      </c>
      <c r="N361" s="8" t="s">
        <v>30</v>
      </c>
      <c r="O361" s="8" t="s">
        <v>40</v>
      </c>
      <c r="P361" s="17">
        <v>45958</v>
      </c>
      <c r="Q361" s="18">
        <v>45959</v>
      </c>
      <c r="R361" s="9">
        <v>138</v>
      </c>
      <c r="S361" s="8" t="s">
        <v>32</v>
      </c>
      <c r="T361" s="8" t="s">
        <v>1051</v>
      </c>
      <c r="U361" s="8" t="s">
        <v>130</v>
      </c>
      <c r="V361" s="8" t="s">
        <v>135</v>
      </c>
      <c r="W361" s="19"/>
    </row>
    <row r="362" spans="1:23" x14ac:dyDescent="0.25">
      <c r="A362" s="8" t="s">
        <v>1052</v>
      </c>
      <c r="B362" s="8" t="str">
        <f t="shared" si="5"/>
        <v>SGI8I0145959</v>
      </c>
      <c r="C362" s="9" t="s">
        <v>96</v>
      </c>
      <c r="D362" s="10" t="s">
        <v>383</v>
      </c>
      <c r="E362" s="11" t="s">
        <v>1053</v>
      </c>
      <c r="F362" s="12">
        <v>45930</v>
      </c>
      <c r="G362" s="13" t="s">
        <v>39</v>
      </c>
      <c r="H362" s="10" t="s">
        <v>27</v>
      </c>
      <c r="I362" s="14" t="s">
        <v>28</v>
      </c>
      <c r="J362" s="14" t="s">
        <v>29</v>
      </c>
      <c r="K362" s="15"/>
      <c r="L362" s="15"/>
      <c r="M362" s="16" t="s">
        <v>237</v>
      </c>
      <c r="N362" s="8" t="s">
        <v>30</v>
      </c>
      <c r="O362" s="8" t="s">
        <v>40</v>
      </c>
      <c r="P362" s="17">
        <v>45958</v>
      </c>
      <c r="Q362" s="18">
        <v>45959</v>
      </c>
      <c r="R362" s="9">
        <v>29</v>
      </c>
      <c r="S362" s="8" t="s">
        <v>32</v>
      </c>
      <c r="T362" s="8" t="s">
        <v>1054</v>
      </c>
      <c r="U362" s="8" t="s">
        <v>42</v>
      </c>
      <c r="V362" s="8" t="s">
        <v>35</v>
      </c>
      <c r="W362" s="19"/>
    </row>
    <row r="363" spans="1:23" x14ac:dyDescent="0.25">
      <c r="A363" s="8" t="s">
        <v>656</v>
      </c>
      <c r="B363" s="8" t="str">
        <f t="shared" si="5"/>
        <v>RVG0G1045959</v>
      </c>
      <c r="C363" s="9" t="s">
        <v>505</v>
      </c>
      <c r="D363" s="10" t="s">
        <v>383</v>
      </c>
      <c r="E363" s="11" t="s">
        <v>1055</v>
      </c>
      <c r="F363" s="12">
        <v>45951</v>
      </c>
      <c r="G363" s="13" t="s">
        <v>226</v>
      </c>
      <c r="H363" s="10" t="s">
        <v>27</v>
      </c>
      <c r="I363" s="14" t="s">
        <v>28</v>
      </c>
      <c r="J363" s="14" t="s">
        <v>139</v>
      </c>
      <c r="K363" s="15"/>
      <c r="L363" s="15"/>
      <c r="M363" s="16" t="s">
        <v>186</v>
      </c>
      <c r="N363" s="8" t="s">
        <v>30</v>
      </c>
      <c r="O363" s="8" t="s">
        <v>40</v>
      </c>
      <c r="P363" s="17" t="s">
        <v>86</v>
      </c>
      <c r="Q363" s="18">
        <v>45959</v>
      </c>
      <c r="R363" s="9">
        <v>8</v>
      </c>
      <c r="S363" s="8" t="s">
        <v>32</v>
      </c>
      <c r="T363" s="8" t="s">
        <v>74</v>
      </c>
      <c r="U363" s="8" t="s">
        <v>188</v>
      </c>
      <c r="V363" s="8" t="s">
        <v>320</v>
      </c>
      <c r="W363" s="19"/>
    </row>
    <row r="364" spans="1:23" x14ac:dyDescent="0.25">
      <c r="A364" s="8" t="s">
        <v>1056</v>
      </c>
      <c r="B364" s="8" t="str">
        <f t="shared" si="5"/>
        <v>SGI9A0645959</v>
      </c>
      <c r="C364" s="9" t="s">
        <v>96</v>
      </c>
      <c r="D364" s="10" t="s">
        <v>383</v>
      </c>
      <c r="E364" s="11" t="s">
        <v>225</v>
      </c>
      <c r="F364" s="12">
        <v>45944</v>
      </c>
      <c r="G364" s="13" t="s">
        <v>39</v>
      </c>
      <c r="H364" s="10" t="s">
        <v>27</v>
      </c>
      <c r="I364" s="14" t="s">
        <v>28</v>
      </c>
      <c r="J364" s="14" t="s">
        <v>139</v>
      </c>
      <c r="K364" s="15"/>
      <c r="L364" s="15"/>
      <c r="M364" s="16" t="s">
        <v>140</v>
      </c>
      <c r="N364" s="8" t="s">
        <v>30</v>
      </c>
      <c r="O364" s="8" t="s">
        <v>40</v>
      </c>
      <c r="P364" s="17" t="s">
        <v>86</v>
      </c>
      <c r="Q364" s="18">
        <v>45959</v>
      </c>
      <c r="R364" s="9">
        <v>15</v>
      </c>
      <c r="S364" s="8" t="s">
        <v>32</v>
      </c>
      <c r="T364" s="8" t="s">
        <v>1057</v>
      </c>
      <c r="U364" s="8" t="s">
        <v>500</v>
      </c>
      <c r="V364" s="8" t="s">
        <v>320</v>
      </c>
      <c r="W364" s="19"/>
    </row>
    <row r="365" spans="1:23" x14ac:dyDescent="0.25">
      <c r="A365" s="8" t="s">
        <v>1058</v>
      </c>
      <c r="B365" s="8" t="str">
        <f t="shared" si="5"/>
        <v>RNU2J5845959</v>
      </c>
      <c r="C365" s="9" t="s">
        <v>37</v>
      </c>
      <c r="D365" s="10">
        <v>89547</v>
      </c>
      <c r="E365" s="11" t="s">
        <v>1059</v>
      </c>
      <c r="F365" s="12">
        <v>45959</v>
      </c>
      <c r="G365" s="13" t="s">
        <v>872</v>
      </c>
      <c r="H365" s="10" t="s">
        <v>27</v>
      </c>
      <c r="I365" s="14" t="s">
        <v>28</v>
      </c>
      <c r="J365" s="14" t="s">
        <v>139</v>
      </c>
      <c r="K365" s="15"/>
      <c r="L365" s="15"/>
      <c r="M365" s="16" t="s">
        <v>329</v>
      </c>
      <c r="N365" s="8" t="s">
        <v>30</v>
      </c>
      <c r="O365" s="8" t="s">
        <v>40</v>
      </c>
      <c r="P365" s="17" t="s">
        <v>86</v>
      </c>
      <c r="Q365" s="18">
        <v>45959</v>
      </c>
      <c r="R365" s="9">
        <v>0</v>
      </c>
      <c r="S365" s="8" t="s">
        <v>153</v>
      </c>
      <c r="T365" s="8" t="s">
        <v>66</v>
      </c>
      <c r="U365" s="8" t="s">
        <v>330</v>
      </c>
      <c r="V365" s="8" t="s">
        <v>833</v>
      </c>
      <c r="W365" s="19"/>
    </row>
    <row r="366" spans="1:23" x14ac:dyDescent="0.25">
      <c r="A366" s="8" t="s">
        <v>1060</v>
      </c>
      <c r="B366" s="8" t="str">
        <f t="shared" si="5"/>
        <v>SGF9B1345959</v>
      </c>
      <c r="C366" s="9" t="s">
        <v>157</v>
      </c>
      <c r="D366" s="10">
        <v>40567</v>
      </c>
      <c r="E366" s="11" t="s">
        <v>1061</v>
      </c>
      <c r="F366" s="12">
        <v>45957</v>
      </c>
      <c r="G366" s="13" t="s">
        <v>138</v>
      </c>
      <c r="H366" s="10" t="s">
        <v>27</v>
      </c>
      <c r="I366" s="14" t="s">
        <v>28</v>
      </c>
      <c r="J366" s="14" t="s">
        <v>139</v>
      </c>
      <c r="K366" s="15"/>
      <c r="L366" s="15"/>
      <c r="M366" s="16" t="s">
        <v>587</v>
      </c>
      <c r="N366" s="8" t="s">
        <v>30</v>
      </c>
      <c r="O366" s="8" t="s">
        <v>40</v>
      </c>
      <c r="P366" s="17" t="s">
        <v>86</v>
      </c>
      <c r="Q366" s="18">
        <v>45959</v>
      </c>
      <c r="R366" s="9">
        <v>2</v>
      </c>
      <c r="S366" s="8" t="s">
        <v>153</v>
      </c>
      <c r="T366" s="8" t="s">
        <v>100</v>
      </c>
      <c r="U366" s="8" t="s">
        <v>101</v>
      </c>
      <c r="V366" s="8" t="s">
        <v>320</v>
      </c>
      <c r="W366" s="19"/>
    </row>
    <row r="367" spans="1:23" x14ac:dyDescent="0.25">
      <c r="A367" s="8" t="s">
        <v>795</v>
      </c>
      <c r="B367" s="8" t="str">
        <f t="shared" si="5"/>
        <v>RNB5I54 45959</v>
      </c>
      <c r="C367" s="9" t="s">
        <v>44</v>
      </c>
      <c r="D367" s="10">
        <v>91318</v>
      </c>
      <c r="E367" s="11" t="s">
        <v>1062</v>
      </c>
      <c r="F367" s="12">
        <v>45957</v>
      </c>
      <c r="G367" s="13" t="s">
        <v>138</v>
      </c>
      <c r="H367" s="10" t="s">
        <v>27</v>
      </c>
      <c r="I367" s="14" t="s">
        <v>28</v>
      </c>
      <c r="J367" s="14" t="s">
        <v>139</v>
      </c>
      <c r="K367" s="15"/>
      <c r="L367" s="15"/>
      <c r="M367" s="16" t="s">
        <v>200</v>
      </c>
      <c r="N367" s="8" t="s">
        <v>30</v>
      </c>
      <c r="O367" s="8" t="s">
        <v>40</v>
      </c>
      <c r="P367" s="17" t="s">
        <v>86</v>
      </c>
      <c r="Q367" s="18">
        <v>45959</v>
      </c>
      <c r="R367" s="9">
        <v>2</v>
      </c>
      <c r="S367" s="8" t="s">
        <v>153</v>
      </c>
      <c r="T367" s="8" t="s">
        <v>98</v>
      </c>
      <c r="U367" s="8" t="s">
        <v>202</v>
      </c>
      <c r="V367" s="8" t="s">
        <v>320</v>
      </c>
      <c r="W367" s="19"/>
    </row>
    <row r="368" spans="1:23" x14ac:dyDescent="0.25">
      <c r="A368" s="8" t="s">
        <v>1063</v>
      </c>
      <c r="B368" s="8" t="str">
        <f t="shared" si="5"/>
        <v>SWR4C9145959</v>
      </c>
      <c r="C368" s="9" t="s">
        <v>926</v>
      </c>
      <c r="D368" s="10" t="s">
        <v>383</v>
      </c>
      <c r="E368" s="11" t="s">
        <v>1064</v>
      </c>
      <c r="F368" s="12">
        <v>45954</v>
      </c>
      <c r="G368" s="13" t="s">
        <v>123</v>
      </c>
      <c r="H368" s="10" t="s">
        <v>27</v>
      </c>
      <c r="I368" s="14" t="s">
        <v>28</v>
      </c>
      <c r="J368" s="14" t="s">
        <v>139</v>
      </c>
      <c r="K368" s="15"/>
      <c r="L368" s="15"/>
      <c r="M368" s="16" t="s">
        <v>374</v>
      </c>
      <c r="N368" s="8" t="s">
        <v>30</v>
      </c>
      <c r="O368" s="8" t="s">
        <v>40</v>
      </c>
      <c r="P368" s="17">
        <v>45959</v>
      </c>
      <c r="Q368" s="18">
        <v>45959</v>
      </c>
      <c r="R368" s="9">
        <v>5</v>
      </c>
      <c r="S368" s="8" t="s">
        <v>32</v>
      </c>
      <c r="T368" s="8" t="s">
        <v>392</v>
      </c>
      <c r="U368" s="8" t="s">
        <v>393</v>
      </c>
      <c r="V368" s="8" t="s">
        <v>320</v>
      </c>
      <c r="W368" s="19"/>
    </row>
    <row r="369" spans="1:23" x14ac:dyDescent="0.25">
      <c r="A369" s="8" t="s">
        <v>445</v>
      </c>
      <c r="B369" s="8" t="str">
        <f t="shared" si="5"/>
        <v>RNF2B6845959</v>
      </c>
      <c r="C369" s="9" t="s">
        <v>72</v>
      </c>
      <c r="D369" s="10">
        <v>211901</v>
      </c>
      <c r="E369" s="11" t="s">
        <v>1065</v>
      </c>
      <c r="F369" s="12">
        <v>45958</v>
      </c>
      <c r="G369" s="13" t="s">
        <v>123</v>
      </c>
      <c r="H369" s="10" t="s">
        <v>27</v>
      </c>
      <c r="I369" s="14" t="s">
        <v>28</v>
      </c>
      <c r="J369" s="14" t="s">
        <v>29</v>
      </c>
      <c r="K369" s="15"/>
      <c r="L369" s="15"/>
      <c r="M369" s="16" t="s">
        <v>374</v>
      </c>
      <c r="N369" s="8" t="s">
        <v>30</v>
      </c>
      <c r="O369" s="8" t="s">
        <v>40</v>
      </c>
      <c r="P369" s="17">
        <v>45960</v>
      </c>
      <c r="Q369" s="18">
        <v>45959</v>
      </c>
      <c r="R369" s="9">
        <v>1</v>
      </c>
      <c r="S369" s="8" t="s">
        <v>153</v>
      </c>
      <c r="T369" s="8" t="s">
        <v>392</v>
      </c>
      <c r="U369" s="8" t="s">
        <v>393</v>
      </c>
      <c r="V369" s="8" t="s">
        <v>320</v>
      </c>
      <c r="W369" s="19"/>
    </row>
    <row r="370" spans="1:23" x14ac:dyDescent="0.25">
      <c r="A370" s="8" t="s">
        <v>1066</v>
      </c>
      <c r="B370" s="8" t="str">
        <f t="shared" si="5"/>
        <v>SGI8H6345960</v>
      </c>
      <c r="C370" s="9" t="s">
        <v>96</v>
      </c>
      <c r="D370" s="10">
        <v>24986</v>
      </c>
      <c r="E370" s="11" t="s">
        <v>158</v>
      </c>
      <c r="F370" s="12">
        <v>45898</v>
      </c>
      <c r="G370" s="13" t="s">
        <v>39</v>
      </c>
      <c r="H370" s="10" t="s">
        <v>27</v>
      </c>
      <c r="I370" s="14" t="s">
        <v>28</v>
      </c>
      <c r="J370" s="14" t="s">
        <v>139</v>
      </c>
      <c r="K370" s="15"/>
      <c r="L370" s="15"/>
      <c r="M370" s="16" t="s">
        <v>424</v>
      </c>
      <c r="N370" s="8" t="s">
        <v>30</v>
      </c>
      <c r="O370" s="8" t="s">
        <v>40</v>
      </c>
      <c r="P370" s="17" t="s">
        <v>1067</v>
      </c>
      <c r="Q370" s="18">
        <v>45960</v>
      </c>
      <c r="R370" s="9">
        <v>62</v>
      </c>
      <c r="S370" s="8" t="s">
        <v>32</v>
      </c>
      <c r="T370" s="8" t="s">
        <v>1046</v>
      </c>
      <c r="U370" s="8" t="s">
        <v>134</v>
      </c>
      <c r="V370" s="8" t="s">
        <v>48</v>
      </c>
      <c r="W370" s="19"/>
    </row>
    <row r="371" spans="1:23" x14ac:dyDescent="0.25">
      <c r="A371" s="8" t="s">
        <v>1068</v>
      </c>
      <c r="B371" s="8" t="str">
        <f t="shared" si="5"/>
        <v>SGH7C0945960</v>
      </c>
      <c r="C371" s="9" t="s">
        <v>96</v>
      </c>
      <c r="D371" s="10">
        <v>100702</v>
      </c>
      <c r="E371" s="11" t="s">
        <v>768</v>
      </c>
      <c r="F371" s="12">
        <v>45946</v>
      </c>
      <c r="G371" s="13" t="s">
        <v>39</v>
      </c>
      <c r="H371" s="10" t="s">
        <v>27</v>
      </c>
      <c r="I371" s="14" t="s">
        <v>28</v>
      </c>
      <c r="J371" s="14" t="s">
        <v>139</v>
      </c>
      <c r="K371" s="15"/>
      <c r="L371" s="15"/>
      <c r="M371" s="16" t="s">
        <v>329</v>
      </c>
      <c r="N371" s="8" t="s">
        <v>30</v>
      </c>
      <c r="O371" s="8" t="s">
        <v>40</v>
      </c>
      <c r="P371" s="17">
        <v>45964</v>
      </c>
      <c r="Q371" s="18">
        <v>45960</v>
      </c>
      <c r="R371" s="9">
        <v>14</v>
      </c>
      <c r="S371" s="8" t="s">
        <v>32</v>
      </c>
      <c r="T371" s="8" t="s">
        <v>669</v>
      </c>
      <c r="U371" s="8" t="s">
        <v>465</v>
      </c>
      <c r="V371" s="8" t="s">
        <v>320</v>
      </c>
      <c r="W371" s="19"/>
    </row>
    <row r="372" spans="1:23" x14ac:dyDescent="0.25">
      <c r="A372" s="8" t="s">
        <v>1069</v>
      </c>
      <c r="B372" s="8" t="str">
        <f t="shared" si="5"/>
        <v>SGF8J5645960</v>
      </c>
      <c r="C372" s="9" t="s">
        <v>157</v>
      </c>
      <c r="D372" s="10" t="s">
        <v>1070</v>
      </c>
      <c r="E372" s="11" t="s">
        <v>595</v>
      </c>
      <c r="F372" s="12">
        <v>45952</v>
      </c>
      <c r="G372" s="13" t="s">
        <v>39</v>
      </c>
      <c r="H372" s="10" t="s">
        <v>27</v>
      </c>
      <c r="I372" s="14" t="s">
        <v>28</v>
      </c>
      <c r="J372" s="14" t="s">
        <v>139</v>
      </c>
      <c r="K372" s="15"/>
      <c r="L372" s="15"/>
      <c r="M372" s="16" t="s">
        <v>315</v>
      </c>
      <c r="N372" s="8" t="s">
        <v>228</v>
      </c>
      <c r="O372" s="8" t="s">
        <v>40</v>
      </c>
      <c r="P372" s="17" t="s">
        <v>811</v>
      </c>
      <c r="Q372" s="18">
        <v>45960</v>
      </c>
      <c r="R372" s="9">
        <v>8</v>
      </c>
      <c r="S372" s="8" t="s">
        <v>32</v>
      </c>
      <c r="T372" s="8" t="s">
        <v>1071</v>
      </c>
      <c r="U372" s="8" t="s">
        <v>271</v>
      </c>
      <c r="V372" s="8" t="s">
        <v>320</v>
      </c>
      <c r="W372" s="19"/>
    </row>
    <row r="373" spans="1:23" x14ac:dyDescent="0.25">
      <c r="A373" s="8" t="s">
        <v>1072</v>
      </c>
      <c r="B373" s="8" t="str">
        <f t="shared" si="5"/>
        <v>SGF9B0645960</v>
      </c>
      <c r="C373" s="9" t="s">
        <v>157</v>
      </c>
      <c r="D373" s="10" t="s">
        <v>383</v>
      </c>
      <c r="E373" s="11" t="s">
        <v>1073</v>
      </c>
      <c r="F373" s="12">
        <v>45918</v>
      </c>
      <c r="G373" s="13" t="s">
        <v>39</v>
      </c>
      <c r="H373" s="10" t="s">
        <v>27</v>
      </c>
      <c r="I373" s="14" t="s">
        <v>28</v>
      </c>
      <c r="J373" s="14" t="s">
        <v>139</v>
      </c>
      <c r="K373" s="15"/>
      <c r="L373" s="15"/>
      <c r="M373" s="16" t="s">
        <v>682</v>
      </c>
      <c r="N373" s="8" t="s">
        <v>30</v>
      </c>
      <c r="O373" s="8" t="s">
        <v>40</v>
      </c>
      <c r="P373" s="17" t="s">
        <v>86</v>
      </c>
      <c r="Q373" s="18">
        <v>45960</v>
      </c>
      <c r="R373" s="9">
        <v>42</v>
      </c>
      <c r="S373" s="8" t="s">
        <v>32</v>
      </c>
      <c r="T373" s="8" t="s">
        <v>1074</v>
      </c>
      <c r="U373" s="8" t="s">
        <v>685</v>
      </c>
      <c r="V373" s="8" t="s">
        <v>320</v>
      </c>
      <c r="W373" s="19"/>
    </row>
    <row r="374" spans="1:23" x14ac:dyDescent="0.25">
      <c r="A374" s="8" t="s">
        <v>174</v>
      </c>
      <c r="B374" s="8" t="str">
        <f t="shared" si="5"/>
        <v>SJT3D0245959</v>
      </c>
      <c r="C374" s="9" t="s">
        <v>24</v>
      </c>
      <c r="D374" s="10">
        <v>76522</v>
      </c>
      <c r="E374" s="11" t="s">
        <v>1075</v>
      </c>
      <c r="F374" s="12">
        <v>45930</v>
      </c>
      <c r="G374" s="13" t="s">
        <v>123</v>
      </c>
      <c r="H374" s="10" t="s">
        <v>27</v>
      </c>
      <c r="I374" s="14" t="s">
        <v>28</v>
      </c>
      <c r="J374" s="14" t="s">
        <v>139</v>
      </c>
      <c r="K374" s="15"/>
      <c r="L374" s="15"/>
      <c r="M374" s="16" t="s">
        <v>819</v>
      </c>
      <c r="N374" s="8" t="s">
        <v>30</v>
      </c>
      <c r="O374" s="8" t="s">
        <v>40</v>
      </c>
      <c r="P374" s="17">
        <v>45959</v>
      </c>
      <c r="Q374" s="18">
        <v>45959</v>
      </c>
      <c r="R374" s="9">
        <v>29</v>
      </c>
      <c r="S374" s="8" t="s">
        <v>32</v>
      </c>
      <c r="T374" s="8" t="s">
        <v>1046</v>
      </c>
      <c r="U374" s="8" t="s">
        <v>177</v>
      </c>
      <c r="V374" s="8" t="s">
        <v>313</v>
      </c>
      <c r="W374" s="19"/>
    </row>
    <row r="375" spans="1:23" x14ac:dyDescent="0.25">
      <c r="A375" s="8" t="s">
        <v>1076</v>
      </c>
      <c r="B375" s="8" t="str">
        <f t="shared" si="5"/>
        <v>SFT5A4145960</v>
      </c>
      <c r="C375" s="9" t="s">
        <v>96</v>
      </c>
      <c r="D375" s="10" t="s">
        <v>383</v>
      </c>
      <c r="E375" s="11" t="s">
        <v>1077</v>
      </c>
      <c r="F375" s="12">
        <v>45943</v>
      </c>
      <c r="G375" s="13" t="s">
        <v>39</v>
      </c>
      <c r="H375" s="10" t="s">
        <v>27</v>
      </c>
      <c r="I375" s="14" t="s">
        <v>28</v>
      </c>
      <c r="J375" s="14" t="s">
        <v>139</v>
      </c>
      <c r="K375" s="15"/>
      <c r="L375" s="15"/>
      <c r="M375" s="16" t="s">
        <v>354</v>
      </c>
      <c r="N375" s="8" t="s">
        <v>30</v>
      </c>
      <c r="O375" s="8" t="s">
        <v>40</v>
      </c>
      <c r="P375" s="17">
        <v>45964</v>
      </c>
      <c r="Q375" s="18">
        <v>45960</v>
      </c>
      <c r="R375" s="9">
        <v>17</v>
      </c>
      <c r="S375" s="8" t="s">
        <v>32</v>
      </c>
      <c r="T375" s="8" t="s">
        <v>66</v>
      </c>
      <c r="U375" s="8" t="s">
        <v>67</v>
      </c>
      <c r="V375" s="8" t="s">
        <v>320</v>
      </c>
      <c r="W375" s="19"/>
    </row>
    <row r="376" spans="1:23" x14ac:dyDescent="0.25">
      <c r="A376" s="8" t="s">
        <v>1078</v>
      </c>
      <c r="B376" s="8" t="str">
        <f t="shared" si="5"/>
        <v>TAK7B9445960</v>
      </c>
      <c r="C376" s="9" t="s">
        <v>626</v>
      </c>
      <c r="D376" s="10">
        <v>64244</v>
      </c>
      <c r="E376" s="11" t="s">
        <v>1079</v>
      </c>
      <c r="F376" s="12">
        <v>45905</v>
      </c>
      <c r="G376" s="13" t="s">
        <v>760</v>
      </c>
      <c r="H376" s="10" t="s">
        <v>52</v>
      </c>
      <c r="I376" s="14" t="s">
        <v>28</v>
      </c>
      <c r="J376" s="14" t="s">
        <v>29</v>
      </c>
      <c r="K376" s="15">
        <v>14864.25</v>
      </c>
      <c r="L376" s="15">
        <v>14864.25</v>
      </c>
      <c r="M376" s="16" t="s">
        <v>485</v>
      </c>
      <c r="N376" s="8" t="s">
        <v>30</v>
      </c>
      <c r="O376" s="8" t="s">
        <v>52</v>
      </c>
      <c r="P376" s="17">
        <v>45960</v>
      </c>
      <c r="Q376" s="18">
        <v>45960</v>
      </c>
      <c r="R376" s="9">
        <v>55</v>
      </c>
      <c r="S376" s="8" t="s">
        <v>32</v>
      </c>
      <c r="T376" s="8" t="s">
        <v>33</v>
      </c>
      <c r="U376" s="8" t="s">
        <v>1080</v>
      </c>
      <c r="V376" s="8" t="s">
        <v>35</v>
      </c>
      <c r="W376" s="19"/>
    </row>
    <row r="377" spans="1:23" x14ac:dyDescent="0.25">
      <c r="A377" s="8" t="s">
        <v>1081</v>
      </c>
      <c r="B377" s="8" t="str">
        <f t="shared" si="5"/>
        <v>RNR5C6345959</v>
      </c>
      <c r="C377" s="9" t="s">
        <v>72</v>
      </c>
      <c r="D377" s="10">
        <v>160803</v>
      </c>
      <c r="E377" s="11" t="s">
        <v>1082</v>
      </c>
      <c r="F377" s="12">
        <v>45950</v>
      </c>
      <c r="G377" s="13" t="s">
        <v>226</v>
      </c>
      <c r="H377" s="10" t="s">
        <v>27</v>
      </c>
      <c r="I377" s="14" t="s">
        <v>28</v>
      </c>
      <c r="J377" s="14" t="s">
        <v>29</v>
      </c>
      <c r="K377" s="15">
        <v>7721.2</v>
      </c>
      <c r="L377" s="15"/>
      <c r="M377" s="16" t="s">
        <v>207</v>
      </c>
      <c r="N377" s="8" t="s">
        <v>30</v>
      </c>
      <c r="O377" s="8" t="s">
        <v>40</v>
      </c>
      <c r="P377" s="17">
        <v>45964</v>
      </c>
      <c r="Q377" s="18">
        <v>45959</v>
      </c>
      <c r="R377" s="9">
        <v>9</v>
      </c>
      <c r="S377" s="8" t="s">
        <v>32</v>
      </c>
      <c r="T377" s="8" t="s">
        <v>74</v>
      </c>
      <c r="U377" s="8" t="s">
        <v>75</v>
      </c>
      <c r="V377" s="8" t="s">
        <v>320</v>
      </c>
      <c r="W377" s="19"/>
    </row>
    <row r="378" spans="1:23" x14ac:dyDescent="0.25">
      <c r="A378" s="8" t="s">
        <v>1083</v>
      </c>
      <c r="B378" s="8" t="str">
        <f t="shared" si="5"/>
        <v>RVG0G1545959</v>
      </c>
      <c r="C378" s="9" t="s">
        <v>505</v>
      </c>
      <c r="D378" s="10">
        <v>129279</v>
      </c>
      <c r="E378" s="11" t="s">
        <v>1084</v>
      </c>
      <c r="F378" s="12">
        <v>45931</v>
      </c>
      <c r="G378" s="13" t="s">
        <v>778</v>
      </c>
      <c r="H378" s="10" t="s">
        <v>52</v>
      </c>
      <c r="I378" s="14" t="s">
        <v>28</v>
      </c>
      <c r="J378" s="14" t="s">
        <v>29</v>
      </c>
      <c r="K378" s="15">
        <v>3058.5</v>
      </c>
      <c r="L378" s="15">
        <v>3058.5</v>
      </c>
      <c r="M378" s="16" t="s">
        <v>186</v>
      </c>
      <c r="N378" s="8" t="s">
        <v>30</v>
      </c>
      <c r="O378" s="8" t="s">
        <v>52</v>
      </c>
      <c r="P378" s="17">
        <v>45961</v>
      </c>
      <c r="Q378" s="18">
        <v>45959</v>
      </c>
      <c r="R378" s="9">
        <v>28</v>
      </c>
      <c r="S378" s="8" t="s">
        <v>32</v>
      </c>
      <c r="T378" s="8" t="s">
        <v>74</v>
      </c>
      <c r="U378" s="8" t="s">
        <v>208</v>
      </c>
      <c r="V378" s="8" t="s">
        <v>320</v>
      </c>
      <c r="W378" s="19"/>
    </row>
    <row r="379" spans="1:23" x14ac:dyDescent="0.25">
      <c r="A379" s="8" t="s">
        <v>1085</v>
      </c>
      <c r="B379" s="8" t="str">
        <f t="shared" si="5"/>
        <v>SFD5H8045960</v>
      </c>
      <c r="C379" s="9" t="s">
        <v>24</v>
      </c>
      <c r="D379" s="10">
        <v>6941</v>
      </c>
      <c r="E379" s="11" t="s">
        <v>1086</v>
      </c>
      <c r="F379" s="12">
        <v>45951</v>
      </c>
      <c r="G379" s="13" t="s">
        <v>226</v>
      </c>
      <c r="H379" s="10" t="s">
        <v>27</v>
      </c>
      <c r="I379" s="14" t="s">
        <v>28</v>
      </c>
      <c r="J379" s="14" t="s">
        <v>139</v>
      </c>
      <c r="K379" s="15"/>
      <c r="L379" s="15"/>
      <c r="M379" s="16" t="s">
        <v>999</v>
      </c>
      <c r="N379" s="8" t="s">
        <v>30</v>
      </c>
      <c r="O379" s="8" t="s">
        <v>40</v>
      </c>
      <c r="P379" s="17" t="s">
        <v>187</v>
      </c>
      <c r="Q379" s="18">
        <v>45960</v>
      </c>
      <c r="R379" s="9">
        <v>14</v>
      </c>
      <c r="S379" s="8" t="s">
        <v>32</v>
      </c>
      <c r="T379" s="8" t="s">
        <v>1000</v>
      </c>
      <c r="U379" s="8" t="s">
        <v>47</v>
      </c>
      <c r="V379" s="8" t="s">
        <v>320</v>
      </c>
      <c r="W379" s="19"/>
    </row>
    <row r="380" spans="1:23" x14ac:dyDescent="0.25">
      <c r="A380" s="8" t="s">
        <v>755</v>
      </c>
      <c r="B380" s="8" t="str">
        <f t="shared" si="5"/>
        <v>RVH3F3645960</v>
      </c>
      <c r="C380" s="9" t="s">
        <v>505</v>
      </c>
      <c r="D380" s="10" t="s">
        <v>383</v>
      </c>
      <c r="E380" s="11" t="s">
        <v>1087</v>
      </c>
      <c r="F380" s="12">
        <v>45960</v>
      </c>
      <c r="G380" s="13" t="s">
        <v>226</v>
      </c>
      <c r="H380" s="10" t="s">
        <v>27</v>
      </c>
      <c r="I380" s="14" t="s">
        <v>28</v>
      </c>
      <c r="J380" s="14" t="s">
        <v>139</v>
      </c>
      <c r="K380" s="15">
        <v>300</v>
      </c>
      <c r="L380" s="15"/>
      <c r="M380" s="16" t="s">
        <v>186</v>
      </c>
      <c r="N380" s="8" t="s">
        <v>30</v>
      </c>
      <c r="O380" s="8" t="s">
        <v>40</v>
      </c>
      <c r="P380" s="17">
        <v>45960</v>
      </c>
      <c r="Q380" s="18">
        <v>45960</v>
      </c>
      <c r="R380" s="9">
        <v>0</v>
      </c>
      <c r="S380" s="8" t="s">
        <v>153</v>
      </c>
      <c r="T380" s="8" t="s">
        <v>535</v>
      </c>
      <c r="U380" s="8" t="s">
        <v>188</v>
      </c>
      <c r="V380" s="8" t="s">
        <v>320</v>
      </c>
      <c r="W380" s="19"/>
    </row>
    <row r="381" spans="1:23" x14ac:dyDescent="0.25">
      <c r="A381" s="8" t="s">
        <v>435</v>
      </c>
      <c r="B381" s="8" t="str">
        <f t="shared" si="5"/>
        <v>RNJ9C9645960</v>
      </c>
      <c r="C381" s="9" t="s">
        <v>72</v>
      </c>
      <c r="D381" s="10" t="s">
        <v>383</v>
      </c>
      <c r="E381" s="11" t="s">
        <v>1088</v>
      </c>
      <c r="F381" s="12">
        <v>45957</v>
      </c>
      <c r="G381" s="13" t="s">
        <v>226</v>
      </c>
      <c r="H381" s="10" t="s">
        <v>27</v>
      </c>
      <c r="I381" s="14" t="s">
        <v>28</v>
      </c>
      <c r="J381" s="14" t="s">
        <v>139</v>
      </c>
      <c r="K381" s="15"/>
      <c r="L381" s="15"/>
      <c r="M381" s="16" t="s">
        <v>207</v>
      </c>
      <c r="N381" s="8" t="s">
        <v>30</v>
      </c>
      <c r="O381" s="8" t="s">
        <v>40</v>
      </c>
      <c r="P381" s="17" t="s">
        <v>187</v>
      </c>
      <c r="Q381" s="18">
        <v>45960</v>
      </c>
      <c r="R381" s="9">
        <v>3</v>
      </c>
      <c r="S381" s="8" t="s">
        <v>32</v>
      </c>
      <c r="T381" s="8" t="s">
        <v>535</v>
      </c>
      <c r="U381" s="8" t="s">
        <v>75</v>
      </c>
      <c r="V381" s="8" t="s">
        <v>320</v>
      </c>
      <c r="W381" s="19"/>
    </row>
    <row r="382" spans="1:23" x14ac:dyDescent="0.25">
      <c r="A382" s="8" t="s">
        <v>637</v>
      </c>
      <c r="B382" s="8" t="str">
        <f t="shared" si="5"/>
        <v>RTE0I4645960</v>
      </c>
      <c r="C382" s="9" t="s">
        <v>72</v>
      </c>
      <c r="D382" s="10" t="s">
        <v>383</v>
      </c>
      <c r="E382" s="11" t="s">
        <v>1089</v>
      </c>
      <c r="F382" s="12">
        <v>45959</v>
      </c>
      <c r="G382" s="13" t="s">
        <v>123</v>
      </c>
      <c r="H382" s="10" t="s">
        <v>27</v>
      </c>
      <c r="I382" s="14" t="s">
        <v>28</v>
      </c>
      <c r="J382" s="14" t="s">
        <v>29</v>
      </c>
      <c r="K382" s="15"/>
      <c r="L382" s="15"/>
      <c r="M382" s="16" t="s">
        <v>638</v>
      </c>
      <c r="N382" s="8" t="s">
        <v>30</v>
      </c>
      <c r="O382" s="8" t="s">
        <v>40</v>
      </c>
      <c r="P382" s="17">
        <v>45960</v>
      </c>
      <c r="Q382" s="18">
        <v>45960</v>
      </c>
      <c r="R382" s="9">
        <v>1</v>
      </c>
      <c r="S382" s="8" t="s">
        <v>153</v>
      </c>
      <c r="T382" s="8" t="s">
        <v>340</v>
      </c>
      <c r="U382" s="8" t="s">
        <v>94</v>
      </c>
      <c r="V382" s="8" t="s">
        <v>320</v>
      </c>
      <c r="W382" s="19"/>
    </row>
    <row r="383" spans="1:23" x14ac:dyDescent="0.25">
      <c r="A383" s="8" t="s">
        <v>1090</v>
      </c>
      <c r="B383" s="8" t="str">
        <f t="shared" si="5"/>
        <v>SDT9F5045960</v>
      </c>
      <c r="C383" s="9" t="s">
        <v>50</v>
      </c>
      <c r="D383" s="10">
        <v>80000</v>
      </c>
      <c r="E383" s="11" t="s">
        <v>1091</v>
      </c>
      <c r="F383" s="12">
        <v>45834</v>
      </c>
      <c r="G383" s="13" t="s">
        <v>123</v>
      </c>
      <c r="H383" s="10" t="s">
        <v>27</v>
      </c>
      <c r="I383" s="14" t="s">
        <v>28</v>
      </c>
      <c r="J383" s="14" t="s">
        <v>29</v>
      </c>
      <c r="K383" s="15">
        <v>45953</v>
      </c>
      <c r="L383" s="15"/>
      <c r="M383" s="16" t="s">
        <v>237</v>
      </c>
      <c r="N383" s="8" t="s">
        <v>30</v>
      </c>
      <c r="O383" s="8" t="s">
        <v>388</v>
      </c>
      <c r="P383" s="17">
        <v>45961</v>
      </c>
      <c r="Q383" s="18">
        <v>45960</v>
      </c>
      <c r="R383" s="9">
        <v>126</v>
      </c>
      <c r="S383" s="8" t="s">
        <v>32</v>
      </c>
      <c r="T383" s="8" t="s">
        <v>1092</v>
      </c>
      <c r="U383" s="8" t="s">
        <v>42</v>
      </c>
      <c r="V383" s="8" t="s">
        <v>135</v>
      </c>
      <c r="W383" s="19"/>
    </row>
    <row r="384" spans="1:23" x14ac:dyDescent="0.25">
      <c r="A384" s="8" t="s">
        <v>1093</v>
      </c>
      <c r="B384" s="8" t="str">
        <f t="shared" si="5"/>
        <v>RUX2B5345960</v>
      </c>
      <c r="C384" s="9" t="s">
        <v>79</v>
      </c>
      <c r="D384" s="10">
        <v>67479</v>
      </c>
      <c r="E384" s="11" t="s">
        <v>1094</v>
      </c>
      <c r="F384" s="12">
        <v>45880</v>
      </c>
      <c r="G384" s="13" t="s">
        <v>149</v>
      </c>
      <c r="H384" s="10" t="s">
        <v>27</v>
      </c>
      <c r="I384" s="14" t="s">
        <v>28</v>
      </c>
      <c r="J384" s="14" t="s">
        <v>139</v>
      </c>
      <c r="K384" s="15"/>
      <c r="L384" s="15"/>
      <c r="M384" s="16" t="s">
        <v>1095</v>
      </c>
      <c r="N384" s="8" t="s">
        <v>30</v>
      </c>
      <c r="O384" s="8" t="s">
        <v>40</v>
      </c>
      <c r="P384" s="17">
        <v>45968</v>
      </c>
      <c r="Q384" s="18">
        <v>45960</v>
      </c>
      <c r="R384" s="9">
        <v>80</v>
      </c>
      <c r="S384" s="8" t="s">
        <v>32</v>
      </c>
      <c r="T384" s="8" t="s">
        <v>1096</v>
      </c>
      <c r="U384" s="8" t="s">
        <v>82</v>
      </c>
      <c r="V384" s="8" t="s">
        <v>48</v>
      </c>
      <c r="W384" s="19"/>
    </row>
    <row r="385" spans="1:23" x14ac:dyDescent="0.25">
      <c r="A385" s="8" t="s">
        <v>817</v>
      </c>
      <c r="B385" s="8" t="str">
        <f t="shared" si="5"/>
        <v>SFN0B5445960</v>
      </c>
      <c r="C385" s="9" t="s">
        <v>168</v>
      </c>
      <c r="D385" s="10" t="s">
        <v>383</v>
      </c>
      <c r="E385" s="11" t="s">
        <v>1097</v>
      </c>
      <c r="F385" s="12">
        <v>45955</v>
      </c>
      <c r="G385" s="13" t="s">
        <v>123</v>
      </c>
      <c r="H385" s="10" t="s">
        <v>27</v>
      </c>
      <c r="I385" s="14" t="s">
        <v>28</v>
      </c>
      <c r="J385" s="14" t="s">
        <v>139</v>
      </c>
      <c r="K385" s="15"/>
      <c r="L385" s="15"/>
      <c r="M385" s="16" t="s">
        <v>326</v>
      </c>
      <c r="N385" s="8" t="s">
        <v>30</v>
      </c>
      <c r="O385" s="8" t="s">
        <v>40</v>
      </c>
      <c r="P385" s="17" t="s">
        <v>86</v>
      </c>
      <c r="Q385" s="18">
        <v>45960</v>
      </c>
      <c r="R385" s="9">
        <v>5</v>
      </c>
      <c r="S385" s="8" t="s">
        <v>32</v>
      </c>
      <c r="T385" s="8" t="s">
        <v>620</v>
      </c>
      <c r="U385" s="8" t="s">
        <v>177</v>
      </c>
      <c r="V385" s="8" t="s">
        <v>320</v>
      </c>
      <c r="W385" s="19"/>
    </row>
    <row r="386" spans="1:23" x14ac:dyDescent="0.25">
      <c r="A386" s="8" t="s">
        <v>1098</v>
      </c>
      <c r="B386" s="8" t="str">
        <f t="shared" si="5"/>
        <v>SGH0H1245960</v>
      </c>
      <c r="C386" s="9" t="s">
        <v>96</v>
      </c>
      <c r="D386" s="10">
        <v>70088</v>
      </c>
      <c r="E386" s="11" t="s">
        <v>1099</v>
      </c>
      <c r="F386" s="12">
        <v>45948</v>
      </c>
      <c r="G386" s="13" t="s">
        <v>39</v>
      </c>
      <c r="H386" s="10" t="s">
        <v>27</v>
      </c>
      <c r="I386" s="14" t="s">
        <v>28</v>
      </c>
      <c r="J386" s="14" t="s">
        <v>139</v>
      </c>
      <c r="K386" s="15"/>
      <c r="L386" s="15"/>
      <c r="M386" s="16" t="s">
        <v>354</v>
      </c>
      <c r="N386" s="8" t="s">
        <v>30</v>
      </c>
      <c r="O386" s="8" t="s">
        <v>40</v>
      </c>
      <c r="P386" s="17">
        <v>45964</v>
      </c>
      <c r="Q386" s="18">
        <v>45960</v>
      </c>
      <c r="R386" s="9">
        <v>12</v>
      </c>
      <c r="S386" s="8" t="s">
        <v>32</v>
      </c>
      <c r="T386" s="8" t="s">
        <v>669</v>
      </c>
      <c r="U386" s="8" t="s">
        <v>1100</v>
      </c>
      <c r="V386" s="8" t="s">
        <v>320</v>
      </c>
      <c r="W386" s="19"/>
    </row>
    <row r="387" spans="1:23" x14ac:dyDescent="0.25">
      <c r="A387" s="8" t="s">
        <v>1101</v>
      </c>
      <c r="B387" s="8" t="str">
        <f t="shared" ref="B387:B450" si="6">A387&amp;Q387</f>
        <v>GBZ4B1145960</v>
      </c>
      <c r="C387" s="9" t="s">
        <v>224</v>
      </c>
      <c r="D387" s="10" t="s">
        <v>1102</v>
      </c>
      <c r="E387" s="11" t="s">
        <v>1103</v>
      </c>
      <c r="F387" s="12">
        <v>45881</v>
      </c>
      <c r="G387" s="13" t="s">
        <v>226</v>
      </c>
      <c r="H387" s="10"/>
      <c r="I387" s="14"/>
      <c r="J387" s="14" t="s">
        <v>1104</v>
      </c>
      <c r="K387" s="15">
        <v>44655.97</v>
      </c>
      <c r="L387" s="15"/>
      <c r="M387" s="16" t="s">
        <v>227</v>
      </c>
      <c r="N387" s="8" t="s">
        <v>228</v>
      </c>
      <c r="O387" s="8"/>
      <c r="P387" s="17"/>
      <c r="Q387" s="18">
        <v>45960</v>
      </c>
      <c r="R387" s="9">
        <v>79</v>
      </c>
      <c r="S387" s="8" t="s">
        <v>32</v>
      </c>
      <c r="T387" s="8" t="s">
        <v>1048</v>
      </c>
      <c r="U387" s="8" t="s">
        <v>271</v>
      </c>
      <c r="V387" s="8" t="s">
        <v>320</v>
      </c>
      <c r="W387" s="19"/>
    </row>
    <row r="388" spans="1:23" x14ac:dyDescent="0.25">
      <c r="A388" s="8" t="s">
        <v>1105</v>
      </c>
      <c r="B388" s="8" t="str">
        <f t="shared" si="6"/>
        <v>GHR3C7645960</v>
      </c>
      <c r="C388" s="9" t="s">
        <v>24</v>
      </c>
      <c r="D388" s="10"/>
      <c r="E388" s="11" t="s">
        <v>1106</v>
      </c>
      <c r="F388" s="12">
        <v>45959</v>
      </c>
      <c r="G388" s="13" t="s">
        <v>138</v>
      </c>
      <c r="H388" s="10" t="s">
        <v>27</v>
      </c>
      <c r="I388" s="14" t="s">
        <v>28</v>
      </c>
      <c r="J388" s="14" t="s">
        <v>139</v>
      </c>
      <c r="K388" s="15"/>
      <c r="L388" s="15"/>
      <c r="M388" s="16" t="s">
        <v>343</v>
      </c>
      <c r="N388" s="8" t="s">
        <v>30</v>
      </c>
      <c r="O388" s="8" t="s">
        <v>40</v>
      </c>
      <c r="P388" s="17" t="s">
        <v>811</v>
      </c>
      <c r="Q388" s="18">
        <v>45960</v>
      </c>
      <c r="R388" s="9">
        <v>1</v>
      </c>
      <c r="S388" s="8" t="s">
        <v>153</v>
      </c>
      <c r="T388" s="8" t="s">
        <v>98</v>
      </c>
      <c r="U388" s="8" t="s">
        <v>59</v>
      </c>
      <c r="V388" s="8" t="s">
        <v>320</v>
      </c>
      <c r="W388" s="19"/>
    </row>
    <row r="389" spans="1:23" x14ac:dyDescent="0.25">
      <c r="A389" s="8" t="s">
        <v>1107</v>
      </c>
      <c r="B389" s="8" t="str">
        <f t="shared" si="6"/>
        <v>TOE7D1345960</v>
      </c>
      <c r="C389" s="9" t="s">
        <v>96</v>
      </c>
      <c r="D389" s="10" t="s">
        <v>1108</v>
      </c>
      <c r="E389" s="11" t="s">
        <v>1109</v>
      </c>
      <c r="F389" s="12">
        <v>45870</v>
      </c>
      <c r="G389" s="13" t="s">
        <v>39</v>
      </c>
      <c r="H389" s="10" t="s">
        <v>27</v>
      </c>
      <c r="I389" s="14" t="s">
        <v>28</v>
      </c>
      <c r="J389" s="14" t="s">
        <v>1104</v>
      </c>
      <c r="K389" s="15"/>
      <c r="L389" s="15"/>
      <c r="M389" s="16" t="s">
        <v>458</v>
      </c>
      <c r="N389" s="8" t="s">
        <v>172</v>
      </c>
      <c r="O389" s="8"/>
      <c r="P389" s="17"/>
      <c r="Q389" s="18">
        <v>45960</v>
      </c>
      <c r="R389" s="9">
        <v>90</v>
      </c>
      <c r="S389" s="8" t="s">
        <v>32</v>
      </c>
      <c r="T389" s="8" t="s">
        <v>1110</v>
      </c>
      <c r="U389" s="8" t="s">
        <v>486</v>
      </c>
      <c r="V389" s="8" t="s">
        <v>48</v>
      </c>
      <c r="W389" s="19"/>
    </row>
    <row r="390" spans="1:23" x14ac:dyDescent="0.25">
      <c r="A390" s="8" t="s">
        <v>1111</v>
      </c>
      <c r="B390" s="8" t="str">
        <f t="shared" si="6"/>
        <v>SGH6H7645960</v>
      </c>
      <c r="C390" s="9" t="s">
        <v>96</v>
      </c>
      <c r="D390" s="10">
        <v>101631</v>
      </c>
      <c r="E390" s="11" t="s">
        <v>768</v>
      </c>
      <c r="F390" s="12">
        <v>45946</v>
      </c>
      <c r="G390" s="13" t="s">
        <v>39</v>
      </c>
      <c r="H390" s="10" t="s">
        <v>27</v>
      </c>
      <c r="I390" s="14" t="s">
        <v>28</v>
      </c>
      <c r="J390" s="14" t="s">
        <v>29</v>
      </c>
      <c r="K390" s="15"/>
      <c r="L390" s="15"/>
      <c r="M390" s="16" t="s">
        <v>329</v>
      </c>
      <c r="N390" s="8" t="s">
        <v>30</v>
      </c>
      <c r="O390" s="8" t="s">
        <v>40</v>
      </c>
      <c r="P390" s="17">
        <v>45961</v>
      </c>
      <c r="Q390" s="18">
        <v>45960</v>
      </c>
      <c r="R390" s="9">
        <v>14</v>
      </c>
      <c r="S390" s="8" t="s">
        <v>32</v>
      </c>
      <c r="T390" s="8" t="s">
        <v>900</v>
      </c>
      <c r="U390" s="8" t="s">
        <v>465</v>
      </c>
      <c r="V390" s="8" t="s">
        <v>320</v>
      </c>
      <c r="W390" s="19"/>
    </row>
    <row r="391" spans="1:23" x14ac:dyDescent="0.25">
      <c r="A391" s="8" t="s">
        <v>351</v>
      </c>
      <c r="B391" s="8" t="str">
        <f t="shared" si="6"/>
        <v>SGH8H5545960</v>
      </c>
      <c r="C391" s="9" t="s">
        <v>96</v>
      </c>
      <c r="D391" s="10">
        <v>83296</v>
      </c>
      <c r="E391" s="11" t="s">
        <v>768</v>
      </c>
      <c r="F391" s="12">
        <v>45943</v>
      </c>
      <c r="G391" s="13" t="s">
        <v>39</v>
      </c>
      <c r="H391" s="10" t="s">
        <v>27</v>
      </c>
      <c r="I391" s="14" t="s">
        <v>28</v>
      </c>
      <c r="J391" s="14" t="s">
        <v>29</v>
      </c>
      <c r="K391" s="15"/>
      <c r="L391" s="15"/>
      <c r="M391" s="16" t="s">
        <v>329</v>
      </c>
      <c r="N391" s="8" t="s">
        <v>30</v>
      </c>
      <c r="O391" s="8" t="s">
        <v>40</v>
      </c>
      <c r="P391" s="17">
        <v>45961</v>
      </c>
      <c r="Q391" s="18">
        <v>45960</v>
      </c>
      <c r="R391" s="9">
        <v>17</v>
      </c>
      <c r="S391" s="8" t="s">
        <v>32</v>
      </c>
      <c r="T391" s="8" t="s">
        <v>900</v>
      </c>
      <c r="U391" s="8" t="s">
        <v>465</v>
      </c>
      <c r="V391" s="8" t="s">
        <v>320</v>
      </c>
      <c r="W391" s="19"/>
    </row>
    <row r="392" spans="1:23" x14ac:dyDescent="0.25">
      <c r="A392" s="8" t="s">
        <v>1112</v>
      </c>
      <c r="B392" s="8" t="str">
        <f t="shared" si="6"/>
        <v>RVD4D2145960</v>
      </c>
      <c r="C392" s="9" t="s">
        <v>79</v>
      </c>
      <c r="D392" s="10">
        <v>141631</v>
      </c>
      <c r="E392" s="11" t="s">
        <v>1113</v>
      </c>
      <c r="F392" s="12">
        <v>45896</v>
      </c>
      <c r="G392" s="13" t="s">
        <v>743</v>
      </c>
      <c r="H392" s="10" t="s">
        <v>27</v>
      </c>
      <c r="I392" s="14" t="s">
        <v>28</v>
      </c>
      <c r="J392" s="14" t="s">
        <v>29</v>
      </c>
      <c r="K392" s="15"/>
      <c r="L392" s="15"/>
      <c r="M392" s="16" t="s">
        <v>605</v>
      </c>
      <c r="N392" s="8" t="s">
        <v>30</v>
      </c>
      <c r="O392" s="8" t="s">
        <v>40</v>
      </c>
      <c r="P392" s="17" t="s">
        <v>86</v>
      </c>
      <c r="Q392" s="18">
        <v>45960</v>
      </c>
      <c r="R392" s="9">
        <v>64</v>
      </c>
      <c r="S392" s="8" t="s">
        <v>32</v>
      </c>
      <c r="T392" s="8" t="s">
        <v>1114</v>
      </c>
      <c r="U392" s="8" t="s">
        <v>130</v>
      </c>
      <c r="V392" s="8" t="s">
        <v>48</v>
      </c>
      <c r="W392" s="19"/>
    </row>
    <row r="393" spans="1:23" x14ac:dyDescent="0.25">
      <c r="A393" s="8" t="s">
        <v>1115</v>
      </c>
      <c r="B393" s="8" t="str">
        <f t="shared" si="6"/>
        <v>RFT7G8345960</v>
      </c>
      <c r="C393" s="9" t="s">
        <v>221</v>
      </c>
      <c r="D393" s="10" t="s">
        <v>1116</v>
      </c>
      <c r="E393" s="11" t="s">
        <v>1117</v>
      </c>
      <c r="F393" s="12">
        <v>45959</v>
      </c>
      <c r="G393" s="13" t="s">
        <v>743</v>
      </c>
      <c r="H393" s="10" t="s">
        <v>27</v>
      </c>
      <c r="I393" s="14" t="s">
        <v>28</v>
      </c>
      <c r="J393" s="14" t="s">
        <v>28</v>
      </c>
      <c r="K393" s="15"/>
      <c r="L393" s="15"/>
      <c r="M393" s="16" t="s">
        <v>605</v>
      </c>
      <c r="N393" s="8" t="s">
        <v>30</v>
      </c>
      <c r="O393" s="8" t="s">
        <v>40</v>
      </c>
      <c r="P393" s="17" t="s">
        <v>86</v>
      </c>
      <c r="Q393" s="18">
        <v>45960</v>
      </c>
      <c r="R393" s="9">
        <v>1</v>
      </c>
      <c r="S393" s="8" t="s">
        <v>153</v>
      </c>
      <c r="T393" s="8" t="s">
        <v>1118</v>
      </c>
      <c r="U393" s="8" t="s">
        <v>721</v>
      </c>
      <c r="V393" s="8" t="s">
        <v>320</v>
      </c>
      <c r="W393" s="19"/>
    </row>
    <row r="394" spans="1:23" x14ac:dyDescent="0.25">
      <c r="A394" s="8" t="s">
        <v>1119</v>
      </c>
      <c r="B394" s="8" t="str">
        <f t="shared" si="6"/>
        <v>SDT9G5845961</v>
      </c>
      <c r="C394" s="9" t="s">
        <v>50</v>
      </c>
      <c r="D394" s="10">
        <v>6966009</v>
      </c>
      <c r="E394" s="11" t="s">
        <v>225</v>
      </c>
      <c r="F394" s="12">
        <v>45923</v>
      </c>
      <c r="G394" s="13" t="s">
        <v>123</v>
      </c>
      <c r="H394" s="10" t="s">
        <v>27</v>
      </c>
      <c r="I394" s="14" t="s">
        <v>28</v>
      </c>
      <c r="J394" s="14" t="s">
        <v>29</v>
      </c>
      <c r="K394" s="15"/>
      <c r="L394" s="15"/>
      <c r="M394" s="16" t="s">
        <v>237</v>
      </c>
      <c r="N394" s="8" t="s">
        <v>30</v>
      </c>
      <c r="O394" s="8" t="s">
        <v>40</v>
      </c>
      <c r="P394" s="17">
        <v>45961</v>
      </c>
      <c r="Q394" s="18">
        <v>45961</v>
      </c>
      <c r="R394" s="9">
        <v>38</v>
      </c>
      <c r="S394" s="8" t="s">
        <v>32</v>
      </c>
      <c r="T394" s="8" t="s">
        <v>1120</v>
      </c>
      <c r="U394" s="8" t="s">
        <v>42</v>
      </c>
      <c r="V394" s="8" t="s">
        <v>35</v>
      </c>
      <c r="W394" s="19"/>
    </row>
    <row r="395" spans="1:23" x14ac:dyDescent="0.25">
      <c r="A395" s="8" t="s">
        <v>1121</v>
      </c>
      <c r="B395" s="8" t="str">
        <f t="shared" si="6"/>
        <v>SDQ3A5445961</v>
      </c>
      <c r="C395" s="9" t="s">
        <v>127</v>
      </c>
      <c r="D395" s="10">
        <v>23721</v>
      </c>
      <c r="E395" s="11" t="s">
        <v>1122</v>
      </c>
      <c r="F395" s="12">
        <v>45939</v>
      </c>
      <c r="G395" s="13" t="s">
        <v>149</v>
      </c>
      <c r="H395" s="10" t="s">
        <v>27</v>
      </c>
      <c r="I395" s="14" t="s">
        <v>28</v>
      </c>
      <c r="J395" s="14" t="s">
        <v>29</v>
      </c>
      <c r="K395" s="15"/>
      <c r="L395" s="15"/>
      <c r="M395" s="16" t="s">
        <v>603</v>
      </c>
      <c r="N395" s="8" t="s">
        <v>30</v>
      </c>
      <c r="O395" s="8" t="s">
        <v>40</v>
      </c>
      <c r="P395" s="17">
        <v>45960</v>
      </c>
      <c r="Q395" s="18">
        <v>45961</v>
      </c>
      <c r="R395" s="9">
        <v>22</v>
      </c>
      <c r="S395" s="8" t="s">
        <v>32</v>
      </c>
      <c r="T395" s="8" t="s">
        <v>1123</v>
      </c>
      <c r="U395" s="8" t="s">
        <v>120</v>
      </c>
      <c r="V395" s="8" t="s">
        <v>320</v>
      </c>
      <c r="W395" s="19"/>
    </row>
    <row r="396" spans="1:23" x14ac:dyDescent="0.25">
      <c r="A396" s="8" t="s">
        <v>1124</v>
      </c>
      <c r="B396" s="8" t="str">
        <f t="shared" si="6"/>
        <v>RUV4G2445961</v>
      </c>
      <c r="C396" s="9" t="s">
        <v>680</v>
      </c>
      <c r="D396" s="10">
        <v>123870</v>
      </c>
      <c r="E396" s="11" t="s">
        <v>31</v>
      </c>
      <c r="F396" s="12">
        <v>45897</v>
      </c>
      <c r="G396" s="13" t="s">
        <v>743</v>
      </c>
      <c r="H396" s="10" t="s">
        <v>27</v>
      </c>
      <c r="I396" s="14" t="s">
        <v>28</v>
      </c>
      <c r="J396" s="14" t="s">
        <v>29</v>
      </c>
      <c r="K396" s="15">
        <v>9000</v>
      </c>
      <c r="L396" s="15"/>
      <c r="M396" s="16" t="s">
        <v>682</v>
      </c>
      <c r="N396" s="8" t="s">
        <v>30</v>
      </c>
      <c r="O396" s="8" t="s">
        <v>31</v>
      </c>
      <c r="P396" s="17">
        <v>45960</v>
      </c>
      <c r="Q396" s="18">
        <v>45961</v>
      </c>
      <c r="R396" s="9">
        <v>64</v>
      </c>
      <c r="S396" s="8" t="s">
        <v>32</v>
      </c>
      <c r="T396" s="8" t="s">
        <v>684</v>
      </c>
      <c r="U396" s="8" t="s">
        <v>685</v>
      </c>
      <c r="V396" s="8" t="s">
        <v>48</v>
      </c>
      <c r="W396" s="19"/>
    </row>
    <row r="397" spans="1:23" x14ac:dyDescent="0.25">
      <c r="A397" s="8" t="s">
        <v>1125</v>
      </c>
      <c r="B397" s="8" t="str">
        <f t="shared" si="6"/>
        <v>RUV4G2345961</v>
      </c>
      <c r="C397" s="9" t="s">
        <v>79</v>
      </c>
      <c r="D397" s="10" t="s">
        <v>383</v>
      </c>
      <c r="E397" s="11" t="s">
        <v>1126</v>
      </c>
      <c r="F397" s="12">
        <v>45819</v>
      </c>
      <c r="G397" s="13" t="s">
        <v>743</v>
      </c>
      <c r="H397" s="10" t="s">
        <v>27</v>
      </c>
      <c r="I397" s="14" t="s">
        <v>28</v>
      </c>
      <c r="J397" s="14" t="s">
        <v>29</v>
      </c>
      <c r="K397" s="15">
        <v>9000</v>
      </c>
      <c r="L397" s="15"/>
      <c r="M397" s="16" t="s">
        <v>682</v>
      </c>
      <c r="N397" s="8" t="s">
        <v>30</v>
      </c>
      <c r="O397" s="8" t="s">
        <v>31</v>
      </c>
      <c r="P397" s="17">
        <v>45960</v>
      </c>
      <c r="Q397" s="18">
        <v>45961</v>
      </c>
      <c r="R397" s="9">
        <v>142</v>
      </c>
      <c r="S397" s="8" t="s">
        <v>32</v>
      </c>
      <c r="T397" s="8" t="s">
        <v>684</v>
      </c>
      <c r="U397" s="8" t="s">
        <v>685</v>
      </c>
      <c r="V397" s="8" t="s">
        <v>320</v>
      </c>
      <c r="W397" s="19"/>
    </row>
    <row r="398" spans="1:23" x14ac:dyDescent="0.25">
      <c r="A398" s="8" t="s">
        <v>216</v>
      </c>
      <c r="B398" s="8" t="str">
        <f t="shared" si="6"/>
        <v>RNJ9C8045960</v>
      </c>
      <c r="C398" s="9" t="s">
        <v>72</v>
      </c>
      <c r="D398" s="10" t="s">
        <v>383</v>
      </c>
      <c r="E398" s="11" t="s">
        <v>1127</v>
      </c>
      <c r="F398" s="12">
        <v>45960</v>
      </c>
      <c r="G398" s="13" t="s">
        <v>226</v>
      </c>
      <c r="H398" s="10" t="s">
        <v>27</v>
      </c>
      <c r="I398" s="14" t="s">
        <v>28</v>
      </c>
      <c r="J398" s="14" t="s">
        <v>139</v>
      </c>
      <c r="K398" s="15">
        <v>3418</v>
      </c>
      <c r="L398" s="15"/>
      <c r="M398" s="16" t="s">
        <v>207</v>
      </c>
      <c r="N398" s="8" t="s">
        <v>30</v>
      </c>
      <c r="O398" s="8" t="s">
        <v>40</v>
      </c>
      <c r="P398" s="17" t="s">
        <v>187</v>
      </c>
      <c r="Q398" s="18">
        <v>45960</v>
      </c>
      <c r="R398" s="9">
        <v>0</v>
      </c>
      <c r="S398" s="8" t="s">
        <v>153</v>
      </c>
      <c r="T398" s="8" t="s">
        <v>74</v>
      </c>
      <c r="U398" s="8" t="s">
        <v>208</v>
      </c>
      <c r="V398" s="8" t="s">
        <v>320</v>
      </c>
      <c r="W398" s="19"/>
    </row>
    <row r="399" spans="1:23" x14ac:dyDescent="0.25">
      <c r="A399" s="8" t="s">
        <v>1128</v>
      </c>
      <c r="B399" s="8" t="str">
        <f t="shared" si="6"/>
        <v>GGV1A3445961</v>
      </c>
      <c r="C399" s="9" t="s">
        <v>224</v>
      </c>
      <c r="D399" s="10" t="s">
        <v>1129</v>
      </c>
      <c r="E399" s="11" t="s">
        <v>768</v>
      </c>
      <c r="F399" s="12">
        <v>45916</v>
      </c>
      <c r="G399" s="13" t="s">
        <v>226</v>
      </c>
      <c r="H399" s="10" t="s">
        <v>27</v>
      </c>
      <c r="I399" s="14" t="s">
        <v>28</v>
      </c>
      <c r="J399" s="14" t="s">
        <v>29</v>
      </c>
      <c r="K399" s="15"/>
      <c r="L399" s="15"/>
      <c r="M399" s="16" t="s">
        <v>227</v>
      </c>
      <c r="N399" s="8" t="s">
        <v>228</v>
      </c>
      <c r="O399" s="8"/>
      <c r="P399" s="17">
        <v>45966</v>
      </c>
      <c r="Q399" s="18">
        <v>45961</v>
      </c>
      <c r="R399" s="9">
        <v>36</v>
      </c>
      <c r="S399" s="8" t="s">
        <v>32</v>
      </c>
      <c r="T399" s="8" t="s">
        <v>98</v>
      </c>
      <c r="U399" s="8" t="s">
        <v>271</v>
      </c>
      <c r="V399" s="8" t="s">
        <v>35</v>
      </c>
      <c r="W399" s="19"/>
    </row>
    <row r="400" spans="1:23" x14ac:dyDescent="0.25">
      <c r="A400" s="8" t="s">
        <v>699</v>
      </c>
      <c r="B400" s="8" t="str">
        <f t="shared" si="6"/>
        <v>RVH5G7345960</v>
      </c>
      <c r="C400" s="9" t="s">
        <v>505</v>
      </c>
      <c r="D400" s="10" t="s">
        <v>383</v>
      </c>
      <c r="E400" s="11" t="s">
        <v>1130</v>
      </c>
      <c r="F400" s="12">
        <v>45953</v>
      </c>
      <c r="G400" s="13" t="s">
        <v>872</v>
      </c>
      <c r="H400" s="10" t="s">
        <v>27</v>
      </c>
      <c r="I400" s="14" t="s">
        <v>28</v>
      </c>
      <c r="J400" s="14" t="s">
        <v>139</v>
      </c>
      <c r="K400" s="15"/>
      <c r="L400" s="15"/>
      <c r="M400" s="16" t="s">
        <v>560</v>
      </c>
      <c r="N400" s="8" t="s">
        <v>30</v>
      </c>
      <c r="O400" s="8" t="s">
        <v>40</v>
      </c>
      <c r="P400" s="17" t="s">
        <v>86</v>
      </c>
      <c r="Q400" s="18">
        <v>45960</v>
      </c>
      <c r="R400" s="9">
        <v>7</v>
      </c>
      <c r="S400" s="8" t="s">
        <v>32</v>
      </c>
      <c r="T400" s="8" t="s">
        <v>89</v>
      </c>
      <c r="U400" s="8" t="s">
        <v>54</v>
      </c>
      <c r="V400" s="8" t="s">
        <v>833</v>
      </c>
      <c r="W400" s="19"/>
    </row>
    <row r="401" spans="1:23" x14ac:dyDescent="0.25">
      <c r="A401" s="8" t="s">
        <v>1131</v>
      </c>
      <c r="B401" s="8" t="str">
        <f t="shared" si="6"/>
        <v>RUX2C7245961</v>
      </c>
      <c r="C401" s="9" t="s">
        <v>79</v>
      </c>
      <c r="D401" s="10" t="s">
        <v>383</v>
      </c>
      <c r="E401" s="11" t="s">
        <v>225</v>
      </c>
      <c r="F401" s="12">
        <v>45948</v>
      </c>
      <c r="G401" s="13" t="s">
        <v>872</v>
      </c>
      <c r="H401" s="10" t="s">
        <v>27</v>
      </c>
      <c r="I401" s="14" t="s">
        <v>28</v>
      </c>
      <c r="J401" s="14" t="s">
        <v>139</v>
      </c>
      <c r="K401" s="15"/>
      <c r="L401" s="15"/>
      <c r="M401" s="16" t="s">
        <v>560</v>
      </c>
      <c r="N401" s="8" t="s">
        <v>30</v>
      </c>
      <c r="O401" s="8" t="s">
        <v>40</v>
      </c>
      <c r="P401" s="17" t="s">
        <v>86</v>
      </c>
      <c r="Q401" s="18">
        <v>45961</v>
      </c>
      <c r="R401" s="9">
        <v>13</v>
      </c>
      <c r="S401" s="8" t="s">
        <v>32</v>
      </c>
      <c r="T401" s="8" t="s">
        <v>89</v>
      </c>
      <c r="U401" s="8" t="s">
        <v>54</v>
      </c>
      <c r="V401" s="8" t="s">
        <v>320</v>
      </c>
      <c r="W401" s="19"/>
    </row>
    <row r="402" spans="1:23" x14ac:dyDescent="0.25">
      <c r="A402" s="8" t="s">
        <v>1132</v>
      </c>
      <c r="B402" s="8" t="str">
        <f t="shared" si="6"/>
        <v>RUM3C4045961</v>
      </c>
      <c r="C402" s="9" t="s">
        <v>37</v>
      </c>
      <c r="D402" s="10">
        <v>1352650</v>
      </c>
      <c r="E402" s="11" t="s">
        <v>1133</v>
      </c>
      <c r="F402" s="12">
        <v>45890</v>
      </c>
      <c r="G402" s="13" t="s">
        <v>760</v>
      </c>
      <c r="H402" s="10" t="s">
        <v>52</v>
      </c>
      <c r="I402" s="14" t="s">
        <v>28</v>
      </c>
      <c r="J402" s="14" t="s">
        <v>139</v>
      </c>
      <c r="K402" s="15"/>
      <c r="L402" s="15"/>
      <c r="M402" s="16" t="s">
        <v>214</v>
      </c>
      <c r="N402" s="8" t="s">
        <v>30</v>
      </c>
      <c r="O402" s="8" t="s">
        <v>52</v>
      </c>
      <c r="P402" s="17">
        <v>45961</v>
      </c>
      <c r="Q402" s="18">
        <v>45961</v>
      </c>
      <c r="R402" s="9">
        <v>71</v>
      </c>
      <c r="S402" s="8" t="s">
        <v>32</v>
      </c>
      <c r="T402" s="8" t="s">
        <v>472</v>
      </c>
      <c r="U402" s="8" t="s">
        <v>215</v>
      </c>
      <c r="V402" s="8" t="s">
        <v>48</v>
      </c>
      <c r="W402" s="19"/>
    </row>
    <row r="403" spans="1:23" x14ac:dyDescent="0.25">
      <c r="A403" s="8" t="s">
        <v>1134</v>
      </c>
      <c r="B403" s="8" t="str">
        <f t="shared" si="6"/>
        <v>SGL2C7445961</v>
      </c>
      <c r="C403" s="9" t="s">
        <v>96</v>
      </c>
      <c r="D403" s="10" t="s">
        <v>383</v>
      </c>
      <c r="E403" s="11" t="s">
        <v>768</v>
      </c>
      <c r="F403" s="12">
        <v>45943</v>
      </c>
      <c r="G403" s="13" t="s">
        <v>39</v>
      </c>
      <c r="H403" s="10" t="s">
        <v>27</v>
      </c>
      <c r="I403" s="14" t="s">
        <v>28</v>
      </c>
      <c r="J403" s="14" t="s">
        <v>29</v>
      </c>
      <c r="K403" s="15"/>
      <c r="L403" s="15"/>
      <c r="M403" s="16" t="s">
        <v>354</v>
      </c>
      <c r="N403" s="8" t="s">
        <v>30</v>
      </c>
      <c r="O403" s="8" t="s">
        <v>40</v>
      </c>
      <c r="P403" s="17">
        <v>45961</v>
      </c>
      <c r="Q403" s="18">
        <v>45961</v>
      </c>
      <c r="R403" s="9">
        <v>18</v>
      </c>
      <c r="S403" s="8" t="s">
        <v>32</v>
      </c>
      <c r="T403" s="8" t="s">
        <v>669</v>
      </c>
      <c r="U403" s="8" t="s">
        <v>279</v>
      </c>
      <c r="V403" s="8" t="s">
        <v>320</v>
      </c>
      <c r="W403" s="19"/>
    </row>
    <row r="404" spans="1:23" x14ac:dyDescent="0.25">
      <c r="A404" s="8" t="s">
        <v>1135</v>
      </c>
      <c r="B404" s="8" t="str">
        <f t="shared" si="6"/>
        <v>SGI0G8145961</v>
      </c>
      <c r="C404" s="9" t="s">
        <v>96</v>
      </c>
      <c r="D404" s="10">
        <v>25044</v>
      </c>
      <c r="E404" s="11" t="s">
        <v>158</v>
      </c>
      <c r="F404" s="12">
        <v>45896</v>
      </c>
      <c r="G404" s="13" t="s">
        <v>39</v>
      </c>
      <c r="H404" s="10" t="s">
        <v>27</v>
      </c>
      <c r="I404" s="14" t="s">
        <v>28</v>
      </c>
      <c r="J404" s="14" t="s">
        <v>139</v>
      </c>
      <c r="K404" s="15"/>
      <c r="L404" s="15"/>
      <c r="M404" s="16" t="s">
        <v>424</v>
      </c>
      <c r="N404" s="8" t="s">
        <v>30</v>
      </c>
      <c r="O404" s="8" t="s">
        <v>40</v>
      </c>
      <c r="P404" s="17" t="s">
        <v>86</v>
      </c>
      <c r="Q404" s="18">
        <v>45961</v>
      </c>
      <c r="R404" s="9">
        <v>65</v>
      </c>
      <c r="S404" s="8" t="s">
        <v>32</v>
      </c>
      <c r="T404" s="8" t="s">
        <v>802</v>
      </c>
      <c r="U404" s="8" t="s">
        <v>134</v>
      </c>
      <c r="V404" s="8" t="s">
        <v>48</v>
      </c>
      <c r="W404" s="19"/>
    </row>
    <row r="405" spans="1:23" x14ac:dyDescent="0.25">
      <c r="A405" s="8" t="s">
        <v>1136</v>
      </c>
      <c r="B405" s="8" t="str">
        <f t="shared" si="6"/>
        <v>RNF6H3945961</v>
      </c>
      <c r="C405" s="9" t="s">
        <v>72</v>
      </c>
      <c r="D405" s="10">
        <v>163587</v>
      </c>
      <c r="E405" s="11" t="s">
        <v>1137</v>
      </c>
      <c r="F405" s="12">
        <v>45954</v>
      </c>
      <c r="G405" s="13" t="s">
        <v>138</v>
      </c>
      <c r="H405" s="10" t="s">
        <v>27</v>
      </c>
      <c r="I405" s="14" t="s">
        <v>28</v>
      </c>
      <c r="J405" s="14" t="s">
        <v>29</v>
      </c>
      <c r="K405" s="15">
        <v>1330</v>
      </c>
      <c r="L405" s="15">
        <v>1200</v>
      </c>
      <c r="M405" s="16" t="s">
        <v>357</v>
      </c>
      <c r="N405" s="8" t="s">
        <v>30</v>
      </c>
      <c r="O405" s="8" t="s">
        <v>40</v>
      </c>
      <c r="P405" s="17">
        <v>45964</v>
      </c>
      <c r="Q405" s="18">
        <v>45961</v>
      </c>
      <c r="R405" s="9">
        <v>7</v>
      </c>
      <c r="S405" s="8" t="s">
        <v>32</v>
      </c>
      <c r="T405" s="8" t="s">
        <v>100</v>
      </c>
      <c r="U405" s="8" t="s">
        <v>1138</v>
      </c>
      <c r="V405" s="8" t="s">
        <v>320</v>
      </c>
      <c r="W405" s="19"/>
    </row>
    <row r="406" spans="1:23" x14ac:dyDescent="0.25">
      <c r="A406" s="8" t="s">
        <v>1139</v>
      </c>
      <c r="B406" s="8" t="str">
        <f t="shared" si="6"/>
        <v>SDT9F9845961</v>
      </c>
      <c r="C406" s="9" t="s">
        <v>50</v>
      </c>
      <c r="D406" s="10">
        <v>42030</v>
      </c>
      <c r="E406" s="11" t="s">
        <v>1140</v>
      </c>
      <c r="F406" s="12">
        <v>45957</v>
      </c>
      <c r="G406" s="13" t="s">
        <v>872</v>
      </c>
      <c r="H406" s="10" t="s">
        <v>27</v>
      </c>
      <c r="I406" s="14" t="s">
        <v>28</v>
      </c>
      <c r="J406" s="14" t="s">
        <v>139</v>
      </c>
      <c r="K406" s="15"/>
      <c r="L406" s="15"/>
      <c r="M406" s="16" t="s">
        <v>497</v>
      </c>
      <c r="N406" s="8" t="s">
        <v>30</v>
      </c>
      <c r="O406" s="8" t="s">
        <v>40</v>
      </c>
      <c r="P406" s="17">
        <v>45961</v>
      </c>
      <c r="Q406" s="18">
        <v>45961</v>
      </c>
      <c r="R406" s="9">
        <v>4</v>
      </c>
      <c r="S406" s="8" t="s">
        <v>32</v>
      </c>
      <c r="T406" s="8" t="s">
        <v>66</v>
      </c>
      <c r="U406" s="8" t="s">
        <v>67</v>
      </c>
      <c r="V406" s="8" t="s">
        <v>320</v>
      </c>
      <c r="W406" s="19"/>
    </row>
    <row r="407" spans="1:23" x14ac:dyDescent="0.25">
      <c r="A407" s="8" t="s">
        <v>1141</v>
      </c>
      <c r="B407" s="8" t="str">
        <f t="shared" si="6"/>
        <v>SEF1D9445961</v>
      </c>
      <c r="C407" s="9" t="s">
        <v>50</v>
      </c>
      <c r="D407" s="10">
        <v>8700</v>
      </c>
      <c r="E407" s="11" t="s">
        <v>624</v>
      </c>
      <c r="F407" s="12">
        <v>45960</v>
      </c>
      <c r="G407" s="13" t="s">
        <v>743</v>
      </c>
      <c r="H407" s="10" t="s">
        <v>27</v>
      </c>
      <c r="I407" s="14" t="s">
        <v>28</v>
      </c>
      <c r="J407" s="14" t="s">
        <v>139</v>
      </c>
      <c r="K407" s="15"/>
      <c r="L407" s="15"/>
      <c r="M407" s="16"/>
      <c r="N407" s="8" t="s">
        <v>30</v>
      </c>
      <c r="O407" s="8" t="s">
        <v>40</v>
      </c>
      <c r="P407" s="17">
        <v>45961</v>
      </c>
      <c r="Q407" s="18">
        <v>45961</v>
      </c>
      <c r="R407" s="9">
        <v>1</v>
      </c>
      <c r="S407" s="8" t="s">
        <v>153</v>
      </c>
      <c r="T407" s="8" t="s">
        <v>1142</v>
      </c>
      <c r="U407" s="8" t="s">
        <v>721</v>
      </c>
      <c r="V407" s="8"/>
      <c r="W407" s="19"/>
    </row>
    <row r="408" spans="1:23" x14ac:dyDescent="0.25">
      <c r="A408" s="8" t="s">
        <v>1143</v>
      </c>
      <c r="B408" s="8" t="str">
        <f t="shared" si="6"/>
        <v>RTB0I8845961</v>
      </c>
      <c r="C408" s="9" t="s">
        <v>505</v>
      </c>
      <c r="D408" s="10">
        <v>22035</v>
      </c>
      <c r="E408" s="11" t="s">
        <v>1144</v>
      </c>
      <c r="F408" s="12">
        <v>45796</v>
      </c>
      <c r="G408" s="13" t="s">
        <v>743</v>
      </c>
      <c r="H408" s="10" t="s">
        <v>27</v>
      </c>
      <c r="I408" s="14" t="s">
        <v>28</v>
      </c>
      <c r="J408" s="14" t="s">
        <v>29</v>
      </c>
      <c r="K408" s="15"/>
      <c r="L408" s="15"/>
      <c r="M408" s="16" t="s">
        <v>240</v>
      </c>
      <c r="N408" s="8" t="s">
        <v>30</v>
      </c>
      <c r="O408" s="8" t="s">
        <v>40</v>
      </c>
      <c r="P408" s="17">
        <v>45961</v>
      </c>
      <c r="Q408" s="18">
        <v>45961</v>
      </c>
      <c r="R408" s="9">
        <v>165</v>
      </c>
      <c r="S408" s="8" t="s">
        <v>32</v>
      </c>
      <c r="T408" s="8" t="s">
        <v>1145</v>
      </c>
      <c r="U408" s="8" t="s">
        <v>248</v>
      </c>
      <c r="V408" s="8" t="s">
        <v>121</v>
      </c>
      <c r="W408" s="19"/>
    </row>
    <row r="409" spans="1:23" x14ac:dyDescent="0.25">
      <c r="A409" s="8" t="s">
        <v>1146</v>
      </c>
      <c r="B409" s="8" t="str">
        <f t="shared" si="6"/>
        <v>RNB5I1645961</v>
      </c>
      <c r="C409" s="9" t="s">
        <v>72</v>
      </c>
      <c r="D409" s="10">
        <v>171429</v>
      </c>
      <c r="E409" s="11" t="s">
        <v>1147</v>
      </c>
      <c r="F409" s="12">
        <v>45861</v>
      </c>
      <c r="G409" s="13" t="s">
        <v>743</v>
      </c>
      <c r="H409" s="10" t="s">
        <v>27</v>
      </c>
      <c r="I409" s="14" t="s">
        <v>28</v>
      </c>
      <c r="J409" s="14" t="s">
        <v>29</v>
      </c>
      <c r="K409" s="15"/>
      <c r="L409" s="15"/>
      <c r="M409" s="16" t="s">
        <v>1148</v>
      </c>
      <c r="N409" s="8" t="s">
        <v>30</v>
      </c>
      <c r="O409" s="8" t="s">
        <v>40</v>
      </c>
      <c r="P409" s="17">
        <v>45961</v>
      </c>
      <c r="Q409" s="18">
        <v>45961</v>
      </c>
      <c r="R409" s="9">
        <v>100</v>
      </c>
      <c r="S409" s="8" t="s">
        <v>32</v>
      </c>
      <c r="T409" s="8" t="s">
        <v>1149</v>
      </c>
      <c r="U409" s="8" t="s">
        <v>1150</v>
      </c>
      <c r="V409" s="8" t="s">
        <v>83</v>
      </c>
      <c r="W409" s="19"/>
    </row>
    <row r="410" spans="1:23" x14ac:dyDescent="0.25">
      <c r="A410" s="8" t="s">
        <v>1151</v>
      </c>
      <c r="B410" s="8" t="str">
        <f t="shared" si="6"/>
        <v>RTP4B9045961</v>
      </c>
      <c r="C410" s="9" t="s">
        <v>147</v>
      </c>
      <c r="D410" s="10"/>
      <c r="E410" s="11" t="s">
        <v>1152</v>
      </c>
      <c r="F410" s="12">
        <v>45944</v>
      </c>
      <c r="G410" s="13" t="s">
        <v>872</v>
      </c>
      <c r="H410" s="10" t="s">
        <v>28</v>
      </c>
      <c r="I410" s="14" t="s">
        <v>28</v>
      </c>
      <c r="J410" s="14" t="s">
        <v>1104</v>
      </c>
      <c r="K410" s="15"/>
      <c r="L410" s="15"/>
      <c r="M410" s="16" t="s">
        <v>354</v>
      </c>
      <c r="N410" s="8" t="s">
        <v>30</v>
      </c>
      <c r="O410" s="8" t="s">
        <v>28</v>
      </c>
      <c r="P410" s="17" t="s">
        <v>86</v>
      </c>
      <c r="Q410" s="18">
        <v>45961</v>
      </c>
      <c r="R410" s="9">
        <v>17</v>
      </c>
      <c r="S410" s="8" t="s">
        <v>32</v>
      </c>
      <c r="T410" s="8" t="s">
        <v>66</v>
      </c>
      <c r="U410" s="8" t="s">
        <v>1100</v>
      </c>
      <c r="V410" s="8" t="s">
        <v>320</v>
      </c>
      <c r="W410" s="19"/>
    </row>
    <row r="411" spans="1:23" x14ac:dyDescent="0.25">
      <c r="A411" s="8" t="s">
        <v>1153</v>
      </c>
      <c r="B411" s="8" t="str">
        <f t="shared" si="6"/>
        <v>RNJ9C3845961</v>
      </c>
      <c r="C411" s="9" t="s">
        <v>72</v>
      </c>
      <c r="D411" s="10"/>
      <c r="E411" s="11" t="s">
        <v>1154</v>
      </c>
      <c r="F411" s="12">
        <v>45955</v>
      </c>
      <c r="G411" s="13" t="s">
        <v>872</v>
      </c>
      <c r="H411" s="10" t="s">
        <v>27</v>
      </c>
      <c r="I411" s="14" t="s">
        <v>28</v>
      </c>
      <c r="J411" s="14" t="s">
        <v>139</v>
      </c>
      <c r="K411" s="15"/>
      <c r="L411" s="15"/>
      <c r="M411" s="16" t="s">
        <v>329</v>
      </c>
      <c r="N411" s="8" t="s">
        <v>30</v>
      </c>
      <c r="O411" s="8"/>
      <c r="P411" s="17" t="s">
        <v>86</v>
      </c>
      <c r="Q411" s="18">
        <v>45961</v>
      </c>
      <c r="R411" s="9">
        <v>6</v>
      </c>
      <c r="S411" s="8" t="s">
        <v>32</v>
      </c>
      <c r="T411" s="8" t="s">
        <v>66</v>
      </c>
      <c r="U411" s="8" t="s">
        <v>330</v>
      </c>
      <c r="V411" s="8" t="s">
        <v>320</v>
      </c>
      <c r="W411" s="19"/>
    </row>
    <row r="412" spans="1:23" x14ac:dyDescent="0.25">
      <c r="A412" s="8" t="s">
        <v>1155</v>
      </c>
      <c r="B412" s="8" t="str">
        <f t="shared" si="6"/>
        <v>SDQ3A1045961</v>
      </c>
      <c r="C412" s="9" t="s">
        <v>1156</v>
      </c>
      <c r="D412" s="10">
        <v>6542</v>
      </c>
      <c r="E412" s="11" t="s">
        <v>1157</v>
      </c>
      <c r="F412" s="12">
        <v>45943</v>
      </c>
      <c r="G412" s="13" t="s">
        <v>778</v>
      </c>
      <c r="H412" s="10" t="s">
        <v>52</v>
      </c>
      <c r="I412" s="14" t="s">
        <v>28</v>
      </c>
      <c r="J412" s="14" t="s">
        <v>139</v>
      </c>
      <c r="K412" s="15">
        <v>4500</v>
      </c>
      <c r="L412" s="15">
        <v>4500</v>
      </c>
      <c r="M412" s="16" t="s">
        <v>605</v>
      </c>
      <c r="N412" s="8" t="s">
        <v>30</v>
      </c>
      <c r="O412" s="8" t="s">
        <v>52</v>
      </c>
      <c r="P412" s="17">
        <v>45961</v>
      </c>
      <c r="Q412" s="18">
        <v>45961</v>
      </c>
      <c r="R412" s="9">
        <v>18</v>
      </c>
      <c r="S412" s="8" t="s">
        <v>32</v>
      </c>
      <c r="T412" s="8" t="s">
        <v>1158</v>
      </c>
      <c r="U412" s="8" t="s">
        <v>1159</v>
      </c>
      <c r="V412" s="8" t="s">
        <v>320</v>
      </c>
      <c r="W412" s="19" t="s">
        <v>1160</v>
      </c>
    </row>
    <row r="413" spans="1:23" x14ac:dyDescent="0.25">
      <c r="A413" s="8" t="s">
        <v>1161</v>
      </c>
      <c r="B413" s="8" t="str">
        <f t="shared" si="6"/>
        <v>RHV8D3245964</v>
      </c>
      <c r="C413" s="9" t="s">
        <v>56</v>
      </c>
      <c r="D413" s="10"/>
      <c r="E413" s="11" t="s">
        <v>1162</v>
      </c>
      <c r="F413" s="12">
        <v>45964</v>
      </c>
      <c r="G413" s="13" t="s">
        <v>138</v>
      </c>
      <c r="H413" s="10" t="s">
        <v>27</v>
      </c>
      <c r="I413" s="14" t="s">
        <v>28</v>
      </c>
      <c r="J413" s="14" t="s">
        <v>29</v>
      </c>
      <c r="K413" s="15"/>
      <c r="L413" s="15"/>
      <c r="M413" s="16" t="s">
        <v>343</v>
      </c>
      <c r="N413" s="8" t="s">
        <v>30</v>
      </c>
      <c r="O413" s="8" t="s">
        <v>40</v>
      </c>
      <c r="P413" s="17">
        <v>45964</v>
      </c>
      <c r="Q413" s="18">
        <v>45964</v>
      </c>
      <c r="R413" s="9">
        <v>0</v>
      </c>
      <c r="S413" s="8" t="s">
        <v>153</v>
      </c>
      <c r="T413" s="8" t="s">
        <v>1163</v>
      </c>
      <c r="U413" s="8" t="s">
        <v>59</v>
      </c>
      <c r="V413" s="8" t="s">
        <v>320</v>
      </c>
      <c r="W413" s="19" t="s">
        <v>1164</v>
      </c>
    </row>
    <row r="414" spans="1:23" x14ac:dyDescent="0.25">
      <c r="A414" s="8" t="s">
        <v>351</v>
      </c>
      <c r="B414" s="8" t="str">
        <f t="shared" si="6"/>
        <v>SGH8H5545932</v>
      </c>
      <c r="C414" s="9" t="s">
        <v>96</v>
      </c>
      <c r="D414" s="10">
        <v>83296</v>
      </c>
      <c r="E414" s="11" t="s">
        <v>496</v>
      </c>
      <c r="F414" s="12">
        <v>45908</v>
      </c>
      <c r="G414" s="13" t="s">
        <v>39</v>
      </c>
      <c r="H414" s="10" t="s">
        <v>27</v>
      </c>
      <c r="I414" s="14" t="s">
        <v>28</v>
      </c>
      <c r="J414" s="14" t="s">
        <v>139</v>
      </c>
      <c r="K414" s="15"/>
      <c r="L414" s="15"/>
      <c r="M414" s="16" t="s">
        <v>329</v>
      </c>
      <c r="N414" s="8" t="s">
        <v>30</v>
      </c>
      <c r="O414" s="8" t="s">
        <v>40</v>
      </c>
      <c r="P414" s="17" t="s">
        <v>86</v>
      </c>
      <c r="Q414" s="18">
        <v>45932</v>
      </c>
      <c r="R414" s="9">
        <v>24</v>
      </c>
      <c r="S414" s="8" t="s">
        <v>32</v>
      </c>
      <c r="T414" s="8" t="s">
        <v>66</v>
      </c>
      <c r="U414" s="8" t="s">
        <v>330</v>
      </c>
      <c r="V414" s="8" t="s">
        <v>35</v>
      </c>
      <c r="W414" s="19" t="s">
        <v>1165</v>
      </c>
    </row>
    <row r="415" spans="1:23" x14ac:dyDescent="0.25">
      <c r="A415" s="8" t="s">
        <v>1166</v>
      </c>
      <c r="B415" s="8" t="str">
        <f t="shared" si="6"/>
        <v>TOE7D2245964</v>
      </c>
      <c r="C415" s="9" t="s">
        <v>96</v>
      </c>
      <c r="D415" s="10"/>
      <c r="E415" s="11" t="s">
        <v>1167</v>
      </c>
      <c r="F415" s="12">
        <v>45829</v>
      </c>
      <c r="G415" s="13" t="s">
        <v>760</v>
      </c>
      <c r="H415" s="10" t="s">
        <v>52</v>
      </c>
      <c r="I415" s="14" t="s">
        <v>28</v>
      </c>
      <c r="J415" s="14" t="s">
        <v>29</v>
      </c>
      <c r="K415" s="15">
        <v>12550</v>
      </c>
      <c r="L415" s="15">
        <v>12550</v>
      </c>
      <c r="M415" s="16" t="e">
        <v>#N/A</v>
      </c>
      <c r="N415" s="8" t="s">
        <v>228</v>
      </c>
      <c r="O415" s="8" t="s">
        <v>52</v>
      </c>
      <c r="P415" s="17">
        <v>45964</v>
      </c>
      <c r="Q415" s="18">
        <v>45964</v>
      </c>
      <c r="R415" s="9">
        <v>135</v>
      </c>
      <c r="S415" s="8" t="s">
        <v>32</v>
      </c>
      <c r="T415" s="8" t="s">
        <v>274</v>
      </c>
      <c r="U415" s="8"/>
      <c r="V415" s="8" t="s">
        <v>320</v>
      </c>
      <c r="W415" s="19" t="e">
        <v>#N/A</v>
      </c>
    </row>
    <row r="416" spans="1:23" x14ac:dyDescent="0.25">
      <c r="A416" s="8" t="s">
        <v>432</v>
      </c>
      <c r="B416" s="8" t="str">
        <f t="shared" si="6"/>
        <v>SFD5H7045964</v>
      </c>
      <c r="C416" s="9" t="s">
        <v>24</v>
      </c>
      <c r="D416" s="10">
        <v>89918</v>
      </c>
      <c r="E416" s="11" t="s">
        <v>1168</v>
      </c>
      <c r="F416" s="12">
        <v>45957</v>
      </c>
      <c r="G416" s="13" t="s">
        <v>123</v>
      </c>
      <c r="H416" s="10" t="s">
        <v>27</v>
      </c>
      <c r="I416" s="14" t="s">
        <v>28</v>
      </c>
      <c r="J416" s="14" t="s">
        <v>139</v>
      </c>
      <c r="K416" s="15"/>
      <c r="L416" s="15"/>
      <c r="M416" s="16" t="s">
        <v>326</v>
      </c>
      <c r="N416" s="8" t="s">
        <v>30</v>
      </c>
      <c r="O416" s="8" t="s">
        <v>40</v>
      </c>
      <c r="P416" s="17">
        <v>45964</v>
      </c>
      <c r="Q416" s="18">
        <v>45964</v>
      </c>
      <c r="R416" s="9">
        <v>7</v>
      </c>
      <c r="S416" s="8" t="s">
        <v>32</v>
      </c>
      <c r="T416" s="8" t="s">
        <v>620</v>
      </c>
      <c r="U416" s="8" t="s">
        <v>177</v>
      </c>
      <c r="V416" s="8" t="s">
        <v>320</v>
      </c>
      <c r="W416" s="19" t="s">
        <v>1169</v>
      </c>
    </row>
    <row r="417" spans="1:23" x14ac:dyDescent="0.25">
      <c r="A417" s="8" t="s">
        <v>1170</v>
      </c>
      <c r="B417" s="8" t="str">
        <f t="shared" si="6"/>
        <v>TIV8G1545964</v>
      </c>
      <c r="C417" s="9" t="s">
        <v>1171</v>
      </c>
      <c r="D417" s="10" t="s">
        <v>383</v>
      </c>
      <c r="E417" s="11" t="s">
        <v>1172</v>
      </c>
      <c r="F417" s="12">
        <v>45960</v>
      </c>
      <c r="G417" s="13" t="s">
        <v>123</v>
      </c>
      <c r="H417" s="10" t="s">
        <v>27</v>
      </c>
      <c r="I417" s="14" t="s">
        <v>28</v>
      </c>
      <c r="J417" s="14" t="s">
        <v>29</v>
      </c>
      <c r="K417" s="15"/>
      <c r="L417" s="15"/>
      <c r="M417" s="16" t="e">
        <v>#N/A</v>
      </c>
      <c r="N417" s="8" t="s">
        <v>30</v>
      </c>
      <c r="O417" s="8" t="s">
        <v>40</v>
      </c>
      <c r="P417" s="17">
        <v>45964</v>
      </c>
      <c r="Q417" s="18">
        <v>45964</v>
      </c>
      <c r="R417" s="9">
        <v>4</v>
      </c>
      <c r="S417" s="8" t="s">
        <v>32</v>
      </c>
      <c r="T417" s="8" t="s">
        <v>782</v>
      </c>
      <c r="U417" s="8" t="s">
        <v>215</v>
      </c>
      <c r="V417" s="8" t="s">
        <v>320</v>
      </c>
      <c r="W417" s="19" t="s">
        <v>1173</v>
      </c>
    </row>
    <row r="418" spans="1:23" x14ac:dyDescent="0.25">
      <c r="A418" s="8" t="s">
        <v>1174</v>
      </c>
      <c r="B418" s="8" t="str">
        <f t="shared" si="6"/>
        <v>SWK0B7845964</v>
      </c>
      <c r="C418" s="9" t="s">
        <v>96</v>
      </c>
      <c r="D418" s="10">
        <v>65443</v>
      </c>
      <c r="E418" s="11" t="s">
        <v>1175</v>
      </c>
      <c r="F418" s="12">
        <v>45893</v>
      </c>
      <c r="G418" s="13" t="s">
        <v>39</v>
      </c>
      <c r="H418" s="10" t="s">
        <v>27</v>
      </c>
      <c r="I418" s="14" t="s">
        <v>28</v>
      </c>
      <c r="J418" s="14" t="s">
        <v>29</v>
      </c>
      <c r="K418" s="15"/>
      <c r="L418" s="15"/>
      <c r="M418" s="16" t="s">
        <v>294</v>
      </c>
      <c r="N418" s="8" t="s">
        <v>30</v>
      </c>
      <c r="O418" s="8" t="s">
        <v>40</v>
      </c>
      <c r="P418" s="17">
        <v>45967</v>
      </c>
      <c r="Q418" s="18">
        <v>45964</v>
      </c>
      <c r="R418" s="9">
        <v>71</v>
      </c>
      <c r="S418" s="8" t="s">
        <v>32</v>
      </c>
      <c r="T418" s="8" t="s">
        <v>1176</v>
      </c>
      <c r="U418" s="8" t="s">
        <v>295</v>
      </c>
      <c r="V418" s="8" t="s">
        <v>35</v>
      </c>
      <c r="W418" s="19" t="s">
        <v>1177</v>
      </c>
    </row>
    <row r="419" spans="1:23" x14ac:dyDescent="0.25">
      <c r="A419" s="8" t="s">
        <v>708</v>
      </c>
      <c r="B419" s="8" t="str">
        <f t="shared" si="6"/>
        <v>SGL4D1845964</v>
      </c>
      <c r="C419" s="9" t="s">
        <v>96</v>
      </c>
      <c r="D419" s="10">
        <v>24302</v>
      </c>
      <c r="E419" s="11" t="s">
        <v>1178</v>
      </c>
      <c r="F419" s="12">
        <v>45964</v>
      </c>
      <c r="G419" s="13" t="s">
        <v>39</v>
      </c>
      <c r="H419" s="10" t="s">
        <v>27</v>
      </c>
      <c r="I419" s="14" t="s">
        <v>28</v>
      </c>
      <c r="J419" s="14" t="s">
        <v>139</v>
      </c>
      <c r="K419" s="15"/>
      <c r="L419" s="15"/>
      <c r="M419" s="16" t="s">
        <v>227</v>
      </c>
      <c r="N419" s="8" t="s">
        <v>228</v>
      </c>
      <c r="O419" s="8" t="s">
        <v>40</v>
      </c>
      <c r="P419" s="17" t="s">
        <v>86</v>
      </c>
      <c r="Q419" s="18">
        <v>45964</v>
      </c>
      <c r="R419" s="9">
        <v>0</v>
      </c>
      <c r="S419" s="8" t="s">
        <v>153</v>
      </c>
      <c r="T419" s="8" t="s">
        <v>98</v>
      </c>
      <c r="U419" s="8"/>
      <c r="V419" s="8"/>
      <c r="W419" s="19" t="s">
        <v>1179</v>
      </c>
    </row>
    <row r="420" spans="1:23" x14ac:dyDescent="0.25">
      <c r="A420" s="8" t="s">
        <v>1180</v>
      </c>
      <c r="B420" s="8" t="str">
        <f t="shared" si="6"/>
        <v>SFW0A3645964</v>
      </c>
      <c r="C420" s="9" t="s">
        <v>96</v>
      </c>
      <c r="D420" s="10">
        <v>60973</v>
      </c>
      <c r="E420" s="11" t="s">
        <v>1181</v>
      </c>
      <c r="F420" s="12">
        <v>45931</v>
      </c>
      <c r="G420" s="13" t="s">
        <v>39</v>
      </c>
      <c r="H420" s="10" t="s">
        <v>27</v>
      </c>
      <c r="I420" s="14" t="s">
        <v>28</v>
      </c>
      <c r="J420" s="14" t="s">
        <v>29</v>
      </c>
      <c r="K420" s="15"/>
      <c r="L420" s="15"/>
      <c r="M420" s="16" t="s">
        <v>326</v>
      </c>
      <c r="N420" s="8" t="s">
        <v>30</v>
      </c>
      <c r="O420" s="8" t="s">
        <v>40</v>
      </c>
      <c r="P420" s="17" t="s">
        <v>86</v>
      </c>
      <c r="Q420" s="18">
        <v>45964</v>
      </c>
      <c r="R420" s="9">
        <v>33</v>
      </c>
      <c r="S420" s="8" t="s">
        <v>32</v>
      </c>
      <c r="T420" s="8" t="s">
        <v>816</v>
      </c>
      <c r="U420" s="8" t="s">
        <v>177</v>
      </c>
      <c r="V420" s="8" t="s">
        <v>320</v>
      </c>
      <c r="W420" s="19" t="s">
        <v>1169</v>
      </c>
    </row>
    <row r="421" spans="1:23" x14ac:dyDescent="0.25">
      <c r="A421" s="8" t="s">
        <v>1182</v>
      </c>
      <c r="B421" s="8" t="str">
        <f t="shared" si="6"/>
        <v>SFT5A3445964</v>
      </c>
      <c r="C421" s="9" t="s">
        <v>96</v>
      </c>
      <c r="D421" s="10" t="s">
        <v>383</v>
      </c>
      <c r="E421" s="11" t="s">
        <v>310</v>
      </c>
      <c r="F421" s="12">
        <v>45948</v>
      </c>
      <c r="G421" s="13" t="s">
        <v>39</v>
      </c>
      <c r="H421" s="10" t="s">
        <v>27</v>
      </c>
      <c r="I421" s="14" t="s">
        <v>28</v>
      </c>
      <c r="J421" s="14" t="s">
        <v>139</v>
      </c>
      <c r="K421" s="15"/>
      <c r="L421" s="15"/>
      <c r="M421" s="16" t="s">
        <v>240</v>
      </c>
      <c r="N421" s="8" t="s">
        <v>30</v>
      </c>
      <c r="O421" s="8" t="s">
        <v>40</v>
      </c>
      <c r="P421" s="17" t="s">
        <v>86</v>
      </c>
      <c r="Q421" s="18">
        <v>45964</v>
      </c>
      <c r="R421" s="9">
        <v>16</v>
      </c>
      <c r="S421" s="8" t="s">
        <v>32</v>
      </c>
      <c r="T421" s="8" t="s">
        <v>1183</v>
      </c>
      <c r="U421" s="8" t="s">
        <v>1184</v>
      </c>
      <c r="V421" s="8" t="s">
        <v>320</v>
      </c>
      <c r="W421" s="19" t="s">
        <v>1185</v>
      </c>
    </row>
    <row r="422" spans="1:23" x14ac:dyDescent="0.25">
      <c r="A422" s="8" t="s">
        <v>708</v>
      </c>
      <c r="B422" s="8" t="str">
        <f t="shared" si="6"/>
        <v>SGL4D1845964</v>
      </c>
      <c r="C422" s="9" t="s">
        <v>96</v>
      </c>
      <c r="D422" s="10">
        <v>24302</v>
      </c>
      <c r="E422" s="11" t="s">
        <v>1178</v>
      </c>
      <c r="F422" s="12">
        <v>45964</v>
      </c>
      <c r="G422" s="13" t="s">
        <v>39</v>
      </c>
      <c r="H422" s="10" t="s">
        <v>27</v>
      </c>
      <c r="I422" s="14" t="s">
        <v>28</v>
      </c>
      <c r="J422" s="14" t="s">
        <v>139</v>
      </c>
      <c r="K422" s="15"/>
      <c r="L422" s="15"/>
      <c r="M422" s="16" t="s">
        <v>227</v>
      </c>
      <c r="N422" s="8" t="s">
        <v>228</v>
      </c>
      <c r="O422" s="8" t="s">
        <v>40</v>
      </c>
      <c r="P422" s="17" t="s">
        <v>86</v>
      </c>
      <c r="Q422" s="18">
        <v>45964</v>
      </c>
      <c r="R422" s="9">
        <v>0</v>
      </c>
      <c r="S422" s="8" t="s">
        <v>153</v>
      </c>
      <c r="T422" s="8" t="s">
        <v>98</v>
      </c>
      <c r="U422" s="8" t="s">
        <v>754</v>
      </c>
      <c r="V422" s="8" t="s">
        <v>1186</v>
      </c>
      <c r="W422" s="19" t="s">
        <v>1179</v>
      </c>
    </row>
    <row r="423" spans="1:23" x14ac:dyDescent="0.25">
      <c r="A423" s="8" t="s">
        <v>1187</v>
      </c>
      <c r="B423" s="8" t="str">
        <f t="shared" si="6"/>
        <v>GIB4E8245964</v>
      </c>
      <c r="C423" s="9" t="s">
        <v>224</v>
      </c>
      <c r="D423" s="10" t="s">
        <v>1188</v>
      </c>
      <c r="E423" s="11" t="s">
        <v>595</v>
      </c>
      <c r="F423" s="12">
        <v>45959</v>
      </c>
      <c r="G423" s="13" t="s">
        <v>226</v>
      </c>
      <c r="H423" s="10" t="s">
        <v>27</v>
      </c>
      <c r="I423" s="14" t="s">
        <v>28</v>
      </c>
      <c r="J423" s="14" t="s">
        <v>139</v>
      </c>
      <c r="K423" s="15"/>
      <c r="L423" s="15"/>
      <c r="M423" s="16" t="s">
        <v>315</v>
      </c>
      <c r="N423" s="8" t="s">
        <v>228</v>
      </c>
      <c r="O423" s="8" t="s">
        <v>40</v>
      </c>
      <c r="P423" s="17">
        <v>45965</v>
      </c>
      <c r="Q423" s="18">
        <v>45964</v>
      </c>
      <c r="R423" s="9">
        <v>5</v>
      </c>
      <c r="S423" s="8" t="s">
        <v>32</v>
      </c>
      <c r="T423" s="8" t="s">
        <v>98</v>
      </c>
      <c r="U423" s="8" t="s">
        <v>254</v>
      </c>
      <c r="V423" s="8" t="s">
        <v>320</v>
      </c>
      <c r="W423" s="19" t="s">
        <v>1189</v>
      </c>
    </row>
    <row r="424" spans="1:23" x14ac:dyDescent="0.25">
      <c r="A424" s="8" t="s">
        <v>1190</v>
      </c>
      <c r="B424" s="8" t="str">
        <f t="shared" si="6"/>
        <v>RNC9E4845964</v>
      </c>
      <c r="C424" s="9" t="s">
        <v>72</v>
      </c>
      <c r="D424" s="10">
        <v>220308</v>
      </c>
      <c r="E424" s="11" t="s">
        <v>1191</v>
      </c>
      <c r="F424" s="12">
        <v>45912</v>
      </c>
      <c r="G424" s="13" t="s">
        <v>743</v>
      </c>
      <c r="H424" s="10" t="s">
        <v>27</v>
      </c>
      <c r="I424" s="14" t="s">
        <v>28</v>
      </c>
      <c r="J424" s="14" t="s">
        <v>28</v>
      </c>
      <c r="K424" s="15"/>
      <c r="L424" s="15"/>
      <c r="M424" s="16" t="s">
        <v>605</v>
      </c>
      <c r="N424" s="8" t="s">
        <v>30</v>
      </c>
      <c r="O424" s="8" t="s">
        <v>40</v>
      </c>
      <c r="P424" s="17">
        <v>45961</v>
      </c>
      <c r="Q424" s="18">
        <v>45964</v>
      </c>
      <c r="R424" s="9">
        <v>52</v>
      </c>
      <c r="S424" s="8" t="s">
        <v>32</v>
      </c>
      <c r="T424" s="8" t="s">
        <v>1051</v>
      </c>
      <c r="U424" s="8" t="s">
        <v>130</v>
      </c>
      <c r="V424" s="8" t="s">
        <v>35</v>
      </c>
      <c r="W424" s="19" t="s">
        <v>1160</v>
      </c>
    </row>
    <row r="425" spans="1:23" x14ac:dyDescent="0.25">
      <c r="A425" s="8" t="s">
        <v>1192</v>
      </c>
      <c r="B425" s="8" t="str">
        <f t="shared" si="6"/>
        <v>SDQ2B6045964</v>
      </c>
      <c r="C425" s="9" t="s">
        <v>127</v>
      </c>
      <c r="D425" s="10">
        <v>57586</v>
      </c>
      <c r="E425" s="11" t="s">
        <v>1193</v>
      </c>
      <c r="F425" s="12">
        <v>45926</v>
      </c>
      <c r="G425" s="13" t="s">
        <v>872</v>
      </c>
      <c r="H425" s="10" t="s">
        <v>27</v>
      </c>
      <c r="I425" s="14" t="s">
        <v>28</v>
      </c>
      <c r="J425" s="14" t="s">
        <v>29</v>
      </c>
      <c r="K425" s="15"/>
      <c r="L425" s="15"/>
      <c r="M425" s="16" t="s">
        <v>560</v>
      </c>
      <c r="N425" s="8" t="s">
        <v>30</v>
      </c>
      <c r="O425" s="8" t="s">
        <v>40</v>
      </c>
      <c r="P425" s="17">
        <v>45965</v>
      </c>
      <c r="Q425" s="18">
        <v>45964</v>
      </c>
      <c r="R425" s="9">
        <v>38</v>
      </c>
      <c r="S425" s="8" t="s">
        <v>32</v>
      </c>
      <c r="T425" s="8" t="s">
        <v>1194</v>
      </c>
      <c r="U425" s="8" t="s">
        <v>54</v>
      </c>
      <c r="V425" s="8" t="s">
        <v>313</v>
      </c>
      <c r="W425" s="19" t="s">
        <v>1195</v>
      </c>
    </row>
    <row r="426" spans="1:23" x14ac:dyDescent="0.25">
      <c r="A426" s="8" t="s">
        <v>1196</v>
      </c>
      <c r="B426" s="8" t="str">
        <f t="shared" si="6"/>
        <v>RUO6B0745964</v>
      </c>
      <c r="C426" s="9" t="s">
        <v>37</v>
      </c>
      <c r="D426" s="10">
        <v>128334</v>
      </c>
      <c r="E426" s="11" t="s">
        <v>471</v>
      </c>
      <c r="F426" s="12">
        <v>45817</v>
      </c>
      <c r="G426" s="13" t="s">
        <v>760</v>
      </c>
      <c r="H426" s="10" t="s">
        <v>52</v>
      </c>
      <c r="I426" s="14" t="s">
        <v>28</v>
      </c>
      <c r="J426" s="14" t="s">
        <v>29</v>
      </c>
      <c r="K426" s="15">
        <v>4815</v>
      </c>
      <c r="L426" s="15">
        <v>4815</v>
      </c>
      <c r="M426" s="16" t="s">
        <v>745</v>
      </c>
      <c r="N426" s="8" t="s">
        <v>30</v>
      </c>
      <c r="O426" s="8" t="s">
        <v>52</v>
      </c>
      <c r="P426" s="17">
        <v>45964</v>
      </c>
      <c r="Q426" s="18">
        <v>45964</v>
      </c>
      <c r="R426" s="9">
        <v>147</v>
      </c>
      <c r="S426" s="8" t="s">
        <v>32</v>
      </c>
      <c r="T426" s="8" t="s">
        <v>1197</v>
      </c>
      <c r="U426" s="8" t="s">
        <v>63</v>
      </c>
      <c r="V426" s="8" t="s">
        <v>135</v>
      </c>
      <c r="W426" s="19" t="s">
        <v>1198</v>
      </c>
    </row>
    <row r="427" spans="1:23" x14ac:dyDescent="0.25">
      <c r="A427" s="8" t="s">
        <v>1199</v>
      </c>
      <c r="B427" s="8" t="str">
        <f t="shared" si="6"/>
        <v>RVB8A8145965</v>
      </c>
      <c r="C427" s="9" t="s">
        <v>44</v>
      </c>
      <c r="D427" s="10">
        <v>118699</v>
      </c>
      <c r="E427" s="11" t="s">
        <v>1200</v>
      </c>
      <c r="F427" s="12">
        <v>45861</v>
      </c>
      <c r="G427" s="13" t="s">
        <v>760</v>
      </c>
      <c r="H427" s="10" t="s">
        <v>52</v>
      </c>
      <c r="I427" s="14" t="s">
        <v>28</v>
      </c>
      <c r="J427" s="14" t="s">
        <v>1104</v>
      </c>
      <c r="K427" s="15">
        <v>26340.43</v>
      </c>
      <c r="L427" s="15">
        <v>26340.43</v>
      </c>
      <c r="M427" s="16" t="s">
        <v>999</v>
      </c>
      <c r="N427" s="8" t="s">
        <v>30</v>
      </c>
      <c r="O427" s="8" t="s">
        <v>52</v>
      </c>
      <c r="P427" s="17">
        <v>45965</v>
      </c>
      <c r="Q427" s="18">
        <v>45965</v>
      </c>
      <c r="R427" s="9">
        <v>104</v>
      </c>
      <c r="S427" s="8" t="s">
        <v>32</v>
      </c>
      <c r="T427" s="8" t="s">
        <v>1201</v>
      </c>
      <c r="U427" s="8" t="s">
        <v>47</v>
      </c>
      <c r="V427" s="8" t="s">
        <v>83</v>
      </c>
      <c r="W427" s="19" t="s">
        <v>1202</v>
      </c>
    </row>
    <row r="428" spans="1:23" x14ac:dyDescent="0.25">
      <c r="A428" s="8" t="s">
        <v>107</v>
      </c>
      <c r="B428" s="8" t="str">
        <f t="shared" si="6"/>
        <v>SDT9G9345965</v>
      </c>
      <c r="C428" s="9" t="s">
        <v>50</v>
      </c>
      <c r="D428" s="10">
        <v>65000</v>
      </c>
      <c r="E428" s="11" t="s">
        <v>1203</v>
      </c>
      <c r="F428" s="12">
        <v>45861</v>
      </c>
      <c r="G428" s="13" t="s">
        <v>743</v>
      </c>
      <c r="H428" s="10" t="s">
        <v>27</v>
      </c>
      <c r="I428" s="14" t="s">
        <v>28</v>
      </c>
      <c r="J428" s="14" t="s">
        <v>139</v>
      </c>
      <c r="K428" s="15"/>
      <c r="L428" s="15"/>
      <c r="M428" s="16" t="s">
        <v>387</v>
      </c>
      <c r="N428" s="8" t="s">
        <v>30</v>
      </c>
      <c r="O428" s="8" t="s">
        <v>40</v>
      </c>
      <c r="P428" s="17">
        <v>45966</v>
      </c>
      <c r="Q428" s="18">
        <v>45965</v>
      </c>
      <c r="R428" s="9">
        <v>104</v>
      </c>
      <c r="S428" s="8" t="s">
        <v>32</v>
      </c>
      <c r="T428" s="8" t="s">
        <v>389</v>
      </c>
      <c r="U428" s="8" t="s">
        <v>110</v>
      </c>
      <c r="V428" s="8" t="s">
        <v>83</v>
      </c>
      <c r="W428" s="19" t="s">
        <v>1204</v>
      </c>
    </row>
    <row r="429" spans="1:23" x14ac:dyDescent="0.25">
      <c r="A429" s="8" t="s">
        <v>317</v>
      </c>
      <c r="B429" s="8" t="str">
        <f t="shared" si="6"/>
        <v>RUM2B4645966</v>
      </c>
      <c r="C429" s="9" t="s">
        <v>37</v>
      </c>
      <c r="D429" s="10" t="s">
        <v>383</v>
      </c>
      <c r="E429" s="11" t="s">
        <v>595</v>
      </c>
      <c r="F429" s="12">
        <v>45964</v>
      </c>
      <c r="G429" s="13" t="s">
        <v>123</v>
      </c>
      <c r="H429" s="10" t="s">
        <v>27</v>
      </c>
      <c r="I429" s="14" t="s">
        <v>28</v>
      </c>
      <c r="J429" s="14" t="s">
        <v>139</v>
      </c>
      <c r="K429" s="15">
        <v>1434.5</v>
      </c>
      <c r="L429" s="15">
        <v>1400</v>
      </c>
      <c r="M429" s="16" t="s">
        <v>237</v>
      </c>
      <c r="N429" s="8" t="s">
        <v>30</v>
      </c>
      <c r="O429" s="8" t="s">
        <v>40</v>
      </c>
      <c r="P429" s="17">
        <v>45966</v>
      </c>
      <c r="Q429" s="18">
        <v>45966</v>
      </c>
      <c r="R429" s="9">
        <v>2</v>
      </c>
      <c r="S429" s="8" t="s">
        <v>153</v>
      </c>
      <c r="T429" s="8" t="s">
        <v>41</v>
      </c>
      <c r="U429" s="8" t="s">
        <v>42</v>
      </c>
      <c r="V429" s="8" t="s">
        <v>1186</v>
      </c>
      <c r="W429" s="19" t="s">
        <v>1205</v>
      </c>
    </row>
    <row r="430" spans="1:23" x14ac:dyDescent="0.25">
      <c r="A430" s="8" t="s">
        <v>1206</v>
      </c>
      <c r="B430" s="8" t="str">
        <f t="shared" si="6"/>
        <v>GCI0A6445965</v>
      </c>
      <c r="C430" s="9" t="s">
        <v>224</v>
      </c>
      <c r="D430" s="10" t="s">
        <v>383</v>
      </c>
      <c r="E430" s="11" t="s">
        <v>1207</v>
      </c>
      <c r="F430" s="12">
        <v>45965</v>
      </c>
      <c r="G430" s="13" t="s">
        <v>226</v>
      </c>
      <c r="H430" s="10" t="s">
        <v>27</v>
      </c>
      <c r="I430" s="14" t="s">
        <v>28</v>
      </c>
      <c r="J430" s="14" t="s">
        <v>139</v>
      </c>
      <c r="K430" s="15"/>
      <c r="L430" s="15"/>
      <c r="M430" s="16" t="s">
        <v>752</v>
      </c>
      <c r="N430" s="8" t="s">
        <v>287</v>
      </c>
      <c r="O430" s="8" t="s">
        <v>40</v>
      </c>
      <c r="P430" s="17" t="s">
        <v>86</v>
      </c>
      <c r="Q430" s="18">
        <v>45965</v>
      </c>
      <c r="R430" s="9">
        <v>0</v>
      </c>
      <c r="S430" s="8" t="s">
        <v>153</v>
      </c>
      <c r="T430" s="8" t="s">
        <v>98</v>
      </c>
      <c r="U430" s="8" t="s">
        <v>289</v>
      </c>
      <c r="V430" s="8" t="s">
        <v>1186</v>
      </c>
      <c r="W430" s="19" t="s">
        <v>1208</v>
      </c>
    </row>
    <row r="431" spans="1:23" x14ac:dyDescent="0.25">
      <c r="A431" s="8" t="s">
        <v>741</v>
      </c>
      <c r="B431" s="8" t="str">
        <f t="shared" si="6"/>
        <v>RNH7H5845965</v>
      </c>
      <c r="C431" s="9" t="s">
        <v>24</v>
      </c>
      <c r="D431" s="10">
        <v>118088</v>
      </c>
      <c r="E431" s="11" t="s">
        <v>1209</v>
      </c>
      <c r="F431" s="12">
        <v>45957</v>
      </c>
      <c r="G431" s="13" t="s">
        <v>743</v>
      </c>
      <c r="H431" s="10" t="s">
        <v>27</v>
      </c>
      <c r="I431" s="14" t="s">
        <v>28</v>
      </c>
      <c r="J431" s="14" t="s">
        <v>139</v>
      </c>
      <c r="K431" s="15"/>
      <c r="L431" s="15"/>
      <c r="M431" s="16" t="s">
        <v>745</v>
      </c>
      <c r="N431" s="8" t="s">
        <v>30</v>
      </c>
      <c r="O431" s="8" t="s">
        <v>40</v>
      </c>
      <c r="P431" s="17" t="s">
        <v>86</v>
      </c>
      <c r="Q431" s="18">
        <v>45965</v>
      </c>
      <c r="R431" s="9">
        <v>8</v>
      </c>
      <c r="S431" s="8" t="s">
        <v>32</v>
      </c>
      <c r="T431" s="8" t="s">
        <v>1210</v>
      </c>
      <c r="U431" s="8" t="s">
        <v>63</v>
      </c>
      <c r="V431" s="8" t="s">
        <v>1186</v>
      </c>
      <c r="W431" s="19" t="s">
        <v>1198</v>
      </c>
    </row>
    <row r="432" spans="1:23" x14ac:dyDescent="0.25">
      <c r="A432" s="8" t="s">
        <v>1211</v>
      </c>
      <c r="B432" s="8" t="str">
        <f t="shared" si="6"/>
        <v>SVO4A8045945</v>
      </c>
      <c r="C432" s="9" t="s">
        <v>509</v>
      </c>
      <c r="D432" s="10">
        <v>1213</v>
      </c>
      <c r="E432" s="11"/>
      <c r="F432" s="12">
        <v>45965</v>
      </c>
      <c r="G432" s="13" t="s">
        <v>226</v>
      </c>
      <c r="H432" s="10" t="s">
        <v>27</v>
      </c>
      <c r="I432" s="14" t="s">
        <v>28</v>
      </c>
      <c r="J432" s="14" t="s">
        <v>139</v>
      </c>
      <c r="K432" s="15"/>
      <c r="L432" s="15"/>
      <c r="M432" s="16" t="s">
        <v>511</v>
      </c>
      <c r="N432" s="8" t="s">
        <v>512</v>
      </c>
      <c r="O432" s="8" t="s">
        <v>40</v>
      </c>
      <c r="P432" s="17" t="s">
        <v>86</v>
      </c>
      <c r="Q432" s="18">
        <v>45945</v>
      </c>
      <c r="R432" s="9">
        <v>0</v>
      </c>
      <c r="S432" s="8" t="s">
        <v>153</v>
      </c>
      <c r="T432" s="8" t="s">
        <v>98</v>
      </c>
      <c r="U432" s="8" t="s">
        <v>513</v>
      </c>
      <c r="V432" s="8" t="s">
        <v>1186</v>
      </c>
      <c r="W432" s="19" t="s">
        <v>1212</v>
      </c>
    </row>
    <row r="433" spans="1:23" x14ac:dyDescent="0.25">
      <c r="A433" s="8" t="s">
        <v>1213</v>
      </c>
      <c r="B433" s="8" t="str">
        <f t="shared" si="6"/>
        <v>SGL4D2045965</v>
      </c>
      <c r="C433" s="9" t="s">
        <v>96</v>
      </c>
      <c r="D433" s="10">
        <v>145550</v>
      </c>
      <c r="E433" s="11" t="s">
        <v>1209</v>
      </c>
      <c r="F433" s="12">
        <v>45960</v>
      </c>
      <c r="G433" s="13" t="s">
        <v>39</v>
      </c>
      <c r="H433" s="10" t="s">
        <v>27</v>
      </c>
      <c r="I433" s="14" t="s">
        <v>176</v>
      </c>
      <c r="J433" s="14" t="s">
        <v>139</v>
      </c>
      <c r="K433" s="15"/>
      <c r="L433" s="15"/>
      <c r="M433" s="16" t="s">
        <v>1214</v>
      </c>
      <c r="N433" s="8" t="s">
        <v>228</v>
      </c>
      <c r="O433" s="8" t="s">
        <v>40</v>
      </c>
      <c r="P433" s="17">
        <v>45965</v>
      </c>
      <c r="Q433" s="18">
        <v>45965</v>
      </c>
      <c r="R433" s="9">
        <v>5</v>
      </c>
      <c r="S433" s="8" t="s">
        <v>32</v>
      </c>
      <c r="T433" s="8" t="s">
        <v>98</v>
      </c>
      <c r="U433" s="8" t="s">
        <v>271</v>
      </c>
      <c r="V433" s="8" t="s">
        <v>320</v>
      </c>
      <c r="W433" s="19" t="s">
        <v>1215</v>
      </c>
    </row>
    <row r="434" spans="1:23" x14ac:dyDescent="0.25">
      <c r="A434" s="8" t="s">
        <v>1216</v>
      </c>
      <c r="B434" s="8" t="str">
        <f t="shared" si="6"/>
        <v>SVQ8B8845965</v>
      </c>
      <c r="C434" s="9" t="s">
        <v>24</v>
      </c>
      <c r="D434" s="10">
        <v>83361</v>
      </c>
      <c r="E434" s="11" t="s">
        <v>619</v>
      </c>
      <c r="F434" s="12">
        <v>45962</v>
      </c>
      <c r="G434" s="13" t="s">
        <v>123</v>
      </c>
      <c r="H434" s="10" t="s">
        <v>27</v>
      </c>
      <c r="I434" s="14" t="s">
        <v>28</v>
      </c>
      <c r="J434" s="14" t="s">
        <v>29</v>
      </c>
      <c r="K434" s="15"/>
      <c r="L434" s="15"/>
      <c r="M434" s="16" t="s">
        <v>326</v>
      </c>
      <c r="N434" s="8" t="s">
        <v>30</v>
      </c>
      <c r="O434" s="8" t="s">
        <v>40</v>
      </c>
      <c r="P434" s="17">
        <v>45966</v>
      </c>
      <c r="Q434" s="18">
        <v>45965</v>
      </c>
      <c r="R434" s="9">
        <v>3</v>
      </c>
      <c r="S434" s="8" t="s">
        <v>32</v>
      </c>
      <c r="T434" s="8" t="s">
        <v>620</v>
      </c>
      <c r="U434" s="8" t="s">
        <v>820</v>
      </c>
      <c r="V434" s="8" t="s">
        <v>1186</v>
      </c>
      <c r="W434" s="19" t="s">
        <v>1169</v>
      </c>
    </row>
    <row r="435" spans="1:23" x14ac:dyDescent="0.25">
      <c r="A435" s="8" t="s">
        <v>1217</v>
      </c>
      <c r="B435" s="8" t="str">
        <f t="shared" si="6"/>
        <v>TOE2C5745965</v>
      </c>
      <c r="C435" s="9" t="s">
        <v>157</v>
      </c>
      <c r="D435" s="10" t="s">
        <v>383</v>
      </c>
      <c r="E435" s="11" t="s">
        <v>1218</v>
      </c>
      <c r="F435" s="12">
        <v>45950</v>
      </c>
      <c r="G435" s="13" t="s">
        <v>39</v>
      </c>
      <c r="H435" s="10"/>
      <c r="I435" s="14"/>
      <c r="J435" s="14" t="s">
        <v>139</v>
      </c>
      <c r="K435" s="15"/>
      <c r="L435" s="15"/>
      <c r="M435" s="16" t="s">
        <v>1219</v>
      </c>
      <c r="N435" s="8" t="s">
        <v>172</v>
      </c>
      <c r="O435" s="8"/>
      <c r="P435" s="17">
        <v>45965</v>
      </c>
      <c r="Q435" s="18">
        <v>45965</v>
      </c>
      <c r="R435" s="9">
        <v>15</v>
      </c>
      <c r="S435" s="8" t="s">
        <v>32</v>
      </c>
      <c r="T435" s="8" t="s">
        <v>1057</v>
      </c>
      <c r="U435" s="8" t="s">
        <v>513</v>
      </c>
      <c r="V435" s="8" t="s">
        <v>320</v>
      </c>
      <c r="W435" s="19" t="s">
        <v>1220</v>
      </c>
    </row>
    <row r="436" spans="1:23" x14ac:dyDescent="0.25">
      <c r="A436" s="8" t="s">
        <v>1221</v>
      </c>
      <c r="B436" s="8" t="str">
        <f t="shared" si="6"/>
        <v>SGH6H7545966</v>
      </c>
      <c r="C436" s="9" t="s">
        <v>96</v>
      </c>
      <c r="D436" s="10">
        <v>51176</v>
      </c>
      <c r="E436" s="11" t="s">
        <v>768</v>
      </c>
      <c r="F436" s="12">
        <v>45908</v>
      </c>
      <c r="G436" s="13" t="s">
        <v>39</v>
      </c>
      <c r="H436" s="10" t="s">
        <v>27</v>
      </c>
      <c r="I436" s="14" t="s">
        <v>28</v>
      </c>
      <c r="J436" s="14" t="s">
        <v>29</v>
      </c>
      <c r="K436" s="15"/>
      <c r="L436" s="15"/>
      <c r="M436" s="16" t="s">
        <v>354</v>
      </c>
      <c r="N436" s="8" t="s">
        <v>30</v>
      </c>
      <c r="O436" s="8" t="s">
        <v>40</v>
      </c>
      <c r="P436" s="17">
        <v>45965</v>
      </c>
      <c r="Q436" s="18">
        <v>45966</v>
      </c>
      <c r="R436" s="9">
        <v>58</v>
      </c>
      <c r="S436" s="8" t="s">
        <v>32</v>
      </c>
      <c r="T436" s="8" t="s">
        <v>349</v>
      </c>
      <c r="U436" s="8" t="s">
        <v>279</v>
      </c>
      <c r="V436" s="8" t="s">
        <v>35</v>
      </c>
      <c r="W436" s="19" t="s">
        <v>1222</v>
      </c>
    </row>
    <row r="437" spans="1:23" x14ac:dyDescent="0.25">
      <c r="A437" s="8" t="s">
        <v>1223</v>
      </c>
      <c r="B437" s="8" t="str">
        <f t="shared" si="6"/>
        <v>SGI8J5545966</v>
      </c>
      <c r="C437" s="9" t="s">
        <v>96</v>
      </c>
      <c r="D437" s="10" t="s">
        <v>383</v>
      </c>
      <c r="E437" s="11" t="s">
        <v>310</v>
      </c>
      <c r="F437" s="12">
        <v>45958</v>
      </c>
      <c r="G437" s="13" t="s">
        <v>39</v>
      </c>
      <c r="H437" s="10" t="s">
        <v>27</v>
      </c>
      <c r="I437" s="14" t="s">
        <v>28</v>
      </c>
      <c r="J437" s="14" t="s">
        <v>29</v>
      </c>
      <c r="K437" s="15"/>
      <c r="L437" s="15"/>
      <c r="M437" s="16" t="s">
        <v>420</v>
      </c>
      <c r="N437" s="8" t="s">
        <v>30</v>
      </c>
      <c r="O437" s="8" t="s">
        <v>40</v>
      </c>
      <c r="P437" s="17">
        <v>45965</v>
      </c>
      <c r="Q437" s="18">
        <v>45966</v>
      </c>
      <c r="R437" s="9">
        <v>8</v>
      </c>
      <c r="S437" s="8" t="s">
        <v>32</v>
      </c>
      <c r="T437" s="8" t="s">
        <v>1224</v>
      </c>
      <c r="U437" s="8" t="s">
        <v>982</v>
      </c>
      <c r="V437" s="8" t="s">
        <v>320</v>
      </c>
      <c r="W437" s="19" t="s">
        <v>1225</v>
      </c>
    </row>
    <row r="438" spans="1:23" x14ac:dyDescent="0.25">
      <c r="A438" s="8" t="s">
        <v>1226</v>
      </c>
      <c r="B438" s="8" t="str">
        <f t="shared" si="6"/>
        <v>RNB5I4645966</v>
      </c>
      <c r="C438" s="9" t="s">
        <v>72</v>
      </c>
      <c r="D438" s="10" t="s">
        <v>383</v>
      </c>
      <c r="E438" s="11" t="s">
        <v>1227</v>
      </c>
      <c r="F438" s="12">
        <v>45761</v>
      </c>
      <c r="G438" s="13" t="s">
        <v>123</v>
      </c>
      <c r="H438" s="10" t="s">
        <v>27</v>
      </c>
      <c r="I438" s="14" t="s">
        <v>28</v>
      </c>
      <c r="J438" s="14" t="s">
        <v>139</v>
      </c>
      <c r="K438" s="15"/>
      <c r="L438" s="15"/>
      <c r="M438" s="16" t="e">
        <v>#N/A</v>
      </c>
      <c r="N438" s="8" t="s">
        <v>30</v>
      </c>
      <c r="O438" s="8"/>
      <c r="P438" s="17">
        <v>45966</v>
      </c>
      <c r="Q438" s="18">
        <v>45966</v>
      </c>
      <c r="R438" s="9">
        <v>205</v>
      </c>
      <c r="S438" s="8" t="s">
        <v>32</v>
      </c>
      <c r="T438" s="8" t="s">
        <v>340</v>
      </c>
      <c r="U438" s="8" t="s">
        <v>177</v>
      </c>
      <c r="V438" s="8" t="s">
        <v>473</v>
      </c>
      <c r="W438" s="19" t="s">
        <v>1228</v>
      </c>
    </row>
    <row r="439" spans="1:23" x14ac:dyDescent="0.25">
      <c r="A439" s="8" t="s">
        <v>1229</v>
      </c>
      <c r="B439" s="8" t="str">
        <f t="shared" si="6"/>
        <v>RUW5D7745966</v>
      </c>
      <c r="C439" s="9" t="s">
        <v>79</v>
      </c>
      <c r="D439" s="10">
        <v>141035</v>
      </c>
      <c r="E439" s="11" t="s">
        <v>1230</v>
      </c>
      <c r="F439" s="12">
        <v>45861</v>
      </c>
      <c r="G439" s="13" t="s">
        <v>226</v>
      </c>
      <c r="H439" s="10" t="s">
        <v>27</v>
      </c>
      <c r="I439" s="14" t="s">
        <v>28</v>
      </c>
      <c r="J439" s="14" t="s">
        <v>29</v>
      </c>
      <c r="K439" s="15"/>
      <c r="L439" s="15"/>
      <c r="M439" s="16" t="s">
        <v>761</v>
      </c>
      <c r="N439" s="8" t="s">
        <v>30</v>
      </c>
      <c r="O439" s="8" t="s">
        <v>40</v>
      </c>
      <c r="P439" s="17">
        <v>45964</v>
      </c>
      <c r="Q439" s="18">
        <v>45966</v>
      </c>
      <c r="R439" s="9">
        <v>105</v>
      </c>
      <c r="S439" s="8" t="s">
        <v>32</v>
      </c>
      <c r="T439" s="8" t="s">
        <v>1231</v>
      </c>
      <c r="U439" s="8" t="s">
        <v>762</v>
      </c>
      <c r="V439" s="8" t="s">
        <v>83</v>
      </c>
      <c r="W439" s="19" t="s">
        <v>1232</v>
      </c>
    </row>
    <row r="440" spans="1:23" x14ac:dyDescent="0.25">
      <c r="A440" s="8" t="s">
        <v>1139</v>
      </c>
      <c r="B440" s="8" t="str">
        <f t="shared" si="6"/>
        <v>SDT9F9845965</v>
      </c>
      <c r="C440" s="9" t="s">
        <v>50</v>
      </c>
      <c r="D440" s="10">
        <v>41988</v>
      </c>
      <c r="E440" s="11" t="s">
        <v>1233</v>
      </c>
      <c r="F440" s="12">
        <v>45959</v>
      </c>
      <c r="G440" s="13" t="s">
        <v>872</v>
      </c>
      <c r="H440" s="10" t="s">
        <v>27</v>
      </c>
      <c r="I440" s="14" t="s">
        <v>28</v>
      </c>
      <c r="J440" s="14" t="s">
        <v>29</v>
      </c>
      <c r="K440" s="15"/>
      <c r="L440" s="15"/>
      <c r="M440" s="16" t="s">
        <v>497</v>
      </c>
      <c r="N440" s="8" t="s">
        <v>30</v>
      </c>
      <c r="O440" s="8" t="s">
        <v>40</v>
      </c>
      <c r="P440" s="17">
        <v>45961</v>
      </c>
      <c r="Q440" s="18">
        <v>45965</v>
      </c>
      <c r="R440" s="9">
        <v>4</v>
      </c>
      <c r="S440" s="8" t="s">
        <v>32</v>
      </c>
      <c r="T440" s="8" t="s">
        <v>66</v>
      </c>
      <c r="U440" s="8" t="s">
        <v>67</v>
      </c>
      <c r="V440" s="8" t="s">
        <v>320</v>
      </c>
      <c r="W440" s="19" t="s">
        <v>1234</v>
      </c>
    </row>
    <row r="441" spans="1:23" x14ac:dyDescent="0.25">
      <c r="A441" s="8" t="s">
        <v>1235</v>
      </c>
      <c r="B441" s="8" t="str">
        <f t="shared" si="6"/>
        <v>SJT6E89 45966</v>
      </c>
      <c r="C441" s="9" t="s">
        <v>24</v>
      </c>
      <c r="D441" s="10">
        <v>65361</v>
      </c>
      <c r="E441" s="11" t="s">
        <v>1236</v>
      </c>
      <c r="F441" s="12">
        <v>45964</v>
      </c>
      <c r="G441" s="13" t="s">
        <v>138</v>
      </c>
      <c r="H441" s="10" t="s">
        <v>27</v>
      </c>
      <c r="I441" s="14" t="s">
        <v>28</v>
      </c>
      <c r="J441" s="14" t="s">
        <v>29</v>
      </c>
      <c r="K441" s="15"/>
      <c r="L441" s="15"/>
      <c r="M441" s="16" t="s">
        <v>140</v>
      </c>
      <c r="N441" s="8" t="s">
        <v>30</v>
      </c>
      <c r="O441" s="8" t="s">
        <v>40</v>
      </c>
      <c r="P441" s="17" t="s">
        <v>86</v>
      </c>
      <c r="Q441" s="18">
        <v>45966</v>
      </c>
      <c r="R441" s="9">
        <v>2</v>
      </c>
      <c r="S441" s="8" t="s">
        <v>153</v>
      </c>
      <c r="T441" s="8" t="s">
        <v>98</v>
      </c>
      <c r="U441" s="8" t="s">
        <v>500</v>
      </c>
      <c r="V441" s="8" t="s">
        <v>1237</v>
      </c>
      <c r="W441" s="19" t="s">
        <v>1238</v>
      </c>
    </row>
    <row r="442" spans="1:23" x14ac:dyDescent="0.25">
      <c r="A442" s="8" t="s">
        <v>1239</v>
      </c>
      <c r="B442" s="8" t="str">
        <f t="shared" si="6"/>
        <v>RVA2J4545966</v>
      </c>
      <c r="C442" s="9" t="s">
        <v>44</v>
      </c>
      <c r="D442" s="10" t="s">
        <v>383</v>
      </c>
      <c r="E442" s="11" t="s">
        <v>1240</v>
      </c>
      <c r="F442" s="12">
        <v>45966</v>
      </c>
      <c r="G442" s="13" t="s">
        <v>123</v>
      </c>
      <c r="H442" s="10" t="s">
        <v>27</v>
      </c>
      <c r="I442" s="14" t="s">
        <v>28</v>
      </c>
      <c r="J442" s="14" t="s">
        <v>139</v>
      </c>
      <c r="K442" s="15"/>
      <c r="L442" s="15"/>
      <c r="M442" s="16" t="s">
        <v>638</v>
      </c>
      <c r="N442" s="8" t="s">
        <v>30</v>
      </c>
      <c r="O442" s="8" t="s">
        <v>40</v>
      </c>
      <c r="P442" s="17">
        <v>45966</v>
      </c>
      <c r="Q442" s="18">
        <v>45966</v>
      </c>
      <c r="R442" s="9">
        <v>0</v>
      </c>
      <c r="S442" s="8" t="s">
        <v>153</v>
      </c>
      <c r="T442" s="8" t="s">
        <v>620</v>
      </c>
      <c r="U442" s="8" t="s">
        <v>94</v>
      </c>
      <c r="V442" s="8" t="s">
        <v>1186</v>
      </c>
      <c r="W442" s="19" t="s">
        <v>1228</v>
      </c>
    </row>
    <row r="443" spans="1:23" x14ac:dyDescent="0.25">
      <c r="A443" s="8" t="s">
        <v>1241</v>
      </c>
      <c r="B443" s="8" t="str">
        <f t="shared" si="6"/>
        <v>SVX5C5345966</v>
      </c>
      <c r="C443" s="9" t="s">
        <v>24</v>
      </c>
      <c r="D443" s="10">
        <v>88398</v>
      </c>
      <c r="E443" s="11" t="s">
        <v>236</v>
      </c>
      <c r="F443" s="12">
        <v>45966</v>
      </c>
      <c r="G443" s="13" t="s">
        <v>138</v>
      </c>
      <c r="H443" s="10" t="s">
        <v>27</v>
      </c>
      <c r="I443" s="14" t="s">
        <v>28</v>
      </c>
      <c r="J443" s="14" t="s">
        <v>29</v>
      </c>
      <c r="K443" s="15"/>
      <c r="L443" s="15"/>
      <c r="M443" s="16" t="s">
        <v>214</v>
      </c>
      <c r="N443" s="8" t="s">
        <v>30</v>
      </c>
      <c r="O443" s="8" t="s">
        <v>40</v>
      </c>
      <c r="P443" s="17">
        <v>45966</v>
      </c>
      <c r="Q443" s="18">
        <v>45966</v>
      </c>
      <c r="R443" s="9">
        <v>0</v>
      </c>
      <c r="S443" s="8" t="s">
        <v>153</v>
      </c>
      <c r="T443" s="8" t="s">
        <v>98</v>
      </c>
      <c r="U443" s="8" t="s">
        <v>215</v>
      </c>
      <c r="V443" s="8" t="s">
        <v>1186</v>
      </c>
      <c r="W443" s="19" t="s">
        <v>1242</v>
      </c>
    </row>
    <row r="444" spans="1:23" x14ac:dyDescent="0.25">
      <c r="A444" s="8" t="s">
        <v>1243</v>
      </c>
      <c r="B444" s="8" t="str">
        <f t="shared" si="6"/>
        <v>GGQ9J3445966</v>
      </c>
      <c r="C444" s="9" t="s">
        <v>224</v>
      </c>
      <c r="D444" s="10" t="s">
        <v>383</v>
      </c>
      <c r="E444" s="11" t="s">
        <v>1244</v>
      </c>
      <c r="F444" s="12">
        <v>45910</v>
      </c>
      <c r="G444" s="13" t="s">
        <v>658</v>
      </c>
      <c r="H444" s="10" t="s">
        <v>52</v>
      </c>
      <c r="I444" s="14" t="s">
        <v>28</v>
      </c>
      <c r="J444" s="14" t="s">
        <v>29</v>
      </c>
      <c r="K444" s="15">
        <v>15060.25</v>
      </c>
      <c r="L444" s="15">
        <v>15060.25</v>
      </c>
      <c r="M444" s="16" t="s">
        <v>227</v>
      </c>
      <c r="N444" s="8" t="s">
        <v>228</v>
      </c>
      <c r="O444" s="8"/>
      <c r="P444" s="17">
        <v>45991</v>
      </c>
      <c r="Q444" s="18">
        <v>45966</v>
      </c>
      <c r="R444" s="9">
        <v>56</v>
      </c>
      <c r="S444" s="8" t="s">
        <v>32</v>
      </c>
      <c r="T444" s="8" t="s">
        <v>1245</v>
      </c>
      <c r="U444" s="8" t="s">
        <v>271</v>
      </c>
      <c r="V444" s="8" t="s">
        <v>35</v>
      </c>
      <c r="W444" s="19" t="s">
        <v>1179</v>
      </c>
    </row>
    <row r="445" spans="1:23" x14ac:dyDescent="0.25">
      <c r="A445" s="8" t="s">
        <v>1246</v>
      </c>
      <c r="B445" s="8" t="str">
        <f t="shared" si="6"/>
        <v>GEG2F4345967</v>
      </c>
      <c r="C445" s="9" t="s">
        <v>224</v>
      </c>
      <c r="D445" s="10" t="s">
        <v>383</v>
      </c>
      <c r="E445" s="11" t="s">
        <v>1247</v>
      </c>
      <c r="F445" s="12">
        <v>45940</v>
      </c>
      <c r="G445" s="13" t="s">
        <v>872</v>
      </c>
      <c r="H445" s="10" t="s">
        <v>27</v>
      </c>
      <c r="I445" s="14" t="s">
        <v>28</v>
      </c>
      <c r="J445" s="14" t="s">
        <v>139</v>
      </c>
      <c r="K445" s="15"/>
      <c r="L445" s="15"/>
      <c r="M445" s="16" t="s">
        <v>560</v>
      </c>
      <c r="N445" s="8" t="s">
        <v>30</v>
      </c>
      <c r="O445" s="8" t="s">
        <v>40</v>
      </c>
      <c r="P445" s="17" t="s">
        <v>86</v>
      </c>
      <c r="Q445" s="18">
        <v>45967</v>
      </c>
      <c r="R445" s="9">
        <v>21</v>
      </c>
      <c r="S445" s="8" t="s">
        <v>32</v>
      </c>
      <c r="T445" s="8" t="s">
        <v>89</v>
      </c>
      <c r="U445" s="8" t="s">
        <v>54</v>
      </c>
      <c r="V445" s="8" t="s">
        <v>320</v>
      </c>
      <c r="W445" s="19" t="s">
        <v>1195</v>
      </c>
    </row>
    <row r="446" spans="1:23" x14ac:dyDescent="0.25">
      <c r="A446" s="8" t="s">
        <v>1248</v>
      </c>
      <c r="B446" s="8" t="str">
        <f t="shared" si="6"/>
        <v>RNJ9C9145967</v>
      </c>
      <c r="C446" s="9" t="s">
        <v>72</v>
      </c>
      <c r="D446" s="10">
        <v>138102</v>
      </c>
      <c r="E446" s="11" t="s">
        <v>225</v>
      </c>
      <c r="F446" s="12">
        <v>45953</v>
      </c>
      <c r="G446" s="13" t="s">
        <v>872</v>
      </c>
      <c r="H446" s="10" t="s">
        <v>27</v>
      </c>
      <c r="I446" s="14" t="s">
        <v>28</v>
      </c>
      <c r="J446" s="14" t="s">
        <v>139</v>
      </c>
      <c r="K446" s="15"/>
      <c r="L446" s="15"/>
      <c r="M446" s="16" t="s">
        <v>560</v>
      </c>
      <c r="N446" s="8" t="s">
        <v>30</v>
      </c>
      <c r="O446" s="8" t="s">
        <v>40</v>
      </c>
      <c r="P446" s="17" t="s">
        <v>86</v>
      </c>
      <c r="Q446" s="18">
        <v>45967</v>
      </c>
      <c r="R446" s="9">
        <v>8</v>
      </c>
      <c r="S446" s="8" t="s">
        <v>32</v>
      </c>
      <c r="T446" s="8" t="s">
        <v>89</v>
      </c>
      <c r="U446" s="8" t="s">
        <v>54</v>
      </c>
      <c r="V446" s="8" t="s">
        <v>320</v>
      </c>
      <c r="W446" s="19" t="s">
        <v>1195</v>
      </c>
    </row>
    <row r="447" spans="1:23" x14ac:dyDescent="0.25">
      <c r="A447" s="8" t="s">
        <v>1249</v>
      </c>
      <c r="B447" s="8" t="str">
        <f t="shared" si="6"/>
        <v>RNE7C7745967</v>
      </c>
      <c r="C447" s="9" t="s">
        <v>72</v>
      </c>
      <c r="D447" s="10">
        <v>256340</v>
      </c>
      <c r="E447" s="11" t="s">
        <v>1250</v>
      </c>
      <c r="F447" s="12">
        <v>45966</v>
      </c>
      <c r="G447" s="13" t="s">
        <v>123</v>
      </c>
      <c r="H447" s="10" t="s">
        <v>27</v>
      </c>
      <c r="I447" s="14" t="s">
        <v>28</v>
      </c>
      <c r="J447" s="14" t="s">
        <v>139</v>
      </c>
      <c r="K447" s="15"/>
      <c r="L447" s="15"/>
      <c r="M447" s="16" t="s">
        <v>374</v>
      </c>
      <c r="N447" s="8" t="s">
        <v>30</v>
      </c>
      <c r="O447" s="8" t="s">
        <v>40</v>
      </c>
      <c r="P447" s="17" t="s">
        <v>811</v>
      </c>
      <c r="Q447" s="18">
        <v>45967</v>
      </c>
      <c r="R447" s="9">
        <v>1</v>
      </c>
      <c r="S447" s="8" t="s">
        <v>153</v>
      </c>
      <c r="T447" s="8" t="s">
        <v>392</v>
      </c>
      <c r="U447" s="8" t="s">
        <v>393</v>
      </c>
      <c r="V447" s="8" t="s">
        <v>1186</v>
      </c>
      <c r="W447" s="19" t="s">
        <v>1251</v>
      </c>
    </row>
    <row r="448" spans="1:23" x14ac:dyDescent="0.25">
      <c r="A448" s="8" t="s">
        <v>1252</v>
      </c>
      <c r="B448" s="8" t="str">
        <f t="shared" si="6"/>
        <v>SVN2A21 45967</v>
      </c>
      <c r="C448" s="9" t="s">
        <v>24</v>
      </c>
      <c r="D448" s="10">
        <v>60279</v>
      </c>
      <c r="E448" s="11" t="s">
        <v>1253</v>
      </c>
      <c r="F448" s="12">
        <v>45967</v>
      </c>
      <c r="G448" s="13" t="s">
        <v>138</v>
      </c>
      <c r="H448" s="10" t="s">
        <v>27</v>
      </c>
      <c r="I448" s="14" t="s">
        <v>28</v>
      </c>
      <c r="J448" s="14" t="s">
        <v>29</v>
      </c>
      <c r="K448" s="15"/>
      <c r="L448" s="15"/>
      <c r="M448" s="16" t="s">
        <v>140</v>
      </c>
      <c r="N448" s="8" t="s">
        <v>30</v>
      </c>
      <c r="O448" s="8" t="s">
        <v>40</v>
      </c>
      <c r="P448" s="17" t="s">
        <v>86</v>
      </c>
      <c r="Q448" s="18">
        <v>45967</v>
      </c>
      <c r="R448" s="9">
        <v>0</v>
      </c>
      <c r="S448" s="8" t="s">
        <v>153</v>
      </c>
      <c r="T448" s="8" t="s">
        <v>98</v>
      </c>
      <c r="U448" s="8" t="s">
        <v>500</v>
      </c>
      <c r="V448" s="8" t="s">
        <v>1186</v>
      </c>
      <c r="W448" s="19" t="s">
        <v>1238</v>
      </c>
    </row>
    <row r="449" spans="1:23" x14ac:dyDescent="0.25">
      <c r="A449" s="8" t="s">
        <v>1254</v>
      </c>
      <c r="B449" s="8" t="str">
        <f t="shared" si="6"/>
        <v>SGL1J06 45967</v>
      </c>
      <c r="C449" s="9" t="s">
        <v>69</v>
      </c>
      <c r="D449" s="10">
        <v>40092</v>
      </c>
      <c r="E449" s="11" t="s">
        <v>1255</v>
      </c>
      <c r="F449" s="12">
        <v>45967</v>
      </c>
      <c r="G449" s="13" t="s">
        <v>1256</v>
      </c>
      <c r="H449" s="10" t="s">
        <v>27</v>
      </c>
      <c r="I449" s="14" t="s">
        <v>28</v>
      </c>
      <c r="J449" s="14" t="s">
        <v>29</v>
      </c>
      <c r="K449" s="15"/>
      <c r="L449" s="15"/>
      <c r="M449" s="16" t="s">
        <v>140</v>
      </c>
      <c r="N449" s="8" t="s">
        <v>30</v>
      </c>
      <c r="O449" s="8" t="s">
        <v>40</v>
      </c>
      <c r="P449" s="17" t="s">
        <v>86</v>
      </c>
      <c r="Q449" s="18">
        <v>45967</v>
      </c>
      <c r="R449" s="9">
        <v>0</v>
      </c>
      <c r="S449" s="8" t="s">
        <v>153</v>
      </c>
      <c r="T449" s="8" t="s">
        <v>98</v>
      </c>
      <c r="U449" s="8" t="s">
        <v>500</v>
      </c>
      <c r="V449" s="8"/>
      <c r="W449" s="19"/>
    </row>
    <row r="450" spans="1:23" x14ac:dyDescent="0.25">
      <c r="A450" s="8" t="s">
        <v>1257</v>
      </c>
      <c r="B450" s="8" t="str">
        <f t="shared" si="6"/>
        <v>STT6I2745967</v>
      </c>
      <c r="C450" s="9" t="s">
        <v>44</v>
      </c>
      <c r="D450" s="10" t="s">
        <v>383</v>
      </c>
      <c r="E450" s="11" t="s">
        <v>1258</v>
      </c>
      <c r="F450" s="12">
        <v>45966</v>
      </c>
      <c r="G450" s="13" t="s">
        <v>226</v>
      </c>
      <c r="H450" s="10" t="s">
        <v>27</v>
      </c>
      <c r="I450" s="14" t="s">
        <v>28</v>
      </c>
      <c r="J450" s="14" t="s">
        <v>139</v>
      </c>
      <c r="K450" s="15"/>
      <c r="L450" s="15"/>
      <c r="M450" s="16" t="s">
        <v>207</v>
      </c>
      <c r="N450" s="8" t="s">
        <v>30</v>
      </c>
      <c r="O450" s="8" t="s">
        <v>40</v>
      </c>
      <c r="P450" s="17" t="s">
        <v>86</v>
      </c>
      <c r="Q450" s="18">
        <v>45967</v>
      </c>
      <c r="R450" s="9">
        <v>1</v>
      </c>
      <c r="S450" s="8" t="s">
        <v>153</v>
      </c>
      <c r="T450" s="8" t="s">
        <v>535</v>
      </c>
      <c r="U450" s="8" t="s">
        <v>75</v>
      </c>
      <c r="V450" s="8" t="s">
        <v>1186</v>
      </c>
      <c r="W450" s="19" t="s">
        <v>1259</v>
      </c>
    </row>
    <row r="451" spans="1:23" x14ac:dyDescent="0.25">
      <c r="A451" s="8" t="s">
        <v>1260</v>
      </c>
      <c r="B451" s="8" t="str">
        <f t="shared" ref="B451:B514" si="7">A451&amp;Q451</f>
        <v>HNZ1F20 45967</v>
      </c>
      <c r="C451" s="9" t="s">
        <v>37</v>
      </c>
      <c r="D451" s="10">
        <v>450000</v>
      </c>
      <c r="E451" s="11" t="s">
        <v>1261</v>
      </c>
      <c r="F451" s="12">
        <v>45910</v>
      </c>
      <c r="G451" s="13" t="s">
        <v>123</v>
      </c>
      <c r="H451" s="10" t="s">
        <v>27</v>
      </c>
      <c r="I451" s="14" t="s">
        <v>28</v>
      </c>
      <c r="J451" s="14" t="s">
        <v>29</v>
      </c>
      <c r="K451" s="15">
        <v>7500</v>
      </c>
      <c r="L451" s="15"/>
      <c r="M451" s="16" t="s">
        <v>237</v>
      </c>
      <c r="N451" s="8" t="s">
        <v>1262</v>
      </c>
      <c r="O451" s="8" t="s">
        <v>31</v>
      </c>
      <c r="P451" s="17">
        <v>45968</v>
      </c>
      <c r="Q451" s="18">
        <v>45967</v>
      </c>
      <c r="R451" s="9">
        <v>57</v>
      </c>
      <c r="S451" s="8" t="s">
        <v>32</v>
      </c>
      <c r="T451" s="8" t="s">
        <v>41</v>
      </c>
      <c r="U451" s="8" t="s">
        <v>42</v>
      </c>
      <c r="V451" s="8" t="s">
        <v>35</v>
      </c>
      <c r="W451" s="19" t="s">
        <v>1205</v>
      </c>
    </row>
    <row r="452" spans="1:23" x14ac:dyDescent="0.25">
      <c r="A452" s="8" t="s">
        <v>566</v>
      </c>
      <c r="B452" s="8" t="str">
        <f t="shared" si="7"/>
        <v>SGI8G9845967</v>
      </c>
      <c r="C452" s="9" t="s">
        <v>96</v>
      </c>
      <c r="D452" s="10" t="s">
        <v>383</v>
      </c>
      <c r="E452" s="11" t="s">
        <v>768</v>
      </c>
      <c r="F452" s="12">
        <v>45943</v>
      </c>
      <c r="G452" s="13" t="s">
        <v>39</v>
      </c>
      <c r="H452" s="10" t="s">
        <v>27</v>
      </c>
      <c r="I452" s="14" t="s">
        <v>28</v>
      </c>
      <c r="J452" s="14" t="s">
        <v>29</v>
      </c>
      <c r="K452" s="15"/>
      <c r="L452" s="15"/>
      <c r="M452" s="16" t="s">
        <v>354</v>
      </c>
      <c r="N452" s="8" t="s">
        <v>30</v>
      </c>
      <c r="O452" s="8" t="s">
        <v>40</v>
      </c>
      <c r="P452" s="17">
        <v>45968</v>
      </c>
      <c r="Q452" s="18">
        <v>45967</v>
      </c>
      <c r="R452" s="9">
        <v>24</v>
      </c>
      <c r="S452" s="8" t="s">
        <v>32</v>
      </c>
      <c r="T452" s="8" t="s">
        <v>669</v>
      </c>
      <c r="U452" s="8" t="s">
        <v>279</v>
      </c>
      <c r="V452" s="8" t="s">
        <v>320</v>
      </c>
      <c r="W452" s="19" t="s">
        <v>1222</v>
      </c>
    </row>
    <row r="453" spans="1:23" x14ac:dyDescent="0.25">
      <c r="A453" s="8" t="s">
        <v>463</v>
      </c>
      <c r="B453" s="8" t="str">
        <f t="shared" si="7"/>
        <v>SGH8C3945967</v>
      </c>
      <c r="C453" s="9" t="s">
        <v>96</v>
      </c>
      <c r="D453" s="10" t="s">
        <v>383</v>
      </c>
      <c r="E453" s="11" t="s">
        <v>768</v>
      </c>
      <c r="F453" s="12">
        <v>45948</v>
      </c>
      <c r="G453" s="13" t="s">
        <v>39</v>
      </c>
      <c r="H453" s="10" t="s">
        <v>27</v>
      </c>
      <c r="I453" s="14" t="s">
        <v>28</v>
      </c>
      <c r="J453" s="14" t="s">
        <v>29</v>
      </c>
      <c r="K453" s="15"/>
      <c r="L453" s="15"/>
      <c r="M453" s="16" t="s">
        <v>329</v>
      </c>
      <c r="N453" s="8" t="s">
        <v>30</v>
      </c>
      <c r="O453" s="8" t="s">
        <v>40</v>
      </c>
      <c r="P453" s="17">
        <v>45968</v>
      </c>
      <c r="Q453" s="18">
        <v>45967</v>
      </c>
      <c r="R453" s="9">
        <v>19</v>
      </c>
      <c r="S453" s="8" t="s">
        <v>32</v>
      </c>
      <c r="T453" s="8" t="s">
        <v>669</v>
      </c>
      <c r="U453" s="8" t="s">
        <v>1100</v>
      </c>
      <c r="V453" s="8" t="s">
        <v>320</v>
      </c>
      <c r="W453" s="19" t="s">
        <v>1165</v>
      </c>
    </row>
    <row r="454" spans="1:23" x14ac:dyDescent="0.25">
      <c r="A454" s="8" t="s">
        <v>618</v>
      </c>
      <c r="B454" s="8" t="str">
        <f t="shared" si="7"/>
        <v>SFD5H7645967</v>
      </c>
      <c r="C454" s="9" t="s">
        <v>24</v>
      </c>
      <c r="D454" s="10">
        <v>87018</v>
      </c>
      <c r="E454" s="11" t="s">
        <v>1263</v>
      </c>
      <c r="F454" s="12">
        <v>45958</v>
      </c>
      <c r="G454" s="13" t="s">
        <v>123</v>
      </c>
      <c r="H454" s="10" t="s">
        <v>27</v>
      </c>
      <c r="I454" s="14" t="s">
        <v>28</v>
      </c>
      <c r="J454" s="14" t="s">
        <v>139</v>
      </c>
      <c r="K454" s="15"/>
      <c r="L454" s="15"/>
      <c r="M454" s="16" t="s">
        <v>326</v>
      </c>
      <c r="N454" s="8" t="s">
        <v>30</v>
      </c>
      <c r="O454" s="8" t="s">
        <v>31</v>
      </c>
      <c r="P454" s="17">
        <v>45968</v>
      </c>
      <c r="Q454" s="18">
        <v>45967</v>
      </c>
      <c r="R454" s="9">
        <v>9</v>
      </c>
      <c r="S454" s="8" t="s">
        <v>153</v>
      </c>
      <c r="T454" s="8" t="s">
        <v>1264</v>
      </c>
      <c r="U454" s="8" t="s">
        <v>177</v>
      </c>
      <c r="V454" s="8" t="s">
        <v>320</v>
      </c>
      <c r="W454" s="19" t="s">
        <v>1169</v>
      </c>
    </row>
    <row r="455" spans="1:23" x14ac:dyDescent="0.25">
      <c r="A455" s="8" t="s">
        <v>1265</v>
      </c>
      <c r="B455" s="8" t="str">
        <f t="shared" si="7"/>
        <v>SGL1H8745967</v>
      </c>
      <c r="C455" s="9" t="s">
        <v>96</v>
      </c>
      <c r="D455" s="10"/>
      <c r="E455" s="11" t="s">
        <v>236</v>
      </c>
      <c r="F455" s="12">
        <v>45964</v>
      </c>
      <c r="G455" s="13" t="s">
        <v>39</v>
      </c>
      <c r="H455" s="10" t="s">
        <v>27</v>
      </c>
      <c r="I455" s="14" t="s">
        <v>28</v>
      </c>
      <c r="J455" s="14" t="s">
        <v>139</v>
      </c>
      <c r="K455" s="15"/>
      <c r="L455" s="15"/>
      <c r="M455" s="16" t="s">
        <v>354</v>
      </c>
      <c r="N455" s="8" t="s">
        <v>30</v>
      </c>
      <c r="O455" s="8" t="s">
        <v>40</v>
      </c>
      <c r="P455" s="17" t="s">
        <v>86</v>
      </c>
      <c r="Q455" s="18">
        <v>45967</v>
      </c>
      <c r="R455" s="9">
        <v>3</v>
      </c>
      <c r="S455" s="8" t="s">
        <v>32</v>
      </c>
      <c r="T455" s="8" t="s">
        <v>669</v>
      </c>
      <c r="U455" s="8" t="s">
        <v>279</v>
      </c>
      <c r="V455" s="8" t="s">
        <v>320</v>
      </c>
      <c r="W455" s="19" t="s">
        <v>1222</v>
      </c>
    </row>
    <row r="456" spans="1:23" x14ac:dyDescent="0.25">
      <c r="A456" s="8" t="s">
        <v>1266</v>
      </c>
      <c r="B456" s="8" t="str">
        <f t="shared" si="7"/>
        <v>SGH0H5045967</v>
      </c>
      <c r="C456" s="9" t="s">
        <v>96</v>
      </c>
      <c r="D456" s="10"/>
      <c r="E456" s="11" t="s">
        <v>1267</v>
      </c>
      <c r="F456" s="12">
        <v>0</v>
      </c>
      <c r="G456" s="13" t="s">
        <v>39</v>
      </c>
      <c r="H456" s="10" t="s">
        <v>27</v>
      </c>
      <c r="I456" s="14" t="s">
        <v>28</v>
      </c>
      <c r="J456" s="14" t="s">
        <v>139</v>
      </c>
      <c r="K456" s="15"/>
      <c r="L456" s="15"/>
      <c r="M456" s="16" t="s">
        <v>354</v>
      </c>
      <c r="N456" s="8" t="s">
        <v>30</v>
      </c>
      <c r="O456" s="8" t="s">
        <v>40</v>
      </c>
      <c r="P456" s="17" t="s">
        <v>86</v>
      </c>
      <c r="Q456" s="18">
        <v>45967</v>
      </c>
      <c r="R456" s="9">
        <v>45967</v>
      </c>
      <c r="S456" s="8" t="s">
        <v>32</v>
      </c>
      <c r="T456" s="8" t="s">
        <v>669</v>
      </c>
      <c r="U456" s="8" t="s">
        <v>279</v>
      </c>
      <c r="V456" s="8" t="s">
        <v>320</v>
      </c>
      <c r="W456" s="19" t="s">
        <v>1222</v>
      </c>
    </row>
    <row r="457" spans="1:23" x14ac:dyDescent="0.25">
      <c r="A457" s="8" t="s">
        <v>1187</v>
      </c>
      <c r="B457" s="8" t="str">
        <f t="shared" si="7"/>
        <v>GIB4E8245967</v>
      </c>
      <c r="C457" s="9" t="s">
        <v>224</v>
      </c>
      <c r="D457" s="10">
        <v>120381</v>
      </c>
      <c r="E457" s="11" t="s">
        <v>1268</v>
      </c>
      <c r="F457" s="12">
        <v>45966</v>
      </c>
      <c r="G457" s="13" t="s">
        <v>226</v>
      </c>
      <c r="H457" s="10" t="s">
        <v>27</v>
      </c>
      <c r="I457" s="14" t="s">
        <v>28</v>
      </c>
      <c r="J457" s="14" t="s">
        <v>29</v>
      </c>
      <c r="K457" s="15"/>
      <c r="L457" s="15"/>
      <c r="M457" s="16" t="s">
        <v>315</v>
      </c>
      <c r="N457" s="8" t="s">
        <v>228</v>
      </c>
      <c r="O457" s="8" t="s">
        <v>40</v>
      </c>
      <c r="P457" s="17">
        <v>45967</v>
      </c>
      <c r="Q457" s="18">
        <v>45967</v>
      </c>
      <c r="R457" s="9">
        <v>1</v>
      </c>
      <c r="S457" s="8" t="s">
        <v>153</v>
      </c>
      <c r="T457" s="8" t="s">
        <v>1046</v>
      </c>
      <c r="U457" s="8" t="s">
        <v>271</v>
      </c>
      <c r="V457" s="8" t="s">
        <v>1186</v>
      </c>
      <c r="W457" s="19" t="s">
        <v>1189</v>
      </c>
    </row>
    <row r="458" spans="1:23" x14ac:dyDescent="0.25">
      <c r="A458" s="8" t="s">
        <v>1269</v>
      </c>
      <c r="B458" s="8" t="str">
        <f t="shared" si="7"/>
        <v>STU3D8845967</v>
      </c>
      <c r="C458" s="9" t="s">
        <v>44</v>
      </c>
      <c r="D458" s="10" t="s">
        <v>383</v>
      </c>
      <c r="E458" s="11" t="s">
        <v>1270</v>
      </c>
      <c r="F458" s="12">
        <v>45967</v>
      </c>
      <c r="G458" s="13" t="s">
        <v>226</v>
      </c>
      <c r="H458" s="10" t="s">
        <v>27</v>
      </c>
      <c r="I458" s="14" t="s">
        <v>28</v>
      </c>
      <c r="J458" s="14" t="s">
        <v>139</v>
      </c>
      <c r="K458" s="15"/>
      <c r="L458" s="15"/>
      <c r="M458" s="16" t="s">
        <v>1271</v>
      </c>
      <c r="N458" s="8" t="s">
        <v>287</v>
      </c>
      <c r="O458" s="8" t="s">
        <v>27</v>
      </c>
      <c r="P458" s="17" t="s">
        <v>86</v>
      </c>
      <c r="Q458" s="18">
        <v>45967</v>
      </c>
      <c r="R458" s="9">
        <v>0</v>
      </c>
      <c r="S458" s="8" t="s">
        <v>153</v>
      </c>
      <c r="T458" s="8" t="s">
        <v>98</v>
      </c>
      <c r="U458" s="8" t="s">
        <v>762</v>
      </c>
      <c r="V458" s="8" t="s">
        <v>1186</v>
      </c>
      <c r="W458" s="19" t="s">
        <v>1272</v>
      </c>
    </row>
    <row r="459" spans="1:23" x14ac:dyDescent="0.25">
      <c r="A459" s="8" t="s">
        <v>111</v>
      </c>
      <c r="B459" s="8" t="str">
        <f t="shared" si="7"/>
        <v>JCI8F7545967</v>
      </c>
      <c r="C459" s="9" t="s">
        <v>24</v>
      </c>
      <c r="D459" s="10" t="s">
        <v>383</v>
      </c>
      <c r="E459" s="11" t="s">
        <v>1273</v>
      </c>
      <c r="F459" s="12">
        <v>45967</v>
      </c>
      <c r="G459" s="13" t="s">
        <v>123</v>
      </c>
      <c r="H459" s="10" t="s">
        <v>27</v>
      </c>
      <c r="I459" s="14" t="s">
        <v>28</v>
      </c>
      <c r="J459" s="14" t="s">
        <v>29</v>
      </c>
      <c r="K459" s="15"/>
      <c r="L459" s="15"/>
      <c r="M459" s="16" t="s">
        <v>237</v>
      </c>
      <c r="N459" s="8" t="s">
        <v>30</v>
      </c>
      <c r="O459" s="8" t="s">
        <v>40</v>
      </c>
      <c r="P459" s="17">
        <v>45967</v>
      </c>
      <c r="Q459" s="18">
        <v>45967</v>
      </c>
      <c r="R459" s="9">
        <v>0</v>
      </c>
      <c r="S459" s="8" t="s">
        <v>153</v>
      </c>
      <c r="T459" s="8" t="s">
        <v>41</v>
      </c>
      <c r="U459" s="8" t="s">
        <v>42</v>
      </c>
      <c r="V459" s="8" t="s">
        <v>1186</v>
      </c>
      <c r="W459" s="19" t="s">
        <v>1205</v>
      </c>
    </row>
    <row r="460" spans="1:23" x14ac:dyDescent="0.25">
      <c r="A460" s="8" t="s">
        <v>1274</v>
      </c>
      <c r="B460" s="8" t="str">
        <f t="shared" si="7"/>
        <v>SGH8C2245967</v>
      </c>
      <c r="C460" s="9" t="s">
        <v>96</v>
      </c>
      <c r="D460" s="10">
        <v>92437</v>
      </c>
      <c r="E460" s="11" t="s">
        <v>768</v>
      </c>
      <c r="F460" s="12">
        <v>45943</v>
      </c>
      <c r="G460" s="13" t="s">
        <v>39</v>
      </c>
      <c r="H460" s="10" t="s">
        <v>27</v>
      </c>
      <c r="I460" s="14" t="s">
        <v>28</v>
      </c>
      <c r="J460" s="14" t="s">
        <v>29</v>
      </c>
      <c r="K460" s="15"/>
      <c r="L460" s="15"/>
      <c r="M460" s="16" t="s">
        <v>329</v>
      </c>
      <c r="N460" s="8" t="s">
        <v>30</v>
      </c>
      <c r="O460" s="8" t="s">
        <v>40</v>
      </c>
      <c r="P460" s="17" t="s">
        <v>86</v>
      </c>
      <c r="Q460" s="18">
        <v>45967</v>
      </c>
      <c r="R460" s="9">
        <v>24</v>
      </c>
      <c r="S460" s="8" t="s">
        <v>32</v>
      </c>
      <c r="T460" s="8" t="s">
        <v>900</v>
      </c>
      <c r="U460" s="8" t="s">
        <v>465</v>
      </c>
      <c r="V460" s="8" t="s">
        <v>320</v>
      </c>
      <c r="W460" s="19" t="s">
        <v>1165</v>
      </c>
    </row>
    <row r="461" spans="1:23" x14ac:dyDescent="0.25">
      <c r="A461" s="8" t="s">
        <v>1275</v>
      </c>
      <c r="B461" s="8" t="str">
        <f t="shared" si="7"/>
        <v>SGH8H4745967</v>
      </c>
      <c r="C461" s="9" t="s">
        <v>96</v>
      </c>
      <c r="D461" s="10"/>
      <c r="E461" s="11" t="s">
        <v>1276</v>
      </c>
      <c r="F461" s="12">
        <v>45964</v>
      </c>
      <c r="G461" s="13" t="s">
        <v>39</v>
      </c>
      <c r="H461" s="10" t="s">
        <v>27</v>
      </c>
      <c r="I461" s="14" t="s">
        <v>28</v>
      </c>
      <c r="J461" s="14" t="s">
        <v>139</v>
      </c>
      <c r="K461" s="15"/>
      <c r="L461" s="15"/>
      <c r="M461" s="16" t="s">
        <v>354</v>
      </c>
      <c r="N461" s="8" t="s">
        <v>30</v>
      </c>
      <c r="O461" s="8" t="s">
        <v>40</v>
      </c>
      <c r="P461" s="17" t="s">
        <v>86</v>
      </c>
      <c r="Q461" s="18">
        <v>45967</v>
      </c>
      <c r="R461" s="9">
        <v>3</v>
      </c>
      <c r="S461" s="8" t="s">
        <v>32</v>
      </c>
      <c r="T461" s="8" t="s">
        <v>669</v>
      </c>
      <c r="U461" s="8" t="s">
        <v>279</v>
      </c>
      <c r="V461" s="8" t="s">
        <v>833</v>
      </c>
      <c r="W461" s="19" t="s">
        <v>1222</v>
      </c>
    </row>
    <row r="462" spans="1:23" x14ac:dyDescent="0.25">
      <c r="A462" s="8" t="s">
        <v>378</v>
      </c>
      <c r="B462" s="8" t="str">
        <f t="shared" si="7"/>
        <v>RNE0J0845967</v>
      </c>
      <c r="C462" s="9" t="s">
        <v>44</v>
      </c>
      <c r="D462" s="10">
        <v>217594</v>
      </c>
      <c r="E462" s="11" t="s">
        <v>1277</v>
      </c>
      <c r="F462" s="12">
        <v>45966</v>
      </c>
      <c r="G462" s="13" t="s">
        <v>123</v>
      </c>
      <c r="H462" s="10" t="s">
        <v>27</v>
      </c>
      <c r="I462" s="14" t="s">
        <v>28</v>
      </c>
      <c r="J462" s="14" t="s">
        <v>139</v>
      </c>
      <c r="K462" s="15"/>
      <c r="L462" s="15"/>
      <c r="M462" s="16" t="s">
        <v>237</v>
      </c>
      <c r="N462" s="8" t="s">
        <v>30</v>
      </c>
      <c r="O462" s="8" t="s">
        <v>40</v>
      </c>
      <c r="P462" s="17">
        <v>45967</v>
      </c>
      <c r="Q462" s="18">
        <v>45967</v>
      </c>
      <c r="R462" s="9">
        <v>1</v>
      </c>
      <c r="S462" s="8" t="s">
        <v>153</v>
      </c>
      <c r="T462" s="8" t="s">
        <v>41</v>
      </c>
      <c r="U462" s="8" t="s">
        <v>42</v>
      </c>
      <c r="V462" s="8" t="s">
        <v>1186</v>
      </c>
      <c r="W462" s="19" t="s">
        <v>1205</v>
      </c>
    </row>
    <row r="463" spans="1:23" x14ac:dyDescent="0.25">
      <c r="A463" s="8" t="s">
        <v>1278</v>
      </c>
      <c r="B463" s="8" t="str">
        <f t="shared" si="7"/>
        <v>SGI8J9245967</v>
      </c>
      <c r="C463" s="9" t="s">
        <v>96</v>
      </c>
      <c r="D463" s="10">
        <v>57924</v>
      </c>
      <c r="E463" s="11" t="s">
        <v>236</v>
      </c>
      <c r="F463" s="12">
        <v>45945</v>
      </c>
      <c r="G463" s="13" t="s">
        <v>39</v>
      </c>
      <c r="H463" s="10" t="s">
        <v>27</v>
      </c>
      <c r="I463" s="14" t="s">
        <v>28</v>
      </c>
      <c r="J463" s="14" t="s">
        <v>29</v>
      </c>
      <c r="K463" s="15"/>
      <c r="L463" s="15"/>
      <c r="M463" s="16" t="s">
        <v>140</v>
      </c>
      <c r="N463" s="8" t="s">
        <v>30</v>
      </c>
      <c r="O463" s="8" t="s">
        <v>40</v>
      </c>
      <c r="P463" s="17">
        <v>45967</v>
      </c>
      <c r="Q463" s="18">
        <v>45967</v>
      </c>
      <c r="R463" s="9">
        <v>22</v>
      </c>
      <c r="S463" s="8" t="s">
        <v>32</v>
      </c>
      <c r="T463" s="8" t="s">
        <v>1279</v>
      </c>
      <c r="U463" s="8" t="s">
        <v>500</v>
      </c>
      <c r="V463" s="8" t="s">
        <v>320</v>
      </c>
      <c r="W463" s="19" t="s">
        <v>1238</v>
      </c>
    </row>
    <row r="464" spans="1:23" x14ac:dyDescent="0.25">
      <c r="A464" s="8" t="s">
        <v>501</v>
      </c>
      <c r="B464" s="8" t="str">
        <f t="shared" si="7"/>
        <v>SGL4C7445967</v>
      </c>
      <c r="C464" s="9" t="s">
        <v>96</v>
      </c>
      <c r="D464" s="10" t="s">
        <v>383</v>
      </c>
      <c r="E464" s="11" t="s">
        <v>1280</v>
      </c>
      <c r="F464" s="12">
        <v>45960</v>
      </c>
      <c r="G464" s="13" t="s">
        <v>39</v>
      </c>
      <c r="H464" s="10" t="s">
        <v>27</v>
      </c>
      <c r="I464" s="14" t="s">
        <v>28</v>
      </c>
      <c r="J464" s="14" t="s">
        <v>139</v>
      </c>
      <c r="K464" s="15"/>
      <c r="L464" s="15"/>
      <c r="M464" s="16" t="s">
        <v>485</v>
      </c>
      <c r="N464" s="8" t="s">
        <v>30</v>
      </c>
      <c r="O464" s="8" t="s">
        <v>40</v>
      </c>
      <c r="P464" s="17" t="s">
        <v>86</v>
      </c>
      <c r="Q464" s="18">
        <v>45967</v>
      </c>
      <c r="R464" s="9">
        <v>7</v>
      </c>
      <c r="S464" s="8" t="s">
        <v>32</v>
      </c>
      <c r="T464" s="8" t="s">
        <v>1048</v>
      </c>
      <c r="U464" s="8" t="s">
        <v>1100</v>
      </c>
      <c r="V464" s="8" t="s">
        <v>320</v>
      </c>
      <c r="W464" s="19" t="s">
        <v>1281</v>
      </c>
    </row>
    <row r="465" spans="1:23" x14ac:dyDescent="0.25">
      <c r="A465" s="8" t="s">
        <v>1282</v>
      </c>
      <c r="B465" s="8" t="str">
        <f t="shared" si="7"/>
        <v>SWV3D7745967</v>
      </c>
      <c r="C465" s="9" t="s">
        <v>96</v>
      </c>
      <c r="D465" s="10" t="s">
        <v>383</v>
      </c>
      <c r="E465" s="11" t="s">
        <v>236</v>
      </c>
      <c r="F465" s="12">
        <v>45957</v>
      </c>
      <c r="G465" s="13" t="s">
        <v>39</v>
      </c>
      <c r="H465" s="10" t="s">
        <v>27</v>
      </c>
      <c r="I465" s="14" t="s">
        <v>28</v>
      </c>
      <c r="J465" s="14" t="s">
        <v>139</v>
      </c>
      <c r="K465" s="15"/>
      <c r="L465" s="15"/>
      <c r="M465" s="16" t="s">
        <v>374</v>
      </c>
      <c r="N465" s="8" t="s">
        <v>30</v>
      </c>
      <c r="O465" s="8" t="s">
        <v>40</v>
      </c>
      <c r="P465" s="17" t="s">
        <v>1283</v>
      </c>
      <c r="Q465" s="18">
        <v>45967</v>
      </c>
      <c r="R465" s="9">
        <v>10</v>
      </c>
      <c r="S465" s="8" t="s">
        <v>32</v>
      </c>
      <c r="T465" s="8" t="s">
        <v>392</v>
      </c>
      <c r="U465" s="8" t="s">
        <v>393</v>
      </c>
      <c r="V465" s="8" t="s">
        <v>320</v>
      </c>
      <c r="W465" s="19" t="s">
        <v>1251</v>
      </c>
    </row>
    <row r="466" spans="1:23" x14ac:dyDescent="0.25">
      <c r="A466" s="8" t="s">
        <v>708</v>
      </c>
      <c r="B466" s="8" t="str">
        <f t="shared" si="7"/>
        <v>SGL4D1845967</v>
      </c>
      <c r="C466" s="9" t="s">
        <v>96</v>
      </c>
      <c r="D466" s="10">
        <v>24302</v>
      </c>
      <c r="E466" s="11" t="s">
        <v>1047</v>
      </c>
      <c r="F466" s="12">
        <v>45965</v>
      </c>
      <c r="G466" s="13" t="s">
        <v>39</v>
      </c>
      <c r="H466" s="10" t="s">
        <v>27</v>
      </c>
      <c r="I466" s="14" t="s">
        <v>28</v>
      </c>
      <c r="J466" s="14" t="s">
        <v>139</v>
      </c>
      <c r="K466" s="15"/>
      <c r="L466" s="15"/>
      <c r="M466" s="16" t="s">
        <v>227</v>
      </c>
      <c r="N466" s="8" t="s">
        <v>228</v>
      </c>
      <c r="O466" s="8" t="s">
        <v>40</v>
      </c>
      <c r="P466" s="17" t="s">
        <v>86</v>
      </c>
      <c r="Q466" s="18">
        <v>45967</v>
      </c>
      <c r="R466" s="9">
        <v>2</v>
      </c>
      <c r="S466" s="8" t="s">
        <v>153</v>
      </c>
      <c r="T466" s="8" t="s">
        <v>98</v>
      </c>
      <c r="U466" s="8" t="s">
        <v>271</v>
      </c>
      <c r="V466" s="8" t="s">
        <v>1186</v>
      </c>
      <c r="W466" s="19" t="s">
        <v>1179</v>
      </c>
    </row>
    <row r="467" spans="1:23" x14ac:dyDescent="0.25">
      <c r="A467" s="8" t="s">
        <v>1284</v>
      </c>
      <c r="B467" s="8" t="str">
        <f t="shared" si="7"/>
        <v>GKH4D6145967</v>
      </c>
      <c r="C467" s="9" t="s">
        <v>224</v>
      </c>
      <c r="D467" s="10" t="s">
        <v>1285</v>
      </c>
      <c r="E467" s="11" t="s">
        <v>595</v>
      </c>
      <c r="F467" s="12">
        <v>45953</v>
      </c>
      <c r="G467" s="13" t="s">
        <v>226</v>
      </c>
      <c r="H467" s="10" t="s">
        <v>27</v>
      </c>
      <c r="I467" s="14" t="s">
        <v>28</v>
      </c>
      <c r="J467" s="14" t="s">
        <v>139</v>
      </c>
      <c r="K467" s="15"/>
      <c r="L467" s="15"/>
      <c r="M467" s="16" t="s">
        <v>315</v>
      </c>
      <c r="N467" s="8" t="s">
        <v>228</v>
      </c>
      <c r="O467" s="8" t="s">
        <v>40</v>
      </c>
      <c r="P467" s="17" t="s">
        <v>567</v>
      </c>
      <c r="Q467" s="18">
        <v>45967</v>
      </c>
      <c r="R467" s="9">
        <v>14</v>
      </c>
      <c r="S467" s="8" t="s">
        <v>32</v>
      </c>
      <c r="T467" s="8" t="s">
        <v>98</v>
      </c>
      <c r="U467" s="8" t="s">
        <v>254</v>
      </c>
      <c r="V467" s="8" t="s">
        <v>320</v>
      </c>
      <c r="W467" s="19" t="s">
        <v>1189</v>
      </c>
    </row>
    <row r="468" spans="1:23" x14ac:dyDescent="0.25">
      <c r="A468" s="8" t="s">
        <v>1286</v>
      </c>
      <c r="B468" s="8" t="str">
        <f t="shared" si="7"/>
        <v>TOE2C53 45967</v>
      </c>
      <c r="C468" s="9" t="s">
        <v>96</v>
      </c>
      <c r="D468" s="10"/>
      <c r="E468" s="11" t="s">
        <v>1287</v>
      </c>
      <c r="F468" s="12">
        <v>45967</v>
      </c>
      <c r="G468" s="13" t="s">
        <v>39</v>
      </c>
      <c r="H468" s="10" t="s">
        <v>27</v>
      </c>
      <c r="I468" s="14" t="s">
        <v>28</v>
      </c>
      <c r="J468" s="14" t="s">
        <v>29</v>
      </c>
      <c r="K468" s="15"/>
      <c r="L468" s="15"/>
      <c r="M468" s="16" t="s">
        <v>485</v>
      </c>
      <c r="N468" s="8" t="s">
        <v>30</v>
      </c>
      <c r="O468" s="8" t="s">
        <v>40</v>
      </c>
      <c r="P468" s="17" t="s">
        <v>86</v>
      </c>
      <c r="Q468" s="18">
        <v>45967</v>
      </c>
      <c r="R468" s="9">
        <v>7</v>
      </c>
      <c r="S468" s="8" t="s">
        <v>32</v>
      </c>
      <c r="T468" s="8" t="s">
        <v>98</v>
      </c>
      <c r="U468" s="8" t="s">
        <v>254</v>
      </c>
      <c r="V468" s="8" t="s">
        <v>320</v>
      </c>
      <c r="W468" s="19"/>
    </row>
    <row r="469" spans="1:23" x14ac:dyDescent="0.25">
      <c r="A469" s="8" t="s">
        <v>1288</v>
      </c>
      <c r="B469" s="8" t="str">
        <f t="shared" si="7"/>
        <v>RNF6H4745967</v>
      </c>
      <c r="C469" s="9" t="s">
        <v>72</v>
      </c>
      <c r="D469" s="10"/>
      <c r="E469" s="11" t="s">
        <v>1289</v>
      </c>
      <c r="F469" s="12">
        <v>45967</v>
      </c>
      <c r="G469" s="13" t="s">
        <v>138</v>
      </c>
      <c r="H469" s="10" t="s">
        <v>27</v>
      </c>
      <c r="I469" s="14" t="s">
        <v>28</v>
      </c>
      <c r="J469" s="14" t="s">
        <v>139</v>
      </c>
      <c r="K469" s="15"/>
      <c r="L469" s="15"/>
      <c r="M469" s="16" t="s">
        <v>343</v>
      </c>
      <c r="N469" s="8" t="s">
        <v>30</v>
      </c>
      <c r="O469" s="8" t="s">
        <v>27</v>
      </c>
      <c r="P469" s="17" t="s">
        <v>86</v>
      </c>
      <c r="Q469" s="18">
        <v>45967</v>
      </c>
      <c r="R469" s="9">
        <v>0</v>
      </c>
      <c r="S469" s="8" t="s">
        <v>153</v>
      </c>
      <c r="T469" s="8" t="s">
        <v>98</v>
      </c>
      <c r="U469" s="8" t="s">
        <v>59</v>
      </c>
      <c r="V469" s="8" t="s">
        <v>1186</v>
      </c>
      <c r="W469" s="19" t="s">
        <v>1164</v>
      </c>
    </row>
    <row r="470" spans="1:23" x14ac:dyDescent="0.25">
      <c r="A470" s="8" t="s">
        <v>470</v>
      </c>
      <c r="B470" s="8" t="str">
        <f t="shared" si="7"/>
        <v>RUL7F4645967</v>
      </c>
      <c r="C470" s="9" t="s">
        <v>37</v>
      </c>
      <c r="D470" s="10">
        <v>125000</v>
      </c>
      <c r="E470" s="11" t="s">
        <v>471</v>
      </c>
      <c r="F470" s="12">
        <v>45752</v>
      </c>
      <c r="G470" s="13" t="s">
        <v>760</v>
      </c>
      <c r="H470" s="10" t="s">
        <v>52</v>
      </c>
      <c r="I470" s="14" t="s">
        <v>28</v>
      </c>
      <c r="J470" s="14" t="s">
        <v>29</v>
      </c>
      <c r="K470" s="15">
        <v>5256</v>
      </c>
      <c r="L470" s="15">
        <v>5256</v>
      </c>
      <c r="M470" s="16" t="s">
        <v>233</v>
      </c>
      <c r="N470" s="8" t="s">
        <v>30</v>
      </c>
      <c r="O470" s="8" t="s">
        <v>52</v>
      </c>
      <c r="P470" s="17">
        <v>45967</v>
      </c>
      <c r="Q470" s="18">
        <v>45967</v>
      </c>
      <c r="R470" s="9">
        <v>215</v>
      </c>
      <c r="S470" s="8" t="s">
        <v>32</v>
      </c>
      <c r="T470" s="8" t="s">
        <v>472</v>
      </c>
      <c r="U470" s="8" t="s">
        <v>234</v>
      </c>
      <c r="V470" s="8" t="s">
        <v>473</v>
      </c>
      <c r="W470" s="19" t="s">
        <v>1290</v>
      </c>
    </row>
    <row r="471" spans="1:23" x14ac:dyDescent="0.25">
      <c r="A471" s="8" t="s">
        <v>1291</v>
      </c>
      <c r="B471" s="8" t="str">
        <f t="shared" si="7"/>
        <v>SGL2B4245968</v>
      </c>
      <c r="C471" s="9" t="s">
        <v>96</v>
      </c>
      <c r="D471" s="10"/>
      <c r="E471" s="11" t="s">
        <v>236</v>
      </c>
      <c r="F471" s="12">
        <v>45968</v>
      </c>
      <c r="G471" s="13" t="s">
        <v>39</v>
      </c>
      <c r="H471" s="10" t="s">
        <v>27</v>
      </c>
      <c r="I471" s="14" t="s">
        <v>176</v>
      </c>
      <c r="J471" s="14" t="s">
        <v>29</v>
      </c>
      <c r="K471" s="15"/>
      <c r="L471" s="15"/>
      <c r="M471" s="16" t="s">
        <v>227</v>
      </c>
      <c r="N471" s="8" t="s">
        <v>228</v>
      </c>
      <c r="O471" s="8" t="s">
        <v>27</v>
      </c>
      <c r="P471" s="17">
        <v>45968</v>
      </c>
      <c r="Q471" s="18">
        <v>45968</v>
      </c>
      <c r="R471" s="9"/>
      <c r="S471" s="8"/>
      <c r="T471" s="8" t="s">
        <v>98</v>
      </c>
      <c r="U471" s="8" t="s">
        <v>271</v>
      </c>
      <c r="V471" s="8" t="s">
        <v>1186</v>
      </c>
      <c r="W471" s="19" t="s">
        <v>1179</v>
      </c>
    </row>
    <row r="472" spans="1:23" x14ac:dyDescent="0.25">
      <c r="A472" s="8" t="s">
        <v>1292</v>
      </c>
      <c r="B472" s="8" t="str">
        <f t="shared" si="7"/>
        <v>RTM6B4545968</v>
      </c>
      <c r="C472" s="9" t="s">
        <v>72</v>
      </c>
      <c r="D472" s="10"/>
      <c r="E472" s="11" t="s">
        <v>1293</v>
      </c>
      <c r="F472" s="12">
        <v>45940</v>
      </c>
      <c r="G472" s="13" t="s">
        <v>872</v>
      </c>
      <c r="H472" s="10" t="s">
        <v>27</v>
      </c>
      <c r="I472" s="14" t="s">
        <v>28</v>
      </c>
      <c r="J472" s="14" t="s">
        <v>139</v>
      </c>
      <c r="K472" s="15"/>
      <c r="L472" s="15"/>
      <c r="M472" s="16" t="s">
        <v>354</v>
      </c>
      <c r="N472" s="8" t="s">
        <v>30</v>
      </c>
      <c r="O472" s="8" t="s">
        <v>40</v>
      </c>
      <c r="P472" s="17" t="s">
        <v>86</v>
      </c>
      <c r="Q472" s="18">
        <v>45968</v>
      </c>
      <c r="R472" s="9">
        <v>28</v>
      </c>
      <c r="S472" s="8" t="s">
        <v>32</v>
      </c>
      <c r="T472" s="8" t="s">
        <v>66</v>
      </c>
      <c r="U472" s="8" t="s">
        <v>279</v>
      </c>
      <c r="V472" s="8" t="s">
        <v>320</v>
      </c>
      <c r="W472" s="19" t="s">
        <v>1222</v>
      </c>
    </row>
    <row r="473" spans="1:23" x14ac:dyDescent="0.25">
      <c r="A473" s="8" t="s">
        <v>1294</v>
      </c>
      <c r="B473" s="8" t="str">
        <f t="shared" si="7"/>
        <v>SGH8A7545968</v>
      </c>
      <c r="C473" s="9" t="s">
        <v>69</v>
      </c>
      <c r="D473" s="10">
        <v>60619</v>
      </c>
      <c r="E473" s="11" t="s">
        <v>1295</v>
      </c>
      <c r="F473" s="12">
        <v>45968</v>
      </c>
      <c r="G473" s="13" t="s">
        <v>1256</v>
      </c>
      <c r="H473" s="10" t="s">
        <v>27</v>
      </c>
      <c r="I473" s="14" t="s">
        <v>28</v>
      </c>
      <c r="J473" s="14" t="s">
        <v>29</v>
      </c>
      <c r="K473" s="15"/>
      <c r="L473" s="15"/>
      <c r="M473" s="16" t="s">
        <v>214</v>
      </c>
      <c r="N473" s="8" t="s">
        <v>30</v>
      </c>
      <c r="O473" s="8" t="s">
        <v>40</v>
      </c>
      <c r="P473" s="17">
        <v>45968</v>
      </c>
      <c r="Q473" s="18">
        <v>45968</v>
      </c>
      <c r="R473" s="9">
        <v>0</v>
      </c>
      <c r="S473" s="8" t="s">
        <v>32</v>
      </c>
      <c r="T473" s="8" t="s">
        <v>98</v>
      </c>
      <c r="U473" s="8" t="s">
        <v>215</v>
      </c>
      <c r="V473" s="8" t="s">
        <v>1186</v>
      </c>
      <c r="W473" s="19" t="s">
        <v>1242</v>
      </c>
    </row>
    <row r="474" spans="1:23" x14ac:dyDescent="0.25">
      <c r="A474" s="8" t="s">
        <v>1296</v>
      </c>
      <c r="B474" s="8" t="str">
        <f t="shared" si="7"/>
        <v>SVR7G0245968</v>
      </c>
      <c r="C474" s="9" t="s">
        <v>44</v>
      </c>
      <c r="D474" s="10"/>
      <c r="E474" s="11" t="s">
        <v>1297</v>
      </c>
      <c r="F474" s="12">
        <v>45964</v>
      </c>
      <c r="G474" s="13" t="s">
        <v>138</v>
      </c>
      <c r="H474" s="10" t="s">
        <v>27</v>
      </c>
      <c r="I474" s="14" t="s">
        <v>28</v>
      </c>
      <c r="J474" s="14" t="s">
        <v>29</v>
      </c>
      <c r="K474" s="15">
        <v>2659</v>
      </c>
      <c r="L474" s="15">
        <v>2570</v>
      </c>
      <c r="M474" s="16" t="s">
        <v>528</v>
      </c>
      <c r="N474" s="8" t="s">
        <v>30</v>
      </c>
      <c r="O474" s="8" t="s">
        <v>40</v>
      </c>
      <c r="P474" s="17" t="s">
        <v>86</v>
      </c>
      <c r="Q474" s="18">
        <v>45968</v>
      </c>
      <c r="R474" s="9">
        <v>4</v>
      </c>
      <c r="S474" s="8" t="s">
        <v>32</v>
      </c>
      <c r="T474" s="8" t="s">
        <v>529</v>
      </c>
      <c r="U474" s="8" t="s">
        <v>1298</v>
      </c>
      <c r="V474" s="8" t="s">
        <v>320</v>
      </c>
      <c r="W474" s="19" t="s">
        <v>1299</v>
      </c>
    </row>
    <row r="475" spans="1:23" x14ac:dyDescent="0.25">
      <c r="A475" s="8" t="s">
        <v>1243</v>
      </c>
      <c r="B475" s="8" t="str">
        <f t="shared" si="7"/>
        <v>GGQ9J3445968</v>
      </c>
      <c r="C475" s="9" t="s">
        <v>224</v>
      </c>
      <c r="D475" s="10">
        <v>128890</v>
      </c>
      <c r="E475" s="11" t="s">
        <v>1300</v>
      </c>
      <c r="F475" s="12">
        <v>45967</v>
      </c>
      <c r="G475" s="13" t="s">
        <v>226</v>
      </c>
      <c r="H475" s="10" t="s">
        <v>27</v>
      </c>
      <c r="I475" s="14" t="s">
        <v>28</v>
      </c>
      <c r="J475" s="14" t="s">
        <v>139</v>
      </c>
      <c r="K475" s="15"/>
      <c r="L475" s="15"/>
      <c r="M475" s="16" t="s">
        <v>227</v>
      </c>
      <c r="N475" s="8" t="s">
        <v>228</v>
      </c>
      <c r="O475" s="8" t="s">
        <v>27</v>
      </c>
      <c r="P475" s="17" t="s">
        <v>86</v>
      </c>
      <c r="Q475" s="18">
        <v>45968</v>
      </c>
      <c r="R475" s="9">
        <v>1</v>
      </c>
      <c r="S475" s="8" t="s">
        <v>153</v>
      </c>
      <c r="T475" s="8" t="s">
        <v>98</v>
      </c>
      <c r="U475" s="8" t="s">
        <v>271</v>
      </c>
      <c r="V475" s="8" t="s">
        <v>1186</v>
      </c>
      <c r="W475" s="19" t="s">
        <v>1179</v>
      </c>
    </row>
    <row r="476" spans="1:23" x14ac:dyDescent="0.25">
      <c r="A476" s="8" t="s">
        <v>916</v>
      </c>
      <c r="B476" s="8" t="str">
        <f t="shared" si="7"/>
        <v>RNE4J0245968</v>
      </c>
      <c r="C476" s="9" t="s">
        <v>44</v>
      </c>
      <c r="D476" s="10"/>
      <c r="E476" s="11" t="s">
        <v>1301</v>
      </c>
      <c r="F476" s="12">
        <v>45967</v>
      </c>
      <c r="G476" s="13" t="s">
        <v>138</v>
      </c>
      <c r="H476" s="10" t="s">
        <v>27</v>
      </c>
      <c r="I476" s="14" t="s">
        <v>28</v>
      </c>
      <c r="J476" s="14" t="s">
        <v>139</v>
      </c>
      <c r="K476" s="15"/>
      <c r="L476" s="15"/>
      <c r="M476" s="16" t="s">
        <v>343</v>
      </c>
      <c r="N476" s="8" t="s">
        <v>30</v>
      </c>
      <c r="O476" s="8" t="s">
        <v>27</v>
      </c>
      <c r="P476" s="17" t="s">
        <v>86</v>
      </c>
      <c r="Q476" s="18">
        <v>45968</v>
      </c>
      <c r="R476" s="9">
        <v>1</v>
      </c>
      <c r="S476" s="8" t="s">
        <v>153</v>
      </c>
      <c r="T476" s="8" t="s">
        <v>98</v>
      </c>
      <c r="U476" s="8" t="s">
        <v>59</v>
      </c>
      <c r="V476" s="8" t="s">
        <v>1186</v>
      </c>
      <c r="W476" s="19" t="s">
        <v>1164</v>
      </c>
    </row>
    <row r="477" spans="1:23" x14ac:dyDescent="0.25">
      <c r="A477" s="8" t="s">
        <v>1217</v>
      </c>
      <c r="B477" s="8" t="str">
        <f t="shared" si="7"/>
        <v>TOE2C5745968</v>
      </c>
      <c r="C477" s="9" t="s">
        <v>157</v>
      </c>
      <c r="D477" s="10" t="s">
        <v>383</v>
      </c>
      <c r="E477" s="11" t="s">
        <v>1302</v>
      </c>
      <c r="F477" s="12">
        <v>45964</v>
      </c>
      <c r="G477" s="13" t="s">
        <v>39</v>
      </c>
      <c r="H477" s="10" t="s">
        <v>27</v>
      </c>
      <c r="I477" s="14" t="s">
        <v>28</v>
      </c>
      <c r="J477" s="14" t="s">
        <v>29</v>
      </c>
      <c r="K477" s="15"/>
      <c r="L477" s="15"/>
      <c r="M477" s="16" t="e">
        <v>#N/A</v>
      </c>
      <c r="N477" s="8" t="s">
        <v>30</v>
      </c>
      <c r="O477" s="8" t="s">
        <v>40</v>
      </c>
      <c r="P477" s="17">
        <v>45968</v>
      </c>
      <c r="Q477" s="18">
        <v>45968</v>
      </c>
      <c r="R477" s="9">
        <v>4</v>
      </c>
      <c r="S477" s="8" t="s">
        <v>32</v>
      </c>
      <c r="T477" s="8" t="s">
        <v>98</v>
      </c>
      <c r="U477" s="8"/>
      <c r="V477" s="8" t="s">
        <v>1303</v>
      </c>
      <c r="W477" s="19" t="s">
        <v>1220</v>
      </c>
    </row>
    <row r="478" spans="1:23" x14ac:dyDescent="0.25">
      <c r="A478" s="8" t="s">
        <v>1304</v>
      </c>
      <c r="B478" s="8" t="str">
        <f t="shared" si="7"/>
        <v>GFS7F1145968</v>
      </c>
      <c r="C478" s="9" t="s">
        <v>224</v>
      </c>
      <c r="D478" s="10">
        <v>1033</v>
      </c>
      <c r="E478" s="11" t="s">
        <v>1305</v>
      </c>
      <c r="F478" s="12">
        <v>45968</v>
      </c>
      <c r="G478" s="13" t="s">
        <v>226</v>
      </c>
      <c r="H478" s="10" t="s">
        <v>27</v>
      </c>
      <c r="I478" s="14" t="s">
        <v>28</v>
      </c>
      <c r="J478" s="14" t="s">
        <v>29</v>
      </c>
      <c r="K478" s="15"/>
      <c r="L478" s="15"/>
      <c r="M478" s="16" t="s">
        <v>752</v>
      </c>
      <c r="N478" s="8" t="s">
        <v>287</v>
      </c>
      <c r="O478" s="8" t="s">
        <v>40</v>
      </c>
      <c r="P478" s="17">
        <v>45968</v>
      </c>
      <c r="Q478" s="18">
        <v>45968</v>
      </c>
      <c r="R478" s="9">
        <v>0</v>
      </c>
      <c r="S478" s="8" t="s">
        <v>153</v>
      </c>
      <c r="T478" s="8" t="s">
        <v>392</v>
      </c>
      <c r="U478" s="8" t="s">
        <v>513</v>
      </c>
      <c r="V478" s="8" t="s">
        <v>1186</v>
      </c>
      <c r="W478" s="19" t="s">
        <v>1208</v>
      </c>
    </row>
    <row r="479" spans="1:23" x14ac:dyDescent="0.25">
      <c r="A479" s="8" t="s">
        <v>1306</v>
      </c>
      <c r="B479" s="8" t="str">
        <f t="shared" si="7"/>
        <v>SGH6H5945968</v>
      </c>
      <c r="C479" s="9" t="s">
        <v>69</v>
      </c>
      <c r="D479" s="10">
        <v>25637</v>
      </c>
      <c r="E479" s="11" t="s">
        <v>1307</v>
      </c>
      <c r="F479" s="12">
        <v>45968</v>
      </c>
      <c r="G479" s="13" t="s">
        <v>1256</v>
      </c>
      <c r="H479" s="10" t="s">
        <v>27</v>
      </c>
      <c r="I479" s="14" t="s">
        <v>28</v>
      </c>
      <c r="J479" s="14" t="s">
        <v>29</v>
      </c>
      <c r="K479" s="15"/>
      <c r="L479" s="15"/>
      <c r="M479" s="16" t="s">
        <v>240</v>
      </c>
      <c r="N479" s="8" t="s">
        <v>30</v>
      </c>
      <c r="O479" s="8" t="s">
        <v>40</v>
      </c>
      <c r="P479" s="17">
        <v>45968</v>
      </c>
      <c r="Q479" s="18">
        <v>45968</v>
      </c>
      <c r="R479" s="9">
        <v>0</v>
      </c>
      <c r="S479" s="8" t="s">
        <v>153</v>
      </c>
      <c r="T479" s="8" t="s">
        <v>98</v>
      </c>
      <c r="U479" s="8" t="s">
        <v>248</v>
      </c>
      <c r="V479" s="8" t="s">
        <v>1186</v>
      </c>
      <c r="W479" s="19" t="s">
        <v>1185</v>
      </c>
    </row>
    <row r="480" spans="1:23" x14ac:dyDescent="0.25">
      <c r="A480" s="8" t="s">
        <v>1308</v>
      </c>
      <c r="B480" s="8" t="str">
        <f t="shared" si="7"/>
        <v>RNP6E4345968</v>
      </c>
      <c r="C480" s="9" t="s">
        <v>44</v>
      </c>
      <c r="D480" s="10"/>
      <c r="E480" s="11" t="s">
        <v>1309</v>
      </c>
      <c r="F480" s="12">
        <v>45968</v>
      </c>
      <c r="G480" s="13" t="s">
        <v>872</v>
      </c>
      <c r="H480" s="10" t="s">
        <v>27</v>
      </c>
      <c r="I480" s="14" t="s">
        <v>28</v>
      </c>
      <c r="J480" s="14" t="s">
        <v>29</v>
      </c>
      <c r="K480" s="15"/>
      <c r="L480" s="15"/>
      <c r="M480" s="16" t="s">
        <v>497</v>
      </c>
      <c r="N480" s="8" t="s">
        <v>30</v>
      </c>
      <c r="O480" s="8" t="s">
        <v>40</v>
      </c>
      <c r="P480" s="17">
        <v>45968</v>
      </c>
      <c r="Q480" s="18">
        <v>45968</v>
      </c>
      <c r="R480" s="9"/>
      <c r="S480" s="8" t="s">
        <v>153</v>
      </c>
      <c r="T480" s="8" t="s">
        <v>66</v>
      </c>
      <c r="U480" s="8" t="s">
        <v>67</v>
      </c>
      <c r="V480" s="8" t="s">
        <v>1186</v>
      </c>
      <c r="W480" s="19" t="s">
        <v>1310</v>
      </c>
    </row>
    <row r="481" spans="1:23" x14ac:dyDescent="0.25">
      <c r="A481" s="8" t="s">
        <v>1311</v>
      </c>
      <c r="B481" s="8" t="str">
        <f t="shared" si="7"/>
        <v>RUO6B0145968</v>
      </c>
      <c r="C481" s="9" t="s">
        <v>37</v>
      </c>
      <c r="D481" s="10" t="s">
        <v>1116</v>
      </c>
      <c r="E481" s="11" t="s">
        <v>1312</v>
      </c>
      <c r="F481" s="12">
        <v>45953</v>
      </c>
      <c r="G481" s="13" t="s">
        <v>743</v>
      </c>
      <c r="H481" s="10" t="s">
        <v>27</v>
      </c>
      <c r="I481" s="14" t="s">
        <v>28</v>
      </c>
      <c r="J481" s="14" t="s">
        <v>29</v>
      </c>
      <c r="K481" s="15"/>
      <c r="L481" s="15"/>
      <c r="M481" s="16" t="s">
        <v>745</v>
      </c>
      <c r="N481" s="8" t="s">
        <v>30</v>
      </c>
      <c r="O481" s="8" t="s">
        <v>40</v>
      </c>
      <c r="P481" s="17">
        <v>45968</v>
      </c>
      <c r="Q481" s="18">
        <v>45968</v>
      </c>
      <c r="R481" s="9">
        <v>15</v>
      </c>
      <c r="S481" s="8" t="s">
        <v>32</v>
      </c>
      <c r="T481" s="8" t="s">
        <v>1048</v>
      </c>
      <c r="U481" s="8" t="s">
        <v>1184</v>
      </c>
      <c r="V481" s="8" t="s">
        <v>320</v>
      </c>
      <c r="W481" s="19" t="s">
        <v>1198</v>
      </c>
    </row>
    <row r="482" spans="1:23" x14ac:dyDescent="0.25">
      <c r="A482" s="8" t="s">
        <v>23</v>
      </c>
      <c r="B482" s="8" t="str">
        <f t="shared" si="7"/>
        <v>STU8B2845968</v>
      </c>
      <c r="C482" s="9" t="s">
        <v>24</v>
      </c>
      <c r="D482" s="10"/>
      <c r="E482" s="11" t="s">
        <v>1313</v>
      </c>
      <c r="F482" s="12">
        <v>45961</v>
      </c>
      <c r="G482" s="13" t="s">
        <v>138</v>
      </c>
      <c r="H482" s="10" t="s">
        <v>27</v>
      </c>
      <c r="I482" s="14" t="s">
        <v>28</v>
      </c>
      <c r="J482" s="14" t="s">
        <v>139</v>
      </c>
      <c r="K482" s="15"/>
      <c r="L482" s="15"/>
      <c r="M482" s="16" t="s">
        <v>140</v>
      </c>
      <c r="N482" s="8" t="s">
        <v>30</v>
      </c>
      <c r="O482" s="8" t="s">
        <v>40</v>
      </c>
      <c r="P482" s="17" t="s">
        <v>241</v>
      </c>
      <c r="Q482" s="18">
        <v>45968</v>
      </c>
      <c r="R482" s="9">
        <v>7</v>
      </c>
      <c r="S482" s="8" t="s">
        <v>32</v>
      </c>
      <c r="T482" s="8" t="s">
        <v>1264</v>
      </c>
      <c r="U482" s="8" t="s">
        <v>1314</v>
      </c>
      <c r="V482" s="8" t="s">
        <v>320</v>
      </c>
      <c r="W482" s="19" t="s">
        <v>1238</v>
      </c>
    </row>
    <row r="483" spans="1:23" x14ac:dyDescent="0.25">
      <c r="A483" s="8" t="s">
        <v>1315</v>
      </c>
      <c r="B483" s="8" t="str">
        <f t="shared" si="7"/>
        <v>TAO3J3545968</v>
      </c>
      <c r="C483" s="9" t="s">
        <v>626</v>
      </c>
      <c r="D483" s="10"/>
      <c r="E483" s="11" t="s">
        <v>1316</v>
      </c>
      <c r="F483" s="12">
        <v>45939</v>
      </c>
      <c r="G483" s="13" t="s">
        <v>778</v>
      </c>
      <c r="H483" s="10" t="s">
        <v>52</v>
      </c>
      <c r="I483" s="14" t="s">
        <v>28</v>
      </c>
      <c r="J483" s="14" t="s">
        <v>29</v>
      </c>
      <c r="K483" s="15">
        <v>7320</v>
      </c>
      <c r="L483" s="15">
        <v>7320</v>
      </c>
      <c r="M483" s="16" t="s">
        <v>343</v>
      </c>
      <c r="N483" s="8" t="s">
        <v>30</v>
      </c>
      <c r="O483" s="8" t="s">
        <v>52</v>
      </c>
      <c r="P483" s="17">
        <v>45968</v>
      </c>
      <c r="Q483" s="18">
        <v>45968</v>
      </c>
      <c r="R483" s="9">
        <v>29</v>
      </c>
      <c r="S483" s="8" t="s">
        <v>32</v>
      </c>
      <c r="T483" s="8" t="s">
        <v>844</v>
      </c>
      <c r="U483" s="8" t="s">
        <v>1317</v>
      </c>
      <c r="V483" s="8" t="s">
        <v>320</v>
      </c>
      <c r="W483" s="19" t="s">
        <v>1164</v>
      </c>
    </row>
    <row r="484" spans="1:23" x14ac:dyDescent="0.25">
      <c r="A484" s="8" t="s">
        <v>1318</v>
      </c>
      <c r="B484" s="8" t="str">
        <f t="shared" si="7"/>
        <v>RNU2C2845968</v>
      </c>
      <c r="C484" s="9" t="s">
        <v>44</v>
      </c>
      <c r="D484" s="10">
        <v>162521</v>
      </c>
      <c r="E484" s="11" t="s">
        <v>1319</v>
      </c>
      <c r="F484" s="12">
        <v>45968</v>
      </c>
      <c r="G484" s="13" t="s">
        <v>138</v>
      </c>
      <c r="H484" s="10" t="s">
        <v>27</v>
      </c>
      <c r="I484" s="14" t="s">
        <v>28</v>
      </c>
      <c r="J484" s="14" t="s">
        <v>29</v>
      </c>
      <c r="K484" s="15"/>
      <c r="L484" s="15"/>
      <c r="M484" s="16" t="s">
        <v>343</v>
      </c>
      <c r="N484" s="8" t="s">
        <v>30</v>
      </c>
      <c r="O484" s="8" t="s">
        <v>40</v>
      </c>
      <c r="P484" s="17">
        <v>45968</v>
      </c>
      <c r="Q484" s="18">
        <v>45968</v>
      </c>
      <c r="R484" s="9">
        <v>0</v>
      </c>
      <c r="S484" s="8" t="s">
        <v>153</v>
      </c>
      <c r="T484" s="8" t="s">
        <v>98</v>
      </c>
      <c r="U484" s="8" t="s">
        <v>1320</v>
      </c>
      <c r="V484" s="8" t="s">
        <v>1186</v>
      </c>
      <c r="W484" s="19" t="s">
        <v>1164</v>
      </c>
    </row>
    <row r="485" spans="1:23" x14ac:dyDescent="0.25">
      <c r="A485" s="8" t="s">
        <v>1321</v>
      </c>
      <c r="B485" s="8" t="str">
        <f t="shared" si="7"/>
        <v>SDT9F4045968</v>
      </c>
      <c r="C485" s="9" t="s">
        <v>518</v>
      </c>
      <c r="D485" s="10">
        <v>38143</v>
      </c>
      <c r="E485" s="11" t="s">
        <v>1322</v>
      </c>
      <c r="F485" s="12">
        <v>45950</v>
      </c>
      <c r="G485" s="13" t="s">
        <v>226</v>
      </c>
      <c r="H485" s="10" t="s">
        <v>27</v>
      </c>
      <c r="I485" s="14" t="s">
        <v>28</v>
      </c>
      <c r="J485" s="14" t="s">
        <v>29</v>
      </c>
      <c r="K485" s="15"/>
      <c r="L485" s="15"/>
      <c r="M485" s="16" t="s">
        <v>186</v>
      </c>
      <c r="N485" s="8" t="s">
        <v>30</v>
      </c>
      <c r="O485" s="8" t="s">
        <v>40</v>
      </c>
      <c r="P485" s="17">
        <v>45971</v>
      </c>
      <c r="Q485" s="18">
        <v>45968</v>
      </c>
      <c r="R485" s="9">
        <v>18</v>
      </c>
      <c r="S485" s="8" t="s">
        <v>32</v>
      </c>
      <c r="T485" s="8" t="s">
        <v>1323</v>
      </c>
      <c r="U485" s="8" t="s">
        <v>188</v>
      </c>
      <c r="V485" s="8" t="s">
        <v>320</v>
      </c>
      <c r="W485" s="19" t="s">
        <v>1324</v>
      </c>
    </row>
    <row r="486" spans="1:23" x14ac:dyDescent="0.25">
      <c r="A486" s="8" t="s">
        <v>1325</v>
      </c>
      <c r="B486" s="8" t="str">
        <f t="shared" si="7"/>
        <v>SJT0J5545968</v>
      </c>
      <c r="C486" s="9" t="s">
        <v>24</v>
      </c>
      <c r="D486" s="10">
        <v>72063</v>
      </c>
      <c r="E486" s="11" t="s">
        <v>1326</v>
      </c>
      <c r="F486" s="12">
        <v>45937</v>
      </c>
      <c r="G486" s="13" t="s">
        <v>123</v>
      </c>
      <c r="H486" s="10" t="s">
        <v>27</v>
      </c>
      <c r="I486" s="14" t="s">
        <v>28</v>
      </c>
      <c r="J486" s="14" t="s">
        <v>139</v>
      </c>
      <c r="K486" s="15"/>
      <c r="L486" s="15"/>
      <c r="M486" s="16" t="s">
        <v>326</v>
      </c>
      <c r="N486" s="8" t="s">
        <v>30</v>
      </c>
      <c r="O486" s="8" t="s">
        <v>40</v>
      </c>
      <c r="P486" s="17">
        <v>45971</v>
      </c>
      <c r="Q486" s="18">
        <v>45968</v>
      </c>
      <c r="R486" s="9">
        <v>31</v>
      </c>
      <c r="S486" s="8" t="s">
        <v>32</v>
      </c>
      <c r="T486" s="8" t="s">
        <v>620</v>
      </c>
      <c r="U486" s="8" t="s">
        <v>820</v>
      </c>
      <c r="V486" s="8" t="s">
        <v>320</v>
      </c>
      <c r="W486" s="19" t="s">
        <v>1169</v>
      </c>
    </row>
    <row r="487" spans="1:23" x14ac:dyDescent="0.25">
      <c r="A487" s="8" t="s">
        <v>1327</v>
      </c>
      <c r="B487" s="8" t="str">
        <f t="shared" si="7"/>
        <v>RUL7F3845971</v>
      </c>
      <c r="C487" s="9" t="s">
        <v>37</v>
      </c>
      <c r="D487" s="10"/>
      <c r="E487" s="11" t="s">
        <v>595</v>
      </c>
      <c r="F487" s="12">
        <v>45965</v>
      </c>
      <c r="G487" s="13" t="s">
        <v>138</v>
      </c>
      <c r="H487" s="10" t="s">
        <v>27</v>
      </c>
      <c r="I487" s="14" t="s">
        <v>28</v>
      </c>
      <c r="J487" s="14" t="s">
        <v>139</v>
      </c>
      <c r="K487" s="15"/>
      <c r="L487" s="15"/>
      <c r="M487" s="16" t="s">
        <v>233</v>
      </c>
      <c r="N487" s="8" t="s">
        <v>30</v>
      </c>
      <c r="O487" s="8" t="s">
        <v>40</v>
      </c>
      <c r="P487" s="17">
        <v>45971</v>
      </c>
      <c r="Q487" s="18">
        <v>45971</v>
      </c>
      <c r="R487" s="9">
        <v>6</v>
      </c>
      <c r="S487" s="8" t="s">
        <v>32</v>
      </c>
      <c r="T487" s="8" t="s">
        <v>1328</v>
      </c>
      <c r="U487" s="8" t="s">
        <v>1329</v>
      </c>
      <c r="V487" s="8" t="s">
        <v>1186</v>
      </c>
      <c r="W487" s="19" t="s">
        <v>1290</v>
      </c>
    </row>
    <row r="488" spans="1:23" x14ac:dyDescent="0.25">
      <c r="A488" s="8" t="s">
        <v>1330</v>
      </c>
      <c r="B488" s="8" t="str">
        <f t="shared" si="7"/>
        <v>JCI8F7145971</v>
      </c>
      <c r="C488" s="9" t="s">
        <v>24</v>
      </c>
      <c r="D488" s="10">
        <v>87999</v>
      </c>
      <c r="E488" s="11" t="s">
        <v>236</v>
      </c>
      <c r="F488" s="12">
        <v>45971</v>
      </c>
      <c r="G488" s="13" t="s">
        <v>123</v>
      </c>
      <c r="H488" s="10" t="s">
        <v>27</v>
      </c>
      <c r="I488" s="14" t="s">
        <v>176</v>
      </c>
      <c r="J488" s="14" t="s">
        <v>29</v>
      </c>
      <c r="K488" s="15"/>
      <c r="L488" s="15"/>
      <c r="M488" s="16" t="s">
        <v>214</v>
      </c>
      <c r="N488" s="8" t="s">
        <v>30</v>
      </c>
      <c r="O488" s="8" t="s">
        <v>40</v>
      </c>
      <c r="P488" s="17">
        <v>45971</v>
      </c>
      <c r="Q488" s="18">
        <v>45971</v>
      </c>
      <c r="R488" s="9">
        <v>0</v>
      </c>
      <c r="S488" s="8" t="s">
        <v>153</v>
      </c>
      <c r="T488" s="8" t="s">
        <v>98</v>
      </c>
      <c r="U488" s="8" t="s">
        <v>215</v>
      </c>
      <c r="V488" s="8" t="s">
        <v>1186</v>
      </c>
      <c r="W488" s="19" t="s">
        <v>1242</v>
      </c>
    </row>
    <row r="489" spans="1:23" x14ac:dyDescent="0.25">
      <c r="A489" s="8" t="s">
        <v>639</v>
      </c>
      <c r="B489" s="8" t="str">
        <f t="shared" si="7"/>
        <v>NPL6B0345971</v>
      </c>
      <c r="C489" s="9" t="s">
        <v>1331</v>
      </c>
      <c r="D489" s="10"/>
      <c r="E489" s="11" t="s">
        <v>1332</v>
      </c>
      <c r="F489" s="12">
        <v>45970</v>
      </c>
      <c r="G489" s="13" t="s">
        <v>138</v>
      </c>
      <c r="H489" s="10" t="s">
        <v>27</v>
      </c>
      <c r="I489" s="14" t="s">
        <v>176</v>
      </c>
      <c r="J489" s="14" t="s">
        <v>29</v>
      </c>
      <c r="K489" s="15"/>
      <c r="L489" s="15"/>
      <c r="M489" s="16" t="s">
        <v>1333</v>
      </c>
      <c r="N489" s="8" t="s">
        <v>30</v>
      </c>
      <c r="O489" s="8" t="s">
        <v>40</v>
      </c>
      <c r="P489" s="17">
        <v>45971</v>
      </c>
      <c r="Q489" s="18">
        <v>45971</v>
      </c>
      <c r="R489" s="9">
        <v>1</v>
      </c>
      <c r="S489" s="8" t="s">
        <v>153</v>
      </c>
      <c r="T489" s="8" t="s">
        <v>1334</v>
      </c>
      <c r="U489" s="8" t="s">
        <v>1335</v>
      </c>
      <c r="V489" s="8" t="s">
        <v>1186</v>
      </c>
      <c r="W489" s="19" t="s">
        <v>1336</v>
      </c>
    </row>
    <row r="490" spans="1:23" x14ac:dyDescent="0.25">
      <c r="A490" s="8" t="s">
        <v>1337</v>
      </c>
      <c r="B490" s="8" t="str">
        <f t="shared" si="7"/>
        <v>GII1D5345971</v>
      </c>
      <c r="C490" s="9" t="s">
        <v>224</v>
      </c>
      <c r="D490" s="10">
        <v>87009</v>
      </c>
      <c r="E490" s="11" t="s">
        <v>277</v>
      </c>
      <c r="F490" s="12">
        <v>45968</v>
      </c>
      <c r="G490" s="13" t="s">
        <v>226</v>
      </c>
      <c r="H490" s="10" t="s">
        <v>27</v>
      </c>
      <c r="I490" s="14" t="s">
        <v>28</v>
      </c>
      <c r="J490" s="14" t="s">
        <v>139</v>
      </c>
      <c r="K490" s="15"/>
      <c r="L490" s="15"/>
      <c r="M490" s="16" t="s">
        <v>227</v>
      </c>
      <c r="N490" s="8" t="s">
        <v>228</v>
      </c>
      <c r="O490" s="8" t="s">
        <v>40</v>
      </c>
      <c r="P490" s="17" t="s">
        <v>86</v>
      </c>
      <c r="Q490" s="18">
        <v>45971</v>
      </c>
      <c r="R490" s="9">
        <v>3</v>
      </c>
      <c r="S490" s="8" t="s">
        <v>32</v>
      </c>
      <c r="T490" s="8" t="s">
        <v>98</v>
      </c>
      <c r="U490" s="8" t="s">
        <v>271</v>
      </c>
      <c r="V490" s="8" t="s">
        <v>1186</v>
      </c>
      <c r="W490" s="19" t="s">
        <v>1179</v>
      </c>
    </row>
    <row r="491" spans="1:23" x14ac:dyDescent="0.25">
      <c r="A491" s="8" t="s">
        <v>1338</v>
      </c>
      <c r="B491" s="8" t="str">
        <f t="shared" si="7"/>
        <v>SDQ3A3745971</v>
      </c>
      <c r="C491" s="9" t="s">
        <v>127</v>
      </c>
      <c r="D491" s="10">
        <v>12453</v>
      </c>
      <c r="E491" s="11" t="s">
        <v>1339</v>
      </c>
      <c r="F491" s="12">
        <v>45925</v>
      </c>
      <c r="G491" s="13" t="s">
        <v>743</v>
      </c>
      <c r="H491" s="10" t="s">
        <v>52</v>
      </c>
      <c r="I491" s="14" t="s">
        <v>28</v>
      </c>
      <c r="J491" s="14" t="s">
        <v>139</v>
      </c>
      <c r="K491" s="15"/>
      <c r="L491" s="15"/>
      <c r="M491" s="16" t="s">
        <v>605</v>
      </c>
      <c r="N491" s="8" t="s">
        <v>30</v>
      </c>
      <c r="O491" s="8" t="s">
        <v>52</v>
      </c>
      <c r="P491" s="17">
        <v>45971</v>
      </c>
      <c r="Q491" s="18">
        <v>45971</v>
      </c>
      <c r="R491" s="9">
        <v>46</v>
      </c>
      <c r="S491" s="8" t="s">
        <v>32</v>
      </c>
      <c r="T491" s="8" t="s">
        <v>651</v>
      </c>
      <c r="U491" s="8" t="s">
        <v>130</v>
      </c>
      <c r="V491" s="8" t="s">
        <v>320</v>
      </c>
      <c r="W491" s="19" t="s">
        <v>1160</v>
      </c>
    </row>
    <row r="492" spans="1:23" x14ac:dyDescent="0.25">
      <c r="A492" s="8" t="s">
        <v>251</v>
      </c>
      <c r="B492" s="8" t="str">
        <f t="shared" si="7"/>
        <v>GCX2D3545971</v>
      </c>
      <c r="C492" s="9" t="s">
        <v>224</v>
      </c>
      <c r="D492" s="10" t="s">
        <v>1340</v>
      </c>
      <c r="E492" s="11" t="s">
        <v>1341</v>
      </c>
      <c r="F492" s="12">
        <v>45958</v>
      </c>
      <c r="G492" s="13" t="s">
        <v>226</v>
      </c>
      <c r="H492" s="10" t="s">
        <v>27</v>
      </c>
      <c r="I492" s="14" t="s">
        <v>28</v>
      </c>
      <c r="J492" s="14" t="s">
        <v>139</v>
      </c>
      <c r="K492" s="15"/>
      <c r="L492" s="15"/>
      <c r="M492" s="16" t="s">
        <v>315</v>
      </c>
      <c r="N492" s="8" t="s">
        <v>228</v>
      </c>
      <c r="O492" s="8" t="s">
        <v>40</v>
      </c>
      <c r="P492" s="17">
        <v>45972</v>
      </c>
      <c r="Q492" s="18">
        <v>45971</v>
      </c>
      <c r="R492" s="9">
        <v>13</v>
      </c>
      <c r="S492" s="8" t="s">
        <v>32</v>
      </c>
      <c r="T492" s="8" t="s">
        <v>1342</v>
      </c>
      <c r="U492" s="8" t="s">
        <v>254</v>
      </c>
      <c r="V492" s="8" t="s">
        <v>320</v>
      </c>
      <c r="W492" s="19" t="s">
        <v>1189</v>
      </c>
    </row>
    <row r="493" spans="1:23" x14ac:dyDescent="0.25">
      <c r="A493" s="8" t="s">
        <v>1343</v>
      </c>
      <c r="B493" s="8" t="str">
        <f t="shared" si="7"/>
        <v>SGL2C9545971</v>
      </c>
      <c r="C493" s="9" t="s">
        <v>96</v>
      </c>
      <c r="D493" s="10">
        <v>40007</v>
      </c>
      <c r="E493" s="11" t="s">
        <v>1344</v>
      </c>
      <c r="F493" s="12">
        <v>45971</v>
      </c>
      <c r="G493" s="13" t="s">
        <v>226</v>
      </c>
      <c r="H493" s="10" t="s">
        <v>27</v>
      </c>
      <c r="I493" s="14" t="s">
        <v>176</v>
      </c>
      <c r="J493" s="14" t="s">
        <v>139</v>
      </c>
      <c r="K493" s="15"/>
      <c r="L493" s="15"/>
      <c r="M493" s="16" t="s">
        <v>1214</v>
      </c>
      <c r="N493" s="8" t="s">
        <v>172</v>
      </c>
      <c r="O493" s="8" t="s">
        <v>40</v>
      </c>
      <c r="P493" s="17" t="s">
        <v>86</v>
      </c>
      <c r="Q493" s="18">
        <v>45971</v>
      </c>
      <c r="R493" s="9">
        <v>0</v>
      </c>
      <c r="S493" s="8" t="s">
        <v>153</v>
      </c>
      <c r="T493" s="8" t="s">
        <v>98</v>
      </c>
      <c r="U493" s="8" t="s">
        <v>486</v>
      </c>
      <c r="V493" s="8" t="s">
        <v>1186</v>
      </c>
      <c r="W493" s="19" t="s">
        <v>1215</v>
      </c>
    </row>
    <row r="494" spans="1:23" x14ac:dyDescent="0.25">
      <c r="A494" s="8" t="s">
        <v>1345</v>
      </c>
      <c r="B494" s="8" t="str">
        <f t="shared" si="7"/>
        <v>RND8C5345971</v>
      </c>
      <c r="C494" s="9" t="s">
        <v>72</v>
      </c>
      <c r="D494" s="10" t="s">
        <v>383</v>
      </c>
      <c r="E494" s="11" t="s">
        <v>1346</v>
      </c>
      <c r="F494" s="12">
        <v>45964</v>
      </c>
      <c r="G494" s="13" t="s">
        <v>226</v>
      </c>
      <c r="H494" s="10" t="s">
        <v>27</v>
      </c>
      <c r="I494" s="14" t="s">
        <v>28</v>
      </c>
      <c r="J494" s="14" t="s">
        <v>29</v>
      </c>
      <c r="K494" s="15"/>
      <c r="L494" s="15"/>
      <c r="M494" s="16" t="s">
        <v>207</v>
      </c>
      <c r="N494" s="8" t="s">
        <v>30</v>
      </c>
      <c r="O494" s="8" t="s">
        <v>40</v>
      </c>
      <c r="P494" s="17">
        <v>45971</v>
      </c>
      <c r="Q494" s="18">
        <v>45971</v>
      </c>
      <c r="R494" s="9">
        <v>7</v>
      </c>
      <c r="S494" s="8" t="s">
        <v>32</v>
      </c>
      <c r="T494" s="8" t="s">
        <v>535</v>
      </c>
      <c r="U494" s="8" t="s">
        <v>75</v>
      </c>
      <c r="V494" s="8" t="s">
        <v>1186</v>
      </c>
      <c r="W494" s="19" t="s">
        <v>1259</v>
      </c>
    </row>
    <row r="495" spans="1:23" x14ac:dyDescent="0.25">
      <c r="A495" s="8" t="s">
        <v>163</v>
      </c>
      <c r="B495" s="8" t="str">
        <f t="shared" si="7"/>
        <v>GIG3B72 45971</v>
      </c>
      <c r="C495" s="9" t="s">
        <v>24</v>
      </c>
      <c r="D495" s="10"/>
      <c r="E495" s="11" t="s">
        <v>236</v>
      </c>
      <c r="F495" s="12">
        <v>45971</v>
      </c>
      <c r="G495" s="13" t="s">
        <v>138</v>
      </c>
      <c r="H495" s="10" t="s">
        <v>27</v>
      </c>
      <c r="I495" s="14" t="s">
        <v>28</v>
      </c>
      <c r="J495" s="14" t="s">
        <v>29</v>
      </c>
      <c r="K495" s="15"/>
      <c r="L495" s="15"/>
      <c r="M495" s="16" t="s">
        <v>343</v>
      </c>
      <c r="N495" s="8" t="s">
        <v>30</v>
      </c>
      <c r="O495" s="8" t="s">
        <v>40</v>
      </c>
      <c r="P495" s="17">
        <v>45971</v>
      </c>
      <c r="Q495" s="18">
        <v>45971</v>
      </c>
      <c r="R495" s="9">
        <v>0</v>
      </c>
      <c r="S495" s="8" t="s">
        <v>153</v>
      </c>
      <c r="T495" s="8" t="s">
        <v>98</v>
      </c>
      <c r="U495" s="8" t="s">
        <v>500</v>
      </c>
      <c r="V495" s="8" t="s">
        <v>1186</v>
      </c>
      <c r="W495" s="19" t="s">
        <v>1164</v>
      </c>
    </row>
    <row r="496" spans="1:23" x14ac:dyDescent="0.25">
      <c r="A496" s="8" t="s">
        <v>916</v>
      </c>
      <c r="B496" s="8" t="str">
        <f t="shared" si="7"/>
        <v>RNE4J0245971</v>
      </c>
      <c r="C496" s="9" t="s">
        <v>44</v>
      </c>
      <c r="D496" s="10"/>
      <c r="E496" s="11" t="s">
        <v>236</v>
      </c>
      <c r="F496" s="12">
        <v>45971</v>
      </c>
      <c r="G496" s="13" t="s">
        <v>138</v>
      </c>
      <c r="H496" s="10" t="s">
        <v>27</v>
      </c>
      <c r="I496" s="14" t="s">
        <v>28</v>
      </c>
      <c r="J496" s="14" t="s">
        <v>29</v>
      </c>
      <c r="K496" s="15"/>
      <c r="L496" s="15"/>
      <c r="M496" s="16" t="s">
        <v>343</v>
      </c>
      <c r="N496" s="8" t="s">
        <v>30</v>
      </c>
      <c r="O496" s="8" t="s">
        <v>40</v>
      </c>
      <c r="P496" s="17">
        <v>45971</v>
      </c>
      <c r="Q496" s="18">
        <v>45971</v>
      </c>
      <c r="R496" s="9">
        <v>0</v>
      </c>
      <c r="S496" s="8" t="s">
        <v>153</v>
      </c>
      <c r="T496" s="8" t="s">
        <v>98</v>
      </c>
      <c r="U496" s="8" t="s">
        <v>500</v>
      </c>
      <c r="V496" s="8" t="s">
        <v>1186</v>
      </c>
      <c r="W496" s="19" t="s">
        <v>1164</v>
      </c>
    </row>
    <row r="497" spans="1:23" x14ac:dyDescent="0.25">
      <c r="A497" s="8" t="s">
        <v>1347</v>
      </c>
      <c r="B497" s="8" t="str">
        <f t="shared" si="7"/>
        <v>RUG7E8145971</v>
      </c>
      <c r="C497" s="9" t="s">
        <v>37</v>
      </c>
      <c r="D497" s="10">
        <v>94245</v>
      </c>
      <c r="E497" s="11" t="s">
        <v>1348</v>
      </c>
      <c r="F497" s="12">
        <v>45955</v>
      </c>
      <c r="G497" s="13" t="s">
        <v>872</v>
      </c>
      <c r="H497" s="10" t="s">
        <v>27</v>
      </c>
      <c r="I497" s="14" t="s">
        <v>28</v>
      </c>
      <c r="J497" s="14" t="s">
        <v>139</v>
      </c>
      <c r="K497" s="15"/>
      <c r="L497" s="15"/>
      <c r="M497" s="16" t="s">
        <v>329</v>
      </c>
      <c r="N497" s="8" t="s">
        <v>30</v>
      </c>
      <c r="O497" s="8" t="s">
        <v>40</v>
      </c>
      <c r="P497" s="17" t="s">
        <v>187</v>
      </c>
      <c r="Q497" s="18">
        <v>45971</v>
      </c>
      <c r="R497" s="9">
        <v>16</v>
      </c>
      <c r="S497" s="8" t="s">
        <v>32</v>
      </c>
      <c r="T497" s="8" t="s">
        <v>66</v>
      </c>
      <c r="U497" s="8" t="s">
        <v>330</v>
      </c>
      <c r="V497" s="8" t="s">
        <v>833</v>
      </c>
      <c r="W497" s="19" t="s">
        <v>1165</v>
      </c>
    </row>
    <row r="498" spans="1:23" x14ac:dyDescent="0.25">
      <c r="A498" s="8" t="s">
        <v>1349</v>
      </c>
      <c r="B498" s="8" t="str">
        <f t="shared" si="7"/>
        <v>JCJ0D3445972</v>
      </c>
      <c r="C498" s="9" t="s">
        <v>24</v>
      </c>
      <c r="D498" s="10" t="s">
        <v>383</v>
      </c>
      <c r="E498" s="11" t="s">
        <v>1319</v>
      </c>
      <c r="F498" s="12">
        <v>45971</v>
      </c>
      <c r="G498" s="13" t="s">
        <v>123</v>
      </c>
      <c r="H498" s="10" t="s">
        <v>27</v>
      </c>
      <c r="I498" s="14" t="s">
        <v>28</v>
      </c>
      <c r="J498" s="14" t="s">
        <v>29</v>
      </c>
      <c r="K498" s="15">
        <v>1826.7</v>
      </c>
      <c r="L498" s="15">
        <v>1826.7</v>
      </c>
      <c r="M498" s="16" t="s">
        <v>237</v>
      </c>
      <c r="N498" s="8" t="s">
        <v>30</v>
      </c>
      <c r="O498" s="8" t="s">
        <v>40</v>
      </c>
      <c r="P498" s="17">
        <v>45971</v>
      </c>
      <c r="Q498" s="18">
        <v>45972</v>
      </c>
      <c r="R498" s="9">
        <v>1</v>
      </c>
      <c r="S498" s="8" t="s">
        <v>153</v>
      </c>
      <c r="T498" s="8" t="s">
        <v>41</v>
      </c>
      <c r="U498" s="8" t="s">
        <v>42</v>
      </c>
      <c r="V498" s="8" t="s">
        <v>1186</v>
      </c>
      <c r="W498" s="19" t="s">
        <v>1205</v>
      </c>
    </row>
    <row r="499" spans="1:23" x14ac:dyDescent="0.25">
      <c r="A499" s="8" t="s">
        <v>827</v>
      </c>
      <c r="B499" s="8" t="str">
        <f t="shared" si="7"/>
        <v>RNJ9D5045972</v>
      </c>
      <c r="C499" s="9" t="s">
        <v>72</v>
      </c>
      <c r="D499" s="10">
        <v>136590</v>
      </c>
      <c r="E499" s="11" t="s">
        <v>1350</v>
      </c>
      <c r="F499" s="12">
        <v>45962</v>
      </c>
      <c r="G499" s="13" t="s">
        <v>123</v>
      </c>
      <c r="H499" s="10" t="s">
        <v>27</v>
      </c>
      <c r="I499" s="14" t="s">
        <v>28</v>
      </c>
      <c r="J499" s="14" t="s">
        <v>139</v>
      </c>
      <c r="K499" s="15"/>
      <c r="L499" s="15"/>
      <c r="M499" s="16" t="s">
        <v>374</v>
      </c>
      <c r="N499" s="8" t="s">
        <v>30</v>
      </c>
      <c r="O499" s="8" t="s">
        <v>40</v>
      </c>
      <c r="P499" s="17">
        <v>45972</v>
      </c>
      <c r="Q499" s="18">
        <v>45972</v>
      </c>
      <c r="R499" s="9">
        <v>10</v>
      </c>
      <c r="S499" s="8" t="s">
        <v>32</v>
      </c>
      <c r="T499" s="8" t="s">
        <v>392</v>
      </c>
      <c r="U499" s="8" t="s">
        <v>393</v>
      </c>
      <c r="V499" s="8" t="s">
        <v>1186</v>
      </c>
      <c r="W499" s="19" t="s">
        <v>1251</v>
      </c>
    </row>
    <row r="500" spans="1:23" x14ac:dyDescent="0.25">
      <c r="A500" s="8" t="s">
        <v>1351</v>
      </c>
      <c r="B500" s="8" t="str">
        <f t="shared" si="7"/>
        <v>RNF6H3645972</v>
      </c>
      <c r="C500" s="9" t="s">
        <v>72</v>
      </c>
      <c r="D500" s="10"/>
      <c r="E500" s="11" t="s">
        <v>1352</v>
      </c>
      <c r="F500" s="12">
        <v>45964</v>
      </c>
      <c r="G500" s="13" t="s">
        <v>138</v>
      </c>
      <c r="H500" s="10" t="s">
        <v>27</v>
      </c>
      <c r="I500" s="14" t="s">
        <v>28</v>
      </c>
      <c r="J500" s="14" t="s">
        <v>29</v>
      </c>
      <c r="K500" s="15"/>
      <c r="L500" s="15"/>
      <c r="M500" s="16" t="s">
        <v>294</v>
      </c>
      <c r="N500" s="8" t="s">
        <v>30</v>
      </c>
      <c r="O500" s="8" t="s">
        <v>40</v>
      </c>
      <c r="P500" s="17">
        <v>45973</v>
      </c>
      <c r="Q500" s="18">
        <v>45972</v>
      </c>
      <c r="R500" s="9">
        <v>8</v>
      </c>
      <c r="S500" s="8" t="s">
        <v>32</v>
      </c>
      <c r="T500" s="8" t="s">
        <v>1353</v>
      </c>
      <c r="U500" s="8" t="s">
        <v>1354</v>
      </c>
      <c r="V500" s="8" t="s">
        <v>320</v>
      </c>
      <c r="W500" s="19" t="s">
        <v>1177</v>
      </c>
    </row>
    <row r="501" spans="1:23" x14ac:dyDescent="0.25">
      <c r="A501" s="8" t="s">
        <v>561</v>
      </c>
      <c r="B501" s="8" t="str">
        <f t="shared" si="7"/>
        <v>RNB5I3345972</v>
      </c>
      <c r="C501" s="9" t="s">
        <v>44</v>
      </c>
      <c r="D501" s="10">
        <v>259434</v>
      </c>
      <c r="E501" s="11" t="s">
        <v>1355</v>
      </c>
      <c r="F501" s="12">
        <v>45966</v>
      </c>
      <c r="G501" s="13" t="s">
        <v>123</v>
      </c>
      <c r="H501" s="10" t="s">
        <v>27</v>
      </c>
      <c r="I501" s="14" t="s">
        <v>28</v>
      </c>
      <c r="J501" s="14" t="s">
        <v>139</v>
      </c>
      <c r="K501" s="15"/>
      <c r="L501" s="15"/>
      <c r="M501" s="16" t="s">
        <v>374</v>
      </c>
      <c r="N501" s="8" t="s">
        <v>30</v>
      </c>
      <c r="O501" s="8" t="s">
        <v>31</v>
      </c>
      <c r="P501" s="17">
        <v>45972</v>
      </c>
      <c r="Q501" s="18">
        <v>45972</v>
      </c>
      <c r="R501" s="9">
        <v>6</v>
      </c>
      <c r="S501" s="8" t="s">
        <v>32</v>
      </c>
      <c r="T501" s="8" t="s">
        <v>392</v>
      </c>
      <c r="U501" s="8" t="s">
        <v>393</v>
      </c>
      <c r="V501" s="8" t="s">
        <v>1186</v>
      </c>
      <c r="W501" s="19" t="s">
        <v>1251</v>
      </c>
    </row>
    <row r="502" spans="1:23" x14ac:dyDescent="0.25">
      <c r="A502" s="8" t="s">
        <v>553</v>
      </c>
      <c r="B502" s="8" t="str">
        <f t="shared" si="7"/>
        <v>RUM2B4945972</v>
      </c>
      <c r="C502" s="9" t="s">
        <v>37</v>
      </c>
      <c r="D502" s="10" t="s">
        <v>383</v>
      </c>
      <c r="E502" s="11" t="s">
        <v>1356</v>
      </c>
      <c r="F502" s="12">
        <v>45959</v>
      </c>
      <c r="G502" s="13" t="s">
        <v>123</v>
      </c>
      <c r="H502" s="10" t="s">
        <v>27</v>
      </c>
      <c r="I502" s="14" t="s">
        <v>28</v>
      </c>
      <c r="J502" s="14" t="s">
        <v>29</v>
      </c>
      <c r="K502" s="15"/>
      <c r="L502" s="15"/>
      <c r="M502" s="16" t="s">
        <v>237</v>
      </c>
      <c r="N502" s="8" t="s">
        <v>30</v>
      </c>
      <c r="O502" s="8" t="s">
        <v>40</v>
      </c>
      <c r="P502" s="17">
        <v>45973</v>
      </c>
      <c r="Q502" s="18">
        <v>45972</v>
      </c>
      <c r="R502" s="9">
        <v>13</v>
      </c>
      <c r="S502" s="8" t="s">
        <v>32</v>
      </c>
      <c r="T502" s="8" t="s">
        <v>41</v>
      </c>
      <c r="U502" s="8" t="s">
        <v>42</v>
      </c>
      <c r="V502" s="8" t="s">
        <v>320</v>
      </c>
      <c r="W502" s="19" t="s">
        <v>1205</v>
      </c>
    </row>
    <row r="503" spans="1:23" x14ac:dyDescent="0.25">
      <c r="A503" s="8" t="s">
        <v>1136</v>
      </c>
      <c r="B503" s="8" t="str">
        <f t="shared" si="7"/>
        <v>RNF6H3945972</v>
      </c>
      <c r="C503" s="9" t="s">
        <v>72</v>
      </c>
      <c r="D503" s="10"/>
      <c r="E503" s="11" t="s">
        <v>1357</v>
      </c>
      <c r="F503" s="12">
        <v>45964</v>
      </c>
      <c r="G503" s="13" t="s">
        <v>138</v>
      </c>
      <c r="H503" s="10" t="s">
        <v>27</v>
      </c>
      <c r="I503" s="14" t="s">
        <v>28</v>
      </c>
      <c r="J503" s="14" t="s">
        <v>139</v>
      </c>
      <c r="K503" s="15"/>
      <c r="L503" s="15"/>
      <c r="M503" s="16" t="s">
        <v>357</v>
      </c>
      <c r="N503" s="8" t="s">
        <v>30</v>
      </c>
      <c r="O503" s="8" t="s">
        <v>40</v>
      </c>
      <c r="P503" s="17" t="s">
        <v>86</v>
      </c>
      <c r="Q503" s="18">
        <v>45972</v>
      </c>
      <c r="R503" s="9">
        <v>8</v>
      </c>
      <c r="S503" s="8" t="s">
        <v>32</v>
      </c>
      <c r="T503" s="8" t="s">
        <v>100</v>
      </c>
      <c r="U503" s="8" t="s">
        <v>303</v>
      </c>
      <c r="V503" s="8" t="s">
        <v>320</v>
      </c>
      <c r="W503" s="19" t="s">
        <v>1358</v>
      </c>
    </row>
    <row r="504" spans="1:23" x14ac:dyDescent="0.25">
      <c r="A504" s="8" t="s">
        <v>1128</v>
      </c>
      <c r="B504" s="8" t="str">
        <f t="shared" si="7"/>
        <v>GGV1A3445972</v>
      </c>
      <c r="C504" s="9" t="s">
        <v>224</v>
      </c>
      <c r="D504" s="10">
        <v>13973</v>
      </c>
      <c r="E504" s="11" t="s">
        <v>1359</v>
      </c>
      <c r="F504" s="12">
        <v>45966</v>
      </c>
      <c r="G504" s="13" t="s">
        <v>226</v>
      </c>
      <c r="H504" s="10" t="s">
        <v>27</v>
      </c>
      <c r="I504" s="14" t="s">
        <v>28</v>
      </c>
      <c r="J504" s="14" t="s">
        <v>139</v>
      </c>
      <c r="K504" s="15"/>
      <c r="L504" s="15"/>
      <c r="M504" s="16" t="s">
        <v>227</v>
      </c>
      <c r="N504" s="8" t="s">
        <v>228</v>
      </c>
      <c r="O504" s="8" t="s">
        <v>40</v>
      </c>
      <c r="P504" s="17" t="s">
        <v>86</v>
      </c>
      <c r="Q504" s="18">
        <v>45972</v>
      </c>
      <c r="R504" s="9">
        <v>6</v>
      </c>
      <c r="S504" s="8" t="s">
        <v>32</v>
      </c>
      <c r="T504" s="8" t="s">
        <v>1048</v>
      </c>
      <c r="U504" s="8" t="s">
        <v>271</v>
      </c>
      <c r="V504" s="8" t="s">
        <v>1186</v>
      </c>
      <c r="W504" s="19" t="s">
        <v>1179</v>
      </c>
    </row>
    <row r="505" spans="1:23" x14ac:dyDescent="0.25">
      <c r="A505" s="8" t="s">
        <v>501</v>
      </c>
      <c r="B505" s="8" t="str">
        <f t="shared" si="7"/>
        <v>SGL4C7445972</v>
      </c>
      <c r="C505" s="9" t="s">
        <v>96</v>
      </c>
      <c r="D505" s="10" t="s">
        <v>383</v>
      </c>
      <c r="E505" s="11" t="s">
        <v>539</v>
      </c>
      <c r="F505" s="12">
        <v>45967</v>
      </c>
      <c r="G505" s="13" t="s">
        <v>39</v>
      </c>
      <c r="H505" s="10" t="s">
        <v>27</v>
      </c>
      <c r="I505" s="14" t="s">
        <v>28</v>
      </c>
      <c r="J505" s="14" t="s">
        <v>139</v>
      </c>
      <c r="K505" s="15"/>
      <c r="L505" s="15"/>
      <c r="M505" s="16" t="s">
        <v>485</v>
      </c>
      <c r="N505" s="8" t="s">
        <v>228</v>
      </c>
      <c r="O505" s="8"/>
      <c r="P505" s="17">
        <v>45972</v>
      </c>
      <c r="Q505" s="18">
        <v>45972</v>
      </c>
      <c r="R505" s="9">
        <v>5</v>
      </c>
      <c r="S505" s="8" t="s">
        <v>32</v>
      </c>
      <c r="T505" s="8" t="s">
        <v>782</v>
      </c>
      <c r="U505" s="8" t="s">
        <v>460</v>
      </c>
      <c r="V505" s="8" t="s">
        <v>1186</v>
      </c>
      <c r="W505" s="19" t="s">
        <v>1281</v>
      </c>
    </row>
    <row r="506" spans="1:23" x14ac:dyDescent="0.25">
      <c r="A506" s="8" t="s">
        <v>797</v>
      </c>
      <c r="B506" s="8" t="str">
        <f t="shared" si="7"/>
        <v>RVF9J6445972</v>
      </c>
      <c r="C506" s="9" t="s">
        <v>479</v>
      </c>
      <c r="D506" s="10"/>
      <c r="E506" s="11" t="s">
        <v>1360</v>
      </c>
      <c r="F506" s="12">
        <v>45964</v>
      </c>
      <c r="G506" s="13" t="s">
        <v>138</v>
      </c>
      <c r="H506" s="10" t="s">
        <v>31</v>
      </c>
      <c r="I506" s="14" t="s">
        <v>28</v>
      </c>
      <c r="J506" s="14" t="s">
        <v>139</v>
      </c>
      <c r="K506" s="15"/>
      <c r="L506" s="15"/>
      <c r="M506" s="16" t="s">
        <v>343</v>
      </c>
      <c r="N506" s="8" t="s">
        <v>30</v>
      </c>
      <c r="O506" s="8" t="s">
        <v>31</v>
      </c>
      <c r="P506" s="17" t="s">
        <v>86</v>
      </c>
      <c r="Q506" s="18">
        <v>45972</v>
      </c>
      <c r="R506" s="9">
        <v>8</v>
      </c>
      <c r="S506" s="8" t="s">
        <v>32</v>
      </c>
      <c r="T506" s="8" t="s">
        <v>1361</v>
      </c>
      <c r="U506" s="8" t="s">
        <v>59</v>
      </c>
      <c r="V506" s="8" t="s">
        <v>320</v>
      </c>
      <c r="W506" s="19" t="s">
        <v>1164</v>
      </c>
    </row>
    <row r="507" spans="1:23" x14ac:dyDescent="0.25">
      <c r="A507" s="8" t="s">
        <v>1362</v>
      </c>
      <c r="B507" s="8" t="str">
        <f t="shared" si="7"/>
        <v>RTM6B5045972</v>
      </c>
      <c r="C507" s="9" t="s">
        <v>72</v>
      </c>
      <c r="D507" s="10" t="s">
        <v>1363</v>
      </c>
      <c r="E507" s="11" t="s">
        <v>1364</v>
      </c>
      <c r="F507" s="12">
        <v>45968</v>
      </c>
      <c r="G507" s="13" t="s">
        <v>226</v>
      </c>
      <c r="H507" s="10" t="s">
        <v>27</v>
      </c>
      <c r="I507" s="14" t="s">
        <v>28</v>
      </c>
      <c r="J507" s="14" t="s">
        <v>139</v>
      </c>
      <c r="K507" s="15"/>
      <c r="L507" s="15"/>
      <c r="M507" s="16" t="s">
        <v>398</v>
      </c>
      <c r="N507" s="8" t="s">
        <v>30</v>
      </c>
      <c r="O507" s="8" t="s">
        <v>40</v>
      </c>
      <c r="P507" s="17" t="s">
        <v>86</v>
      </c>
      <c r="Q507" s="18">
        <v>45972</v>
      </c>
      <c r="R507" s="9">
        <v>4</v>
      </c>
      <c r="S507" s="8" t="s">
        <v>32</v>
      </c>
      <c r="T507" s="8" t="s">
        <v>41</v>
      </c>
      <c r="U507" s="8" t="s">
        <v>486</v>
      </c>
      <c r="V507" s="8" t="s">
        <v>1186</v>
      </c>
      <c r="W507" s="19" t="s">
        <v>1215</v>
      </c>
    </row>
    <row r="508" spans="1:23" x14ac:dyDescent="0.25">
      <c r="A508" s="8" t="s">
        <v>1153</v>
      </c>
      <c r="B508" s="8" t="str">
        <f t="shared" si="7"/>
        <v>RNJ9C3845972</v>
      </c>
      <c r="C508" s="9" t="s">
        <v>72</v>
      </c>
      <c r="D508" s="10"/>
      <c r="E508" s="11" t="s">
        <v>232</v>
      </c>
      <c r="F508" s="12">
        <v>45964</v>
      </c>
      <c r="G508" s="13" t="s">
        <v>872</v>
      </c>
      <c r="H508" s="10" t="s">
        <v>27</v>
      </c>
      <c r="I508" s="14" t="s">
        <v>28</v>
      </c>
      <c r="J508" s="14" t="s">
        <v>29</v>
      </c>
      <c r="K508" s="15">
        <v>1803.88</v>
      </c>
      <c r="L508" s="15">
        <v>1700</v>
      </c>
      <c r="M508" s="16" t="s">
        <v>329</v>
      </c>
      <c r="N508" s="8" t="s">
        <v>30</v>
      </c>
      <c r="O508" s="8" t="s">
        <v>40</v>
      </c>
      <c r="P508" s="17">
        <v>45972</v>
      </c>
      <c r="Q508" s="18">
        <v>45972</v>
      </c>
      <c r="R508" s="9">
        <v>8</v>
      </c>
      <c r="S508" s="8" t="s">
        <v>32</v>
      </c>
      <c r="T508" s="8" t="s">
        <v>66</v>
      </c>
      <c r="U508" s="8" t="s">
        <v>465</v>
      </c>
      <c r="V508" s="8" t="s">
        <v>1186</v>
      </c>
      <c r="W508" s="19" t="s">
        <v>1165</v>
      </c>
    </row>
    <row r="509" spans="1:23" x14ac:dyDescent="0.25">
      <c r="A509" s="8" t="s">
        <v>84</v>
      </c>
      <c r="B509" s="8" t="str">
        <f t="shared" si="7"/>
        <v>RTM6B4745972</v>
      </c>
      <c r="C509" s="9" t="s">
        <v>44</v>
      </c>
      <c r="D509" s="10"/>
      <c r="E509" s="11" t="s">
        <v>1305</v>
      </c>
      <c r="F509" s="12">
        <v>45959</v>
      </c>
      <c r="G509" s="13" t="s">
        <v>872</v>
      </c>
      <c r="H509" s="10" t="s">
        <v>27</v>
      </c>
      <c r="I509" s="14" t="s">
        <v>28</v>
      </c>
      <c r="J509" s="14" t="s">
        <v>29</v>
      </c>
      <c r="K509" s="15"/>
      <c r="L509" s="15"/>
      <c r="M509" s="16" t="s">
        <v>497</v>
      </c>
      <c r="N509" s="8" t="s">
        <v>30</v>
      </c>
      <c r="O509" s="8" t="s">
        <v>40</v>
      </c>
      <c r="P509" s="17" t="s">
        <v>86</v>
      </c>
      <c r="Q509" s="18">
        <v>45972</v>
      </c>
      <c r="R509" s="9"/>
      <c r="S509" s="8" t="s">
        <v>32</v>
      </c>
      <c r="T509" s="8" t="s">
        <v>66</v>
      </c>
      <c r="U509" s="8" t="s">
        <v>67</v>
      </c>
      <c r="V509" s="8" t="s">
        <v>320</v>
      </c>
      <c r="W509" s="19" t="s">
        <v>1310</v>
      </c>
    </row>
    <row r="510" spans="1:23" x14ac:dyDescent="0.25">
      <c r="A510" s="8" t="s">
        <v>536</v>
      </c>
      <c r="B510" s="8" t="str">
        <f t="shared" si="7"/>
        <v>RUX2C8045972</v>
      </c>
      <c r="C510" s="9" t="s">
        <v>680</v>
      </c>
      <c r="D510" s="10"/>
      <c r="E510" s="11" t="s">
        <v>1305</v>
      </c>
      <c r="F510" s="12">
        <v>45964</v>
      </c>
      <c r="G510" s="13" t="s">
        <v>872</v>
      </c>
      <c r="H510" s="10" t="s">
        <v>27</v>
      </c>
      <c r="I510" s="14" t="s">
        <v>28</v>
      </c>
      <c r="J510" s="14" t="s">
        <v>139</v>
      </c>
      <c r="K510" s="15"/>
      <c r="L510" s="15"/>
      <c r="M510" s="16" t="s">
        <v>329</v>
      </c>
      <c r="N510" s="8" t="s">
        <v>30</v>
      </c>
      <c r="O510" s="8" t="s">
        <v>40</v>
      </c>
      <c r="P510" s="17" t="s">
        <v>86</v>
      </c>
      <c r="Q510" s="18">
        <v>45972</v>
      </c>
      <c r="R510" s="9"/>
      <c r="S510" s="8" t="s">
        <v>32</v>
      </c>
      <c r="T510" s="8" t="s">
        <v>66</v>
      </c>
      <c r="U510" s="8" t="s">
        <v>465</v>
      </c>
      <c r="V510" s="8" t="s">
        <v>1186</v>
      </c>
      <c r="W510" s="19" t="s">
        <v>1165</v>
      </c>
    </row>
    <row r="511" spans="1:23" x14ac:dyDescent="0.25">
      <c r="A511" s="8" t="s">
        <v>1365</v>
      </c>
      <c r="B511" s="8" t="str">
        <f t="shared" si="7"/>
        <v>SGI8J6445972</v>
      </c>
      <c r="C511" s="9" t="s">
        <v>96</v>
      </c>
      <c r="D511" s="10">
        <v>67424</v>
      </c>
      <c r="E511" s="11" t="s">
        <v>768</v>
      </c>
      <c r="F511" s="12">
        <v>45943</v>
      </c>
      <c r="G511" s="13" t="s">
        <v>39</v>
      </c>
      <c r="H511" s="10" t="s">
        <v>27</v>
      </c>
      <c r="I511" s="14" t="s">
        <v>28</v>
      </c>
      <c r="J511" s="14" t="s">
        <v>29</v>
      </c>
      <c r="K511" s="15"/>
      <c r="L511" s="15"/>
      <c r="M511" s="16" t="s">
        <v>329</v>
      </c>
      <c r="N511" s="8" t="s">
        <v>30</v>
      </c>
      <c r="O511" s="8" t="s">
        <v>40</v>
      </c>
      <c r="P511" s="17">
        <v>45976</v>
      </c>
      <c r="Q511" s="18">
        <v>45972</v>
      </c>
      <c r="R511" s="9">
        <v>29</v>
      </c>
      <c r="S511" s="8" t="s">
        <v>32</v>
      </c>
      <c r="T511" s="8" t="s">
        <v>900</v>
      </c>
      <c r="U511" s="8" t="s">
        <v>465</v>
      </c>
      <c r="V511" s="8" t="s">
        <v>320</v>
      </c>
      <c r="W511" s="19" t="s">
        <v>1165</v>
      </c>
    </row>
    <row r="512" spans="1:23" x14ac:dyDescent="0.25">
      <c r="A512" s="8" t="s">
        <v>1366</v>
      </c>
      <c r="B512" s="8" t="str">
        <f t="shared" si="7"/>
        <v>SGH8H6145972</v>
      </c>
      <c r="C512" s="9" t="s">
        <v>96</v>
      </c>
      <c r="D512" s="10">
        <v>76000</v>
      </c>
      <c r="E512" s="11" t="s">
        <v>768</v>
      </c>
      <c r="F512" s="12">
        <v>45943</v>
      </c>
      <c r="G512" s="13" t="s">
        <v>39</v>
      </c>
      <c r="H512" s="10" t="s">
        <v>27</v>
      </c>
      <c r="I512" s="14" t="s">
        <v>28</v>
      </c>
      <c r="J512" s="14" t="s">
        <v>29</v>
      </c>
      <c r="K512" s="15"/>
      <c r="L512" s="15"/>
      <c r="M512" s="16" t="s">
        <v>329</v>
      </c>
      <c r="N512" s="8" t="s">
        <v>30</v>
      </c>
      <c r="O512" s="8" t="s">
        <v>40</v>
      </c>
      <c r="P512" s="17">
        <v>45972</v>
      </c>
      <c r="Q512" s="18">
        <v>45972</v>
      </c>
      <c r="R512" s="9">
        <v>29</v>
      </c>
      <c r="S512" s="8" t="s">
        <v>32</v>
      </c>
      <c r="T512" s="8" t="s">
        <v>66</v>
      </c>
      <c r="U512" s="8" t="s">
        <v>465</v>
      </c>
      <c r="V512" s="8" t="s">
        <v>320</v>
      </c>
      <c r="W512" s="19" t="s">
        <v>1165</v>
      </c>
    </row>
    <row r="513" spans="1:23" x14ac:dyDescent="0.25">
      <c r="A513" s="8" t="s">
        <v>1367</v>
      </c>
      <c r="B513" s="8" t="str">
        <f t="shared" si="7"/>
        <v>SGH8B5145972</v>
      </c>
      <c r="C513" s="9" t="s">
        <v>96</v>
      </c>
      <c r="D513" s="10" t="s">
        <v>383</v>
      </c>
      <c r="E513" s="11" t="s">
        <v>768</v>
      </c>
      <c r="F513" s="12">
        <v>45946</v>
      </c>
      <c r="G513" s="13" t="s">
        <v>39</v>
      </c>
      <c r="H513" s="10" t="s">
        <v>27</v>
      </c>
      <c r="I513" s="14" t="s">
        <v>28</v>
      </c>
      <c r="J513" s="14" t="s">
        <v>139</v>
      </c>
      <c r="K513" s="15"/>
      <c r="L513" s="15"/>
      <c r="M513" s="16" t="s">
        <v>329</v>
      </c>
      <c r="N513" s="8" t="s">
        <v>30</v>
      </c>
      <c r="O513" s="8" t="s">
        <v>40</v>
      </c>
      <c r="P513" s="17" t="s">
        <v>187</v>
      </c>
      <c r="Q513" s="18">
        <v>45972</v>
      </c>
      <c r="R513" s="9">
        <v>26</v>
      </c>
      <c r="S513" s="8" t="s">
        <v>32</v>
      </c>
      <c r="T513" s="8" t="s">
        <v>669</v>
      </c>
      <c r="U513" s="8" t="s">
        <v>465</v>
      </c>
      <c r="V513" s="8" t="s">
        <v>320</v>
      </c>
      <c r="W513" s="19" t="s">
        <v>1165</v>
      </c>
    </row>
    <row r="514" spans="1:23" x14ac:dyDescent="0.25">
      <c r="A514" s="8" t="s">
        <v>1368</v>
      </c>
      <c r="B514" s="8" t="str">
        <f t="shared" si="7"/>
        <v>SFV0D5945972</v>
      </c>
      <c r="C514" s="9" t="s">
        <v>69</v>
      </c>
      <c r="D514" s="10" t="s">
        <v>383</v>
      </c>
      <c r="E514" s="11" t="s">
        <v>1369</v>
      </c>
      <c r="F514" s="12">
        <v>45971</v>
      </c>
      <c r="G514" s="13" t="s">
        <v>39</v>
      </c>
      <c r="H514" s="10" t="s">
        <v>27</v>
      </c>
      <c r="I514" s="14" t="s">
        <v>28</v>
      </c>
      <c r="J514" s="14" t="s">
        <v>29</v>
      </c>
      <c r="K514" s="15"/>
      <c r="L514" s="15"/>
      <c r="M514" s="16" t="s">
        <v>424</v>
      </c>
      <c r="N514" s="8" t="s">
        <v>30</v>
      </c>
      <c r="O514" s="8" t="s">
        <v>40</v>
      </c>
      <c r="P514" s="17" t="s">
        <v>86</v>
      </c>
      <c r="Q514" s="18">
        <v>45972</v>
      </c>
      <c r="R514" s="9">
        <v>1</v>
      </c>
      <c r="S514" s="8" t="s">
        <v>153</v>
      </c>
      <c r="T514" s="8" t="s">
        <v>98</v>
      </c>
      <c r="U514" s="8" t="s">
        <v>1370</v>
      </c>
      <c r="V514" s="8" t="s">
        <v>1186</v>
      </c>
      <c r="W514" s="19" t="s">
        <v>1371</v>
      </c>
    </row>
    <row r="515" spans="1:23" x14ac:dyDescent="0.25">
      <c r="A515" s="8" t="s">
        <v>1372</v>
      </c>
      <c r="B515" s="8" t="str">
        <f t="shared" ref="B515:B578" si="8">A515&amp;Q515</f>
        <v>SDQ3H1445972</v>
      </c>
      <c r="C515" s="9" t="s">
        <v>127</v>
      </c>
      <c r="D515" s="10" t="s">
        <v>383</v>
      </c>
      <c r="E515" s="11" t="s">
        <v>1373</v>
      </c>
      <c r="F515" s="12">
        <v>45968</v>
      </c>
      <c r="G515" s="13" t="s">
        <v>364</v>
      </c>
      <c r="H515" s="10" t="s">
        <v>27</v>
      </c>
      <c r="I515" s="14" t="s">
        <v>28</v>
      </c>
      <c r="J515" s="14" t="s">
        <v>29</v>
      </c>
      <c r="K515" s="15"/>
      <c r="L515" s="15"/>
      <c r="M515" s="16" t="s">
        <v>1374</v>
      </c>
      <c r="N515" s="8" t="s">
        <v>30</v>
      </c>
      <c r="O515" s="8" t="s">
        <v>40</v>
      </c>
      <c r="P515" s="17" t="s">
        <v>86</v>
      </c>
      <c r="Q515" s="18">
        <v>45972</v>
      </c>
      <c r="R515" s="9"/>
      <c r="S515" s="8" t="s">
        <v>153</v>
      </c>
      <c r="T515" s="8" t="s">
        <v>1375</v>
      </c>
      <c r="U515" s="8" t="s">
        <v>1376</v>
      </c>
      <c r="V515" s="8" t="s">
        <v>1186</v>
      </c>
      <c r="W515" s="19" t="s">
        <v>1377</v>
      </c>
    </row>
    <row r="516" spans="1:23" x14ac:dyDescent="0.25">
      <c r="A516" s="8" t="s">
        <v>1378</v>
      </c>
      <c r="B516" s="8" t="str">
        <f t="shared" si="8"/>
        <v>GEI7B1545972</v>
      </c>
      <c r="C516" s="9" t="s">
        <v>224</v>
      </c>
      <c r="D516" s="10" t="s">
        <v>383</v>
      </c>
      <c r="E516" s="11" t="s">
        <v>1379</v>
      </c>
      <c r="F516" s="12">
        <v>45973</v>
      </c>
      <c r="G516" s="13" t="s">
        <v>226</v>
      </c>
      <c r="H516" s="10"/>
      <c r="I516" s="14" t="s">
        <v>176</v>
      </c>
      <c r="J516" s="14" t="s">
        <v>139</v>
      </c>
      <c r="K516" s="15"/>
      <c r="L516" s="15"/>
      <c r="M516" s="16" t="s">
        <v>227</v>
      </c>
      <c r="N516" s="8" t="s">
        <v>228</v>
      </c>
      <c r="O516" s="8" t="s">
        <v>40</v>
      </c>
      <c r="P516" s="17">
        <v>45972</v>
      </c>
      <c r="Q516" s="18">
        <v>45972</v>
      </c>
      <c r="R516" s="9" t="e">
        <v>#NUM!</v>
      </c>
      <c r="S516" s="8" t="e">
        <v>#NUM!</v>
      </c>
      <c r="T516" s="8" t="s">
        <v>98</v>
      </c>
      <c r="U516" s="8" t="s">
        <v>271</v>
      </c>
      <c r="V516" s="8" t="s">
        <v>1186</v>
      </c>
      <c r="W516" s="19" t="s">
        <v>1179</v>
      </c>
    </row>
    <row r="517" spans="1:23" x14ac:dyDescent="0.25">
      <c r="A517" s="8" t="s">
        <v>331</v>
      </c>
      <c r="B517" s="8" t="str">
        <f t="shared" si="8"/>
        <v>RUM2B3545972</v>
      </c>
      <c r="C517" s="9" t="s">
        <v>37</v>
      </c>
      <c r="D517" s="10" t="s">
        <v>383</v>
      </c>
      <c r="E517" s="11" t="s">
        <v>1380</v>
      </c>
      <c r="F517" s="12">
        <v>45967</v>
      </c>
      <c r="G517" s="13" t="s">
        <v>123</v>
      </c>
      <c r="H517" s="10" t="s">
        <v>27</v>
      </c>
      <c r="I517" s="14" t="s">
        <v>28</v>
      </c>
      <c r="J517" s="14" t="s">
        <v>29</v>
      </c>
      <c r="K517" s="15"/>
      <c r="L517" s="15"/>
      <c r="M517" s="16" t="s">
        <v>214</v>
      </c>
      <c r="N517" s="8" t="s">
        <v>30</v>
      </c>
      <c r="O517" s="8" t="s">
        <v>40</v>
      </c>
      <c r="P517" s="17">
        <v>45972</v>
      </c>
      <c r="Q517" s="18">
        <v>45972</v>
      </c>
      <c r="R517" s="9">
        <v>5</v>
      </c>
      <c r="S517" s="8" t="s">
        <v>32</v>
      </c>
      <c r="T517" s="8" t="s">
        <v>98</v>
      </c>
      <c r="U517" s="8" t="s">
        <v>215</v>
      </c>
      <c r="V517" s="8" t="s">
        <v>1186</v>
      </c>
      <c r="W517" s="19" t="s">
        <v>1242</v>
      </c>
    </row>
    <row r="518" spans="1:23" x14ac:dyDescent="0.25">
      <c r="A518" s="8" t="s">
        <v>1381</v>
      </c>
      <c r="B518" s="8" t="str">
        <f t="shared" si="8"/>
        <v>FZL8E6445972</v>
      </c>
      <c r="C518" s="9" t="s">
        <v>224</v>
      </c>
      <c r="D518" s="10">
        <v>144917</v>
      </c>
      <c r="E518" s="11" t="s">
        <v>1382</v>
      </c>
      <c r="F518" s="12">
        <v>45964</v>
      </c>
      <c r="G518" s="13" t="s">
        <v>226</v>
      </c>
      <c r="H518" s="10" t="s">
        <v>27</v>
      </c>
      <c r="I518" s="14" t="s">
        <v>28</v>
      </c>
      <c r="J518" s="14" t="s">
        <v>139</v>
      </c>
      <c r="K518" s="15"/>
      <c r="L518" s="15"/>
      <c r="M518" s="16" t="s">
        <v>315</v>
      </c>
      <c r="N518" s="8" t="s">
        <v>228</v>
      </c>
      <c r="O518" s="8"/>
      <c r="P518" s="17">
        <v>45972</v>
      </c>
      <c r="Q518" s="18">
        <v>45972</v>
      </c>
      <c r="R518" s="9">
        <v>8</v>
      </c>
      <c r="S518" s="8" t="s">
        <v>32</v>
      </c>
      <c r="T518" s="8" t="s">
        <v>98</v>
      </c>
      <c r="U518" s="8" t="s">
        <v>254</v>
      </c>
      <c r="V518" s="8" t="s">
        <v>1186</v>
      </c>
      <c r="W518" s="19" t="s">
        <v>1189</v>
      </c>
    </row>
    <row r="519" spans="1:23" x14ac:dyDescent="0.25">
      <c r="A519" s="8" t="s">
        <v>1383</v>
      </c>
      <c r="B519" s="8" t="str">
        <f t="shared" si="8"/>
        <v>RFT7G7845972</v>
      </c>
      <c r="C519" s="9" t="s">
        <v>44</v>
      </c>
      <c r="D519" s="10"/>
      <c r="E519" s="11" t="s">
        <v>1384</v>
      </c>
      <c r="F519" s="12">
        <v>45972</v>
      </c>
      <c r="G519" s="13" t="s">
        <v>123</v>
      </c>
      <c r="H519" s="10" t="s">
        <v>27</v>
      </c>
      <c r="I519" s="14" t="s">
        <v>28</v>
      </c>
      <c r="J519" s="14" t="s">
        <v>29</v>
      </c>
      <c r="K519" s="15"/>
      <c r="L519" s="15"/>
      <c r="M519" s="16" t="s">
        <v>1385</v>
      </c>
      <c r="N519" s="8" t="s">
        <v>30</v>
      </c>
      <c r="O519" s="8" t="s">
        <v>40</v>
      </c>
      <c r="P519" s="17">
        <v>45972</v>
      </c>
      <c r="Q519" s="18">
        <v>45972</v>
      </c>
      <c r="R519" s="9"/>
      <c r="S519" s="8"/>
      <c r="T519" s="8" t="s">
        <v>41</v>
      </c>
      <c r="U519" s="8" t="s">
        <v>1386</v>
      </c>
      <c r="V519" s="8" t="s">
        <v>1237</v>
      </c>
      <c r="W519" s="19" t="s">
        <v>1387</v>
      </c>
    </row>
    <row r="520" spans="1:23" x14ac:dyDescent="0.25">
      <c r="A520" s="8" t="s">
        <v>1388</v>
      </c>
      <c r="B520" s="8" t="str">
        <f t="shared" si="8"/>
        <v>RVC0J62 45972</v>
      </c>
      <c r="C520" s="9" t="s">
        <v>479</v>
      </c>
      <c r="D520" s="10"/>
      <c r="E520" s="11" t="s">
        <v>277</v>
      </c>
      <c r="F520" s="12">
        <v>45971</v>
      </c>
      <c r="G520" s="13" t="s">
        <v>138</v>
      </c>
      <c r="H520" s="10" t="s">
        <v>27</v>
      </c>
      <c r="I520" s="14" t="s">
        <v>28</v>
      </c>
      <c r="J520" s="14" t="s">
        <v>29</v>
      </c>
      <c r="K520" s="15"/>
      <c r="L520" s="15"/>
      <c r="M520" s="16" t="s">
        <v>343</v>
      </c>
      <c r="N520" s="8" t="s">
        <v>30</v>
      </c>
      <c r="O520" s="8" t="s">
        <v>40</v>
      </c>
      <c r="P520" s="17" t="s">
        <v>86</v>
      </c>
      <c r="Q520" s="18">
        <v>45972</v>
      </c>
      <c r="R520" s="9">
        <v>1</v>
      </c>
      <c r="S520" s="8" t="s">
        <v>153</v>
      </c>
      <c r="T520" s="8" t="s">
        <v>312</v>
      </c>
      <c r="U520" s="8" t="s">
        <v>59</v>
      </c>
      <c r="V520" s="8" t="s">
        <v>1186</v>
      </c>
      <c r="W520" s="19" t="s">
        <v>1164</v>
      </c>
    </row>
    <row r="521" spans="1:23" x14ac:dyDescent="0.25">
      <c r="A521" s="8" t="s">
        <v>755</v>
      </c>
      <c r="B521" s="8" t="str">
        <f t="shared" si="8"/>
        <v>RVH3F3645972</v>
      </c>
      <c r="C521" s="9" t="s">
        <v>505</v>
      </c>
      <c r="D521" s="10" t="s">
        <v>383</v>
      </c>
      <c r="E521" s="11" t="s">
        <v>1389</v>
      </c>
      <c r="F521" s="12">
        <v>45964</v>
      </c>
      <c r="G521" s="13" t="s">
        <v>226</v>
      </c>
      <c r="H521" s="10" t="s">
        <v>27</v>
      </c>
      <c r="I521" s="14" t="s">
        <v>28</v>
      </c>
      <c r="J521" s="14" t="s">
        <v>139</v>
      </c>
      <c r="K521" s="15"/>
      <c r="L521" s="15"/>
      <c r="M521" s="16" t="s">
        <v>186</v>
      </c>
      <c r="N521" s="8" t="s">
        <v>30</v>
      </c>
      <c r="O521" s="8" t="s">
        <v>40</v>
      </c>
      <c r="P521" s="17" t="s">
        <v>241</v>
      </c>
      <c r="Q521" s="18">
        <v>45972</v>
      </c>
      <c r="R521" s="9">
        <v>8</v>
      </c>
      <c r="S521" s="8" t="s">
        <v>32</v>
      </c>
      <c r="T521" s="8" t="s">
        <v>74</v>
      </c>
      <c r="U521" s="8" t="s">
        <v>188</v>
      </c>
      <c r="V521" s="8" t="s">
        <v>320</v>
      </c>
      <c r="W521" s="19" t="s">
        <v>1324</v>
      </c>
    </row>
    <row r="522" spans="1:23" x14ac:dyDescent="0.25">
      <c r="A522" s="8" t="s">
        <v>846</v>
      </c>
      <c r="B522" s="8" t="str">
        <f t="shared" si="8"/>
        <v>RUY3D3345972</v>
      </c>
      <c r="C522" s="9" t="s">
        <v>44</v>
      </c>
      <c r="D522" s="10">
        <v>126692</v>
      </c>
      <c r="E522" s="11" t="s">
        <v>1390</v>
      </c>
      <c r="F522" s="12">
        <v>45959</v>
      </c>
      <c r="G522" s="13" t="s">
        <v>743</v>
      </c>
      <c r="H522" s="10" t="s">
        <v>27</v>
      </c>
      <c r="I522" s="14" t="s">
        <v>28</v>
      </c>
      <c r="J522" s="14" t="s">
        <v>29</v>
      </c>
      <c r="K522" s="15"/>
      <c r="L522" s="15"/>
      <c r="M522" s="16" t="s">
        <v>605</v>
      </c>
      <c r="N522" s="8" t="s">
        <v>30</v>
      </c>
      <c r="O522" s="8" t="s">
        <v>40</v>
      </c>
      <c r="P522" s="17">
        <v>45972</v>
      </c>
      <c r="Q522" s="18">
        <v>45972</v>
      </c>
      <c r="R522" s="9">
        <v>13</v>
      </c>
      <c r="S522" s="8" t="s">
        <v>32</v>
      </c>
      <c r="T522" s="8" t="s">
        <v>1391</v>
      </c>
      <c r="U522" s="8" t="s">
        <v>721</v>
      </c>
      <c r="V522" s="8" t="s">
        <v>320</v>
      </c>
      <c r="W522" s="19" t="s">
        <v>1160</v>
      </c>
    </row>
    <row r="523" spans="1:23" x14ac:dyDescent="0.25">
      <c r="A523" s="8" t="s">
        <v>425</v>
      </c>
      <c r="B523" s="8" t="str">
        <f t="shared" si="8"/>
        <v>RTM6B5645972</v>
      </c>
      <c r="C523" s="9" t="s">
        <v>72</v>
      </c>
      <c r="D523" s="10">
        <v>91851</v>
      </c>
      <c r="E523" s="11" t="s">
        <v>1392</v>
      </c>
      <c r="F523" s="12">
        <v>45966</v>
      </c>
      <c r="G523" s="13" t="s">
        <v>743</v>
      </c>
      <c r="H523" s="10" t="s">
        <v>27</v>
      </c>
      <c r="I523" s="14" t="s">
        <v>28</v>
      </c>
      <c r="J523" s="14" t="s">
        <v>139</v>
      </c>
      <c r="K523" s="15"/>
      <c r="L523" s="15"/>
      <c r="M523" s="16" t="s">
        <v>424</v>
      </c>
      <c r="N523" s="8" t="s">
        <v>30</v>
      </c>
      <c r="O523" s="8" t="s">
        <v>40</v>
      </c>
      <c r="P523" s="17" t="s">
        <v>86</v>
      </c>
      <c r="Q523" s="18">
        <v>45972</v>
      </c>
      <c r="R523" s="9">
        <v>6</v>
      </c>
      <c r="S523" s="8" t="s">
        <v>32</v>
      </c>
      <c r="T523" s="8" t="s">
        <v>620</v>
      </c>
      <c r="U523" s="8" t="s">
        <v>134</v>
      </c>
      <c r="V523" s="8" t="s">
        <v>1186</v>
      </c>
      <c r="W523" s="19" t="s">
        <v>1371</v>
      </c>
    </row>
    <row r="524" spans="1:23" x14ac:dyDescent="0.25">
      <c r="A524" s="8" t="s">
        <v>1393</v>
      </c>
      <c r="B524" s="8" t="str">
        <f t="shared" si="8"/>
        <v>GGF8H5145973</v>
      </c>
      <c r="C524" s="9" t="s">
        <v>224</v>
      </c>
      <c r="D524" s="10">
        <v>107628</v>
      </c>
      <c r="E524" s="11" t="s">
        <v>1379</v>
      </c>
      <c r="F524" s="12">
        <v>45971</v>
      </c>
      <c r="G524" s="13" t="s">
        <v>226</v>
      </c>
      <c r="H524" s="10" t="s">
        <v>27</v>
      </c>
      <c r="I524" s="14" t="s">
        <v>176</v>
      </c>
      <c r="J524" s="14" t="s">
        <v>139</v>
      </c>
      <c r="K524" s="15"/>
      <c r="L524" s="15"/>
      <c r="M524" s="16" t="s">
        <v>227</v>
      </c>
      <c r="N524" s="8" t="s">
        <v>228</v>
      </c>
      <c r="O524" s="8" t="s">
        <v>40</v>
      </c>
      <c r="P524" s="17" t="s">
        <v>86</v>
      </c>
      <c r="Q524" s="18">
        <v>45973</v>
      </c>
      <c r="R524" s="9">
        <v>2</v>
      </c>
      <c r="S524" s="8" t="s">
        <v>153</v>
      </c>
      <c r="T524" s="8" t="s">
        <v>98</v>
      </c>
      <c r="U524" s="8" t="s">
        <v>271</v>
      </c>
      <c r="V524" s="8" t="s">
        <v>1186</v>
      </c>
      <c r="W524" s="19" t="s">
        <v>1179</v>
      </c>
    </row>
    <row r="525" spans="1:23" x14ac:dyDescent="0.25">
      <c r="A525" s="8" t="s">
        <v>1394</v>
      </c>
      <c r="B525" s="8" t="str">
        <f t="shared" si="8"/>
        <v>GGQ5I1345973</v>
      </c>
      <c r="C525" s="9" t="s">
        <v>24</v>
      </c>
      <c r="D525" s="10" t="s">
        <v>383</v>
      </c>
      <c r="E525" s="11" t="s">
        <v>1395</v>
      </c>
      <c r="F525" s="12">
        <v>45967</v>
      </c>
      <c r="G525" s="13" t="s">
        <v>123</v>
      </c>
      <c r="H525" s="10" t="s">
        <v>27</v>
      </c>
      <c r="I525" s="14" t="s">
        <v>28</v>
      </c>
      <c r="J525" s="14" t="s">
        <v>29</v>
      </c>
      <c r="K525" s="15"/>
      <c r="L525" s="15"/>
      <c r="M525" s="16" t="s">
        <v>237</v>
      </c>
      <c r="N525" s="8" t="s">
        <v>30</v>
      </c>
      <c r="O525" s="8" t="s">
        <v>40</v>
      </c>
      <c r="P525" s="17">
        <v>45972</v>
      </c>
      <c r="Q525" s="18">
        <v>45973</v>
      </c>
      <c r="R525" s="9"/>
      <c r="S525" s="8"/>
      <c r="T525" s="8" t="s">
        <v>98</v>
      </c>
      <c r="U525" s="8" t="s">
        <v>42</v>
      </c>
      <c r="V525" s="8" t="s">
        <v>1186</v>
      </c>
      <c r="W525" s="19" t="s">
        <v>1205</v>
      </c>
    </row>
    <row r="526" spans="1:23" x14ac:dyDescent="0.25">
      <c r="A526" s="8" t="s">
        <v>317</v>
      </c>
      <c r="B526" s="8" t="str">
        <f t="shared" si="8"/>
        <v>RUM2B4645973</v>
      </c>
      <c r="C526" s="9" t="s">
        <v>37</v>
      </c>
      <c r="D526" s="10" t="s">
        <v>383</v>
      </c>
      <c r="E526" s="11" t="s">
        <v>595</v>
      </c>
      <c r="F526" s="12">
        <v>45964</v>
      </c>
      <c r="G526" s="13" t="s">
        <v>123</v>
      </c>
      <c r="H526" s="10" t="s">
        <v>27</v>
      </c>
      <c r="I526" s="14" t="s">
        <v>28</v>
      </c>
      <c r="J526" s="14" t="s">
        <v>29</v>
      </c>
      <c r="K526" s="15"/>
      <c r="L526" s="15"/>
      <c r="M526" s="16" t="s">
        <v>237</v>
      </c>
      <c r="N526" s="8" t="s">
        <v>30</v>
      </c>
      <c r="O526" s="8" t="s">
        <v>40</v>
      </c>
      <c r="P526" s="17">
        <v>45973</v>
      </c>
      <c r="Q526" s="18">
        <v>45973</v>
      </c>
      <c r="R526" s="9"/>
      <c r="S526" s="8"/>
      <c r="T526" s="8" t="s">
        <v>41</v>
      </c>
      <c r="U526" s="8" t="s">
        <v>42</v>
      </c>
      <c r="V526" s="8" t="s">
        <v>1186</v>
      </c>
      <c r="W526" s="19" t="s">
        <v>1205</v>
      </c>
    </row>
    <row r="527" spans="1:23" x14ac:dyDescent="0.25">
      <c r="A527" s="8" t="s">
        <v>1396</v>
      </c>
      <c r="B527" s="8" t="str">
        <f t="shared" si="8"/>
        <v>SDT9G6545973</v>
      </c>
      <c r="C527" s="9" t="s">
        <v>518</v>
      </c>
      <c r="D527" s="10">
        <v>70905</v>
      </c>
      <c r="E527" s="11" t="s">
        <v>1397</v>
      </c>
      <c r="F527" s="12">
        <v>45952</v>
      </c>
      <c r="G527" s="13" t="s">
        <v>778</v>
      </c>
      <c r="H527" s="10" t="s">
        <v>52</v>
      </c>
      <c r="I527" s="14" t="s">
        <v>28</v>
      </c>
      <c r="J527" s="14" t="s">
        <v>139</v>
      </c>
      <c r="K527" s="15"/>
      <c r="L527" s="15"/>
      <c r="M527" s="16" t="s">
        <v>237</v>
      </c>
      <c r="N527" s="8" t="s">
        <v>30</v>
      </c>
      <c r="O527" s="8" t="s">
        <v>52</v>
      </c>
      <c r="P527" s="17">
        <v>45974</v>
      </c>
      <c r="Q527" s="18">
        <v>45973</v>
      </c>
      <c r="R527" s="9">
        <v>21</v>
      </c>
      <c r="S527" s="8" t="s">
        <v>32</v>
      </c>
      <c r="T527" s="8" t="s">
        <v>1398</v>
      </c>
      <c r="U527" s="8" t="s">
        <v>1386</v>
      </c>
      <c r="V527" s="8" t="s">
        <v>320</v>
      </c>
      <c r="W527" s="19" t="s">
        <v>1205</v>
      </c>
    </row>
    <row r="528" spans="1:23" x14ac:dyDescent="0.25">
      <c r="A528" s="8" t="s">
        <v>284</v>
      </c>
      <c r="B528" s="8" t="str">
        <f t="shared" si="8"/>
        <v>GEW1I6445973</v>
      </c>
      <c r="C528" s="9" t="s">
        <v>718</v>
      </c>
      <c r="D528" s="10" t="s">
        <v>383</v>
      </c>
      <c r="E528" s="11" t="s">
        <v>1399</v>
      </c>
      <c r="F528" s="12">
        <v>45970</v>
      </c>
      <c r="G528" s="13" t="s">
        <v>226</v>
      </c>
      <c r="H528" s="10" t="s">
        <v>27</v>
      </c>
      <c r="I528" s="14" t="s">
        <v>28</v>
      </c>
      <c r="J528" s="14" t="s">
        <v>29</v>
      </c>
      <c r="K528" s="15"/>
      <c r="L528" s="15"/>
      <c r="M528" s="16" t="s">
        <v>752</v>
      </c>
      <c r="N528" s="8" t="s">
        <v>287</v>
      </c>
      <c r="O528" s="8" t="s">
        <v>40</v>
      </c>
      <c r="P528" s="17">
        <v>45973</v>
      </c>
      <c r="Q528" s="18">
        <v>45973</v>
      </c>
      <c r="R528" s="9">
        <v>3</v>
      </c>
      <c r="S528" s="8" t="s">
        <v>32</v>
      </c>
      <c r="T528" s="8" t="s">
        <v>98</v>
      </c>
      <c r="U528" s="8" t="s">
        <v>513</v>
      </c>
      <c r="V528" s="8" t="s">
        <v>1186</v>
      </c>
      <c r="W528" s="19" t="s">
        <v>1208</v>
      </c>
    </row>
    <row r="529" spans="1:23" x14ac:dyDescent="0.25">
      <c r="A529" s="8" t="s">
        <v>1400</v>
      </c>
      <c r="B529" s="8" t="str">
        <f t="shared" si="8"/>
        <v>JCI8F9345973</v>
      </c>
      <c r="C529" s="9" t="s">
        <v>24</v>
      </c>
      <c r="D529" s="10">
        <v>69584</v>
      </c>
      <c r="E529" s="11" t="s">
        <v>1401</v>
      </c>
      <c r="F529" s="12">
        <v>45925</v>
      </c>
      <c r="G529" s="13" t="s">
        <v>138</v>
      </c>
      <c r="H529" s="10" t="s">
        <v>27</v>
      </c>
      <c r="I529" s="14" t="s">
        <v>28</v>
      </c>
      <c r="J529" s="14" t="s">
        <v>29</v>
      </c>
      <c r="K529" s="15"/>
      <c r="L529" s="15"/>
      <c r="M529" s="16" t="s">
        <v>343</v>
      </c>
      <c r="N529" s="8" t="s">
        <v>30</v>
      </c>
      <c r="O529" s="8" t="s">
        <v>31</v>
      </c>
      <c r="P529" s="17">
        <v>45973</v>
      </c>
      <c r="Q529" s="18">
        <v>45973</v>
      </c>
      <c r="R529" s="9">
        <v>48</v>
      </c>
      <c r="S529" s="8" t="s">
        <v>32</v>
      </c>
      <c r="T529" s="8" t="s">
        <v>98</v>
      </c>
      <c r="U529" s="8" t="s">
        <v>59</v>
      </c>
      <c r="V529" s="8" t="s">
        <v>313</v>
      </c>
      <c r="W529" s="19" t="s">
        <v>1238</v>
      </c>
    </row>
    <row r="530" spans="1:23" x14ac:dyDescent="0.25">
      <c r="A530" s="8" t="s">
        <v>1402</v>
      </c>
      <c r="B530" s="8" t="str">
        <f t="shared" si="8"/>
        <v>JCJ0D2645973</v>
      </c>
      <c r="C530" s="9" t="s">
        <v>24</v>
      </c>
      <c r="D530" s="10">
        <v>51957</v>
      </c>
      <c r="E530" s="11" t="s">
        <v>1403</v>
      </c>
      <c r="F530" s="12">
        <v>45939</v>
      </c>
      <c r="G530" s="13" t="s">
        <v>138</v>
      </c>
      <c r="H530" s="10" t="s">
        <v>27</v>
      </c>
      <c r="I530" s="14" t="s">
        <v>28</v>
      </c>
      <c r="J530" s="14" t="s">
        <v>29</v>
      </c>
      <c r="K530" s="15"/>
      <c r="L530" s="15"/>
      <c r="M530" s="16" t="s">
        <v>140</v>
      </c>
      <c r="N530" s="8" t="s">
        <v>30</v>
      </c>
      <c r="O530" s="8" t="s">
        <v>31</v>
      </c>
      <c r="P530" s="17">
        <v>45978</v>
      </c>
      <c r="Q530" s="18">
        <v>45973</v>
      </c>
      <c r="R530" s="9">
        <v>34</v>
      </c>
      <c r="S530" s="8" t="s">
        <v>32</v>
      </c>
      <c r="T530" s="8" t="s">
        <v>1404</v>
      </c>
      <c r="U530" s="8" t="s">
        <v>500</v>
      </c>
      <c r="V530" s="8" t="s">
        <v>320</v>
      </c>
      <c r="W530" s="19" t="s">
        <v>1238</v>
      </c>
    </row>
    <row r="531" spans="1:23" x14ac:dyDescent="0.25">
      <c r="A531" s="8" t="s">
        <v>1405</v>
      </c>
      <c r="B531" s="8" t="str">
        <f t="shared" si="8"/>
        <v>SFV0D6945973</v>
      </c>
      <c r="C531" s="9" t="s">
        <v>96</v>
      </c>
      <c r="D531" s="10" t="s">
        <v>383</v>
      </c>
      <c r="E531" s="11" t="s">
        <v>1406</v>
      </c>
      <c r="F531" s="12"/>
      <c r="G531" s="13" t="s">
        <v>39</v>
      </c>
      <c r="H531" s="10" t="s">
        <v>27</v>
      </c>
      <c r="I531" s="14" t="s">
        <v>28</v>
      </c>
      <c r="J531" s="14" t="s">
        <v>139</v>
      </c>
      <c r="K531" s="15"/>
      <c r="L531" s="15"/>
      <c r="M531" s="16" t="s">
        <v>424</v>
      </c>
      <c r="N531" s="8" t="s">
        <v>30</v>
      </c>
      <c r="O531" s="8" t="s">
        <v>40</v>
      </c>
      <c r="P531" s="17">
        <v>45973</v>
      </c>
      <c r="Q531" s="18">
        <v>45973</v>
      </c>
      <c r="R531" s="9">
        <v>45973</v>
      </c>
      <c r="S531" s="8" t="s">
        <v>32</v>
      </c>
      <c r="T531" s="8" t="s">
        <v>98</v>
      </c>
      <c r="U531" s="8"/>
      <c r="V531" s="8"/>
      <c r="W531" s="19" t="s">
        <v>1371</v>
      </c>
    </row>
    <row r="532" spans="1:23" x14ac:dyDescent="0.25">
      <c r="A532" s="8" t="s">
        <v>1249</v>
      </c>
      <c r="B532" s="8" t="str">
        <f t="shared" si="8"/>
        <v>RNE7C7745973</v>
      </c>
      <c r="C532" s="9" t="s">
        <v>72</v>
      </c>
      <c r="D532" s="10">
        <v>256340</v>
      </c>
      <c r="E532" s="11" t="s">
        <v>1250</v>
      </c>
      <c r="F532" s="12">
        <v>45966</v>
      </c>
      <c r="G532" s="13" t="s">
        <v>123</v>
      </c>
      <c r="H532" s="10" t="s">
        <v>27</v>
      </c>
      <c r="I532" s="14" t="s">
        <v>28</v>
      </c>
      <c r="J532" s="14" t="s">
        <v>29</v>
      </c>
      <c r="K532" s="15"/>
      <c r="L532" s="15"/>
      <c r="M532" s="16" t="s">
        <v>374</v>
      </c>
      <c r="N532" s="8" t="s">
        <v>30</v>
      </c>
      <c r="O532" s="8" t="s">
        <v>40</v>
      </c>
      <c r="P532" s="17">
        <v>45973</v>
      </c>
      <c r="Q532" s="18">
        <v>45973</v>
      </c>
      <c r="R532" s="9">
        <v>1</v>
      </c>
      <c r="S532" s="8" t="s">
        <v>153</v>
      </c>
      <c r="T532" s="8" t="s">
        <v>392</v>
      </c>
      <c r="U532" s="8" t="s">
        <v>393</v>
      </c>
      <c r="V532" s="8" t="s">
        <v>1186</v>
      </c>
      <c r="W532" s="19" t="s">
        <v>1251</v>
      </c>
    </row>
    <row r="533" spans="1:23" x14ac:dyDescent="0.25">
      <c r="A533" s="8" t="s">
        <v>1407</v>
      </c>
      <c r="B533" s="8" t="str">
        <f t="shared" si="8"/>
        <v>SGH0H2245973</v>
      </c>
      <c r="C533" s="9" t="s">
        <v>1408</v>
      </c>
      <c r="D533" s="10" t="s">
        <v>383</v>
      </c>
      <c r="E533" s="11" t="s">
        <v>768</v>
      </c>
      <c r="F533" s="12">
        <v>45946</v>
      </c>
      <c r="G533" s="13" t="s">
        <v>39</v>
      </c>
      <c r="H533" s="10" t="s">
        <v>27</v>
      </c>
      <c r="I533" s="14" t="s">
        <v>28</v>
      </c>
      <c r="J533" s="14" t="s">
        <v>29</v>
      </c>
      <c r="K533" s="15"/>
      <c r="L533" s="15"/>
      <c r="M533" s="16" t="e">
        <v>#N/A</v>
      </c>
      <c r="N533" s="8" t="s">
        <v>30</v>
      </c>
      <c r="O533" s="8" t="s">
        <v>40</v>
      </c>
      <c r="P533" s="17">
        <v>45976</v>
      </c>
      <c r="Q533" s="18">
        <v>45973</v>
      </c>
      <c r="R533" s="9">
        <v>27</v>
      </c>
      <c r="S533" s="8" t="s">
        <v>32</v>
      </c>
      <c r="T533" s="8" t="s">
        <v>900</v>
      </c>
      <c r="U533" s="8" t="s">
        <v>465</v>
      </c>
      <c r="V533" s="8" t="s">
        <v>320</v>
      </c>
      <c r="W533" s="19" t="e">
        <v>#N/A</v>
      </c>
    </row>
    <row r="534" spans="1:23" x14ac:dyDescent="0.25">
      <c r="A534" s="8" t="s">
        <v>689</v>
      </c>
      <c r="B534" s="8" t="str">
        <f t="shared" si="8"/>
        <v>RND8C5745973</v>
      </c>
      <c r="C534" s="9" t="s">
        <v>72</v>
      </c>
      <c r="D534" s="10">
        <v>135277</v>
      </c>
      <c r="E534" s="11" t="s">
        <v>1409</v>
      </c>
      <c r="F534" s="12">
        <v>45906</v>
      </c>
      <c r="G534" s="13" t="s">
        <v>123</v>
      </c>
      <c r="H534" s="10" t="s">
        <v>27</v>
      </c>
      <c r="I534" s="14" t="s">
        <v>28</v>
      </c>
      <c r="J534" s="14" t="s">
        <v>139</v>
      </c>
      <c r="K534" s="15"/>
      <c r="L534" s="15"/>
      <c r="M534" s="16" t="s">
        <v>374</v>
      </c>
      <c r="N534" s="8" t="s">
        <v>30</v>
      </c>
      <c r="O534" s="8" t="s">
        <v>40</v>
      </c>
      <c r="P534" s="17">
        <v>45973</v>
      </c>
      <c r="Q534" s="18">
        <v>45973</v>
      </c>
      <c r="R534" s="9">
        <v>67</v>
      </c>
      <c r="S534" s="8" t="s">
        <v>32</v>
      </c>
      <c r="T534" s="8" t="s">
        <v>392</v>
      </c>
      <c r="U534" s="8" t="s">
        <v>393</v>
      </c>
      <c r="V534" s="8" t="s">
        <v>35</v>
      </c>
      <c r="W534" s="19" t="s">
        <v>1251</v>
      </c>
    </row>
    <row r="535" spans="1:23" x14ac:dyDescent="0.25">
      <c r="A535" s="8" t="s">
        <v>1410</v>
      </c>
      <c r="B535" s="8" t="str">
        <f t="shared" si="8"/>
        <v>RVF9J9945973</v>
      </c>
      <c r="C535" s="9" t="s">
        <v>44</v>
      </c>
      <c r="D535" s="10">
        <v>76306</v>
      </c>
      <c r="E535" s="11" t="s">
        <v>1411</v>
      </c>
      <c r="F535" s="12">
        <v>45972</v>
      </c>
      <c r="G535" s="13" t="s">
        <v>138</v>
      </c>
      <c r="H535" s="10" t="s">
        <v>27</v>
      </c>
      <c r="I535" s="14" t="s">
        <v>28</v>
      </c>
      <c r="J535" s="14" t="s">
        <v>29</v>
      </c>
      <c r="K535" s="15"/>
      <c r="L535" s="15"/>
      <c r="M535" s="16" t="s">
        <v>200</v>
      </c>
      <c r="N535" s="8" t="s">
        <v>30</v>
      </c>
      <c r="O535" s="8" t="s">
        <v>40</v>
      </c>
      <c r="P535" s="17" t="s">
        <v>86</v>
      </c>
      <c r="Q535" s="18">
        <v>45973</v>
      </c>
      <c r="R535" s="9">
        <v>1</v>
      </c>
      <c r="S535" s="8" t="s">
        <v>153</v>
      </c>
      <c r="T535" s="8" t="s">
        <v>98</v>
      </c>
      <c r="U535" s="8" t="s">
        <v>1412</v>
      </c>
      <c r="V535" s="8" t="s">
        <v>1186</v>
      </c>
      <c r="W535" s="19" t="s">
        <v>1413</v>
      </c>
    </row>
    <row r="536" spans="1:23" x14ac:dyDescent="0.25">
      <c r="A536" s="8" t="s">
        <v>1414</v>
      </c>
      <c r="B536" s="8" t="str">
        <f t="shared" si="8"/>
        <v>JCJ3H9145973</v>
      </c>
      <c r="C536" s="9" t="s">
        <v>24</v>
      </c>
      <c r="D536" s="10">
        <v>105382</v>
      </c>
      <c r="E536" s="11" t="s">
        <v>1415</v>
      </c>
      <c r="F536" s="12">
        <v>45972</v>
      </c>
      <c r="G536" s="13" t="s">
        <v>123</v>
      </c>
      <c r="H536" s="10" t="s">
        <v>27</v>
      </c>
      <c r="I536" s="14" t="s">
        <v>176</v>
      </c>
      <c r="J536" s="14" t="s">
        <v>29</v>
      </c>
      <c r="K536" s="15"/>
      <c r="L536" s="15"/>
      <c r="M536" s="16" t="s">
        <v>338</v>
      </c>
      <c r="N536" s="8" t="s">
        <v>30</v>
      </c>
      <c r="O536" s="8" t="s">
        <v>40</v>
      </c>
      <c r="P536" s="17">
        <v>45972</v>
      </c>
      <c r="Q536" s="18">
        <v>45973</v>
      </c>
      <c r="R536" s="9">
        <v>1</v>
      </c>
      <c r="S536" s="8" t="s">
        <v>153</v>
      </c>
      <c r="T536" s="8" t="s">
        <v>620</v>
      </c>
      <c r="U536" s="8" t="s">
        <v>181</v>
      </c>
      <c r="V536" s="8" t="s">
        <v>1186</v>
      </c>
      <c r="W536" s="19" t="s">
        <v>1416</v>
      </c>
    </row>
    <row r="537" spans="1:23" x14ac:dyDescent="0.25">
      <c r="A537" s="8" t="s">
        <v>1417</v>
      </c>
      <c r="B537" s="8" t="str">
        <f t="shared" si="8"/>
        <v>SGI8I7345973</v>
      </c>
      <c r="C537" s="9" t="s">
        <v>96</v>
      </c>
      <c r="D537" s="10">
        <v>50697</v>
      </c>
      <c r="E537" s="11" t="s">
        <v>225</v>
      </c>
      <c r="F537" s="12">
        <v>45945</v>
      </c>
      <c r="G537" s="13" t="s">
        <v>39</v>
      </c>
      <c r="H537" s="10" t="s">
        <v>27</v>
      </c>
      <c r="I537" s="14" t="s">
        <v>28</v>
      </c>
      <c r="J537" s="14" t="s">
        <v>29</v>
      </c>
      <c r="K537" s="15" t="s">
        <v>1418</v>
      </c>
      <c r="L537" s="15"/>
      <c r="M537" s="16" t="s">
        <v>207</v>
      </c>
      <c r="N537" s="8" t="s">
        <v>30</v>
      </c>
      <c r="O537" s="8" t="s">
        <v>40</v>
      </c>
      <c r="P537" s="17">
        <v>45972</v>
      </c>
      <c r="Q537" s="18">
        <v>45973</v>
      </c>
      <c r="R537" s="9">
        <v>28</v>
      </c>
      <c r="S537" s="8" t="s">
        <v>32</v>
      </c>
      <c r="T537" s="8" t="s">
        <v>74</v>
      </c>
      <c r="U537" s="8" t="s">
        <v>1419</v>
      </c>
      <c r="V537" s="8" t="s">
        <v>320</v>
      </c>
      <c r="W537" s="19" t="s">
        <v>1259</v>
      </c>
    </row>
    <row r="538" spans="1:23" x14ac:dyDescent="0.25">
      <c r="A538" s="8" t="s">
        <v>1420</v>
      </c>
      <c r="B538" s="8" t="str">
        <f t="shared" si="8"/>
        <v>SVK8G8745973</v>
      </c>
      <c r="C538" s="9" t="s">
        <v>24</v>
      </c>
      <c r="D538" s="10"/>
      <c r="E538" s="11" t="s">
        <v>1421</v>
      </c>
      <c r="F538" s="12">
        <v>45971</v>
      </c>
      <c r="G538" s="13" t="s">
        <v>138</v>
      </c>
      <c r="H538" s="10" t="s">
        <v>27</v>
      </c>
      <c r="I538" s="14" t="s">
        <v>28</v>
      </c>
      <c r="J538" s="14" t="s">
        <v>139</v>
      </c>
      <c r="K538" s="15"/>
      <c r="L538" s="15"/>
      <c r="M538" s="16" t="s">
        <v>200</v>
      </c>
      <c r="N538" s="8" t="s">
        <v>30</v>
      </c>
      <c r="O538" s="8" t="s">
        <v>40</v>
      </c>
      <c r="P538" s="17" t="s">
        <v>86</v>
      </c>
      <c r="Q538" s="18">
        <v>45973</v>
      </c>
      <c r="R538" s="9">
        <v>2</v>
      </c>
      <c r="S538" s="8" t="s">
        <v>153</v>
      </c>
      <c r="T538" s="8" t="s">
        <v>1422</v>
      </c>
      <c r="U538" s="8" t="s">
        <v>202</v>
      </c>
      <c r="V538" s="8" t="s">
        <v>1186</v>
      </c>
      <c r="W538" s="19" t="s">
        <v>1413</v>
      </c>
    </row>
    <row r="539" spans="1:23" x14ac:dyDescent="0.25">
      <c r="A539" s="8" t="s">
        <v>1423</v>
      </c>
      <c r="B539" s="8" t="str">
        <f t="shared" si="8"/>
        <v>FGL7F74 45973</v>
      </c>
      <c r="C539" s="9" t="s">
        <v>224</v>
      </c>
      <c r="D539" s="10"/>
      <c r="E539" s="11" t="s">
        <v>1424</v>
      </c>
      <c r="F539" s="12">
        <v>45972</v>
      </c>
      <c r="G539" s="13" t="s">
        <v>138</v>
      </c>
      <c r="H539" s="10" t="s">
        <v>27</v>
      </c>
      <c r="I539" s="14" t="s">
        <v>28</v>
      </c>
      <c r="J539" s="14" t="s">
        <v>29</v>
      </c>
      <c r="K539" s="15"/>
      <c r="L539" s="15"/>
      <c r="M539" s="16" t="s">
        <v>343</v>
      </c>
      <c r="N539" s="8" t="s">
        <v>30</v>
      </c>
      <c r="O539" s="8" t="s">
        <v>40</v>
      </c>
      <c r="P539" s="17" t="s">
        <v>86</v>
      </c>
      <c r="Q539" s="18">
        <v>45973</v>
      </c>
      <c r="R539" s="9">
        <v>1</v>
      </c>
      <c r="S539" s="8" t="s">
        <v>153</v>
      </c>
      <c r="T539" s="8" t="s">
        <v>782</v>
      </c>
      <c r="U539" s="8" t="s">
        <v>59</v>
      </c>
      <c r="V539" s="8" t="s">
        <v>1186</v>
      </c>
      <c r="W539" s="19" t="s">
        <v>1164</v>
      </c>
    </row>
    <row r="540" spans="1:23" x14ac:dyDescent="0.25">
      <c r="A540" s="8" t="s">
        <v>1425</v>
      </c>
      <c r="B540" s="8" t="str">
        <f t="shared" si="8"/>
        <v>SDT9G0145973</v>
      </c>
      <c r="C540" s="9" t="s">
        <v>50</v>
      </c>
      <c r="D540" s="10">
        <v>41636</v>
      </c>
      <c r="E540" s="11" t="s">
        <v>1426</v>
      </c>
      <c r="F540" s="12">
        <v>45943</v>
      </c>
      <c r="G540" s="13" t="s">
        <v>872</v>
      </c>
      <c r="H540" s="10" t="s">
        <v>27</v>
      </c>
      <c r="I540" s="14" t="s">
        <v>28</v>
      </c>
      <c r="J540" s="14" t="s">
        <v>29</v>
      </c>
      <c r="K540" s="15"/>
      <c r="L540" s="15"/>
      <c r="M540" s="16" t="s">
        <v>497</v>
      </c>
      <c r="N540" s="8" t="s">
        <v>30</v>
      </c>
      <c r="O540" s="8" t="s">
        <v>388</v>
      </c>
      <c r="P540" s="17">
        <v>45982</v>
      </c>
      <c r="Q540" s="18">
        <v>45973</v>
      </c>
      <c r="R540" s="9">
        <v>30</v>
      </c>
      <c r="S540" s="8" t="s">
        <v>32</v>
      </c>
      <c r="T540" s="8" t="s">
        <v>1427</v>
      </c>
      <c r="U540" s="8" t="s">
        <v>67</v>
      </c>
      <c r="V540" s="8" t="s">
        <v>833</v>
      </c>
      <c r="W540" s="19" t="s">
        <v>1234</v>
      </c>
    </row>
    <row r="541" spans="1:23" x14ac:dyDescent="0.25">
      <c r="A541" s="8" t="s">
        <v>1428</v>
      </c>
      <c r="B541" s="8" t="str">
        <f t="shared" si="8"/>
        <v>SDQ2B6245973</v>
      </c>
      <c r="C541" s="9" t="s">
        <v>127</v>
      </c>
      <c r="D541" s="10">
        <v>608986</v>
      </c>
      <c r="E541" s="11" t="s">
        <v>1429</v>
      </c>
      <c r="F541" s="12">
        <v>45940</v>
      </c>
      <c r="G541" s="13" t="s">
        <v>872</v>
      </c>
      <c r="H541" s="10" t="s">
        <v>27</v>
      </c>
      <c r="I541" s="14" t="s">
        <v>28</v>
      </c>
      <c r="J541" s="14" t="s">
        <v>29</v>
      </c>
      <c r="K541" s="15"/>
      <c r="L541" s="15"/>
      <c r="M541" s="16" t="s">
        <v>560</v>
      </c>
      <c r="N541" s="8" t="s">
        <v>30</v>
      </c>
      <c r="O541" s="8" t="s">
        <v>388</v>
      </c>
      <c r="P541" s="17">
        <v>45974</v>
      </c>
      <c r="Q541" s="18">
        <v>45973</v>
      </c>
      <c r="R541" s="9">
        <v>33</v>
      </c>
      <c r="S541" s="8" t="s">
        <v>32</v>
      </c>
      <c r="T541" s="8" t="s">
        <v>1430</v>
      </c>
      <c r="U541" s="8" t="s">
        <v>54</v>
      </c>
      <c r="V541" s="8" t="s">
        <v>320</v>
      </c>
      <c r="W541" s="19" t="s">
        <v>1195</v>
      </c>
    </row>
    <row r="542" spans="1:23" x14ac:dyDescent="0.25">
      <c r="A542" s="8" t="s">
        <v>1431</v>
      </c>
      <c r="B542" s="8" t="str">
        <f t="shared" si="8"/>
        <v>SDQ2E0545973</v>
      </c>
      <c r="C542" s="9" t="s">
        <v>127</v>
      </c>
      <c r="D542" s="10"/>
      <c r="E542" s="11" t="s">
        <v>80</v>
      </c>
      <c r="F542" s="12">
        <v>45967</v>
      </c>
      <c r="G542" s="13" t="s">
        <v>364</v>
      </c>
      <c r="H542" s="10" t="s">
        <v>27</v>
      </c>
      <c r="I542" s="14" t="s">
        <v>28</v>
      </c>
      <c r="J542" s="14" t="s">
        <v>139</v>
      </c>
      <c r="K542" s="15"/>
      <c r="L542" s="15"/>
      <c r="M542" s="16" t="s">
        <v>603</v>
      </c>
      <c r="N542" s="8" t="s">
        <v>30</v>
      </c>
      <c r="O542" s="8" t="s">
        <v>40</v>
      </c>
      <c r="P542" s="17">
        <v>45976</v>
      </c>
      <c r="Q542" s="18">
        <v>45973</v>
      </c>
      <c r="R542" s="9">
        <v>6</v>
      </c>
      <c r="S542" s="8" t="s">
        <v>32</v>
      </c>
      <c r="T542" s="8" t="s">
        <v>1432</v>
      </c>
      <c r="U542" s="8" t="s">
        <v>617</v>
      </c>
      <c r="V542" s="8" t="s">
        <v>1186</v>
      </c>
      <c r="W542" s="19" t="s">
        <v>1433</v>
      </c>
    </row>
    <row r="543" spans="1:23" x14ac:dyDescent="0.25">
      <c r="A543" s="8" t="s">
        <v>412</v>
      </c>
      <c r="B543" s="8" t="str">
        <f t="shared" si="8"/>
        <v>GKB2A7345973</v>
      </c>
      <c r="C543" s="9" t="s">
        <v>224</v>
      </c>
      <c r="D543" s="10">
        <v>114282</v>
      </c>
      <c r="E543" s="11" t="s">
        <v>1379</v>
      </c>
      <c r="F543" s="12">
        <v>45974</v>
      </c>
      <c r="G543" s="13" t="s">
        <v>226</v>
      </c>
      <c r="H543" s="10" t="s">
        <v>27</v>
      </c>
      <c r="I543" s="14" t="s">
        <v>176</v>
      </c>
      <c r="J543" s="14" t="s">
        <v>139</v>
      </c>
      <c r="K543" s="15"/>
      <c r="L543" s="15"/>
      <c r="M543" s="16" t="s">
        <v>315</v>
      </c>
      <c r="N543" s="8" t="s">
        <v>228</v>
      </c>
      <c r="O543" s="8" t="s">
        <v>40</v>
      </c>
      <c r="P543" s="17" t="s">
        <v>86</v>
      </c>
      <c r="Q543" s="18">
        <v>45973</v>
      </c>
      <c r="R543" s="9" t="e">
        <v>#NUM!</v>
      </c>
      <c r="S543" s="8" t="e">
        <v>#NUM!</v>
      </c>
      <c r="T543" s="8" t="s">
        <v>98</v>
      </c>
      <c r="U543" s="8" t="s">
        <v>254</v>
      </c>
      <c r="V543" s="8" t="s">
        <v>1186</v>
      </c>
      <c r="W543" s="19" t="s">
        <v>1189</v>
      </c>
    </row>
    <row r="544" spans="1:23" x14ac:dyDescent="0.25">
      <c r="A544" s="8" t="s">
        <v>1434</v>
      </c>
      <c r="B544" s="8" t="str">
        <f t="shared" si="8"/>
        <v>EEC0I7345973</v>
      </c>
      <c r="C544" s="9" t="s">
        <v>79</v>
      </c>
      <c r="D544" s="10"/>
      <c r="E544" s="11" t="s">
        <v>1435</v>
      </c>
      <c r="F544" s="12"/>
      <c r="G544" s="13" t="s">
        <v>658</v>
      </c>
      <c r="H544" s="10" t="s">
        <v>52</v>
      </c>
      <c r="I544" s="14" t="s">
        <v>28</v>
      </c>
      <c r="J544" s="14"/>
      <c r="K544" s="15"/>
      <c r="L544" s="15"/>
      <c r="M544" s="16" t="s">
        <v>468</v>
      </c>
      <c r="N544" s="8" t="s">
        <v>30</v>
      </c>
      <c r="O544" s="8" t="s">
        <v>52</v>
      </c>
      <c r="P544" s="17">
        <v>45973</v>
      </c>
      <c r="Q544" s="18">
        <v>45973</v>
      </c>
      <c r="R544" s="9">
        <v>45973</v>
      </c>
      <c r="S544" s="8" t="s">
        <v>32</v>
      </c>
      <c r="T544" s="8" t="s">
        <v>1436</v>
      </c>
      <c r="U544" s="8"/>
      <c r="V544" s="8" t="s">
        <v>1186</v>
      </c>
      <c r="W544" s="19" t="s">
        <v>1437</v>
      </c>
    </row>
    <row r="545" spans="1:23" x14ac:dyDescent="0.25">
      <c r="A545" s="8" t="s">
        <v>1063</v>
      </c>
      <c r="B545" s="8" t="str">
        <f t="shared" si="8"/>
        <v>SWR4C9145974</v>
      </c>
      <c r="C545" s="9" t="s">
        <v>926</v>
      </c>
      <c r="D545" s="10" t="s">
        <v>383</v>
      </c>
      <c r="E545" s="11" t="s">
        <v>1438</v>
      </c>
      <c r="F545" s="12">
        <v>45961</v>
      </c>
      <c r="G545" s="13" t="s">
        <v>123</v>
      </c>
      <c r="H545" s="10" t="s">
        <v>27</v>
      </c>
      <c r="I545" s="14" t="s">
        <v>28</v>
      </c>
      <c r="J545" s="14" t="s">
        <v>139</v>
      </c>
      <c r="K545" s="15"/>
      <c r="L545" s="15"/>
      <c r="M545" s="16" t="s">
        <v>374</v>
      </c>
      <c r="N545" s="8" t="s">
        <v>30</v>
      </c>
      <c r="O545" s="8" t="s">
        <v>40</v>
      </c>
      <c r="P545" s="17">
        <v>45974</v>
      </c>
      <c r="Q545" s="18">
        <v>45974</v>
      </c>
      <c r="R545" s="9">
        <v>13</v>
      </c>
      <c r="S545" s="8" t="s">
        <v>32</v>
      </c>
      <c r="T545" s="8" t="s">
        <v>392</v>
      </c>
      <c r="U545" s="8" t="s">
        <v>393</v>
      </c>
      <c r="V545" s="8" t="s">
        <v>320</v>
      </c>
      <c r="W545" s="19" t="s">
        <v>1251</v>
      </c>
    </row>
    <row r="546" spans="1:23" x14ac:dyDescent="0.25">
      <c r="A546" s="8" t="s">
        <v>1439</v>
      </c>
      <c r="B546" s="8" t="str">
        <f t="shared" si="8"/>
        <v>SVH9C9445974</v>
      </c>
      <c r="C546" s="9" t="s">
        <v>24</v>
      </c>
      <c r="D546" s="10" t="s">
        <v>383</v>
      </c>
      <c r="E546" s="11" t="s">
        <v>1440</v>
      </c>
      <c r="F546" s="12">
        <v>45966</v>
      </c>
      <c r="G546" s="13" t="s">
        <v>123</v>
      </c>
      <c r="H546" s="10" t="s">
        <v>27</v>
      </c>
      <c r="I546" s="14" t="s">
        <v>28</v>
      </c>
      <c r="J546" s="14" t="s">
        <v>139</v>
      </c>
      <c r="K546" s="15"/>
      <c r="L546" s="15"/>
      <c r="M546" s="16" t="s">
        <v>374</v>
      </c>
      <c r="N546" s="8" t="s">
        <v>30</v>
      </c>
      <c r="O546" s="8" t="s">
        <v>40</v>
      </c>
      <c r="P546" s="17">
        <v>45979</v>
      </c>
      <c r="Q546" s="18">
        <v>45974</v>
      </c>
      <c r="R546" s="9">
        <v>8</v>
      </c>
      <c r="S546" s="8" t="s">
        <v>32</v>
      </c>
      <c r="T546" s="8" t="s">
        <v>392</v>
      </c>
      <c r="U546" s="8" t="s">
        <v>393</v>
      </c>
      <c r="V546" s="8" t="s">
        <v>1186</v>
      </c>
      <c r="W546" s="19" t="s">
        <v>1251</v>
      </c>
    </row>
    <row r="547" spans="1:23" x14ac:dyDescent="0.25">
      <c r="A547" s="8" t="s">
        <v>1441</v>
      </c>
      <c r="B547" s="8" t="str">
        <f t="shared" si="8"/>
        <v>TAK7D1145974</v>
      </c>
      <c r="C547" s="9" t="s">
        <v>626</v>
      </c>
      <c r="D547" s="10">
        <v>29000</v>
      </c>
      <c r="E547" s="11"/>
      <c r="F547" s="12"/>
      <c r="G547" s="13" t="s">
        <v>226</v>
      </c>
      <c r="H547" s="10" t="s">
        <v>27</v>
      </c>
      <c r="I547" s="14" t="s">
        <v>28</v>
      </c>
      <c r="J547" s="14" t="s">
        <v>139</v>
      </c>
      <c r="K547" s="15"/>
      <c r="L547" s="15"/>
      <c r="M547" s="16" t="s">
        <v>485</v>
      </c>
      <c r="N547" s="8" t="s">
        <v>228</v>
      </c>
      <c r="O547" s="8" t="s">
        <v>40</v>
      </c>
      <c r="P547" s="17" t="s">
        <v>187</v>
      </c>
      <c r="Q547" s="18">
        <v>45974</v>
      </c>
      <c r="R547" s="9">
        <v>45974</v>
      </c>
      <c r="S547" s="8" t="s">
        <v>32</v>
      </c>
      <c r="T547" s="8" t="s">
        <v>392</v>
      </c>
      <c r="U547" s="8" t="s">
        <v>486</v>
      </c>
      <c r="V547" s="8" t="s">
        <v>1186</v>
      </c>
      <c r="W547" s="19" t="s">
        <v>1281</v>
      </c>
    </row>
    <row r="548" spans="1:23" x14ac:dyDescent="0.25">
      <c r="A548" s="8" t="s">
        <v>1125</v>
      </c>
      <c r="B548" s="8" t="str">
        <f t="shared" si="8"/>
        <v>RUV4G2345974</v>
      </c>
      <c r="C548" s="9" t="s">
        <v>79</v>
      </c>
      <c r="D548" s="10" t="s">
        <v>383</v>
      </c>
      <c r="E548" s="11" t="s">
        <v>31</v>
      </c>
      <c r="F548" s="12">
        <v>45974</v>
      </c>
      <c r="G548" s="13" t="s">
        <v>743</v>
      </c>
      <c r="H548" s="10" t="s">
        <v>27</v>
      </c>
      <c r="I548" s="14" t="s">
        <v>28</v>
      </c>
      <c r="J548" s="14" t="s">
        <v>29</v>
      </c>
      <c r="K548" s="15"/>
      <c r="L548" s="15"/>
      <c r="M548" s="16" t="s">
        <v>682</v>
      </c>
      <c r="N548" s="8" t="s">
        <v>30</v>
      </c>
      <c r="O548" s="8" t="s">
        <v>40</v>
      </c>
      <c r="P548" s="17" t="s">
        <v>86</v>
      </c>
      <c r="Q548" s="18">
        <v>45974</v>
      </c>
      <c r="R548" s="9">
        <v>0</v>
      </c>
      <c r="S548" s="8" t="s">
        <v>153</v>
      </c>
      <c r="T548" s="8" t="s">
        <v>684</v>
      </c>
      <c r="U548" s="8" t="s">
        <v>1442</v>
      </c>
      <c r="V548" s="8" t="s">
        <v>1186</v>
      </c>
      <c r="W548" s="19" t="s">
        <v>1443</v>
      </c>
    </row>
    <row r="549" spans="1:23" x14ac:dyDescent="0.25">
      <c r="A549" s="8" t="s">
        <v>1444</v>
      </c>
      <c r="B549" s="8" t="str">
        <f t="shared" si="8"/>
        <v>SGF9C2545974</v>
      </c>
      <c r="C549" s="9" t="s">
        <v>157</v>
      </c>
      <c r="D549" s="10" t="s">
        <v>383</v>
      </c>
      <c r="E549" s="11" t="s">
        <v>1445</v>
      </c>
      <c r="F549" s="12">
        <v>45972</v>
      </c>
      <c r="G549" s="13" t="s">
        <v>39</v>
      </c>
      <c r="H549" s="10" t="s">
        <v>27</v>
      </c>
      <c r="I549" s="14" t="s">
        <v>176</v>
      </c>
      <c r="J549" s="14" t="s">
        <v>139</v>
      </c>
      <c r="K549" s="15"/>
      <c r="L549" s="15"/>
      <c r="M549" s="16" t="s">
        <v>374</v>
      </c>
      <c r="N549" s="8" t="s">
        <v>30</v>
      </c>
      <c r="O549" s="8" t="s">
        <v>40</v>
      </c>
      <c r="P549" s="17" t="s">
        <v>86</v>
      </c>
      <c r="Q549" s="18">
        <v>45974</v>
      </c>
      <c r="R549" s="9">
        <v>2</v>
      </c>
      <c r="S549" s="8" t="s">
        <v>153</v>
      </c>
      <c r="T549" s="8" t="s">
        <v>1446</v>
      </c>
      <c r="U549" s="8" t="s">
        <v>393</v>
      </c>
      <c r="V549" s="8" t="s">
        <v>1186</v>
      </c>
      <c r="W549" s="19" t="s">
        <v>1251</v>
      </c>
    </row>
    <row r="550" spans="1:23" x14ac:dyDescent="0.25">
      <c r="A550" s="8" t="s">
        <v>1447</v>
      </c>
      <c r="B550" s="8" t="str">
        <f t="shared" si="8"/>
        <v>UEJ1D0845974</v>
      </c>
      <c r="C550" s="9" t="s">
        <v>37</v>
      </c>
      <c r="D550" s="10"/>
      <c r="E550" s="11" t="s">
        <v>1448</v>
      </c>
      <c r="F550" s="12">
        <v>45974</v>
      </c>
      <c r="G550" s="13" t="s">
        <v>872</v>
      </c>
      <c r="H550" s="10" t="s">
        <v>27</v>
      </c>
      <c r="I550" s="14" t="s">
        <v>28</v>
      </c>
      <c r="J550" s="14" t="s">
        <v>29</v>
      </c>
      <c r="K550" s="15">
        <v>594</v>
      </c>
      <c r="L550" s="15">
        <v>574</v>
      </c>
      <c r="M550" s="16" t="s">
        <v>896</v>
      </c>
      <c r="N550" s="8" t="s">
        <v>30</v>
      </c>
      <c r="O550" s="8" t="s">
        <v>40</v>
      </c>
      <c r="P550" s="17">
        <v>45974</v>
      </c>
      <c r="Q550" s="18">
        <v>45974</v>
      </c>
      <c r="R550" s="9"/>
      <c r="S550" s="8" t="s">
        <v>153</v>
      </c>
      <c r="T550" s="8" t="s">
        <v>1449</v>
      </c>
      <c r="U550" s="8" t="s">
        <v>1450</v>
      </c>
      <c r="V550" s="8" t="s">
        <v>1186</v>
      </c>
      <c r="W550" s="19" t="s">
        <v>1451</v>
      </c>
    </row>
    <row r="551" spans="1:23" x14ac:dyDescent="0.25">
      <c r="A551" s="8" t="s">
        <v>1452</v>
      </c>
      <c r="B551" s="8" t="str">
        <f t="shared" si="8"/>
        <v>RVD4C7345974</v>
      </c>
      <c r="C551" s="9" t="s">
        <v>79</v>
      </c>
      <c r="D551" s="10"/>
      <c r="E551" s="11" t="s">
        <v>1453</v>
      </c>
      <c r="F551" s="12">
        <v>45971</v>
      </c>
      <c r="G551" s="13" t="s">
        <v>138</v>
      </c>
      <c r="H551" s="10" t="s">
        <v>27</v>
      </c>
      <c r="I551" s="14" t="s">
        <v>28</v>
      </c>
      <c r="J551" s="14" t="s">
        <v>139</v>
      </c>
      <c r="K551" s="15"/>
      <c r="L551" s="15"/>
      <c r="M551" s="16" t="s">
        <v>587</v>
      </c>
      <c r="N551" s="8" t="s">
        <v>30</v>
      </c>
      <c r="O551" s="8" t="s">
        <v>40</v>
      </c>
      <c r="P551" s="17" t="s">
        <v>86</v>
      </c>
      <c r="Q551" s="18">
        <v>45974</v>
      </c>
      <c r="R551" s="9">
        <v>3</v>
      </c>
      <c r="S551" s="8" t="s">
        <v>32</v>
      </c>
      <c r="T551" s="8" t="s">
        <v>100</v>
      </c>
      <c r="U551" s="8" t="s">
        <v>1454</v>
      </c>
      <c r="V551" s="8" t="s">
        <v>1186</v>
      </c>
      <c r="W551" s="19" t="s">
        <v>1455</v>
      </c>
    </row>
    <row r="552" spans="1:23" x14ac:dyDescent="0.25">
      <c r="A552" s="8" t="s">
        <v>1456</v>
      </c>
      <c r="B552" s="8" t="str">
        <f t="shared" si="8"/>
        <v>RVE2F2745974</v>
      </c>
      <c r="C552" s="9" t="s">
        <v>44</v>
      </c>
      <c r="D552" s="10"/>
      <c r="E552" s="11" t="s">
        <v>1457</v>
      </c>
      <c r="F552" s="12">
        <v>45972</v>
      </c>
      <c r="G552" s="13" t="s">
        <v>138</v>
      </c>
      <c r="H552" s="10" t="s">
        <v>27</v>
      </c>
      <c r="I552" s="14" t="s">
        <v>28</v>
      </c>
      <c r="J552" s="14" t="s">
        <v>139</v>
      </c>
      <c r="K552" s="15"/>
      <c r="L552" s="15"/>
      <c r="M552" s="16" t="s">
        <v>294</v>
      </c>
      <c r="N552" s="8" t="s">
        <v>30</v>
      </c>
      <c r="O552" s="8" t="s">
        <v>40</v>
      </c>
      <c r="P552" s="17" t="s">
        <v>86</v>
      </c>
      <c r="Q552" s="18">
        <v>45974</v>
      </c>
      <c r="R552" s="9">
        <v>2</v>
      </c>
      <c r="S552" s="8" t="s">
        <v>153</v>
      </c>
      <c r="T552" s="8" t="s">
        <v>100</v>
      </c>
      <c r="U552" s="8" t="s">
        <v>1354</v>
      </c>
      <c r="V552" s="8" t="s">
        <v>1186</v>
      </c>
      <c r="W552" s="19" t="s">
        <v>1177</v>
      </c>
    </row>
    <row r="553" spans="1:23" x14ac:dyDescent="0.25">
      <c r="A553" s="8" t="s">
        <v>598</v>
      </c>
      <c r="B553" s="8" t="str">
        <f t="shared" si="8"/>
        <v>RTM3B0645974</v>
      </c>
      <c r="C553" s="9" t="s">
        <v>505</v>
      </c>
      <c r="D553" s="10">
        <v>22541</v>
      </c>
      <c r="E553" s="11" t="s">
        <v>1458</v>
      </c>
      <c r="F553" s="12">
        <v>45811</v>
      </c>
      <c r="G553" s="13" t="s">
        <v>149</v>
      </c>
      <c r="H553" s="10" t="s">
        <v>27</v>
      </c>
      <c r="I553" s="14" t="s">
        <v>28</v>
      </c>
      <c r="J553" s="14" t="s">
        <v>29</v>
      </c>
      <c r="K553" s="15"/>
      <c r="L553" s="15"/>
      <c r="M553" s="16" t="s">
        <v>599</v>
      </c>
      <c r="N553" s="8" t="s">
        <v>30</v>
      </c>
      <c r="O553" s="8" t="s">
        <v>40</v>
      </c>
      <c r="P553" s="17">
        <v>45974</v>
      </c>
      <c r="Q553" s="18">
        <v>45974</v>
      </c>
      <c r="R553" s="9">
        <v>163</v>
      </c>
      <c r="S553" s="8" t="s">
        <v>32</v>
      </c>
      <c r="T553" s="8" t="s">
        <v>1459</v>
      </c>
      <c r="U553" s="8" t="s">
        <v>372</v>
      </c>
      <c r="V553" s="8" t="s">
        <v>135</v>
      </c>
      <c r="W553" s="19" t="s">
        <v>1460</v>
      </c>
    </row>
    <row r="554" spans="1:23" x14ac:dyDescent="0.25">
      <c r="A554" s="8" t="s">
        <v>259</v>
      </c>
      <c r="B554" s="8" t="str">
        <f t="shared" si="8"/>
        <v>SGI8I9545974</v>
      </c>
      <c r="C554" s="9" t="s">
        <v>96</v>
      </c>
      <c r="D554" s="10" t="s">
        <v>383</v>
      </c>
      <c r="E554" s="11" t="s">
        <v>1461</v>
      </c>
      <c r="F554" s="12">
        <v>45951</v>
      </c>
      <c r="G554" s="13" t="s">
        <v>39</v>
      </c>
      <c r="H554" s="10" t="s">
        <v>27</v>
      </c>
      <c r="I554" s="14" t="s">
        <v>28</v>
      </c>
      <c r="J554" s="14" t="s">
        <v>139</v>
      </c>
      <c r="K554" s="15"/>
      <c r="L554" s="15"/>
      <c r="M554" s="16" t="s">
        <v>214</v>
      </c>
      <c r="N554" s="8" t="s">
        <v>30</v>
      </c>
      <c r="O554" s="8" t="s">
        <v>40</v>
      </c>
      <c r="P554" s="17" t="s">
        <v>187</v>
      </c>
      <c r="Q554" s="18">
        <v>45974</v>
      </c>
      <c r="R554" s="9">
        <v>23</v>
      </c>
      <c r="S554" s="8" t="s">
        <v>32</v>
      </c>
      <c r="T554" s="8" t="s">
        <v>1462</v>
      </c>
      <c r="U554" s="8" t="s">
        <v>215</v>
      </c>
      <c r="V554" s="8" t="s">
        <v>320</v>
      </c>
      <c r="W554" s="19" t="s">
        <v>1242</v>
      </c>
    </row>
    <row r="555" spans="1:23" x14ac:dyDescent="0.25">
      <c r="A555" s="8" t="s">
        <v>1463</v>
      </c>
      <c r="B555" s="8" t="str">
        <f t="shared" si="8"/>
        <v>RUX2B9345974</v>
      </c>
      <c r="C555" s="9" t="s">
        <v>79</v>
      </c>
      <c r="D555" s="10" t="s">
        <v>383</v>
      </c>
      <c r="E555" s="11" t="s">
        <v>595</v>
      </c>
      <c r="F555" s="12">
        <v>45972</v>
      </c>
      <c r="G555" s="13" t="s">
        <v>226</v>
      </c>
      <c r="H555" s="10" t="s">
        <v>27</v>
      </c>
      <c r="I555" s="14" t="s">
        <v>28</v>
      </c>
      <c r="J555" s="14" t="s">
        <v>139</v>
      </c>
      <c r="K555" s="15"/>
      <c r="L555" s="15"/>
      <c r="M555" s="16" t="s">
        <v>186</v>
      </c>
      <c r="N555" s="8" t="s">
        <v>30</v>
      </c>
      <c r="O555" s="8" t="s">
        <v>40</v>
      </c>
      <c r="P555" s="17">
        <v>45975</v>
      </c>
      <c r="Q555" s="18">
        <v>45974</v>
      </c>
      <c r="R555" s="9">
        <v>2</v>
      </c>
      <c r="S555" s="8" t="s">
        <v>153</v>
      </c>
      <c r="T555" s="8" t="s">
        <v>1464</v>
      </c>
      <c r="U555" s="8"/>
      <c r="V555" s="8"/>
      <c r="W555" s="19" t="s">
        <v>1465</v>
      </c>
    </row>
    <row r="556" spans="1:23" x14ac:dyDescent="0.25">
      <c r="A556" s="8" t="s">
        <v>1466</v>
      </c>
      <c r="B556" s="8" t="str">
        <f t="shared" si="8"/>
        <v>GBK6I8445974</v>
      </c>
      <c r="C556" s="9" t="s">
        <v>224</v>
      </c>
      <c r="D556" s="10" t="s">
        <v>383</v>
      </c>
      <c r="E556" s="11" t="s">
        <v>1467</v>
      </c>
      <c r="F556" s="12"/>
      <c r="G556" s="13" t="s">
        <v>226</v>
      </c>
      <c r="H556" s="10" t="s">
        <v>27</v>
      </c>
      <c r="I556" s="14" t="s">
        <v>28</v>
      </c>
      <c r="J556" s="14" t="s">
        <v>139</v>
      </c>
      <c r="K556" s="15"/>
      <c r="L556" s="15"/>
      <c r="M556" s="16" t="s">
        <v>485</v>
      </c>
      <c r="N556" s="8" t="s">
        <v>228</v>
      </c>
      <c r="O556" s="8" t="s">
        <v>40</v>
      </c>
      <c r="P556" s="17">
        <v>45974</v>
      </c>
      <c r="Q556" s="18">
        <v>45974</v>
      </c>
      <c r="R556" s="9">
        <v>45974</v>
      </c>
      <c r="S556" s="8" t="s">
        <v>32</v>
      </c>
      <c r="T556" s="8" t="s">
        <v>98</v>
      </c>
      <c r="U556" s="8" t="s">
        <v>486</v>
      </c>
      <c r="V556" s="8" t="s">
        <v>1186</v>
      </c>
      <c r="W556" s="19" t="s">
        <v>1281</v>
      </c>
    </row>
    <row r="557" spans="1:23" x14ac:dyDescent="0.25">
      <c r="A557" s="8" t="s">
        <v>1468</v>
      </c>
      <c r="B557" s="8" t="str">
        <f t="shared" si="8"/>
        <v>RUX2C8545974</v>
      </c>
      <c r="C557" s="9" t="s">
        <v>79</v>
      </c>
      <c r="D557" s="10"/>
      <c r="E557" s="11" t="s">
        <v>1469</v>
      </c>
      <c r="F557" s="12">
        <v>45974</v>
      </c>
      <c r="G557" s="13" t="s">
        <v>226</v>
      </c>
      <c r="H557" s="10" t="s">
        <v>27</v>
      </c>
      <c r="I557" s="14" t="s">
        <v>28</v>
      </c>
      <c r="J557" s="14" t="s">
        <v>139</v>
      </c>
      <c r="K557" s="15"/>
      <c r="L557" s="15"/>
      <c r="M557" s="16" t="s">
        <v>191</v>
      </c>
      <c r="N557" s="8" t="s">
        <v>30</v>
      </c>
      <c r="O557" s="8" t="s">
        <v>40</v>
      </c>
      <c r="P557" s="17" t="s">
        <v>86</v>
      </c>
      <c r="Q557" s="18">
        <v>45974</v>
      </c>
      <c r="R557" s="9">
        <v>0</v>
      </c>
      <c r="S557" s="8" t="s">
        <v>153</v>
      </c>
      <c r="T557" s="8" t="s">
        <v>1470</v>
      </c>
      <c r="U557" s="8" t="s">
        <v>1471</v>
      </c>
      <c r="V557" s="8" t="s">
        <v>1186</v>
      </c>
      <c r="W557" s="19" t="s">
        <v>1472</v>
      </c>
    </row>
    <row r="558" spans="1:23" x14ac:dyDescent="0.25">
      <c r="A558" s="8" t="s">
        <v>1473</v>
      </c>
      <c r="B558" s="8" t="str">
        <f t="shared" si="8"/>
        <v>SGI8H7645974</v>
      </c>
      <c r="C558" s="9" t="s">
        <v>96</v>
      </c>
      <c r="D558" s="10">
        <v>693762</v>
      </c>
      <c r="E558" s="11" t="s">
        <v>1474</v>
      </c>
      <c r="F558" s="12">
        <v>45968</v>
      </c>
      <c r="G558" s="13" t="s">
        <v>39</v>
      </c>
      <c r="H558" s="10" t="s">
        <v>27</v>
      </c>
      <c r="I558" s="14" t="s">
        <v>28</v>
      </c>
      <c r="J558" s="14" t="s">
        <v>139</v>
      </c>
      <c r="K558" s="15"/>
      <c r="L558" s="15"/>
      <c r="M558" s="16" t="s">
        <v>214</v>
      </c>
      <c r="N558" s="8" t="s">
        <v>30</v>
      </c>
      <c r="O558" s="8" t="s">
        <v>40</v>
      </c>
      <c r="P558" s="17" t="s">
        <v>241</v>
      </c>
      <c r="Q558" s="18">
        <v>45974</v>
      </c>
      <c r="R558" s="9">
        <v>6</v>
      </c>
      <c r="S558" s="8" t="s">
        <v>32</v>
      </c>
      <c r="T558" s="8" t="s">
        <v>1462</v>
      </c>
      <c r="U558" s="8" t="s">
        <v>1475</v>
      </c>
      <c r="V558" s="8" t="s">
        <v>1303</v>
      </c>
      <c r="W558" s="19" t="s">
        <v>1242</v>
      </c>
    </row>
    <row r="559" spans="1:23" x14ac:dyDescent="0.25">
      <c r="A559" s="8" t="s">
        <v>1476</v>
      </c>
      <c r="B559" s="8" t="str">
        <f t="shared" si="8"/>
        <v>SGL2D2745974</v>
      </c>
      <c r="C559" s="9" t="s">
        <v>96</v>
      </c>
      <c r="D559" s="10"/>
      <c r="E559" s="11" t="s">
        <v>1477</v>
      </c>
      <c r="F559" s="12">
        <v>45967</v>
      </c>
      <c r="G559" s="13" t="s">
        <v>39</v>
      </c>
      <c r="H559" s="10" t="s">
        <v>27</v>
      </c>
      <c r="I559" s="14" t="s">
        <v>28</v>
      </c>
      <c r="J559" s="14" t="s">
        <v>139</v>
      </c>
      <c r="K559" s="15"/>
      <c r="L559" s="15"/>
      <c r="M559" s="16" t="s">
        <v>396</v>
      </c>
      <c r="N559" s="8" t="s">
        <v>30</v>
      </c>
      <c r="O559" s="8" t="s">
        <v>40</v>
      </c>
      <c r="P559" s="17" t="s">
        <v>1478</v>
      </c>
      <c r="Q559" s="18">
        <v>45974</v>
      </c>
      <c r="R559" s="9">
        <v>7</v>
      </c>
      <c r="S559" s="8" t="s">
        <v>32</v>
      </c>
      <c r="T559" s="8" t="s">
        <v>1479</v>
      </c>
      <c r="U559" s="8" t="s">
        <v>1480</v>
      </c>
      <c r="V559" s="8" t="s">
        <v>1186</v>
      </c>
      <c r="W559" s="19" t="s">
        <v>1481</v>
      </c>
    </row>
    <row r="560" spans="1:23" x14ac:dyDescent="0.25">
      <c r="A560" s="8" t="s">
        <v>1146</v>
      </c>
      <c r="B560" s="8" t="str">
        <f t="shared" si="8"/>
        <v>RNB5I1645974</v>
      </c>
      <c r="C560" s="9" t="s">
        <v>72</v>
      </c>
      <c r="D560" s="10">
        <v>171468</v>
      </c>
      <c r="E560" s="11" t="s">
        <v>1482</v>
      </c>
      <c r="F560" s="12">
        <v>45968</v>
      </c>
      <c r="G560" s="13" t="s">
        <v>743</v>
      </c>
      <c r="H560" s="10" t="s">
        <v>27</v>
      </c>
      <c r="I560" s="14" t="s">
        <v>28</v>
      </c>
      <c r="J560" s="14" t="s">
        <v>139</v>
      </c>
      <c r="K560" s="15"/>
      <c r="L560" s="15"/>
      <c r="M560" s="16" t="s">
        <v>1148</v>
      </c>
      <c r="N560" s="8" t="s">
        <v>30</v>
      </c>
      <c r="O560" s="8" t="s">
        <v>31</v>
      </c>
      <c r="P560" s="17" t="s">
        <v>86</v>
      </c>
      <c r="Q560" s="18">
        <v>45974</v>
      </c>
      <c r="R560" s="9">
        <v>6</v>
      </c>
      <c r="S560" s="8" t="s">
        <v>32</v>
      </c>
      <c r="T560" s="8" t="s">
        <v>1483</v>
      </c>
      <c r="U560" s="8" t="s">
        <v>721</v>
      </c>
      <c r="V560" s="8" t="s">
        <v>1186</v>
      </c>
      <c r="W560" s="19" t="s">
        <v>1484</v>
      </c>
    </row>
    <row r="561" spans="1:23" x14ac:dyDescent="0.25">
      <c r="A561" s="8" t="s">
        <v>1485</v>
      </c>
      <c r="B561" s="8" t="str">
        <f t="shared" si="8"/>
        <v>RVD4C9345975</v>
      </c>
      <c r="C561" s="9" t="s">
        <v>79</v>
      </c>
      <c r="D561" s="10">
        <v>151311</v>
      </c>
      <c r="E561" s="11" t="s">
        <v>1486</v>
      </c>
      <c r="F561" s="12">
        <v>45827</v>
      </c>
      <c r="G561" s="13" t="s">
        <v>138</v>
      </c>
      <c r="H561" s="10" t="s">
        <v>27</v>
      </c>
      <c r="I561" s="14" t="s">
        <v>28</v>
      </c>
      <c r="J561" s="14" t="s">
        <v>29</v>
      </c>
      <c r="K561" s="15">
        <v>2524.6999999999998</v>
      </c>
      <c r="L561" s="15">
        <v>2300</v>
      </c>
      <c r="M561" s="16" t="s">
        <v>431</v>
      </c>
      <c r="N561" s="8" t="s">
        <v>30</v>
      </c>
      <c r="O561" s="8" t="s">
        <v>31</v>
      </c>
      <c r="P561" s="17">
        <v>45975</v>
      </c>
      <c r="Q561" s="18">
        <v>45975</v>
      </c>
      <c r="R561" s="9">
        <v>148</v>
      </c>
      <c r="S561" s="8" t="s">
        <v>32</v>
      </c>
      <c r="T561" s="8" t="s">
        <v>100</v>
      </c>
      <c r="U561" s="8" t="s">
        <v>258</v>
      </c>
      <c r="V561" s="8" t="s">
        <v>135</v>
      </c>
      <c r="W561" s="19" t="s">
        <v>1487</v>
      </c>
    </row>
    <row r="562" spans="1:23" x14ac:dyDescent="0.25">
      <c r="A562" s="8" t="s">
        <v>1488</v>
      </c>
      <c r="B562" s="8" t="str">
        <f t="shared" si="8"/>
        <v>RNJ9D5845975</v>
      </c>
      <c r="C562" s="9" t="s">
        <v>72</v>
      </c>
      <c r="D562" s="10"/>
      <c r="E562" s="11" t="s">
        <v>595</v>
      </c>
      <c r="F562" s="12">
        <v>45974</v>
      </c>
      <c r="G562" s="13" t="s">
        <v>138</v>
      </c>
      <c r="H562" s="10" t="s">
        <v>27</v>
      </c>
      <c r="I562" s="14" t="s">
        <v>28</v>
      </c>
      <c r="J562" s="14" t="s">
        <v>139</v>
      </c>
      <c r="K562" s="15"/>
      <c r="L562" s="15"/>
      <c r="M562" s="16" t="s">
        <v>140</v>
      </c>
      <c r="N562" s="8" t="s">
        <v>30</v>
      </c>
      <c r="O562" s="8" t="s">
        <v>40</v>
      </c>
      <c r="P562" s="17" t="s">
        <v>86</v>
      </c>
      <c r="Q562" s="18">
        <v>45975</v>
      </c>
      <c r="R562" s="9">
        <v>1</v>
      </c>
      <c r="S562" s="8" t="s">
        <v>153</v>
      </c>
      <c r="T562" s="8" t="s">
        <v>98</v>
      </c>
      <c r="U562" s="8" t="s">
        <v>1489</v>
      </c>
      <c r="V562" s="8" t="s">
        <v>1186</v>
      </c>
      <c r="W562" s="19" t="s">
        <v>1238</v>
      </c>
    </row>
    <row r="563" spans="1:23" x14ac:dyDescent="0.25">
      <c r="A563" s="8" t="s">
        <v>1490</v>
      </c>
      <c r="B563" s="8" t="str">
        <f t="shared" si="8"/>
        <v>RNJ9C8645975</v>
      </c>
      <c r="C563" s="9" t="s">
        <v>72</v>
      </c>
      <c r="D563" s="10" t="s">
        <v>383</v>
      </c>
      <c r="E563" s="11" t="s">
        <v>1491</v>
      </c>
      <c r="F563" s="12">
        <v>45959</v>
      </c>
      <c r="G563" s="13" t="s">
        <v>226</v>
      </c>
      <c r="H563" s="10" t="s">
        <v>27</v>
      </c>
      <c r="I563" s="14" t="s">
        <v>28</v>
      </c>
      <c r="J563" s="14" t="s">
        <v>29</v>
      </c>
      <c r="K563" s="15"/>
      <c r="L563" s="15"/>
      <c r="M563" s="16" t="s">
        <v>207</v>
      </c>
      <c r="N563" s="8" t="s">
        <v>30</v>
      </c>
      <c r="O563" s="8" t="s">
        <v>40</v>
      </c>
      <c r="P563" s="17">
        <v>45974</v>
      </c>
      <c r="Q563" s="18">
        <v>45975</v>
      </c>
      <c r="R563" s="9">
        <v>16</v>
      </c>
      <c r="S563" s="8" t="s">
        <v>32</v>
      </c>
      <c r="T563" s="8" t="s">
        <v>74</v>
      </c>
      <c r="U563" s="8" t="s">
        <v>75</v>
      </c>
      <c r="V563" s="8" t="s">
        <v>320</v>
      </c>
      <c r="W563" s="19" t="s">
        <v>1259</v>
      </c>
    </row>
    <row r="564" spans="1:23" x14ac:dyDescent="0.25">
      <c r="A564" s="8" t="s">
        <v>1018</v>
      </c>
      <c r="B564" s="8" t="str">
        <f t="shared" si="8"/>
        <v>SDU2C9745975</v>
      </c>
      <c r="C564" s="9" t="s">
        <v>50</v>
      </c>
      <c r="D564" s="10">
        <v>100600</v>
      </c>
      <c r="E564" s="11" t="s">
        <v>1492</v>
      </c>
      <c r="F564" s="12">
        <v>45966</v>
      </c>
      <c r="G564" s="13" t="s">
        <v>743</v>
      </c>
      <c r="H564" s="10" t="s">
        <v>27</v>
      </c>
      <c r="I564" s="14" t="s">
        <v>28</v>
      </c>
      <c r="J564" s="14" t="s">
        <v>29</v>
      </c>
      <c r="K564" s="15"/>
      <c r="L564" s="15"/>
      <c r="M564" s="16" t="s">
        <v>387</v>
      </c>
      <c r="N564" s="8" t="s">
        <v>30</v>
      </c>
      <c r="O564" s="8" t="s">
        <v>40</v>
      </c>
      <c r="P564" s="17">
        <v>45975</v>
      </c>
      <c r="Q564" s="18">
        <v>45975</v>
      </c>
      <c r="R564" s="9">
        <v>9</v>
      </c>
      <c r="S564" s="8" t="s">
        <v>32</v>
      </c>
      <c r="T564" s="8" t="s">
        <v>1493</v>
      </c>
      <c r="U564" s="8" t="s">
        <v>888</v>
      </c>
      <c r="V564" s="8" t="s">
        <v>1186</v>
      </c>
      <c r="W564" s="19" t="s">
        <v>1204</v>
      </c>
    </row>
    <row r="565" spans="1:23" x14ac:dyDescent="0.25">
      <c r="A565" s="8" t="s">
        <v>1284</v>
      </c>
      <c r="B565" s="8" t="str">
        <f t="shared" si="8"/>
        <v>GKH4D6145975</v>
      </c>
      <c r="C565" s="9" t="s">
        <v>224</v>
      </c>
      <c r="D565" s="10">
        <v>110488</v>
      </c>
      <c r="E565" s="11" t="s">
        <v>1494</v>
      </c>
      <c r="F565" s="12">
        <v>45974</v>
      </c>
      <c r="G565" s="13" t="s">
        <v>226</v>
      </c>
      <c r="H565" s="10" t="s">
        <v>27</v>
      </c>
      <c r="I565" s="14" t="s">
        <v>28</v>
      </c>
      <c r="J565" s="14" t="s">
        <v>139</v>
      </c>
      <c r="K565" s="15"/>
      <c r="L565" s="15"/>
      <c r="M565" s="16" t="s">
        <v>315</v>
      </c>
      <c r="N565" s="8" t="s">
        <v>228</v>
      </c>
      <c r="O565" s="8" t="s">
        <v>40</v>
      </c>
      <c r="P565" s="17" t="s">
        <v>86</v>
      </c>
      <c r="Q565" s="18">
        <v>45975</v>
      </c>
      <c r="R565" s="9">
        <v>1</v>
      </c>
      <c r="S565" s="8" t="s">
        <v>153</v>
      </c>
      <c r="T565" s="8" t="s">
        <v>98</v>
      </c>
      <c r="U565" s="8" t="s">
        <v>254</v>
      </c>
      <c r="V565" s="8" t="s">
        <v>1186</v>
      </c>
      <c r="W565" s="19" t="s">
        <v>1189</v>
      </c>
    </row>
    <row r="566" spans="1:23" x14ac:dyDescent="0.25">
      <c r="A566" s="8" t="s">
        <v>1495</v>
      </c>
      <c r="B566" s="8" t="str">
        <f t="shared" si="8"/>
        <v>RVG7D2945975</v>
      </c>
      <c r="C566" s="9" t="s">
        <v>44</v>
      </c>
      <c r="D566" s="10"/>
      <c r="E566" s="11" t="s">
        <v>1496</v>
      </c>
      <c r="F566" s="12">
        <v>45974</v>
      </c>
      <c r="G566" s="13" t="s">
        <v>138</v>
      </c>
      <c r="H566" s="10" t="s">
        <v>27</v>
      </c>
      <c r="I566" s="14" t="s">
        <v>28</v>
      </c>
      <c r="J566" s="14" t="s">
        <v>29</v>
      </c>
      <c r="K566" s="15">
        <v>1118</v>
      </c>
      <c r="L566" s="15">
        <v>1050</v>
      </c>
      <c r="M566" s="16" t="s">
        <v>387</v>
      </c>
      <c r="N566" s="8" t="s">
        <v>30</v>
      </c>
      <c r="O566" s="8" t="s">
        <v>40</v>
      </c>
      <c r="P566" s="17" t="s">
        <v>86</v>
      </c>
      <c r="Q566" s="18">
        <v>45975</v>
      </c>
      <c r="R566" s="9">
        <v>1</v>
      </c>
      <c r="S566" s="8" t="s">
        <v>153</v>
      </c>
      <c r="T566" s="8" t="s">
        <v>100</v>
      </c>
      <c r="U566" s="8" t="s">
        <v>1497</v>
      </c>
      <c r="V566" s="8" t="s">
        <v>1498</v>
      </c>
      <c r="W566" s="19" t="s">
        <v>1299</v>
      </c>
    </row>
    <row r="567" spans="1:23" x14ac:dyDescent="0.25">
      <c r="A567" s="8" t="s">
        <v>1499</v>
      </c>
      <c r="B567" s="8" t="str">
        <f t="shared" si="8"/>
        <v>SGI8J4045974</v>
      </c>
      <c r="C567" s="9" t="s">
        <v>96</v>
      </c>
      <c r="D567" s="10">
        <v>27278</v>
      </c>
      <c r="E567" s="11" t="s">
        <v>1500</v>
      </c>
      <c r="F567" s="12">
        <v>45884</v>
      </c>
      <c r="G567" s="13" t="s">
        <v>658</v>
      </c>
      <c r="H567" s="10" t="s">
        <v>52</v>
      </c>
      <c r="I567" s="14" t="s">
        <v>28</v>
      </c>
      <c r="J567" s="14" t="s">
        <v>29</v>
      </c>
      <c r="K567" s="15">
        <v>28300</v>
      </c>
      <c r="L567" s="15">
        <v>20400</v>
      </c>
      <c r="M567" s="16" t="s">
        <v>398</v>
      </c>
      <c r="N567" s="8" t="s">
        <v>30</v>
      </c>
      <c r="O567" s="8" t="s">
        <v>52</v>
      </c>
      <c r="P567" s="17">
        <v>45974</v>
      </c>
      <c r="Q567" s="18">
        <v>45974</v>
      </c>
      <c r="R567" s="9">
        <v>90</v>
      </c>
      <c r="S567" s="8" t="s">
        <v>32</v>
      </c>
      <c r="T567" s="8" t="s">
        <v>93</v>
      </c>
      <c r="U567" s="8" t="s">
        <v>1501</v>
      </c>
      <c r="V567" s="8" t="s">
        <v>35</v>
      </c>
      <c r="W567" s="19" t="s">
        <v>1502</v>
      </c>
    </row>
    <row r="568" spans="1:23" x14ac:dyDescent="0.25">
      <c r="A568" s="8" t="s">
        <v>1503</v>
      </c>
      <c r="B568" s="8" t="str">
        <f t="shared" si="8"/>
        <v>SVX1G2845975</v>
      </c>
      <c r="C568" s="9" t="s">
        <v>44</v>
      </c>
      <c r="D568" s="10">
        <v>90412</v>
      </c>
      <c r="E568" s="11" t="s">
        <v>1504</v>
      </c>
      <c r="F568" s="12">
        <v>45946</v>
      </c>
      <c r="G568" s="13" t="s">
        <v>226</v>
      </c>
      <c r="H568" s="10" t="s">
        <v>27</v>
      </c>
      <c r="I568" s="14" t="s">
        <v>28</v>
      </c>
      <c r="J568" s="14" t="s">
        <v>29</v>
      </c>
      <c r="K568" s="15">
        <v>5850</v>
      </c>
      <c r="L568" s="15">
        <v>3500</v>
      </c>
      <c r="M568" s="16" t="s">
        <v>1505</v>
      </c>
      <c r="N568" s="8" t="s">
        <v>30</v>
      </c>
      <c r="O568" s="8" t="s">
        <v>40</v>
      </c>
      <c r="P568" s="17" t="s">
        <v>1506</v>
      </c>
      <c r="Q568" s="18">
        <v>45975</v>
      </c>
      <c r="R568" s="9">
        <v>29</v>
      </c>
      <c r="S568" s="8" t="s">
        <v>32</v>
      </c>
      <c r="T568" s="8" t="s">
        <v>1464</v>
      </c>
      <c r="U568" s="8" t="s">
        <v>1507</v>
      </c>
      <c r="V568" s="8" t="s">
        <v>320</v>
      </c>
      <c r="W568" s="19" t="s">
        <v>1465</v>
      </c>
    </row>
    <row r="569" spans="1:23" x14ac:dyDescent="0.25">
      <c r="A569" s="8" t="s">
        <v>971</v>
      </c>
      <c r="B569" s="8" t="str">
        <f t="shared" si="8"/>
        <v>SFG2D5445975</v>
      </c>
      <c r="C569" s="9" t="s">
        <v>24</v>
      </c>
      <c r="D569" s="10"/>
      <c r="E569" s="11" t="s">
        <v>1508</v>
      </c>
      <c r="F569" s="12">
        <v>45974</v>
      </c>
      <c r="G569" s="13" t="s">
        <v>138</v>
      </c>
      <c r="H569" s="10" t="s">
        <v>27</v>
      </c>
      <c r="I569" s="14" t="s">
        <v>28</v>
      </c>
      <c r="J569" s="14" t="s">
        <v>29</v>
      </c>
      <c r="K569" s="15"/>
      <c r="L569" s="15"/>
      <c r="M569" s="16" t="s">
        <v>140</v>
      </c>
      <c r="N569" s="8" t="s">
        <v>30</v>
      </c>
      <c r="O569" s="8" t="s">
        <v>40</v>
      </c>
      <c r="P569" s="17" t="s">
        <v>86</v>
      </c>
      <c r="Q569" s="18">
        <v>45975</v>
      </c>
      <c r="R569" s="9">
        <v>1</v>
      </c>
      <c r="S569" s="8" t="s">
        <v>153</v>
      </c>
      <c r="T569" s="8" t="s">
        <v>98</v>
      </c>
      <c r="U569" s="8" t="s">
        <v>34</v>
      </c>
      <c r="V569" s="8" t="s">
        <v>1498</v>
      </c>
      <c r="W569" s="19" t="s">
        <v>1238</v>
      </c>
    </row>
    <row r="570" spans="1:23" x14ac:dyDescent="0.25">
      <c r="A570" s="8" t="s">
        <v>1509</v>
      </c>
      <c r="B570" s="8" t="str">
        <f t="shared" si="8"/>
        <v>RNH7H3845975</v>
      </c>
      <c r="C570" s="9" t="s">
        <v>905</v>
      </c>
      <c r="D570" s="10"/>
      <c r="E570" s="11" t="s">
        <v>1510</v>
      </c>
      <c r="F570" s="12">
        <v>45974</v>
      </c>
      <c r="G570" s="13" t="s">
        <v>138</v>
      </c>
      <c r="H570" s="10" t="s">
        <v>27</v>
      </c>
      <c r="I570" s="14" t="s">
        <v>28</v>
      </c>
      <c r="J570" s="14" t="s">
        <v>29</v>
      </c>
      <c r="K570" s="15"/>
      <c r="L570" s="15"/>
      <c r="M570" s="16" t="s">
        <v>343</v>
      </c>
      <c r="N570" s="8" t="s">
        <v>30</v>
      </c>
      <c r="O570" s="8" t="s">
        <v>40</v>
      </c>
      <c r="P570" s="17" t="s">
        <v>86</v>
      </c>
      <c r="Q570" s="18">
        <v>45975</v>
      </c>
      <c r="R570" s="9">
        <v>1</v>
      </c>
      <c r="S570" s="8" t="s">
        <v>153</v>
      </c>
      <c r="T570" s="8" t="s">
        <v>98</v>
      </c>
      <c r="U570" s="8" t="s">
        <v>59</v>
      </c>
      <c r="V570" s="8" t="s">
        <v>1498</v>
      </c>
      <c r="W570" s="19" t="s">
        <v>1164</v>
      </c>
    </row>
    <row r="571" spans="1:23" x14ac:dyDescent="0.25">
      <c r="A571" s="8" t="s">
        <v>561</v>
      </c>
      <c r="B571" s="8" t="str">
        <f t="shared" si="8"/>
        <v>RNB5I3345975</v>
      </c>
      <c r="C571" s="9" t="s">
        <v>44</v>
      </c>
      <c r="D571" s="10" t="s">
        <v>383</v>
      </c>
      <c r="E571" s="11" t="s">
        <v>1511</v>
      </c>
      <c r="F571" s="12">
        <v>45965</v>
      </c>
      <c r="G571" s="13" t="s">
        <v>123</v>
      </c>
      <c r="H571" s="10" t="s">
        <v>27</v>
      </c>
      <c r="I571" s="14" t="s">
        <v>28</v>
      </c>
      <c r="J571" s="14" t="s">
        <v>29</v>
      </c>
      <c r="K571" s="15"/>
      <c r="L571" s="15"/>
      <c r="M571" s="16" t="s">
        <v>374</v>
      </c>
      <c r="N571" s="8" t="s">
        <v>30</v>
      </c>
      <c r="O571" s="8" t="s">
        <v>40</v>
      </c>
      <c r="P571" s="17" t="s">
        <v>86</v>
      </c>
      <c r="Q571" s="18">
        <v>45975</v>
      </c>
      <c r="R571" s="9">
        <v>10</v>
      </c>
      <c r="S571" s="8" t="s">
        <v>32</v>
      </c>
      <c r="T571" s="8" t="s">
        <v>392</v>
      </c>
      <c r="U571" s="8" t="s">
        <v>393</v>
      </c>
      <c r="V571" s="8" t="s">
        <v>1498</v>
      </c>
      <c r="W571" s="19" t="s">
        <v>1251</v>
      </c>
    </row>
    <row r="572" spans="1:23" x14ac:dyDescent="0.25">
      <c r="A572" s="8" t="s">
        <v>909</v>
      </c>
      <c r="B572" s="8" t="str">
        <f t="shared" si="8"/>
        <v>RNG4F4845975</v>
      </c>
      <c r="C572" s="9" t="s">
        <v>44</v>
      </c>
      <c r="D572" s="10" t="s">
        <v>383</v>
      </c>
      <c r="E572" s="11" t="s">
        <v>1512</v>
      </c>
      <c r="F572" s="12">
        <v>45973</v>
      </c>
      <c r="G572" s="13" t="s">
        <v>123</v>
      </c>
      <c r="H572" s="10" t="s">
        <v>27</v>
      </c>
      <c r="I572" s="14" t="s">
        <v>28</v>
      </c>
      <c r="J572" s="14" t="s">
        <v>29</v>
      </c>
      <c r="K572" s="15"/>
      <c r="L572" s="15"/>
      <c r="M572" s="16" t="s">
        <v>237</v>
      </c>
      <c r="N572" s="8" t="s">
        <v>30</v>
      </c>
      <c r="O572" s="8" t="s">
        <v>40</v>
      </c>
      <c r="P572" s="17">
        <v>45975</v>
      </c>
      <c r="Q572" s="18">
        <v>45975</v>
      </c>
      <c r="R572" s="9">
        <v>2</v>
      </c>
      <c r="S572" s="8" t="s">
        <v>32</v>
      </c>
      <c r="T572" s="8" t="s">
        <v>41</v>
      </c>
      <c r="U572" s="8" t="s">
        <v>1513</v>
      </c>
      <c r="V572" s="8" t="s">
        <v>1498</v>
      </c>
      <c r="W572" s="19" t="s">
        <v>1205</v>
      </c>
    </row>
    <row r="573" spans="1:23" x14ac:dyDescent="0.25">
      <c r="A573" s="8" t="s">
        <v>1274</v>
      </c>
      <c r="B573" s="8" t="str">
        <f t="shared" si="8"/>
        <v>SGH8C2245975</v>
      </c>
      <c r="C573" s="9" t="s">
        <v>96</v>
      </c>
      <c r="D573" s="10">
        <v>92477</v>
      </c>
      <c r="E573" s="11" t="s">
        <v>80</v>
      </c>
      <c r="F573" s="12">
        <v>45967</v>
      </c>
      <c r="G573" s="13" t="s">
        <v>39</v>
      </c>
      <c r="H573" s="10" t="s">
        <v>27</v>
      </c>
      <c r="I573" s="14" t="s">
        <v>28</v>
      </c>
      <c r="J573" s="14" t="s">
        <v>139</v>
      </c>
      <c r="K573" s="15"/>
      <c r="L573" s="15"/>
      <c r="M573" s="16" t="s">
        <v>329</v>
      </c>
      <c r="N573" s="8" t="s">
        <v>30</v>
      </c>
      <c r="O573" s="8" t="s">
        <v>40</v>
      </c>
      <c r="P573" s="17" t="s">
        <v>86</v>
      </c>
      <c r="Q573" s="18">
        <v>45975</v>
      </c>
      <c r="R573" s="9">
        <v>8</v>
      </c>
      <c r="S573" s="8" t="s">
        <v>32</v>
      </c>
      <c r="T573" s="8" t="s">
        <v>900</v>
      </c>
      <c r="U573" s="8" t="s">
        <v>1514</v>
      </c>
      <c r="V573" s="8" t="s">
        <v>1186</v>
      </c>
      <c r="W573" s="19" t="s">
        <v>1165</v>
      </c>
    </row>
    <row r="574" spans="1:23" x14ac:dyDescent="0.25">
      <c r="A574" s="8" t="s">
        <v>1515</v>
      </c>
      <c r="B574" s="8" t="str">
        <f t="shared" si="8"/>
        <v>SGL4D1945975</v>
      </c>
      <c r="C574" s="9" t="s">
        <v>96</v>
      </c>
      <c r="D574" s="10" t="s">
        <v>383</v>
      </c>
      <c r="E574" s="11" t="s">
        <v>328</v>
      </c>
      <c r="F574" s="12">
        <v>45971</v>
      </c>
      <c r="G574" s="13" t="s">
        <v>39</v>
      </c>
      <c r="H574" s="10" t="s">
        <v>27</v>
      </c>
      <c r="I574" s="14" t="s">
        <v>28</v>
      </c>
      <c r="J574" s="14" t="s">
        <v>139</v>
      </c>
      <c r="K574" s="15"/>
      <c r="L574" s="15"/>
      <c r="M574" s="16" t="s">
        <v>485</v>
      </c>
      <c r="N574" s="8" t="s">
        <v>228</v>
      </c>
      <c r="O574" s="8" t="s">
        <v>40</v>
      </c>
      <c r="P574" s="17" t="s">
        <v>1516</v>
      </c>
      <c r="Q574" s="18">
        <v>45975</v>
      </c>
      <c r="R574" s="9">
        <v>4</v>
      </c>
      <c r="S574" s="8" t="s">
        <v>32</v>
      </c>
      <c r="T574" s="8" t="s">
        <v>159</v>
      </c>
      <c r="U574" s="8" t="s">
        <v>460</v>
      </c>
      <c r="V574" s="8" t="s">
        <v>1186</v>
      </c>
      <c r="W574" s="19" t="s">
        <v>1281</v>
      </c>
    </row>
    <row r="575" spans="1:23" x14ac:dyDescent="0.25">
      <c r="A575" s="8" t="s">
        <v>1517</v>
      </c>
      <c r="B575" s="8" t="str">
        <f t="shared" si="8"/>
        <v>SGL4C86 45975</v>
      </c>
      <c r="C575" s="9" t="s">
        <v>69</v>
      </c>
      <c r="D575" s="10" t="s">
        <v>383</v>
      </c>
      <c r="E575" s="11" t="s">
        <v>1518</v>
      </c>
      <c r="F575" s="12">
        <v>45972</v>
      </c>
      <c r="G575" s="13" t="s">
        <v>39</v>
      </c>
      <c r="H575" s="10" t="s">
        <v>27</v>
      </c>
      <c r="I575" s="14" t="s">
        <v>28</v>
      </c>
      <c r="J575" s="14" t="s">
        <v>29</v>
      </c>
      <c r="K575" s="15">
        <v>1858</v>
      </c>
      <c r="L575" s="15"/>
      <c r="M575" s="16" t="s">
        <v>396</v>
      </c>
      <c r="N575" s="8" t="s">
        <v>30</v>
      </c>
      <c r="O575" s="8" t="s">
        <v>40</v>
      </c>
      <c r="P575" s="17">
        <v>45975</v>
      </c>
      <c r="Q575" s="18">
        <v>45975</v>
      </c>
      <c r="R575" s="9">
        <v>3</v>
      </c>
      <c r="S575" s="8" t="s">
        <v>32</v>
      </c>
      <c r="T575" s="8" t="s">
        <v>1519</v>
      </c>
      <c r="U575" s="8" t="s">
        <v>1480</v>
      </c>
      <c r="V575" s="8" t="s">
        <v>1186</v>
      </c>
      <c r="W575" s="19" t="s">
        <v>1481</v>
      </c>
    </row>
    <row r="576" spans="1:23" x14ac:dyDescent="0.25">
      <c r="A576" s="8" t="s">
        <v>1520</v>
      </c>
      <c r="B576" s="8" t="str">
        <f t="shared" si="8"/>
        <v>RVQ2D5545975</v>
      </c>
      <c r="C576" s="9" t="s">
        <v>44</v>
      </c>
      <c r="D576" s="10"/>
      <c r="E576" s="11" t="s">
        <v>1521</v>
      </c>
      <c r="F576" s="12">
        <v>45974</v>
      </c>
      <c r="G576" s="13" t="s">
        <v>138</v>
      </c>
      <c r="H576" s="10" t="s">
        <v>27</v>
      </c>
      <c r="I576" s="14" t="s">
        <v>28</v>
      </c>
      <c r="J576" s="14" t="s">
        <v>139</v>
      </c>
      <c r="K576" s="15"/>
      <c r="L576" s="15"/>
      <c r="M576" s="16" t="s">
        <v>343</v>
      </c>
      <c r="N576" s="8" t="s">
        <v>30</v>
      </c>
      <c r="O576" s="8" t="s">
        <v>40</v>
      </c>
      <c r="P576" s="17" t="s">
        <v>86</v>
      </c>
      <c r="Q576" s="18">
        <v>45975</v>
      </c>
      <c r="R576" s="9">
        <v>1</v>
      </c>
      <c r="S576" s="8" t="s">
        <v>153</v>
      </c>
      <c r="T576" s="8" t="s">
        <v>98</v>
      </c>
      <c r="U576" s="8" t="s">
        <v>1489</v>
      </c>
      <c r="V576" s="8" t="s">
        <v>1498</v>
      </c>
      <c r="W576" s="19" t="s">
        <v>1164</v>
      </c>
    </row>
    <row r="577" spans="1:23" x14ac:dyDescent="0.25">
      <c r="A577" s="8" t="s">
        <v>1522</v>
      </c>
      <c r="B577" s="8" t="str">
        <f t="shared" si="8"/>
        <v>RUX2J1645975</v>
      </c>
      <c r="C577" s="9" t="s">
        <v>79</v>
      </c>
      <c r="D577" s="10">
        <v>140436</v>
      </c>
      <c r="E577" s="11" t="s">
        <v>1523</v>
      </c>
      <c r="F577" s="12">
        <v>45974</v>
      </c>
      <c r="G577" s="13" t="s">
        <v>364</v>
      </c>
      <c r="H577" s="10" t="s">
        <v>27</v>
      </c>
      <c r="I577" s="14" t="s">
        <v>28</v>
      </c>
      <c r="J577" s="14" t="s">
        <v>139</v>
      </c>
      <c r="K577" s="15"/>
      <c r="L577" s="15"/>
      <c r="M577" s="16" t="s">
        <v>1524</v>
      </c>
      <c r="N577" s="8" t="s">
        <v>30</v>
      </c>
      <c r="O577" s="8" t="s">
        <v>40</v>
      </c>
      <c r="P577" s="17" t="s">
        <v>86</v>
      </c>
      <c r="Q577" s="18">
        <v>45975</v>
      </c>
      <c r="R577" s="9">
        <v>1</v>
      </c>
      <c r="S577" s="8" t="s">
        <v>153</v>
      </c>
      <c r="T577" s="8" t="s">
        <v>93</v>
      </c>
      <c r="U577" s="8" t="s">
        <v>275</v>
      </c>
      <c r="V577" s="8" t="s">
        <v>1186</v>
      </c>
      <c r="W577" s="19" t="s">
        <v>1525</v>
      </c>
    </row>
    <row r="578" spans="1:23" x14ac:dyDescent="0.25">
      <c r="A578" s="8" t="s">
        <v>1526</v>
      </c>
      <c r="B578" s="8" t="str">
        <f t="shared" si="8"/>
        <v>SDT9E9745975</v>
      </c>
      <c r="C578" s="9" t="s">
        <v>50</v>
      </c>
      <c r="D578" s="10">
        <v>92070</v>
      </c>
      <c r="E578" s="11" t="s">
        <v>1527</v>
      </c>
      <c r="F578" s="12">
        <v>45898</v>
      </c>
      <c r="G578" s="13" t="s">
        <v>743</v>
      </c>
      <c r="H578" s="10" t="s">
        <v>27</v>
      </c>
      <c r="I578" s="14" t="s">
        <v>28</v>
      </c>
      <c r="J578" s="14" t="s">
        <v>139</v>
      </c>
      <c r="K578" s="15"/>
      <c r="L578" s="15"/>
      <c r="M578" s="16" t="s">
        <v>387</v>
      </c>
      <c r="N578" s="8" t="s">
        <v>30</v>
      </c>
      <c r="O578" s="8" t="s">
        <v>388</v>
      </c>
      <c r="P578" s="17" t="s">
        <v>86</v>
      </c>
      <c r="Q578" s="18">
        <v>45975</v>
      </c>
      <c r="R578" s="9">
        <v>77</v>
      </c>
      <c r="S578" s="8" t="s">
        <v>32</v>
      </c>
      <c r="T578" s="8" t="s">
        <v>1528</v>
      </c>
      <c r="U578" s="8" t="s">
        <v>110</v>
      </c>
      <c r="V578" s="8" t="s">
        <v>48</v>
      </c>
      <c r="W578" s="19" t="s">
        <v>1204</v>
      </c>
    </row>
    <row r="579" spans="1:23" x14ac:dyDescent="0.25">
      <c r="A579" s="8" t="s">
        <v>1529</v>
      </c>
      <c r="B579" s="8" t="str">
        <f t="shared" ref="B579:B642" si="9">A579&amp;Q579</f>
        <v>TAO5A3545975</v>
      </c>
      <c r="C579" s="9" t="s">
        <v>626</v>
      </c>
      <c r="D579" s="10">
        <v>65871</v>
      </c>
      <c r="E579" s="11" t="s">
        <v>1530</v>
      </c>
      <c r="F579" s="12">
        <v>45974</v>
      </c>
      <c r="G579" s="13" t="s">
        <v>138</v>
      </c>
      <c r="H579" s="10" t="s">
        <v>27</v>
      </c>
      <c r="I579" s="14" t="s">
        <v>28</v>
      </c>
      <c r="J579" s="14" t="s">
        <v>139</v>
      </c>
      <c r="K579" s="15"/>
      <c r="L579" s="15"/>
      <c r="M579" s="16" t="s">
        <v>343</v>
      </c>
      <c r="N579" s="8" t="s">
        <v>30</v>
      </c>
      <c r="O579" s="8" t="s">
        <v>40</v>
      </c>
      <c r="P579" s="17" t="s">
        <v>86</v>
      </c>
      <c r="Q579" s="18">
        <v>45975</v>
      </c>
      <c r="R579" s="9">
        <v>1</v>
      </c>
      <c r="S579" s="8" t="s">
        <v>153</v>
      </c>
      <c r="T579" s="8" t="s">
        <v>98</v>
      </c>
      <c r="U579" s="8" t="s">
        <v>1489</v>
      </c>
      <c r="V579" s="8" t="s">
        <v>1498</v>
      </c>
      <c r="W579" s="19" t="s">
        <v>1164</v>
      </c>
    </row>
    <row r="580" spans="1:23" x14ac:dyDescent="0.25">
      <c r="A580" s="8" t="s">
        <v>1531</v>
      </c>
      <c r="B580" s="8" t="str">
        <f t="shared" si="9"/>
        <v>SGH6H7045975</v>
      </c>
      <c r="C580" s="9" t="s">
        <v>96</v>
      </c>
      <c r="D580" s="10">
        <v>92598</v>
      </c>
      <c r="E580" s="11" t="s">
        <v>493</v>
      </c>
      <c r="F580" s="12">
        <v>45931</v>
      </c>
      <c r="G580" s="13" t="s">
        <v>39</v>
      </c>
      <c r="H580" s="10" t="s">
        <v>27</v>
      </c>
      <c r="I580" s="14" t="s">
        <v>28</v>
      </c>
      <c r="J580" s="14" t="s">
        <v>29</v>
      </c>
      <c r="K580" s="15"/>
      <c r="L580" s="15"/>
      <c r="M580" s="16" t="s">
        <v>329</v>
      </c>
      <c r="N580" s="8" t="s">
        <v>30</v>
      </c>
      <c r="O580" s="8" t="s">
        <v>40</v>
      </c>
      <c r="P580" s="17">
        <v>45975</v>
      </c>
      <c r="Q580" s="18">
        <v>45975</v>
      </c>
      <c r="R580" s="9">
        <v>44</v>
      </c>
      <c r="S580" s="8" t="s">
        <v>32</v>
      </c>
      <c r="T580" s="8" t="s">
        <v>66</v>
      </c>
      <c r="U580" s="8" t="s">
        <v>465</v>
      </c>
      <c r="V580" s="8" t="s">
        <v>320</v>
      </c>
      <c r="W580" s="19" t="s">
        <v>1165</v>
      </c>
    </row>
    <row r="581" spans="1:23" x14ac:dyDescent="0.25">
      <c r="A581" s="8" t="s">
        <v>1532</v>
      </c>
      <c r="B581" s="8" t="str">
        <f t="shared" si="9"/>
        <v>RTM7G8345975</v>
      </c>
      <c r="C581" s="9" t="s">
        <v>905</v>
      </c>
      <c r="D581" s="10"/>
      <c r="E581" s="11" t="s">
        <v>1533</v>
      </c>
      <c r="F581" s="12">
        <v>45975</v>
      </c>
      <c r="G581" s="13" t="s">
        <v>39</v>
      </c>
      <c r="H581" s="10" t="s">
        <v>27</v>
      </c>
      <c r="I581" s="14" t="s">
        <v>28</v>
      </c>
      <c r="J581" s="14" t="s">
        <v>29</v>
      </c>
      <c r="K581" s="15"/>
      <c r="L581" s="15"/>
      <c r="M581" s="16" t="s">
        <v>343</v>
      </c>
      <c r="N581" s="8" t="s">
        <v>30</v>
      </c>
      <c r="O581" s="8" t="s">
        <v>40</v>
      </c>
      <c r="P581" s="17" t="s">
        <v>86</v>
      </c>
      <c r="Q581" s="18">
        <v>45975</v>
      </c>
      <c r="R581" s="9">
        <v>1</v>
      </c>
      <c r="S581" s="8" t="s">
        <v>153</v>
      </c>
      <c r="T581" s="8" t="s">
        <v>98</v>
      </c>
      <c r="U581" s="8" t="s">
        <v>1489</v>
      </c>
      <c r="V581" s="8"/>
      <c r="W581" s="19"/>
    </row>
    <row r="582" spans="1:23" x14ac:dyDescent="0.25">
      <c r="A582" s="8" t="s">
        <v>1534</v>
      </c>
      <c r="B582" s="8" t="str">
        <f t="shared" si="9"/>
        <v>RUZ8A5345978</v>
      </c>
      <c r="C582" s="9" t="s">
        <v>44</v>
      </c>
      <c r="D582" s="10" t="s">
        <v>383</v>
      </c>
      <c r="E582" s="11" t="s">
        <v>1535</v>
      </c>
      <c r="F582" s="12">
        <v>45974</v>
      </c>
      <c r="G582" s="13" t="s">
        <v>138</v>
      </c>
      <c r="H582" s="10" t="s">
        <v>27</v>
      </c>
      <c r="I582" s="14" t="s">
        <v>28</v>
      </c>
      <c r="J582" s="14" t="s">
        <v>139</v>
      </c>
      <c r="K582" s="15">
        <v>1070</v>
      </c>
      <c r="L582" s="15">
        <v>980</v>
      </c>
      <c r="M582" s="16" t="s">
        <v>294</v>
      </c>
      <c r="N582" s="8" t="s">
        <v>30</v>
      </c>
      <c r="O582" s="8" t="s">
        <v>1536</v>
      </c>
      <c r="P582" s="17">
        <v>45978</v>
      </c>
      <c r="Q582" s="18">
        <v>45978</v>
      </c>
      <c r="R582" s="9">
        <v>4</v>
      </c>
      <c r="S582" s="8" t="s">
        <v>32</v>
      </c>
      <c r="T582" s="8" t="s">
        <v>100</v>
      </c>
      <c r="U582" s="8" t="s">
        <v>1354</v>
      </c>
      <c r="V582" s="8" t="s">
        <v>1498</v>
      </c>
      <c r="W582" s="19" t="s">
        <v>1177</v>
      </c>
    </row>
    <row r="583" spans="1:23" x14ac:dyDescent="0.25">
      <c r="A583" s="8" t="s">
        <v>445</v>
      </c>
      <c r="B583" s="8" t="str">
        <f t="shared" si="9"/>
        <v>RNF2B6845978</v>
      </c>
      <c r="C583" s="9" t="s">
        <v>72</v>
      </c>
      <c r="D583" s="10" t="s">
        <v>383</v>
      </c>
      <c r="E583" s="11" t="s">
        <v>1537</v>
      </c>
      <c r="F583" s="12">
        <v>45974</v>
      </c>
      <c r="G583" s="13" t="s">
        <v>123</v>
      </c>
      <c r="H583" s="10" t="s">
        <v>27</v>
      </c>
      <c r="I583" s="14" t="s">
        <v>28</v>
      </c>
      <c r="J583" s="14" t="s">
        <v>29</v>
      </c>
      <c r="K583" s="15"/>
      <c r="L583" s="15"/>
      <c r="M583" s="16" t="s">
        <v>374</v>
      </c>
      <c r="N583" s="8" t="s">
        <v>30</v>
      </c>
      <c r="O583" s="8" t="s">
        <v>40</v>
      </c>
      <c r="P583" s="17">
        <v>45978</v>
      </c>
      <c r="Q583" s="18">
        <v>45978</v>
      </c>
      <c r="R583" s="9">
        <v>4</v>
      </c>
      <c r="S583" s="8" t="s">
        <v>32</v>
      </c>
      <c r="T583" s="8" t="s">
        <v>392</v>
      </c>
      <c r="U583" s="8" t="s">
        <v>393</v>
      </c>
      <c r="V583" s="8" t="s">
        <v>1186</v>
      </c>
      <c r="W583" s="19" t="s">
        <v>1251</v>
      </c>
    </row>
    <row r="584" spans="1:23" x14ac:dyDescent="0.25">
      <c r="A584" s="8" t="s">
        <v>1538</v>
      </c>
      <c r="B584" s="8" t="str">
        <f t="shared" si="9"/>
        <v>RVE2F2545978</v>
      </c>
      <c r="C584" s="9" t="s">
        <v>44</v>
      </c>
      <c r="D584" s="10" t="s">
        <v>383</v>
      </c>
      <c r="E584" s="11" t="s">
        <v>1539</v>
      </c>
      <c r="F584" s="12">
        <v>45974</v>
      </c>
      <c r="G584" s="13" t="s">
        <v>138</v>
      </c>
      <c r="H584" s="10" t="s">
        <v>27</v>
      </c>
      <c r="I584" s="14" t="s">
        <v>28</v>
      </c>
      <c r="J584" s="14" t="s">
        <v>139</v>
      </c>
      <c r="K584" s="15"/>
      <c r="L584" s="15"/>
      <c r="M584" s="16" t="s">
        <v>528</v>
      </c>
      <c r="N584" s="8" t="s">
        <v>30</v>
      </c>
      <c r="O584" s="8" t="s">
        <v>40</v>
      </c>
      <c r="P584" s="17" t="s">
        <v>86</v>
      </c>
      <c r="Q584" s="18">
        <v>45978</v>
      </c>
      <c r="R584" s="9">
        <v>4</v>
      </c>
      <c r="S584" s="8" t="s">
        <v>32</v>
      </c>
      <c r="T584" s="8" t="s">
        <v>100</v>
      </c>
      <c r="U584" s="8" t="s">
        <v>823</v>
      </c>
      <c r="V584" s="8" t="s">
        <v>1498</v>
      </c>
      <c r="W584" s="19" t="s">
        <v>1299</v>
      </c>
    </row>
    <row r="585" spans="1:23" x14ac:dyDescent="0.25">
      <c r="A585" s="8" t="s">
        <v>1540</v>
      </c>
      <c r="B585" s="8" t="str">
        <f t="shared" si="9"/>
        <v>RNG4F6345978</v>
      </c>
      <c r="C585" s="9" t="s">
        <v>72</v>
      </c>
      <c r="D585" s="10">
        <v>154883</v>
      </c>
      <c r="E585" s="11" t="s">
        <v>1541</v>
      </c>
      <c r="F585" s="12">
        <v>45974</v>
      </c>
      <c r="G585" s="13" t="s">
        <v>138</v>
      </c>
      <c r="H585" s="10" t="s">
        <v>27</v>
      </c>
      <c r="I585" s="14" t="s">
        <v>28</v>
      </c>
      <c r="J585" s="14" t="s">
        <v>139</v>
      </c>
      <c r="K585" s="15"/>
      <c r="L585" s="15"/>
      <c r="M585" s="16" t="s">
        <v>294</v>
      </c>
      <c r="N585" s="8" t="s">
        <v>30</v>
      </c>
      <c r="O585" s="8" t="s">
        <v>1536</v>
      </c>
      <c r="P585" s="17">
        <v>45978</v>
      </c>
      <c r="Q585" s="18">
        <v>45978</v>
      </c>
      <c r="R585" s="9">
        <v>4</v>
      </c>
      <c r="S585" s="8" t="s">
        <v>32</v>
      </c>
      <c r="T585" s="8" t="s">
        <v>1353</v>
      </c>
      <c r="U585" s="8" t="s">
        <v>1354</v>
      </c>
      <c r="V585" s="8" t="s">
        <v>1498</v>
      </c>
      <c r="W585" s="19" t="s">
        <v>1177</v>
      </c>
    </row>
    <row r="586" spans="1:23" x14ac:dyDescent="0.25">
      <c r="A586" s="8" t="s">
        <v>1542</v>
      </c>
      <c r="B586" s="8" t="str">
        <f t="shared" si="9"/>
        <v>SDQ2A7345975</v>
      </c>
      <c r="C586" s="9" t="s">
        <v>127</v>
      </c>
      <c r="D586" s="10"/>
      <c r="E586" s="11" t="s">
        <v>1543</v>
      </c>
      <c r="F586" s="12">
        <v>45947</v>
      </c>
      <c r="G586" s="13" t="s">
        <v>658</v>
      </c>
      <c r="H586" s="10" t="s">
        <v>52</v>
      </c>
      <c r="I586" s="14" t="s">
        <v>28</v>
      </c>
      <c r="J586" s="14" t="s">
        <v>29</v>
      </c>
      <c r="K586" s="15">
        <v>1800</v>
      </c>
      <c r="L586" s="15">
        <v>1800</v>
      </c>
      <c r="M586" s="16" t="s">
        <v>603</v>
      </c>
      <c r="N586" s="8" t="s">
        <v>30</v>
      </c>
      <c r="O586" s="8" t="s">
        <v>52</v>
      </c>
      <c r="P586" s="17">
        <v>45974</v>
      </c>
      <c r="Q586" s="18">
        <v>45975</v>
      </c>
      <c r="R586" s="9">
        <v>28</v>
      </c>
      <c r="S586" s="8" t="s">
        <v>32</v>
      </c>
      <c r="T586" s="8" t="s">
        <v>1544</v>
      </c>
      <c r="U586" s="8" t="s">
        <v>1545</v>
      </c>
      <c r="V586" s="8" t="s">
        <v>320</v>
      </c>
      <c r="W586" s="19" t="s">
        <v>1433</v>
      </c>
    </row>
    <row r="587" spans="1:23" x14ac:dyDescent="0.25">
      <c r="A587" s="8" t="s">
        <v>1546</v>
      </c>
      <c r="B587" s="8" t="str">
        <f t="shared" si="9"/>
        <v>RUM2B4245978</v>
      </c>
      <c r="C587" s="9" t="s">
        <v>37</v>
      </c>
      <c r="D587" s="10"/>
      <c r="E587" s="11" t="s">
        <v>236</v>
      </c>
      <c r="F587" s="12">
        <v>45978</v>
      </c>
      <c r="G587" s="13" t="s">
        <v>123</v>
      </c>
      <c r="H587" s="10" t="s">
        <v>27</v>
      </c>
      <c r="I587" s="14" t="s">
        <v>176</v>
      </c>
      <c r="J587" s="14" t="s">
        <v>29</v>
      </c>
      <c r="K587" s="15"/>
      <c r="L587" s="15"/>
      <c r="M587" s="16" t="s">
        <v>214</v>
      </c>
      <c r="N587" s="8" t="s">
        <v>30</v>
      </c>
      <c r="O587" s="8" t="s">
        <v>1536</v>
      </c>
      <c r="P587" s="17">
        <v>45978</v>
      </c>
      <c r="Q587" s="18">
        <v>45978</v>
      </c>
      <c r="R587" s="9">
        <v>1</v>
      </c>
      <c r="S587" s="8" t="s">
        <v>153</v>
      </c>
      <c r="T587" s="8" t="s">
        <v>98</v>
      </c>
      <c r="U587" s="8" t="s">
        <v>215</v>
      </c>
      <c r="V587" s="8" t="s">
        <v>1498</v>
      </c>
      <c r="W587" s="19" t="s">
        <v>1242</v>
      </c>
    </row>
    <row r="588" spans="1:23" x14ac:dyDescent="0.25">
      <c r="A588" s="8" t="s">
        <v>1547</v>
      </c>
      <c r="B588" s="8" t="str">
        <f t="shared" si="9"/>
        <v>SVR0C1645978</v>
      </c>
      <c r="C588" s="9" t="s">
        <v>96</v>
      </c>
      <c r="D588" s="10"/>
      <c r="E588" s="11" t="s">
        <v>1548</v>
      </c>
      <c r="F588" s="12"/>
      <c r="G588" s="13" t="s">
        <v>658</v>
      </c>
      <c r="H588" s="10" t="s">
        <v>52</v>
      </c>
      <c r="I588" s="14" t="s">
        <v>28</v>
      </c>
      <c r="J588" s="14" t="s">
        <v>29</v>
      </c>
      <c r="K588" s="15">
        <v>4748</v>
      </c>
      <c r="L588" s="15">
        <v>4748</v>
      </c>
      <c r="M588" s="16" t="s">
        <v>294</v>
      </c>
      <c r="N588" s="8" t="s">
        <v>30</v>
      </c>
      <c r="O588" s="8" t="s">
        <v>52</v>
      </c>
      <c r="P588" s="17">
        <v>45979</v>
      </c>
      <c r="Q588" s="18">
        <v>45978</v>
      </c>
      <c r="R588" s="9">
        <v>45978</v>
      </c>
      <c r="S588" s="8" t="s">
        <v>32</v>
      </c>
      <c r="T588" s="8" t="s">
        <v>162</v>
      </c>
      <c r="U588" s="8"/>
      <c r="V588" s="8" t="s">
        <v>1186</v>
      </c>
      <c r="W588" s="19" t="s">
        <v>1177</v>
      </c>
    </row>
    <row r="589" spans="1:23" x14ac:dyDescent="0.25">
      <c r="A589" s="8" t="s">
        <v>1549</v>
      </c>
      <c r="B589" s="8" t="str">
        <f t="shared" si="9"/>
        <v>RVD4C6745978</v>
      </c>
      <c r="C589" s="9" t="s">
        <v>79</v>
      </c>
      <c r="D589" s="10"/>
      <c r="E589" s="11" t="s">
        <v>1550</v>
      </c>
      <c r="F589" s="12">
        <v>45974</v>
      </c>
      <c r="G589" s="13" t="s">
        <v>138</v>
      </c>
      <c r="H589" s="10" t="s">
        <v>27</v>
      </c>
      <c r="I589" s="14" t="s">
        <v>28</v>
      </c>
      <c r="J589" s="14" t="s">
        <v>29</v>
      </c>
      <c r="K589" s="15">
        <v>1046</v>
      </c>
      <c r="L589" s="15">
        <v>980</v>
      </c>
      <c r="M589" s="16" t="s">
        <v>587</v>
      </c>
      <c r="N589" s="8" t="s">
        <v>30</v>
      </c>
      <c r="O589" s="8" t="s">
        <v>40</v>
      </c>
      <c r="P589" s="17" t="s">
        <v>86</v>
      </c>
      <c r="Q589" s="18">
        <v>45978</v>
      </c>
      <c r="R589" s="9">
        <v>4</v>
      </c>
      <c r="S589" s="8" t="s">
        <v>32</v>
      </c>
      <c r="T589" s="8" t="s">
        <v>100</v>
      </c>
      <c r="U589" s="8" t="s">
        <v>101</v>
      </c>
      <c r="V589" s="8" t="s">
        <v>1498</v>
      </c>
      <c r="W589" s="19" t="s">
        <v>1455</v>
      </c>
    </row>
    <row r="590" spans="1:23" x14ac:dyDescent="0.25">
      <c r="A590" s="8" t="s">
        <v>1488</v>
      </c>
      <c r="B590" s="8" t="str">
        <f t="shared" si="9"/>
        <v>RNJ9D5845978</v>
      </c>
      <c r="C590" s="9" t="s">
        <v>72</v>
      </c>
      <c r="D590" s="10">
        <v>130777</v>
      </c>
      <c r="E590" s="11" t="s">
        <v>1551</v>
      </c>
      <c r="F590" s="12">
        <v>45975</v>
      </c>
      <c r="G590" s="13" t="s">
        <v>138</v>
      </c>
      <c r="H590" s="10" t="s">
        <v>27</v>
      </c>
      <c r="I590" s="14" t="s">
        <v>28</v>
      </c>
      <c r="J590" s="14" t="s">
        <v>139</v>
      </c>
      <c r="K590" s="15"/>
      <c r="L590" s="15"/>
      <c r="M590" s="16" t="s">
        <v>140</v>
      </c>
      <c r="N590" s="8" t="s">
        <v>30</v>
      </c>
      <c r="O590" s="8" t="s">
        <v>1536</v>
      </c>
      <c r="P590" s="17" t="s">
        <v>86</v>
      </c>
      <c r="Q590" s="18">
        <v>45978</v>
      </c>
      <c r="R590" s="9">
        <v>3</v>
      </c>
      <c r="S590" s="8" t="s">
        <v>32</v>
      </c>
      <c r="T590" s="8" t="s">
        <v>98</v>
      </c>
      <c r="U590" s="8" t="s">
        <v>1489</v>
      </c>
      <c r="V590" s="8" t="s">
        <v>1498</v>
      </c>
      <c r="W590" s="19" t="s">
        <v>1238</v>
      </c>
    </row>
    <row r="591" spans="1:23" x14ac:dyDescent="0.25">
      <c r="A591" s="8" t="s">
        <v>1552</v>
      </c>
      <c r="B591" s="8" t="str">
        <f t="shared" si="9"/>
        <v>RTM6B70 45978</v>
      </c>
      <c r="C591" s="9" t="s">
        <v>44</v>
      </c>
      <c r="D591" s="10" t="s">
        <v>383</v>
      </c>
      <c r="E591" s="11" t="s">
        <v>1553</v>
      </c>
      <c r="F591" s="12">
        <v>45909</v>
      </c>
      <c r="G591" s="13" t="s">
        <v>364</v>
      </c>
      <c r="H591" s="10" t="s">
        <v>27</v>
      </c>
      <c r="I591" s="14" t="s">
        <v>28</v>
      </c>
      <c r="J591" s="14" t="s">
        <v>29</v>
      </c>
      <c r="K591" s="15"/>
      <c r="L591" s="15"/>
      <c r="M591" s="16" t="s">
        <v>398</v>
      </c>
      <c r="N591" s="8" t="s">
        <v>30</v>
      </c>
      <c r="O591" s="8" t="s">
        <v>40</v>
      </c>
      <c r="P591" s="17" t="s">
        <v>86</v>
      </c>
      <c r="Q591" s="18">
        <v>45978</v>
      </c>
      <c r="R591" s="9"/>
      <c r="S591" s="8" t="s">
        <v>153</v>
      </c>
      <c r="T591" s="8" t="s">
        <v>1554</v>
      </c>
      <c r="U591" s="8" t="s">
        <v>275</v>
      </c>
      <c r="V591" s="8" t="s">
        <v>1498</v>
      </c>
      <c r="W591" s="19" t="s">
        <v>1502</v>
      </c>
    </row>
    <row r="592" spans="1:23" x14ac:dyDescent="0.25">
      <c r="A592" s="8" t="s">
        <v>1555</v>
      </c>
      <c r="B592" s="8" t="str">
        <f t="shared" si="9"/>
        <v>SUD2F6845978</v>
      </c>
      <c r="C592" s="9" t="s">
        <v>96</v>
      </c>
      <c r="D592" s="10">
        <v>56454</v>
      </c>
      <c r="E592" s="11" t="s">
        <v>1556</v>
      </c>
      <c r="F592" s="12">
        <v>45975</v>
      </c>
      <c r="G592" s="13" t="s">
        <v>743</v>
      </c>
      <c r="H592" s="10" t="s">
        <v>27</v>
      </c>
      <c r="I592" s="14" t="s">
        <v>28</v>
      </c>
      <c r="J592" s="14" t="s">
        <v>139</v>
      </c>
      <c r="K592" s="15"/>
      <c r="L592" s="15"/>
      <c r="M592" s="16" t="s">
        <v>387</v>
      </c>
      <c r="N592" s="8" t="s">
        <v>30</v>
      </c>
      <c r="O592" s="8" t="s">
        <v>40</v>
      </c>
      <c r="P592" s="17" t="s">
        <v>86</v>
      </c>
      <c r="Q592" s="18">
        <v>45978</v>
      </c>
      <c r="R592" s="9">
        <v>3</v>
      </c>
      <c r="S592" s="8" t="s">
        <v>32</v>
      </c>
      <c r="T592" s="8"/>
      <c r="U592" s="8" t="s">
        <v>888</v>
      </c>
      <c r="V592" s="8" t="s">
        <v>1498</v>
      </c>
      <c r="W592" s="19" t="s">
        <v>1204</v>
      </c>
    </row>
    <row r="593" spans="1:23" x14ac:dyDescent="0.25">
      <c r="A593" s="8" t="s">
        <v>696</v>
      </c>
      <c r="B593" s="8" t="str">
        <f t="shared" si="9"/>
        <v>RTM6B6045978</v>
      </c>
      <c r="C593" s="9" t="s">
        <v>44</v>
      </c>
      <c r="D593" s="10" t="s">
        <v>383</v>
      </c>
      <c r="E593" s="11" t="s">
        <v>595</v>
      </c>
      <c r="F593" s="12">
        <v>45974</v>
      </c>
      <c r="G593" s="13" t="s">
        <v>226</v>
      </c>
      <c r="H593" s="10" t="s">
        <v>27</v>
      </c>
      <c r="I593" s="14" t="s">
        <v>28</v>
      </c>
      <c r="J593" s="14" t="s">
        <v>139</v>
      </c>
      <c r="K593" s="15"/>
      <c r="L593" s="15"/>
      <c r="M593" s="16" t="s">
        <v>140</v>
      </c>
      <c r="N593" s="8" t="s">
        <v>30</v>
      </c>
      <c r="O593" s="8" t="s">
        <v>40</v>
      </c>
      <c r="P593" s="17" t="s">
        <v>86</v>
      </c>
      <c r="Q593" s="18">
        <v>45978</v>
      </c>
      <c r="R593" s="9">
        <v>4</v>
      </c>
      <c r="S593" s="8" t="s">
        <v>32</v>
      </c>
      <c r="T593" s="8" t="s">
        <v>1048</v>
      </c>
      <c r="U593" s="8" t="s">
        <v>486</v>
      </c>
      <c r="V593" s="8" t="s">
        <v>1186</v>
      </c>
      <c r="W593" s="19" t="s">
        <v>1238</v>
      </c>
    </row>
    <row r="594" spans="1:23" x14ac:dyDescent="0.25">
      <c r="A594" s="8" t="s">
        <v>1557</v>
      </c>
      <c r="B594" s="8" t="str">
        <f t="shared" si="9"/>
        <v>RVG0G1145978</v>
      </c>
      <c r="C594" s="9" t="s">
        <v>505</v>
      </c>
      <c r="D594" s="10">
        <v>147372</v>
      </c>
      <c r="E594" s="11" t="s">
        <v>1558</v>
      </c>
      <c r="F594" s="12">
        <v>45861</v>
      </c>
      <c r="G594" s="13" t="s">
        <v>226</v>
      </c>
      <c r="H594" s="10" t="s">
        <v>27</v>
      </c>
      <c r="I594" s="14" t="s">
        <v>28</v>
      </c>
      <c r="J594" s="14" t="s">
        <v>29</v>
      </c>
      <c r="K594" s="15"/>
      <c r="L594" s="15"/>
      <c r="M594" s="16" t="s">
        <v>761</v>
      </c>
      <c r="N594" s="8" t="s">
        <v>30</v>
      </c>
      <c r="O594" s="8" t="s">
        <v>40</v>
      </c>
      <c r="P594" s="17">
        <v>45976</v>
      </c>
      <c r="Q594" s="18">
        <v>45978</v>
      </c>
      <c r="R594" s="9">
        <v>117</v>
      </c>
      <c r="S594" s="8" t="s">
        <v>32</v>
      </c>
      <c r="T594" s="8" t="s">
        <v>1559</v>
      </c>
      <c r="U594" s="8" t="s">
        <v>762</v>
      </c>
      <c r="V594" s="8" t="s">
        <v>83</v>
      </c>
      <c r="W594" s="19" t="s">
        <v>1232</v>
      </c>
    </row>
    <row r="595" spans="1:23" x14ac:dyDescent="0.25">
      <c r="A595" s="8" t="s">
        <v>1560</v>
      </c>
      <c r="B595" s="8" t="str">
        <f t="shared" si="9"/>
        <v>RUX9H5545978</v>
      </c>
      <c r="C595" s="9" t="s">
        <v>37</v>
      </c>
      <c r="D595" s="10"/>
      <c r="E595" s="11" t="s">
        <v>1561</v>
      </c>
      <c r="F595" s="12"/>
      <c r="G595" s="13" t="s">
        <v>1562</v>
      </c>
      <c r="H595" s="10" t="s">
        <v>52</v>
      </c>
      <c r="I595" s="14" t="s">
        <v>28</v>
      </c>
      <c r="J595" s="14" t="s">
        <v>29</v>
      </c>
      <c r="K595" s="15"/>
      <c r="L595" s="15"/>
      <c r="M595" s="16" t="s">
        <v>790</v>
      </c>
      <c r="N595" s="8" t="s">
        <v>30</v>
      </c>
      <c r="O595" s="8" t="s">
        <v>52</v>
      </c>
      <c r="P595" s="17">
        <v>45978</v>
      </c>
      <c r="Q595" s="18">
        <v>45978</v>
      </c>
      <c r="R595" s="9">
        <v>45978</v>
      </c>
      <c r="S595" s="8" t="s">
        <v>32</v>
      </c>
      <c r="T595" s="8" t="s">
        <v>162</v>
      </c>
      <c r="U595" s="8"/>
      <c r="V595" s="8" t="s">
        <v>1498</v>
      </c>
      <c r="W595" s="19" t="s">
        <v>1563</v>
      </c>
    </row>
    <row r="596" spans="1:23" x14ac:dyDescent="0.25">
      <c r="A596" s="8" t="s">
        <v>1564</v>
      </c>
      <c r="B596" s="8" t="str">
        <f t="shared" si="9"/>
        <v>RNE0J0745978</v>
      </c>
      <c r="C596" s="9" t="s">
        <v>72</v>
      </c>
      <c r="D596" s="10"/>
      <c r="E596" s="11" t="s">
        <v>1565</v>
      </c>
      <c r="F596" s="12">
        <v>45975</v>
      </c>
      <c r="G596" s="13" t="s">
        <v>138</v>
      </c>
      <c r="H596" s="10" t="s">
        <v>27</v>
      </c>
      <c r="I596" s="14" t="s">
        <v>28</v>
      </c>
      <c r="J596" s="14" t="s">
        <v>139</v>
      </c>
      <c r="K596" s="15"/>
      <c r="L596" s="15"/>
      <c r="M596" s="16" t="s">
        <v>140</v>
      </c>
      <c r="N596" s="8" t="s">
        <v>30</v>
      </c>
      <c r="O596" s="8" t="s">
        <v>40</v>
      </c>
      <c r="P596" s="17" t="s">
        <v>86</v>
      </c>
      <c r="Q596" s="18">
        <v>45978</v>
      </c>
      <c r="R596" s="9">
        <v>3</v>
      </c>
      <c r="S596" s="8" t="s">
        <v>32</v>
      </c>
      <c r="T596" s="8" t="s">
        <v>98</v>
      </c>
      <c r="U596" s="8" t="s">
        <v>1489</v>
      </c>
      <c r="V596" s="8" t="s">
        <v>1498</v>
      </c>
      <c r="W596" s="19" t="s">
        <v>1238</v>
      </c>
    </row>
    <row r="597" spans="1:23" x14ac:dyDescent="0.25">
      <c r="A597" s="8" t="s">
        <v>1206</v>
      </c>
      <c r="B597" s="8" t="str">
        <f t="shared" si="9"/>
        <v>GCI0A6445978</v>
      </c>
      <c r="C597" s="9" t="s">
        <v>224</v>
      </c>
      <c r="D597" s="10" t="s">
        <v>1566</v>
      </c>
      <c r="E597" s="11" t="s">
        <v>1567</v>
      </c>
      <c r="F597" s="12"/>
      <c r="G597" s="13" t="s">
        <v>226</v>
      </c>
      <c r="H597" s="10" t="s">
        <v>27</v>
      </c>
      <c r="I597" s="14" t="s">
        <v>28</v>
      </c>
      <c r="J597" s="14" t="s">
        <v>29</v>
      </c>
      <c r="K597" s="15"/>
      <c r="L597" s="15"/>
      <c r="M597" s="16" t="s">
        <v>752</v>
      </c>
      <c r="N597" s="8" t="s">
        <v>287</v>
      </c>
      <c r="O597" s="8" t="s">
        <v>40</v>
      </c>
      <c r="P597" s="17"/>
      <c r="Q597" s="18">
        <v>45978</v>
      </c>
      <c r="R597" s="9">
        <v>45978</v>
      </c>
      <c r="S597" s="8" t="s">
        <v>32</v>
      </c>
      <c r="T597" s="8" t="s">
        <v>98</v>
      </c>
      <c r="U597" s="8" t="s">
        <v>1568</v>
      </c>
      <c r="V597" s="8" t="s">
        <v>1498</v>
      </c>
      <c r="W597" s="19" t="s">
        <v>1208</v>
      </c>
    </row>
    <row r="598" spans="1:23" x14ac:dyDescent="0.25">
      <c r="A598" s="8" t="s">
        <v>1569</v>
      </c>
      <c r="B598" s="8" t="str">
        <f t="shared" si="9"/>
        <v>RNB5I5445978</v>
      </c>
      <c r="C598" s="9" t="s">
        <v>72</v>
      </c>
      <c r="D598" s="10">
        <v>91577</v>
      </c>
      <c r="E598" s="11" t="s">
        <v>597</v>
      </c>
      <c r="F598" s="12">
        <v>45974</v>
      </c>
      <c r="G598" s="13" t="s">
        <v>138</v>
      </c>
      <c r="H598" s="10" t="s">
        <v>27</v>
      </c>
      <c r="I598" s="14" t="s">
        <v>28</v>
      </c>
      <c r="J598" s="14" t="s">
        <v>139</v>
      </c>
      <c r="K598" s="15"/>
      <c r="L598" s="15"/>
      <c r="M598" s="16" t="s">
        <v>200</v>
      </c>
      <c r="N598" s="8" t="s">
        <v>30</v>
      </c>
      <c r="O598" s="8" t="s">
        <v>40</v>
      </c>
      <c r="P598" s="17" t="s">
        <v>86</v>
      </c>
      <c r="Q598" s="18">
        <v>45978</v>
      </c>
      <c r="R598" s="9">
        <v>4</v>
      </c>
      <c r="S598" s="8" t="s">
        <v>32</v>
      </c>
      <c r="T598" s="8" t="s">
        <v>98</v>
      </c>
      <c r="U598" s="8" t="s">
        <v>1412</v>
      </c>
      <c r="V598" s="8" t="s">
        <v>1186</v>
      </c>
      <c r="W598" s="19" t="s">
        <v>1413</v>
      </c>
    </row>
    <row r="599" spans="1:23" x14ac:dyDescent="0.25">
      <c r="A599" s="8" t="s">
        <v>1570</v>
      </c>
      <c r="B599" s="8" t="str">
        <f t="shared" si="9"/>
        <v>RUX2D2345978</v>
      </c>
      <c r="C599" s="9" t="s">
        <v>1571</v>
      </c>
      <c r="D599" s="10"/>
      <c r="E599" s="11" t="s">
        <v>1572</v>
      </c>
      <c r="F599" s="12"/>
      <c r="G599" s="13" t="s">
        <v>872</v>
      </c>
      <c r="H599" s="10" t="s">
        <v>27</v>
      </c>
      <c r="I599" s="14" t="s">
        <v>28</v>
      </c>
      <c r="J599" s="14" t="s">
        <v>139</v>
      </c>
      <c r="K599" s="15"/>
      <c r="L599" s="15"/>
      <c r="M599" s="16" t="s">
        <v>191</v>
      </c>
      <c r="N599" s="8" t="s">
        <v>30</v>
      </c>
      <c r="O599" s="8" t="s">
        <v>40</v>
      </c>
      <c r="P599" s="17" t="s">
        <v>86</v>
      </c>
      <c r="Q599" s="18">
        <v>45978</v>
      </c>
      <c r="R599" s="9"/>
      <c r="S599" s="8" t="s">
        <v>32</v>
      </c>
      <c r="T599" s="8" t="s">
        <v>98</v>
      </c>
      <c r="U599" s="8" t="s">
        <v>192</v>
      </c>
      <c r="V599" s="8" t="s">
        <v>1498</v>
      </c>
      <c r="W599" s="19" t="s">
        <v>1472</v>
      </c>
    </row>
    <row r="600" spans="1:23" x14ac:dyDescent="0.25">
      <c r="A600" s="8" t="s">
        <v>1573</v>
      </c>
      <c r="B600" s="8" t="str">
        <f t="shared" si="9"/>
        <v>RUX2J3545978</v>
      </c>
      <c r="C600" s="9" t="s">
        <v>79</v>
      </c>
      <c r="D600" s="10">
        <v>110600</v>
      </c>
      <c r="E600" s="11" t="s">
        <v>1574</v>
      </c>
      <c r="F600" s="12">
        <v>45974</v>
      </c>
      <c r="G600" s="13" t="s">
        <v>743</v>
      </c>
      <c r="H600" s="10" t="s">
        <v>27</v>
      </c>
      <c r="I600" s="14" t="s">
        <v>176</v>
      </c>
      <c r="J600" s="14" t="s">
        <v>29</v>
      </c>
      <c r="K600" s="15"/>
      <c r="L600" s="15"/>
      <c r="M600" s="16" t="s">
        <v>682</v>
      </c>
      <c r="N600" s="8" t="s">
        <v>30</v>
      </c>
      <c r="O600" s="8" t="s">
        <v>40</v>
      </c>
      <c r="P600" s="17" t="s">
        <v>86</v>
      </c>
      <c r="Q600" s="18">
        <v>45978</v>
      </c>
      <c r="R600" s="9">
        <v>4</v>
      </c>
      <c r="S600" s="8" t="s">
        <v>32</v>
      </c>
      <c r="T600" s="8" t="s">
        <v>684</v>
      </c>
      <c r="U600" s="8" t="s">
        <v>1575</v>
      </c>
      <c r="V600" s="8" t="s">
        <v>1498</v>
      </c>
      <c r="W600" s="19" t="s">
        <v>1443</v>
      </c>
    </row>
    <row r="601" spans="1:23" x14ac:dyDescent="0.25">
      <c r="A601" s="8" t="s">
        <v>1576</v>
      </c>
      <c r="B601" s="8" t="str">
        <f t="shared" si="9"/>
        <v>SGH6H6245979</v>
      </c>
      <c r="C601" s="9" t="s">
        <v>96</v>
      </c>
      <c r="D601" s="10">
        <v>59751</v>
      </c>
      <c r="E601" s="11" t="s">
        <v>1577</v>
      </c>
      <c r="F601" s="12">
        <v>45965</v>
      </c>
      <c r="G601" s="13" t="s">
        <v>39</v>
      </c>
      <c r="H601" s="10" t="s">
        <v>27</v>
      </c>
      <c r="I601" s="14" t="s">
        <v>28</v>
      </c>
      <c r="J601" s="14" t="s">
        <v>139</v>
      </c>
      <c r="K601" s="15"/>
      <c r="L601" s="15"/>
      <c r="M601" s="16" t="s">
        <v>1578</v>
      </c>
      <c r="N601" s="8" t="s">
        <v>30</v>
      </c>
      <c r="O601" s="8" t="s">
        <v>40</v>
      </c>
      <c r="P601" s="17">
        <v>45980</v>
      </c>
      <c r="Q601" s="18">
        <v>45979</v>
      </c>
      <c r="R601" s="9">
        <v>14</v>
      </c>
      <c r="S601" s="8" t="s">
        <v>32</v>
      </c>
      <c r="T601" s="8" t="s">
        <v>1579</v>
      </c>
      <c r="U601" s="8" t="s">
        <v>1580</v>
      </c>
      <c r="V601" s="8" t="s">
        <v>1186</v>
      </c>
      <c r="W601" s="19" t="s">
        <v>1581</v>
      </c>
    </row>
    <row r="602" spans="1:23" x14ac:dyDescent="0.25">
      <c r="A602" s="8" t="s">
        <v>827</v>
      </c>
      <c r="B602" s="8" t="str">
        <f t="shared" si="9"/>
        <v>RNJ9D5045979</v>
      </c>
      <c r="C602" s="9" t="s">
        <v>44</v>
      </c>
      <c r="D602" s="10" t="s">
        <v>1566</v>
      </c>
      <c r="E602" s="11" t="s">
        <v>1582</v>
      </c>
      <c r="F602" s="12">
        <v>45975</v>
      </c>
      <c r="G602" s="13" t="s">
        <v>123</v>
      </c>
      <c r="H602" s="10" t="s">
        <v>27</v>
      </c>
      <c r="I602" s="14" t="s">
        <v>28</v>
      </c>
      <c r="J602" s="14" t="s">
        <v>29</v>
      </c>
      <c r="K602" s="15"/>
      <c r="L602" s="15"/>
      <c r="M602" s="16" t="s">
        <v>374</v>
      </c>
      <c r="N602" s="8" t="s">
        <v>30</v>
      </c>
      <c r="O602" s="8" t="s">
        <v>40</v>
      </c>
      <c r="P602" s="17">
        <v>45979</v>
      </c>
      <c r="Q602" s="18">
        <v>45979</v>
      </c>
      <c r="R602" s="9">
        <v>4</v>
      </c>
      <c r="S602" s="8" t="s">
        <v>32</v>
      </c>
      <c r="T602" s="8" t="s">
        <v>392</v>
      </c>
      <c r="U602" s="8" t="s">
        <v>393</v>
      </c>
      <c r="V602" s="8" t="s">
        <v>1186</v>
      </c>
      <c r="W602" s="19"/>
    </row>
    <row r="603" spans="1:23" x14ac:dyDescent="0.25">
      <c r="A603" s="8" t="s">
        <v>1583</v>
      </c>
      <c r="B603" s="8" t="str">
        <f t="shared" si="9"/>
        <v>SVN5B7745979</v>
      </c>
      <c r="C603" s="9" t="s">
        <v>509</v>
      </c>
      <c r="D603" s="10">
        <v>63583</v>
      </c>
      <c r="E603" s="11" t="s">
        <v>1584</v>
      </c>
      <c r="F603" s="12">
        <v>45978</v>
      </c>
      <c r="G603" s="13" t="s">
        <v>123</v>
      </c>
      <c r="H603" s="10" t="s">
        <v>27</v>
      </c>
      <c r="I603" s="14" t="s">
        <v>28</v>
      </c>
      <c r="J603" s="14" t="s">
        <v>139</v>
      </c>
      <c r="K603" s="15"/>
      <c r="L603" s="15"/>
      <c r="M603" s="16" t="s">
        <v>326</v>
      </c>
      <c r="N603" s="8" t="s">
        <v>30</v>
      </c>
      <c r="O603" s="8" t="s">
        <v>40</v>
      </c>
      <c r="P603" s="17">
        <v>45979</v>
      </c>
      <c r="Q603" s="18">
        <v>45979</v>
      </c>
      <c r="R603" s="9">
        <v>1</v>
      </c>
      <c r="S603" s="8" t="s">
        <v>153</v>
      </c>
      <c r="T603" s="8" t="s">
        <v>620</v>
      </c>
      <c r="U603" s="8" t="s">
        <v>177</v>
      </c>
      <c r="V603" s="8" t="s">
        <v>1498</v>
      </c>
      <c r="W603" s="19" t="s">
        <v>1169</v>
      </c>
    </row>
    <row r="604" spans="1:23" x14ac:dyDescent="0.25">
      <c r="A604" s="8" t="s">
        <v>1585</v>
      </c>
      <c r="B604" s="8" t="str">
        <f t="shared" si="9"/>
        <v>RUM2B6045979</v>
      </c>
      <c r="C604" s="9" t="s">
        <v>37</v>
      </c>
      <c r="D604" s="10">
        <v>206871</v>
      </c>
      <c r="E604" s="11" t="s">
        <v>1586</v>
      </c>
      <c r="F604" s="12">
        <v>45972</v>
      </c>
      <c r="G604" s="13" t="s">
        <v>138</v>
      </c>
      <c r="H604" s="10" t="s">
        <v>27</v>
      </c>
      <c r="I604" s="14" t="s">
        <v>28</v>
      </c>
      <c r="J604" s="14" t="s">
        <v>29</v>
      </c>
      <c r="K604" s="15"/>
      <c r="L604" s="15"/>
      <c r="M604" s="16" t="s">
        <v>196</v>
      </c>
      <c r="N604" s="8" t="s">
        <v>30</v>
      </c>
      <c r="O604" s="8" t="s">
        <v>40</v>
      </c>
      <c r="P604" s="17">
        <v>45979</v>
      </c>
      <c r="Q604" s="18">
        <v>45979</v>
      </c>
      <c r="R604" s="9">
        <v>7</v>
      </c>
      <c r="S604" s="8" t="s">
        <v>32</v>
      </c>
      <c r="T604" s="8" t="s">
        <v>100</v>
      </c>
      <c r="U604" s="8" t="s">
        <v>636</v>
      </c>
      <c r="V604" s="8" t="s">
        <v>1186</v>
      </c>
      <c r="W604" s="19" t="s">
        <v>1587</v>
      </c>
    </row>
    <row r="605" spans="1:23" x14ac:dyDescent="0.25">
      <c r="A605" s="8" t="s">
        <v>748</v>
      </c>
      <c r="B605" s="8" t="str">
        <f t="shared" si="9"/>
        <v>SFV0D5345979</v>
      </c>
      <c r="C605" s="9" t="s">
        <v>96</v>
      </c>
      <c r="D605" s="10">
        <v>35620</v>
      </c>
      <c r="E605" s="11" t="s">
        <v>328</v>
      </c>
      <c r="F605" s="12">
        <v>45960</v>
      </c>
      <c r="G605" s="13" t="s">
        <v>39</v>
      </c>
      <c r="H605" s="10" t="s">
        <v>27</v>
      </c>
      <c r="I605" s="14" t="s">
        <v>28</v>
      </c>
      <c r="J605" s="14" t="s">
        <v>139</v>
      </c>
      <c r="K605" s="15"/>
      <c r="L605" s="15"/>
      <c r="M605" s="16" t="s">
        <v>424</v>
      </c>
      <c r="N605" s="8" t="s">
        <v>30</v>
      </c>
      <c r="O605" s="8" t="s">
        <v>40</v>
      </c>
      <c r="P605" s="17" t="s">
        <v>1516</v>
      </c>
      <c r="Q605" s="18">
        <v>45979</v>
      </c>
      <c r="R605" s="9">
        <v>19</v>
      </c>
      <c r="S605" s="8" t="s">
        <v>32</v>
      </c>
      <c r="T605" s="8" t="s">
        <v>159</v>
      </c>
      <c r="U605" s="8" t="s">
        <v>265</v>
      </c>
      <c r="V605" s="8" t="s">
        <v>320</v>
      </c>
      <c r="W605" s="19" t="s">
        <v>1371</v>
      </c>
    </row>
    <row r="606" spans="1:23" x14ac:dyDescent="0.25">
      <c r="A606" s="8" t="s">
        <v>1588</v>
      </c>
      <c r="B606" s="8" t="str">
        <f t="shared" si="9"/>
        <v>RTM6B6745979</v>
      </c>
      <c r="C606" s="9" t="s">
        <v>72</v>
      </c>
      <c r="D606" s="10" t="s">
        <v>1566</v>
      </c>
      <c r="E606" s="11" t="s">
        <v>1589</v>
      </c>
      <c r="F606" s="12">
        <v>45958</v>
      </c>
      <c r="G606" s="13" t="s">
        <v>743</v>
      </c>
      <c r="H606" s="10" t="s">
        <v>27</v>
      </c>
      <c r="I606" s="14" t="s">
        <v>28</v>
      </c>
      <c r="J606" s="14" t="s">
        <v>139</v>
      </c>
      <c r="K606" s="15"/>
      <c r="L606" s="15"/>
      <c r="M606" s="16" t="s">
        <v>424</v>
      </c>
      <c r="N606" s="8" t="s">
        <v>30</v>
      </c>
      <c r="O606" s="8" t="s">
        <v>40</v>
      </c>
      <c r="P606" s="17" t="s">
        <v>86</v>
      </c>
      <c r="Q606" s="18">
        <v>45979</v>
      </c>
      <c r="R606" s="9">
        <v>21</v>
      </c>
      <c r="S606" s="8" t="s">
        <v>32</v>
      </c>
      <c r="T606" s="8" t="s">
        <v>1590</v>
      </c>
      <c r="U606" s="8" t="s">
        <v>632</v>
      </c>
      <c r="V606" s="8" t="s">
        <v>632</v>
      </c>
      <c r="W606" s="19" t="s">
        <v>1371</v>
      </c>
    </row>
    <row r="607" spans="1:23" x14ac:dyDescent="0.25">
      <c r="A607" s="8" t="s">
        <v>1591</v>
      </c>
      <c r="B607" s="8" t="str">
        <f t="shared" si="9"/>
        <v>RUV4G2545979</v>
      </c>
      <c r="C607" s="9" t="s">
        <v>79</v>
      </c>
      <c r="D607" s="10"/>
      <c r="E607" s="11" t="s">
        <v>176</v>
      </c>
      <c r="F607" s="12">
        <v>45974</v>
      </c>
      <c r="G607" s="13" t="s">
        <v>743</v>
      </c>
      <c r="H607" s="10" t="s">
        <v>27</v>
      </c>
      <c r="I607" s="14" t="s">
        <v>28</v>
      </c>
      <c r="J607" s="14" t="s">
        <v>29</v>
      </c>
      <c r="K607" s="15"/>
      <c r="L607" s="15"/>
      <c r="M607" s="16" t="s">
        <v>682</v>
      </c>
      <c r="N607" s="8" t="s">
        <v>30</v>
      </c>
      <c r="O607" s="8" t="s">
        <v>40</v>
      </c>
      <c r="P607" s="17" t="s">
        <v>86</v>
      </c>
      <c r="Q607" s="18">
        <v>45979</v>
      </c>
      <c r="R607" s="9">
        <v>5</v>
      </c>
      <c r="S607" s="8" t="s">
        <v>32</v>
      </c>
      <c r="T607" s="8" t="s">
        <v>684</v>
      </c>
      <c r="U607" s="8" t="s">
        <v>1575</v>
      </c>
      <c r="V607" s="8" t="s">
        <v>1498</v>
      </c>
      <c r="W607" s="19" t="s">
        <v>1443</v>
      </c>
    </row>
    <row r="608" spans="1:23" x14ac:dyDescent="0.25">
      <c r="A608" s="8" t="s">
        <v>706</v>
      </c>
      <c r="B608" s="8" t="str">
        <f t="shared" si="9"/>
        <v>RUV4G2045979</v>
      </c>
      <c r="C608" s="9" t="s">
        <v>79</v>
      </c>
      <c r="D608" s="10">
        <v>123941</v>
      </c>
      <c r="E608" s="11" t="s">
        <v>1592</v>
      </c>
      <c r="F608" s="12">
        <v>45974</v>
      </c>
      <c r="G608" s="13" t="s">
        <v>743</v>
      </c>
      <c r="H608" s="10" t="s">
        <v>27</v>
      </c>
      <c r="I608" s="14" t="s">
        <v>176</v>
      </c>
      <c r="J608" s="14" t="s">
        <v>29</v>
      </c>
      <c r="K608" s="15"/>
      <c r="L608" s="15"/>
      <c r="M608" s="16" t="s">
        <v>682</v>
      </c>
      <c r="N608" s="8" t="s">
        <v>30</v>
      </c>
      <c r="O608" s="8" t="s">
        <v>40</v>
      </c>
      <c r="P608" s="17" t="s">
        <v>86</v>
      </c>
      <c r="Q608" s="18">
        <v>45979</v>
      </c>
      <c r="R608" s="9">
        <v>5</v>
      </c>
      <c r="S608" s="8" t="s">
        <v>32</v>
      </c>
      <c r="T608" s="8" t="s">
        <v>684</v>
      </c>
      <c r="U608" s="8" t="s">
        <v>1575</v>
      </c>
      <c r="V608" s="8" t="s">
        <v>1498</v>
      </c>
      <c r="W608" s="19" t="s">
        <v>1443</v>
      </c>
    </row>
    <row r="609" spans="1:23" x14ac:dyDescent="0.25">
      <c r="A609" s="8" t="s">
        <v>1593</v>
      </c>
      <c r="B609" s="8" t="str">
        <f t="shared" si="9"/>
        <v>RUV4G3145979</v>
      </c>
      <c r="C609" s="9" t="s">
        <v>79</v>
      </c>
      <c r="D609" s="10">
        <v>169287</v>
      </c>
      <c r="E609" s="11" t="s">
        <v>1594</v>
      </c>
      <c r="F609" s="12">
        <v>45974</v>
      </c>
      <c r="G609" s="13" t="s">
        <v>743</v>
      </c>
      <c r="H609" s="10" t="s">
        <v>27</v>
      </c>
      <c r="I609" s="14" t="s">
        <v>176</v>
      </c>
      <c r="J609" s="14" t="s">
        <v>29</v>
      </c>
      <c r="K609" s="15"/>
      <c r="L609" s="15"/>
      <c r="M609" s="16" t="s">
        <v>682</v>
      </c>
      <c r="N609" s="8" t="s">
        <v>30</v>
      </c>
      <c r="O609" s="8" t="s">
        <v>40</v>
      </c>
      <c r="P609" s="17" t="s">
        <v>86</v>
      </c>
      <c r="Q609" s="18">
        <v>45979</v>
      </c>
      <c r="R609" s="9">
        <v>5</v>
      </c>
      <c r="S609" s="8" t="s">
        <v>32</v>
      </c>
      <c r="T609" s="8" t="s">
        <v>684</v>
      </c>
      <c r="U609" s="8" t="s">
        <v>1575</v>
      </c>
      <c r="V609" s="8" t="s">
        <v>1498</v>
      </c>
      <c r="W609" s="19" t="s">
        <v>1443</v>
      </c>
    </row>
    <row r="610" spans="1:23" x14ac:dyDescent="0.25">
      <c r="A610" s="8" t="s">
        <v>1591</v>
      </c>
      <c r="B610" s="8" t="str">
        <f t="shared" si="9"/>
        <v>RUV4G2545979</v>
      </c>
      <c r="C610" s="9" t="s">
        <v>79</v>
      </c>
      <c r="D610" s="10" t="s">
        <v>383</v>
      </c>
      <c r="E610" s="11" t="s">
        <v>176</v>
      </c>
      <c r="F610" s="12">
        <v>45974</v>
      </c>
      <c r="G610" s="13" t="s">
        <v>743</v>
      </c>
      <c r="H610" s="10" t="s">
        <v>27</v>
      </c>
      <c r="I610" s="14" t="s">
        <v>28</v>
      </c>
      <c r="J610" s="14" t="s">
        <v>29</v>
      </c>
      <c r="K610" s="15"/>
      <c r="L610" s="15"/>
      <c r="M610" s="16" t="s">
        <v>682</v>
      </c>
      <c r="N610" s="8" t="s">
        <v>30</v>
      </c>
      <c r="O610" s="8" t="s">
        <v>40</v>
      </c>
      <c r="P610" s="17" t="s">
        <v>86</v>
      </c>
      <c r="Q610" s="18">
        <v>45979</v>
      </c>
      <c r="R610" s="9">
        <v>5</v>
      </c>
      <c r="S610" s="8" t="s">
        <v>32</v>
      </c>
      <c r="T610" s="8" t="s">
        <v>684</v>
      </c>
      <c r="U610" s="8" t="s">
        <v>1575</v>
      </c>
      <c r="V610" s="8" t="s">
        <v>1498</v>
      </c>
      <c r="W610" s="19" t="s">
        <v>1443</v>
      </c>
    </row>
    <row r="611" spans="1:23" x14ac:dyDescent="0.25">
      <c r="A611" s="8" t="s">
        <v>87</v>
      </c>
      <c r="B611" s="8" t="str">
        <f t="shared" si="9"/>
        <v>RNJ9C8945979</v>
      </c>
      <c r="C611" s="9" t="s">
        <v>72</v>
      </c>
      <c r="D611" s="10"/>
      <c r="E611" s="11" t="s">
        <v>1595</v>
      </c>
      <c r="F611" s="12">
        <v>45975</v>
      </c>
      <c r="G611" s="13" t="s">
        <v>872</v>
      </c>
      <c r="H611" s="10" t="s">
        <v>27</v>
      </c>
      <c r="I611" s="14" t="s">
        <v>28</v>
      </c>
      <c r="J611" s="14" t="s">
        <v>139</v>
      </c>
      <c r="K611" s="15"/>
      <c r="L611" s="15"/>
      <c r="M611" s="16" t="s">
        <v>560</v>
      </c>
      <c r="N611" s="8" t="s">
        <v>30</v>
      </c>
      <c r="O611" s="8" t="s">
        <v>40</v>
      </c>
      <c r="P611" s="17">
        <v>45979</v>
      </c>
      <c r="Q611" s="18">
        <v>45979</v>
      </c>
      <c r="R611" s="9">
        <v>4</v>
      </c>
      <c r="S611" s="8" t="s">
        <v>32</v>
      </c>
      <c r="T611" s="8" t="s">
        <v>89</v>
      </c>
      <c r="U611" s="8" t="s">
        <v>54</v>
      </c>
      <c r="V611" s="8" t="s">
        <v>1498</v>
      </c>
      <c r="W611" s="19" t="s">
        <v>1195</v>
      </c>
    </row>
    <row r="612" spans="1:23" x14ac:dyDescent="0.25">
      <c r="A612" s="8" t="s">
        <v>780</v>
      </c>
      <c r="B612" s="8" t="str">
        <f t="shared" si="9"/>
        <v>JCI8F7645979</v>
      </c>
      <c r="C612" s="9" t="s">
        <v>24</v>
      </c>
      <c r="D612" s="10">
        <v>80226</v>
      </c>
      <c r="E612" s="11" t="s">
        <v>1596</v>
      </c>
      <c r="F612" s="12">
        <v>45971</v>
      </c>
      <c r="G612" s="13" t="s">
        <v>138</v>
      </c>
      <c r="H612" s="10" t="s">
        <v>27</v>
      </c>
      <c r="I612" s="14" t="s">
        <v>28</v>
      </c>
      <c r="J612" s="14" t="s">
        <v>139</v>
      </c>
      <c r="K612" s="15"/>
      <c r="L612" s="15"/>
      <c r="M612" s="16" t="s">
        <v>140</v>
      </c>
      <c r="N612" s="8" t="s">
        <v>30</v>
      </c>
      <c r="O612" s="8" t="s">
        <v>40</v>
      </c>
      <c r="P612" s="17" t="s">
        <v>86</v>
      </c>
      <c r="Q612" s="18">
        <v>45979</v>
      </c>
      <c r="R612" s="9">
        <v>8</v>
      </c>
      <c r="S612" s="8" t="s">
        <v>32</v>
      </c>
      <c r="T612" s="8" t="s">
        <v>1597</v>
      </c>
      <c r="U612" s="8" t="s">
        <v>1489</v>
      </c>
      <c r="V612" s="8" t="s">
        <v>1186</v>
      </c>
      <c r="W612" s="19" t="s">
        <v>1238</v>
      </c>
    </row>
    <row r="613" spans="1:23" x14ac:dyDescent="0.25">
      <c r="A613" s="8" t="s">
        <v>1598</v>
      </c>
      <c r="B613" s="8" t="str">
        <f t="shared" si="9"/>
        <v>GJL3J2845979</v>
      </c>
      <c r="C613" s="9" t="s">
        <v>24</v>
      </c>
      <c r="D613" s="10" t="s">
        <v>383</v>
      </c>
      <c r="E613" s="11" t="s">
        <v>1599</v>
      </c>
      <c r="F613" s="12">
        <v>45974</v>
      </c>
      <c r="G613" s="13" t="s">
        <v>138</v>
      </c>
      <c r="H613" s="10" t="s">
        <v>27</v>
      </c>
      <c r="I613" s="14" t="s">
        <v>28</v>
      </c>
      <c r="J613" s="14" t="s">
        <v>139</v>
      </c>
      <c r="K613" s="15"/>
      <c r="L613" s="15"/>
      <c r="M613" s="16" t="s">
        <v>343</v>
      </c>
      <c r="N613" s="8" t="s">
        <v>30</v>
      </c>
      <c r="O613" s="8" t="s">
        <v>40</v>
      </c>
      <c r="P613" s="17">
        <v>45979</v>
      </c>
      <c r="Q613" s="18">
        <v>45979</v>
      </c>
      <c r="R613" s="9">
        <v>5</v>
      </c>
      <c r="S613" s="8" t="s">
        <v>32</v>
      </c>
      <c r="T613" s="8" t="s">
        <v>98</v>
      </c>
      <c r="U613" s="8" t="s">
        <v>59</v>
      </c>
      <c r="V613" s="8" t="s">
        <v>1186</v>
      </c>
      <c r="W613" s="19" t="s">
        <v>1164</v>
      </c>
    </row>
    <row r="614" spans="1:23" x14ac:dyDescent="0.25">
      <c r="A614" s="8" t="s">
        <v>1600</v>
      </c>
      <c r="B614" s="8" t="str">
        <f t="shared" si="9"/>
        <v>RNJ9D3945979</v>
      </c>
      <c r="C614" s="9" t="s">
        <v>72</v>
      </c>
      <c r="D614" s="10">
        <v>165408</v>
      </c>
      <c r="E614" s="11" t="s">
        <v>1601</v>
      </c>
      <c r="F614" s="12">
        <v>45974</v>
      </c>
      <c r="G614" s="13" t="s">
        <v>138</v>
      </c>
      <c r="H614" s="10" t="s">
        <v>27</v>
      </c>
      <c r="I614" s="14" t="s">
        <v>28</v>
      </c>
      <c r="J614" s="14" t="s">
        <v>139</v>
      </c>
      <c r="K614" s="15"/>
      <c r="L614" s="15"/>
      <c r="M614" s="16" t="s">
        <v>343</v>
      </c>
      <c r="N614" s="8" t="s">
        <v>30</v>
      </c>
      <c r="O614" s="8" t="s">
        <v>40</v>
      </c>
      <c r="P614" s="17">
        <v>45981</v>
      </c>
      <c r="Q614" s="18">
        <v>45979</v>
      </c>
      <c r="R614" s="9">
        <v>5</v>
      </c>
      <c r="S614" s="8" t="s">
        <v>32</v>
      </c>
      <c r="T614" s="8" t="s">
        <v>98</v>
      </c>
      <c r="U614" s="8" t="s">
        <v>59</v>
      </c>
      <c r="V614" s="8" t="s">
        <v>1186</v>
      </c>
      <c r="W614" s="19" t="s">
        <v>1164</v>
      </c>
    </row>
    <row r="615" spans="1:23" x14ac:dyDescent="0.25">
      <c r="A615" s="8" t="s">
        <v>1602</v>
      </c>
      <c r="B615" s="8" t="str">
        <f t="shared" si="9"/>
        <v>SGH8H5345979</v>
      </c>
      <c r="C615" s="9" t="s">
        <v>96</v>
      </c>
      <c r="D615" s="10">
        <v>50744</v>
      </c>
      <c r="E615" s="11" t="s">
        <v>1577</v>
      </c>
      <c r="F615" s="12">
        <v>45965</v>
      </c>
      <c r="G615" s="13" t="s">
        <v>39</v>
      </c>
      <c r="H615" s="10" t="s">
        <v>27</v>
      </c>
      <c r="I615" s="14" t="s">
        <v>28</v>
      </c>
      <c r="J615" s="14" t="s">
        <v>139</v>
      </c>
      <c r="K615" s="15"/>
      <c r="L615" s="15"/>
      <c r="M615" s="16" t="s">
        <v>1578</v>
      </c>
      <c r="N615" s="8" t="s">
        <v>30</v>
      </c>
      <c r="O615" s="8" t="s">
        <v>40</v>
      </c>
      <c r="P615" s="17">
        <v>45980</v>
      </c>
      <c r="Q615" s="18">
        <v>45979</v>
      </c>
      <c r="R615" s="9">
        <v>14</v>
      </c>
      <c r="S615" s="8" t="s">
        <v>32</v>
      </c>
      <c r="T615" s="8" t="s">
        <v>1579</v>
      </c>
      <c r="U615" s="8" t="s">
        <v>1580</v>
      </c>
      <c r="V615" s="8" t="s">
        <v>1186</v>
      </c>
      <c r="W615" s="19" t="s">
        <v>1581</v>
      </c>
    </row>
    <row r="616" spans="1:23" x14ac:dyDescent="0.25">
      <c r="A616" s="8" t="s">
        <v>1603</v>
      </c>
      <c r="B616" s="8" t="str">
        <f t="shared" si="9"/>
        <v>SGI8I4145979</v>
      </c>
      <c r="C616" s="9" t="s">
        <v>96</v>
      </c>
      <c r="D616" s="10" t="s">
        <v>1566</v>
      </c>
      <c r="E616" s="11" t="s">
        <v>1577</v>
      </c>
      <c r="F616" s="12">
        <v>45970</v>
      </c>
      <c r="G616" s="13" t="s">
        <v>39</v>
      </c>
      <c r="H616" s="10" t="s">
        <v>27</v>
      </c>
      <c r="I616" s="14" t="s">
        <v>28</v>
      </c>
      <c r="J616" s="14" t="s">
        <v>1604</v>
      </c>
      <c r="K616" s="15"/>
      <c r="L616" s="15"/>
      <c r="M616" s="16" t="s">
        <v>354</v>
      </c>
      <c r="N616" s="8" t="s">
        <v>30</v>
      </c>
      <c r="O616" s="8" t="s">
        <v>40</v>
      </c>
      <c r="P616" s="17">
        <v>45979</v>
      </c>
      <c r="Q616" s="18">
        <v>45979</v>
      </c>
      <c r="R616" s="9"/>
      <c r="S616" s="8"/>
      <c r="T616" s="8" t="s">
        <v>669</v>
      </c>
      <c r="U616" s="8" t="s">
        <v>279</v>
      </c>
      <c r="V616" s="8"/>
      <c r="W616" s="19"/>
    </row>
    <row r="617" spans="1:23" x14ac:dyDescent="0.25">
      <c r="A617" s="8" t="s">
        <v>1605</v>
      </c>
      <c r="B617" s="8" t="str">
        <f t="shared" si="9"/>
        <v>SDQ2B6345979</v>
      </c>
      <c r="C617" s="9" t="s">
        <v>127</v>
      </c>
      <c r="D617" s="10"/>
      <c r="E617" s="11" t="s">
        <v>1606</v>
      </c>
      <c r="F617" s="12">
        <v>45975</v>
      </c>
      <c r="G617" s="13" t="s">
        <v>872</v>
      </c>
      <c r="H617" s="10" t="s">
        <v>27</v>
      </c>
      <c r="I617" s="14" t="s">
        <v>28</v>
      </c>
      <c r="J617" s="14" t="s">
        <v>139</v>
      </c>
      <c r="K617" s="15"/>
      <c r="L617" s="15"/>
      <c r="M617" s="16" t="s">
        <v>560</v>
      </c>
      <c r="N617" s="8" t="s">
        <v>30</v>
      </c>
      <c r="O617" s="8" t="s">
        <v>40</v>
      </c>
      <c r="P617" s="17" t="s">
        <v>86</v>
      </c>
      <c r="Q617" s="18">
        <v>45979</v>
      </c>
      <c r="R617" s="9">
        <v>4</v>
      </c>
      <c r="S617" s="8" t="s">
        <v>32</v>
      </c>
      <c r="T617" s="8" t="s">
        <v>89</v>
      </c>
      <c r="U617" s="8" t="s">
        <v>54</v>
      </c>
      <c r="V617" s="8" t="s">
        <v>1498</v>
      </c>
      <c r="W617" s="19" t="s">
        <v>1195</v>
      </c>
    </row>
    <row r="618" spans="1:23" x14ac:dyDescent="0.25">
      <c r="A618" s="8" t="s">
        <v>1607</v>
      </c>
      <c r="B618" s="8" t="str">
        <f t="shared" si="9"/>
        <v>RNJ9C9545979</v>
      </c>
      <c r="C618" s="9" t="s">
        <v>72</v>
      </c>
      <c r="D618" s="10"/>
      <c r="E618" s="11" t="s">
        <v>1608</v>
      </c>
      <c r="F618" s="12">
        <v>45975</v>
      </c>
      <c r="G618" s="13" t="s">
        <v>872</v>
      </c>
      <c r="H618" s="10" t="s">
        <v>27</v>
      </c>
      <c r="I618" s="14" t="s">
        <v>28</v>
      </c>
      <c r="J618" s="14" t="s">
        <v>139</v>
      </c>
      <c r="K618" s="15"/>
      <c r="L618" s="15"/>
      <c r="M618" s="16" t="s">
        <v>560</v>
      </c>
      <c r="N618" s="8" t="s">
        <v>30</v>
      </c>
      <c r="O618" s="8" t="s">
        <v>40</v>
      </c>
      <c r="P618" s="17" t="s">
        <v>86</v>
      </c>
      <c r="Q618" s="18">
        <v>45979</v>
      </c>
      <c r="R618" s="9">
        <v>4</v>
      </c>
      <c r="S618" s="8" t="s">
        <v>32</v>
      </c>
      <c r="T618" s="8" t="s">
        <v>89</v>
      </c>
      <c r="U618" s="8" t="s">
        <v>54</v>
      </c>
      <c r="V618" s="8" t="s">
        <v>1498</v>
      </c>
      <c r="W618" s="19" t="s">
        <v>1195</v>
      </c>
    </row>
    <row r="619" spans="1:23" x14ac:dyDescent="0.25">
      <c r="A619" s="8" t="s">
        <v>1609</v>
      </c>
      <c r="B619" s="8" t="str">
        <f t="shared" si="9"/>
        <v>SDQ2A9745979</v>
      </c>
      <c r="C619" s="9" t="s">
        <v>127</v>
      </c>
      <c r="D619" s="10"/>
      <c r="E619" s="11" t="s">
        <v>1610</v>
      </c>
      <c r="F619" s="12">
        <v>45975</v>
      </c>
      <c r="G619" s="13" t="s">
        <v>872</v>
      </c>
      <c r="H619" s="10" t="s">
        <v>27</v>
      </c>
      <c r="I619" s="14" t="s">
        <v>28</v>
      </c>
      <c r="J619" s="14" t="s">
        <v>139</v>
      </c>
      <c r="K619" s="15"/>
      <c r="L619" s="15"/>
      <c r="M619" s="16" t="s">
        <v>560</v>
      </c>
      <c r="N619" s="8" t="s">
        <v>30</v>
      </c>
      <c r="O619" s="8" t="s">
        <v>40</v>
      </c>
      <c r="P619" s="17" t="s">
        <v>86</v>
      </c>
      <c r="Q619" s="18">
        <v>45979</v>
      </c>
      <c r="R619" s="9">
        <v>4</v>
      </c>
      <c r="S619" s="8" t="s">
        <v>32</v>
      </c>
      <c r="T619" s="8" t="s">
        <v>89</v>
      </c>
      <c r="U619" s="8" t="s">
        <v>54</v>
      </c>
      <c r="V619" s="8" t="s">
        <v>1498</v>
      </c>
      <c r="W619" s="19" t="s">
        <v>1195</v>
      </c>
    </row>
    <row r="620" spans="1:23" x14ac:dyDescent="0.25">
      <c r="A620" s="8" t="s">
        <v>1611</v>
      </c>
      <c r="B620" s="8" t="str">
        <f t="shared" si="9"/>
        <v>SGF9B045979</v>
      </c>
      <c r="C620" s="9" t="s">
        <v>96</v>
      </c>
      <c r="D620" s="10" t="s">
        <v>1566</v>
      </c>
      <c r="E620" s="11" t="s">
        <v>1610</v>
      </c>
      <c r="F620" s="12">
        <v>45975</v>
      </c>
      <c r="G620" s="13" t="s">
        <v>39</v>
      </c>
      <c r="H620" s="10" t="s">
        <v>27</v>
      </c>
      <c r="I620" s="14" t="s">
        <v>28</v>
      </c>
      <c r="J620" s="14" t="s">
        <v>139</v>
      </c>
      <c r="K620" s="15"/>
      <c r="L620" s="15"/>
      <c r="M620" s="16" t="s">
        <v>682</v>
      </c>
      <c r="N620" s="8" t="s">
        <v>30</v>
      </c>
      <c r="O620" s="8" t="s">
        <v>40</v>
      </c>
      <c r="P620" s="17" t="s">
        <v>86</v>
      </c>
      <c r="Q620" s="18">
        <v>45979</v>
      </c>
      <c r="R620" s="9"/>
      <c r="S620" s="8"/>
      <c r="T620" s="8" t="s">
        <v>392</v>
      </c>
      <c r="U620" s="8" t="s">
        <v>636</v>
      </c>
      <c r="V620" s="8"/>
      <c r="W620" s="19"/>
    </row>
    <row r="621" spans="1:23" x14ac:dyDescent="0.25">
      <c r="A621" s="8" t="s">
        <v>1612</v>
      </c>
      <c r="B621" s="8" t="str">
        <f t="shared" si="9"/>
        <v>JCJ0D28 45979</v>
      </c>
      <c r="C621" s="9" t="s">
        <v>24</v>
      </c>
      <c r="D621" s="10">
        <v>68127</v>
      </c>
      <c r="E621" s="11" t="s">
        <v>1613</v>
      </c>
      <c r="F621" s="12">
        <v>45979</v>
      </c>
      <c r="G621" s="13" t="s">
        <v>138</v>
      </c>
      <c r="H621" s="10" t="s">
        <v>27</v>
      </c>
      <c r="I621" s="14" t="s">
        <v>28</v>
      </c>
      <c r="J621" s="14" t="s">
        <v>29</v>
      </c>
      <c r="K621" s="15"/>
      <c r="L621" s="15"/>
      <c r="M621" s="16" t="s">
        <v>140</v>
      </c>
      <c r="N621" s="8" t="s">
        <v>30</v>
      </c>
      <c r="O621" s="8" t="s">
        <v>40</v>
      </c>
      <c r="P621" s="17" t="s">
        <v>86</v>
      </c>
      <c r="Q621" s="18">
        <v>45979</v>
      </c>
      <c r="R621" s="9">
        <v>0</v>
      </c>
      <c r="S621" s="8" t="s">
        <v>153</v>
      </c>
      <c r="T621" s="8" t="s">
        <v>98</v>
      </c>
      <c r="U621" s="8" t="s">
        <v>1614</v>
      </c>
      <c r="V621" s="8" t="s">
        <v>1498</v>
      </c>
      <c r="W621" s="19" t="s">
        <v>1238</v>
      </c>
    </row>
    <row r="622" spans="1:23" x14ac:dyDescent="0.25">
      <c r="A622" s="8" t="s">
        <v>1615</v>
      </c>
      <c r="B622" s="8" t="str">
        <f t="shared" si="9"/>
        <v>RHU2D7545979</v>
      </c>
      <c r="C622" s="9" t="s">
        <v>56</v>
      </c>
      <c r="D622" s="10">
        <v>49899</v>
      </c>
      <c r="E622" s="11" t="s">
        <v>1616</v>
      </c>
      <c r="F622" s="12">
        <v>45959</v>
      </c>
      <c r="G622" s="13" t="s">
        <v>743</v>
      </c>
      <c r="H622" s="10" t="s">
        <v>27</v>
      </c>
      <c r="I622" s="14" t="s">
        <v>28</v>
      </c>
      <c r="J622" s="14" t="s">
        <v>29</v>
      </c>
      <c r="K622" s="15"/>
      <c r="L622" s="15"/>
      <c r="M622" s="16" t="s">
        <v>424</v>
      </c>
      <c r="N622" s="8" t="s">
        <v>30</v>
      </c>
      <c r="O622" s="8" t="s">
        <v>40</v>
      </c>
      <c r="P622" s="17">
        <v>45980</v>
      </c>
      <c r="Q622" s="18">
        <v>45979</v>
      </c>
      <c r="R622" s="9">
        <v>20</v>
      </c>
      <c r="S622" s="8" t="s">
        <v>32</v>
      </c>
      <c r="T622" s="8" t="s">
        <v>1617</v>
      </c>
      <c r="U622" s="8" t="s">
        <v>1370</v>
      </c>
      <c r="V622" s="8" t="s">
        <v>320</v>
      </c>
      <c r="W622" s="19" t="s">
        <v>1371</v>
      </c>
    </row>
    <row r="623" spans="1:23" x14ac:dyDescent="0.25">
      <c r="A623" s="8" t="s">
        <v>1618</v>
      </c>
      <c r="B623" s="8" t="str">
        <f t="shared" si="9"/>
        <v>RUV4G1145979</v>
      </c>
      <c r="C623" s="9" t="s">
        <v>79</v>
      </c>
      <c r="D623" s="10" t="s">
        <v>383</v>
      </c>
      <c r="E623" s="11" t="s">
        <v>1619</v>
      </c>
      <c r="F623" s="12">
        <v>45974</v>
      </c>
      <c r="G623" s="13" t="s">
        <v>743</v>
      </c>
      <c r="H623" s="10" t="s">
        <v>27</v>
      </c>
      <c r="I623" s="14" t="s">
        <v>176</v>
      </c>
      <c r="J623" s="14" t="s">
        <v>139</v>
      </c>
      <c r="K623" s="15"/>
      <c r="L623" s="15"/>
      <c r="M623" s="16" t="s">
        <v>682</v>
      </c>
      <c r="N623" s="8" t="s">
        <v>30</v>
      </c>
      <c r="O623" s="8" t="s">
        <v>40</v>
      </c>
      <c r="P623" s="17" t="s">
        <v>86</v>
      </c>
      <c r="Q623" s="18">
        <v>45979</v>
      </c>
      <c r="R623" s="9">
        <v>5</v>
      </c>
      <c r="S623" s="8" t="s">
        <v>32</v>
      </c>
      <c r="T623" s="8" t="s">
        <v>684</v>
      </c>
      <c r="U623" s="8" t="s">
        <v>1575</v>
      </c>
      <c r="V623" s="8" t="s">
        <v>1498</v>
      </c>
      <c r="W623" s="19" t="s">
        <v>1443</v>
      </c>
    </row>
    <row r="624" spans="1:23" x14ac:dyDescent="0.25">
      <c r="A624" s="8" t="s">
        <v>1620</v>
      </c>
      <c r="B624" s="8" t="str">
        <f t="shared" si="9"/>
        <v>RVD9A4345979</v>
      </c>
      <c r="C624" s="9" t="s">
        <v>37</v>
      </c>
      <c r="D624" s="10">
        <v>126462</v>
      </c>
      <c r="E624" s="11" t="s">
        <v>225</v>
      </c>
      <c r="F624" s="12">
        <v>45875</v>
      </c>
      <c r="G624" s="13" t="s">
        <v>872</v>
      </c>
      <c r="H624" s="10" t="s">
        <v>27</v>
      </c>
      <c r="I624" s="14" t="s">
        <v>28</v>
      </c>
      <c r="J624" s="14" t="s">
        <v>29</v>
      </c>
      <c r="K624" s="15"/>
      <c r="L624" s="15"/>
      <c r="M624" s="16" t="s">
        <v>329</v>
      </c>
      <c r="N624" s="8" t="s">
        <v>30</v>
      </c>
      <c r="O624" s="8" t="s">
        <v>40</v>
      </c>
      <c r="P624" s="17">
        <v>45985</v>
      </c>
      <c r="Q624" s="18">
        <v>45979</v>
      </c>
      <c r="R624" s="9">
        <v>104</v>
      </c>
      <c r="S624" s="8" t="s">
        <v>32</v>
      </c>
      <c r="T624" s="8" t="s">
        <v>66</v>
      </c>
      <c r="U624" s="8" t="s">
        <v>330</v>
      </c>
      <c r="V624" s="8" t="s">
        <v>48</v>
      </c>
      <c r="W624" s="19" t="s">
        <v>1165</v>
      </c>
    </row>
    <row r="625" spans="1:23" x14ac:dyDescent="0.25">
      <c r="A625" s="8" t="s">
        <v>1621</v>
      </c>
      <c r="B625" s="8" t="str">
        <f t="shared" si="9"/>
        <v>SGL2D3145979</v>
      </c>
      <c r="C625" s="9" t="s">
        <v>96</v>
      </c>
      <c r="D625" s="10" t="s">
        <v>1566</v>
      </c>
      <c r="E625" s="11" t="s">
        <v>1572</v>
      </c>
      <c r="F625" s="12">
        <v>45979</v>
      </c>
      <c r="G625" s="13" t="s">
        <v>39</v>
      </c>
      <c r="H625" s="10" t="s">
        <v>27</v>
      </c>
      <c r="I625" s="14" t="s">
        <v>28</v>
      </c>
      <c r="J625" s="14" t="s">
        <v>29</v>
      </c>
      <c r="K625" s="15"/>
      <c r="L625" s="15"/>
      <c r="M625" s="16" t="s">
        <v>214</v>
      </c>
      <c r="N625" s="8" t="s">
        <v>30</v>
      </c>
      <c r="O625" s="8" t="s">
        <v>40</v>
      </c>
      <c r="P625" s="17">
        <v>45979</v>
      </c>
      <c r="Q625" s="18">
        <v>45979</v>
      </c>
      <c r="R625" s="9"/>
      <c r="S625" s="8"/>
      <c r="T625" s="8" t="s">
        <v>98</v>
      </c>
      <c r="U625" s="8" t="s">
        <v>215</v>
      </c>
      <c r="V625" s="8"/>
      <c r="W625" s="19"/>
    </row>
    <row r="626" spans="1:23" x14ac:dyDescent="0.25">
      <c r="A626" s="8" t="s">
        <v>553</v>
      </c>
      <c r="B626" s="8" t="str">
        <f t="shared" si="9"/>
        <v>RUM2B4945979</v>
      </c>
      <c r="C626" s="9" t="s">
        <v>37</v>
      </c>
      <c r="D626" s="10">
        <v>181514</v>
      </c>
      <c r="E626" s="11" t="s">
        <v>1622</v>
      </c>
      <c r="F626" s="12">
        <v>45978</v>
      </c>
      <c r="G626" s="13" t="s">
        <v>123</v>
      </c>
      <c r="H626" s="10" t="s">
        <v>27</v>
      </c>
      <c r="I626" s="14" t="s">
        <v>28</v>
      </c>
      <c r="J626" s="14" t="s">
        <v>139</v>
      </c>
      <c r="K626" s="15"/>
      <c r="L626" s="15"/>
      <c r="M626" s="16" t="s">
        <v>237</v>
      </c>
      <c r="N626" s="8" t="s">
        <v>30</v>
      </c>
      <c r="O626" s="8" t="s">
        <v>40</v>
      </c>
      <c r="P626" s="17" t="s">
        <v>86</v>
      </c>
      <c r="Q626" s="18">
        <v>45979</v>
      </c>
      <c r="R626" s="9">
        <v>1</v>
      </c>
      <c r="S626" s="8" t="s">
        <v>153</v>
      </c>
      <c r="T626" s="8" t="s">
        <v>41</v>
      </c>
      <c r="U626" s="8" t="s">
        <v>1513</v>
      </c>
      <c r="V626" s="8" t="s">
        <v>1186</v>
      </c>
      <c r="W626" s="19" t="s">
        <v>1205</v>
      </c>
    </row>
    <row r="627" spans="1:23" x14ac:dyDescent="0.25">
      <c r="A627" s="8" t="s">
        <v>341</v>
      </c>
      <c r="B627" s="8" t="str">
        <f t="shared" si="9"/>
        <v>RNE7C8345979</v>
      </c>
      <c r="C627" s="9" t="s">
        <v>44</v>
      </c>
      <c r="D627" s="10"/>
      <c r="E627" s="11" t="s">
        <v>1623</v>
      </c>
      <c r="F627" s="12">
        <v>45975</v>
      </c>
      <c r="G627" s="13" t="s">
        <v>138</v>
      </c>
      <c r="H627" s="10" t="s">
        <v>27</v>
      </c>
      <c r="I627" s="14" t="s">
        <v>28</v>
      </c>
      <c r="J627" s="14" t="s">
        <v>139</v>
      </c>
      <c r="K627" s="15"/>
      <c r="L627" s="15"/>
      <c r="M627" s="16" t="s">
        <v>343</v>
      </c>
      <c r="N627" s="8" t="s">
        <v>30</v>
      </c>
      <c r="O627" s="8" t="s">
        <v>40</v>
      </c>
      <c r="P627" s="17">
        <v>45981</v>
      </c>
      <c r="Q627" s="18">
        <v>45979</v>
      </c>
      <c r="R627" s="9">
        <v>4</v>
      </c>
      <c r="S627" s="8" t="s">
        <v>32</v>
      </c>
      <c r="T627" s="8" t="s">
        <v>98</v>
      </c>
      <c r="U627" s="8" t="s">
        <v>1624</v>
      </c>
      <c r="V627" s="8" t="s">
        <v>1498</v>
      </c>
      <c r="W627" s="19" t="s">
        <v>1164</v>
      </c>
    </row>
    <row r="628" spans="1:23" x14ac:dyDescent="0.25">
      <c r="A628" s="8" t="s">
        <v>1625</v>
      </c>
      <c r="B628" s="8" t="str">
        <f t="shared" si="9"/>
        <v>GGQ9J34 45979</v>
      </c>
      <c r="C628" s="9" t="s">
        <v>224</v>
      </c>
      <c r="D628" s="10">
        <v>129025</v>
      </c>
      <c r="E628" s="11" t="s">
        <v>1626</v>
      </c>
      <c r="F628" s="12">
        <v>45979</v>
      </c>
      <c r="G628" s="13" t="s">
        <v>226</v>
      </c>
      <c r="H628" s="10" t="s">
        <v>27</v>
      </c>
      <c r="I628" s="14" t="s">
        <v>28</v>
      </c>
      <c r="J628" s="14" t="s">
        <v>29</v>
      </c>
      <c r="K628" s="15"/>
      <c r="L628" s="15"/>
      <c r="M628" s="16" t="s">
        <v>227</v>
      </c>
      <c r="N628" s="8" t="s">
        <v>228</v>
      </c>
      <c r="O628" s="8" t="s">
        <v>40</v>
      </c>
      <c r="P628" s="17">
        <v>45979</v>
      </c>
      <c r="Q628" s="18">
        <v>45979</v>
      </c>
      <c r="R628" s="9">
        <v>0</v>
      </c>
      <c r="S628" s="8" t="s">
        <v>153</v>
      </c>
      <c r="T628" s="8" t="s">
        <v>98</v>
      </c>
      <c r="U628" s="8" t="s">
        <v>230</v>
      </c>
      <c r="V628" s="8" t="s">
        <v>1498</v>
      </c>
      <c r="W628" s="19" t="s">
        <v>1179</v>
      </c>
    </row>
    <row r="629" spans="1:23" x14ac:dyDescent="0.25">
      <c r="A629" s="8" t="s">
        <v>625</v>
      </c>
      <c r="B629" s="8" t="str">
        <f t="shared" si="9"/>
        <v>SFN0B5645980</v>
      </c>
      <c r="C629" s="9" t="s">
        <v>626</v>
      </c>
      <c r="D629" s="10" t="s">
        <v>383</v>
      </c>
      <c r="E629" s="11" t="s">
        <v>1627</v>
      </c>
      <c r="F629" s="12">
        <v>45960</v>
      </c>
      <c r="G629" s="13" t="s">
        <v>123</v>
      </c>
      <c r="H629" s="10" t="s">
        <v>27</v>
      </c>
      <c r="I629" s="14" t="s">
        <v>28</v>
      </c>
      <c r="J629" s="14" t="s">
        <v>139</v>
      </c>
      <c r="K629" s="15"/>
      <c r="L629" s="15"/>
      <c r="M629" s="16" t="s">
        <v>326</v>
      </c>
      <c r="N629" s="8" t="s">
        <v>30</v>
      </c>
      <c r="O629" s="8" t="s">
        <v>40</v>
      </c>
      <c r="P629" s="17">
        <v>45979</v>
      </c>
      <c r="Q629" s="18">
        <v>45980</v>
      </c>
      <c r="R629" s="9">
        <v>20</v>
      </c>
      <c r="S629" s="8" t="s">
        <v>32</v>
      </c>
      <c r="T629" s="8" t="s">
        <v>1628</v>
      </c>
      <c r="U629" s="8" t="s">
        <v>177</v>
      </c>
      <c r="V629" s="8" t="s">
        <v>1186</v>
      </c>
      <c r="W629" s="19" t="s">
        <v>1169</v>
      </c>
    </row>
    <row r="630" spans="1:23" x14ac:dyDescent="0.25">
      <c r="A630" s="8" t="s">
        <v>679</v>
      </c>
      <c r="B630" s="8" t="str">
        <f t="shared" si="9"/>
        <v>RUV4G2645980</v>
      </c>
      <c r="C630" s="9" t="s">
        <v>680</v>
      </c>
      <c r="D630" s="10" t="s">
        <v>383</v>
      </c>
      <c r="E630" s="11" t="s">
        <v>1629</v>
      </c>
      <c r="F630" s="12">
        <v>45974</v>
      </c>
      <c r="G630" s="13" t="s">
        <v>743</v>
      </c>
      <c r="H630" s="10" t="s">
        <v>27</v>
      </c>
      <c r="I630" s="14" t="s">
        <v>28</v>
      </c>
      <c r="J630" s="14" t="s">
        <v>139</v>
      </c>
      <c r="K630" s="15"/>
      <c r="L630" s="15"/>
      <c r="M630" s="16" t="s">
        <v>682</v>
      </c>
      <c r="N630" s="8" t="s">
        <v>30</v>
      </c>
      <c r="O630" s="8" t="s">
        <v>40</v>
      </c>
      <c r="P630" s="17" t="s">
        <v>187</v>
      </c>
      <c r="Q630" s="18">
        <v>45980</v>
      </c>
      <c r="R630" s="9">
        <v>6</v>
      </c>
      <c r="S630" s="8" t="s">
        <v>32</v>
      </c>
      <c r="T630" s="8" t="s">
        <v>684</v>
      </c>
      <c r="U630" s="8" t="s">
        <v>1575</v>
      </c>
      <c r="V630" s="8" t="s">
        <v>1186</v>
      </c>
      <c r="W630" s="19" t="s">
        <v>1443</v>
      </c>
    </row>
    <row r="631" spans="1:23" x14ac:dyDescent="0.25">
      <c r="A631" s="8" t="s">
        <v>1573</v>
      </c>
      <c r="B631" s="8" t="str">
        <f t="shared" si="9"/>
        <v>RUX2J3545980</v>
      </c>
      <c r="C631" s="9" t="s">
        <v>79</v>
      </c>
      <c r="D631" s="10" t="s">
        <v>383</v>
      </c>
      <c r="E631" s="11" t="s">
        <v>1574</v>
      </c>
      <c r="F631" s="12">
        <v>45974</v>
      </c>
      <c r="G631" s="13" t="s">
        <v>743</v>
      </c>
      <c r="H631" s="10" t="s">
        <v>27</v>
      </c>
      <c r="I631" s="14" t="s">
        <v>28</v>
      </c>
      <c r="J631" s="14" t="s">
        <v>139</v>
      </c>
      <c r="K631" s="15"/>
      <c r="L631" s="15"/>
      <c r="M631" s="16" t="s">
        <v>682</v>
      </c>
      <c r="N631" s="8" t="s">
        <v>30</v>
      </c>
      <c r="O631" s="8" t="s">
        <v>40</v>
      </c>
      <c r="P631" s="17" t="s">
        <v>86</v>
      </c>
      <c r="Q631" s="18">
        <v>45980</v>
      </c>
      <c r="R631" s="9">
        <v>6</v>
      </c>
      <c r="S631" s="8" t="s">
        <v>32</v>
      </c>
      <c r="T631" s="8" t="s">
        <v>684</v>
      </c>
      <c r="U631" s="8" t="s">
        <v>1575</v>
      </c>
      <c r="V631" s="8" t="s">
        <v>1498</v>
      </c>
      <c r="W631" s="19" t="s">
        <v>1443</v>
      </c>
    </row>
    <row r="632" spans="1:23" x14ac:dyDescent="0.25">
      <c r="A632" s="8" t="s">
        <v>644</v>
      </c>
      <c r="B632" s="8" t="str">
        <f t="shared" si="9"/>
        <v>RVA2J5745980</v>
      </c>
      <c r="C632" s="9" t="s">
        <v>44</v>
      </c>
      <c r="D632" s="10">
        <v>67990</v>
      </c>
      <c r="E632" s="11" t="s">
        <v>1630</v>
      </c>
      <c r="F632" s="12">
        <v>45928</v>
      </c>
      <c r="G632" s="13" t="s">
        <v>226</v>
      </c>
      <c r="H632" s="10" t="s">
        <v>27</v>
      </c>
      <c r="I632" s="14" t="s">
        <v>28</v>
      </c>
      <c r="J632" s="14" t="s">
        <v>29</v>
      </c>
      <c r="K632" s="15"/>
      <c r="L632" s="15"/>
      <c r="M632" s="16" t="s">
        <v>186</v>
      </c>
      <c r="N632" s="8" t="s">
        <v>30</v>
      </c>
      <c r="O632" s="8" t="s">
        <v>40</v>
      </c>
      <c r="P632" s="17" t="s">
        <v>187</v>
      </c>
      <c r="Q632" s="18">
        <v>45980</v>
      </c>
      <c r="R632" s="9">
        <v>52</v>
      </c>
      <c r="S632" s="8" t="s">
        <v>32</v>
      </c>
      <c r="T632" s="8" t="s">
        <v>74</v>
      </c>
      <c r="U632" s="8" t="s">
        <v>188</v>
      </c>
      <c r="V632" s="8" t="s">
        <v>320</v>
      </c>
      <c r="W632" s="19" t="s">
        <v>1324</v>
      </c>
    </row>
    <row r="633" spans="1:23" x14ac:dyDescent="0.25">
      <c r="A633" s="8" t="s">
        <v>1211</v>
      </c>
      <c r="B633" s="8" t="str">
        <f t="shared" si="9"/>
        <v>SVO4A8045980</v>
      </c>
      <c r="C633" s="9" t="s">
        <v>509</v>
      </c>
      <c r="D633" s="10">
        <v>1213</v>
      </c>
      <c r="E633" s="11" t="s">
        <v>1631</v>
      </c>
      <c r="F633" s="12">
        <v>45966</v>
      </c>
      <c r="G633" s="13" t="s">
        <v>226</v>
      </c>
      <c r="H633" s="10" t="s">
        <v>27</v>
      </c>
      <c r="I633" s="14" t="s">
        <v>28</v>
      </c>
      <c r="J633" s="14" t="s">
        <v>139</v>
      </c>
      <c r="K633" s="15"/>
      <c r="L633" s="15"/>
      <c r="M633" s="16" t="s">
        <v>511</v>
      </c>
      <c r="N633" s="8" t="s">
        <v>512</v>
      </c>
      <c r="O633" s="8" t="s">
        <v>40</v>
      </c>
      <c r="P633" s="17" t="s">
        <v>86</v>
      </c>
      <c r="Q633" s="18">
        <v>45980</v>
      </c>
      <c r="R633" s="9">
        <v>14</v>
      </c>
      <c r="S633" s="8" t="s">
        <v>32</v>
      </c>
      <c r="T633" s="8" t="s">
        <v>1048</v>
      </c>
      <c r="U633" s="8" t="s">
        <v>289</v>
      </c>
      <c r="V633" s="8" t="s">
        <v>1186</v>
      </c>
      <c r="W633" s="19" t="s">
        <v>1212</v>
      </c>
    </row>
    <row r="634" spans="1:23" x14ac:dyDescent="0.25">
      <c r="A634" s="8" t="s">
        <v>1632</v>
      </c>
      <c r="B634" s="8" t="str">
        <f t="shared" si="9"/>
        <v>RVB8A6745980</v>
      </c>
      <c r="C634" s="9" t="s">
        <v>44</v>
      </c>
      <c r="D634" s="10" t="s">
        <v>1633</v>
      </c>
      <c r="E634" s="11" t="s">
        <v>933</v>
      </c>
      <c r="F634" s="12">
        <v>45971</v>
      </c>
      <c r="G634" s="13" t="s">
        <v>226</v>
      </c>
      <c r="H634" s="10" t="s">
        <v>27</v>
      </c>
      <c r="I634" s="14" t="s">
        <v>28</v>
      </c>
      <c r="J634" s="14" t="s">
        <v>29</v>
      </c>
      <c r="K634" s="15"/>
      <c r="L634" s="15"/>
      <c r="M634" s="16" t="s">
        <v>999</v>
      </c>
      <c r="N634" s="8" t="s">
        <v>30</v>
      </c>
      <c r="O634" s="8" t="s">
        <v>40</v>
      </c>
      <c r="P634" s="17">
        <v>45981</v>
      </c>
      <c r="Q634" s="18">
        <v>45980</v>
      </c>
      <c r="R634" s="9">
        <v>9</v>
      </c>
      <c r="S634" s="8" t="s">
        <v>32</v>
      </c>
      <c r="T634" s="8" t="s">
        <v>1634</v>
      </c>
      <c r="U634" s="8" t="s">
        <v>1635</v>
      </c>
      <c r="V634" s="8" t="s">
        <v>1498</v>
      </c>
      <c r="W634" s="19" t="s">
        <v>1202</v>
      </c>
    </row>
    <row r="635" spans="1:23" x14ac:dyDescent="0.25">
      <c r="A635" s="8" t="s">
        <v>1069</v>
      </c>
      <c r="B635" s="8" t="str">
        <f t="shared" si="9"/>
        <v>SGF8J5645980</v>
      </c>
      <c r="C635" s="9" t="s">
        <v>157</v>
      </c>
      <c r="D635" s="10" t="s">
        <v>1636</v>
      </c>
      <c r="E635" s="11" t="s">
        <v>595</v>
      </c>
      <c r="F635" s="12">
        <v>45965</v>
      </c>
      <c r="G635" s="13" t="s">
        <v>39</v>
      </c>
      <c r="H635" s="10" t="s">
        <v>27</v>
      </c>
      <c r="I635" s="14" t="s">
        <v>28</v>
      </c>
      <c r="J635" s="14" t="s">
        <v>139</v>
      </c>
      <c r="K635" s="15"/>
      <c r="L635" s="15"/>
      <c r="M635" s="16" t="s">
        <v>315</v>
      </c>
      <c r="N635" s="8" t="s">
        <v>228</v>
      </c>
      <c r="O635" s="8" t="s">
        <v>40</v>
      </c>
      <c r="P635" s="17" t="s">
        <v>86</v>
      </c>
      <c r="Q635" s="18">
        <v>45980</v>
      </c>
      <c r="R635" s="9">
        <v>15</v>
      </c>
      <c r="S635" s="8" t="s">
        <v>32</v>
      </c>
      <c r="T635" s="8" t="s">
        <v>98</v>
      </c>
      <c r="U635" s="8" t="s">
        <v>254</v>
      </c>
      <c r="V635" s="8" t="s">
        <v>1186</v>
      </c>
      <c r="W635" s="19" t="s">
        <v>1189</v>
      </c>
    </row>
    <row r="636" spans="1:23" x14ac:dyDescent="0.25">
      <c r="A636" s="8" t="s">
        <v>1637</v>
      </c>
      <c r="B636" s="8" t="str">
        <f t="shared" si="9"/>
        <v>RNF2B9545980</v>
      </c>
      <c r="C636" s="9" t="s">
        <v>72</v>
      </c>
      <c r="D636" s="10">
        <v>208766</v>
      </c>
      <c r="E636" s="11" t="s">
        <v>1638</v>
      </c>
      <c r="F636" s="12">
        <v>45906</v>
      </c>
      <c r="G636" s="13" t="s">
        <v>743</v>
      </c>
      <c r="H636" s="10" t="s">
        <v>27</v>
      </c>
      <c r="I636" s="14" t="s">
        <v>28</v>
      </c>
      <c r="J636" s="14" t="s">
        <v>29</v>
      </c>
      <c r="K636" s="15">
        <v>10000</v>
      </c>
      <c r="L636" s="15">
        <v>10000</v>
      </c>
      <c r="M636" s="16" t="s">
        <v>605</v>
      </c>
      <c r="N636" s="8" t="s">
        <v>30</v>
      </c>
      <c r="O636" s="8" t="s">
        <v>31</v>
      </c>
      <c r="P636" s="17" t="s">
        <v>1506</v>
      </c>
      <c r="Q636" s="18">
        <v>45980</v>
      </c>
      <c r="R636" s="9">
        <v>74</v>
      </c>
      <c r="S636" s="8" t="s">
        <v>32</v>
      </c>
      <c r="T636" s="8" t="s">
        <v>1639</v>
      </c>
      <c r="U636" s="8" t="s">
        <v>130</v>
      </c>
      <c r="V636" s="8" t="s">
        <v>35</v>
      </c>
      <c r="W636" s="19" t="s">
        <v>1160</v>
      </c>
    </row>
    <row r="637" spans="1:23" x14ac:dyDescent="0.25">
      <c r="A637" s="8" t="s">
        <v>1060</v>
      </c>
      <c r="B637" s="8" t="str">
        <f t="shared" si="9"/>
        <v>SGF9B1345980</v>
      </c>
      <c r="C637" s="9" t="s">
        <v>157</v>
      </c>
      <c r="D637" s="10">
        <v>56555</v>
      </c>
      <c r="E637" s="11" t="s">
        <v>1640</v>
      </c>
      <c r="F637" s="12">
        <v>45970</v>
      </c>
      <c r="G637" s="13" t="s">
        <v>39</v>
      </c>
      <c r="H637" s="10" t="s">
        <v>27</v>
      </c>
      <c r="I637" s="14" t="s">
        <v>28</v>
      </c>
      <c r="J637" s="14" t="s">
        <v>139</v>
      </c>
      <c r="K637" s="15"/>
      <c r="L637" s="15"/>
      <c r="M637" s="16" t="s">
        <v>587</v>
      </c>
      <c r="N637" s="8" t="s">
        <v>30</v>
      </c>
      <c r="O637" s="8" t="s">
        <v>40</v>
      </c>
      <c r="P637" s="17" t="s">
        <v>1516</v>
      </c>
      <c r="Q637" s="18">
        <v>45980</v>
      </c>
      <c r="R637" s="9">
        <v>10</v>
      </c>
      <c r="S637" s="8" t="s">
        <v>32</v>
      </c>
      <c r="T637" s="8" t="s">
        <v>1641</v>
      </c>
      <c r="U637" s="8" t="s">
        <v>1642</v>
      </c>
      <c r="V637" s="8" t="s">
        <v>1498</v>
      </c>
      <c r="W637" s="19" t="s">
        <v>1455</v>
      </c>
    </row>
    <row r="638" spans="1:23" x14ac:dyDescent="0.25">
      <c r="A638" s="8" t="s">
        <v>1643</v>
      </c>
      <c r="B638" s="8" t="str">
        <f t="shared" si="9"/>
        <v>RUX9G5445980</v>
      </c>
      <c r="C638" s="9" t="s">
        <v>37</v>
      </c>
      <c r="D638" s="10" t="s">
        <v>1566</v>
      </c>
      <c r="E638" s="11" t="s">
        <v>1644</v>
      </c>
      <c r="F638" s="12">
        <v>45968</v>
      </c>
      <c r="G638" s="13" t="s">
        <v>364</v>
      </c>
      <c r="H638" s="10" t="s">
        <v>27</v>
      </c>
      <c r="I638" s="14" t="s">
        <v>28</v>
      </c>
      <c r="J638" s="14" t="s">
        <v>29</v>
      </c>
      <c r="K638" s="15"/>
      <c r="L638" s="15"/>
      <c r="M638" s="16" t="s">
        <v>1645</v>
      </c>
      <c r="N638" s="8" t="s">
        <v>30</v>
      </c>
      <c r="O638" s="8" t="s">
        <v>40</v>
      </c>
      <c r="P638" s="17">
        <v>45982</v>
      </c>
      <c r="Q638" s="18">
        <v>45980</v>
      </c>
      <c r="R638" s="9">
        <v>12</v>
      </c>
      <c r="S638" s="8" t="s">
        <v>32</v>
      </c>
      <c r="T638" s="8" t="s">
        <v>1646</v>
      </c>
      <c r="U638" s="8" t="s">
        <v>1480</v>
      </c>
      <c r="V638" s="8" t="s">
        <v>1186</v>
      </c>
      <c r="W638" s="19" t="s">
        <v>1481</v>
      </c>
    </row>
    <row r="639" spans="1:23" x14ac:dyDescent="0.25">
      <c r="A639" s="8" t="s">
        <v>1647</v>
      </c>
      <c r="B639" s="8" t="str">
        <f t="shared" si="9"/>
        <v>GCL2D7445980</v>
      </c>
      <c r="C639" s="9" t="s">
        <v>224</v>
      </c>
      <c r="D639" s="10">
        <v>146955</v>
      </c>
      <c r="E639" s="11" t="s">
        <v>595</v>
      </c>
      <c r="F639" s="12">
        <v>45971</v>
      </c>
      <c r="G639" s="13" t="s">
        <v>226</v>
      </c>
      <c r="H639" s="10" t="s">
        <v>27</v>
      </c>
      <c r="I639" s="14" t="s">
        <v>28</v>
      </c>
      <c r="J639" s="14" t="s">
        <v>139</v>
      </c>
      <c r="K639" s="15"/>
      <c r="L639" s="15"/>
      <c r="M639" s="16" t="s">
        <v>227</v>
      </c>
      <c r="N639" s="8" t="s">
        <v>228</v>
      </c>
      <c r="O639" s="8" t="s">
        <v>40</v>
      </c>
      <c r="P639" s="17" t="s">
        <v>86</v>
      </c>
      <c r="Q639" s="18">
        <v>45980</v>
      </c>
      <c r="R639" s="9">
        <v>9</v>
      </c>
      <c r="S639" s="8" t="s">
        <v>32</v>
      </c>
      <c r="T639" s="8" t="s">
        <v>98</v>
      </c>
      <c r="U639" s="8" t="s">
        <v>271</v>
      </c>
      <c r="V639" s="8" t="s">
        <v>1186</v>
      </c>
      <c r="W639" s="19" t="s">
        <v>1179</v>
      </c>
    </row>
    <row r="640" spans="1:23" x14ac:dyDescent="0.25">
      <c r="A640" s="8" t="s">
        <v>223</v>
      </c>
      <c r="B640" s="8" t="str">
        <f t="shared" si="9"/>
        <v>FJG5F0345980</v>
      </c>
      <c r="C640" s="9" t="s">
        <v>224</v>
      </c>
      <c r="D640" s="10">
        <v>107125</v>
      </c>
      <c r="E640" s="11" t="s">
        <v>1648</v>
      </c>
      <c r="F640" s="12">
        <v>45972</v>
      </c>
      <c r="G640" s="13" t="s">
        <v>226</v>
      </c>
      <c r="H640" s="10" t="s">
        <v>27</v>
      </c>
      <c r="I640" s="14" t="s">
        <v>28</v>
      </c>
      <c r="J640" s="14" t="s">
        <v>139</v>
      </c>
      <c r="K640" s="15"/>
      <c r="L640" s="15"/>
      <c r="M640" s="16" t="s">
        <v>227</v>
      </c>
      <c r="N640" s="8" t="s">
        <v>228</v>
      </c>
      <c r="O640" s="8" t="s">
        <v>40</v>
      </c>
      <c r="P640" s="17" t="s">
        <v>86</v>
      </c>
      <c r="Q640" s="18">
        <v>45980</v>
      </c>
      <c r="R640" s="9">
        <v>8</v>
      </c>
      <c r="S640" s="8" t="s">
        <v>32</v>
      </c>
      <c r="T640" s="8" t="s">
        <v>98</v>
      </c>
      <c r="U640" s="8" t="s">
        <v>271</v>
      </c>
      <c r="V640" s="8" t="s">
        <v>1186</v>
      </c>
      <c r="W640" s="19" t="s">
        <v>1179</v>
      </c>
    </row>
    <row r="641" spans="1:23" x14ac:dyDescent="0.25">
      <c r="A641" s="8" t="s">
        <v>402</v>
      </c>
      <c r="B641" s="8" t="str">
        <f t="shared" si="9"/>
        <v>SVW6D3345980</v>
      </c>
      <c r="C641" s="9" t="s">
        <v>24</v>
      </c>
      <c r="D641" s="10">
        <v>56666</v>
      </c>
      <c r="E641" s="11" t="s">
        <v>1599</v>
      </c>
      <c r="F641" s="12">
        <v>45974</v>
      </c>
      <c r="G641" s="13" t="s">
        <v>138</v>
      </c>
      <c r="H641" s="10" t="s">
        <v>27</v>
      </c>
      <c r="I641" s="14" t="s">
        <v>28</v>
      </c>
      <c r="J641" s="14" t="s">
        <v>29</v>
      </c>
      <c r="K641" s="15"/>
      <c r="L641" s="15"/>
      <c r="M641" s="16" t="s">
        <v>140</v>
      </c>
      <c r="N641" s="8" t="s">
        <v>30</v>
      </c>
      <c r="O641" s="8" t="s">
        <v>31</v>
      </c>
      <c r="P641" s="17">
        <v>45982</v>
      </c>
      <c r="Q641" s="18">
        <v>45980</v>
      </c>
      <c r="R641" s="9">
        <v>6</v>
      </c>
      <c r="S641" s="8" t="s">
        <v>32</v>
      </c>
      <c r="T641" s="8" t="s">
        <v>98</v>
      </c>
      <c r="U641" s="8" t="s">
        <v>1489</v>
      </c>
      <c r="V641" s="8" t="s">
        <v>1186</v>
      </c>
      <c r="W641" s="19" t="s">
        <v>1238</v>
      </c>
    </row>
    <row r="642" spans="1:23" x14ac:dyDescent="0.25">
      <c r="A642" s="8" t="s">
        <v>517</v>
      </c>
      <c r="B642" s="8" t="str">
        <f t="shared" si="9"/>
        <v>SDT9G6345980</v>
      </c>
      <c r="C642" s="9" t="s">
        <v>518</v>
      </c>
      <c r="D642" s="10" t="s">
        <v>1566</v>
      </c>
      <c r="E642" s="11" t="s">
        <v>895</v>
      </c>
      <c r="F642" s="12">
        <v>45979</v>
      </c>
      <c r="G642" s="13" t="s">
        <v>123</v>
      </c>
      <c r="H642" s="10" t="s">
        <v>27</v>
      </c>
      <c r="I642" s="14" t="s">
        <v>28</v>
      </c>
      <c r="J642" s="14" t="s">
        <v>29</v>
      </c>
      <c r="K642" s="15"/>
      <c r="L642" s="15"/>
      <c r="M642" s="16" t="s">
        <v>237</v>
      </c>
      <c r="N642" s="8" t="s">
        <v>30</v>
      </c>
      <c r="O642" s="8" t="s">
        <v>40</v>
      </c>
      <c r="P642" s="17">
        <v>45980</v>
      </c>
      <c r="Q642" s="18">
        <v>45980</v>
      </c>
      <c r="R642" s="9">
        <v>1</v>
      </c>
      <c r="S642" s="8" t="s">
        <v>153</v>
      </c>
      <c r="T642" s="8" t="s">
        <v>1649</v>
      </c>
      <c r="U642" s="8" t="s">
        <v>1513</v>
      </c>
      <c r="V642" s="8" t="s">
        <v>1186</v>
      </c>
      <c r="W642" s="19" t="s">
        <v>1205</v>
      </c>
    </row>
    <row r="643" spans="1:23" x14ac:dyDescent="0.25">
      <c r="A643" s="8" t="s">
        <v>1650</v>
      </c>
      <c r="B643" s="8" t="str">
        <f t="shared" ref="B643:B706" si="10">A643&amp;Q643</f>
        <v>SVT9G7045980</v>
      </c>
      <c r="C643" s="9" t="s">
        <v>44</v>
      </c>
      <c r="D643" s="10">
        <v>47465</v>
      </c>
      <c r="E643" s="11" t="s">
        <v>1651</v>
      </c>
      <c r="F643" s="12">
        <v>45820</v>
      </c>
      <c r="G643" s="13" t="s">
        <v>760</v>
      </c>
      <c r="H643" s="10" t="s">
        <v>52</v>
      </c>
      <c r="I643" s="14" t="s">
        <v>28</v>
      </c>
      <c r="J643" s="14" t="s">
        <v>29</v>
      </c>
      <c r="K643" s="15">
        <v>46000</v>
      </c>
      <c r="L643" s="15">
        <v>29429</v>
      </c>
      <c r="M643" s="16" t="s">
        <v>761</v>
      </c>
      <c r="N643" s="8" t="s">
        <v>30</v>
      </c>
      <c r="O643" s="8" t="s">
        <v>52</v>
      </c>
      <c r="P643" s="17">
        <v>45980</v>
      </c>
      <c r="Q643" s="18">
        <v>45980</v>
      </c>
      <c r="R643" s="9">
        <v>160</v>
      </c>
      <c r="S643" s="8" t="s">
        <v>32</v>
      </c>
      <c r="T643" s="8" t="s">
        <v>74</v>
      </c>
      <c r="U643" s="8" t="s">
        <v>762</v>
      </c>
      <c r="V643" s="8" t="s">
        <v>35</v>
      </c>
      <c r="W643" s="19" t="s">
        <v>1232</v>
      </c>
    </row>
    <row r="644" spans="1:23" x14ac:dyDescent="0.25">
      <c r="A644" s="8" t="s">
        <v>487</v>
      </c>
      <c r="B644" s="8" t="str">
        <f t="shared" si="10"/>
        <v>SGF8I5545980</v>
      </c>
      <c r="C644" s="9" t="s">
        <v>157</v>
      </c>
      <c r="D644" s="10"/>
      <c r="E644" s="11" t="s">
        <v>595</v>
      </c>
      <c r="F644" s="12">
        <v>45978</v>
      </c>
      <c r="G644" s="13" t="s">
        <v>39</v>
      </c>
      <c r="H644" s="10" t="s">
        <v>27</v>
      </c>
      <c r="I644" s="14" t="s">
        <v>28</v>
      </c>
      <c r="J644" s="14" t="s">
        <v>139</v>
      </c>
      <c r="K644" s="15"/>
      <c r="L644" s="15"/>
      <c r="M644" s="16" t="s">
        <v>458</v>
      </c>
      <c r="N644" s="8" t="s">
        <v>172</v>
      </c>
      <c r="O644" s="8" t="s">
        <v>40</v>
      </c>
      <c r="P644" s="17" t="s">
        <v>86</v>
      </c>
      <c r="Q644" s="18">
        <v>45980</v>
      </c>
      <c r="R644" s="9">
        <v>2</v>
      </c>
      <c r="S644" s="8" t="s">
        <v>153</v>
      </c>
      <c r="T644" s="8" t="s">
        <v>1652</v>
      </c>
      <c r="U644" s="8"/>
      <c r="V644" s="8"/>
      <c r="W644" s="19" t="s">
        <v>1220</v>
      </c>
    </row>
    <row r="645" spans="1:23" x14ac:dyDescent="0.25">
      <c r="A645" s="8" t="s">
        <v>1653</v>
      </c>
      <c r="B645" s="8" t="str">
        <f t="shared" si="10"/>
        <v>SDQ3H1745980</v>
      </c>
      <c r="C645" s="9" t="s">
        <v>127</v>
      </c>
      <c r="D645" s="10">
        <v>34887</v>
      </c>
      <c r="E645" s="11" t="s">
        <v>1654</v>
      </c>
      <c r="F645" s="12">
        <v>45965</v>
      </c>
      <c r="G645" s="13" t="s">
        <v>364</v>
      </c>
      <c r="H645" s="10" t="s">
        <v>27</v>
      </c>
      <c r="I645" s="14" t="s">
        <v>28</v>
      </c>
      <c r="J645" s="14" t="s">
        <v>29</v>
      </c>
      <c r="K645" s="15"/>
      <c r="L645" s="15"/>
      <c r="M645" s="16" t="s">
        <v>1655</v>
      </c>
      <c r="N645" s="8" t="s">
        <v>30</v>
      </c>
      <c r="O645" s="8" t="s">
        <v>388</v>
      </c>
      <c r="P645" s="17" t="s">
        <v>1506</v>
      </c>
      <c r="Q645" s="18">
        <v>45980</v>
      </c>
      <c r="R645" s="9">
        <v>15</v>
      </c>
      <c r="S645" s="8" t="s">
        <v>32</v>
      </c>
      <c r="T645" s="8" t="s">
        <v>1656</v>
      </c>
      <c r="U645" s="8" t="s">
        <v>1657</v>
      </c>
      <c r="V645" s="8" t="s">
        <v>1186</v>
      </c>
      <c r="W645" s="19" t="s">
        <v>1377</v>
      </c>
    </row>
    <row r="646" spans="1:23" x14ac:dyDescent="0.25">
      <c r="A646" s="8" t="s">
        <v>1658</v>
      </c>
      <c r="B646" s="8" t="str">
        <f t="shared" si="10"/>
        <v>RNP6E4145980</v>
      </c>
      <c r="C646" s="9" t="s">
        <v>72</v>
      </c>
      <c r="D646" s="10">
        <v>107475</v>
      </c>
      <c r="E646" s="11" t="s">
        <v>310</v>
      </c>
      <c r="F646" s="12">
        <v>45959</v>
      </c>
      <c r="G646" s="13" t="s">
        <v>226</v>
      </c>
      <c r="H646" s="10" t="s">
        <v>27</v>
      </c>
      <c r="I646" s="14" t="s">
        <v>28</v>
      </c>
      <c r="J646" s="14" t="s">
        <v>139</v>
      </c>
      <c r="K646" s="15"/>
      <c r="L646" s="15"/>
      <c r="M646" s="16" t="s">
        <v>975</v>
      </c>
      <c r="N646" s="8" t="s">
        <v>30</v>
      </c>
      <c r="O646" s="8" t="s">
        <v>40</v>
      </c>
      <c r="P646" s="17" t="s">
        <v>187</v>
      </c>
      <c r="Q646" s="18">
        <v>45980</v>
      </c>
      <c r="R646" s="9">
        <v>21</v>
      </c>
      <c r="S646" s="8" t="s">
        <v>32</v>
      </c>
      <c r="T646" s="8" t="s">
        <v>976</v>
      </c>
      <c r="U646" s="8" t="s">
        <v>947</v>
      </c>
      <c r="V646" s="8" t="s">
        <v>1186</v>
      </c>
      <c r="W646" s="19" t="s">
        <v>1659</v>
      </c>
    </row>
    <row r="647" spans="1:23" x14ac:dyDescent="0.25">
      <c r="A647" s="8" t="s">
        <v>1141</v>
      </c>
      <c r="B647" s="8" t="str">
        <f t="shared" si="10"/>
        <v>SEF1D9445980</v>
      </c>
      <c r="C647" s="9" t="s">
        <v>50</v>
      </c>
      <c r="D647" s="10">
        <v>8700</v>
      </c>
      <c r="E647" s="11" t="s">
        <v>1660</v>
      </c>
      <c r="F647" s="12">
        <v>45980</v>
      </c>
      <c r="G647" s="13" t="s">
        <v>743</v>
      </c>
      <c r="H647" s="10" t="s">
        <v>27</v>
      </c>
      <c r="I647" s="14" t="s">
        <v>28</v>
      </c>
      <c r="J647" s="14" t="s">
        <v>139</v>
      </c>
      <c r="K647" s="15"/>
      <c r="L647" s="15"/>
      <c r="M647" s="16" t="s">
        <v>387</v>
      </c>
      <c r="N647" s="8" t="s">
        <v>30</v>
      </c>
      <c r="O647" s="8" t="s">
        <v>40</v>
      </c>
      <c r="P647" s="17" t="s">
        <v>86</v>
      </c>
      <c r="Q647" s="18">
        <v>45980</v>
      </c>
      <c r="R647" s="9">
        <v>0</v>
      </c>
      <c r="S647" s="8" t="s">
        <v>153</v>
      </c>
      <c r="T647" s="8" t="s">
        <v>312</v>
      </c>
      <c r="U647" s="8" t="s">
        <v>888</v>
      </c>
      <c r="V647" s="8" t="s">
        <v>1186</v>
      </c>
      <c r="W647" s="19" t="s">
        <v>1204</v>
      </c>
    </row>
    <row r="648" spans="1:23" x14ac:dyDescent="0.25">
      <c r="A648" s="8" t="s">
        <v>1661</v>
      </c>
      <c r="B648" s="8" t="str">
        <f t="shared" si="10"/>
        <v>SUG1B4345980</v>
      </c>
      <c r="C648" s="9" t="s">
        <v>24</v>
      </c>
      <c r="D648" s="10" t="s">
        <v>1566</v>
      </c>
      <c r="E648" s="11" t="s">
        <v>1380</v>
      </c>
      <c r="F648" s="12">
        <v>45979</v>
      </c>
      <c r="G648" s="13" t="s">
        <v>123</v>
      </c>
      <c r="H648" s="10" t="s">
        <v>27</v>
      </c>
      <c r="I648" s="14" t="s">
        <v>28</v>
      </c>
      <c r="J648" s="14" t="s">
        <v>139</v>
      </c>
      <c r="K648" s="15"/>
      <c r="L648" s="15"/>
      <c r="M648" s="16" t="s">
        <v>214</v>
      </c>
      <c r="N648" s="8" t="s">
        <v>30</v>
      </c>
      <c r="O648" s="8"/>
      <c r="P648" s="17">
        <v>45982</v>
      </c>
      <c r="Q648" s="18">
        <v>45980</v>
      </c>
      <c r="R648" s="9">
        <v>1</v>
      </c>
      <c r="S648" s="8" t="s">
        <v>153</v>
      </c>
      <c r="T648" s="8" t="s">
        <v>1662</v>
      </c>
      <c r="U648" s="8" t="s">
        <v>215</v>
      </c>
      <c r="V648" s="8" t="s">
        <v>1186</v>
      </c>
      <c r="W648" s="19" t="s">
        <v>1242</v>
      </c>
    </row>
    <row r="649" spans="1:23" x14ac:dyDescent="0.25">
      <c r="A649" s="8" t="s">
        <v>708</v>
      </c>
      <c r="B649" s="8" t="str">
        <f t="shared" si="10"/>
        <v>SGL4D1845980</v>
      </c>
      <c r="C649" s="9" t="s">
        <v>96</v>
      </c>
      <c r="D649" s="10" t="s">
        <v>383</v>
      </c>
      <c r="E649" s="11" t="s">
        <v>539</v>
      </c>
      <c r="F649" s="12">
        <v>45971</v>
      </c>
      <c r="G649" s="13" t="s">
        <v>39</v>
      </c>
      <c r="H649" s="10" t="s">
        <v>27</v>
      </c>
      <c r="I649" s="14" t="s">
        <v>28</v>
      </c>
      <c r="J649" s="14" t="s">
        <v>139</v>
      </c>
      <c r="K649" s="15"/>
      <c r="L649" s="15"/>
      <c r="M649" s="16" t="s">
        <v>227</v>
      </c>
      <c r="N649" s="8" t="s">
        <v>228</v>
      </c>
      <c r="O649" s="8" t="s">
        <v>40</v>
      </c>
      <c r="P649" s="17" t="s">
        <v>86</v>
      </c>
      <c r="Q649" s="18">
        <v>45980</v>
      </c>
      <c r="R649" s="9">
        <v>9</v>
      </c>
      <c r="S649" s="8" t="s">
        <v>32</v>
      </c>
      <c r="T649" s="8" t="s">
        <v>98</v>
      </c>
      <c r="U649" s="8" t="s">
        <v>460</v>
      </c>
      <c r="V649" s="8" t="s">
        <v>1186</v>
      </c>
      <c r="W649" s="19" t="s">
        <v>1179</v>
      </c>
    </row>
    <row r="650" spans="1:23" x14ac:dyDescent="0.25">
      <c r="A650" s="8" t="s">
        <v>1663</v>
      </c>
      <c r="B650" s="8" t="str">
        <f t="shared" si="10"/>
        <v>Rvd8h6045980</v>
      </c>
      <c r="C650" s="9" t="s">
        <v>37</v>
      </c>
      <c r="D650" s="10">
        <v>112868</v>
      </c>
      <c r="E650" s="11" t="s">
        <v>580</v>
      </c>
      <c r="F650" s="12">
        <v>45980</v>
      </c>
      <c r="G650" s="13" t="s">
        <v>743</v>
      </c>
      <c r="H650" s="10" t="s">
        <v>27</v>
      </c>
      <c r="I650" s="14" t="s">
        <v>28</v>
      </c>
      <c r="J650" s="14" t="s">
        <v>29</v>
      </c>
      <c r="K650" s="15"/>
      <c r="L650" s="15"/>
      <c r="M650" s="16" t="s">
        <v>387</v>
      </c>
      <c r="N650" s="8" t="s">
        <v>30</v>
      </c>
      <c r="O650" s="8" t="s">
        <v>40</v>
      </c>
      <c r="P650" s="17" t="s">
        <v>86</v>
      </c>
      <c r="Q650" s="18">
        <v>45980</v>
      </c>
      <c r="R650" s="9">
        <v>0</v>
      </c>
      <c r="S650" s="8" t="s">
        <v>153</v>
      </c>
      <c r="T650" s="8" t="s">
        <v>98</v>
      </c>
      <c r="U650" s="8" t="s">
        <v>110</v>
      </c>
      <c r="V650" s="8" t="s">
        <v>1498</v>
      </c>
      <c r="W650" s="19" t="s">
        <v>1204</v>
      </c>
    </row>
    <row r="651" spans="1:23" x14ac:dyDescent="0.25">
      <c r="A651" s="8" t="s">
        <v>853</v>
      </c>
      <c r="B651" s="8" t="str">
        <f t="shared" si="10"/>
        <v>SDP9J0745982</v>
      </c>
      <c r="C651" s="9" t="s">
        <v>50</v>
      </c>
      <c r="D651" s="10">
        <v>40710</v>
      </c>
      <c r="E651" s="11" t="s">
        <v>1664</v>
      </c>
      <c r="F651" s="12">
        <v>45980</v>
      </c>
      <c r="G651" s="13" t="s">
        <v>364</v>
      </c>
      <c r="H651" s="10" t="s">
        <v>27</v>
      </c>
      <c r="I651" s="14" t="s">
        <v>28</v>
      </c>
      <c r="J651" s="14" t="s">
        <v>29</v>
      </c>
      <c r="K651" s="15"/>
      <c r="L651" s="15"/>
      <c r="M651" s="16" t="s">
        <v>855</v>
      </c>
      <c r="N651" s="8" t="s">
        <v>30</v>
      </c>
      <c r="O651" s="8" t="s">
        <v>40</v>
      </c>
      <c r="P651" s="17">
        <v>45982</v>
      </c>
      <c r="Q651" s="18">
        <v>45982</v>
      </c>
      <c r="R651" s="9">
        <v>2</v>
      </c>
      <c r="S651" s="8" t="s">
        <v>153</v>
      </c>
      <c r="T651" s="8" t="s">
        <v>1665</v>
      </c>
      <c r="U651" s="8" t="s">
        <v>125</v>
      </c>
      <c r="V651" s="8" t="s">
        <v>1666</v>
      </c>
      <c r="W651" s="19" t="s">
        <v>1667</v>
      </c>
    </row>
    <row r="652" spans="1:23" x14ac:dyDescent="0.25">
      <c r="A652" s="8" t="s">
        <v>1668</v>
      </c>
      <c r="B652" s="8" t="str">
        <f t="shared" si="10"/>
        <v>JCI8F7745982</v>
      </c>
      <c r="C652" s="9" t="s">
        <v>24</v>
      </c>
      <c r="D652" s="10">
        <v>74257</v>
      </c>
      <c r="E652" s="11" t="s">
        <v>277</v>
      </c>
      <c r="F652" s="12">
        <v>45980</v>
      </c>
      <c r="G652" s="13" t="s">
        <v>123</v>
      </c>
      <c r="H652" s="10" t="s">
        <v>27</v>
      </c>
      <c r="I652" s="14" t="s">
        <v>28</v>
      </c>
      <c r="J652" s="14" t="s">
        <v>139</v>
      </c>
      <c r="K652" s="15">
        <v>489</v>
      </c>
      <c r="L652" s="15">
        <v>489</v>
      </c>
      <c r="M652" s="16" t="e">
        <v>#N/A</v>
      </c>
      <c r="N652" s="8" t="s">
        <v>30</v>
      </c>
      <c r="O652" s="8" t="s">
        <v>40</v>
      </c>
      <c r="P652" s="17" t="s">
        <v>86</v>
      </c>
      <c r="Q652" s="18">
        <v>45982</v>
      </c>
      <c r="R652" s="9">
        <v>2</v>
      </c>
      <c r="S652" s="8" t="s">
        <v>153</v>
      </c>
      <c r="T652" s="8" t="s">
        <v>41</v>
      </c>
      <c r="U652" s="8" t="s">
        <v>1513</v>
      </c>
      <c r="V652" s="8" t="s">
        <v>1186</v>
      </c>
      <c r="W652" s="19" t="s">
        <v>1205</v>
      </c>
    </row>
    <row r="653" spans="1:23" x14ac:dyDescent="0.25">
      <c r="A653" s="8" t="s">
        <v>821</v>
      </c>
      <c r="B653" s="8" t="str">
        <f t="shared" si="10"/>
        <v>RUM2B5445982</v>
      </c>
      <c r="C653" s="9" t="s">
        <v>37</v>
      </c>
      <c r="D653" s="10"/>
      <c r="E653" s="11" t="s">
        <v>1457</v>
      </c>
      <c r="F653" s="12">
        <v>45980</v>
      </c>
      <c r="G653" s="13" t="s">
        <v>138</v>
      </c>
      <c r="H653" s="10" t="s">
        <v>27</v>
      </c>
      <c r="I653" s="14" t="s">
        <v>28</v>
      </c>
      <c r="J653" s="14" t="s">
        <v>29</v>
      </c>
      <c r="K653" s="15"/>
      <c r="L653" s="15"/>
      <c r="M653" s="16" t="s">
        <v>196</v>
      </c>
      <c r="N653" s="8" t="s">
        <v>30</v>
      </c>
      <c r="O653" s="8" t="s">
        <v>40</v>
      </c>
      <c r="P653" s="17">
        <v>45982</v>
      </c>
      <c r="Q653" s="18">
        <v>45982</v>
      </c>
      <c r="R653" s="9">
        <v>2</v>
      </c>
      <c r="S653" s="8" t="s">
        <v>153</v>
      </c>
      <c r="T653" s="8" t="s">
        <v>100</v>
      </c>
      <c r="U653" s="8" t="s">
        <v>1669</v>
      </c>
      <c r="V653" s="8" t="s">
        <v>1186</v>
      </c>
      <c r="W653" s="19" t="s">
        <v>1587</v>
      </c>
    </row>
    <row r="654" spans="1:23" x14ac:dyDescent="0.25">
      <c r="A654" s="8" t="s">
        <v>1670</v>
      </c>
      <c r="B654" s="8" t="str">
        <f t="shared" si="10"/>
        <v>GFR7C6445982</v>
      </c>
      <c r="C654" s="9" t="s">
        <v>24</v>
      </c>
      <c r="D654" s="10" t="s">
        <v>383</v>
      </c>
      <c r="E654" s="11" t="s">
        <v>1671</v>
      </c>
      <c r="F654" s="12">
        <v>45958</v>
      </c>
      <c r="G654" s="13" t="s">
        <v>226</v>
      </c>
      <c r="H654" s="10" t="s">
        <v>27</v>
      </c>
      <c r="I654" s="14" t="s">
        <v>28</v>
      </c>
      <c r="J654" s="14" t="s">
        <v>29</v>
      </c>
      <c r="K654" s="15"/>
      <c r="L654" s="15"/>
      <c r="M654" s="16" t="s">
        <v>454</v>
      </c>
      <c r="N654" s="8" t="s">
        <v>172</v>
      </c>
      <c r="O654" s="8" t="s">
        <v>40</v>
      </c>
      <c r="P654" s="17">
        <v>45988</v>
      </c>
      <c r="Q654" s="18">
        <v>45982</v>
      </c>
      <c r="R654" s="9">
        <v>24</v>
      </c>
      <c r="S654" s="8" t="s">
        <v>32</v>
      </c>
      <c r="T654" s="8" t="s">
        <v>1672</v>
      </c>
      <c r="U654" s="8" t="s">
        <v>513</v>
      </c>
      <c r="V654" s="8" t="s">
        <v>320</v>
      </c>
      <c r="W654" s="19" t="s">
        <v>1673</v>
      </c>
    </row>
    <row r="655" spans="1:23" x14ac:dyDescent="0.25">
      <c r="A655" s="8" t="s">
        <v>1621</v>
      </c>
      <c r="B655" s="8" t="str">
        <f t="shared" si="10"/>
        <v>SGL2D3145982</v>
      </c>
      <c r="C655" s="9" t="s">
        <v>96</v>
      </c>
      <c r="D655" s="10" t="s">
        <v>1566</v>
      </c>
      <c r="E655" s="11" t="s">
        <v>1674</v>
      </c>
      <c r="F655" s="12">
        <v>45981</v>
      </c>
      <c r="G655" s="13" t="s">
        <v>39</v>
      </c>
      <c r="H655" s="10" t="s">
        <v>27</v>
      </c>
      <c r="I655" s="14" t="s">
        <v>28</v>
      </c>
      <c r="J655" s="14" t="s">
        <v>29</v>
      </c>
      <c r="K655" s="15"/>
      <c r="L655" s="15"/>
      <c r="M655" s="16" t="s">
        <v>214</v>
      </c>
      <c r="N655" s="8" t="s">
        <v>30</v>
      </c>
      <c r="O655" s="8" t="s">
        <v>40</v>
      </c>
      <c r="P655" s="17" t="s">
        <v>86</v>
      </c>
      <c r="Q655" s="18">
        <v>45982</v>
      </c>
      <c r="R655" s="9">
        <v>1</v>
      </c>
      <c r="S655" s="8" t="s">
        <v>153</v>
      </c>
      <c r="T655" s="8" t="s">
        <v>98</v>
      </c>
      <c r="U655" s="8" t="s">
        <v>1675</v>
      </c>
      <c r="V655" s="8" t="s">
        <v>1498</v>
      </c>
      <c r="W655" s="19" t="s">
        <v>1242</v>
      </c>
    </row>
    <row r="656" spans="1:23" x14ac:dyDescent="0.25">
      <c r="A656" s="8" t="s">
        <v>1676</v>
      </c>
      <c r="B656" s="8" t="str">
        <f t="shared" si="10"/>
        <v>GAX9F4445982</v>
      </c>
      <c r="C656" s="9" t="s">
        <v>224</v>
      </c>
      <c r="D656" s="10" t="s">
        <v>1566</v>
      </c>
      <c r="E656" s="11" t="s">
        <v>1677</v>
      </c>
      <c r="F656" s="12">
        <v>45981</v>
      </c>
      <c r="G656" s="13" t="s">
        <v>226</v>
      </c>
      <c r="H656" s="10" t="s">
        <v>27</v>
      </c>
      <c r="I656" s="14" t="s">
        <v>176</v>
      </c>
      <c r="J656" s="14" t="s">
        <v>29</v>
      </c>
      <c r="K656" s="15"/>
      <c r="L656" s="15"/>
      <c r="M656" s="16" t="s">
        <v>315</v>
      </c>
      <c r="N656" s="8" t="s">
        <v>228</v>
      </c>
      <c r="O656" s="8" t="s">
        <v>40</v>
      </c>
      <c r="P656" s="17">
        <v>45982</v>
      </c>
      <c r="Q656" s="18">
        <v>45982</v>
      </c>
      <c r="R656" s="9">
        <v>1</v>
      </c>
      <c r="S656" s="8" t="s">
        <v>153</v>
      </c>
      <c r="T656" s="8" t="s">
        <v>98</v>
      </c>
      <c r="U656" s="8" t="s">
        <v>254</v>
      </c>
      <c r="V656" s="8" t="s">
        <v>1498</v>
      </c>
      <c r="W656" s="19" t="s">
        <v>1189</v>
      </c>
    </row>
    <row r="657" spans="1:23" x14ac:dyDescent="0.25">
      <c r="A657" s="8" t="s">
        <v>1678</v>
      </c>
      <c r="B657" s="8" t="str">
        <f t="shared" si="10"/>
        <v>RUO6B3945981</v>
      </c>
      <c r="C657" s="9" t="s">
        <v>37</v>
      </c>
      <c r="D657" s="10" t="s">
        <v>1566</v>
      </c>
      <c r="E657" s="11" t="s">
        <v>1679</v>
      </c>
      <c r="F657" s="12">
        <v>45981</v>
      </c>
      <c r="G657" s="13" t="s">
        <v>743</v>
      </c>
      <c r="H657" s="10" t="s">
        <v>27</v>
      </c>
      <c r="I657" s="14" t="s">
        <v>176</v>
      </c>
      <c r="J657" s="14" t="s">
        <v>29</v>
      </c>
      <c r="K657" s="15"/>
      <c r="L657" s="15"/>
      <c r="M657" s="16" t="s">
        <v>387</v>
      </c>
      <c r="N657" s="8" t="s">
        <v>30</v>
      </c>
      <c r="O657" s="8" t="s">
        <v>40</v>
      </c>
      <c r="P657" s="17">
        <v>45982</v>
      </c>
      <c r="Q657" s="18">
        <v>45981</v>
      </c>
      <c r="R657" s="9">
        <v>0</v>
      </c>
      <c r="S657" s="8" t="s">
        <v>153</v>
      </c>
      <c r="T657" s="8" t="s">
        <v>98</v>
      </c>
      <c r="U657" s="8" t="s">
        <v>110</v>
      </c>
      <c r="V657" s="8" t="s">
        <v>1498</v>
      </c>
      <c r="W657" s="19" t="s">
        <v>1204</v>
      </c>
    </row>
    <row r="658" spans="1:23" x14ac:dyDescent="0.25">
      <c r="A658" s="8" t="s">
        <v>23</v>
      </c>
      <c r="B658" s="8" t="str">
        <f t="shared" si="10"/>
        <v>STU8B2845982</v>
      </c>
      <c r="C658" s="9" t="s">
        <v>24</v>
      </c>
      <c r="D658" s="10" t="s">
        <v>1566</v>
      </c>
      <c r="E658" s="11" t="s">
        <v>1680</v>
      </c>
      <c r="F658" s="12">
        <v>45981</v>
      </c>
      <c r="G658" s="13" t="s">
        <v>138</v>
      </c>
      <c r="H658" s="10" t="s">
        <v>27</v>
      </c>
      <c r="I658" s="14" t="s">
        <v>28</v>
      </c>
      <c r="J658" s="14" t="s">
        <v>29</v>
      </c>
      <c r="K658" s="15"/>
      <c r="L658" s="15"/>
      <c r="M658" s="16" t="s">
        <v>140</v>
      </c>
      <c r="N658" s="8" t="s">
        <v>30</v>
      </c>
      <c r="O658" s="8" t="s">
        <v>40</v>
      </c>
      <c r="P658" s="17">
        <v>45982</v>
      </c>
      <c r="Q658" s="18">
        <v>45982</v>
      </c>
      <c r="R658" s="9">
        <v>1</v>
      </c>
      <c r="S658" s="8" t="s">
        <v>153</v>
      </c>
      <c r="T658" s="8" t="s">
        <v>98</v>
      </c>
      <c r="U658" s="8" t="s">
        <v>1489</v>
      </c>
      <c r="V658" s="8" t="s">
        <v>1498</v>
      </c>
      <c r="W658" s="19" t="s">
        <v>1238</v>
      </c>
    </row>
    <row r="659" spans="1:23" x14ac:dyDescent="0.25">
      <c r="A659" s="8" t="s">
        <v>405</v>
      </c>
      <c r="B659" s="8" t="str">
        <f t="shared" si="10"/>
        <v>SDQ2J2045982</v>
      </c>
      <c r="C659" s="9" t="s">
        <v>37</v>
      </c>
      <c r="D659" s="10" t="s">
        <v>1566</v>
      </c>
      <c r="E659" s="11" t="s">
        <v>1610</v>
      </c>
      <c r="F659" s="12">
        <v>45975</v>
      </c>
      <c r="G659" s="13" t="s">
        <v>123</v>
      </c>
      <c r="H659" s="10" t="s">
        <v>27</v>
      </c>
      <c r="I659" s="14" t="s">
        <v>28</v>
      </c>
      <c r="J659" s="14" t="s">
        <v>29</v>
      </c>
      <c r="K659" s="15"/>
      <c r="L659" s="15"/>
      <c r="M659" s="16" t="s">
        <v>237</v>
      </c>
      <c r="N659" s="8" t="s">
        <v>30</v>
      </c>
      <c r="O659" s="8" t="s">
        <v>40</v>
      </c>
      <c r="P659" s="17">
        <v>45982</v>
      </c>
      <c r="Q659" s="18">
        <v>45982</v>
      </c>
      <c r="R659" s="9">
        <v>7</v>
      </c>
      <c r="S659" s="8" t="s">
        <v>32</v>
      </c>
      <c r="T659" s="8" t="s">
        <v>1649</v>
      </c>
      <c r="U659" s="8" t="s">
        <v>1513</v>
      </c>
      <c r="V659" s="8" t="s">
        <v>1498</v>
      </c>
      <c r="W659" s="19" t="s">
        <v>1205</v>
      </c>
    </row>
    <row r="660" spans="1:23" x14ac:dyDescent="0.25">
      <c r="A660" s="8" t="s">
        <v>1028</v>
      </c>
      <c r="B660" s="8" t="str">
        <f t="shared" si="10"/>
        <v>SWH8D5445982</v>
      </c>
      <c r="C660" s="9" t="s">
        <v>926</v>
      </c>
      <c r="D660" s="10" t="s">
        <v>1566</v>
      </c>
      <c r="E660" s="11" t="s">
        <v>1508</v>
      </c>
      <c r="F660" s="12">
        <v>45982</v>
      </c>
      <c r="G660" s="13" t="s">
        <v>226</v>
      </c>
      <c r="H660" s="10" t="s">
        <v>27</v>
      </c>
      <c r="I660" s="14" t="s">
        <v>176</v>
      </c>
      <c r="J660" s="14" t="s">
        <v>29</v>
      </c>
      <c r="K660" s="15"/>
      <c r="L660" s="15"/>
      <c r="M660" s="16" t="s">
        <v>511</v>
      </c>
      <c r="N660" s="8" t="s">
        <v>512</v>
      </c>
      <c r="O660" s="8" t="s">
        <v>40</v>
      </c>
      <c r="P660" s="17">
        <v>45982</v>
      </c>
      <c r="Q660" s="18">
        <v>45982</v>
      </c>
      <c r="R660" s="9">
        <v>0</v>
      </c>
      <c r="S660" s="8" t="s">
        <v>153</v>
      </c>
      <c r="T660" s="8" t="s">
        <v>98</v>
      </c>
      <c r="U660" s="8" t="s">
        <v>289</v>
      </c>
      <c r="V660" s="8" t="s">
        <v>1498</v>
      </c>
      <c r="W660" s="19" t="s">
        <v>1212</v>
      </c>
    </row>
    <row r="661" spans="1:23" x14ac:dyDescent="0.25">
      <c r="A661" s="8" t="s">
        <v>1081</v>
      </c>
      <c r="B661" s="8" t="str">
        <f t="shared" si="10"/>
        <v>RNR5C6345982</v>
      </c>
      <c r="C661" s="9" t="s">
        <v>72</v>
      </c>
      <c r="D661" s="10" t="s">
        <v>1681</v>
      </c>
      <c r="E661" s="11" t="s">
        <v>1682</v>
      </c>
      <c r="F661" s="12"/>
      <c r="G661" s="13" t="s">
        <v>226</v>
      </c>
      <c r="H661" s="10" t="s">
        <v>27</v>
      </c>
      <c r="I661" s="14" t="s">
        <v>28</v>
      </c>
      <c r="J661" s="14" t="s">
        <v>29</v>
      </c>
      <c r="K661" s="15"/>
      <c r="L661" s="15"/>
      <c r="M661" s="16" t="s">
        <v>207</v>
      </c>
      <c r="N661" s="8" t="s">
        <v>30</v>
      </c>
      <c r="O661" s="8" t="s">
        <v>40</v>
      </c>
      <c r="P661" s="17">
        <v>45982</v>
      </c>
      <c r="Q661" s="18">
        <v>45982</v>
      </c>
      <c r="R661" s="9">
        <v>45982</v>
      </c>
      <c r="S661" s="8" t="s">
        <v>32</v>
      </c>
      <c r="T661" s="8" t="s">
        <v>74</v>
      </c>
      <c r="U661" s="8" t="s">
        <v>188</v>
      </c>
      <c r="V661" s="8" t="s">
        <v>1186</v>
      </c>
      <c r="W661" s="19" t="s">
        <v>1259</v>
      </c>
    </row>
    <row r="662" spans="1:23" x14ac:dyDescent="0.25">
      <c r="A662" s="8" t="s">
        <v>1683</v>
      </c>
      <c r="B662" s="8" t="str">
        <f t="shared" si="10"/>
        <v>RNJ9C3345982</v>
      </c>
      <c r="C662" s="9" t="s">
        <v>72</v>
      </c>
      <c r="D662" s="10" t="s">
        <v>383</v>
      </c>
      <c r="E662" s="11" t="s">
        <v>65</v>
      </c>
      <c r="F662" s="12">
        <v>45974</v>
      </c>
      <c r="G662" s="13" t="s">
        <v>872</v>
      </c>
      <c r="H662" s="10" t="s">
        <v>27</v>
      </c>
      <c r="I662" s="14" t="s">
        <v>28</v>
      </c>
      <c r="J662" s="14" t="s">
        <v>29</v>
      </c>
      <c r="K662" s="15"/>
      <c r="L662" s="15"/>
      <c r="M662" s="16" t="s">
        <v>329</v>
      </c>
      <c r="N662" s="8" t="s">
        <v>172</v>
      </c>
      <c r="O662" s="8" t="s">
        <v>40</v>
      </c>
      <c r="P662" s="17">
        <v>45985</v>
      </c>
      <c r="Q662" s="18">
        <v>45982</v>
      </c>
      <c r="R662" s="9">
        <v>8</v>
      </c>
      <c r="S662" s="8" t="s">
        <v>32</v>
      </c>
      <c r="T662" s="8" t="s">
        <v>66</v>
      </c>
      <c r="U662" s="8" t="s">
        <v>465</v>
      </c>
      <c r="V662" s="8" t="s">
        <v>1498</v>
      </c>
      <c r="W662" s="19" t="s">
        <v>1165</v>
      </c>
    </row>
    <row r="663" spans="1:23" x14ac:dyDescent="0.25">
      <c r="A663" s="8" t="s">
        <v>1684</v>
      </c>
      <c r="B663" s="8" t="str">
        <f t="shared" si="10"/>
        <v>SUX3G2845982</v>
      </c>
      <c r="C663" s="9" t="s">
        <v>44</v>
      </c>
      <c r="D663" s="10" t="s">
        <v>1685</v>
      </c>
      <c r="E663" s="11" t="s">
        <v>277</v>
      </c>
      <c r="F663" s="12">
        <v>45974</v>
      </c>
      <c r="G663" s="13" t="s">
        <v>872</v>
      </c>
      <c r="H663" s="10" t="s">
        <v>27</v>
      </c>
      <c r="I663" s="14" t="s">
        <v>28</v>
      </c>
      <c r="J663" s="14" t="s">
        <v>29</v>
      </c>
      <c r="K663" s="15"/>
      <c r="L663" s="15"/>
      <c r="M663" s="16" t="s">
        <v>329</v>
      </c>
      <c r="N663" s="8" t="s">
        <v>30</v>
      </c>
      <c r="O663" s="8" t="s">
        <v>40</v>
      </c>
      <c r="P663" s="17">
        <v>45985</v>
      </c>
      <c r="Q663" s="18">
        <v>45982</v>
      </c>
      <c r="R663" s="9">
        <v>8</v>
      </c>
      <c r="S663" s="8" t="s">
        <v>32</v>
      </c>
      <c r="T663" s="8" t="s">
        <v>66</v>
      </c>
      <c r="U663" s="8" t="s">
        <v>465</v>
      </c>
      <c r="V663" s="8" t="s">
        <v>1498</v>
      </c>
      <c r="W663" s="19" t="s">
        <v>1165</v>
      </c>
    </row>
    <row r="664" spans="1:23" x14ac:dyDescent="0.25">
      <c r="A664" s="8" t="s">
        <v>1686</v>
      </c>
      <c r="B664" s="8" t="str">
        <f t="shared" si="10"/>
        <v>GEV8B1545982</v>
      </c>
      <c r="C664" s="9" t="s">
        <v>224</v>
      </c>
      <c r="D664" s="10" t="s">
        <v>1566</v>
      </c>
      <c r="E664" s="11" t="s">
        <v>1687</v>
      </c>
      <c r="F664" s="12"/>
      <c r="G664" s="13" t="s">
        <v>226</v>
      </c>
      <c r="H664" s="10" t="s">
        <v>27</v>
      </c>
      <c r="I664" s="14" t="s">
        <v>28</v>
      </c>
      <c r="J664" s="14" t="s">
        <v>29</v>
      </c>
      <c r="K664" s="15"/>
      <c r="L664" s="15"/>
      <c r="M664" s="16" t="s">
        <v>227</v>
      </c>
      <c r="N664" s="8" t="s">
        <v>228</v>
      </c>
      <c r="O664" s="8" t="s">
        <v>40</v>
      </c>
      <c r="P664" s="17">
        <v>45982</v>
      </c>
      <c r="Q664" s="18">
        <v>45982</v>
      </c>
      <c r="R664" s="9">
        <v>45982</v>
      </c>
      <c r="S664" s="8" t="s">
        <v>32</v>
      </c>
      <c r="T664" s="8" t="s">
        <v>98</v>
      </c>
      <c r="U664" s="8" t="s">
        <v>271</v>
      </c>
      <c r="V664" s="8" t="s">
        <v>1186</v>
      </c>
      <c r="W664" s="19" t="s">
        <v>1179</v>
      </c>
    </row>
    <row r="665" spans="1:23" x14ac:dyDescent="0.25">
      <c r="A665" s="8" t="s">
        <v>1688</v>
      </c>
      <c r="B665" s="8" t="str">
        <f t="shared" si="10"/>
        <v>RNJ9D15 45982</v>
      </c>
      <c r="C665" s="9" t="s">
        <v>72</v>
      </c>
      <c r="D665" s="10" t="s">
        <v>1566</v>
      </c>
      <c r="E665" s="11" t="s">
        <v>1689</v>
      </c>
      <c r="F665" s="12"/>
      <c r="G665" s="13" t="s">
        <v>364</v>
      </c>
      <c r="H665" s="10" t="s">
        <v>27</v>
      </c>
      <c r="I665" s="14" t="s">
        <v>28</v>
      </c>
      <c r="J665" s="14" t="s">
        <v>29</v>
      </c>
      <c r="K665" s="15"/>
      <c r="L665" s="15"/>
      <c r="M665" s="16" t="s">
        <v>398</v>
      </c>
      <c r="N665" s="8" t="s">
        <v>30</v>
      </c>
      <c r="O665" s="8" t="s">
        <v>40</v>
      </c>
      <c r="P665" s="17" t="s">
        <v>86</v>
      </c>
      <c r="Q665" s="18">
        <v>45982</v>
      </c>
      <c r="R665" s="9"/>
      <c r="S665" s="8" t="s">
        <v>32</v>
      </c>
      <c r="T665" s="8" t="s">
        <v>98</v>
      </c>
      <c r="U665" s="8" t="s">
        <v>1471</v>
      </c>
      <c r="V665" s="8"/>
      <c r="W665" s="19" t="s">
        <v>1502</v>
      </c>
    </row>
    <row r="666" spans="1:23" x14ac:dyDescent="0.25">
      <c r="A666" s="8" t="s">
        <v>1325</v>
      </c>
      <c r="B666" s="8" t="str">
        <f t="shared" si="10"/>
        <v>SJT0J5545982</v>
      </c>
      <c r="C666" s="9" t="s">
        <v>24</v>
      </c>
      <c r="D666" s="10">
        <v>72063</v>
      </c>
      <c r="E666" s="11" t="s">
        <v>1690</v>
      </c>
      <c r="F666" s="12">
        <v>45937</v>
      </c>
      <c r="G666" s="13" t="s">
        <v>123</v>
      </c>
      <c r="H666" s="10" t="s">
        <v>27</v>
      </c>
      <c r="I666" s="14" t="s">
        <v>28</v>
      </c>
      <c r="J666" s="14" t="s">
        <v>139</v>
      </c>
      <c r="K666" s="15"/>
      <c r="L666" s="15"/>
      <c r="M666" s="16" t="s">
        <v>326</v>
      </c>
      <c r="N666" s="8" t="s">
        <v>30</v>
      </c>
      <c r="O666" s="8" t="s">
        <v>40</v>
      </c>
      <c r="P666" s="17">
        <v>45989</v>
      </c>
      <c r="Q666" s="18">
        <v>45982</v>
      </c>
      <c r="R666" s="9">
        <v>45</v>
      </c>
      <c r="S666" s="8" t="s">
        <v>32</v>
      </c>
      <c r="T666" s="8" t="s">
        <v>98</v>
      </c>
      <c r="U666" s="8" t="s">
        <v>177</v>
      </c>
      <c r="V666" s="8" t="s">
        <v>320</v>
      </c>
      <c r="W666" s="19" t="s">
        <v>1169</v>
      </c>
    </row>
    <row r="667" spans="1:23" x14ac:dyDescent="0.25">
      <c r="A667" s="8" t="s">
        <v>1620</v>
      </c>
      <c r="B667" s="8" t="str">
        <f t="shared" si="10"/>
        <v>RVD9A4345982</v>
      </c>
      <c r="C667" s="9" t="s">
        <v>37</v>
      </c>
      <c r="D667" s="10"/>
      <c r="E667" s="11" t="s">
        <v>80</v>
      </c>
      <c r="F667" s="12">
        <v>45974</v>
      </c>
      <c r="G667" s="13" t="s">
        <v>872</v>
      </c>
      <c r="H667" s="10" t="s">
        <v>27</v>
      </c>
      <c r="I667" s="14" t="s">
        <v>28</v>
      </c>
      <c r="J667" s="14" t="s">
        <v>139</v>
      </c>
      <c r="K667" s="15"/>
      <c r="L667" s="15"/>
      <c r="M667" s="16" t="s">
        <v>329</v>
      </c>
      <c r="N667" s="8" t="s">
        <v>30</v>
      </c>
      <c r="O667" s="8" t="s">
        <v>40</v>
      </c>
      <c r="P667" s="17" t="s">
        <v>86</v>
      </c>
      <c r="Q667" s="18">
        <v>45982</v>
      </c>
      <c r="R667" s="9">
        <v>8</v>
      </c>
      <c r="S667" s="8" t="s">
        <v>32</v>
      </c>
      <c r="T667" s="8" t="s">
        <v>66</v>
      </c>
      <c r="U667" s="8" t="s">
        <v>465</v>
      </c>
      <c r="V667" s="8" t="s">
        <v>1498</v>
      </c>
      <c r="W667" s="19" t="s">
        <v>1165</v>
      </c>
    </row>
    <row r="668" spans="1:23" x14ac:dyDescent="0.25">
      <c r="A668" s="8" t="s">
        <v>1691</v>
      </c>
      <c r="B668" s="8" t="str">
        <f t="shared" si="10"/>
        <v>SDT9E9645982</v>
      </c>
      <c r="C668" s="9" t="s">
        <v>50</v>
      </c>
      <c r="D668" s="10">
        <v>55416</v>
      </c>
      <c r="E668" s="11" t="s">
        <v>310</v>
      </c>
      <c r="F668" s="12">
        <v>45980</v>
      </c>
      <c r="G668" s="13" t="s">
        <v>39</v>
      </c>
      <c r="H668" s="10" t="s">
        <v>27</v>
      </c>
      <c r="I668" s="14" t="s">
        <v>28</v>
      </c>
      <c r="J668" s="14" t="s">
        <v>139</v>
      </c>
      <c r="K668" s="15"/>
      <c r="L668" s="15"/>
      <c r="M668" s="16" t="s">
        <v>587</v>
      </c>
      <c r="N668" s="8" t="s">
        <v>30</v>
      </c>
      <c r="O668" s="8" t="s">
        <v>40</v>
      </c>
      <c r="P668" s="17">
        <v>45982</v>
      </c>
      <c r="Q668" s="18">
        <v>45982</v>
      </c>
      <c r="R668" s="9">
        <v>2</v>
      </c>
      <c r="S668" s="8" t="s">
        <v>153</v>
      </c>
      <c r="T668" s="8" t="s">
        <v>100</v>
      </c>
      <c r="U668" s="8"/>
      <c r="V668" s="8"/>
      <c r="W668" s="19" t="s">
        <v>1455</v>
      </c>
    </row>
    <row r="669" spans="1:23" x14ac:dyDescent="0.25">
      <c r="A669" s="8" t="s">
        <v>1692</v>
      </c>
      <c r="B669" s="8" t="str">
        <f t="shared" si="10"/>
        <v>SDQ2C0145982</v>
      </c>
      <c r="C669" s="9" t="s">
        <v>127</v>
      </c>
      <c r="D669" s="10">
        <v>59194</v>
      </c>
      <c r="E669" s="11" t="s">
        <v>1693</v>
      </c>
      <c r="F669" s="12">
        <v>45867</v>
      </c>
      <c r="G669" s="13" t="s">
        <v>760</v>
      </c>
      <c r="H669" s="10" t="s">
        <v>52</v>
      </c>
      <c r="I669" s="14" t="s">
        <v>28</v>
      </c>
      <c r="J669" s="14" t="s">
        <v>29</v>
      </c>
      <c r="K669" s="15">
        <v>5600</v>
      </c>
      <c r="L669" s="15">
        <v>5600</v>
      </c>
      <c r="M669" s="16" t="s">
        <v>560</v>
      </c>
      <c r="N669" s="8" t="s">
        <v>30</v>
      </c>
      <c r="O669" s="8" t="s">
        <v>52</v>
      </c>
      <c r="P669" s="17">
        <v>45985</v>
      </c>
      <c r="Q669" s="18">
        <v>45982</v>
      </c>
      <c r="R669" s="9">
        <v>115</v>
      </c>
      <c r="S669" s="8" t="s">
        <v>32</v>
      </c>
      <c r="T669" s="8" t="s">
        <v>53</v>
      </c>
      <c r="U669" s="8" t="s">
        <v>54</v>
      </c>
      <c r="V669" s="8" t="s">
        <v>35</v>
      </c>
      <c r="W669" s="19" t="s">
        <v>1195</v>
      </c>
    </row>
    <row r="670" spans="1:23" x14ac:dyDescent="0.25">
      <c r="A670" s="8" t="s">
        <v>1694</v>
      </c>
      <c r="B670" s="8" t="str">
        <f t="shared" si="10"/>
        <v>RNN0C0845985</v>
      </c>
      <c r="C670" s="9" t="s">
        <v>72</v>
      </c>
      <c r="D670" s="10">
        <v>171056</v>
      </c>
      <c r="E670" s="11" t="s">
        <v>1695</v>
      </c>
      <c r="F670" s="12">
        <v>45967</v>
      </c>
      <c r="G670" s="13" t="s">
        <v>138</v>
      </c>
      <c r="H670" s="10" t="s">
        <v>27</v>
      </c>
      <c r="I670" s="14" t="s">
        <v>28</v>
      </c>
      <c r="J670" s="14" t="s">
        <v>29</v>
      </c>
      <c r="K670" s="15"/>
      <c r="L670" s="15"/>
      <c r="M670" s="16" t="s">
        <v>357</v>
      </c>
      <c r="N670" s="8" t="s">
        <v>30</v>
      </c>
      <c r="O670" s="8" t="s">
        <v>40</v>
      </c>
      <c r="P670" s="17">
        <v>45985</v>
      </c>
      <c r="Q670" s="18">
        <v>45985</v>
      </c>
      <c r="R670" s="9">
        <v>18</v>
      </c>
      <c r="S670" s="8" t="s">
        <v>32</v>
      </c>
      <c r="T670" s="8" t="s">
        <v>100</v>
      </c>
      <c r="U670" s="8" t="s">
        <v>1138</v>
      </c>
      <c r="V670" s="8" t="s">
        <v>1186</v>
      </c>
      <c r="W670" s="19" t="s">
        <v>1358</v>
      </c>
    </row>
    <row r="671" spans="1:23" x14ac:dyDescent="0.25">
      <c r="A671" s="8" t="s">
        <v>594</v>
      </c>
      <c r="B671" s="8" t="str">
        <f t="shared" si="10"/>
        <v>RNB5I5745985</v>
      </c>
      <c r="C671" s="9" t="s">
        <v>44</v>
      </c>
      <c r="D671" s="10">
        <v>169408</v>
      </c>
      <c r="E671" s="11" t="s">
        <v>1696</v>
      </c>
      <c r="F671" s="12">
        <v>45978</v>
      </c>
      <c r="G671" s="13" t="s">
        <v>138</v>
      </c>
      <c r="H671" s="10" t="s">
        <v>27</v>
      </c>
      <c r="I671" s="14" t="s">
        <v>28</v>
      </c>
      <c r="J671" s="14" t="s">
        <v>139</v>
      </c>
      <c r="K671" s="15"/>
      <c r="L671" s="15"/>
      <c r="M671" s="16" t="s">
        <v>593</v>
      </c>
      <c r="N671" s="8" t="s">
        <v>30</v>
      </c>
      <c r="O671" s="8" t="s">
        <v>40</v>
      </c>
      <c r="P671" s="17" t="s">
        <v>1506</v>
      </c>
      <c r="Q671" s="18">
        <v>45985</v>
      </c>
      <c r="R671" s="9">
        <v>7</v>
      </c>
      <c r="S671" s="8" t="s">
        <v>32</v>
      </c>
      <c r="T671" s="8" t="s">
        <v>100</v>
      </c>
      <c r="U671" s="8" t="s">
        <v>596</v>
      </c>
      <c r="V671" s="8" t="s">
        <v>1498</v>
      </c>
      <c r="W671" s="19" t="s">
        <v>1697</v>
      </c>
    </row>
    <row r="672" spans="1:23" x14ac:dyDescent="0.25">
      <c r="A672" s="8" t="s">
        <v>1698</v>
      </c>
      <c r="B672" s="8" t="str">
        <f t="shared" si="10"/>
        <v>TAK7B8645985</v>
      </c>
      <c r="C672" s="9" t="s">
        <v>626</v>
      </c>
      <c r="D672" s="10" t="s">
        <v>383</v>
      </c>
      <c r="E672" s="11" t="s">
        <v>1699</v>
      </c>
      <c r="F672" s="12">
        <v>45981</v>
      </c>
      <c r="G672" s="13" t="s">
        <v>226</v>
      </c>
      <c r="H672" s="10" t="s">
        <v>27</v>
      </c>
      <c r="I672" s="14" t="s">
        <v>176</v>
      </c>
      <c r="J672" s="14" t="s">
        <v>29</v>
      </c>
      <c r="K672" s="15"/>
      <c r="L672" s="15"/>
      <c r="M672" s="16" t="s">
        <v>485</v>
      </c>
      <c r="N672" s="8" t="s">
        <v>228</v>
      </c>
      <c r="O672" s="8" t="s">
        <v>40</v>
      </c>
      <c r="P672" s="17">
        <v>45985</v>
      </c>
      <c r="Q672" s="18">
        <v>45985</v>
      </c>
      <c r="R672" s="9">
        <v>4</v>
      </c>
      <c r="S672" s="8" t="s">
        <v>32</v>
      </c>
      <c r="T672" s="8" t="s">
        <v>98</v>
      </c>
      <c r="U672" s="8" t="s">
        <v>1700</v>
      </c>
      <c r="V672" s="8" t="s">
        <v>1186</v>
      </c>
      <c r="W672" s="19" t="s">
        <v>1281</v>
      </c>
    </row>
    <row r="673" spans="1:23" x14ac:dyDescent="0.25">
      <c r="A673" s="8" t="s">
        <v>1701</v>
      </c>
      <c r="B673" s="8" t="str">
        <f t="shared" si="10"/>
        <v>SFW2F1645985</v>
      </c>
      <c r="C673" s="9" t="s">
        <v>96</v>
      </c>
      <c r="D673" s="10">
        <v>574116</v>
      </c>
      <c r="E673" s="11" t="s">
        <v>1702</v>
      </c>
      <c r="F673" s="12">
        <v>45938</v>
      </c>
      <c r="G673" s="13" t="s">
        <v>1703</v>
      </c>
      <c r="H673" s="10" t="s">
        <v>27</v>
      </c>
      <c r="I673" s="14" t="s">
        <v>28</v>
      </c>
      <c r="J673" s="14" t="s">
        <v>139</v>
      </c>
      <c r="K673" s="15"/>
      <c r="L673" s="15"/>
      <c r="M673" s="16" t="s">
        <v>357</v>
      </c>
      <c r="N673" s="8" t="s">
        <v>30</v>
      </c>
      <c r="O673" s="8" t="s">
        <v>40</v>
      </c>
      <c r="P673" s="17" t="s">
        <v>86</v>
      </c>
      <c r="Q673" s="18">
        <v>45985</v>
      </c>
      <c r="R673" s="9">
        <v>29</v>
      </c>
      <c r="S673" s="8" t="s">
        <v>32</v>
      </c>
      <c r="T673" s="8" t="s">
        <v>1704</v>
      </c>
      <c r="U673" s="8" t="s">
        <v>1138</v>
      </c>
      <c r="V673" s="8" t="s">
        <v>320</v>
      </c>
      <c r="W673" s="19" t="s">
        <v>1358</v>
      </c>
    </row>
    <row r="674" spans="1:23" x14ac:dyDescent="0.25">
      <c r="A674" s="8" t="s">
        <v>1705</v>
      </c>
      <c r="B674" s="8" t="str">
        <f t="shared" si="10"/>
        <v>RNJ9C8745985</v>
      </c>
      <c r="C674" s="9" t="s">
        <v>72</v>
      </c>
      <c r="D674" s="10"/>
      <c r="E674" s="11" t="s">
        <v>595</v>
      </c>
      <c r="F674" s="12">
        <v>45975</v>
      </c>
      <c r="G674" s="13" t="s">
        <v>872</v>
      </c>
      <c r="H674" s="10" t="s">
        <v>27</v>
      </c>
      <c r="I674" s="14" t="s">
        <v>28</v>
      </c>
      <c r="J674" s="14" t="s">
        <v>29</v>
      </c>
      <c r="K674" s="15"/>
      <c r="L674" s="15"/>
      <c r="M674" s="16" t="s">
        <v>560</v>
      </c>
      <c r="N674" s="8" t="s">
        <v>30</v>
      </c>
      <c r="O674" s="8" t="s">
        <v>40</v>
      </c>
      <c r="P674" s="17">
        <v>45985</v>
      </c>
      <c r="Q674" s="18">
        <v>45985</v>
      </c>
      <c r="R674" s="9">
        <v>10</v>
      </c>
      <c r="S674" s="8" t="s">
        <v>32</v>
      </c>
      <c r="T674" s="8" t="s">
        <v>89</v>
      </c>
      <c r="U674" s="8" t="s">
        <v>54</v>
      </c>
      <c r="V674" s="8" t="s">
        <v>1498</v>
      </c>
      <c r="W674" s="19" t="s">
        <v>1195</v>
      </c>
    </row>
    <row r="675" spans="1:23" x14ac:dyDescent="0.25">
      <c r="A675" s="8" t="s">
        <v>1213</v>
      </c>
      <c r="B675" s="8" t="str">
        <f t="shared" si="10"/>
        <v>SGL4D2045985</v>
      </c>
      <c r="C675" s="9" t="s">
        <v>96</v>
      </c>
      <c r="D675" s="10" t="s">
        <v>383</v>
      </c>
      <c r="E675" s="11" t="s">
        <v>1706</v>
      </c>
      <c r="F675" s="12">
        <v>45966</v>
      </c>
      <c r="G675" s="13" t="s">
        <v>1703</v>
      </c>
      <c r="H675" s="10" t="s">
        <v>27</v>
      </c>
      <c r="I675" s="14" t="s">
        <v>28</v>
      </c>
      <c r="J675" s="14" t="s">
        <v>139</v>
      </c>
      <c r="K675" s="15"/>
      <c r="L675" s="15"/>
      <c r="M675" s="16" t="s">
        <v>1214</v>
      </c>
      <c r="N675" s="8" t="s">
        <v>30</v>
      </c>
      <c r="O675" s="8"/>
      <c r="P675" s="17"/>
      <c r="Q675" s="18">
        <v>45985</v>
      </c>
      <c r="R675" s="9">
        <v>19</v>
      </c>
      <c r="S675" s="8" t="s">
        <v>32</v>
      </c>
      <c r="T675" s="8" t="s">
        <v>620</v>
      </c>
      <c r="U675" s="8" t="s">
        <v>1707</v>
      </c>
      <c r="V675" s="8" t="s">
        <v>1186</v>
      </c>
      <c r="W675" s="19" t="s">
        <v>1215</v>
      </c>
    </row>
    <row r="676" spans="1:23" x14ac:dyDescent="0.25">
      <c r="A676" s="8" t="s">
        <v>1476</v>
      </c>
      <c r="B676" s="8" t="str">
        <f t="shared" si="10"/>
        <v>SGL2D2745985</v>
      </c>
      <c r="C676" s="9" t="s">
        <v>96</v>
      </c>
      <c r="D676" s="10" t="s">
        <v>1566</v>
      </c>
      <c r="E676" s="11" t="s">
        <v>1708</v>
      </c>
      <c r="F676" s="12">
        <v>45980</v>
      </c>
      <c r="G676" s="13" t="s">
        <v>1703</v>
      </c>
      <c r="H676" s="10" t="s">
        <v>27</v>
      </c>
      <c r="I676" s="14" t="s">
        <v>28</v>
      </c>
      <c r="J676" s="14" t="s">
        <v>29</v>
      </c>
      <c r="K676" s="15"/>
      <c r="L676" s="15"/>
      <c r="M676" s="16" t="s">
        <v>396</v>
      </c>
      <c r="N676" s="8" t="s">
        <v>30</v>
      </c>
      <c r="O676" s="8" t="s">
        <v>40</v>
      </c>
      <c r="P676" s="17" t="s">
        <v>86</v>
      </c>
      <c r="Q676" s="18">
        <v>45985</v>
      </c>
      <c r="R676" s="9">
        <v>5</v>
      </c>
      <c r="S676" s="8" t="s">
        <v>32</v>
      </c>
      <c r="T676" s="8" t="s">
        <v>1709</v>
      </c>
      <c r="U676" s="8" t="s">
        <v>1710</v>
      </c>
      <c r="V676" s="8" t="s">
        <v>1186</v>
      </c>
      <c r="W676" s="19" t="s">
        <v>1481</v>
      </c>
    </row>
    <row r="677" spans="1:23" x14ac:dyDescent="0.25">
      <c r="A677" s="8" t="s">
        <v>579</v>
      </c>
      <c r="B677" s="8" t="str">
        <f t="shared" si="10"/>
        <v>RHW0D7545985</v>
      </c>
      <c r="C677" s="9" t="s">
        <v>50</v>
      </c>
      <c r="D677" s="10">
        <v>57896</v>
      </c>
      <c r="E677" s="11" t="s">
        <v>1711</v>
      </c>
      <c r="F677" s="12">
        <v>45944</v>
      </c>
      <c r="G677" s="13" t="s">
        <v>364</v>
      </c>
      <c r="H677" s="10" t="s">
        <v>27</v>
      </c>
      <c r="I677" s="14" t="s">
        <v>28</v>
      </c>
      <c r="J677" s="14" t="s">
        <v>29</v>
      </c>
      <c r="K677" s="15"/>
      <c r="L677" s="15"/>
      <c r="M677" s="16" t="s">
        <v>396</v>
      </c>
      <c r="N677" s="8" t="s">
        <v>30</v>
      </c>
      <c r="O677" s="8" t="s">
        <v>388</v>
      </c>
      <c r="P677" s="17">
        <v>45987</v>
      </c>
      <c r="Q677" s="18">
        <v>45985</v>
      </c>
      <c r="R677" s="9">
        <v>41</v>
      </c>
      <c r="S677" s="8" t="s">
        <v>32</v>
      </c>
      <c r="T677" s="8" t="s">
        <v>1712</v>
      </c>
      <c r="U677" s="8" t="s">
        <v>574</v>
      </c>
      <c r="V677" s="8" t="s">
        <v>1186</v>
      </c>
      <c r="W677" s="19" t="s">
        <v>1481</v>
      </c>
    </row>
    <row r="678" spans="1:23" x14ac:dyDescent="0.25">
      <c r="A678" s="8" t="s">
        <v>1713</v>
      </c>
      <c r="B678" s="8" t="str">
        <f t="shared" si="10"/>
        <v>RNJ9D1845985</v>
      </c>
      <c r="C678" s="9" t="s">
        <v>72</v>
      </c>
      <c r="D678" s="10">
        <v>710155</v>
      </c>
      <c r="E678" s="11" t="s">
        <v>1714</v>
      </c>
      <c r="F678" s="12">
        <v>45978</v>
      </c>
      <c r="G678" s="13" t="s">
        <v>138</v>
      </c>
      <c r="H678" s="10" t="s">
        <v>27</v>
      </c>
      <c r="I678" s="14" t="s">
        <v>28</v>
      </c>
      <c r="J678" s="14" t="s">
        <v>29</v>
      </c>
      <c r="K678" s="15"/>
      <c r="L678" s="15"/>
      <c r="M678" s="16" t="s">
        <v>357</v>
      </c>
      <c r="N678" s="8" t="s">
        <v>30</v>
      </c>
      <c r="O678" s="8" t="s">
        <v>40</v>
      </c>
      <c r="P678" s="17">
        <v>45986</v>
      </c>
      <c r="Q678" s="18">
        <v>45985</v>
      </c>
      <c r="R678" s="9">
        <v>7</v>
      </c>
      <c r="S678" s="8" t="s">
        <v>32</v>
      </c>
      <c r="T678" s="8" t="s">
        <v>100</v>
      </c>
      <c r="U678" s="8" t="s">
        <v>1138</v>
      </c>
      <c r="V678" s="8" t="s">
        <v>1498</v>
      </c>
      <c r="W678" s="19" t="s">
        <v>1358</v>
      </c>
    </row>
    <row r="679" spans="1:23" x14ac:dyDescent="0.25">
      <c r="A679" s="8" t="s">
        <v>122</v>
      </c>
      <c r="B679" s="8" t="str">
        <f t="shared" si="10"/>
        <v>SDP9J0545985</v>
      </c>
      <c r="C679" s="9" t="s">
        <v>50</v>
      </c>
      <c r="D679" s="10">
        <v>49329</v>
      </c>
      <c r="E679" s="11" t="s">
        <v>1715</v>
      </c>
      <c r="F679" s="12">
        <v>45945</v>
      </c>
      <c r="G679" s="13" t="s">
        <v>149</v>
      </c>
      <c r="H679" s="10" t="s">
        <v>27</v>
      </c>
      <c r="I679" s="14" t="s">
        <v>28</v>
      </c>
      <c r="J679" s="14" t="s">
        <v>29</v>
      </c>
      <c r="K679" s="15"/>
      <c r="L679" s="15"/>
      <c r="M679" s="16" t="s">
        <v>855</v>
      </c>
      <c r="N679" s="8" t="s">
        <v>30</v>
      </c>
      <c r="O679" s="8" t="s">
        <v>388</v>
      </c>
      <c r="P679" s="17">
        <v>45986</v>
      </c>
      <c r="Q679" s="18">
        <v>45985</v>
      </c>
      <c r="R679" s="9">
        <v>40</v>
      </c>
      <c r="S679" s="8" t="s">
        <v>32</v>
      </c>
      <c r="T679" s="8" t="s">
        <v>1716</v>
      </c>
      <c r="U679" s="8" t="s">
        <v>125</v>
      </c>
      <c r="V679" s="8" t="s">
        <v>320</v>
      </c>
      <c r="W679" s="19" t="s">
        <v>1667</v>
      </c>
    </row>
    <row r="680" spans="1:23" x14ac:dyDescent="0.25">
      <c r="A680" s="8" t="s">
        <v>1717</v>
      </c>
      <c r="B680" s="8" t="str">
        <f t="shared" si="10"/>
        <v>SDU2D2145985</v>
      </c>
      <c r="C680" s="9" t="s">
        <v>50</v>
      </c>
      <c r="D680" s="10" t="s">
        <v>1566</v>
      </c>
      <c r="E680" s="11" t="s">
        <v>1718</v>
      </c>
      <c r="F680" s="12"/>
      <c r="G680" s="13" t="s">
        <v>226</v>
      </c>
      <c r="H680" s="10" t="s">
        <v>27</v>
      </c>
      <c r="I680" s="14" t="s">
        <v>28</v>
      </c>
      <c r="J680" s="14" t="s">
        <v>29</v>
      </c>
      <c r="K680" s="15"/>
      <c r="L680" s="15"/>
      <c r="M680" s="16" t="s">
        <v>186</v>
      </c>
      <c r="N680" s="8" t="s">
        <v>30</v>
      </c>
      <c r="O680" s="8" t="s">
        <v>40</v>
      </c>
      <c r="P680" s="17">
        <v>45985</v>
      </c>
      <c r="Q680" s="18">
        <v>45985</v>
      </c>
      <c r="R680" s="9">
        <v>45985</v>
      </c>
      <c r="S680" s="8" t="s">
        <v>32</v>
      </c>
      <c r="T680" s="8" t="s">
        <v>1719</v>
      </c>
      <c r="U680" s="8" t="s">
        <v>188</v>
      </c>
      <c r="V680" s="8" t="s">
        <v>1498</v>
      </c>
      <c r="W680" s="19" t="s">
        <v>1324</v>
      </c>
    </row>
    <row r="681" spans="1:23" x14ac:dyDescent="0.25">
      <c r="A681" s="8" t="s">
        <v>1720</v>
      </c>
      <c r="B681" s="8" t="str">
        <f t="shared" si="10"/>
        <v>UDD7E60 45985</v>
      </c>
      <c r="C681" s="9" t="s">
        <v>37</v>
      </c>
      <c r="D681" s="10"/>
      <c r="E681" s="11" t="s">
        <v>1721</v>
      </c>
      <c r="F681" s="12">
        <v>45985</v>
      </c>
      <c r="G681" s="13" t="s">
        <v>872</v>
      </c>
      <c r="H681" s="10" t="s">
        <v>27</v>
      </c>
      <c r="I681" s="14" t="s">
        <v>28</v>
      </c>
      <c r="J681" s="14" t="s">
        <v>29</v>
      </c>
      <c r="K681" s="15"/>
      <c r="L681" s="15"/>
      <c r="M681" s="16" t="s">
        <v>896</v>
      </c>
      <c r="N681" s="8" t="s">
        <v>30</v>
      </c>
      <c r="O681" s="8" t="s">
        <v>40</v>
      </c>
      <c r="P681" s="17">
        <v>45985</v>
      </c>
      <c r="Q681" s="18">
        <v>45985</v>
      </c>
      <c r="R681" s="9"/>
      <c r="S681" s="8" t="s">
        <v>153</v>
      </c>
      <c r="T681" s="8" t="s">
        <v>1722</v>
      </c>
      <c r="U681" s="8" t="s">
        <v>1450</v>
      </c>
      <c r="V681" s="8" t="s">
        <v>1498</v>
      </c>
      <c r="W681" s="19" t="s">
        <v>1723</v>
      </c>
    </row>
    <row r="682" spans="1:23" x14ac:dyDescent="0.25">
      <c r="A682" s="8" t="s">
        <v>1724</v>
      </c>
      <c r="B682" s="8" t="str">
        <f t="shared" si="10"/>
        <v>RVD8H6945985</v>
      </c>
      <c r="C682" s="9" t="s">
        <v>37</v>
      </c>
      <c r="D682" s="10">
        <v>24352</v>
      </c>
      <c r="E682" s="11" t="s">
        <v>1725</v>
      </c>
      <c r="F682" s="12">
        <v>45943</v>
      </c>
      <c r="G682" s="13" t="s">
        <v>658</v>
      </c>
      <c r="H682" s="10" t="s">
        <v>52</v>
      </c>
      <c r="I682" s="14" t="s">
        <v>28</v>
      </c>
      <c r="J682" s="14" t="s">
        <v>29</v>
      </c>
      <c r="K682" s="15">
        <v>3678</v>
      </c>
      <c r="L682" s="15">
        <v>3678</v>
      </c>
      <c r="M682" s="16" t="s">
        <v>528</v>
      </c>
      <c r="N682" s="8" t="s">
        <v>30</v>
      </c>
      <c r="O682" s="8" t="s">
        <v>52</v>
      </c>
      <c r="P682" s="17">
        <v>45986</v>
      </c>
      <c r="Q682" s="18">
        <v>45985</v>
      </c>
      <c r="R682" s="9">
        <v>42</v>
      </c>
      <c r="S682" s="8" t="s">
        <v>32</v>
      </c>
      <c r="T682" s="8" t="s">
        <v>1726</v>
      </c>
      <c r="U682" s="8" t="s">
        <v>1298</v>
      </c>
      <c r="V682" s="8" t="s">
        <v>320</v>
      </c>
      <c r="W682" s="19" t="s">
        <v>1299</v>
      </c>
    </row>
    <row r="683" spans="1:23" x14ac:dyDescent="0.25">
      <c r="A683" s="8" t="s">
        <v>1727</v>
      </c>
      <c r="B683" s="8" t="str">
        <f t="shared" si="10"/>
        <v>SGL2C0845985</v>
      </c>
      <c r="C683" s="9" t="s">
        <v>96</v>
      </c>
      <c r="D683" s="10" t="s">
        <v>1566</v>
      </c>
      <c r="E683" s="11" t="s">
        <v>1728</v>
      </c>
      <c r="F683" s="12">
        <v>45985</v>
      </c>
      <c r="G683" s="13" t="s">
        <v>1703</v>
      </c>
      <c r="H683" s="10" t="s">
        <v>27</v>
      </c>
      <c r="I683" s="14" t="s">
        <v>28</v>
      </c>
      <c r="J683" s="14" t="s">
        <v>29</v>
      </c>
      <c r="K683" s="15"/>
      <c r="L683" s="15"/>
      <c r="M683" s="16" t="s">
        <v>420</v>
      </c>
      <c r="N683" s="8" t="s">
        <v>30</v>
      </c>
      <c r="O683" s="8" t="s">
        <v>40</v>
      </c>
      <c r="P683" s="17" t="s">
        <v>86</v>
      </c>
      <c r="Q683" s="18">
        <v>45985</v>
      </c>
      <c r="R683" s="9">
        <v>0</v>
      </c>
      <c r="S683" s="8" t="s">
        <v>153</v>
      </c>
      <c r="T683" s="8" t="s">
        <v>1729</v>
      </c>
      <c r="U683" s="8" t="s">
        <v>982</v>
      </c>
      <c r="V683" s="8" t="s">
        <v>1498</v>
      </c>
      <c r="W683" s="19" t="s">
        <v>1225</v>
      </c>
    </row>
    <row r="684" spans="1:23" x14ac:dyDescent="0.25">
      <c r="A684" s="8" t="s">
        <v>1730</v>
      </c>
      <c r="B684" s="8" t="str">
        <f t="shared" si="10"/>
        <v>SGL2B8445985</v>
      </c>
      <c r="C684" s="9" t="s">
        <v>96</v>
      </c>
      <c r="D684" s="10" t="s">
        <v>1566</v>
      </c>
      <c r="E684" s="11" t="s">
        <v>1728</v>
      </c>
      <c r="F684" s="12">
        <v>45985</v>
      </c>
      <c r="G684" s="13" t="s">
        <v>1703</v>
      </c>
      <c r="H684" s="10" t="s">
        <v>27</v>
      </c>
      <c r="I684" s="14" t="s">
        <v>28</v>
      </c>
      <c r="J684" s="14" t="s">
        <v>29</v>
      </c>
      <c r="K684" s="15"/>
      <c r="L684" s="15"/>
      <c r="M684" s="16" t="s">
        <v>420</v>
      </c>
      <c r="N684" s="8" t="s">
        <v>30</v>
      </c>
      <c r="O684" s="8" t="s">
        <v>40</v>
      </c>
      <c r="P684" s="17" t="s">
        <v>86</v>
      </c>
      <c r="Q684" s="18">
        <v>45985</v>
      </c>
      <c r="R684" s="9">
        <v>0</v>
      </c>
      <c r="S684" s="8" t="s">
        <v>153</v>
      </c>
      <c r="T684" s="8" t="s">
        <v>1729</v>
      </c>
      <c r="U684" s="8" t="s">
        <v>982</v>
      </c>
      <c r="V684" s="8" t="s">
        <v>1498</v>
      </c>
      <c r="W684" s="19" t="s">
        <v>1225</v>
      </c>
    </row>
    <row r="685" spans="1:23" x14ac:dyDescent="0.25">
      <c r="A685" s="8" t="s">
        <v>1400</v>
      </c>
      <c r="B685" s="8" t="str">
        <f t="shared" si="10"/>
        <v>JCI8F9345985</v>
      </c>
      <c r="C685" s="9" t="s">
        <v>24</v>
      </c>
      <c r="D685" s="10"/>
      <c r="E685" s="11" t="s">
        <v>1731</v>
      </c>
      <c r="F685" s="12">
        <v>45982</v>
      </c>
      <c r="G685" s="13" t="s">
        <v>138</v>
      </c>
      <c r="H685" s="10" t="s">
        <v>27</v>
      </c>
      <c r="I685" s="14" t="s">
        <v>28</v>
      </c>
      <c r="J685" s="14" t="s">
        <v>139</v>
      </c>
      <c r="K685" s="15"/>
      <c r="L685" s="15"/>
      <c r="M685" s="16" t="s">
        <v>343</v>
      </c>
      <c r="N685" s="8" t="s">
        <v>30</v>
      </c>
      <c r="O685" s="8" t="s">
        <v>40</v>
      </c>
      <c r="P685" s="17">
        <v>45987</v>
      </c>
      <c r="Q685" s="18">
        <v>45985</v>
      </c>
      <c r="R685" s="9">
        <v>3</v>
      </c>
      <c r="S685" s="8" t="s">
        <v>32</v>
      </c>
      <c r="T685" s="8" t="s">
        <v>98</v>
      </c>
      <c r="U685" s="8" t="s">
        <v>1489</v>
      </c>
      <c r="V685" s="8" t="s">
        <v>1186</v>
      </c>
      <c r="W685" s="19" t="s">
        <v>1238</v>
      </c>
    </row>
    <row r="686" spans="1:23" x14ac:dyDescent="0.25">
      <c r="A686" s="8" t="s">
        <v>561</v>
      </c>
      <c r="B686" s="8" t="str">
        <f t="shared" si="10"/>
        <v>RNB5I3345986</v>
      </c>
      <c r="C686" s="9" t="s">
        <v>44</v>
      </c>
      <c r="D686" s="10" t="s">
        <v>1566</v>
      </c>
      <c r="E686" s="11" t="s">
        <v>1732</v>
      </c>
      <c r="F686" s="12">
        <v>45982</v>
      </c>
      <c r="G686" s="13" t="s">
        <v>123</v>
      </c>
      <c r="H686" s="10" t="s">
        <v>27</v>
      </c>
      <c r="I686" s="14" t="s">
        <v>28</v>
      </c>
      <c r="J686" s="14" t="s">
        <v>139</v>
      </c>
      <c r="K686" s="15"/>
      <c r="L686" s="15"/>
      <c r="M686" s="16" t="s">
        <v>374</v>
      </c>
      <c r="N686" s="8" t="s">
        <v>30</v>
      </c>
      <c r="O686" s="8" t="s">
        <v>40</v>
      </c>
      <c r="P686" s="17" t="s">
        <v>86</v>
      </c>
      <c r="Q686" s="18">
        <v>45986</v>
      </c>
      <c r="R686" s="9">
        <v>4</v>
      </c>
      <c r="S686" s="8" t="s">
        <v>32</v>
      </c>
      <c r="T686" s="8" t="s">
        <v>392</v>
      </c>
      <c r="U686" s="8" t="s">
        <v>393</v>
      </c>
      <c r="V686" s="8" t="s">
        <v>1186</v>
      </c>
      <c r="W686" s="19" t="s">
        <v>1251</v>
      </c>
    </row>
    <row r="687" spans="1:23" x14ac:dyDescent="0.25">
      <c r="A687" s="8" t="s">
        <v>827</v>
      </c>
      <c r="B687" s="8" t="str">
        <f t="shared" si="10"/>
        <v>RNJ9D5045986</v>
      </c>
      <c r="C687" s="9" t="s">
        <v>72</v>
      </c>
      <c r="D687" s="10" t="s">
        <v>1566</v>
      </c>
      <c r="E687" s="11" t="s">
        <v>595</v>
      </c>
      <c r="F687" s="12">
        <v>45982</v>
      </c>
      <c r="G687" s="13" t="s">
        <v>123</v>
      </c>
      <c r="H687" s="10" t="s">
        <v>27</v>
      </c>
      <c r="I687" s="14" t="s">
        <v>28</v>
      </c>
      <c r="J687" s="14" t="s">
        <v>139</v>
      </c>
      <c r="K687" s="15"/>
      <c r="L687" s="15"/>
      <c r="M687" s="16" t="s">
        <v>374</v>
      </c>
      <c r="N687" s="8" t="s">
        <v>30</v>
      </c>
      <c r="O687" s="8" t="s">
        <v>40</v>
      </c>
      <c r="P687" s="17" t="s">
        <v>86</v>
      </c>
      <c r="Q687" s="18">
        <v>45986</v>
      </c>
      <c r="R687" s="9">
        <v>4</v>
      </c>
      <c r="S687" s="8" t="s">
        <v>32</v>
      </c>
      <c r="T687" s="8" t="s">
        <v>392</v>
      </c>
      <c r="U687" s="8" t="s">
        <v>393</v>
      </c>
      <c r="V687" s="8" t="s">
        <v>1186</v>
      </c>
      <c r="W687" s="19" t="s">
        <v>1251</v>
      </c>
    </row>
    <row r="688" spans="1:23" x14ac:dyDescent="0.25">
      <c r="A688" s="8" t="s">
        <v>1733</v>
      </c>
      <c r="B688" s="8" t="str">
        <f t="shared" si="10"/>
        <v>FGL7F7445985</v>
      </c>
      <c r="C688" s="9" t="s">
        <v>224</v>
      </c>
      <c r="D688" s="10">
        <v>102580</v>
      </c>
      <c r="E688" s="11" t="s">
        <v>1734</v>
      </c>
      <c r="F688" s="12">
        <v>45974</v>
      </c>
      <c r="G688" s="13" t="s">
        <v>138</v>
      </c>
      <c r="H688" s="10" t="s">
        <v>27</v>
      </c>
      <c r="I688" s="14" t="s">
        <v>28</v>
      </c>
      <c r="J688" s="14" t="s">
        <v>139</v>
      </c>
      <c r="K688" s="15"/>
      <c r="L688" s="15"/>
      <c r="M688" s="16" t="s">
        <v>343</v>
      </c>
      <c r="N688" s="8" t="s">
        <v>30</v>
      </c>
      <c r="O688" s="8" t="s">
        <v>40</v>
      </c>
      <c r="P688" s="17" t="s">
        <v>86</v>
      </c>
      <c r="Q688" s="18">
        <v>45985</v>
      </c>
      <c r="R688" s="9">
        <v>11</v>
      </c>
      <c r="S688" s="8" t="s">
        <v>32</v>
      </c>
      <c r="T688" s="8" t="s">
        <v>1048</v>
      </c>
      <c r="U688" s="8" t="s">
        <v>59</v>
      </c>
      <c r="V688" s="8" t="s">
        <v>1186</v>
      </c>
      <c r="W688" s="19" t="s">
        <v>1164</v>
      </c>
    </row>
    <row r="689" spans="1:23" x14ac:dyDescent="0.25">
      <c r="A689" s="8" t="s">
        <v>1315</v>
      </c>
      <c r="B689" s="8" t="str">
        <f t="shared" si="10"/>
        <v>TAO3J3545985</v>
      </c>
      <c r="C689" s="9" t="s">
        <v>626</v>
      </c>
      <c r="D689" s="10" t="s">
        <v>1566</v>
      </c>
      <c r="E689" s="11" t="s">
        <v>1735</v>
      </c>
      <c r="F689" s="12">
        <v>45985</v>
      </c>
      <c r="G689" s="13" t="s">
        <v>138</v>
      </c>
      <c r="H689" s="10" t="s">
        <v>27</v>
      </c>
      <c r="I689" s="14" t="s">
        <v>28</v>
      </c>
      <c r="J689" s="14" t="s">
        <v>29</v>
      </c>
      <c r="K689" s="15"/>
      <c r="L689" s="15"/>
      <c r="M689" s="16" t="s">
        <v>343</v>
      </c>
      <c r="N689" s="8" t="s">
        <v>30</v>
      </c>
      <c r="O689" s="8" t="s">
        <v>40</v>
      </c>
      <c r="P689" s="17" t="s">
        <v>86</v>
      </c>
      <c r="Q689" s="18">
        <v>45985</v>
      </c>
      <c r="R689" s="9">
        <v>1</v>
      </c>
      <c r="S689" s="8" t="s">
        <v>153</v>
      </c>
      <c r="T689" s="8" t="s">
        <v>98</v>
      </c>
      <c r="U689" s="8" t="s">
        <v>59</v>
      </c>
      <c r="V689" s="8" t="s">
        <v>1498</v>
      </c>
      <c r="W689" s="19" t="s">
        <v>1164</v>
      </c>
    </row>
    <row r="690" spans="1:23" x14ac:dyDescent="0.25">
      <c r="A690" s="8" t="s">
        <v>824</v>
      </c>
      <c r="B690" s="8" t="str">
        <f t="shared" si="10"/>
        <v>FKH3F94 45985</v>
      </c>
      <c r="C690" s="9" t="s">
        <v>1408</v>
      </c>
      <c r="D690" s="10" t="s">
        <v>1566</v>
      </c>
      <c r="E690" s="11" t="s">
        <v>1736</v>
      </c>
      <c r="F690" s="12">
        <v>45985</v>
      </c>
      <c r="G690" s="13" t="s">
        <v>138</v>
      </c>
      <c r="H690" s="10" t="s">
        <v>27</v>
      </c>
      <c r="I690" s="14" t="s">
        <v>28</v>
      </c>
      <c r="J690" s="14" t="s">
        <v>29</v>
      </c>
      <c r="K690" s="15"/>
      <c r="L690" s="15"/>
      <c r="M690" s="16" t="e">
        <v>#N/A</v>
      </c>
      <c r="N690" s="8" t="s">
        <v>30</v>
      </c>
      <c r="O690" s="8" t="s">
        <v>40</v>
      </c>
      <c r="P690" s="17" t="s">
        <v>86</v>
      </c>
      <c r="Q690" s="18">
        <v>45985</v>
      </c>
      <c r="R690" s="9">
        <v>1</v>
      </c>
      <c r="S690" s="8" t="s">
        <v>153</v>
      </c>
      <c r="T690" s="8" t="s">
        <v>98</v>
      </c>
      <c r="U690" s="8" t="s">
        <v>59</v>
      </c>
      <c r="V690" s="8" t="s">
        <v>1498</v>
      </c>
      <c r="W690" s="19" t="s">
        <v>1238</v>
      </c>
    </row>
    <row r="691" spans="1:23" x14ac:dyDescent="0.25">
      <c r="A691" s="8" t="s">
        <v>1737</v>
      </c>
      <c r="B691" s="8" t="str">
        <f t="shared" si="10"/>
        <v>RNB5I5845985</v>
      </c>
      <c r="C691" s="9" t="s">
        <v>72</v>
      </c>
      <c r="D691" s="10" t="s">
        <v>1566</v>
      </c>
      <c r="E691" s="11" t="s">
        <v>1738</v>
      </c>
      <c r="F691" s="12">
        <v>45985</v>
      </c>
      <c r="G691" s="13" t="s">
        <v>138</v>
      </c>
      <c r="H691" s="10" t="s">
        <v>27</v>
      </c>
      <c r="I691" s="14" t="s">
        <v>28</v>
      </c>
      <c r="J691" s="14" t="s">
        <v>29</v>
      </c>
      <c r="K691" s="15"/>
      <c r="L691" s="15"/>
      <c r="M691" s="16" t="s">
        <v>233</v>
      </c>
      <c r="N691" s="8" t="s">
        <v>30</v>
      </c>
      <c r="O691" s="8" t="s">
        <v>40</v>
      </c>
      <c r="P691" s="17" t="s">
        <v>86</v>
      </c>
      <c r="Q691" s="18">
        <v>45985</v>
      </c>
      <c r="R691" s="9">
        <v>1</v>
      </c>
      <c r="S691" s="8" t="s">
        <v>153</v>
      </c>
      <c r="T691" s="8" t="s">
        <v>98</v>
      </c>
      <c r="U691" s="8" t="s">
        <v>1329</v>
      </c>
      <c r="V691" s="8" t="s">
        <v>1498</v>
      </c>
      <c r="W691" s="19" t="s">
        <v>1290</v>
      </c>
    </row>
    <row r="692" spans="1:23" x14ac:dyDescent="0.25">
      <c r="A692" s="8" t="s">
        <v>1739</v>
      </c>
      <c r="B692" s="8" t="str">
        <f t="shared" si="10"/>
        <v>SGI8H7045985</v>
      </c>
      <c r="C692" s="9" t="s">
        <v>96</v>
      </c>
      <c r="D692" s="10" t="s">
        <v>1566</v>
      </c>
      <c r="E692" s="11" t="s">
        <v>419</v>
      </c>
      <c r="F692" s="12">
        <v>45985</v>
      </c>
      <c r="G692" s="13" t="s">
        <v>1703</v>
      </c>
      <c r="H692" s="10" t="s">
        <v>27</v>
      </c>
      <c r="I692" s="14" t="s">
        <v>28</v>
      </c>
      <c r="J692" s="14" t="s">
        <v>29</v>
      </c>
      <c r="K692" s="15"/>
      <c r="L692" s="15"/>
      <c r="M692" s="16" t="s">
        <v>233</v>
      </c>
      <c r="N692" s="8" t="s">
        <v>30</v>
      </c>
      <c r="O692" s="8" t="s">
        <v>40</v>
      </c>
      <c r="P692" s="17" t="s">
        <v>86</v>
      </c>
      <c r="Q692" s="18">
        <v>45985</v>
      </c>
      <c r="R692" s="9">
        <v>1</v>
      </c>
      <c r="S692" s="8" t="s">
        <v>153</v>
      </c>
      <c r="T692" s="8" t="s">
        <v>98</v>
      </c>
      <c r="U692" s="8" t="s">
        <v>1329</v>
      </c>
      <c r="V692" s="8" t="s">
        <v>1498</v>
      </c>
      <c r="W692" s="19" t="s">
        <v>1290</v>
      </c>
    </row>
    <row r="693" spans="1:23" x14ac:dyDescent="0.25">
      <c r="A693" s="8" t="s">
        <v>1740</v>
      </c>
      <c r="B693" s="8" t="str">
        <f t="shared" si="10"/>
        <v>SGH8C3445986</v>
      </c>
      <c r="C693" s="9" t="s">
        <v>96</v>
      </c>
      <c r="D693" s="10">
        <v>50630</v>
      </c>
      <c r="E693" s="11" t="s">
        <v>595</v>
      </c>
      <c r="F693" s="12">
        <v>45938</v>
      </c>
      <c r="G693" s="13" t="s">
        <v>1703</v>
      </c>
      <c r="H693" s="10" t="s">
        <v>27</v>
      </c>
      <c r="I693" s="14" t="s">
        <v>28</v>
      </c>
      <c r="J693" s="14" t="s">
        <v>29</v>
      </c>
      <c r="K693" s="15"/>
      <c r="L693" s="15"/>
      <c r="M693" s="16" t="s">
        <v>354</v>
      </c>
      <c r="N693" s="8" t="s">
        <v>30</v>
      </c>
      <c r="O693" s="8" t="s">
        <v>40</v>
      </c>
      <c r="P693" s="17" t="s">
        <v>86</v>
      </c>
      <c r="Q693" s="18">
        <v>45986</v>
      </c>
      <c r="R693" s="9">
        <v>48</v>
      </c>
      <c r="S693" s="8" t="s">
        <v>32</v>
      </c>
      <c r="T693" s="8" t="s">
        <v>66</v>
      </c>
      <c r="U693" s="8" t="s">
        <v>1100</v>
      </c>
      <c r="V693" s="8" t="s">
        <v>320</v>
      </c>
      <c r="W693" s="19" t="s">
        <v>1222</v>
      </c>
    </row>
    <row r="694" spans="1:23" x14ac:dyDescent="0.25">
      <c r="A694" s="8" t="s">
        <v>1151</v>
      </c>
      <c r="B694" s="8" t="str">
        <f t="shared" si="10"/>
        <v>RTP4B9045986</v>
      </c>
      <c r="C694" s="9" t="s">
        <v>37</v>
      </c>
      <c r="D694" s="10"/>
      <c r="E694" s="11" t="s">
        <v>1741</v>
      </c>
      <c r="F694" s="12">
        <v>45985</v>
      </c>
      <c r="G694" s="13" t="s">
        <v>872</v>
      </c>
      <c r="H694" s="10" t="s">
        <v>27</v>
      </c>
      <c r="I694" s="14" t="s">
        <v>28</v>
      </c>
      <c r="J694" s="14" t="s">
        <v>139</v>
      </c>
      <c r="K694" s="15"/>
      <c r="L694" s="15"/>
      <c r="M694" s="16" t="s">
        <v>354</v>
      </c>
      <c r="N694" s="8" t="s">
        <v>30</v>
      </c>
      <c r="O694" s="8" t="s">
        <v>40</v>
      </c>
      <c r="P694" s="17" t="s">
        <v>86</v>
      </c>
      <c r="Q694" s="18">
        <v>45986</v>
      </c>
      <c r="R694" s="9">
        <v>1</v>
      </c>
      <c r="S694" s="8" t="s">
        <v>153</v>
      </c>
      <c r="T694" s="8" t="s">
        <v>66</v>
      </c>
      <c r="U694" s="8" t="s">
        <v>279</v>
      </c>
      <c r="V694" s="8" t="s">
        <v>1498</v>
      </c>
      <c r="W694" s="19" t="s">
        <v>1222</v>
      </c>
    </row>
    <row r="695" spans="1:23" x14ac:dyDescent="0.25">
      <c r="A695" s="8" t="s">
        <v>1742</v>
      </c>
      <c r="B695" s="8" t="str">
        <f t="shared" si="10"/>
        <v>SGH8C4445986</v>
      </c>
      <c r="C695" s="9" t="s">
        <v>96</v>
      </c>
      <c r="D695" s="10">
        <v>39653</v>
      </c>
      <c r="E695" s="11" t="s">
        <v>1743</v>
      </c>
      <c r="F695" s="12">
        <v>45985</v>
      </c>
      <c r="G695" s="13" t="s">
        <v>1703</v>
      </c>
      <c r="H695" s="10" t="s">
        <v>27</v>
      </c>
      <c r="I695" s="14" t="s">
        <v>28</v>
      </c>
      <c r="J695" s="14" t="s">
        <v>139</v>
      </c>
      <c r="K695" s="15"/>
      <c r="L695" s="15"/>
      <c r="M695" s="16" t="s">
        <v>497</v>
      </c>
      <c r="N695" s="8" t="s">
        <v>30</v>
      </c>
      <c r="O695" s="8" t="s">
        <v>40</v>
      </c>
      <c r="P695" s="17">
        <v>45992</v>
      </c>
      <c r="Q695" s="18">
        <v>45986</v>
      </c>
      <c r="R695" s="9">
        <v>1</v>
      </c>
      <c r="S695" s="8" t="s">
        <v>153</v>
      </c>
      <c r="T695" s="8" t="s">
        <v>349</v>
      </c>
      <c r="U695" s="8" t="s">
        <v>1744</v>
      </c>
      <c r="V695" s="8" t="s">
        <v>1498</v>
      </c>
      <c r="W695" s="19" t="s">
        <v>1234</v>
      </c>
    </row>
    <row r="696" spans="1:23" x14ac:dyDescent="0.25">
      <c r="A696" s="8" t="s">
        <v>1056</v>
      </c>
      <c r="B696" s="8" t="str">
        <f t="shared" si="10"/>
        <v>SGI9A0645986</v>
      </c>
      <c r="C696" s="9" t="s">
        <v>96</v>
      </c>
      <c r="D696" s="10" t="s">
        <v>1566</v>
      </c>
      <c r="E696" s="11" t="s">
        <v>1745</v>
      </c>
      <c r="F696" s="12">
        <v>45984</v>
      </c>
      <c r="G696" s="13" t="s">
        <v>1703</v>
      </c>
      <c r="H696" s="10" t="s">
        <v>27</v>
      </c>
      <c r="I696" s="14" t="s">
        <v>28</v>
      </c>
      <c r="J696" s="14" t="s">
        <v>29</v>
      </c>
      <c r="K696" s="15"/>
      <c r="L696" s="15"/>
      <c r="M696" s="16" t="s">
        <v>140</v>
      </c>
      <c r="N696" s="8" t="s">
        <v>30</v>
      </c>
      <c r="O696" s="8" t="s">
        <v>40</v>
      </c>
      <c r="P696" s="17">
        <v>45985</v>
      </c>
      <c r="Q696" s="18">
        <v>45986</v>
      </c>
      <c r="R696" s="9">
        <v>1</v>
      </c>
      <c r="S696" s="8" t="s">
        <v>153</v>
      </c>
      <c r="T696" s="8" t="s">
        <v>98</v>
      </c>
      <c r="U696" s="8" t="s">
        <v>1489</v>
      </c>
      <c r="V696" s="8" t="s">
        <v>1498</v>
      </c>
      <c r="W696" s="19" t="s">
        <v>1238</v>
      </c>
    </row>
    <row r="697" spans="1:23" x14ac:dyDescent="0.25">
      <c r="A697" s="8" t="s">
        <v>1746</v>
      </c>
      <c r="B697" s="8" t="str">
        <f t="shared" si="10"/>
        <v>SFW0A3245986</v>
      </c>
      <c r="C697" s="9" t="s">
        <v>96</v>
      </c>
      <c r="D697" s="10">
        <v>33083</v>
      </c>
      <c r="E697" s="11" t="s">
        <v>1747</v>
      </c>
      <c r="F697" s="12">
        <v>45971</v>
      </c>
      <c r="G697" s="13" t="s">
        <v>1703</v>
      </c>
      <c r="H697" s="10" t="s">
        <v>27</v>
      </c>
      <c r="I697" s="14" t="s">
        <v>28</v>
      </c>
      <c r="J697" s="14" t="s">
        <v>29</v>
      </c>
      <c r="K697" s="15"/>
      <c r="L697" s="15"/>
      <c r="M697" s="16" t="s">
        <v>396</v>
      </c>
      <c r="N697" s="8" t="s">
        <v>30</v>
      </c>
      <c r="O697" s="8" t="s">
        <v>40</v>
      </c>
      <c r="P697" s="17">
        <v>45987</v>
      </c>
      <c r="Q697" s="18">
        <v>45986</v>
      </c>
      <c r="R697" s="9">
        <v>15</v>
      </c>
      <c r="S697" s="8" t="s">
        <v>32</v>
      </c>
      <c r="T697" s="8" t="s">
        <v>1748</v>
      </c>
      <c r="U697" s="8" t="s">
        <v>1749</v>
      </c>
      <c r="V697" s="8" t="s">
        <v>1498</v>
      </c>
      <c r="W697" s="19" t="s">
        <v>1481</v>
      </c>
    </row>
    <row r="698" spans="1:23" x14ac:dyDescent="0.25">
      <c r="A698" s="8" t="s">
        <v>1750</v>
      </c>
      <c r="B698" s="8" t="str">
        <f t="shared" si="10"/>
        <v>SXA5C7845986</v>
      </c>
      <c r="C698" s="9" t="s">
        <v>718</v>
      </c>
      <c r="D698" s="10" t="s">
        <v>1566</v>
      </c>
      <c r="E698" s="11" t="s">
        <v>236</v>
      </c>
      <c r="F698" s="12">
        <v>45986</v>
      </c>
      <c r="G698" s="13" t="s">
        <v>123</v>
      </c>
      <c r="H698" s="10" t="s">
        <v>27</v>
      </c>
      <c r="I698" s="14" t="s">
        <v>176</v>
      </c>
      <c r="J698" s="14" t="s">
        <v>29</v>
      </c>
      <c r="K698" s="15"/>
      <c r="L698" s="15"/>
      <c r="M698" s="16" t="s">
        <v>374</v>
      </c>
      <c r="N698" s="8" t="s">
        <v>30</v>
      </c>
      <c r="O698" s="8" t="s">
        <v>40</v>
      </c>
      <c r="P698" s="17">
        <v>45986</v>
      </c>
      <c r="Q698" s="18">
        <v>45986</v>
      </c>
      <c r="R698" s="9">
        <v>0</v>
      </c>
      <c r="S698" s="8" t="s">
        <v>153</v>
      </c>
      <c r="T698" s="8" t="s">
        <v>392</v>
      </c>
      <c r="U698" s="8" t="s">
        <v>393</v>
      </c>
      <c r="V698" s="8" t="s">
        <v>1498</v>
      </c>
      <c r="W698" s="19" t="s">
        <v>1251</v>
      </c>
    </row>
    <row r="699" spans="1:23" x14ac:dyDescent="0.25">
      <c r="A699" s="8" t="s">
        <v>1751</v>
      </c>
      <c r="B699" s="8" t="str">
        <f t="shared" si="10"/>
        <v>SGL2D4045986</v>
      </c>
      <c r="C699" s="9" t="s">
        <v>1752</v>
      </c>
      <c r="D699" s="10" t="s">
        <v>1566</v>
      </c>
      <c r="E699" s="11" t="s">
        <v>1508</v>
      </c>
      <c r="F699" s="12">
        <v>45986</v>
      </c>
      <c r="G699" s="13" t="s">
        <v>1703</v>
      </c>
      <c r="H699" s="10" t="s">
        <v>27</v>
      </c>
      <c r="I699" s="14" t="s">
        <v>176</v>
      </c>
      <c r="J699" s="14" t="s">
        <v>29</v>
      </c>
      <c r="K699" s="15"/>
      <c r="L699" s="15"/>
      <c r="M699" s="16" t="s">
        <v>752</v>
      </c>
      <c r="N699" s="8" t="s">
        <v>287</v>
      </c>
      <c r="O699" s="8" t="s">
        <v>40</v>
      </c>
      <c r="P699" s="17">
        <v>45986</v>
      </c>
      <c r="Q699" s="18">
        <v>45986</v>
      </c>
      <c r="R699" s="9">
        <v>2</v>
      </c>
      <c r="S699" s="8" t="s">
        <v>153</v>
      </c>
      <c r="T699" s="8" t="s">
        <v>98</v>
      </c>
      <c r="U699" s="8" t="s">
        <v>831</v>
      </c>
      <c r="V699" s="8" t="s">
        <v>1498</v>
      </c>
      <c r="W699" s="19" t="s">
        <v>1208</v>
      </c>
    </row>
    <row r="700" spans="1:23" x14ac:dyDescent="0.25">
      <c r="A700" s="8" t="s">
        <v>1753</v>
      </c>
      <c r="B700" s="8" t="str">
        <f t="shared" si="10"/>
        <v>TLN2J8745986</v>
      </c>
      <c r="C700" s="9" t="s">
        <v>1408</v>
      </c>
      <c r="D700" s="10" t="s">
        <v>1566</v>
      </c>
      <c r="E700" s="11" t="s">
        <v>236</v>
      </c>
      <c r="F700" s="12">
        <v>45985</v>
      </c>
      <c r="G700" s="13" t="s">
        <v>226</v>
      </c>
      <c r="H700" s="10" t="s">
        <v>27</v>
      </c>
      <c r="I700" s="14" t="s">
        <v>176</v>
      </c>
      <c r="J700" s="14" t="s">
        <v>29</v>
      </c>
      <c r="K700" s="15"/>
      <c r="L700" s="15"/>
      <c r="M700" s="16" t="e">
        <v>#N/A</v>
      </c>
      <c r="N700" s="8" t="s">
        <v>30</v>
      </c>
      <c r="O700" s="8" t="s">
        <v>40</v>
      </c>
      <c r="P700" s="17">
        <v>45986</v>
      </c>
      <c r="Q700" s="18">
        <v>45986</v>
      </c>
      <c r="R700" s="9">
        <v>1</v>
      </c>
      <c r="S700" s="8" t="s">
        <v>153</v>
      </c>
      <c r="T700" s="8" t="s">
        <v>1754</v>
      </c>
      <c r="U700" s="8" t="s">
        <v>1755</v>
      </c>
      <c r="V700" s="8" t="s">
        <v>1186</v>
      </c>
      <c r="W700" s="19" t="s">
        <v>1756</v>
      </c>
    </row>
    <row r="701" spans="1:23" x14ac:dyDescent="0.25">
      <c r="A701" s="8" t="s">
        <v>1757</v>
      </c>
      <c r="B701" s="8" t="str">
        <f t="shared" si="10"/>
        <v>RUX2C7045986</v>
      </c>
      <c r="C701" s="9" t="s">
        <v>79</v>
      </c>
      <c r="D701" s="10"/>
      <c r="E701" s="11" t="s">
        <v>409</v>
      </c>
      <c r="F701" s="12">
        <v>45971</v>
      </c>
      <c r="G701" s="13" t="s">
        <v>872</v>
      </c>
      <c r="H701" s="10" t="s">
        <v>27</v>
      </c>
      <c r="I701" s="14" t="s">
        <v>28</v>
      </c>
      <c r="J701" s="14" t="s">
        <v>29</v>
      </c>
      <c r="K701" s="15"/>
      <c r="L701" s="15"/>
      <c r="M701" s="16" t="s">
        <v>191</v>
      </c>
      <c r="N701" s="8" t="s">
        <v>30</v>
      </c>
      <c r="O701" s="8" t="s">
        <v>40</v>
      </c>
      <c r="P701" s="17" t="s">
        <v>86</v>
      </c>
      <c r="Q701" s="18">
        <v>45986</v>
      </c>
      <c r="R701" s="9">
        <v>15</v>
      </c>
      <c r="S701" s="8" t="s">
        <v>32</v>
      </c>
      <c r="T701" s="8" t="s">
        <v>1758</v>
      </c>
      <c r="U701" s="8" t="s">
        <v>192</v>
      </c>
      <c r="V701" s="8" t="s">
        <v>1498</v>
      </c>
      <c r="W701" s="19" t="s">
        <v>1472</v>
      </c>
    </row>
    <row r="702" spans="1:23" x14ac:dyDescent="0.25">
      <c r="A702" s="8" t="s">
        <v>1583</v>
      </c>
      <c r="B702" s="8" t="str">
        <f t="shared" si="10"/>
        <v>SVN5B7745986</v>
      </c>
      <c r="C702" s="9" t="s">
        <v>509</v>
      </c>
      <c r="D702" s="10">
        <v>63882</v>
      </c>
      <c r="E702" s="11" t="s">
        <v>1759</v>
      </c>
      <c r="F702" s="12">
        <v>45985</v>
      </c>
      <c r="G702" s="13" t="s">
        <v>123</v>
      </c>
      <c r="H702" s="10" t="s">
        <v>27</v>
      </c>
      <c r="I702" s="14" t="s">
        <v>28</v>
      </c>
      <c r="J702" s="14" t="s">
        <v>139</v>
      </c>
      <c r="K702" s="15"/>
      <c r="L702" s="15"/>
      <c r="M702" s="16" t="s">
        <v>326</v>
      </c>
      <c r="N702" s="8" t="s">
        <v>30</v>
      </c>
      <c r="O702" s="8" t="s">
        <v>40</v>
      </c>
      <c r="P702" s="17" t="s">
        <v>86</v>
      </c>
      <c r="Q702" s="18">
        <v>45986</v>
      </c>
      <c r="R702" s="9">
        <v>1</v>
      </c>
      <c r="S702" s="8" t="s">
        <v>153</v>
      </c>
      <c r="T702" s="8" t="s">
        <v>620</v>
      </c>
      <c r="U702" s="8" t="s">
        <v>177</v>
      </c>
      <c r="V702" s="8" t="s">
        <v>1186</v>
      </c>
      <c r="W702" s="19" t="s">
        <v>1169</v>
      </c>
    </row>
    <row r="703" spans="1:23" x14ac:dyDescent="0.25">
      <c r="A703" s="8" t="s">
        <v>1760</v>
      </c>
      <c r="B703" s="8" t="str">
        <f t="shared" si="10"/>
        <v>GAC8H6545986</v>
      </c>
      <c r="C703" s="9" t="s">
        <v>224</v>
      </c>
      <c r="D703" s="10" t="s">
        <v>1566</v>
      </c>
      <c r="E703" s="11" t="s">
        <v>1761</v>
      </c>
      <c r="F703" s="12">
        <v>45985</v>
      </c>
      <c r="G703" s="13" t="s">
        <v>226</v>
      </c>
      <c r="H703" s="10" t="s">
        <v>27</v>
      </c>
      <c r="I703" s="14" t="s">
        <v>176</v>
      </c>
      <c r="J703" s="14" t="s">
        <v>29</v>
      </c>
      <c r="K703" s="15"/>
      <c r="L703" s="15"/>
      <c r="M703" s="16" t="s">
        <v>752</v>
      </c>
      <c r="N703" s="8" t="s">
        <v>287</v>
      </c>
      <c r="O703" s="8" t="s">
        <v>40</v>
      </c>
      <c r="P703" s="17">
        <v>45986</v>
      </c>
      <c r="Q703" s="18">
        <v>45986</v>
      </c>
      <c r="R703" s="9">
        <v>1</v>
      </c>
      <c r="S703" s="8" t="s">
        <v>153</v>
      </c>
      <c r="T703" s="8" t="s">
        <v>98</v>
      </c>
      <c r="U703" s="8" t="s">
        <v>513</v>
      </c>
      <c r="V703" s="8" t="s">
        <v>1186</v>
      </c>
      <c r="W703" s="19" t="s">
        <v>1208</v>
      </c>
    </row>
    <row r="704" spans="1:23" x14ac:dyDescent="0.25">
      <c r="A704" s="8" t="s">
        <v>1040</v>
      </c>
      <c r="B704" s="8" t="str">
        <f t="shared" si="10"/>
        <v>SGI8H8345986</v>
      </c>
      <c r="C704" s="9" t="s">
        <v>96</v>
      </c>
      <c r="D704" s="10">
        <v>57531</v>
      </c>
      <c r="E704" s="11" t="s">
        <v>1762</v>
      </c>
      <c r="F704" s="12">
        <v>45985</v>
      </c>
      <c r="G704" s="13" t="s">
        <v>1703</v>
      </c>
      <c r="H704" s="10" t="s">
        <v>27</v>
      </c>
      <c r="I704" s="14" t="s">
        <v>28</v>
      </c>
      <c r="J704" s="14" t="s">
        <v>139</v>
      </c>
      <c r="K704" s="15"/>
      <c r="L704" s="15"/>
      <c r="M704" s="16" t="s">
        <v>354</v>
      </c>
      <c r="N704" s="8" t="s">
        <v>30</v>
      </c>
      <c r="O704" s="8" t="s">
        <v>40</v>
      </c>
      <c r="P704" s="17" t="s">
        <v>86</v>
      </c>
      <c r="Q704" s="18">
        <v>45986</v>
      </c>
      <c r="R704" s="9">
        <v>1</v>
      </c>
      <c r="S704" s="8" t="s">
        <v>153</v>
      </c>
      <c r="T704" s="8" t="s">
        <v>669</v>
      </c>
      <c r="U704" s="8" t="s">
        <v>279</v>
      </c>
      <c r="V704" s="8" t="s">
        <v>1186</v>
      </c>
      <c r="W704" s="19" t="s">
        <v>1222</v>
      </c>
    </row>
    <row r="705" spans="1:23" x14ac:dyDescent="0.25">
      <c r="A705" s="8" t="s">
        <v>1763</v>
      </c>
      <c r="B705" s="8" t="str">
        <f t="shared" si="10"/>
        <v>UER8C1945986</v>
      </c>
      <c r="C705" s="9" t="s">
        <v>37</v>
      </c>
      <c r="D705" s="10"/>
      <c r="E705" s="11" t="s">
        <v>1764</v>
      </c>
      <c r="F705" s="12">
        <v>45986</v>
      </c>
      <c r="G705" s="13" t="s">
        <v>872</v>
      </c>
      <c r="H705" s="10" t="s">
        <v>27</v>
      </c>
      <c r="I705" s="14" t="s">
        <v>28</v>
      </c>
      <c r="J705" s="14" t="s">
        <v>29</v>
      </c>
      <c r="K705" s="15"/>
      <c r="L705" s="15"/>
      <c r="M705" s="16" t="s">
        <v>896</v>
      </c>
      <c r="N705" s="8" t="s">
        <v>30</v>
      </c>
      <c r="O705" s="8" t="s">
        <v>40</v>
      </c>
      <c r="P705" s="17">
        <v>45986</v>
      </c>
      <c r="Q705" s="18">
        <v>45986</v>
      </c>
      <c r="R705" s="9"/>
      <c r="S705" s="8" t="s">
        <v>153</v>
      </c>
      <c r="T705" s="8" t="s">
        <v>1722</v>
      </c>
      <c r="U705" s="8" t="s">
        <v>1450</v>
      </c>
      <c r="V705" s="8" t="s">
        <v>1498</v>
      </c>
      <c r="W705" s="19" t="s">
        <v>1723</v>
      </c>
    </row>
    <row r="706" spans="1:23" x14ac:dyDescent="0.25">
      <c r="A706" s="8" t="s">
        <v>1765</v>
      </c>
      <c r="B706" s="8" t="str">
        <f t="shared" si="10"/>
        <v>Rnj9d1045986</v>
      </c>
      <c r="C706" s="9" t="s">
        <v>72</v>
      </c>
      <c r="D706" s="10"/>
      <c r="E706" s="11" t="s">
        <v>1766</v>
      </c>
      <c r="F706" s="12">
        <v>45986</v>
      </c>
      <c r="G706" s="13" t="s">
        <v>138</v>
      </c>
      <c r="H706" s="10" t="s">
        <v>27</v>
      </c>
      <c r="I706" s="14" t="s">
        <v>28</v>
      </c>
      <c r="J706" s="14" t="s">
        <v>139</v>
      </c>
      <c r="K706" s="15"/>
      <c r="L706" s="15"/>
      <c r="M706" s="16" t="s">
        <v>140</v>
      </c>
      <c r="N706" s="8" t="s">
        <v>30</v>
      </c>
      <c r="O706" s="8" t="s">
        <v>40</v>
      </c>
      <c r="P706" s="17">
        <v>45986</v>
      </c>
      <c r="Q706" s="18">
        <v>45986</v>
      </c>
      <c r="R706" s="9">
        <v>0</v>
      </c>
      <c r="S706" s="8" t="s">
        <v>153</v>
      </c>
      <c r="T706" s="8" t="s">
        <v>98</v>
      </c>
      <c r="U706" s="8" t="s">
        <v>500</v>
      </c>
      <c r="V706" s="8" t="s">
        <v>1186</v>
      </c>
      <c r="W706" s="19" t="s">
        <v>1238</v>
      </c>
    </row>
    <row r="707" spans="1:23" x14ac:dyDescent="0.25">
      <c r="A707" s="8" t="s">
        <v>1767</v>
      </c>
      <c r="B707" s="8" t="str">
        <f t="shared" ref="B707:B738" si="11">A707&amp;Q707</f>
        <v xml:space="preserve"> SGK7B80 45986</v>
      </c>
      <c r="C707" s="9" t="s">
        <v>96</v>
      </c>
      <c r="D707" s="10" t="s">
        <v>1566</v>
      </c>
      <c r="E707" s="11" t="s">
        <v>1702</v>
      </c>
      <c r="F707" s="12">
        <v>45984</v>
      </c>
      <c r="G707" s="13" t="s">
        <v>1703</v>
      </c>
      <c r="H707" s="10" t="s">
        <v>27</v>
      </c>
      <c r="I707" s="14" t="s">
        <v>176</v>
      </c>
      <c r="J707" s="14" t="s">
        <v>29</v>
      </c>
      <c r="K707" s="15"/>
      <c r="L707" s="15"/>
      <c r="M707" s="16" t="s">
        <v>587</v>
      </c>
      <c r="N707" s="8" t="s">
        <v>30</v>
      </c>
      <c r="O707" s="8" t="s">
        <v>40</v>
      </c>
      <c r="P707" s="17">
        <v>45986</v>
      </c>
      <c r="Q707" s="18">
        <v>45986</v>
      </c>
      <c r="R707" s="9">
        <v>2</v>
      </c>
      <c r="S707" s="8"/>
      <c r="T707" s="8" t="s">
        <v>1768</v>
      </c>
      <c r="U707" s="8" t="s">
        <v>1769</v>
      </c>
      <c r="V707" s="8"/>
      <c r="W707" s="19"/>
    </row>
    <row r="708" spans="1:23" x14ac:dyDescent="0.25">
      <c r="A708" s="8" t="s">
        <v>1770</v>
      </c>
      <c r="B708" s="8" t="str">
        <f t="shared" si="11"/>
        <v>SGI8J3545986</v>
      </c>
      <c r="C708" s="9" t="s">
        <v>96</v>
      </c>
      <c r="D708" s="10" t="s">
        <v>1566</v>
      </c>
      <c r="E708" s="11" t="s">
        <v>1702</v>
      </c>
      <c r="F708" s="12">
        <v>45984</v>
      </c>
      <c r="G708" s="13" t="s">
        <v>1703</v>
      </c>
      <c r="H708" s="10" t="s">
        <v>27</v>
      </c>
      <c r="I708" s="14" t="s">
        <v>176</v>
      </c>
      <c r="J708" s="14" t="s">
        <v>29</v>
      </c>
      <c r="K708" s="15"/>
      <c r="L708" s="15"/>
      <c r="M708" s="16" t="s">
        <v>214</v>
      </c>
      <c r="N708" s="8" t="s">
        <v>30</v>
      </c>
      <c r="O708" s="8" t="s">
        <v>40</v>
      </c>
      <c r="P708" s="17">
        <v>45986</v>
      </c>
      <c r="Q708" s="18">
        <v>45986</v>
      </c>
      <c r="R708" s="9">
        <v>1</v>
      </c>
      <c r="S708" s="8" t="s">
        <v>153</v>
      </c>
      <c r="T708" s="8" t="s">
        <v>98</v>
      </c>
      <c r="U708" s="8" t="s">
        <v>215</v>
      </c>
      <c r="V708" s="8" t="s">
        <v>1498</v>
      </c>
      <c r="W708" s="19" t="s">
        <v>1242</v>
      </c>
    </row>
    <row r="709" spans="1:23" x14ac:dyDescent="0.25">
      <c r="A709" s="8" t="s">
        <v>1771</v>
      </c>
      <c r="B709" s="8" t="str">
        <f t="shared" si="11"/>
        <v>SGL2C5645986</v>
      </c>
      <c r="C709" s="9" t="s">
        <v>96</v>
      </c>
      <c r="D709" s="10" t="s">
        <v>1566</v>
      </c>
      <c r="E709" s="11" t="s">
        <v>1702</v>
      </c>
      <c r="F709" s="12">
        <v>45984</v>
      </c>
      <c r="G709" s="13" t="s">
        <v>1703</v>
      </c>
      <c r="H709" s="10" t="s">
        <v>27</v>
      </c>
      <c r="I709" s="14" t="s">
        <v>176</v>
      </c>
      <c r="J709" s="14" t="s">
        <v>29</v>
      </c>
      <c r="K709" s="15"/>
      <c r="L709" s="15"/>
      <c r="M709" s="16" t="s">
        <v>745</v>
      </c>
      <c r="N709" s="8" t="s">
        <v>30</v>
      </c>
      <c r="O709" s="8" t="s">
        <v>40</v>
      </c>
      <c r="P709" s="17">
        <v>45986</v>
      </c>
      <c r="Q709" s="18">
        <v>45986</v>
      </c>
      <c r="R709" s="9">
        <v>1</v>
      </c>
      <c r="S709" s="8"/>
      <c r="T709" s="8" t="s">
        <v>98</v>
      </c>
      <c r="U709" s="8" t="s">
        <v>63</v>
      </c>
      <c r="V709" s="8" t="s">
        <v>1498</v>
      </c>
      <c r="W709" s="19" t="s">
        <v>1198</v>
      </c>
    </row>
    <row r="710" spans="1:23" x14ac:dyDescent="0.25">
      <c r="A710" s="8" t="s">
        <v>1772</v>
      </c>
      <c r="B710" s="8" t="str">
        <f t="shared" si="11"/>
        <v>RTM7G8045986</v>
      </c>
      <c r="C710" s="9" t="s">
        <v>905</v>
      </c>
      <c r="D710" s="10"/>
      <c r="E710" s="11" t="s">
        <v>1319</v>
      </c>
      <c r="F710" s="12">
        <v>45986</v>
      </c>
      <c r="G710" s="13" t="s">
        <v>138</v>
      </c>
      <c r="H710" s="10" t="s">
        <v>27</v>
      </c>
      <c r="I710" s="14" t="s">
        <v>28</v>
      </c>
      <c r="J710" s="14" t="s">
        <v>139</v>
      </c>
      <c r="K710" s="15"/>
      <c r="L710" s="15"/>
      <c r="M710" s="16" t="s">
        <v>140</v>
      </c>
      <c r="N710" s="8" t="s">
        <v>30</v>
      </c>
      <c r="O710" s="8" t="s">
        <v>40</v>
      </c>
      <c r="P710" s="17" t="s">
        <v>86</v>
      </c>
      <c r="Q710" s="18">
        <v>45986</v>
      </c>
      <c r="R710" s="9">
        <v>0</v>
      </c>
      <c r="S710" s="8" t="s">
        <v>153</v>
      </c>
      <c r="T710" s="8" t="s">
        <v>98</v>
      </c>
      <c r="U710" s="8" t="s">
        <v>1489</v>
      </c>
      <c r="V710" s="8" t="s">
        <v>1498</v>
      </c>
      <c r="W710" s="19" t="s">
        <v>1238</v>
      </c>
    </row>
    <row r="711" spans="1:23" x14ac:dyDescent="0.25">
      <c r="A711" s="8" t="s">
        <v>1607</v>
      </c>
      <c r="B711" s="8" t="str">
        <f t="shared" si="11"/>
        <v>RNJ9C9545986</v>
      </c>
      <c r="C711" s="9" t="s">
        <v>72</v>
      </c>
      <c r="D711" s="10">
        <v>147778</v>
      </c>
      <c r="E711" s="11" t="s">
        <v>1773</v>
      </c>
      <c r="F711" s="12">
        <v>45967</v>
      </c>
      <c r="G711" s="13" t="s">
        <v>872</v>
      </c>
      <c r="H711" s="10" t="s">
        <v>27</v>
      </c>
      <c r="I711" s="14" t="s">
        <v>28</v>
      </c>
      <c r="J711" s="14" t="s">
        <v>29</v>
      </c>
      <c r="K711" s="15"/>
      <c r="L711" s="15"/>
      <c r="M711" s="16" t="s">
        <v>560</v>
      </c>
      <c r="N711" s="8" t="s">
        <v>30</v>
      </c>
      <c r="O711" s="8" t="s">
        <v>40</v>
      </c>
      <c r="P711" s="17">
        <v>45986</v>
      </c>
      <c r="Q711" s="18">
        <v>45986</v>
      </c>
      <c r="R711" s="9">
        <v>19</v>
      </c>
      <c r="S711" s="8" t="s">
        <v>32</v>
      </c>
      <c r="T711" s="8" t="s">
        <v>89</v>
      </c>
      <c r="U711" s="8" t="s">
        <v>54</v>
      </c>
      <c r="V711" s="8" t="s">
        <v>1186</v>
      </c>
      <c r="W711" s="19" t="s">
        <v>1195</v>
      </c>
    </row>
    <row r="712" spans="1:23" x14ac:dyDescent="0.25">
      <c r="A712" s="8" t="s">
        <v>547</v>
      </c>
      <c r="B712" s="8" t="str">
        <f t="shared" si="11"/>
        <v>JCJ0D4045986</v>
      </c>
      <c r="C712" s="9" t="s">
        <v>24</v>
      </c>
      <c r="D712" s="10" t="s">
        <v>1566</v>
      </c>
      <c r="E712" s="11" t="s">
        <v>1774</v>
      </c>
      <c r="F712" s="12">
        <v>45986</v>
      </c>
      <c r="G712" s="13" t="s">
        <v>123</v>
      </c>
      <c r="H712" s="10" t="s">
        <v>27</v>
      </c>
      <c r="I712" s="14" t="s">
        <v>176</v>
      </c>
      <c r="J712" s="14" t="s">
        <v>29</v>
      </c>
      <c r="K712" s="15"/>
      <c r="L712" s="15"/>
      <c r="M712" s="16" t="s">
        <v>548</v>
      </c>
      <c r="N712" s="8" t="s">
        <v>30</v>
      </c>
      <c r="O712" s="8" t="s">
        <v>40</v>
      </c>
      <c r="P712" s="17">
        <v>45986</v>
      </c>
      <c r="Q712" s="18">
        <v>45986</v>
      </c>
      <c r="R712" s="9">
        <v>0</v>
      </c>
      <c r="S712" s="8" t="s">
        <v>153</v>
      </c>
      <c r="T712" s="8" t="s">
        <v>98</v>
      </c>
      <c r="U712" s="8" t="s">
        <v>550</v>
      </c>
      <c r="V712" s="8" t="s">
        <v>1186</v>
      </c>
      <c r="W712" s="19" t="s">
        <v>1775</v>
      </c>
    </row>
    <row r="713" spans="1:23" x14ac:dyDescent="0.25">
      <c r="A713" s="8" t="s">
        <v>1776</v>
      </c>
      <c r="B713" s="8" t="str">
        <f t="shared" si="11"/>
        <v>SWA1G3845987</v>
      </c>
      <c r="C713" s="9" t="s">
        <v>96</v>
      </c>
      <c r="D713" s="10">
        <v>564212</v>
      </c>
      <c r="E713" s="20" t="s">
        <v>1777</v>
      </c>
      <c r="F713" s="12">
        <v>45985</v>
      </c>
      <c r="G713" s="13" t="s">
        <v>1703</v>
      </c>
      <c r="H713" s="10" t="s">
        <v>27</v>
      </c>
      <c r="I713" s="14" t="s">
        <v>28</v>
      </c>
      <c r="J713" s="14" t="s">
        <v>139</v>
      </c>
      <c r="K713" s="15"/>
      <c r="L713" s="15"/>
      <c r="M713" s="16" t="s">
        <v>593</v>
      </c>
      <c r="N713" s="8" t="s">
        <v>30</v>
      </c>
      <c r="O713" s="8" t="s">
        <v>40</v>
      </c>
      <c r="P713" s="17" t="s">
        <v>86</v>
      </c>
      <c r="Q713" s="18">
        <v>45987</v>
      </c>
      <c r="R713" s="9">
        <v>2</v>
      </c>
      <c r="S713" s="8" t="s">
        <v>153</v>
      </c>
      <c r="T713" s="8" t="s">
        <v>1768</v>
      </c>
      <c r="U713" s="8" t="s">
        <v>1778</v>
      </c>
      <c r="V713" s="8" t="s">
        <v>1186</v>
      </c>
      <c r="W713" s="19" t="s">
        <v>1697</v>
      </c>
    </row>
    <row r="714" spans="1:23" x14ac:dyDescent="0.25">
      <c r="A714" s="8" t="s">
        <v>1779</v>
      </c>
      <c r="B714" s="8" t="str">
        <f t="shared" si="11"/>
        <v>RUO6A9645986</v>
      </c>
      <c r="C714" s="9" t="s">
        <v>37</v>
      </c>
      <c r="D714" s="10" t="s">
        <v>1566</v>
      </c>
      <c r="E714" s="11" t="s">
        <v>1780</v>
      </c>
      <c r="F714" s="12">
        <v>45985</v>
      </c>
      <c r="G714" s="13" t="s">
        <v>743</v>
      </c>
      <c r="H714" s="10" t="s">
        <v>27</v>
      </c>
      <c r="I714" s="14" t="s">
        <v>28</v>
      </c>
      <c r="J714" s="14" t="s">
        <v>139</v>
      </c>
      <c r="K714" s="15"/>
      <c r="L714" s="15"/>
      <c r="M714" s="16" t="s">
        <v>240</v>
      </c>
      <c r="N714" s="8" t="s">
        <v>30</v>
      </c>
      <c r="O714" s="8" t="s">
        <v>40</v>
      </c>
      <c r="P714" s="17" t="s">
        <v>86</v>
      </c>
      <c r="Q714" s="18">
        <v>45986</v>
      </c>
      <c r="R714" s="9">
        <v>1</v>
      </c>
      <c r="S714" s="8" t="s">
        <v>153</v>
      </c>
      <c r="T714" s="8" t="s">
        <v>201</v>
      </c>
      <c r="U714" s="8" t="s">
        <v>1781</v>
      </c>
      <c r="V714" s="8" t="s">
        <v>1498</v>
      </c>
      <c r="W714" s="19" t="s">
        <v>1185</v>
      </c>
    </row>
    <row r="715" spans="1:23" x14ac:dyDescent="0.25">
      <c r="A715" s="8" t="s">
        <v>1782</v>
      </c>
      <c r="B715" s="8" t="str">
        <f t="shared" si="11"/>
        <v>SFT5A4845987</v>
      </c>
      <c r="C715" s="9" t="s">
        <v>96</v>
      </c>
      <c r="D715" s="10">
        <v>710155</v>
      </c>
      <c r="E715" s="20" t="s">
        <v>1783</v>
      </c>
      <c r="F715" s="12">
        <v>45978</v>
      </c>
      <c r="G715" s="13" t="s">
        <v>1703</v>
      </c>
      <c r="H715" s="10" t="s">
        <v>27</v>
      </c>
      <c r="I715" s="14" t="s">
        <v>28</v>
      </c>
      <c r="J715" s="14" t="s">
        <v>29</v>
      </c>
      <c r="K715" s="15"/>
      <c r="L715" s="15"/>
      <c r="M715" s="16" t="s">
        <v>357</v>
      </c>
      <c r="N715" s="8" t="s">
        <v>30</v>
      </c>
      <c r="O715" s="8" t="s">
        <v>40</v>
      </c>
      <c r="P715" s="17">
        <v>45986</v>
      </c>
      <c r="Q715" s="18">
        <v>45987</v>
      </c>
      <c r="R715" s="9">
        <v>9</v>
      </c>
      <c r="S715" s="8" t="s">
        <v>32</v>
      </c>
      <c r="T715" s="8" t="s">
        <v>100</v>
      </c>
      <c r="U715" s="8" t="s">
        <v>303</v>
      </c>
      <c r="V715" s="8" t="s">
        <v>1498</v>
      </c>
      <c r="W715" s="19" t="s">
        <v>1358</v>
      </c>
    </row>
    <row r="716" spans="1:23" x14ac:dyDescent="0.25">
      <c r="A716" s="8" t="s">
        <v>470</v>
      </c>
      <c r="B716" s="8" t="str">
        <f t="shared" si="11"/>
        <v>RUL7F4645987</v>
      </c>
      <c r="C716" s="9" t="s">
        <v>37</v>
      </c>
      <c r="D716" s="10" t="s">
        <v>383</v>
      </c>
      <c r="E716" s="20" t="s">
        <v>1523</v>
      </c>
      <c r="F716" s="12">
        <v>45982</v>
      </c>
      <c r="G716" s="13" t="s">
        <v>138</v>
      </c>
      <c r="H716" s="10" t="s">
        <v>27</v>
      </c>
      <c r="I716" s="14" t="s">
        <v>28</v>
      </c>
      <c r="J716" s="14" t="s">
        <v>139</v>
      </c>
      <c r="K716" s="15"/>
      <c r="L716" s="15"/>
      <c r="M716" s="16" t="s">
        <v>233</v>
      </c>
      <c r="N716" s="8" t="s">
        <v>30</v>
      </c>
      <c r="O716" s="8" t="s">
        <v>40</v>
      </c>
      <c r="P716" s="17">
        <v>45987</v>
      </c>
      <c r="Q716" s="18">
        <v>45987</v>
      </c>
      <c r="R716" s="9">
        <v>5</v>
      </c>
      <c r="S716" s="8" t="s">
        <v>32</v>
      </c>
      <c r="T716" s="8" t="s">
        <v>1784</v>
      </c>
      <c r="U716" s="8" t="s">
        <v>1785</v>
      </c>
      <c r="V716" s="8" t="s">
        <v>1498</v>
      </c>
      <c r="W716" s="19" t="s">
        <v>1290</v>
      </c>
    </row>
    <row r="717" spans="1:23" x14ac:dyDescent="0.25">
      <c r="A717" s="8" t="s">
        <v>1786</v>
      </c>
      <c r="B717" s="8" t="str">
        <f t="shared" si="11"/>
        <v>RTP4B9245987</v>
      </c>
      <c r="C717" s="9" t="s">
        <v>37</v>
      </c>
      <c r="D717" s="10" t="s">
        <v>383</v>
      </c>
      <c r="E717" s="20" t="s">
        <v>1457</v>
      </c>
      <c r="F717" s="12">
        <v>45986</v>
      </c>
      <c r="G717" s="13" t="s">
        <v>872</v>
      </c>
      <c r="H717" s="10" t="s">
        <v>27</v>
      </c>
      <c r="I717" s="14" t="s">
        <v>28</v>
      </c>
      <c r="J717" s="14" t="s">
        <v>139</v>
      </c>
      <c r="K717" s="15"/>
      <c r="L717" s="15"/>
      <c r="M717" s="16" t="s">
        <v>354</v>
      </c>
      <c r="N717" s="8" t="s">
        <v>30</v>
      </c>
      <c r="O717" s="8" t="s">
        <v>40</v>
      </c>
      <c r="P717" s="17" t="s">
        <v>86</v>
      </c>
      <c r="Q717" s="18">
        <v>45987</v>
      </c>
      <c r="R717" s="9"/>
      <c r="S717" s="8" t="s">
        <v>153</v>
      </c>
      <c r="T717" s="8" t="s">
        <v>66</v>
      </c>
      <c r="U717" s="8" t="s">
        <v>1100</v>
      </c>
      <c r="V717" s="8" t="s">
        <v>1498</v>
      </c>
      <c r="W717" s="19" t="s">
        <v>1222</v>
      </c>
    </row>
    <row r="718" spans="1:23" x14ac:dyDescent="0.25">
      <c r="A718" s="8" t="s">
        <v>1787</v>
      </c>
      <c r="B718" s="8" t="str">
        <f t="shared" si="11"/>
        <v>RTP4B8945987</v>
      </c>
      <c r="C718" s="9" t="s">
        <v>37</v>
      </c>
      <c r="D718" s="10" t="s">
        <v>1566</v>
      </c>
      <c r="E718" s="20" t="s">
        <v>1788</v>
      </c>
      <c r="F718" s="12">
        <v>45986</v>
      </c>
      <c r="G718" s="13" t="s">
        <v>872</v>
      </c>
      <c r="H718" s="10" t="s">
        <v>27</v>
      </c>
      <c r="I718" s="14" t="s">
        <v>28</v>
      </c>
      <c r="J718" s="14" t="s">
        <v>29</v>
      </c>
      <c r="K718" s="15"/>
      <c r="L718" s="15"/>
      <c r="M718" s="16" t="s">
        <v>497</v>
      </c>
      <c r="N718" s="8" t="s">
        <v>30</v>
      </c>
      <c r="O718" s="8" t="s">
        <v>40</v>
      </c>
      <c r="P718" s="17" t="s">
        <v>86</v>
      </c>
      <c r="Q718" s="18">
        <v>45987</v>
      </c>
      <c r="R718" s="9">
        <v>1</v>
      </c>
      <c r="S718" s="8" t="s">
        <v>153</v>
      </c>
      <c r="T718" s="8" t="s">
        <v>66</v>
      </c>
      <c r="U718" s="8" t="s">
        <v>1789</v>
      </c>
      <c r="V718" s="8" t="s">
        <v>1498</v>
      </c>
      <c r="W718" s="19" t="s">
        <v>1234</v>
      </c>
    </row>
    <row r="719" spans="1:23" x14ac:dyDescent="0.25">
      <c r="A719" s="8" t="s">
        <v>1040</v>
      </c>
      <c r="B719" s="8" t="str">
        <f t="shared" si="11"/>
        <v>SGI8H8345987</v>
      </c>
      <c r="C719" s="9" t="s">
        <v>96</v>
      </c>
      <c r="D719" s="10" t="s">
        <v>1566</v>
      </c>
      <c r="E719" s="20" t="s">
        <v>1762</v>
      </c>
      <c r="F719" s="12">
        <v>45985</v>
      </c>
      <c r="G719" s="13" t="s">
        <v>1703</v>
      </c>
      <c r="H719" s="10" t="s">
        <v>27</v>
      </c>
      <c r="I719" s="14" t="s">
        <v>28</v>
      </c>
      <c r="J719" s="14" t="s">
        <v>29</v>
      </c>
      <c r="K719" s="15"/>
      <c r="L719" s="15"/>
      <c r="M719" s="16" t="s">
        <v>354</v>
      </c>
      <c r="N719" s="8" t="s">
        <v>30</v>
      </c>
      <c r="O719" s="8" t="s">
        <v>40</v>
      </c>
      <c r="P719" s="17" t="s">
        <v>86</v>
      </c>
      <c r="Q719" s="18">
        <v>45987</v>
      </c>
      <c r="R719" s="9">
        <v>2</v>
      </c>
      <c r="S719" s="8" t="s">
        <v>153</v>
      </c>
      <c r="T719" s="8" t="s">
        <v>669</v>
      </c>
      <c r="U719" s="8" t="s">
        <v>1100</v>
      </c>
      <c r="V719" s="8" t="s">
        <v>1498</v>
      </c>
      <c r="W719" s="19" t="s">
        <v>1222</v>
      </c>
    </row>
    <row r="720" spans="1:23" x14ac:dyDescent="0.25">
      <c r="A720" s="8" t="s">
        <v>1790</v>
      </c>
      <c r="B720" s="8" t="str">
        <f t="shared" si="11"/>
        <v>SGH0H1545987</v>
      </c>
      <c r="C720" s="9" t="s">
        <v>96</v>
      </c>
      <c r="D720" s="10" t="s">
        <v>1566</v>
      </c>
      <c r="E720" s="20" t="s">
        <v>1761</v>
      </c>
      <c r="F720" s="12">
        <v>45985</v>
      </c>
      <c r="G720" s="13" t="s">
        <v>1703</v>
      </c>
      <c r="H720" s="10" t="s">
        <v>27</v>
      </c>
      <c r="I720" s="14" t="s">
        <v>28</v>
      </c>
      <c r="J720" s="14" t="s">
        <v>29</v>
      </c>
      <c r="K720" s="15"/>
      <c r="L720" s="15"/>
      <c r="M720" s="16" t="s">
        <v>354</v>
      </c>
      <c r="N720" s="8" t="s">
        <v>30</v>
      </c>
      <c r="O720" s="8" t="s">
        <v>40</v>
      </c>
      <c r="P720" s="17" t="s">
        <v>86</v>
      </c>
      <c r="Q720" s="18">
        <v>45987</v>
      </c>
      <c r="R720" s="9">
        <v>2</v>
      </c>
      <c r="S720" s="8" t="s">
        <v>153</v>
      </c>
      <c r="T720" s="8" t="s">
        <v>669</v>
      </c>
      <c r="U720" s="8" t="s">
        <v>1100</v>
      </c>
      <c r="V720" s="8" t="s">
        <v>1498</v>
      </c>
      <c r="W720" s="19" t="s">
        <v>1222</v>
      </c>
    </row>
    <row r="721" spans="1:23" x14ac:dyDescent="0.25">
      <c r="A721" s="8" t="s">
        <v>43</v>
      </c>
      <c r="B721" s="8" t="str">
        <f t="shared" si="11"/>
        <v>RVB8A6845987</v>
      </c>
      <c r="C721" s="9" t="s">
        <v>44</v>
      </c>
      <c r="D721" s="10" t="s">
        <v>1566</v>
      </c>
      <c r="E721" s="20" t="s">
        <v>1791</v>
      </c>
      <c r="F721" s="12">
        <v>45985</v>
      </c>
      <c r="G721" s="13" t="s">
        <v>226</v>
      </c>
      <c r="H721" s="10" t="s">
        <v>27</v>
      </c>
      <c r="I721" s="14" t="s">
        <v>28</v>
      </c>
      <c r="J721" s="14" t="s">
        <v>29</v>
      </c>
      <c r="K721" s="15"/>
      <c r="L721" s="15"/>
      <c r="M721" s="16" t="s">
        <v>999</v>
      </c>
      <c r="N721" s="8" t="s">
        <v>30</v>
      </c>
      <c r="O721" s="8" t="s">
        <v>40</v>
      </c>
      <c r="P721" s="17">
        <v>45987</v>
      </c>
      <c r="Q721" s="18">
        <v>45987</v>
      </c>
      <c r="R721" s="9">
        <v>2</v>
      </c>
      <c r="S721" s="8" t="s">
        <v>153</v>
      </c>
      <c r="T721" s="8" t="s">
        <v>1792</v>
      </c>
      <c r="U721" s="8" t="s">
        <v>1635</v>
      </c>
      <c r="V721" s="8" t="s">
        <v>1186</v>
      </c>
      <c r="W721" s="19" t="s">
        <v>1202</v>
      </c>
    </row>
    <row r="722" spans="1:23" x14ac:dyDescent="0.25">
      <c r="A722" s="8" t="s">
        <v>136</v>
      </c>
      <c r="B722" s="8" t="str">
        <f t="shared" si="11"/>
        <v>SJT9A4045987</v>
      </c>
      <c r="C722" s="9" t="s">
        <v>24</v>
      </c>
      <c r="D722" s="10" t="s">
        <v>1566</v>
      </c>
      <c r="E722" s="20" t="s">
        <v>1793</v>
      </c>
      <c r="F722" s="12">
        <v>45987</v>
      </c>
      <c r="G722" s="13" t="s">
        <v>138</v>
      </c>
      <c r="H722" s="10" t="s">
        <v>27</v>
      </c>
      <c r="I722" s="14" t="s">
        <v>28</v>
      </c>
      <c r="J722" s="14" t="s">
        <v>29</v>
      </c>
      <c r="K722" s="15"/>
      <c r="L722" s="15"/>
      <c r="M722" s="16" t="s">
        <v>140</v>
      </c>
      <c r="N722" s="8" t="s">
        <v>30</v>
      </c>
      <c r="O722" s="8" t="s">
        <v>40</v>
      </c>
      <c r="P722" s="17">
        <v>45987</v>
      </c>
      <c r="Q722" s="18">
        <v>45987</v>
      </c>
      <c r="R722" s="9">
        <v>0</v>
      </c>
      <c r="S722" s="8" t="s">
        <v>153</v>
      </c>
      <c r="T722" s="8" t="s">
        <v>98</v>
      </c>
      <c r="U722" s="8" t="s">
        <v>500</v>
      </c>
      <c r="V722" s="8" t="s">
        <v>1498</v>
      </c>
      <c r="W722" s="19" t="s">
        <v>1238</v>
      </c>
    </row>
    <row r="723" spans="1:23" x14ac:dyDescent="0.25">
      <c r="A723" s="8" t="s">
        <v>1794</v>
      </c>
      <c r="B723" s="8" t="str">
        <f t="shared" si="11"/>
        <v>SGF8I6445987</v>
      </c>
      <c r="C723" s="9" t="s">
        <v>96</v>
      </c>
      <c r="D723" s="10" t="s">
        <v>1566</v>
      </c>
      <c r="E723" s="20" t="s">
        <v>1795</v>
      </c>
      <c r="F723" s="12">
        <v>45986</v>
      </c>
      <c r="G723" s="13" t="s">
        <v>1703</v>
      </c>
      <c r="H723" s="10" t="s">
        <v>27</v>
      </c>
      <c r="I723" s="14" t="s">
        <v>28</v>
      </c>
      <c r="J723" s="14" t="s">
        <v>29</v>
      </c>
      <c r="K723" s="15"/>
      <c r="L723" s="15"/>
      <c r="M723" s="16" t="s">
        <v>374</v>
      </c>
      <c r="N723" s="8" t="s">
        <v>30</v>
      </c>
      <c r="O723" s="8" t="s">
        <v>40</v>
      </c>
      <c r="P723" s="17">
        <v>45987</v>
      </c>
      <c r="Q723" s="18">
        <v>45987</v>
      </c>
      <c r="R723" s="9">
        <v>3</v>
      </c>
      <c r="S723" s="8" t="s">
        <v>153</v>
      </c>
      <c r="T723" s="8" t="s">
        <v>392</v>
      </c>
      <c r="U723" s="8" t="s">
        <v>393</v>
      </c>
      <c r="V723" s="8" t="s">
        <v>1498</v>
      </c>
      <c r="W723" s="19" t="s">
        <v>1251</v>
      </c>
    </row>
    <row r="724" spans="1:23" x14ac:dyDescent="0.25">
      <c r="A724" s="8" t="s">
        <v>1796</v>
      </c>
      <c r="B724" s="8" t="str">
        <f t="shared" si="11"/>
        <v>TAO9D1645987</v>
      </c>
      <c r="C724" s="9" t="s">
        <v>626</v>
      </c>
      <c r="D724" s="10">
        <v>70870</v>
      </c>
      <c r="E724" s="20" t="s">
        <v>1797</v>
      </c>
      <c r="F724" s="12">
        <v>45955</v>
      </c>
      <c r="G724" s="13" t="s">
        <v>138</v>
      </c>
      <c r="H724" s="10" t="s">
        <v>27</v>
      </c>
      <c r="I724" s="14" t="s">
        <v>28</v>
      </c>
      <c r="J724" s="14" t="s">
        <v>139</v>
      </c>
      <c r="K724" s="15"/>
      <c r="L724" s="15"/>
      <c r="M724" s="16" t="s">
        <v>343</v>
      </c>
      <c r="N724" s="8" t="s">
        <v>30</v>
      </c>
      <c r="O724" s="8" t="s">
        <v>40</v>
      </c>
      <c r="P724" s="17">
        <v>45989</v>
      </c>
      <c r="Q724" s="18">
        <v>45987</v>
      </c>
      <c r="R724" s="9">
        <v>32</v>
      </c>
      <c r="S724" s="8" t="s">
        <v>32</v>
      </c>
      <c r="T724" s="8" t="s">
        <v>98</v>
      </c>
      <c r="U724" s="8" t="s">
        <v>59</v>
      </c>
      <c r="V724" s="8" t="s">
        <v>320</v>
      </c>
      <c r="W724" s="19" t="s">
        <v>1164</v>
      </c>
    </row>
    <row r="725" spans="1:23" x14ac:dyDescent="0.25">
      <c r="A725" s="8" t="s">
        <v>1798</v>
      </c>
      <c r="B725" s="8" t="str">
        <f t="shared" si="11"/>
        <v>SFT5A7345987</v>
      </c>
      <c r="C725" s="9" t="s">
        <v>96</v>
      </c>
      <c r="D725" s="10">
        <v>55792</v>
      </c>
      <c r="E725" s="20" t="s">
        <v>1799</v>
      </c>
      <c r="F725" s="12">
        <v>45933</v>
      </c>
      <c r="G725" s="13" t="s">
        <v>760</v>
      </c>
      <c r="H725" s="10" t="s">
        <v>52</v>
      </c>
      <c r="I725" s="14" t="s">
        <v>28</v>
      </c>
      <c r="J725" s="14" t="s">
        <v>29</v>
      </c>
      <c r="K725" s="15">
        <v>2400</v>
      </c>
      <c r="L725" s="15">
        <v>2400</v>
      </c>
      <c r="M725" s="16" t="s">
        <v>374</v>
      </c>
      <c r="N725" s="8" t="s">
        <v>30</v>
      </c>
      <c r="O725" s="8" t="s">
        <v>52</v>
      </c>
      <c r="P725" s="17">
        <v>45987</v>
      </c>
      <c r="Q725" s="18">
        <v>45987</v>
      </c>
      <c r="R725" s="9">
        <v>54</v>
      </c>
      <c r="S725" s="8" t="s">
        <v>32</v>
      </c>
      <c r="T725" s="8" t="s">
        <v>1800</v>
      </c>
      <c r="U725" s="8" t="s">
        <v>393</v>
      </c>
      <c r="V725" s="8" t="s">
        <v>320</v>
      </c>
      <c r="W725" s="19" t="s">
        <v>1251</v>
      </c>
    </row>
    <row r="726" spans="1:23" x14ac:dyDescent="0.25">
      <c r="A726" s="8" t="s">
        <v>1402</v>
      </c>
      <c r="B726" s="8" t="str">
        <f t="shared" si="11"/>
        <v>JCJ0D2645987</v>
      </c>
      <c r="C726" s="9" t="s">
        <v>24</v>
      </c>
      <c r="D726" s="10">
        <v>52119</v>
      </c>
      <c r="E726" s="20" t="s">
        <v>1801</v>
      </c>
      <c r="F726" s="12">
        <v>45982</v>
      </c>
      <c r="G726" s="13" t="s">
        <v>138</v>
      </c>
      <c r="H726" s="10" t="s">
        <v>27</v>
      </c>
      <c r="I726" s="14" t="s">
        <v>28</v>
      </c>
      <c r="J726" s="14" t="s">
        <v>139</v>
      </c>
      <c r="K726" s="15"/>
      <c r="L726" s="15"/>
      <c r="M726" s="16" t="s">
        <v>140</v>
      </c>
      <c r="N726" s="8" t="s">
        <v>30</v>
      </c>
      <c r="O726" s="8" t="s">
        <v>31</v>
      </c>
      <c r="P726" s="17" t="s">
        <v>86</v>
      </c>
      <c r="Q726" s="18">
        <v>45987</v>
      </c>
      <c r="R726" s="9">
        <v>5</v>
      </c>
      <c r="S726" s="8" t="s">
        <v>32</v>
      </c>
      <c r="T726" s="8" t="s">
        <v>1802</v>
      </c>
      <c r="U726" s="8" t="s">
        <v>500</v>
      </c>
      <c r="V726" s="8" t="s">
        <v>1498</v>
      </c>
      <c r="W726" s="19" t="s">
        <v>1238</v>
      </c>
    </row>
    <row r="727" spans="1:23" x14ac:dyDescent="0.25">
      <c r="A727" s="8" t="s">
        <v>1803</v>
      </c>
      <c r="B727" s="8" t="str">
        <f>A727&amp;Q727</f>
        <v>RUX2C7845987</v>
      </c>
      <c r="C727" s="9" t="s">
        <v>79</v>
      </c>
      <c r="D727" s="10" t="s">
        <v>383</v>
      </c>
      <c r="E727" s="20" t="s">
        <v>1804</v>
      </c>
      <c r="F727" s="12">
        <v>45975</v>
      </c>
      <c r="G727" s="13" t="s">
        <v>872</v>
      </c>
      <c r="H727" s="10" t="s">
        <v>27</v>
      </c>
      <c r="I727" s="14" t="s">
        <v>28</v>
      </c>
      <c r="J727" s="14" t="s">
        <v>29</v>
      </c>
      <c r="K727" s="15"/>
      <c r="L727" s="15"/>
      <c r="M727" s="16" t="s">
        <v>560</v>
      </c>
      <c r="N727" s="8" t="s">
        <v>30</v>
      </c>
      <c r="O727" s="8" t="s">
        <v>40</v>
      </c>
      <c r="P727" s="17">
        <v>45987</v>
      </c>
      <c r="Q727" s="18">
        <v>45987</v>
      </c>
      <c r="R727" s="9">
        <v>12</v>
      </c>
      <c r="S727" s="8" t="s">
        <v>32</v>
      </c>
      <c r="T727" s="8" t="s">
        <v>89</v>
      </c>
      <c r="U727" s="8" t="s">
        <v>54</v>
      </c>
      <c r="V727" s="8" t="s">
        <v>1498</v>
      </c>
      <c r="W727" s="19" t="s">
        <v>1195</v>
      </c>
    </row>
    <row r="728" spans="1:23" x14ac:dyDescent="0.25">
      <c r="A728" s="8" t="s">
        <v>575</v>
      </c>
      <c r="B728" s="8" t="str">
        <f t="shared" si="11"/>
        <v>RVE1D4245987</v>
      </c>
      <c r="C728" s="9" t="s">
        <v>37</v>
      </c>
      <c r="D728" s="10" t="s">
        <v>1566</v>
      </c>
      <c r="E728" s="20" t="s">
        <v>595</v>
      </c>
      <c r="F728" s="12">
        <v>45981</v>
      </c>
      <c r="G728" s="13" t="s">
        <v>872</v>
      </c>
      <c r="H728" s="10" t="s">
        <v>27</v>
      </c>
      <c r="I728" s="14" t="s">
        <v>28</v>
      </c>
      <c r="J728" s="14" t="s">
        <v>29</v>
      </c>
      <c r="K728" s="15"/>
      <c r="L728" s="15"/>
      <c r="M728" s="16" t="s">
        <v>560</v>
      </c>
      <c r="N728" s="8" t="s">
        <v>30</v>
      </c>
      <c r="O728" s="8" t="s">
        <v>40</v>
      </c>
      <c r="P728" s="17" t="s">
        <v>86</v>
      </c>
      <c r="Q728" s="18">
        <v>45987</v>
      </c>
      <c r="R728" s="9">
        <v>6</v>
      </c>
      <c r="S728" s="8" t="s">
        <v>32</v>
      </c>
      <c r="T728" s="8" t="s">
        <v>89</v>
      </c>
      <c r="U728" s="8" t="s">
        <v>54</v>
      </c>
      <c r="V728" s="8" t="s">
        <v>1498</v>
      </c>
      <c r="W728" s="19" t="s">
        <v>1195</v>
      </c>
    </row>
    <row r="729" spans="1:23" x14ac:dyDescent="0.25">
      <c r="A729" s="8" t="s">
        <v>1805</v>
      </c>
      <c r="B729" s="8" t="str">
        <f t="shared" si="11"/>
        <v>SDT9H1645987</v>
      </c>
      <c r="C729" s="9" t="s">
        <v>50</v>
      </c>
      <c r="D729" s="10" t="s">
        <v>1566</v>
      </c>
      <c r="E729" s="20" t="s">
        <v>1457</v>
      </c>
      <c r="F729" s="12">
        <v>45982</v>
      </c>
      <c r="G729" s="13" t="s">
        <v>872</v>
      </c>
      <c r="H729" s="10" t="s">
        <v>27</v>
      </c>
      <c r="I729" s="14" t="s">
        <v>28</v>
      </c>
      <c r="J729" s="14" t="s">
        <v>29</v>
      </c>
      <c r="K729" s="15"/>
      <c r="L729" s="15"/>
      <c r="M729" s="16" t="s">
        <v>560</v>
      </c>
      <c r="N729" s="8" t="s">
        <v>30</v>
      </c>
      <c r="O729" s="8" t="s">
        <v>40</v>
      </c>
      <c r="P729" s="17" t="s">
        <v>86</v>
      </c>
      <c r="Q729" s="18">
        <v>45987</v>
      </c>
      <c r="R729" s="9">
        <v>5</v>
      </c>
      <c r="S729" s="8" t="s">
        <v>32</v>
      </c>
      <c r="T729" s="8" t="s">
        <v>89</v>
      </c>
      <c r="U729" s="8" t="s">
        <v>54</v>
      </c>
      <c r="V729" s="8" t="s">
        <v>1498</v>
      </c>
      <c r="W729" s="19" t="s">
        <v>1195</v>
      </c>
    </row>
    <row r="730" spans="1:23" x14ac:dyDescent="0.25">
      <c r="A730" s="8" t="s">
        <v>1806</v>
      </c>
      <c r="B730" s="8" t="str">
        <f t="shared" si="11"/>
        <v>TAO3J9245987</v>
      </c>
      <c r="C730" s="9" t="s">
        <v>626</v>
      </c>
      <c r="D730" s="10">
        <v>59917</v>
      </c>
      <c r="E730" s="20" t="s">
        <v>1807</v>
      </c>
      <c r="F730" s="12">
        <v>45987</v>
      </c>
      <c r="G730" s="13" t="s">
        <v>138</v>
      </c>
      <c r="H730" s="10" t="s">
        <v>27</v>
      </c>
      <c r="I730" s="14" t="s">
        <v>28</v>
      </c>
      <c r="J730" s="14" t="s">
        <v>29</v>
      </c>
      <c r="K730" s="15"/>
      <c r="L730" s="15"/>
      <c r="M730" s="16" t="s">
        <v>343</v>
      </c>
      <c r="N730" s="8" t="s">
        <v>30</v>
      </c>
      <c r="O730" s="8" t="s">
        <v>40</v>
      </c>
      <c r="P730" s="17">
        <v>45987</v>
      </c>
      <c r="Q730" s="18">
        <v>45987</v>
      </c>
      <c r="R730" s="9">
        <v>0</v>
      </c>
      <c r="S730" s="8" t="s">
        <v>153</v>
      </c>
      <c r="T730" s="8" t="s">
        <v>98</v>
      </c>
      <c r="U730" s="8" t="s">
        <v>1808</v>
      </c>
      <c r="V730" s="8" t="s">
        <v>1498</v>
      </c>
      <c r="W730" s="19" t="s">
        <v>1164</v>
      </c>
    </row>
    <row r="731" spans="1:23" x14ac:dyDescent="0.25">
      <c r="A731" t="s">
        <v>1269</v>
      </c>
      <c r="B731" s="8" t="str">
        <f t="shared" si="11"/>
        <v>STU3D8845987</v>
      </c>
      <c r="C731" t="s">
        <v>44</v>
      </c>
      <c r="D731" s="10" t="s">
        <v>1566</v>
      </c>
      <c r="E731" s="21" t="s">
        <v>1745</v>
      </c>
      <c r="F731" s="22">
        <v>45987</v>
      </c>
      <c r="G731" s="22" t="s">
        <v>138</v>
      </c>
      <c r="H731" s="23" t="s">
        <v>27</v>
      </c>
      <c r="I731" t="s">
        <v>28</v>
      </c>
      <c r="J731" t="s">
        <v>29</v>
      </c>
      <c r="M731" t="s">
        <v>140</v>
      </c>
      <c r="N731" s="8" t="s">
        <v>30</v>
      </c>
      <c r="O731" t="s">
        <v>40</v>
      </c>
      <c r="P731" s="22">
        <v>45987</v>
      </c>
      <c r="Q731" s="22">
        <v>45987</v>
      </c>
      <c r="R731">
        <v>0</v>
      </c>
      <c r="S731" t="s">
        <v>153</v>
      </c>
      <c r="T731" s="8" t="s">
        <v>98</v>
      </c>
      <c r="U731" t="s">
        <v>1314</v>
      </c>
      <c r="V731" t="s">
        <v>1498</v>
      </c>
      <c r="W731" t="s">
        <v>1238</v>
      </c>
    </row>
    <row r="732" spans="1:23" x14ac:dyDescent="0.25">
      <c r="A732" t="s">
        <v>1809</v>
      </c>
      <c r="B732" s="8" t="str">
        <f t="shared" si="11"/>
        <v>SFV0D65 45987</v>
      </c>
      <c r="C732" s="9" t="s">
        <v>96</v>
      </c>
      <c r="D732" s="10" t="s">
        <v>1566</v>
      </c>
      <c r="E732" s="21" t="s">
        <v>1702</v>
      </c>
      <c r="F732" s="22">
        <v>45987</v>
      </c>
      <c r="G732" s="13" t="s">
        <v>1703</v>
      </c>
      <c r="H732" s="23" t="s">
        <v>27</v>
      </c>
      <c r="I732" t="s">
        <v>28</v>
      </c>
      <c r="J732" t="s">
        <v>29</v>
      </c>
      <c r="M732" s="24" t="s">
        <v>374</v>
      </c>
      <c r="N732" s="8" t="s">
        <v>30</v>
      </c>
      <c r="O732" t="s">
        <v>40</v>
      </c>
      <c r="P732" s="22">
        <v>45987</v>
      </c>
      <c r="Q732" s="22">
        <v>45987</v>
      </c>
      <c r="R732">
        <v>2</v>
      </c>
      <c r="S732" t="s">
        <v>153</v>
      </c>
      <c r="T732" t="s">
        <v>392</v>
      </c>
      <c r="U732" s="8" t="s">
        <v>393</v>
      </c>
      <c r="V732" t="s">
        <v>1498</v>
      </c>
      <c r="W732" s="19" t="s">
        <v>1251</v>
      </c>
    </row>
    <row r="733" spans="1:23" x14ac:dyDescent="0.25">
      <c r="A733" s="9" t="s">
        <v>1810</v>
      </c>
      <c r="B733" s="8" t="str">
        <f t="shared" si="11"/>
        <v>RUX2D1645987</v>
      </c>
      <c r="C733" s="10" t="s">
        <v>79</v>
      </c>
      <c r="D733" s="10" t="s">
        <v>1566</v>
      </c>
      <c r="E733" s="25" t="s">
        <v>1811</v>
      </c>
      <c r="F733" s="18">
        <v>45821</v>
      </c>
      <c r="G733" s="10" t="s">
        <v>872</v>
      </c>
      <c r="H733" s="23" t="s">
        <v>27</v>
      </c>
      <c r="I733" s="14" t="s">
        <v>28</v>
      </c>
      <c r="J733" s="15" t="s">
        <v>29</v>
      </c>
      <c r="K733" s="16"/>
      <c r="L733" s="8"/>
      <c r="M733" s="8" t="s">
        <v>191</v>
      </c>
      <c r="N733" s="8" t="s">
        <v>30</v>
      </c>
      <c r="O733" s="17" t="s">
        <v>40</v>
      </c>
      <c r="P733" s="18" t="s">
        <v>86</v>
      </c>
      <c r="Q733" s="22">
        <v>45987</v>
      </c>
      <c r="R733" s="8">
        <v>166</v>
      </c>
      <c r="S733" s="8" t="s">
        <v>32</v>
      </c>
      <c r="T733" s="8" t="s">
        <v>1812</v>
      </c>
      <c r="U733" s="19" t="s">
        <v>192</v>
      </c>
      <c r="V733" s="8" t="s">
        <v>135</v>
      </c>
      <c r="W733" s="23" t="s">
        <v>1472</v>
      </c>
    </row>
    <row r="734" spans="1:23" x14ac:dyDescent="0.25">
      <c r="A734" s="9" t="s">
        <v>1813</v>
      </c>
      <c r="B734" s="8" t="str">
        <f t="shared" si="11"/>
        <v>QPC5I3445987</v>
      </c>
      <c r="C734" s="11" t="s">
        <v>44</v>
      </c>
      <c r="D734" s="10" t="s">
        <v>1566</v>
      </c>
      <c r="E734" s="25" t="s">
        <v>1814</v>
      </c>
      <c r="F734" s="18">
        <v>45972</v>
      </c>
      <c r="G734" s="10" t="s">
        <v>872</v>
      </c>
      <c r="H734" s="23" t="s">
        <v>27</v>
      </c>
      <c r="I734" s="14" t="s">
        <v>28</v>
      </c>
      <c r="J734" s="14" t="s">
        <v>139</v>
      </c>
      <c r="K734" s="16"/>
      <c r="L734" s="8"/>
      <c r="M734" s="8" t="s">
        <v>1578</v>
      </c>
      <c r="N734" s="8" t="s">
        <v>30</v>
      </c>
      <c r="O734" s="17" t="s">
        <v>40</v>
      </c>
      <c r="P734" s="26">
        <v>45987</v>
      </c>
      <c r="Q734" s="22">
        <v>45987</v>
      </c>
      <c r="R734" s="8">
        <v>15</v>
      </c>
      <c r="S734" s="8" t="s">
        <v>32</v>
      </c>
      <c r="T734" s="8" t="s">
        <v>1815</v>
      </c>
      <c r="U734" s="8" t="s">
        <v>1580</v>
      </c>
      <c r="V734" t="s">
        <v>1498</v>
      </c>
      <c r="W734" s="23" t="s">
        <v>1581</v>
      </c>
    </row>
    <row r="735" spans="1:23" x14ac:dyDescent="0.25">
      <c r="A735" t="s">
        <v>794</v>
      </c>
      <c r="B735" s="8" t="str">
        <f t="shared" si="11"/>
        <v>GGD5G6345987</v>
      </c>
      <c r="C735" t="s">
        <v>224</v>
      </c>
      <c r="D735" s="10" t="s">
        <v>1566</v>
      </c>
      <c r="E735" s="27" t="s">
        <v>1816</v>
      </c>
      <c r="F735" s="22">
        <v>45985</v>
      </c>
      <c r="G735" s="22" t="s">
        <v>226</v>
      </c>
      <c r="H735" s="23" t="s">
        <v>27</v>
      </c>
      <c r="I735" t="s">
        <v>28</v>
      </c>
      <c r="J735" s="14" t="s">
        <v>139</v>
      </c>
      <c r="M735" t="s">
        <v>315</v>
      </c>
      <c r="N735" t="s">
        <v>228</v>
      </c>
      <c r="O735" t="s">
        <v>40</v>
      </c>
      <c r="P735" s="22">
        <v>45987</v>
      </c>
      <c r="Q735" s="22">
        <v>45987</v>
      </c>
      <c r="R735">
        <v>2</v>
      </c>
      <c r="S735" t="s">
        <v>153</v>
      </c>
      <c r="T735" t="s">
        <v>1817</v>
      </c>
      <c r="U735" t="s">
        <v>254</v>
      </c>
      <c r="V735" t="s">
        <v>1498</v>
      </c>
      <c r="W735" t="s">
        <v>1189</v>
      </c>
    </row>
    <row r="736" spans="1:23" x14ac:dyDescent="0.25">
      <c r="A736" t="s">
        <v>1818</v>
      </c>
      <c r="B736" s="8" t="str">
        <f t="shared" si="11"/>
        <v>TLF2J7745987</v>
      </c>
      <c r="C736" t="s">
        <v>37</v>
      </c>
      <c r="D736" s="10" t="s">
        <v>1566</v>
      </c>
      <c r="E736" s="21" t="s">
        <v>1819</v>
      </c>
      <c r="F736" s="22">
        <v>45985</v>
      </c>
      <c r="G736" s="22" t="s">
        <v>226</v>
      </c>
      <c r="H736" s="23" t="s">
        <v>27</v>
      </c>
      <c r="I736" t="s">
        <v>176</v>
      </c>
      <c r="J736" s="14" t="s">
        <v>139</v>
      </c>
      <c r="M736" t="s">
        <v>1820</v>
      </c>
      <c r="N736" t="s">
        <v>30</v>
      </c>
      <c r="O736" t="s">
        <v>40</v>
      </c>
      <c r="P736" s="22">
        <v>45987</v>
      </c>
      <c r="Q736" s="22">
        <v>45987</v>
      </c>
      <c r="R736">
        <v>2</v>
      </c>
      <c r="S736" t="s">
        <v>153</v>
      </c>
      <c r="T736" t="s">
        <v>1754</v>
      </c>
      <c r="U736" t="s">
        <v>1755</v>
      </c>
      <c r="V736" t="s">
        <v>1498</v>
      </c>
      <c r="W736" t="s">
        <v>1756</v>
      </c>
    </row>
    <row r="737" spans="1:23" x14ac:dyDescent="0.25">
      <c r="A737" t="s">
        <v>1821</v>
      </c>
      <c r="B737" s="8" t="str">
        <f t="shared" si="11"/>
        <v>STI1C7945987</v>
      </c>
      <c r="C737" t="s">
        <v>44</v>
      </c>
      <c r="D737" s="10" t="s">
        <v>1566</v>
      </c>
      <c r="E737" s="21" t="s">
        <v>1822</v>
      </c>
      <c r="F737" s="22">
        <v>45982</v>
      </c>
      <c r="G737" s="22" t="s">
        <v>226</v>
      </c>
      <c r="H737" s="23" t="s">
        <v>27</v>
      </c>
      <c r="I737" t="s">
        <v>28</v>
      </c>
      <c r="J737" s="15" t="s">
        <v>29</v>
      </c>
      <c r="M737" t="s">
        <v>1823</v>
      </c>
      <c r="N737" t="s">
        <v>30</v>
      </c>
      <c r="O737" t="s">
        <v>40</v>
      </c>
      <c r="P737" s="22">
        <v>45987</v>
      </c>
      <c r="Q737" s="22">
        <v>45987</v>
      </c>
      <c r="R737">
        <v>6</v>
      </c>
      <c r="S737" s="8" t="s">
        <v>32</v>
      </c>
      <c r="T737" t="s">
        <v>1824</v>
      </c>
      <c r="U737" t="s">
        <v>1825</v>
      </c>
      <c r="V737" t="s">
        <v>1498</v>
      </c>
      <c r="W737" t="s">
        <v>1826</v>
      </c>
    </row>
    <row r="738" spans="1:23" x14ac:dyDescent="0.25">
      <c r="A738" s="28" t="s">
        <v>1827</v>
      </c>
      <c r="B738" s="8" t="str">
        <f t="shared" si="11"/>
        <v>RFV4G6845987</v>
      </c>
      <c r="C738" s="9" t="s">
        <v>127</v>
      </c>
      <c r="D738" s="10">
        <v>38598</v>
      </c>
      <c r="E738" s="29" t="s">
        <v>1828</v>
      </c>
      <c r="F738" s="12">
        <v>45811</v>
      </c>
      <c r="G738" s="10" t="s">
        <v>149</v>
      </c>
      <c r="H738" s="10" t="s">
        <v>27</v>
      </c>
      <c r="I738" s="14" t="s">
        <v>28</v>
      </c>
      <c r="J738" s="14" t="s">
        <v>29</v>
      </c>
      <c r="K738" s="15"/>
      <c r="L738" s="15"/>
      <c r="M738" s="16" t="e">
        <f>VLOOKUP([1]!Tabela1[[#This Row],[Placa]],'[1]Base Cadastro '!C:O,13,FALSE)</f>
        <v>#VALUE!</v>
      </c>
      <c r="N738" s="8" t="s">
        <v>30</v>
      </c>
      <c r="O738" s="8" t="s">
        <v>388</v>
      </c>
      <c r="P738" s="30">
        <v>45990</v>
      </c>
      <c r="Q738" s="18">
        <v>45987</v>
      </c>
      <c r="R738" s="9" t="e">
        <f ca="1">IFERROR(DATEDIF([1]!Tabela1[[#This Row],[Data Agenda]],[1]!Tabela1[[#This Row],[Liberado]],"D"),DATEDIF([1]!Tabela1[[#This Row],[Data Agenda]],TODAY(),"D"))</f>
        <v>#VALUE!</v>
      </c>
      <c r="S738" s="31" t="e">
        <f>IF([1]!Tabela1[[#This Row],[D+Manut]]&lt;=2,"Dentro do Prazo","Fora do Prazo")</f>
        <v>#VALUE!</v>
      </c>
      <c r="T738" s="8" t="s">
        <v>1829</v>
      </c>
      <c r="U738" s="8" t="s">
        <v>594</v>
      </c>
      <c r="V738" s="8" t="s">
        <v>135</v>
      </c>
      <c r="W738" s="19" t="e">
        <f>VLOOKUP([1]!Tabela1[[#This Row],[Placa]],[1]!DadosViagem5[[Placa]:[Base]],11,FALSE)</f>
        <v>#VALUE!</v>
      </c>
    </row>
    <row r="739" spans="1:23" x14ac:dyDescent="0.25">
      <c r="A739" t="s">
        <v>1830</v>
      </c>
      <c r="C739" t="s">
        <v>96</v>
      </c>
      <c r="D739" s="10">
        <v>40880</v>
      </c>
      <c r="E739" t="s">
        <v>1077</v>
      </c>
      <c r="F739" s="22">
        <v>45979</v>
      </c>
      <c r="G739" t="s">
        <v>1703</v>
      </c>
      <c r="H739" t="s">
        <v>27</v>
      </c>
      <c r="I739" s="14" t="s">
        <v>28</v>
      </c>
      <c r="J739" s="14" t="s">
        <v>29</v>
      </c>
      <c r="M739" t="s">
        <v>497</v>
      </c>
      <c r="N739" t="s">
        <v>30</v>
      </c>
      <c r="O739" t="s">
        <v>40</v>
      </c>
      <c r="P739" s="30">
        <v>45988</v>
      </c>
      <c r="Q739" s="22">
        <v>45987</v>
      </c>
      <c r="R739">
        <v>8</v>
      </c>
      <c r="S739" s="8" t="s">
        <v>32</v>
      </c>
      <c r="T739" s="32" t="s">
        <v>66</v>
      </c>
      <c r="U739" s="32" t="s">
        <v>47</v>
      </c>
      <c r="V739" t="s">
        <v>1498</v>
      </c>
      <c r="W739" t="s">
        <v>1234</v>
      </c>
    </row>
    <row r="740" spans="1:23" x14ac:dyDescent="0.25">
      <c r="A740" t="s">
        <v>1831</v>
      </c>
      <c r="C740" t="s">
        <v>224</v>
      </c>
      <c r="D740" s="10" t="s">
        <v>1566</v>
      </c>
      <c r="E740" t="s">
        <v>1832</v>
      </c>
      <c r="F740" s="22">
        <v>45987</v>
      </c>
      <c r="G740" s="22" t="s">
        <v>226</v>
      </c>
      <c r="H740" t="s">
        <v>27</v>
      </c>
      <c r="I740" t="s">
        <v>28</v>
      </c>
      <c r="J740" t="s">
        <v>29</v>
      </c>
      <c r="M740" t="s">
        <v>485</v>
      </c>
      <c r="N740" t="s">
        <v>30</v>
      </c>
      <c r="O740" t="s">
        <v>40</v>
      </c>
      <c r="P740" s="30">
        <v>45987</v>
      </c>
      <c r="Q740" s="22">
        <v>45987</v>
      </c>
      <c r="R740">
        <v>0</v>
      </c>
      <c r="S740" t="s">
        <v>153</v>
      </c>
      <c r="T740" t="s">
        <v>98</v>
      </c>
      <c r="U740" t="s">
        <v>486</v>
      </c>
      <c r="V740" t="s">
        <v>1498</v>
      </c>
      <c r="W740" t="s">
        <v>1281</v>
      </c>
    </row>
    <row r="741" spans="1:23" x14ac:dyDescent="0.25">
      <c r="A741" t="s">
        <v>916</v>
      </c>
      <c r="C741" t="s">
        <v>44</v>
      </c>
      <c r="D741" s="10">
        <v>183063</v>
      </c>
      <c r="E741" t="s">
        <v>1833</v>
      </c>
      <c r="F741" s="22">
        <v>45985</v>
      </c>
      <c r="G741" s="22" t="s">
        <v>138</v>
      </c>
      <c r="H741" t="s">
        <v>27</v>
      </c>
      <c r="I741" t="s">
        <v>28</v>
      </c>
      <c r="J741" t="s">
        <v>29</v>
      </c>
      <c r="M741" t="s">
        <v>343</v>
      </c>
      <c r="N741" t="s">
        <v>30</v>
      </c>
      <c r="O741" t="s">
        <v>40</v>
      </c>
      <c r="P741" s="22" t="s">
        <v>86</v>
      </c>
      <c r="Q741" s="22">
        <v>45987</v>
      </c>
      <c r="R741">
        <v>2</v>
      </c>
      <c r="S741" t="s">
        <v>153</v>
      </c>
      <c r="T741" t="s">
        <v>98</v>
      </c>
      <c r="U741" t="s">
        <v>1808</v>
      </c>
      <c r="V741" t="s">
        <v>1498</v>
      </c>
      <c r="W741" s="23" t="s">
        <v>1164</v>
      </c>
    </row>
    <row r="742" spans="1:23" x14ac:dyDescent="0.25">
      <c r="A742" t="s">
        <v>1249</v>
      </c>
      <c r="C742" t="s">
        <v>72</v>
      </c>
      <c r="D742" s="10">
        <v>258003</v>
      </c>
      <c r="E742" t="s">
        <v>1834</v>
      </c>
      <c r="F742" s="22">
        <v>45983</v>
      </c>
      <c r="G742" s="22" t="s">
        <v>123</v>
      </c>
      <c r="H742" t="s">
        <v>27</v>
      </c>
      <c r="I742" t="s">
        <v>28</v>
      </c>
      <c r="J742" s="14" t="s">
        <v>139</v>
      </c>
      <c r="M742" t="s">
        <v>374</v>
      </c>
      <c r="N742" t="s">
        <v>30</v>
      </c>
      <c r="O742" t="s">
        <v>40</v>
      </c>
      <c r="P742" s="22">
        <v>45988</v>
      </c>
      <c r="Q742" s="22">
        <v>45988</v>
      </c>
      <c r="R742">
        <v>5</v>
      </c>
      <c r="S742" t="s">
        <v>32</v>
      </c>
      <c r="T742" t="s">
        <v>1835</v>
      </c>
      <c r="U742" t="s">
        <v>393</v>
      </c>
      <c r="V742" t="s">
        <v>1186</v>
      </c>
      <c r="W742" t="s">
        <v>1251</v>
      </c>
    </row>
    <row r="743" spans="1:23" x14ac:dyDescent="0.25">
      <c r="A743" t="s">
        <v>144</v>
      </c>
      <c r="C743" t="s">
        <v>24</v>
      </c>
      <c r="D743">
        <v>61819</v>
      </c>
      <c r="E743" t="s">
        <v>595</v>
      </c>
      <c r="F743" s="22">
        <v>45982</v>
      </c>
      <c r="G743" t="s">
        <v>138</v>
      </c>
      <c r="H743" t="s">
        <v>27</v>
      </c>
      <c r="I743" t="s">
        <v>28</v>
      </c>
      <c r="J743" t="s">
        <v>139</v>
      </c>
      <c r="M743" t="s">
        <v>140</v>
      </c>
      <c r="N743" t="s">
        <v>30</v>
      </c>
      <c r="O743" t="s">
        <v>40</v>
      </c>
      <c r="P743" s="22">
        <v>45989</v>
      </c>
      <c r="Q743" s="22">
        <v>45988</v>
      </c>
      <c r="R743">
        <v>6</v>
      </c>
      <c r="S743" t="s">
        <v>32</v>
      </c>
      <c r="T743" t="s">
        <v>1048</v>
      </c>
      <c r="U743" t="s">
        <v>1489</v>
      </c>
      <c r="V743" t="s">
        <v>1186</v>
      </c>
      <c r="W743" t="s">
        <v>1238</v>
      </c>
    </row>
    <row r="744" spans="1:23" x14ac:dyDescent="0.25">
      <c r="A744" t="s">
        <v>378</v>
      </c>
      <c r="C744" t="s">
        <v>44</v>
      </c>
      <c r="D744">
        <v>217756</v>
      </c>
      <c r="E744" t="s">
        <v>1836</v>
      </c>
      <c r="F744" s="22">
        <v>45985</v>
      </c>
      <c r="G744" t="s">
        <v>123</v>
      </c>
      <c r="H744" t="s">
        <v>27</v>
      </c>
      <c r="I744" t="s">
        <v>28</v>
      </c>
      <c r="J744" t="s">
        <v>139</v>
      </c>
      <c r="M744" t="s">
        <v>237</v>
      </c>
      <c r="N744" t="s">
        <v>30</v>
      </c>
      <c r="O744" t="s">
        <v>40</v>
      </c>
      <c r="P744" s="22">
        <v>45988</v>
      </c>
      <c r="Q744" s="22">
        <v>45988</v>
      </c>
      <c r="R744">
        <v>4</v>
      </c>
      <c r="S744" t="s">
        <v>32</v>
      </c>
      <c r="T744" t="s">
        <v>41</v>
      </c>
      <c r="U744" t="s">
        <v>1513</v>
      </c>
      <c r="V744" t="s">
        <v>1186</v>
      </c>
      <c r="W744" t="s">
        <v>1205</v>
      </c>
    </row>
    <row r="745" spans="1:23" x14ac:dyDescent="0.25">
      <c r="A745" t="s">
        <v>1837</v>
      </c>
      <c r="C745" t="s">
        <v>127</v>
      </c>
      <c r="D745">
        <v>68445</v>
      </c>
      <c r="E745" t="s">
        <v>1838</v>
      </c>
      <c r="F745" s="22">
        <v>45967</v>
      </c>
      <c r="G745" t="s">
        <v>364</v>
      </c>
      <c r="H745" t="s">
        <v>27</v>
      </c>
      <c r="I745" t="s">
        <v>28</v>
      </c>
      <c r="J745" t="s">
        <v>29</v>
      </c>
      <c r="M745" t="s">
        <v>334</v>
      </c>
      <c r="N745" t="s">
        <v>30</v>
      </c>
      <c r="O745" t="s">
        <v>40</v>
      </c>
      <c r="P745" s="22">
        <v>45988</v>
      </c>
      <c r="Q745" s="22">
        <v>45988</v>
      </c>
      <c r="R745">
        <v>21</v>
      </c>
      <c r="S745" t="s">
        <v>32</v>
      </c>
      <c r="T745" t="s">
        <v>1839</v>
      </c>
      <c r="U745" t="s">
        <v>1840</v>
      </c>
      <c r="V745" t="s">
        <v>1186</v>
      </c>
      <c r="W745" t="s">
        <v>1841</v>
      </c>
    </row>
    <row r="746" spans="1:23" x14ac:dyDescent="0.25">
      <c r="A746" t="s">
        <v>1441</v>
      </c>
      <c r="C746" t="s">
        <v>626</v>
      </c>
      <c r="D746" t="s">
        <v>1566</v>
      </c>
      <c r="E746" t="s">
        <v>1842</v>
      </c>
      <c r="F746" s="22"/>
      <c r="G746" t="s">
        <v>226</v>
      </c>
      <c r="H746" t="s">
        <v>27</v>
      </c>
      <c r="I746" t="s">
        <v>28</v>
      </c>
      <c r="J746" t="s">
        <v>1104</v>
      </c>
      <c r="M746" t="s">
        <v>485</v>
      </c>
      <c r="N746" t="s">
        <v>228</v>
      </c>
      <c r="O746" t="s">
        <v>40</v>
      </c>
      <c r="P746" s="22">
        <v>45988</v>
      </c>
      <c r="Q746" s="22">
        <v>45988</v>
      </c>
      <c r="R746">
        <v>45988</v>
      </c>
      <c r="S746" t="s">
        <v>32</v>
      </c>
      <c r="T746" t="s">
        <v>392</v>
      </c>
      <c r="U746" t="s">
        <v>1700</v>
      </c>
      <c r="V746" t="s">
        <v>1498</v>
      </c>
      <c r="W746" t="s">
        <v>1281</v>
      </c>
    </row>
    <row r="747" spans="1:23" x14ac:dyDescent="0.25">
      <c r="A747" t="s">
        <v>1843</v>
      </c>
      <c r="C747" t="s">
        <v>127</v>
      </c>
      <c r="D747">
        <v>63812</v>
      </c>
      <c r="E747" t="s">
        <v>1844</v>
      </c>
      <c r="F747" s="22">
        <v>45969</v>
      </c>
      <c r="G747" t="s">
        <v>123</v>
      </c>
      <c r="H747" t="s">
        <v>27</v>
      </c>
      <c r="I747" t="s">
        <v>28</v>
      </c>
      <c r="J747" t="s">
        <v>29</v>
      </c>
      <c r="M747" t="s">
        <v>237</v>
      </c>
      <c r="N747" t="s">
        <v>30</v>
      </c>
      <c r="O747" t="s">
        <v>388</v>
      </c>
      <c r="P747" s="22">
        <v>45988</v>
      </c>
      <c r="Q747" s="22">
        <v>45988</v>
      </c>
      <c r="R747">
        <v>19</v>
      </c>
      <c r="S747" t="s">
        <v>32</v>
      </c>
      <c r="T747" t="s">
        <v>1649</v>
      </c>
      <c r="U747" t="s">
        <v>1513</v>
      </c>
      <c r="V747" t="s">
        <v>1186</v>
      </c>
      <c r="W747" t="s">
        <v>1205</v>
      </c>
    </row>
    <row r="748" spans="1:23" x14ac:dyDescent="0.25">
      <c r="A748" t="s">
        <v>1845</v>
      </c>
      <c r="C748" t="s">
        <v>224</v>
      </c>
      <c r="D748" t="s">
        <v>1566</v>
      </c>
      <c r="E748" t="s">
        <v>1846</v>
      </c>
      <c r="F748" s="22">
        <v>45982</v>
      </c>
      <c r="G748" t="s">
        <v>123</v>
      </c>
      <c r="H748" t="s">
        <v>27</v>
      </c>
      <c r="I748" t="s">
        <v>28</v>
      </c>
      <c r="J748" t="s">
        <v>139</v>
      </c>
      <c r="M748" t="s">
        <v>214</v>
      </c>
      <c r="N748" t="s">
        <v>30</v>
      </c>
      <c r="O748" t="s">
        <v>40</v>
      </c>
      <c r="P748" s="22" t="s">
        <v>86</v>
      </c>
      <c r="Q748" s="22">
        <v>45988</v>
      </c>
      <c r="R748">
        <v>6</v>
      </c>
      <c r="S748" t="s">
        <v>32</v>
      </c>
      <c r="T748" t="s">
        <v>98</v>
      </c>
      <c r="U748" t="s">
        <v>215</v>
      </c>
      <c r="V748" t="s">
        <v>1186</v>
      </c>
      <c r="W748" t="s">
        <v>1242</v>
      </c>
    </row>
    <row r="749" spans="1:23" x14ac:dyDescent="0.25">
      <c r="A749" t="s">
        <v>1441</v>
      </c>
      <c r="C749" s="24" t="s">
        <v>168</v>
      </c>
      <c r="D749" t="s">
        <v>1566</v>
      </c>
      <c r="E749" t="s">
        <v>236</v>
      </c>
      <c r="F749" s="22">
        <v>45987</v>
      </c>
      <c r="G749" t="s">
        <v>123</v>
      </c>
      <c r="H749" t="s">
        <v>27</v>
      </c>
      <c r="I749" t="s">
        <v>176</v>
      </c>
      <c r="J749" t="s">
        <v>29</v>
      </c>
      <c r="M749" t="s">
        <v>374</v>
      </c>
      <c r="N749" t="s">
        <v>30</v>
      </c>
      <c r="O749" t="s">
        <v>40</v>
      </c>
      <c r="P749" s="22">
        <v>45988</v>
      </c>
      <c r="Q749" s="22">
        <v>45988</v>
      </c>
      <c r="R749">
        <v>1</v>
      </c>
      <c r="S749" s="8" t="s">
        <v>153</v>
      </c>
      <c r="T749" t="s">
        <v>392</v>
      </c>
      <c r="U749" t="s">
        <v>393</v>
      </c>
      <c r="V749" t="s">
        <v>1186</v>
      </c>
      <c r="W749" s="19" t="s">
        <v>1251</v>
      </c>
    </row>
    <row r="750" spans="1:23" x14ac:dyDescent="0.25">
      <c r="A750" t="s">
        <v>438</v>
      </c>
      <c r="C750" t="s">
        <v>224</v>
      </c>
      <c r="D750">
        <v>117042</v>
      </c>
      <c r="E750" t="s">
        <v>1847</v>
      </c>
      <c r="F750" s="22"/>
      <c r="G750" t="s">
        <v>226</v>
      </c>
      <c r="H750" t="s">
        <v>27</v>
      </c>
      <c r="I750" t="s">
        <v>28</v>
      </c>
      <c r="J750" t="s">
        <v>29</v>
      </c>
      <c r="M750" t="s">
        <v>315</v>
      </c>
      <c r="N750" t="s">
        <v>228</v>
      </c>
      <c r="O750" t="s">
        <v>40</v>
      </c>
      <c r="P750" s="22">
        <v>45988</v>
      </c>
      <c r="Q750" s="22">
        <v>45988</v>
      </c>
      <c r="R750">
        <v>45988</v>
      </c>
      <c r="S750" t="s">
        <v>32</v>
      </c>
      <c r="T750" t="s">
        <v>98</v>
      </c>
      <c r="U750" t="s">
        <v>254</v>
      </c>
      <c r="V750" t="s">
        <v>1498</v>
      </c>
      <c r="W750" t="s">
        <v>1189</v>
      </c>
    </row>
    <row r="751" spans="1:23" x14ac:dyDescent="0.25">
      <c r="A751" t="s">
        <v>1848</v>
      </c>
      <c r="C751" t="s">
        <v>37</v>
      </c>
      <c r="D751" t="s">
        <v>1566</v>
      </c>
      <c r="E751" t="s">
        <v>1849</v>
      </c>
      <c r="F751" s="22">
        <v>45988</v>
      </c>
      <c r="G751" t="s">
        <v>149</v>
      </c>
      <c r="H751" t="s">
        <v>27</v>
      </c>
      <c r="I751" t="s">
        <v>28</v>
      </c>
      <c r="J751" t="s">
        <v>29</v>
      </c>
      <c r="M751" t="s">
        <v>361</v>
      </c>
      <c r="N751" t="s">
        <v>30</v>
      </c>
      <c r="O751" t="s">
        <v>40</v>
      </c>
      <c r="P751" s="22" t="s">
        <v>86</v>
      </c>
      <c r="Q751" s="22">
        <v>45988</v>
      </c>
      <c r="R751">
        <v>0</v>
      </c>
      <c r="S751" t="s">
        <v>153</v>
      </c>
      <c r="T751" t="s">
        <v>1850</v>
      </c>
      <c r="U751" t="s">
        <v>1851</v>
      </c>
      <c r="V751" t="s">
        <v>1498</v>
      </c>
      <c r="W751" t="s">
        <v>1852</v>
      </c>
    </row>
    <row r="752" spans="1:23" x14ac:dyDescent="0.25">
      <c r="A752" t="s">
        <v>1853</v>
      </c>
      <c r="C752" t="s">
        <v>96</v>
      </c>
      <c r="D752" t="s">
        <v>383</v>
      </c>
      <c r="E752" t="s">
        <v>1854</v>
      </c>
      <c r="F752" s="22">
        <v>45988</v>
      </c>
      <c r="G752" t="s">
        <v>1703</v>
      </c>
      <c r="H752" t="s">
        <v>27</v>
      </c>
      <c r="I752" t="s">
        <v>28</v>
      </c>
      <c r="J752" t="s">
        <v>29</v>
      </c>
      <c r="M752" t="s">
        <v>233</v>
      </c>
      <c r="N752" t="s">
        <v>30</v>
      </c>
      <c r="O752" t="s">
        <v>40</v>
      </c>
      <c r="P752" s="22" t="s">
        <v>86</v>
      </c>
      <c r="Q752" s="22">
        <v>45988</v>
      </c>
      <c r="R752">
        <v>0</v>
      </c>
      <c r="S752" t="s">
        <v>153</v>
      </c>
      <c r="T752" t="s">
        <v>1855</v>
      </c>
      <c r="U752" t="s">
        <v>234</v>
      </c>
      <c r="V752" t="s">
        <v>1498</v>
      </c>
      <c r="W752" t="s">
        <v>1290</v>
      </c>
    </row>
    <row r="753" spans="1:23" x14ac:dyDescent="0.25">
      <c r="A753" t="s">
        <v>1119</v>
      </c>
      <c r="C753" t="s">
        <v>50</v>
      </c>
      <c r="D753" t="s">
        <v>1566</v>
      </c>
      <c r="E753" t="s">
        <v>895</v>
      </c>
      <c r="F753" s="22">
        <v>45987</v>
      </c>
      <c r="G753" t="s">
        <v>123</v>
      </c>
      <c r="H753" t="s">
        <v>27</v>
      </c>
      <c r="I753" t="s">
        <v>28</v>
      </c>
      <c r="J753" t="s">
        <v>139</v>
      </c>
      <c r="M753" t="s">
        <v>237</v>
      </c>
      <c r="N753" t="s">
        <v>30</v>
      </c>
      <c r="O753" t="s">
        <v>40</v>
      </c>
      <c r="P753" s="22">
        <v>45987</v>
      </c>
      <c r="Q753" s="22">
        <v>45988</v>
      </c>
      <c r="R753">
        <v>1</v>
      </c>
      <c r="S753" t="s">
        <v>153</v>
      </c>
      <c r="T753" t="s">
        <v>201</v>
      </c>
      <c r="U753" t="s">
        <v>1513</v>
      </c>
      <c r="V753" t="s">
        <v>1186</v>
      </c>
      <c r="W753" t="s">
        <v>1205</v>
      </c>
    </row>
    <row r="754" spans="1:23" x14ac:dyDescent="0.25">
      <c r="A754" t="s">
        <v>1216</v>
      </c>
      <c r="C754" t="s">
        <v>24</v>
      </c>
      <c r="D754">
        <v>83411</v>
      </c>
      <c r="E754" t="s">
        <v>1856</v>
      </c>
      <c r="F754" s="22">
        <v>45962</v>
      </c>
      <c r="G754" t="s">
        <v>123</v>
      </c>
      <c r="H754" t="s">
        <v>27</v>
      </c>
      <c r="I754" t="s">
        <v>28</v>
      </c>
      <c r="J754" t="s">
        <v>139</v>
      </c>
      <c r="M754" t="s">
        <v>326</v>
      </c>
      <c r="N754" t="s">
        <v>30</v>
      </c>
      <c r="O754" t="s">
        <v>40</v>
      </c>
      <c r="P754" s="22" t="s">
        <v>86</v>
      </c>
      <c r="Q754" s="22">
        <v>45988</v>
      </c>
      <c r="R754">
        <v>26</v>
      </c>
      <c r="S754" t="s">
        <v>32</v>
      </c>
      <c r="T754" t="s">
        <v>1857</v>
      </c>
      <c r="U754" t="s">
        <v>177</v>
      </c>
      <c r="V754" t="s">
        <v>1186</v>
      </c>
      <c r="W754" t="s">
        <v>1169</v>
      </c>
    </row>
    <row r="755" spans="1:23" x14ac:dyDescent="0.25">
      <c r="A755" t="s">
        <v>1858</v>
      </c>
      <c r="C755" t="s">
        <v>24</v>
      </c>
      <c r="D755" t="s">
        <v>383</v>
      </c>
      <c r="E755" t="s">
        <v>1859</v>
      </c>
      <c r="F755" s="22">
        <v>45973</v>
      </c>
      <c r="G755" t="s">
        <v>760</v>
      </c>
      <c r="H755" t="s">
        <v>52</v>
      </c>
      <c r="I755" t="s">
        <v>28</v>
      </c>
      <c r="J755" t="s">
        <v>29</v>
      </c>
      <c r="M755" t="s">
        <v>511</v>
      </c>
      <c r="N755" t="s">
        <v>1860</v>
      </c>
      <c r="O755" t="s">
        <v>52</v>
      </c>
      <c r="P755" s="22">
        <v>45996</v>
      </c>
      <c r="Q755" s="22">
        <v>45988</v>
      </c>
      <c r="R755">
        <v>15</v>
      </c>
      <c r="S755" t="s">
        <v>32</v>
      </c>
      <c r="T755" t="s">
        <v>844</v>
      </c>
      <c r="V755" t="s">
        <v>1186</v>
      </c>
      <c r="W755" t="s">
        <v>1212</v>
      </c>
    </row>
    <row r="756" spans="1:23" x14ac:dyDescent="0.25">
      <c r="A756" t="s">
        <v>416</v>
      </c>
      <c r="C756" t="s">
        <v>79</v>
      </c>
      <c r="D756" t="s">
        <v>383</v>
      </c>
      <c r="E756" t="s">
        <v>1861</v>
      </c>
      <c r="F756" s="22">
        <v>45917</v>
      </c>
      <c r="G756" t="s">
        <v>226</v>
      </c>
      <c r="H756" t="s">
        <v>27</v>
      </c>
      <c r="I756" t="s">
        <v>28</v>
      </c>
      <c r="J756" t="s">
        <v>139</v>
      </c>
      <c r="K756">
        <v>2748.7</v>
      </c>
      <c r="M756" t="s">
        <v>186</v>
      </c>
      <c r="N756" t="s">
        <v>30</v>
      </c>
      <c r="O756" t="s">
        <v>40</v>
      </c>
      <c r="P756" s="22" t="s">
        <v>241</v>
      </c>
      <c r="Q756" s="22">
        <v>45988</v>
      </c>
      <c r="R756">
        <v>71</v>
      </c>
      <c r="S756" t="s">
        <v>32</v>
      </c>
      <c r="T756" t="s">
        <v>74</v>
      </c>
      <c r="U756" t="s">
        <v>188</v>
      </c>
      <c r="V756" t="s">
        <v>35</v>
      </c>
      <c r="W756" t="s">
        <v>1324</v>
      </c>
    </row>
    <row r="757" spans="1:23" x14ac:dyDescent="0.25">
      <c r="A757" t="s">
        <v>1862</v>
      </c>
      <c r="C757" t="s">
        <v>37</v>
      </c>
      <c r="D757" t="s">
        <v>1566</v>
      </c>
      <c r="E757" t="s">
        <v>1863</v>
      </c>
      <c r="F757" s="22">
        <v>45986</v>
      </c>
      <c r="G757" t="s">
        <v>226</v>
      </c>
      <c r="H757" t="s">
        <v>27</v>
      </c>
      <c r="I757" t="s">
        <v>28</v>
      </c>
      <c r="J757" t="s">
        <v>29</v>
      </c>
      <c r="M757">
        <v>0</v>
      </c>
      <c r="N757" t="s">
        <v>30</v>
      </c>
      <c r="O757" t="s">
        <v>40</v>
      </c>
      <c r="P757" s="22">
        <v>45987</v>
      </c>
      <c r="Q757" s="22">
        <v>45988</v>
      </c>
      <c r="R757">
        <v>2</v>
      </c>
      <c r="S757" t="s">
        <v>153</v>
      </c>
      <c r="T757" t="s">
        <v>1792</v>
      </c>
      <c r="U757" t="s">
        <v>1635</v>
      </c>
      <c r="V757" t="s">
        <v>1186</v>
      </c>
      <c r="W757" t="s">
        <v>1864</v>
      </c>
    </row>
    <row r="758" spans="1:23" x14ac:dyDescent="0.25">
      <c r="A758" t="s">
        <v>1865</v>
      </c>
      <c r="C758" t="s">
        <v>96</v>
      </c>
      <c r="D758" t="s">
        <v>1866</v>
      </c>
      <c r="E758" t="s">
        <v>961</v>
      </c>
      <c r="F758" s="22">
        <v>45953</v>
      </c>
      <c r="G758" t="s">
        <v>1703</v>
      </c>
      <c r="H758" t="s">
        <v>27</v>
      </c>
      <c r="I758" t="s">
        <v>28</v>
      </c>
      <c r="J758" t="s">
        <v>29</v>
      </c>
      <c r="M758" t="e">
        <v>#N/A</v>
      </c>
      <c r="N758" t="s">
        <v>172</v>
      </c>
      <c r="O758" t="s">
        <v>40</v>
      </c>
      <c r="P758" s="22">
        <v>45989</v>
      </c>
      <c r="Q758" s="22">
        <v>45988</v>
      </c>
      <c r="R758">
        <v>35</v>
      </c>
      <c r="S758" t="s">
        <v>32</v>
      </c>
      <c r="T758" t="s">
        <v>1071</v>
      </c>
      <c r="U758" t="s">
        <v>486</v>
      </c>
      <c r="V758" t="s">
        <v>320</v>
      </c>
      <c r="W758" t="s">
        <v>1220</v>
      </c>
    </row>
    <row r="759" spans="1:23" x14ac:dyDescent="0.25">
      <c r="A759" t="s">
        <v>937</v>
      </c>
      <c r="C759" t="s">
        <v>79</v>
      </c>
      <c r="D759">
        <v>84039</v>
      </c>
      <c r="E759" t="s">
        <v>1867</v>
      </c>
      <c r="F759" s="22">
        <v>45971</v>
      </c>
      <c r="G759" t="s">
        <v>226</v>
      </c>
      <c r="H759" t="s">
        <v>27</v>
      </c>
      <c r="I759" t="s">
        <v>28</v>
      </c>
      <c r="J759" t="s">
        <v>139</v>
      </c>
      <c r="M759" t="s">
        <v>1868</v>
      </c>
      <c r="N759" t="s">
        <v>30</v>
      </c>
      <c r="O759" t="s">
        <v>40</v>
      </c>
      <c r="P759" s="22" t="s">
        <v>1869</v>
      </c>
      <c r="Q759" s="22">
        <v>45988</v>
      </c>
      <c r="R759">
        <v>17</v>
      </c>
      <c r="S759" t="s">
        <v>32</v>
      </c>
      <c r="T759" t="s">
        <v>1870</v>
      </c>
      <c r="U759" t="s">
        <v>940</v>
      </c>
      <c r="V759" t="s">
        <v>1186</v>
      </c>
      <c r="W759" t="s">
        <v>1871</v>
      </c>
    </row>
    <row r="760" spans="1:23" x14ac:dyDescent="0.25">
      <c r="A760" t="s">
        <v>1872</v>
      </c>
      <c r="C760" t="s">
        <v>1873</v>
      </c>
      <c r="D760">
        <v>94647</v>
      </c>
      <c r="E760" t="s">
        <v>1874</v>
      </c>
      <c r="F760" s="22">
        <v>45986</v>
      </c>
      <c r="G760" t="s">
        <v>743</v>
      </c>
      <c r="I760" t="s">
        <v>28</v>
      </c>
      <c r="J760" t="s">
        <v>29</v>
      </c>
      <c r="M760" t="s">
        <v>387</v>
      </c>
      <c r="N760" t="s">
        <v>30</v>
      </c>
      <c r="P760" s="22">
        <v>45988</v>
      </c>
      <c r="Q760" s="22">
        <v>45988</v>
      </c>
      <c r="R760">
        <v>2</v>
      </c>
      <c r="S760" t="s">
        <v>153</v>
      </c>
      <c r="T760" t="s">
        <v>1875</v>
      </c>
      <c r="U760" t="s">
        <v>1876</v>
      </c>
      <c r="V760" t="s">
        <v>1498</v>
      </c>
      <c r="W760" t="s">
        <v>1204</v>
      </c>
    </row>
    <row r="761" spans="1:23" x14ac:dyDescent="0.25">
      <c r="A761" t="s">
        <v>780</v>
      </c>
      <c r="C761" t="s">
        <v>24</v>
      </c>
      <c r="E761" t="s">
        <v>1877</v>
      </c>
      <c r="F761" s="22">
        <v>45988</v>
      </c>
      <c r="G761" t="s">
        <v>138</v>
      </c>
      <c r="H761" t="s">
        <v>27</v>
      </c>
      <c r="I761" t="s">
        <v>28</v>
      </c>
      <c r="J761" t="s">
        <v>139</v>
      </c>
      <c r="M761" t="s">
        <v>140</v>
      </c>
      <c r="N761" t="s">
        <v>30</v>
      </c>
      <c r="O761" t="s">
        <v>40</v>
      </c>
      <c r="P761" s="22">
        <v>45988</v>
      </c>
      <c r="Q761" s="22">
        <v>45988</v>
      </c>
      <c r="R761">
        <v>0</v>
      </c>
      <c r="S761" t="s">
        <v>153</v>
      </c>
      <c r="T761" t="s">
        <v>98</v>
      </c>
      <c r="U761" t="s">
        <v>1489</v>
      </c>
      <c r="V761" t="s">
        <v>1498</v>
      </c>
      <c r="W761" t="s">
        <v>1238</v>
      </c>
    </row>
    <row r="762" spans="1:23" x14ac:dyDescent="0.25">
      <c r="A762" t="s">
        <v>1691</v>
      </c>
      <c r="C762" t="s">
        <v>50</v>
      </c>
      <c r="D762">
        <v>55806</v>
      </c>
      <c r="E762" t="s">
        <v>1878</v>
      </c>
      <c r="F762" s="22">
        <v>45987</v>
      </c>
      <c r="G762" t="s">
        <v>138</v>
      </c>
      <c r="H762" t="s">
        <v>27</v>
      </c>
      <c r="I762" t="s">
        <v>28</v>
      </c>
      <c r="J762" t="s">
        <v>139</v>
      </c>
      <c r="M762" t="s">
        <v>587</v>
      </c>
      <c r="N762" t="s">
        <v>30</v>
      </c>
      <c r="O762" t="s">
        <v>388</v>
      </c>
      <c r="P762" s="22">
        <v>45993</v>
      </c>
      <c r="Q762" s="22">
        <v>45988</v>
      </c>
      <c r="R762">
        <v>1</v>
      </c>
      <c r="S762" t="s">
        <v>153</v>
      </c>
      <c r="T762" t="s">
        <v>1879</v>
      </c>
      <c r="U762" t="s">
        <v>1880</v>
      </c>
      <c r="V762" t="s">
        <v>1498</v>
      </c>
      <c r="W762" t="s">
        <v>1455</v>
      </c>
    </row>
    <row r="763" spans="1:23" x14ac:dyDescent="0.25">
      <c r="A763" t="s">
        <v>1881</v>
      </c>
      <c r="C763" t="s">
        <v>926</v>
      </c>
      <c r="D763" t="s">
        <v>1566</v>
      </c>
      <c r="E763" t="s">
        <v>236</v>
      </c>
      <c r="F763" s="22">
        <v>45988</v>
      </c>
      <c r="G763" t="s">
        <v>138</v>
      </c>
      <c r="H763" t="s">
        <v>27</v>
      </c>
      <c r="I763" t="s">
        <v>28</v>
      </c>
      <c r="J763" t="s">
        <v>29</v>
      </c>
      <c r="M763" t="s">
        <v>752</v>
      </c>
      <c r="N763" t="s">
        <v>287</v>
      </c>
      <c r="O763" t="s">
        <v>40</v>
      </c>
      <c r="P763" s="22">
        <v>45988</v>
      </c>
      <c r="Q763" s="22">
        <v>45988</v>
      </c>
      <c r="R763">
        <v>0</v>
      </c>
      <c r="S763" t="s">
        <v>153</v>
      </c>
      <c r="T763" t="s">
        <v>98</v>
      </c>
      <c r="U763" t="s">
        <v>513</v>
      </c>
      <c r="V763" t="s">
        <v>1498</v>
      </c>
      <c r="W763" t="s">
        <v>1208</v>
      </c>
    </row>
    <row r="764" spans="1:23" x14ac:dyDescent="0.25">
      <c r="A764" t="s">
        <v>1882</v>
      </c>
      <c r="C764" t="s">
        <v>24</v>
      </c>
      <c r="D764">
        <v>63032</v>
      </c>
      <c r="E764" t="s">
        <v>1883</v>
      </c>
      <c r="F764" s="22">
        <v>45985</v>
      </c>
      <c r="G764" t="s">
        <v>138</v>
      </c>
      <c r="H764" t="s">
        <v>27</v>
      </c>
      <c r="I764" t="s">
        <v>28</v>
      </c>
      <c r="J764" t="s">
        <v>139</v>
      </c>
      <c r="M764" t="s">
        <v>140</v>
      </c>
      <c r="N764" t="s">
        <v>30</v>
      </c>
      <c r="P764" s="22">
        <v>45988</v>
      </c>
      <c r="Q764" s="22">
        <v>45988</v>
      </c>
      <c r="R764">
        <v>3</v>
      </c>
      <c r="S764" t="s">
        <v>32</v>
      </c>
      <c r="T764" t="s">
        <v>98</v>
      </c>
      <c r="U764" t="s">
        <v>500</v>
      </c>
      <c r="V764" t="s">
        <v>1498</v>
      </c>
      <c r="W764" t="s">
        <v>1238</v>
      </c>
    </row>
    <row r="765" spans="1:23" x14ac:dyDescent="0.25">
      <c r="A765" t="s">
        <v>1884</v>
      </c>
      <c r="C765" t="s">
        <v>96</v>
      </c>
      <c r="D765">
        <v>60613</v>
      </c>
      <c r="E765" t="s">
        <v>895</v>
      </c>
      <c r="F765" s="22">
        <v>45967</v>
      </c>
      <c r="G765" t="s">
        <v>1703</v>
      </c>
      <c r="H765" t="s">
        <v>27</v>
      </c>
      <c r="I765" t="s">
        <v>28</v>
      </c>
      <c r="J765" t="s">
        <v>139</v>
      </c>
      <c r="M765" t="s">
        <v>587</v>
      </c>
      <c r="N765" t="s">
        <v>30</v>
      </c>
      <c r="O765" t="s">
        <v>40</v>
      </c>
      <c r="P765" s="22">
        <v>45989</v>
      </c>
      <c r="Q765" s="22">
        <v>45988</v>
      </c>
      <c r="S765" t="s">
        <v>153</v>
      </c>
      <c r="T765" t="s">
        <v>1641</v>
      </c>
      <c r="U765" t="s">
        <v>1454</v>
      </c>
      <c r="V765" t="s">
        <v>1498</v>
      </c>
      <c r="W765" t="s">
        <v>1455</v>
      </c>
    </row>
    <row r="766" spans="1:23" x14ac:dyDescent="0.25">
      <c r="A766" t="s">
        <v>131</v>
      </c>
      <c r="C766" t="s">
        <v>56</v>
      </c>
      <c r="D766">
        <v>38528</v>
      </c>
      <c r="E766" t="s">
        <v>328</v>
      </c>
      <c r="F766" s="22">
        <v>45979</v>
      </c>
      <c r="G766" t="s">
        <v>743</v>
      </c>
      <c r="H766" t="s">
        <v>27</v>
      </c>
      <c r="I766" t="s">
        <v>28</v>
      </c>
      <c r="J766" t="s">
        <v>139</v>
      </c>
      <c r="M766" t="s">
        <v>424</v>
      </c>
      <c r="N766" t="s">
        <v>30</v>
      </c>
      <c r="O766" t="s">
        <v>40</v>
      </c>
      <c r="P766" s="22">
        <v>45988</v>
      </c>
      <c r="Q766" s="22">
        <v>45988</v>
      </c>
      <c r="R766">
        <v>9</v>
      </c>
      <c r="S766" t="s">
        <v>32</v>
      </c>
      <c r="T766" t="s">
        <v>1617</v>
      </c>
      <c r="U766" t="s">
        <v>134</v>
      </c>
      <c r="V766" t="s">
        <v>1498</v>
      </c>
      <c r="W766" t="s">
        <v>1371</v>
      </c>
    </row>
    <row r="767" spans="1:23" x14ac:dyDescent="0.25">
      <c r="A767" t="s">
        <v>691</v>
      </c>
      <c r="C767" t="s">
        <v>44</v>
      </c>
      <c r="D767" t="s">
        <v>1566</v>
      </c>
      <c r="E767" t="s">
        <v>1885</v>
      </c>
      <c r="F767" s="22">
        <v>45986</v>
      </c>
      <c r="G767" t="s">
        <v>123</v>
      </c>
      <c r="H767" t="s">
        <v>27</v>
      </c>
      <c r="I767" t="s">
        <v>28</v>
      </c>
      <c r="J767" t="s">
        <v>29</v>
      </c>
      <c r="M767" t="s">
        <v>374</v>
      </c>
      <c r="N767" t="s">
        <v>30</v>
      </c>
      <c r="O767" t="s">
        <v>40</v>
      </c>
      <c r="P767" s="22">
        <v>45988</v>
      </c>
      <c r="Q767" s="22">
        <v>45988</v>
      </c>
      <c r="R767">
        <v>2</v>
      </c>
      <c r="S767" t="s">
        <v>32</v>
      </c>
      <c r="T767" t="s">
        <v>392</v>
      </c>
      <c r="U767" t="s">
        <v>393</v>
      </c>
      <c r="V767" t="s">
        <v>1498</v>
      </c>
      <c r="W767" s="19" t="s">
        <v>1251</v>
      </c>
    </row>
    <row r="768" spans="1:23" x14ac:dyDescent="0.25">
      <c r="A768" t="s">
        <v>1886</v>
      </c>
      <c r="C768" t="s">
        <v>224</v>
      </c>
      <c r="D768" t="s">
        <v>1116</v>
      </c>
      <c r="E768" t="s">
        <v>1887</v>
      </c>
      <c r="F768" s="22">
        <v>45958</v>
      </c>
      <c r="G768" t="s">
        <v>658</v>
      </c>
      <c r="H768" t="s">
        <v>52</v>
      </c>
      <c r="I768" t="s">
        <v>28</v>
      </c>
      <c r="J768" t="s">
        <v>29</v>
      </c>
      <c r="K768">
        <v>0</v>
      </c>
      <c r="L768">
        <v>0</v>
      </c>
      <c r="M768" t="s">
        <v>752</v>
      </c>
      <c r="N768" t="s">
        <v>287</v>
      </c>
      <c r="O768" t="s">
        <v>52</v>
      </c>
      <c r="P768" s="22">
        <v>45989</v>
      </c>
      <c r="Q768" s="22">
        <v>45989</v>
      </c>
      <c r="R768">
        <v>31</v>
      </c>
      <c r="S768" t="s">
        <v>32</v>
      </c>
      <c r="T768" t="s">
        <v>1342</v>
      </c>
      <c r="U768" t="s">
        <v>1568</v>
      </c>
      <c r="V768" t="s">
        <v>320</v>
      </c>
      <c r="W768" t="s">
        <v>1208</v>
      </c>
    </row>
    <row r="769" spans="1:23" x14ac:dyDescent="0.25">
      <c r="A769" t="s">
        <v>1447</v>
      </c>
      <c r="C769" t="s">
        <v>1408</v>
      </c>
      <c r="D769" t="s">
        <v>383</v>
      </c>
      <c r="E769" t="s">
        <v>595</v>
      </c>
      <c r="F769" s="22">
        <v>45986</v>
      </c>
      <c r="G769" t="s">
        <v>872</v>
      </c>
      <c r="H769" t="s">
        <v>27</v>
      </c>
      <c r="I769" t="s">
        <v>28</v>
      </c>
      <c r="J769" t="s">
        <v>29</v>
      </c>
      <c r="M769" t="e">
        <v>#N/A</v>
      </c>
      <c r="N769" t="s">
        <v>30</v>
      </c>
      <c r="O769" t="s">
        <v>40</v>
      </c>
      <c r="P769" s="22">
        <v>45992</v>
      </c>
      <c r="Q769" s="22">
        <v>45989</v>
      </c>
      <c r="R769">
        <v>3</v>
      </c>
      <c r="S769" t="s">
        <v>32</v>
      </c>
      <c r="T769" t="s">
        <v>1722</v>
      </c>
      <c r="U769" t="s">
        <v>1450</v>
      </c>
      <c r="V769" t="s">
        <v>1498</v>
      </c>
      <c r="W769" t="s">
        <v>1888</v>
      </c>
    </row>
    <row r="770" spans="1:23" x14ac:dyDescent="0.25">
      <c r="A770" t="s">
        <v>1004</v>
      </c>
      <c r="C770" t="s">
        <v>72</v>
      </c>
      <c r="D770" t="s">
        <v>1566</v>
      </c>
      <c r="E770" t="s">
        <v>1889</v>
      </c>
      <c r="F770" s="22">
        <v>45987</v>
      </c>
      <c r="G770" t="s">
        <v>743</v>
      </c>
      <c r="H770" t="s">
        <v>27</v>
      </c>
      <c r="I770" t="s">
        <v>28</v>
      </c>
      <c r="J770" t="s">
        <v>139</v>
      </c>
      <c r="M770" t="s">
        <v>420</v>
      </c>
      <c r="N770" t="s">
        <v>30</v>
      </c>
      <c r="O770" t="s">
        <v>40</v>
      </c>
      <c r="P770" s="22">
        <v>45988</v>
      </c>
      <c r="Q770" s="22">
        <v>45989</v>
      </c>
      <c r="R770">
        <v>2</v>
      </c>
      <c r="S770" t="s">
        <v>153</v>
      </c>
      <c r="T770" t="s">
        <v>1890</v>
      </c>
      <c r="U770" t="s">
        <v>265</v>
      </c>
      <c r="V770" t="s">
        <v>1498</v>
      </c>
      <c r="W770" t="s">
        <v>1225</v>
      </c>
    </row>
    <row r="771" spans="1:23" x14ac:dyDescent="0.25">
      <c r="A771" t="s">
        <v>1891</v>
      </c>
      <c r="C771" t="s">
        <v>50</v>
      </c>
      <c r="D771">
        <v>77014</v>
      </c>
      <c r="E771" t="s">
        <v>1892</v>
      </c>
      <c r="F771" s="22">
        <v>45987</v>
      </c>
      <c r="G771" t="s">
        <v>138</v>
      </c>
      <c r="H771" t="s">
        <v>27</v>
      </c>
      <c r="I771" t="s">
        <v>28</v>
      </c>
      <c r="J771" t="s">
        <v>139</v>
      </c>
      <c r="M771" t="s">
        <v>587</v>
      </c>
      <c r="N771" t="s">
        <v>30</v>
      </c>
      <c r="O771" t="s">
        <v>40</v>
      </c>
      <c r="P771" s="22" t="s">
        <v>86</v>
      </c>
      <c r="Q771" s="22">
        <v>45989</v>
      </c>
      <c r="R771">
        <v>2</v>
      </c>
      <c r="S771" t="s">
        <v>153</v>
      </c>
      <c r="T771" t="s">
        <v>1893</v>
      </c>
      <c r="U771" t="s">
        <v>1880</v>
      </c>
      <c r="V771" t="s">
        <v>1498</v>
      </c>
      <c r="W771" t="s">
        <v>1455</v>
      </c>
    </row>
    <row r="772" spans="1:23" x14ac:dyDescent="0.25">
      <c r="A772" t="s">
        <v>1894</v>
      </c>
      <c r="C772" t="s">
        <v>96</v>
      </c>
      <c r="D772">
        <v>46957</v>
      </c>
      <c r="E772" t="s">
        <v>328</v>
      </c>
      <c r="F772" s="22">
        <v>45966</v>
      </c>
      <c r="G772" t="s">
        <v>1703</v>
      </c>
      <c r="H772" t="s">
        <v>27</v>
      </c>
      <c r="I772" t="s">
        <v>28</v>
      </c>
      <c r="J772" t="s">
        <v>139</v>
      </c>
      <c r="M772" t="s">
        <v>745</v>
      </c>
      <c r="N772" t="s">
        <v>30</v>
      </c>
      <c r="O772" t="s">
        <v>40</v>
      </c>
      <c r="P772" s="22" t="s">
        <v>86</v>
      </c>
      <c r="Q772" s="22">
        <v>45989</v>
      </c>
      <c r="R772">
        <v>23</v>
      </c>
      <c r="S772" t="s">
        <v>32</v>
      </c>
      <c r="T772" t="s">
        <v>1895</v>
      </c>
      <c r="U772" t="s">
        <v>181</v>
      </c>
      <c r="V772" t="s">
        <v>1498</v>
      </c>
      <c r="W772" t="s">
        <v>1896</v>
      </c>
    </row>
    <row r="773" spans="1:23" x14ac:dyDescent="0.25">
      <c r="A773" t="s">
        <v>1897</v>
      </c>
      <c r="C773" t="s">
        <v>44</v>
      </c>
      <c r="D773" t="s">
        <v>383</v>
      </c>
      <c r="E773" t="s">
        <v>1898</v>
      </c>
      <c r="F773" s="22">
        <v>45975</v>
      </c>
      <c r="G773" t="s">
        <v>138</v>
      </c>
      <c r="H773" t="s">
        <v>1899</v>
      </c>
      <c r="I773" t="s">
        <v>28</v>
      </c>
      <c r="J773" t="s">
        <v>29</v>
      </c>
      <c r="M773" t="s">
        <v>233</v>
      </c>
      <c r="N773" t="s">
        <v>30</v>
      </c>
      <c r="O773" t="s">
        <v>40</v>
      </c>
      <c r="P773" s="22">
        <v>45989</v>
      </c>
      <c r="Q773" s="22">
        <v>45989</v>
      </c>
      <c r="R773">
        <v>14</v>
      </c>
      <c r="S773" t="s">
        <v>32</v>
      </c>
      <c r="T773" t="s">
        <v>98</v>
      </c>
      <c r="U773" t="s">
        <v>1624</v>
      </c>
      <c r="V773" t="s">
        <v>1498</v>
      </c>
      <c r="W773" t="s">
        <v>1290</v>
      </c>
    </row>
    <row r="774" spans="1:23" x14ac:dyDescent="0.25">
      <c r="A774" t="s">
        <v>1900</v>
      </c>
      <c r="C774" t="s">
        <v>96</v>
      </c>
      <c r="D774">
        <v>50749</v>
      </c>
      <c r="E774" t="s">
        <v>1761</v>
      </c>
      <c r="F774" s="22">
        <v>45986</v>
      </c>
      <c r="G774" t="s">
        <v>1703</v>
      </c>
      <c r="H774" t="s">
        <v>27</v>
      </c>
      <c r="I774" t="s">
        <v>28</v>
      </c>
      <c r="J774" t="s">
        <v>139</v>
      </c>
      <c r="M774" t="s">
        <v>354</v>
      </c>
      <c r="N774" t="s">
        <v>30</v>
      </c>
      <c r="O774" t="s">
        <v>40</v>
      </c>
      <c r="P774" s="22" t="s">
        <v>1901</v>
      </c>
      <c r="Q774" s="22">
        <v>45989</v>
      </c>
      <c r="R774">
        <v>3</v>
      </c>
      <c r="S774" t="s">
        <v>32</v>
      </c>
      <c r="T774" t="s">
        <v>669</v>
      </c>
      <c r="U774" t="s">
        <v>279</v>
      </c>
      <c r="W774" t="s">
        <v>1222</v>
      </c>
    </row>
    <row r="775" spans="1:23" x14ac:dyDescent="0.25">
      <c r="A775" t="s">
        <v>1902</v>
      </c>
      <c r="C775" t="s">
        <v>50</v>
      </c>
      <c r="D775">
        <v>68659</v>
      </c>
      <c r="E775" t="s">
        <v>1903</v>
      </c>
      <c r="F775" s="22">
        <v>45985</v>
      </c>
      <c r="G775" t="s">
        <v>364</v>
      </c>
      <c r="H775" t="s">
        <v>27</v>
      </c>
      <c r="I775" t="s">
        <v>28</v>
      </c>
      <c r="J775" t="s">
        <v>29</v>
      </c>
      <c r="M775" t="s">
        <v>468</v>
      </c>
      <c r="N775" t="s">
        <v>30</v>
      </c>
      <c r="O775" t="s">
        <v>40</v>
      </c>
      <c r="P775" s="22" t="s">
        <v>86</v>
      </c>
      <c r="Q775" s="22">
        <v>45989</v>
      </c>
      <c r="R775">
        <v>4</v>
      </c>
      <c r="S775" t="s">
        <v>32</v>
      </c>
      <c r="T775" t="s">
        <v>1904</v>
      </c>
      <c r="U775" t="s">
        <v>1905</v>
      </c>
      <c r="V775" t="s">
        <v>1498</v>
      </c>
      <c r="W775" t="s">
        <v>1437</v>
      </c>
    </row>
    <row r="776" spans="1:23" x14ac:dyDescent="0.25">
      <c r="A776" t="s">
        <v>1452</v>
      </c>
      <c r="C776" t="s">
        <v>79</v>
      </c>
      <c r="D776" t="s">
        <v>1566</v>
      </c>
      <c r="E776" t="s">
        <v>1906</v>
      </c>
      <c r="F776" s="22">
        <v>45986</v>
      </c>
      <c r="G776" t="s">
        <v>138</v>
      </c>
      <c r="H776" t="s">
        <v>27</v>
      </c>
      <c r="I776" t="s">
        <v>28</v>
      </c>
      <c r="J776" t="s">
        <v>139</v>
      </c>
      <c r="M776" t="s">
        <v>587</v>
      </c>
      <c r="N776" t="s">
        <v>30</v>
      </c>
      <c r="O776" t="s">
        <v>40</v>
      </c>
      <c r="P776" s="22">
        <v>45989</v>
      </c>
      <c r="Q776" s="22">
        <v>45989</v>
      </c>
      <c r="R776">
        <v>3</v>
      </c>
      <c r="S776" t="s">
        <v>32</v>
      </c>
      <c r="T776" t="s">
        <v>100</v>
      </c>
      <c r="U776" t="s">
        <v>1907</v>
      </c>
      <c r="V776" t="s">
        <v>1498</v>
      </c>
      <c r="W776" t="s">
        <v>1455</v>
      </c>
    </row>
    <row r="777" spans="1:23" x14ac:dyDescent="0.25">
      <c r="A777" t="s">
        <v>1908</v>
      </c>
      <c r="C777" t="s">
        <v>96</v>
      </c>
      <c r="D777">
        <v>51276</v>
      </c>
      <c r="E777" t="s">
        <v>1909</v>
      </c>
      <c r="F777" s="22">
        <v>45988</v>
      </c>
      <c r="G777" t="s">
        <v>1703</v>
      </c>
      <c r="H777" t="s">
        <v>27</v>
      </c>
      <c r="I777" t="s">
        <v>28</v>
      </c>
      <c r="J777" t="s">
        <v>139</v>
      </c>
      <c r="M777" t="s">
        <v>587</v>
      </c>
      <c r="N777" t="s">
        <v>30</v>
      </c>
      <c r="O777" t="s">
        <v>40</v>
      </c>
      <c r="P777" s="22">
        <v>45988</v>
      </c>
      <c r="Q777" s="22">
        <v>45989</v>
      </c>
      <c r="R777">
        <v>1</v>
      </c>
      <c r="S777" t="s">
        <v>153</v>
      </c>
      <c r="T777" t="s">
        <v>1768</v>
      </c>
      <c r="U777" t="s">
        <v>1880</v>
      </c>
      <c r="V777" t="s">
        <v>1498</v>
      </c>
      <c r="W777" t="s">
        <v>1455</v>
      </c>
    </row>
    <row r="778" spans="1:23" x14ac:dyDescent="0.25">
      <c r="A778" t="s">
        <v>1724</v>
      </c>
      <c r="C778" t="s">
        <v>37</v>
      </c>
      <c r="D778" t="s">
        <v>1566</v>
      </c>
      <c r="E778" t="s">
        <v>1910</v>
      </c>
      <c r="F778" s="22">
        <v>45987</v>
      </c>
      <c r="G778" t="s">
        <v>138</v>
      </c>
      <c r="H778" t="s">
        <v>27</v>
      </c>
      <c r="I778" t="s">
        <v>28</v>
      </c>
      <c r="J778" t="s">
        <v>139</v>
      </c>
      <c r="M778" t="s">
        <v>528</v>
      </c>
      <c r="N778" t="s">
        <v>30</v>
      </c>
      <c r="O778" t="s">
        <v>40</v>
      </c>
      <c r="P778" s="22">
        <v>45989</v>
      </c>
      <c r="Q778" s="22">
        <v>45989</v>
      </c>
      <c r="R778">
        <v>2</v>
      </c>
      <c r="S778" t="s">
        <v>153</v>
      </c>
      <c r="T778" t="s">
        <v>100</v>
      </c>
      <c r="U778" t="s">
        <v>1911</v>
      </c>
      <c r="V778" t="s">
        <v>1498</v>
      </c>
      <c r="W778" t="s">
        <v>1299</v>
      </c>
    </row>
    <row r="779" spans="1:23" x14ac:dyDescent="0.25">
      <c r="A779" t="s">
        <v>1912</v>
      </c>
      <c r="C779" t="s">
        <v>37</v>
      </c>
      <c r="D779" t="s">
        <v>1566</v>
      </c>
      <c r="E779" t="s">
        <v>1913</v>
      </c>
      <c r="F779" s="22">
        <v>45987</v>
      </c>
      <c r="G779" t="s">
        <v>138</v>
      </c>
      <c r="H779" t="s">
        <v>27</v>
      </c>
      <c r="I779" t="s">
        <v>28</v>
      </c>
      <c r="J779" t="s">
        <v>29</v>
      </c>
      <c r="M779" t="s">
        <v>528</v>
      </c>
      <c r="N779" t="s">
        <v>30</v>
      </c>
      <c r="O779" t="s">
        <v>40</v>
      </c>
      <c r="P779" s="22">
        <v>45989</v>
      </c>
      <c r="Q779" s="22">
        <v>45989</v>
      </c>
      <c r="R779">
        <v>2</v>
      </c>
      <c r="S779" t="s">
        <v>153</v>
      </c>
      <c r="T779" t="s">
        <v>100</v>
      </c>
      <c r="U779" t="s">
        <v>1911</v>
      </c>
      <c r="V779" t="s">
        <v>1498</v>
      </c>
      <c r="W779" t="s">
        <v>1299</v>
      </c>
    </row>
    <row r="780" spans="1:23" x14ac:dyDescent="0.25">
      <c r="A780" t="s">
        <v>1914</v>
      </c>
      <c r="C780" t="s">
        <v>24</v>
      </c>
      <c r="D780">
        <v>70800</v>
      </c>
      <c r="E780" t="s">
        <v>1915</v>
      </c>
      <c r="F780" s="22">
        <v>45962</v>
      </c>
      <c r="G780" t="s">
        <v>123</v>
      </c>
      <c r="H780" t="s">
        <v>27</v>
      </c>
      <c r="I780" t="s">
        <v>28</v>
      </c>
      <c r="J780" t="s">
        <v>29</v>
      </c>
      <c r="M780" t="s">
        <v>326</v>
      </c>
      <c r="N780" t="s">
        <v>30</v>
      </c>
      <c r="O780" t="s">
        <v>40</v>
      </c>
      <c r="P780" s="22">
        <v>45989</v>
      </c>
      <c r="Q780" s="22">
        <v>45989</v>
      </c>
      <c r="R780">
        <v>27</v>
      </c>
      <c r="S780" t="s">
        <v>32</v>
      </c>
      <c r="T780" t="s">
        <v>620</v>
      </c>
      <c r="U780" t="s">
        <v>820</v>
      </c>
      <c r="V780" t="s">
        <v>1186</v>
      </c>
      <c r="W780" t="s">
        <v>1169</v>
      </c>
    </row>
    <row r="781" spans="1:23" x14ac:dyDescent="0.25">
      <c r="A781" t="s">
        <v>1916</v>
      </c>
      <c r="C781" t="s">
        <v>44</v>
      </c>
      <c r="D781">
        <v>264402</v>
      </c>
      <c r="E781" t="s">
        <v>1917</v>
      </c>
      <c r="F781" s="22">
        <v>45988</v>
      </c>
      <c r="G781" t="s">
        <v>123</v>
      </c>
      <c r="H781" t="s">
        <v>27</v>
      </c>
      <c r="I781" t="s">
        <v>28</v>
      </c>
      <c r="J781" t="s">
        <v>29</v>
      </c>
      <c r="M781" t="s">
        <v>638</v>
      </c>
      <c r="N781" t="s">
        <v>30</v>
      </c>
      <c r="O781" t="s">
        <v>40</v>
      </c>
      <c r="P781" s="22">
        <v>45989</v>
      </c>
      <c r="Q781" s="22">
        <v>45989</v>
      </c>
      <c r="R781">
        <v>1</v>
      </c>
      <c r="S781" t="s">
        <v>153</v>
      </c>
      <c r="T781" t="s">
        <v>1071</v>
      </c>
      <c r="U781" t="s">
        <v>94</v>
      </c>
      <c r="V781" t="s">
        <v>1186</v>
      </c>
      <c r="W781" s="33" t="s">
        <v>1228</v>
      </c>
    </row>
    <row r="782" spans="1:23" x14ac:dyDescent="0.25">
      <c r="A782" t="s">
        <v>1918</v>
      </c>
      <c r="C782" t="s">
        <v>72</v>
      </c>
      <c r="D782">
        <v>218821</v>
      </c>
      <c r="E782" t="s">
        <v>1919</v>
      </c>
      <c r="F782" s="22">
        <v>45987</v>
      </c>
      <c r="G782" t="s">
        <v>123</v>
      </c>
      <c r="H782" t="s">
        <v>27</v>
      </c>
      <c r="I782" t="s">
        <v>28</v>
      </c>
      <c r="J782" t="s">
        <v>139</v>
      </c>
      <c r="M782" t="s">
        <v>638</v>
      </c>
      <c r="N782" t="s">
        <v>30</v>
      </c>
      <c r="O782" t="s">
        <v>1920</v>
      </c>
      <c r="P782" s="22" t="s">
        <v>86</v>
      </c>
      <c r="Q782" s="22">
        <v>45989</v>
      </c>
      <c r="R782">
        <v>2</v>
      </c>
      <c r="S782" t="s">
        <v>153</v>
      </c>
      <c r="T782" t="s">
        <v>201</v>
      </c>
      <c r="U782" t="s">
        <v>94</v>
      </c>
      <c r="V782" t="s">
        <v>1186</v>
      </c>
      <c r="W782" t="s">
        <v>1228</v>
      </c>
    </row>
    <row r="783" spans="1:23" x14ac:dyDescent="0.25">
      <c r="A783" t="s">
        <v>1921</v>
      </c>
      <c r="C783" t="s">
        <v>37</v>
      </c>
      <c r="D783" t="s">
        <v>383</v>
      </c>
      <c r="E783" t="s">
        <v>1922</v>
      </c>
      <c r="F783" s="22">
        <v>45974</v>
      </c>
      <c r="G783" t="s">
        <v>872</v>
      </c>
      <c r="H783" t="s">
        <v>27</v>
      </c>
      <c r="I783" t="s">
        <v>28</v>
      </c>
      <c r="J783" t="s">
        <v>29</v>
      </c>
      <c r="M783" t="s">
        <v>354</v>
      </c>
      <c r="N783" t="s">
        <v>30</v>
      </c>
      <c r="O783" t="s">
        <v>40</v>
      </c>
      <c r="P783" s="22">
        <v>45989</v>
      </c>
      <c r="Q783" s="22">
        <v>45989</v>
      </c>
      <c r="R783">
        <v>15</v>
      </c>
      <c r="S783" t="s">
        <v>32</v>
      </c>
      <c r="T783" t="s">
        <v>66</v>
      </c>
      <c r="U783" t="s">
        <v>279</v>
      </c>
      <c r="V783" t="s">
        <v>1498</v>
      </c>
      <c r="W783" t="s">
        <v>1222</v>
      </c>
    </row>
    <row r="784" spans="1:23" x14ac:dyDescent="0.25">
      <c r="A784" t="s">
        <v>948</v>
      </c>
      <c r="C784" t="s">
        <v>72</v>
      </c>
      <c r="D784" t="s">
        <v>1566</v>
      </c>
      <c r="E784" t="s">
        <v>1923</v>
      </c>
      <c r="F784" s="22">
        <v>45638</v>
      </c>
      <c r="G784" t="s">
        <v>872</v>
      </c>
      <c r="H784" t="s">
        <v>27</v>
      </c>
      <c r="I784" t="s">
        <v>28</v>
      </c>
      <c r="J784" t="s">
        <v>139</v>
      </c>
      <c r="M784" t="s">
        <v>354</v>
      </c>
      <c r="N784" t="s">
        <v>30</v>
      </c>
      <c r="O784" t="s">
        <v>27</v>
      </c>
      <c r="P784" s="22">
        <v>45989</v>
      </c>
      <c r="Q784" s="22">
        <v>45989</v>
      </c>
      <c r="R784">
        <v>351</v>
      </c>
      <c r="S784" t="s">
        <v>32</v>
      </c>
      <c r="T784" t="s">
        <v>66</v>
      </c>
      <c r="U784" t="s">
        <v>279</v>
      </c>
      <c r="V784" t="s">
        <v>1498</v>
      </c>
      <c r="W784" t="s">
        <v>1222</v>
      </c>
    </row>
    <row r="785" spans="1:23" x14ac:dyDescent="0.25">
      <c r="A785" t="s">
        <v>659</v>
      </c>
      <c r="C785" t="s">
        <v>72</v>
      </c>
      <c r="D785">
        <v>169837</v>
      </c>
      <c r="E785" t="s">
        <v>1924</v>
      </c>
      <c r="F785" s="22">
        <v>45982</v>
      </c>
      <c r="G785" t="s">
        <v>123</v>
      </c>
      <c r="H785" t="s">
        <v>27</v>
      </c>
      <c r="I785" t="s">
        <v>28</v>
      </c>
      <c r="J785" t="s">
        <v>139</v>
      </c>
      <c r="M785" t="s">
        <v>326</v>
      </c>
      <c r="N785" t="s">
        <v>30</v>
      </c>
      <c r="O785" t="s">
        <v>40</v>
      </c>
      <c r="P785" s="22">
        <v>45993</v>
      </c>
      <c r="Q785" s="22">
        <v>45989</v>
      </c>
      <c r="R785">
        <v>7</v>
      </c>
      <c r="S785" t="s">
        <v>32</v>
      </c>
      <c r="T785" t="s">
        <v>1835</v>
      </c>
      <c r="U785" t="s">
        <v>820</v>
      </c>
      <c r="V785" t="s">
        <v>1186</v>
      </c>
      <c r="W785" t="s">
        <v>1169</v>
      </c>
    </row>
    <row r="786" spans="1:23" x14ac:dyDescent="0.25">
      <c r="A786" t="s">
        <v>1069</v>
      </c>
      <c r="C786" t="s">
        <v>157</v>
      </c>
      <c r="D786" t="s">
        <v>1566</v>
      </c>
      <c r="E786" t="s">
        <v>1925</v>
      </c>
      <c r="F786" s="22">
        <v>45985</v>
      </c>
      <c r="G786" t="s">
        <v>1926</v>
      </c>
      <c r="H786" t="s">
        <v>27</v>
      </c>
      <c r="I786" t="s">
        <v>28</v>
      </c>
      <c r="J786" t="s">
        <v>139</v>
      </c>
      <c r="M786" t="s">
        <v>315</v>
      </c>
      <c r="N786" t="s">
        <v>228</v>
      </c>
      <c r="O786" t="s">
        <v>1920</v>
      </c>
      <c r="P786" s="22">
        <v>45988</v>
      </c>
      <c r="Q786" s="22">
        <v>45989</v>
      </c>
      <c r="R786">
        <v>4</v>
      </c>
      <c r="S786" t="s">
        <v>32</v>
      </c>
      <c r="T786" t="s">
        <v>98</v>
      </c>
      <c r="U786" t="s">
        <v>254</v>
      </c>
      <c r="V786" t="s">
        <v>1186</v>
      </c>
      <c r="W786" t="s">
        <v>1189</v>
      </c>
    </row>
    <row r="787" spans="1:23" x14ac:dyDescent="0.25">
      <c r="A787" t="s">
        <v>1337</v>
      </c>
      <c r="C787" t="s">
        <v>224</v>
      </c>
      <c r="D787" t="s">
        <v>1566</v>
      </c>
      <c r="E787" t="s">
        <v>1927</v>
      </c>
      <c r="F787" s="22">
        <v>45988</v>
      </c>
      <c r="G787" t="s">
        <v>226</v>
      </c>
      <c r="H787" t="s">
        <v>27</v>
      </c>
      <c r="I787" t="s">
        <v>28</v>
      </c>
      <c r="J787" t="s">
        <v>139</v>
      </c>
      <c r="M787" t="s">
        <v>227</v>
      </c>
      <c r="N787" t="s">
        <v>228</v>
      </c>
      <c r="O787" t="s">
        <v>40</v>
      </c>
      <c r="P787" s="22" t="s">
        <v>86</v>
      </c>
      <c r="Q787" s="22">
        <v>45989</v>
      </c>
      <c r="R787">
        <v>1</v>
      </c>
      <c r="S787" t="s">
        <v>153</v>
      </c>
      <c r="T787" t="s">
        <v>41</v>
      </c>
      <c r="U787" t="s">
        <v>271</v>
      </c>
      <c r="V787" t="s">
        <v>1498</v>
      </c>
      <c r="W787" t="s">
        <v>1179</v>
      </c>
    </row>
    <row r="788" spans="1:23" x14ac:dyDescent="0.25">
      <c r="A788" t="s">
        <v>1393</v>
      </c>
      <c r="C788" t="s">
        <v>224</v>
      </c>
      <c r="D788">
        <v>115192</v>
      </c>
      <c r="E788" t="s">
        <v>1928</v>
      </c>
      <c r="F788" s="22"/>
      <c r="G788" t="s">
        <v>226</v>
      </c>
      <c r="H788" t="s">
        <v>27</v>
      </c>
      <c r="I788" t="s">
        <v>28</v>
      </c>
      <c r="J788" t="s">
        <v>29</v>
      </c>
      <c r="M788" t="s">
        <v>227</v>
      </c>
      <c r="N788" t="s">
        <v>228</v>
      </c>
      <c r="O788" t="s">
        <v>40</v>
      </c>
      <c r="P788" s="22">
        <v>45989</v>
      </c>
      <c r="Q788" s="22">
        <v>45989</v>
      </c>
      <c r="R788">
        <v>45989</v>
      </c>
      <c r="S788" t="s">
        <v>32</v>
      </c>
      <c r="T788" t="s">
        <v>1855</v>
      </c>
      <c r="U788" t="s">
        <v>271</v>
      </c>
      <c r="V788" t="s">
        <v>1498</v>
      </c>
      <c r="W788" t="s">
        <v>1179</v>
      </c>
    </row>
    <row r="789" spans="1:23" x14ac:dyDescent="0.25">
      <c r="A789" t="s">
        <v>551</v>
      </c>
      <c r="C789" t="s">
        <v>37</v>
      </c>
      <c r="E789" t="s">
        <v>1929</v>
      </c>
      <c r="F789" s="22">
        <v>45989</v>
      </c>
      <c r="G789" t="s">
        <v>123</v>
      </c>
      <c r="H789" t="s">
        <v>27</v>
      </c>
      <c r="I789" t="s">
        <v>176</v>
      </c>
      <c r="J789" t="s">
        <v>29</v>
      </c>
      <c r="M789" t="s">
        <v>237</v>
      </c>
      <c r="N789" t="s">
        <v>30</v>
      </c>
      <c r="O789" t="s">
        <v>40</v>
      </c>
      <c r="P789" s="22">
        <v>45989</v>
      </c>
      <c r="Q789" s="22">
        <v>45989</v>
      </c>
      <c r="R789">
        <v>0</v>
      </c>
      <c r="S789" t="s">
        <v>153</v>
      </c>
      <c r="T789" t="s">
        <v>41</v>
      </c>
      <c r="U789" t="s">
        <v>1513</v>
      </c>
      <c r="V789" t="s">
        <v>1498</v>
      </c>
      <c r="W789" t="s">
        <v>1205</v>
      </c>
    </row>
    <row r="790" spans="1:23" x14ac:dyDescent="0.25">
      <c r="A790" t="s">
        <v>930</v>
      </c>
      <c r="C790" t="s">
        <v>505</v>
      </c>
      <c r="D790" t="s">
        <v>383</v>
      </c>
      <c r="E790" t="s">
        <v>1930</v>
      </c>
      <c r="F790" s="22">
        <v>45959</v>
      </c>
      <c r="G790" t="s">
        <v>226</v>
      </c>
      <c r="H790" t="s">
        <v>27</v>
      </c>
      <c r="I790" t="s">
        <v>28</v>
      </c>
      <c r="J790" t="s">
        <v>29</v>
      </c>
      <c r="M790" t="s">
        <v>186</v>
      </c>
      <c r="N790" t="s">
        <v>30</v>
      </c>
      <c r="O790" t="s">
        <v>40</v>
      </c>
      <c r="P790" s="22">
        <v>45994</v>
      </c>
      <c r="Q790" s="22">
        <v>45989</v>
      </c>
      <c r="R790">
        <v>30</v>
      </c>
      <c r="S790" t="s">
        <v>32</v>
      </c>
      <c r="T790" t="s">
        <v>74</v>
      </c>
      <c r="U790" t="s">
        <v>188</v>
      </c>
      <c r="V790" t="s">
        <v>320</v>
      </c>
      <c r="W790" t="s">
        <v>1324</v>
      </c>
    </row>
    <row r="791" spans="1:23" x14ac:dyDescent="0.25">
      <c r="A791" t="s">
        <v>971</v>
      </c>
      <c r="C791" t="s">
        <v>24</v>
      </c>
      <c r="D791">
        <v>45857</v>
      </c>
      <c r="E791" t="s">
        <v>933</v>
      </c>
      <c r="F791" s="22">
        <v>45982</v>
      </c>
      <c r="G791" t="s">
        <v>138</v>
      </c>
      <c r="H791" t="s">
        <v>27</v>
      </c>
      <c r="I791" t="s">
        <v>28</v>
      </c>
      <c r="J791" t="s">
        <v>139</v>
      </c>
      <c r="M791" t="s">
        <v>140</v>
      </c>
      <c r="N791" t="s">
        <v>30</v>
      </c>
      <c r="O791" t="s">
        <v>40</v>
      </c>
      <c r="P791" s="22">
        <v>45989</v>
      </c>
      <c r="Q791" s="22">
        <v>45989</v>
      </c>
      <c r="R791">
        <v>7</v>
      </c>
      <c r="S791" t="s">
        <v>32</v>
      </c>
      <c r="T791" t="s">
        <v>98</v>
      </c>
      <c r="U791" t="s">
        <v>1489</v>
      </c>
      <c r="V791" t="s">
        <v>1498</v>
      </c>
      <c r="W791" t="s">
        <v>1238</v>
      </c>
    </row>
    <row r="792" spans="1:23" x14ac:dyDescent="0.25">
      <c r="A792" t="s">
        <v>466</v>
      </c>
      <c r="C792" t="s">
        <v>79</v>
      </c>
      <c r="D792" t="s">
        <v>383</v>
      </c>
      <c r="E792" t="s">
        <v>1435</v>
      </c>
      <c r="F792" s="22"/>
      <c r="G792" t="s">
        <v>658</v>
      </c>
      <c r="H792" t="s">
        <v>52</v>
      </c>
      <c r="I792" t="s">
        <v>28</v>
      </c>
      <c r="J792" t="s">
        <v>29</v>
      </c>
      <c r="K792">
        <v>900</v>
      </c>
      <c r="L792">
        <v>900</v>
      </c>
      <c r="M792" t="s">
        <v>468</v>
      </c>
      <c r="N792" t="s">
        <v>30</v>
      </c>
      <c r="O792" t="s">
        <v>52</v>
      </c>
      <c r="P792" s="22">
        <v>45989</v>
      </c>
      <c r="Q792" s="22">
        <v>45989</v>
      </c>
      <c r="R792">
        <v>45989</v>
      </c>
      <c r="S792" t="s">
        <v>32</v>
      </c>
      <c r="T792" t="s">
        <v>1931</v>
      </c>
      <c r="V792" t="s">
        <v>1186</v>
      </c>
      <c r="W792" t="e">
        <v>#N/A</v>
      </c>
    </row>
  </sheetData>
  <conditionalFormatting sqref="A738">
    <cfRule type="duplicateValues" dxfId="3" priority="2"/>
    <cfRule type="duplicateValues" dxfId="2" priority="3"/>
  </conditionalFormatting>
  <conditionalFormatting sqref="B2:B738">
    <cfRule type="duplicateValues" dxfId="1" priority="4"/>
  </conditionalFormatting>
  <conditionalFormatting sqref="C738">
    <cfRule type="containsText" dxfId="0" priority="1" operator="containsText" text="Correção de cadastro">
      <formula>NOT(ISERROR(SEARCH("Correção de cadastro",C738)))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2025-11-29T22:40:44Z</dcterms:created>
  <dcterms:modified xsi:type="dcterms:W3CDTF">2025-11-29T22:42:03Z</dcterms:modified>
</cp:coreProperties>
</file>