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9ED8F3CF-B086-4E51-897D-1BE70ECAA662}" xr6:coauthVersionLast="47" xr6:coauthVersionMax="47" xr10:uidLastSave="{00000000-0000-0000-0000-000000000000}"/>
  <bookViews>
    <workbookView xWindow="-110" yWindow="-110" windowWidth="19420" windowHeight="10300" xr2:uid="{D1B01F30-5BDB-4F1D-8884-283C707E4E58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91" i="1" l="1"/>
  <c r="Q1991" i="1" s="1"/>
  <c r="P1990" i="1"/>
  <c r="Q1990" i="1" s="1"/>
  <c r="P1989" i="1"/>
  <c r="Q1989" i="1" s="1"/>
  <c r="P1988" i="1"/>
  <c r="Q1988" i="1" s="1"/>
  <c r="P1987" i="1"/>
  <c r="Q1987" i="1" s="1"/>
  <c r="R1985" i="1"/>
  <c r="AI1981" i="1"/>
  <c r="AD1981" i="1"/>
  <c r="R1981" i="1"/>
  <c r="AI1974" i="1"/>
  <c r="AD1974" i="1"/>
  <c r="R1974" i="1"/>
  <c r="AI1973" i="1"/>
  <c r="AD1973" i="1"/>
  <c r="R1973" i="1"/>
  <c r="AI1972" i="1"/>
  <c r="AD1972" i="1"/>
  <c r="R1972" i="1"/>
  <c r="AI1971" i="1"/>
  <c r="AD1971" i="1"/>
  <c r="R1971" i="1"/>
  <c r="AI1970" i="1"/>
  <c r="AD1970" i="1"/>
  <c r="R1970" i="1"/>
  <c r="AI1969" i="1"/>
  <c r="AD1969" i="1"/>
  <c r="R1969" i="1"/>
  <c r="Q1969" i="1"/>
  <c r="P1969" i="1"/>
  <c r="R1968" i="1"/>
  <c r="AI1967" i="1"/>
  <c r="AD1967" i="1"/>
  <c r="R1967" i="1"/>
  <c r="Q1967" i="1"/>
  <c r="P1967" i="1"/>
  <c r="Q1966" i="1"/>
  <c r="R1965" i="1"/>
  <c r="Q1965" i="1"/>
  <c r="Q1964" i="1"/>
  <c r="R1963" i="1"/>
  <c r="Q1963" i="1"/>
  <c r="R1962" i="1"/>
  <c r="Q1962" i="1"/>
  <c r="R1961" i="1"/>
  <c r="Q1961" i="1"/>
  <c r="R1960" i="1"/>
  <c r="Q1960" i="1"/>
  <c r="R1959" i="1"/>
  <c r="Q1959" i="1"/>
  <c r="P1959" i="1"/>
  <c r="R1958" i="1"/>
  <c r="R1957" i="1"/>
  <c r="R1956" i="1"/>
  <c r="AI1955" i="1"/>
  <c r="R1955" i="1"/>
  <c r="AI1954" i="1"/>
  <c r="AD1954" i="1"/>
  <c r="R1954" i="1"/>
  <c r="AI1953" i="1"/>
  <c r="AD1953" i="1"/>
  <c r="R1953" i="1"/>
  <c r="AI1952" i="1"/>
  <c r="R1952" i="1"/>
  <c r="AI1951" i="1"/>
  <c r="AD1951" i="1"/>
  <c r="R1951" i="1"/>
  <c r="AI1950" i="1"/>
  <c r="AD1950" i="1"/>
  <c r="R1950" i="1"/>
  <c r="AI1949" i="1"/>
  <c r="R1949" i="1"/>
  <c r="Q1949" i="1"/>
  <c r="P1949" i="1"/>
  <c r="AI1948" i="1"/>
  <c r="R1948" i="1"/>
  <c r="P1948" i="1"/>
  <c r="Q1948" i="1" s="1"/>
  <c r="AI1947" i="1"/>
  <c r="R1947" i="1"/>
  <c r="Q1947" i="1"/>
  <c r="P1947" i="1"/>
  <c r="AI1946" i="1"/>
  <c r="R1946" i="1"/>
  <c r="Q1946" i="1"/>
  <c r="P1946" i="1"/>
  <c r="AI1945" i="1"/>
  <c r="R1945" i="1"/>
  <c r="P1945" i="1"/>
  <c r="Q1945" i="1" s="1"/>
  <c r="AI1944" i="1"/>
  <c r="R1944" i="1"/>
  <c r="Q1944" i="1"/>
  <c r="P1944" i="1"/>
  <c r="AI1943" i="1"/>
  <c r="R1943" i="1"/>
  <c r="Q1943" i="1"/>
  <c r="P1943" i="1"/>
  <c r="AI1942" i="1"/>
  <c r="R1942" i="1"/>
  <c r="P1942" i="1"/>
  <c r="Q1942" i="1" s="1"/>
  <c r="AI1941" i="1"/>
  <c r="R1941" i="1"/>
  <c r="Q1941" i="1"/>
  <c r="P1941" i="1"/>
  <c r="AI1940" i="1"/>
  <c r="R1940" i="1"/>
  <c r="Q1940" i="1"/>
  <c r="P1940" i="1"/>
  <c r="AI1939" i="1"/>
  <c r="R1939" i="1"/>
  <c r="P1939" i="1"/>
  <c r="Q1939" i="1" s="1"/>
  <c r="AI1938" i="1"/>
  <c r="R1938" i="1"/>
  <c r="Q1938" i="1"/>
  <c r="P1938" i="1"/>
  <c r="AI1937" i="1"/>
  <c r="R1937" i="1"/>
  <c r="Q1937" i="1"/>
  <c r="P1937" i="1"/>
  <c r="AI1936" i="1"/>
  <c r="R1936" i="1"/>
  <c r="P1936" i="1"/>
  <c r="Q1936" i="1" s="1"/>
  <c r="AI1935" i="1"/>
  <c r="R1935" i="1"/>
  <c r="Q1935" i="1"/>
  <c r="P1935" i="1"/>
  <c r="AI1934" i="1"/>
  <c r="R1934" i="1"/>
  <c r="Q1934" i="1"/>
  <c r="P1934" i="1"/>
  <c r="AI1933" i="1"/>
  <c r="R1933" i="1"/>
  <c r="P1933" i="1"/>
  <c r="Q1933" i="1" s="1"/>
  <c r="AI1932" i="1"/>
  <c r="R1932" i="1"/>
  <c r="Q1932" i="1"/>
  <c r="P1932" i="1"/>
  <c r="AI1931" i="1"/>
  <c r="R1931" i="1"/>
  <c r="Q1931" i="1"/>
  <c r="P1931" i="1"/>
  <c r="AI1930" i="1"/>
  <c r="R1930" i="1"/>
  <c r="P1930" i="1"/>
  <c r="Q1930" i="1" s="1"/>
  <c r="AI1929" i="1"/>
  <c r="R1929" i="1"/>
  <c r="Q1929" i="1"/>
  <c r="P1929" i="1"/>
  <c r="AI1928" i="1"/>
  <c r="R1928" i="1"/>
  <c r="Q1928" i="1"/>
  <c r="P1928" i="1"/>
  <c r="AI1927" i="1"/>
  <c r="R1927" i="1"/>
  <c r="P1927" i="1"/>
  <c r="Q1927" i="1" s="1"/>
  <c r="AI1926" i="1"/>
  <c r="R1926" i="1"/>
  <c r="Q1926" i="1"/>
  <c r="P1926" i="1"/>
  <c r="AI1925" i="1"/>
  <c r="R1925" i="1"/>
  <c r="Q1925" i="1"/>
  <c r="P1925" i="1"/>
  <c r="AI1924" i="1"/>
  <c r="R1924" i="1"/>
  <c r="P1924" i="1"/>
  <c r="Q1924" i="1" s="1"/>
  <c r="AI1923" i="1"/>
  <c r="R1923" i="1"/>
  <c r="Q1923" i="1"/>
  <c r="P1923" i="1"/>
  <c r="AI1922" i="1"/>
  <c r="R1922" i="1"/>
  <c r="Q1922" i="1"/>
  <c r="P1922" i="1"/>
  <c r="AI1921" i="1"/>
  <c r="R1921" i="1"/>
  <c r="P1921" i="1"/>
  <c r="Q1921" i="1" s="1"/>
  <c r="AI1920" i="1"/>
  <c r="R1920" i="1"/>
  <c r="Q1920" i="1"/>
  <c r="P1920" i="1"/>
  <c r="AI1919" i="1"/>
  <c r="R1919" i="1"/>
  <c r="Q1919" i="1"/>
  <c r="P1919" i="1"/>
  <c r="AI1918" i="1"/>
  <c r="R1918" i="1"/>
  <c r="P1918" i="1"/>
  <c r="Q1918" i="1" s="1"/>
  <c r="AI1917" i="1"/>
  <c r="R1917" i="1"/>
  <c r="Q1917" i="1"/>
  <c r="P1917" i="1"/>
  <c r="AI1916" i="1"/>
  <c r="R1916" i="1"/>
  <c r="Q1916" i="1"/>
  <c r="P1916" i="1"/>
  <c r="AI1915" i="1"/>
  <c r="R1915" i="1"/>
  <c r="P1915" i="1"/>
  <c r="Q1915" i="1" s="1"/>
  <c r="AI1914" i="1"/>
  <c r="R1914" i="1"/>
  <c r="Q1914" i="1"/>
  <c r="P1914" i="1"/>
  <c r="AI1913" i="1"/>
  <c r="R1913" i="1"/>
  <c r="Q1913" i="1"/>
  <c r="P1913" i="1"/>
  <c r="AI1912" i="1"/>
  <c r="R1912" i="1"/>
  <c r="P1912" i="1"/>
  <c r="Q1912" i="1" s="1"/>
  <c r="AI1911" i="1"/>
  <c r="R1911" i="1"/>
  <c r="Q1911" i="1"/>
  <c r="P1911" i="1"/>
  <c r="AI1910" i="1"/>
  <c r="R1910" i="1"/>
  <c r="Q1910" i="1"/>
  <c r="P1910" i="1"/>
  <c r="AI1909" i="1"/>
  <c r="R1909" i="1"/>
  <c r="P1909" i="1"/>
  <c r="Q1909" i="1" s="1"/>
  <c r="AI1908" i="1"/>
  <c r="R1908" i="1"/>
  <c r="Q1908" i="1"/>
  <c r="P1908" i="1"/>
  <c r="AI1907" i="1"/>
  <c r="R1907" i="1"/>
  <c r="Q1907" i="1"/>
  <c r="P1907" i="1"/>
  <c r="AI1906" i="1"/>
  <c r="R1906" i="1"/>
  <c r="P1906" i="1"/>
  <c r="Q1906" i="1" s="1"/>
  <c r="AI1905" i="1"/>
  <c r="R1905" i="1"/>
  <c r="Q1905" i="1"/>
  <c r="P1905" i="1"/>
  <c r="AI1904" i="1"/>
  <c r="R1904" i="1"/>
  <c r="Q1904" i="1"/>
  <c r="P1904" i="1"/>
  <c r="AI1903" i="1"/>
  <c r="R1903" i="1"/>
  <c r="P1903" i="1"/>
  <c r="Q1903" i="1" s="1"/>
  <c r="AI1902" i="1"/>
  <c r="R1902" i="1"/>
  <c r="Q1902" i="1"/>
  <c r="P1902" i="1"/>
  <c r="AI1901" i="1"/>
  <c r="R1901" i="1"/>
  <c r="Q1901" i="1"/>
  <c r="P1901" i="1"/>
  <c r="AI1900" i="1"/>
  <c r="R1900" i="1"/>
  <c r="P1900" i="1"/>
  <c r="Q1900" i="1" s="1"/>
  <c r="AI1899" i="1"/>
  <c r="AD1899" i="1"/>
  <c r="R1899" i="1"/>
  <c r="AI1898" i="1"/>
  <c r="R1898" i="1"/>
  <c r="AI1897" i="1"/>
  <c r="R1897" i="1"/>
  <c r="Q1897" i="1"/>
  <c r="P1897" i="1"/>
  <c r="AI1896" i="1"/>
  <c r="R1896" i="1"/>
  <c r="Q1896" i="1"/>
  <c r="P1896" i="1"/>
  <c r="AI1895" i="1"/>
  <c r="R1895" i="1"/>
  <c r="P1895" i="1"/>
  <c r="Q1895" i="1" s="1"/>
  <c r="AI1894" i="1"/>
  <c r="R1894" i="1"/>
  <c r="Q1894" i="1"/>
  <c r="P1894" i="1"/>
  <c r="AI1893" i="1"/>
  <c r="R1893" i="1"/>
  <c r="Q1893" i="1"/>
  <c r="P1893" i="1"/>
  <c r="AI1892" i="1"/>
  <c r="AD1892" i="1"/>
  <c r="R1892" i="1"/>
  <c r="AI1891" i="1"/>
  <c r="AD1891" i="1"/>
  <c r="R1891" i="1"/>
  <c r="AI1890" i="1"/>
  <c r="R1890" i="1"/>
  <c r="P1890" i="1"/>
  <c r="Q1890" i="1" s="1"/>
  <c r="AI1889" i="1"/>
  <c r="R1889" i="1"/>
  <c r="Q1889" i="1"/>
  <c r="P1889" i="1"/>
  <c r="AI1888" i="1"/>
  <c r="R1888" i="1"/>
  <c r="Q1888" i="1"/>
  <c r="P1888" i="1"/>
  <c r="AI1887" i="1"/>
  <c r="R1887" i="1"/>
  <c r="P1887" i="1"/>
  <c r="Q1887" i="1" s="1"/>
  <c r="AI1886" i="1"/>
  <c r="R1886" i="1"/>
  <c r="Q1886" i="1"/>
  <c r="P1886" i="1"/>
  <c r="AI1885" i="1"/>
  <c r="R1885" i="1"/>
  <c r="Q1885" i="1"/>
  <c r="P1885" i="1"/>
  <c r="AI1884" i="1"/>
  <c r="R1884" i="1"/>
  <c r="P1884" i="1"/>
  <c r="Q1884" i="1" s="1"/>
  <c r="AI1883" i="1"/>
  <c r="R1883" i="1"/>
  <c r="Q1883" i="1"/>
  <c r="P1883" i="1"/>
  <c r="AI1882" i="1"/>
  <c r="R1882" i="1"/>
  <c r="Q1882" i="1"/>
  <c r="P1882" i="1"/>
  <c r="AI1881" i="1"/>
  <c r="R1881" i="1"/>
  <c r="P1881" i="1"/>
  <c r="Q1881" i="1" s="1"/>
  <c r="AI1880" i="1"/>
  <c r="R1880" i="1"/>
  <c r="Q1880" i="1"/>
  <c r="P1880" i="1"/>
  <c r="AI1879" i="1"/>
  <c r="R1879" i="1"/>
  <c r="Q1879" i="1"/>
  <c r="P1879" i="1"/>
  <c r="AI1878" i="1"/>
  <c r="R1878" i="1"/>
  <c r="P1878" i="1"/>
  <c r="Q1878" i="1" s="1"/>
  <c r="AI1877" i="1"/>
  <c r="R1877" i="1"/>
  <c r="Q1877" i="1"/>
  <c r="P1877" i="1"/>
  <c r="AI1876" i="1"/>
  <c r="R1876" i="1"/>
  <c r="Q1876" i="1"/>
  <c r="P1876" i="1"/>
  <c r="AI1875" i="1"/>
  <c r="R1875" i="1"/>
  <c r="AI1874" i="1"/>
  <c r="R1874" i="1"/>
  <c r="Q1874" i="1"/>
  <c r="P1874" i="1"/>
  <c r="AI1873" i="1"/>
  <c r="R1873" i="1"/>
  <c r="Q1873" i="1"/>
  <c r="P1873" i="1"/>
  <c r="AI1872" i="1"/>
  <c r="R1872" i="1"/>
  <c r="P1872" i="1"/>
  <c r="Q1872" i="1" s="1"/>
  <c r="AI1871" i="1"/>
  <c r="R1871" i="1"/>
  <c r="Q1871" i="1"/>
  <c r="P1871" i="1"/>
  <c r="AI1870" i="1"/>
  <c r="R1870" i="1"/>
  <c r="Q1870" i="1"/>
  <c r="P1870" i="1"/>
  <c r="AI1869" i="1"/>
  <c r="R1869" i="1"/>
  <c r="P1869" i="1"/>
  <c r="Q1869" i="1" s="1"/>
  <c r="AI1868" i="1"/>
  <c r="R1868" i="1"/>
  <c r="Q1868" i="1"/>
  <c r="P1868" i="1"/>
  <c r="AI1867" i="1"/>
  <c r="R1867" i="1"/>
  <c r="Q1867" i="1"/>
  <c r="P1867" i="1"/>
  <c r="AI1866" i="1"/>
  <c r="R1866" i="1"/>
  <c r="P1866" i="1"/>
  <c r="Q1866" i="1" s="1"/>
  <c r="AI1865" i="1"/>
  <c r="R1865" i="1"/>
  <c r="Q1865" i="1"/>
  <c r="P1865" i="1"/>
  <c r="AI1864" i="1"/>
  <c r="R1864" i="1"/>
  <c r="Q1864" i="1"/>
  <c r="P1864" i="1"/>
  <c r="AI1863" i="1"/>
  <c r="R1863" i="1"/>
  <c r="P1863" i="1"/>
  <c r="Q1863" i="1" s="1"/>
  <c r="AI1862" i="1"/>
  <c r="R1862" i="1"/>
  <c r="Q1862" i="1"/>
  <c r="P1862" i="1"/>
  <c r="AI1861" i="1"/>
  <c r="R1861" i="1"/>
  <c r="Q1861" i="1"/>
  <c r="P1861" i="1"/>
  <c r="AI1860" i="1"/>
  <c r="R1860" i="1"/>
  <c r="P1860" i="1"/>
  <c r="Q1860" i="1" s="1"/>
  <c r="AI1859" i="1"/>
  <c r="R1859" i="1"/>
  <c r="Q1859" i="1"/>
  <c r="P1859" i="1"/>
  <c r="AI1858" i="1"/>
  <c r="R1858" i="1"/>
  <c r="Q1858" i="1"/>
  <c r="P1858" i="1"/>
  <c r="AI1857" i="1"/>
  <c r="R1857" i="1"/>
  <c r="P1857" i="1"/>
  <c r="Q1857" i="1" s="1"/>
  <c r="AI1856" i="1"/>
  <c r="R1856" i="1"/>
  <c r="Q1856" i="1"/>
  <c r="P1856" i="1"/>
  <c r="AI1855" i="1"/>
  <c r="R1855" i="1"/>
  <c r="Q1855" i="1"/>
  <c r="P1855" i="1"/>
  <c r="AI1854" i="1"/>
  <c r="R1854" i="1"/>
  <c r="P1854" i="1"/>
  <c r="Q1854" i="1" s="1"/>
  <c r="AI1853" i="1"/>
  <c r="R1853" i="1"/>
  <c r="Q1853" i="1"/>
  <c r="P1853" i="1"/>
  <c r="AI1852" i="1"/>
  <c r="AD1852" i="1"/>
  <c r="R1852" i="1"/>
  <c r="AI1851" i="1"/>
  <c r="AD1851" i="1"/>
  <c r="R1851" i="1"/>
  <c r="AI1850" i="1"/>
  <c r="AD1850" i="1"/>
  <c r="R1850" i="1"/>
  <c r="AI1849" i="1"/>
  <c r="AD1849" i="1"/>
  <c r="R1849" i="1"/>
  <c r="AI1848" i="1"/>
  <c r="AD1848" i="1"/>
  <c r="R1848" i="1"/>
  <c r="AI1847" i="1"/>
  <c r="AD1847" i="1"/>
  <c r="R1847" i="1"/>
  <c r="AI1846" i="1"/>
  <c r="AD1846" i="1"/>
  <c r="R1846" i="1"/>
  <c r="AI1845" i="1"/>
  <c r="AD1845" i="1"/>
  <c r="R1845" i="1"/>
  <c r="AI1844" i="1"/>
  <c r="AD1844" i="1"/>
  <c r="R1844" i="1"/>
  <c r="AI1843" i="1"/>
  <c r="AD1843" i="1"/>
  <c r="R1843" i="1"/>
  <c r="AI1842" i="1"/>
  <c r="AD1842" i="1"/>
  <c r="R1842" i="1"/>
  <c r="AI1841" i="1"/>
  <c r="AD1841" i="1"/>
  <c r="R1841" i="1"/>
  <c r="AI1840" i="1"/>
  <c r="AD1840" i="1"/>
  <c r="R1840" i="1"/>
  <c r="AI1839" i="1"/>
  <c r="AD1839" i="1"/>
  <c r="R1839" i="1"/>
  <c r="AI1838" i="1"/>
  <c r="AD1838" i="1"/>
  <c r="R1838" i="1"/>
  <c r="AI1837" i="1"/>
  <c r="AD1837" i="1"/>
  <c r="R1837" i="1"/>
  <c r="AI1836" i="1"/>
  <c r="AD1836" i="1"/>
  <c r="R1836" i="1"/>
  <c r="AI1835" i="1"/>
  <c r="AD1835" i="1"/>
  <c r="R1835" i="1"/>
  <c r="AI1834" i="1"/>
  <c r="AD1834" i="1"/>
  <c r="R1834" i="1"/>
  <c r="AI1833" i="1"/>
  <c r="R1833" i="1"/>
  <c r="P1833" i="1"/>
  <c r="Q1833" i="1" s="1"/>
  <c r="AI1832" i="1"/>
  <c r="R1832" i="1"/>
  <c r="Q1832" i="1"/>
  <c r="P1832" i="1"/>
  <c r="AI1831" i="1"/>
  <c r="R1831" i="1"/>
  <c r="Q1831" i="1"/>
  <c r="P1831" i="1"/>
  <c r="AI1830" i="1"/>
  <c r="R1830" i="1"/>
  <c r="P1830" i="1"/>
  <c r="Q1830" i="1" s="1"/>
  <c r="AI1829" i="1"/>
  <c r="R1829" i="1"/>
  <c r="Q1829" i="1"/>
  <c r="P1829" i="1"/>
  <c r="AI1828" i="1"/>
  <c r="R1828" i="1"/>
  <c r="Q1828" i="1"/>
  <c r="P1828" i="1"/>
  <c r="AI1827" i="1"/>
  <c r="R1827" i="1"/>
  <c r="P1827" i="1"/>
  <c r="Q1827" i="1" s="1"/>
  <c r="AI1826" i="1"/>
  <c r="R1826" i="1"/>
  <c r="Q1826" i="1"/>
  <c r="P1826" i="1"/>
  <c r="AI1825" i="1"/>
  <c r="R1825" i="1"/>
  <c r="Q1825" i="1"/>
  <c r="P1825" i="1"/>
  <c r="AI1824" i="1"/>
  <c r="R1824" i="1"/>
  <c r="P1824" i="1"/>
  <c r="Q1824" i="1" s="1"/>
  <c r="AI1823" i="1"/>
  <c r="R1823" i="1"/>
  <c r="Q1823" i="1"/>
  <c r="P1823" i="1"/>
  <c r="AI1822" i="1"/>
  <c r="R1822" i="1"/>
  <c r="Q1822" i="1"/>
  <c r="P1822" i="1"/>
  <c r="AI1821" i="1"/>
  <c r="R1821" i="1"/>
  <c r="P1821" i="1"/>
  <c r="Q1821" i="1" s="1"/>
  <c r="AI1820" i="1"/>
  <c r="R1820" i="1"/>
  <c r="Q1820" i="1"/>
  <c r="P1820" i="1"/>
  <c r="AI1819" i="1"/>
  <c r="AD1819" i="1"/>
  <c r="R1819" i="1"/>
  <c r="AI1818" i="1"/>
  <c r="AD1818" i="1"/>
  <c r="R1818" i="1"/>
  <c r="AI1817" i="1"/>
  <c r="AD1817" i="1"/>
  <c r="R1817" i="1"/>
  <c r="AI1816" i="1"/>
  <c r="AD1816" i="1"/>
  <c r="R1816" i="1"/>
  <c r="AI1815" i="1"/>
  <c r="AD1815" i="1"/>
  <c r="R1815" i="1"/>
  <c r="AI1814" i="1"/>
  <c r="AD1814" i="1"/>
  <c r="R1814" i="1"/>
  <c r="AI1813" i="1"/>
  <c r="AD1813" i="1"/>
  <c r="R1813" i="1"/>
  <c r="AI1812" i="1"/>
  <c r="AD1812" i="1"/>
  <c r="R1812" i="1"/>
  <c r="AI1811" i="1"/>
  <c r="AD1811" i="1"/>
  <c r="R1811" i="1"/>
  <c r="AI1810" i="1"/>
  <c r="AD1810" i="1"/>
  <c r="R1810" i="1"/>
  <c r="AI1809" i="1"/>
  <c r="AD1809" i="1"/>
  <c r="R1809" i="1"/>
  <c r="AI1808" i="1"/>
  <c r="AD1808" i="1"/>
  <c r="R1808" i="1"/>
  <c r="AI1807" i="1"/>
  <c r="AD1807" i="1"/>
  <c r="R1807" i="1"/>
  <c r="AI1806" i="1"/>
  <c r="AD1806" i="1"/>
  <c r="R1806" i="1"/>
  <c r="AI1805" i="1"/>
  <c r="AD1805" i="1"/>
  <c r="R1805" i="1"/>
  <c r="AI1804" i="1"/>
  <c r="AD1804" i="1"/>
  <c r="R1804" i="1"/>
  <c r="AI1803" i="1"/>
  <c r="R1803" i="1"/>
  <c r="Q1803" i="1"/>
  <c r="P1803" i="1"/>
  <c r="AI1802" i="1"/>
  <c r="R1802" i="1"/>
  <c r="Q1802" i="1"/>
  <c r="P1802" i="1"/>
  <c r="AI1801" i="1"/>
  <c r="R1801" i="1"/>
  <c r="Q1801" i="1"/>
  <c r="P1801" i="1"/>
  <c r="AI1800" i="1"/>
  <c r="R1800" i="1"/>
  <c r="Q1800" i="1"/>
  <c r="P1800" i="1"/>
  <c r="AI1799" i="1"/>
  <c r="R1799" i="1"/>
  <c r="Q1799" i="1"/>
  <c r="P1799" i="1"/>
  <c r="AI1798" i="1"/>
  <c r="R1798" i="1"/>
  <c r="Q1798" i="1"/>
  <c r="P1798" i="1"/>
  <c r="AI1797" i="1"/>
  <c r="R1797" i="1"/>
  <c r="Q1797" i="1"/>
  <c r="P1797" i="1"/>
  <c r="AI1796" i="1"/>
  <c r="R1796" i="1"/>
  <c r="Q1796" i="1"/>
  <c r="P1796" i="1"/>
  <c r="AI1795" i="1"/>
  <c r="R1795" i="1"/>
  <c r="Q1795" i="1"/>
  <c r="P1795" i="1"/>
  <c r="AI1794" i="1"/>
  <c r="R1794" i="1"/>
  <c r="Q1794" i="1"/>
  <c r="P1794" i="1"/>
  <c r="AI1793" i="1"/>
  <c r="R1793" i="1"/>
  <c r="Q1793" i="1"/>
  <c r="P1793" i="1"/>
  <c r="AI1792" i="1"/>
  <c r="R1792" i="1"/>
  <c r="Q1792" i="1"/>
  <c r="P1792" i="1"/>
  <c r="AI1791" i="1"/>
  <c r="R1791" i="1"/>
  <c r="Q1791" i="1"/>
  <c r="P1791" i="1"/>
  <c r="AI1790" i="1"/>
  <c r="R1790" i="1"/>
  <c r="Q1790" i="1"/>
  <c r="P1790" i="1"/>
  <c r="AI1789" i="1"/>
  <c r="AD1789" i="1"/>
  <c r="R1789" i="1"/>
  <c r="AI1788" i="1"/>
  <c r="AD1788" i="1"/>
  <c r="R1788" i="1"/>
  <c r="AI1787" i="1"/>
  <c r="AD1787" i="1"/>
  <c r="R1787" i="1"/>
  <c r="AI1786" i="1"/>
  <c r="R1786" i="1"/>
  <c r="Q1786" i="1"/>
  <c r="P1786" i="1"/>
  <c r="AI1785" i="1"/>
  <c r="AD1785" i="1"/>
  <c r="R1785" i="1"/>
  <c r="AI1784" i="1"/>
  <c r="AD1784" i="1"/>
  <c r="R1784" i="1"/>
  <c r="AI1783" i="1"/>
  <c r="AD1783" i="1"/>
  <c r="R1783" i="1"/>
  <c r="AI1782" i="1"/>
  <c r="AD1782" i="1"/>
  <c r="R1782" i="1"/>
  <c r="AI1781" i="1"/>
  <c r="AD1781" i="1"/>
  <c r="R1781" i="1"/>
  <c r="AI1780" i="1"/>
  <c r="AD1780" i="1"/>
  <c r="R1780" i="1"/>
  <c r="AI1779" i="1"/>
  <c r="AD1779" i="1"/>
  <c r="R1779" i="1"/>
  <c r="AI1778" i="1"/>
  <c r="AD1778" i="1"/>
  <c r="R1778" i="1"/>
  <c r="AI1777" i="1"/>
  <c r="AD1777" i="1"/>
  <c r="R1777" i="1"/>
  <c r="AI1776" i="1"/>
  <c r="AD1776" i="1"/>
  <c r="R1776" i="1"/>
  <c r="AI1775" i="1"/>
  <c r="AD1775" i="1"/>
  <c r="R1775" i="1"/>
  <c r="AI1774" i="1"/>
  <c r="AD1774" i="1"/>
  <c r="R1774" i="1"/>
  <c r="AI1773" i="1"/>
  <c r="AD1773" i="1"/>
  <c r="R1773" i="1"/>
  <c r="AI1772" i="1"/>
  <c r="AD1772" i="1"/>
  <c r="R1772" i="1"/>
  <c r="AI1771" i="1"/>
  <c r="AD1771" i="1"/>
  <c r="R1771" i="1"/>
  <c r="AI1770" i="1"/>
  <c r="AD1770" i="1"/>
  <c r="R1770" i="1"/>
  <c r="AI1769" i="1"/>
  <c r="AD1769" i="1"/>
  <c r="R1769" i="1"/>
  <c r="AI1768" i="1"/>
  <c r="R1768" i="1"/>
  <c r="AI1767" i="1"/>
  <c r="R1767" i="1"/>
  <c r="AI1766" i="1"/>
  <c r="R1766" i="1"/>
  <c r="AI1765" i="1"/>
  <c r="R1765" i="1"/>
  <c r="P1765" i="1"/>
  <c r="Q1765" i="1" s="1"/>
  <c r="AI1764" i="1"/>
  <c r="R1764" i="1"/>
  <c r="Q1764" i="1"/>
  <c r="P1764" i="1"/>
  <c r="AI1763" i="1"/>
  <c r="R1763" i="1"/>
  <c r="P1763" i="1"/>
  <c r="Q1763" i="1" s="1"/>
  <c r="AI1762" i="1"/>
  <c r="R1762" i="1"/>
  <c r="P1762" i="1"/>
  <c r="Q1762" i="1" s="1"/>
  <c r="AI1761" i="1"/>
  <c r="R1761" i="1"/>
  <c r="P1761" i="1"/>
  <c r="Q1761" i="1" s="1"/>
  <c r="AI1760" i="1"/>
  <c r="R1760" i="1"/>
  <c r="P1760" i="1"/>
  <c r="Q1760" i="1" s="1"/>
  <c r="AI1759" i="1"/>
  <c r="R1759" i="1"/>
  <c r="P1759" i="1"/>
  <c r="Q1759" i="1" s="1"/>
  <c r="AI1758" i="1"/>
  <c r="R1758" i="1"/>
  <c r="P1758" i="1"/>
  <c r="Q1758" i="1" s="1"/>
  <c r="AI1757" i="1"/>
  <c r="R1757" i="1"/>
  <c r="P1757" i="1"/>
  <c r="Q1757" i="1" s="1"/>
  <c r="AI1756" i="1"/>
  <c r="R1756" i="1"/>
  <c r="P1756" i="1"/>
  <c r="Q1756" i="1" s="1"/>
  <c r="AI1755" i="1"/>
  <c r="R1755" i="1"/>
  <c r="Q1755" i="1"/>
  <c r="P1755" i="1"/>
  <c r="AI1754" i="1"/>
  <c r="R1754" i="1"/>
  <c r="P1754" i="1"/>
  <c r="Q1754" i="1" s="1"/>
  <c r="AI1753" i="1"/>
  <c r="R1753" i="1"/>
  <c r="P1753" i="1"/>
  <c r="Q1753" i="1" s="1"/>
  <c r="AI1752" i="1"/>
  <c r="R1752" i="1"/>
  <c r="Q1752" i="1"/>
  <c r="P1752" i="1"/>
  <c r="AI1751" i="1"/>
  <c r="R1751" i="1"/>
  <c r="P1751" i="1"/>
  <c r="Q1751" i="1" s="1"/>
  <c r="AI1750" i="1"/>
  <c r="AD1750" i="1"/>
  <c r="R1750" i="1"/>
  <c r="AI1749" i="1"/>
  <c r="AD1749" i="1"/>
  <c r="R1749" i="1"/>
  <c r="AI1748" i="1"/>
  <c r="R1748" i="1"/>
  <c r="AI1747" i="1"/>
  <c r="AD1747" i="1"/>
  <c r="R1747" i="1"/>
  <c r="AI1746" i="1"/>
  <c r="AD1746" i="1"/>
  <c r="R1746" i="1"/>
  <c r="AI1745" i="1"/>
  <c r="AD1745" i="1"/>
  <c r="R1745" i="1"/>
  <c r="AI1744" i="1"/>
  <c r="AD1744" i="1"/>
  <c r="R1744" i="1"/>
  <c r="AI1743" i="1"/>
  <c r="AD1743" i="1"/>
  <c r="R1743" i="1"/>
  <c r="AI1742" i="1"/>
  <c r="AD1742" i="1"/>
  <c r="R1742" i="1"/>
  <c r="AI1741" i="1"/>
  <c r="AD1741" i="1"/>
  <c r="R1741" i="1"/>
  <c r="AI1740" i="1"/>
  <c r="AD1740" i="1"/>
  <c r="R1740" i="1"/>
  <c r="AI1739" i="1"/>
  <c r="AD1739" i="1"/>
  <c r="R1739" i="1"/>
  <c r="AI1738" i="1"/>
  <c r="AD1738" i="1"/>
  <c r="R1738" i="1"/>
  <c r="AI1737" i="1"/>
  <c r="AD1737" i="1"/>
  <c r="R1737" i="1"/>
  <c r="AI1736" i="1"/>
  <c r="AD1736" i="1"/>
  <c r="R1736" i="1"/>
  <c r="AI1735" i="1"/>
  <c r="AD1735" i="1"/>
  <c r="R1735" i="1"/>
  <c r="AI1734" i="1"/>
  <c r="AD1734" i="1"/>
  <c r="R1734" i="1"/>
  <c r="AI1733" i="1"/>
  <c r="AD1733" i="1"/>
  <c r="R1733" i="1"/>
  <c r="AI1732" i="1"/>
  <c r="AD1732" i="1"/>
  <c r="R1732" i="1"/>
  <c r="AI1731" i="1"/>
  <c r="AD1731" i="1"/>
  <c r="R1731" i="1"/>
  <c r="AI1730" i="1"/>
  <c r="AD1730" i="1"/>
  <c r="AI1729" i="1"/>
  <c r="AD1729" i="1"/>
  <c r="R1729" i="1"/>
  <c r="AI1728" i="1"/>
  <c r="AD1728" i="1"/>
  <c r="R1728" i="1"/>
  <c r="AI1727" i="1"/>
  <c r="AD1727" i="1"/>
  <c r="R1727" i="1"/>
  <c r="AI1726" i="1"/>
  <c r="AD1726" i="1"/>
  <c r="R1726" i="1"/>
  <c r="AI1725" i="1"/>
  <c r="AD1725" i="1"/>
  <c r="R1725" i="1"/>
  <c r="AI1724" i="1"/>
  <c r="AD1724" i="1"/>
  <c r="R1724" i="1"/>
  <c r="AI1723" i="1"/>
  <c r="AD1723" i="1"/>
  <c r="R1723" i="1"/>
  <c r="AI1722" i="1"/>
  <c r="AD1722" i="1"/>
  <c r="R1722" i="1"/>
  <c r="AI1721" i="1"/>
  <c r="AD1721" i="1"/>
  <c r="R1721" i="1"/>
  <c r="AI1720" i="1"/>
  <c r="AD1720" i="1"/>
  <c r="R1720" i="1"/>
  <c r="AI1719" i="1"/>
  <c r="AD1719" i="1"/>
  <c r="R1719" i="1"/>
  <c r="AI1718" i="1"/>
  <c r="AD1718" i="1"/>
  <c r="R1718" i="1"/>
  <c r="AI1717" i="1"/>
  <c r="AD1717" i="1"/>
  <c r="R1717" i="1"/>
  <c r="AI1716" i="1"/>
  <c r="AD1716" i="1"/>
  <c r="R1716" i="1"/>
  <c r="AI1715" i="1"/>
  <c r="AD1715" i="1"/>
  <c r="R1715" i="1"/>
  <c r="AI1714" i="1"/>
  <c r="AD1714" i="1"/>
  <c r="R1714" i="1"/>
  <c r="AI1713" i="1"/>
  <c r="AD1713" i="1"/>
  <c r="R1713" i="1"/>
  <c r="AI1712" i="1"/>
  <c r="AD1712" i="1"/>
  <c r="R1712" i="1"/>
  <c r="AI1711" i="1"/>
  <c r="AD1711" i="1"/>
  <c r="R1711" i="1"/>
  <c r="AI1710" i="1"/>
  <c r="AD1710" i="1"/>
  <c r="R1710" i="1"/>
  <c r="R1709" i="1"/>
  <c r="Q1709" i="1"/>
  <c r="R1708" i="1"/>
  <c r="Q1708" i="1"/>
  <c r="R1707" i="1"/>
  <c r="Q1707" i="1"/>
  <c r="R1706" i="1"/>
  <c r="Q1706" i="1"/>
  <c r="R1705" i="1"/>
  <c r="Q1705" i="1"/>
  <c r="R1704" i="1"/>
  <c r="Q1704" i="1"/>
  <c r="R1703" i="1"/>
  <c r="Q1703" i="1"/>
  <c r="R1702" i="1"/>
  <c r="P1702" i="1"/>
  <c r="Q1702" i="1" s="1"/>
  <c r="R1701" i="1"/>
  <c r="P1701" i="1"/>
  <c r="Q1701" i="1" s="1"/>
  <c r="R1700" i="1"/>
  <c r="P1700" i="1"/>
  <c r="Q1700" i="1" s="1"/>
  <c r="R1699" i="1"/>
  <c r="P1699" i="1"/>
  <c r="Q1699" i="1" s="1"/>
  <c r="R1698" i="1"/>
  <c r="P1698" i="1"/>
  <c r="Q1698" i="1" s="1"/>
  <c r="R1697" i="1"/>
  <c r="Q1697" i="1"/>
  <c r="P1697" i="1"/>
  <c r="R1696" i="1"/>
  <c r="Q1696" i="1"/>
  <c r="P1696" i="1"/>
  <c r="R1695" i="1"/>
  <c r="Q1695" i="1"/>
  <c r="P1695" i="1"/>
  <c r="R1694" i="1"/>
  <c r="P1694" i="1"/>
  <c r="Q1694" i="1" s="1"/>
  <c r="R1693" i="1"/>
  <c r="Q1693" i="1"/>
  <c r="P1693" i="1"/>
  <c r="R1692" i="1"/>
  <c r="P1692" i="1"/>
  <c r="Q1692" i="1" s="1"/>
  <c r="R1691" i="1"/>
  <c r="P1691" i="1"/>
  <c r="Q1691" i="1" s="1"/>
  <c r="R1690" i="1"/>
  <c r="R1689" i="1"/>
  <c r="R1688" i="1"/>
  <c r="P1688" i="1"/>
  <c r="Q1688" i="1" s="1"/>
  <c r="AI1687" i="1"/>
  <c r="AD1687" i="1"/>
  <c r="R1687" i="1"/>
  <c r="AI1686" i="1"/>
  <c r="AD1686" i="1"/>
  <c r="R1686" i="1"/>
  <c r="AI1685" i="1"/>
  <c r="AD1685" i="1"/>
  <c r="R1685" i="1"/>
  <c r="AI1684" i="1"/>
  <c r="AD1684" i="1"/>
  <c r="R1684" i="1"/>
  <c r="AI1683" i="1"/>
  <c r="AD1683" i="1"/>
  <c r="R1683" i="1"/>
  <c r="AI1682" i="1"/>
  <c r="AD1682" i="1"/>
  <c r="R1682" i="1"/>
  <c r="R1681" i="1"/>
  <c r="Q1681" i="1"/>
  <c r="P1681" i="1"/>
  <c r="AI1680" i="1"/>
  <c r="AD1680" i="1"/>
  <c r="R1680" i="1"/>
  <c r="P1680" i="1"/>
  <c r="Q1680" i="1" s="1"/>
  <c r="AI1679" i="1"/>
  <c r="AD1679" i="1"/>
  <c r="R1679" i="1"/>
  <c r="AI1678" i="1"/>
  <c r="R1678" i="1"/>
  <c r="AI1677" i="1"/>
  <c r="AD1677" i="1"/>
  <c r="R1677" i="1"/>
  <c r="AI1676" i="1"/>
  <c r="AD1676" i="1"/>
  <c r="R1676" i="1"/>
  <c r="AI1675" i="1"/>
  <c r="AD1675" i="1"/>
  <c r="R1675" i="1"/>
  <c r="AI1674" i="1"/>
  <c r="AD1674" i="1"/>
  <c r="R1674" i="1"/>
  <c r="AI1673" i="1"/>
  <c r="AD1673" i="1"/>
  <c r="R1673" i="1"/>
  <c r="AI1672" i="1"/>
  <c r="AD1672" i="1"/>
  <c r="R1672" i="1"/>
  <c r="AI1671" i="1"/>
  <c r="AD1671" i="1"/>
  <c r="R1671" i="1"/>
  <c r="AI1670" i="1"/>
  <c r="AD1670" i="1"/>
  <c r="R1670" i="1"/>
  <c r="AI1669" i="1"/>
  <c r="AD1669" i="1"/>
  <c r="R1669" i="1"/>
  <c r="AI1668" i="1"/>
  <c r="AD1668" i="1"/>
  <c r="R1668" i="1"/>
  <c r="AI1667" i="1"/>
  <c r="AD1667" i="1"/>
  <c r="R1667" i="1"/>
  <c r="AI1666" i="1"/>
  <c r="AD1666" i="1"/>
  <c r="R1666" i="1"/>
  <c r="AI1665" i="1"/>
  <c r="AD1665" i="1"/>
  <c r="R1665" i="1"/>
  <c r="AI1664" i="1"/>
  <c r="AD1664" i="1"/>
  <c r="R1664" i="1"/>
  <c r="P1664" i="1"/>
  <c r="Q1664" i="1" s="1"/>
  <c r="AI1663" i="1"/>
  <c r="AD1663" i="1"/>
  <c r="R1663" i="1"/>
  <c r="AI1662" i="1"/>
  <c r="AD1662" i="1"/>
  <c r="R1662" i="1"/>
  <c r="AI1661" i="1"/>
  <c r="AD1661" i="1"/>
  <c r="R1661" i="1"/>
  <c r="AI1660" i="1"/>
  <c r="AD1660" i="1"/>
  <c r="R1660" i="1"/>
  <c r="AI1659" i="1"/>
  <c r="AD1659" i="1"/>
  <c r="R1659" i="1"/>
  <c r="AI1658" i="1"/>
  <c r="AD1658" i="1"/>
  <c r="R1658" i="1"/>
  <c r="AI1657" i="1"/>
  <c r="R1657" i="1"/>
  <c r="AI1656" i="1"/>
  <c r="AD1656" i="1"/>
  <c r="AI1655" i="1"/>
  <c r="AD1655" i="1"/>
  <c r="R1655" i="1"/>
  <c r="AI1654" i="1"/>
  <c r="AD1654" i="1"/>
  <c r="R1654" i="1"/>
  <c r="AI1653" i="1"/>
  <c r="AD1653" i="1"/>
  <c r="R1653" i="1"/>
  <c r="AI1652" i="1"/>
  <c r="AD1652" i="1"/>
  <c r="R1652" i="1"/>
  <c r="AI1651" i="1"/>
  <c r="AD1651" i="1"/>
  <c r="R1651" i="1"/>
  <c r="AI1650" i="1"/>
  <c r="AD1650" i="1"/>
  <c r="R1650" i="1"/>
  <c r="AI1649" i="1"/>
  <c r="AD1649" i="1"/>
  <c r="R1649" i="1"/>
  <c r="AI1648" i="1"/>
  <c r="AD1648" i="1"/>
  <c r="R1648" i="1"/>
  <c r="AI1647" i="1"/>
  <c r="AD1647" i="1"/>
  <c r="R1647" i="1"/>
  <c r="AI1646" i="1"/>
  <c r="AD1646" i="1"/>
  <c r="R1646" i="1"/>
  <c r="AI1645" i="1"/>
  <c r="AD1645" i="1"/>
  <c r="R1645" i="1"/>
  <c r="AI1644" i="1"/>
  <c r="AD1644" i="1"/>
  <c r="R1644" i="1"/>
  <c r="AI1643" i="1"/>
  <c r="AD1643" i="1"/>
  <c r="R1643" i="1"/>
  <c r="AI1642" i="1"/>
  <c r="AD1642" i="1"/>
  <c r="R1642" i="1"/>
  <c r="P1642" i="1"/>
  <c r="Q1642" i="1" s="1"/>
  <c r="AI1641" i="1"/>
  <c r="AD1641" i="1"/>
  <c r="R1641" i="1"/>
  <c r="P1641" i="1"/>
  <c r="Q1641" i="1" s="1"/>
  <c r="AI1640" i="1"/>
  <c r="AD1640" i="1"/>
  <c r="R1640" i="1"/>
  <c r="P1640" i="1"/>
  <c r="Q1640" i="1" s="1"/>
  <c r="AI1639" i="1"/>
  <c r="R1639" i="1"/>
  <c r="P1639" i="1"/>
  <c r="Q1639" i="1" s="1"/>
  <c r="AI1638" i="1"/>
  <c r="AD1638" i="1"/>
  <c r="R1638" i="1"/>
  <c r="AI1637" i="1"/>
  <c r="AD1637" i="1"/>
  <c r="R1637" i="1"/>
  <c r="AI1636" i="1"/>
  <c r="AD1636" i="1"/>
  <c r="R1636" i="1"/>
  <c r="AI1635" i="1"/>
  <c r="AD1635" i="1"/>
  <c r="R1635" i="1"/>
  <c r="AI1634" i="1"/>
  <c r="AD1634" i="1"/>
  <c r="R1634" i="1"/>
  <c r="AI1633" i="1"/>
  <c r="AD1633" i="1"/>
  <c r="R1633" i="1"/>
  <c r="AI1632" i="1"/>
  <c r="AD1632" i="1"/>
  <c r="R1632" i="1"/>
  <c r="Q1632" i="1"/>
  <c r="P1632" i="1"/>
  <c r="AI1631" i="1"/>
  <c r="R1631" i="1"/>
  <c r="AI1630" i="1"/>
  <c r="AD1630" i="1"/>
  <c r="R1630" i="1"/>
  <c r="AI1629" i="1"/>
  <c r="AD1629" i="1"/>
  <c r="R1629" i="1"/>
  <c r="AI1628" i="1"/>
  <c r="AD1628" i="1"/>
  <c r="R1628" i="1"/>
  <c r="AI1627" i="1"/>
  <c r="AD1627" i="1"/>
  <c r="R1627" i="1"/>
  <c r="AI1626" i="1"/>
  <c r="AD1626" i="1"/>
  <c r="R1626" i="1"/>
  <c r="AI1625" i="1"/>
  <c r="R1625" i="1"/>
  <c r="Q1625" i="1"/>
  <c r="P1625" i="1"/>
  <c r="AI1624" i="1"/>
  <c r="AD1624" i="1"/>
  <c r="R1624" i="1"/>
  <c r="AI1623" i="1"/>
  <c r="R1623" i="1"/>
  <c r="AI1622" i="1"/>
  <c r="AD1622" i="1"/>
  <c r="R1622" i="1"/>
  <c r="AI1621" i="1"/>
  <c r="AD1621" i="1"/>
  <c r="R1621" i="1"/>
  <c r="AI1620" i="1"/>
  <c r="AD1620" i="1"/>
  <c r="R1620" i="1"/>
  <c r="AI1619" i="1"/>
  <c r="R1619" i="1"/>
  <c r="AI1618" i="1"/>
  <c r="AD1618" i="1"/>
  <c r="R1618" i="1"/>
  <c r="AI1617" i="1"/>
  <c r="AD1617" i="1"/>
  <c r="R1617" i="1"/>
  <c r="AI1616" i="1"/>
  <c r="AD1616" i="1"/>
  <c r="R1616" i="1"/>
  <c r="AI1615" i="1"/>
  <c r="AD1615" i="1"/>
  <c r="R1615" i="1"/>
  <c r="AI1614" i="1"/>
  <c r="AD1614" i="1"/>
  <c r="R1614" i="1"/>
  <c r="AI1613" i="1"/>
  <c r="AD1613" i="1"/>
  <c r="R1613" i="1"/>
  <c r="AI1612" i="1"/>
  <c r="AD1612" i="1"/>
  <c r="R1612" i="1"/>
  <c r="AI1611" i="1"/>
  <c r="AD1611" i="1"/>
  <c r="R1611" i="1"/>
  <c r="AI1610" i="1"/>
  <c r="AD1610" i="1"/>
  <c r="R1610" i="1"/>
  <c r="AI1609" i="1"/>
  <c r="AD1609" i="1"/>
  <c r="R1609" i="1"/>
  <c r="AI1608" i="1"/>
  <c r="AD1608" i="1"/>
  <c r="R1608" i="1"/>
  <c r="AI1607" i="1"/>
  <c r="AD1607" i="1"/>
  <c r="R1607" i="1"/>
  <c r="AI1606" i="1"/>
  <c r="AD1606" i="1"/>
  <c r="R1606" i="1"/>
  <c r="AI1605" i="1"/>
  <c r="AD1605" i="1"/>
  <c r="R1605" i="1"/>
  <c r="AI1604" i="1"/>
  <c r="AD1604" i="1"/>
  <c r="R1604" i="1"/>
  <c r="AI1603" i="1"/>
  <c r="AD1603" i="1"/>
  <c r="R1603" i="1"/>
  <c r="AI1602" i="1"/>
  <c r="AD1602" i="1"/>
  <c r="R1602" i="1"/>
  <c r="AI1601" i="1"/>
  <c r="AD1601" i="1"/>
  <c r="R1601" i="1"/>
  <c r="AI1600" i="1"/>
  <c r="AD1600" i="1"/>
  <c r="R1600" i="1"/>
  <c r="AI1599" i="1"/>
  <c r="AD1599" i="1"/>
  <c r="R1599" i="1"/>
  <c r="Q1599" i="1"/>
  <c r="P1599" i="1"/>
  <c r="AI1598" i="1"/>
  <c r="AD1598" i="1"/>
  <c r="R1598" i="1"/>
  <c r="Q1598" i="1"/>
  <c r="P1598" i="1"/>
  <c r="AI1597" i="1"/>
  <c r="AD1597" i="1"/>
  <c r="R1597" i="1"/>
  <c r="AI1596" i="1"/>
  <c r="AD1596" i="1"/>
  <c r="R1596" i="1"/>
  <c r="AI1595" i="1"/>
  <c r="AD1595" i="1"/>
  <c r="R1595" i="1"/>
  <c r="AI1594" i="1"/>
  <c r="AD1594" i="1"/>
  <c r="R1594" i="1"/>
  <c r="AI1593" i="1"/>
  <c r="AD1593" i="1"/>
  <c r="R1593" i="1"/>
  <c r="AI1592" i="1"/>
  <c r="R1592" i="1"/>
  <c r="AI1591" i="1"/>
  <c r="AD1591" i="1"/>
  <c r="R1591" i="1"/>
  <c r="AI1590" i="1"/>
  <c r="AD1590" i="1"/>
  <c r="R1590" i="1"/>
  <c r="AI1589" i="1"/>
  <c r="AD1589" i="1"/>
  <c r="R1589" i="1"/>
  <c r="AI1588" i="1"/>
  <c r="AD1588" i="1"/>
  <c r="R1588" i="1"/>
  <c r="AI1587" i="1"/>
  <c r="AD1587" i="1"/>
  <c r="R1587" i="1"/>
  <c r="AI1586" i="1"/>
  <c r="AD1586" i="1"/>
  <c r="R1586" i="1"/>
  <c r="AI1585" i="1"/>
  <c r="AD1585" i="1"/>
  <c r="R1585" i="1"/>
  <c r="AI1584" i="1"/>
  <c r="AD1584" i="1"/>
  <c r="R1584" i="1"/>
  <c r="AI1583" i="1"/>
  <c r="AD1583" i="1"/>
  <c r="AI1582" i="1"/>
  <c r="AD1582" i="1"/>
  <c r="R1582" i="1"/>
  <c r="AI1581" i="1"/>
  <c r="AD1581" i="1"/>
  <c r="R1581" i="1"/>
  <c r="AI1580" i="1"/>
  <c r="AD1580" i="1"/>
  <c r="R1580" i="1"/>
  <c r="AI1579" i="1"/>
  <c r="AD1579" i="1"/>
  <c r="R1579" i="1"/>
  <c r="AI1578" i="1"/>
  <c r="AD1578" i="1"/>
  <c r="R1578" i="1"/>
  <c r="AI1577" i="1"/>
  <c r="AD1577" i="1"/>
  <c r="R1577" i="1"/>
  <c r="AI1576" i="1"/>
  <c r="AD1576" i="1"/>
  <c r="R1576" i="1"/>
  <c r="AI1575" i="1"/>
  <c r="AD1575" i="1"/>
  <c r="R1575" i="1"/>
  <c r="AI1574" i="1"/>
  <c r="AG1574" i="1"/>
  <c r="AD1574" i="1"/>
  <c r="R1574" i="1"/>
  <c r="AI1573" i="1"/>
  <c r="AD1573" i="1"/>
  <c r="R1573" i="1"/>
  <c r="AI1572" i="1"/>
  <c r="AD1572" i="1"/>
  <c r="R1572" i="1"/>
  <c r="AI1571" i="1"/>
  <c r="AD1571" i="1"/>
  <c r="R1571" i="1"/>
  <c r="AI1570" i="1"/>
  <c r="AD1570" i="1"/>
  <c r="R1570" i="1"/>
  <c r="AI1569" i="1"/>
  <c r="AD1569" i="1"/>
  <c r="R1569" i="1"/>
  <c r="AI1568" i="1"/>
  <c r="AD1568" i="1"/>
  <c r="R1568" i="1"/>
  <c r="AI1567" i="1"/>
  <c r="AD1567" i="1"/>
  <c r="R1567" i="1"/>
  <c r="AI1566" i="1"/>
  <c r="AD1566" i="1"/>
  <c r="R1566" i="1"/>
  <c r="AI1565" i="1"/>
  <c r="AD1565" i="1"/>
  <c r="R1565" i="1"/>
  <c r="AI1564" i="1"/>
  <c r="AD1564" i="1"/>
  <c r="R1564" i="1"/>
  <c r="AI1563" i="1"/>
  <c r="AD1563" i="1"/>
  <c r="R1563" i="1"/>
  <c r="AI1562" i="1"/>
  <c r="AD1562" i="1"/>
  <c r="R1562" i="1"/>
  <c r="AI1561" i="1"/>
  <c r="AD1561" i="1"/>
  <c r="R1561" i="1"/>
  <c r="AI1560" i="1"/>
  <c r="AD1560" i="1"/>
  <c r="R1560" i="1"/>
  <c r="AI1559" i="1"/>
  <c r="AD1559" i="1"/>
  <c r="R1559" i="1"/>
  <c r="AI1558" i="1"/>
  <c r="AD1558" i="1"/>
  <c r="R1558" i="1"/>
  <c r="AI1557" i="1"/>
  <c r="AD1557" i="1"/>
  <c r="R1557" i="1"/>
  <c r="AI1556" i="1"/>
  <c r="AG1556" i="1"/>
  <c r="AD1556" i="1"/>
  <c r="R1556" i="1"/>
  <c r="AI1555" i="1"/>
  <c r="AD1555" i="1"/>
  <c r="R1555" i="1"/>
  <c r="AI1554" i="1"/>
  <c r="AD1554" i="1"/>
  <c r="R1554" i="1"/>
  <c r="AI1553" i="1"/>
  <c r="AD1553" i="1"/>
  <c r="R1553" i="1"/>
  <c r="AI1552" i="1"/>
  <c r="AD1552" i="1"/>
  <c r="R1552" i="1"/>
  <c r="AI1551" i="1"/>
  <c r="AD1551" i="1"/>
  <c r="R1551" i="1"/>
  <c r="AI1550" i="1"/>
  <c r="AD1550" i="1"/>
  <c r="R1550" i="1"/>
  <c r="AI1549" i="1"/>
  <c r="AD1549" i="1"/>
  <c r="R1549" i="1"/>
  <c r="AI1548" i="1"/>
  <c r="AD1548" i="1"/>
  <c r="R1548" i="1"/>
  <c r="Q1548" i="1"/>
  <c r="P1548" i="1"/>
  <c r="AI1547" i="1"/>
  <c r="AD1547" i="1"/>
  <c r="R1547" i="1"/>
  <c r="AI1546" i="1"/>
  <c r="AD1546" i="1"/>
  <c r="R1546" i="1"/>
  <c r="AI1545" i="1"/>
  <c r="AD1545" i="1"/>
  <c r="R1545" i="1"/>
  <c r="AI1544" i="1"/>
  <c r="AD1544" i="1"/>
  <c r="R1544" i="1"/>
  <c r="AI1543" i="1"/>
  <c r="AD1543" i="1"/>
  <c r="R1543" i="1"/>
  <c r="AI1542" i="1"/>
  <c r="AD1542" i="1"/>
  <c r="R1542" i="1"/>
  <c r="AI1541" i="1"/>
  <c r="AD1541" i="1"/>
  <c r="R1541" i="1"/>
  <c r="AI1540" i="1"/>
  <c r="AD1540" i="1"/>
  <c r="R1540" i="1"/>
  <c r="AI1539" i="1"/>
  <c r="AD1539" i="1"/>
  <c r="R1539" i="1"/>
  <c r="AI1538" i="1"/>
  <c r="AD1538" i="1"/>
  <c r="R1538" i="1"/>
  <c r="AI1537" i="1"/>
  <c r="AD1537" i="1"/>
  <c r="R1537" i="1"/>
  <c r="AI1536" i="1"/>
  <c r="AD1536" i="1"/>
  <c r="R1536" i="1"/>
  <c r="AI1535" i="1"/>
  <c r="AD1535" i="1"/>
  <c r="R1535" i="1"/>
  <c r="AI1534" i="1"/>
  <c r="AD1534" i="1"/>
  <c r="AI1533" i="1"/>
  <c r="AD1533" i="1"/>
  <c r="R1533" i="1"/>
  <c r="AI1532" i="1"/>
  <c r="AD1532" i="1"/>
  <c r="R1532" i="1"/>
  <c r="AI1531" i="1"/>
  <c r="AD1531" i="1"/>
  <c r="R1531" i="1"/>
  <c r="AI1530" i="1"/>
  <c r="AD1530" i="1"/>
  <c r="R1530" i="1"/>
  <c r="AI1529" i="1"/>
  <c r="AD1529" i="1"/>
  <c r="R1529" i="1"/>
  <c r="AI1528" i="1"/>
  <c r="AD1528" i="1"/>
  <c r="R1528" i="1"/>
  <c r="AI1527" i="1"/>
  <c r="AD1527" i="1"/>
  <c r="R1527" i="1"/>
  <c r="AI1526" i="1"/>
  <c r="AD1526" i="1"/>
  <c r="R1526" i="1"/>
  <c r="AI1525" i="1"/>
  <c r="AD1525" i="1"/>
  <c r="AI1524" i="1"/>
  <c r="AD1524" i="1"/>
  <c r="R1524" i="1"/>
  <c r="AI1523" i="1"/>
  <c r="AD1523" i="1"/>
  <c r="R1523" i="1"/>
  <c r="AI1522" i="1"/>
  <c r="AD1522" i="1"/>
  <c r="R1522" i="1"/>
  <c r="AI1521" i="1"/>
  <c r="R1521" i="1"/>
  <c r="AI1520" i="1"/>
  <c r="AD1520" i="1"/>
  <c r="R1520" i="1"/>
  <c r="AI1519" i="1"/>
  <c r="AD1519" i="1"/>
  <c r="R1519" i="1"/>
  <c r="AI1518" i="1"/>
  <c r="AD1518" i="1"/>
  <c r="R1518" i="1"/>
  <c r="AI1517" i="1"/>
  <c r="AD1517" i="1"/>
  <c r="R1517" i="1"/>
  <c r="AI1516" i="1"/>
  <c r="AD1516" i="1"/>
  <c r="R1516" i="1"/>
  <c r="AI1515" i="1"/>
  <c r="AD1515" i="1"/>
  <c r="R1515" i="1"/>
  <c r="AI1514" i="1"/>
  <c r="AD1514" i="1"/>
  <c r="R1514" i="1"/>
  <c r="AI1513" i="1"/>
  <c r="AD1513" i="1"/>
  <c r="R1513" i="1"/>
  <c r="AI1512" i="1"/>
  <c r="AD1512" i="1"/>
  <c r="R1512" i="1"/>
  <c r="AI1511" i="1"/>
  <c r="AD1511" i="1"/>
  <c r="R1511" i="1"/>
  <c r="AI1510" i="1"/>
  <c r="AD1510" i="1"/>
  <c r="R1510" i="1"/>
  <c r="AI1509" i="1"/>
  <c r="AD1509" i="1"/>
  <c r="R1509" i="1"/>
  <c r="AI1508" i="1"/>
  <c r="AD1508" i="1"/>
  <c r="R1508" i="1"/>
  <c r="AI1507" i="1"/>
  <c r="AD1507" i="1"/>
  <c r="R1507" i="1"/>
  <c r="AI1506" i="1"/>
  <c r="AD1506" i="1"/>
  <c r="R1506" i="1"/>
  <c r="AI1505" i="1"/>
  <c r="AD1505" i="1"/>
  <c r="R1505" i="1"/>
  <c r="AI1504" i="1"/>
  <c r="AD1504" i="1"/>
  <c r="R1504" i="1"/>
  <c r="AI1503" i="1"/>
  <c r="AD1503" i="1"/>
  <c r="AI1502" i="1"/>
  <c r="R1502" i="1"/>
  <c r="AI1501" i="1"/>
  <c r="AD1501" i="1"/>
  <c r="R1501" i="1"/>
  <c r="AI1500" i="1"/>
  <c r="AD1500" i="1"/>
  <c r="R1500" i="1"/>
  <c r="AI1499" i="1"/>
  <c r="AD1499" i="1"/>
  <c r="AI1498" i="1"/>
  <c r="AD1498" i="1"/>
  <c r="AI1497" i="1"/>
  <c r="AD1497" i="1"/>
  <c r="R1497" i="1"/>
  <c r="AI1496" i="1"/>
  <c r="AD1496" i="1"/>
  <c r="R1496" i="1"/>
  <c r="AI1495" i="1"/>
  <c r="AD1495" i="1"/>
  <c r="R1495" i="1"/>
  <c r="AI1494" i="1"/>
  <c r="AD1494" i="1"/>
  <c r="R1494" i="1"/>
  <c r="AI1493" i="1"/>
  <c r="AD1493" i="1"/>
  <c r="R1493" i="1"/>
  <c r="AI1492" i="1"/>
  <c r="AD1492" i="1"/>
  <c r="R1492" i="1"/>
  <c r="AI1491" i="1"/>
  <c r="AD1491" i="1"/>
  <c r="R1491" i="1"/>
  <c r="AI1490" i="1"/>
  <c r="AD1490" i="1"/>
  <c r="R1490" i="1"/>
  <c r="AI1489" i="1"/>
  <c r="AD1489" i="1"/>
  <c r="R1489" i="1"/>
  <c r="AI1488" i="1"/>
  <c r="AD1488" i="1"/>
  <c r="R1488" i="1"/>
  <c r="AI1487" i="1"/>
  <c r="AD1487" i="1"/>
  <c r="R1487" i="1"/>
  <c r="AI1486" i="1"/>
  <c r="R1486" i="1"/>
  <c r="AI1485" i="1"/>
  <c r="AD1485" i="1"/>
  <c r="R1485" i="1"/>
  <c r="AI1484" i="1"/>
  <c r="AD1484" i="1"/>
  <c r="R1484" i="1"/>
  <c r="AI1483" i="1"/>
  <c r="AD1483" i="1"/>
  <c r="R1483" i="1"/>
  <c r="AI1482" i="1"/>
  <c r="AD1482" i="1"/>
  <c r="R1482" i="1"/>
  <c r="AI1481" i="1"/>
  <c r="AD1481" i="1"/>
  <c r="R1481" i="1"/>
  <c r="AI1480" i="1"/>
  <c r="AD1480" i="1"/>
  <c r="R1480" i="1"/>
  <c r="AI1479" i="1"/>
  <c r="AD1479" i="1"/>
  <c r="R1479" i="1"/>
  <c r="AI1478" i="1"/>
  <c r="AD1478" i="1"/>
  <c r="AI1477" i="1"/>
  <c r="AD1477" i="1"/>
  <c r="R1477" i="1"/>
  <c r="AI1476" i="1"/>
  <c r="AD1476" i="1"/>
  <c r="R1476" i="1"/>
  <c r="AI1475" i="1"/>
  <c r="AD1475" i="1"/>
  <c r="R1475" i="1"/>
  <c r="AI1474" i="1"/>
  <c r="AD1474" i="1"/>
  <c r="R1474" i="1"/>
  <c r="AI1473" i="1"/>
  <c r="AD1473" i="1"/>
  <c r="R1473" i="1"/>
  <c r="AI1472" i="1"/>
  <c r="AD1472" i="1"/>
  <c r="R1472" i="1"/>
  <c r="AI1471" i="1"/>
  <c r="AD1471" i="1"/>
  <c r="R1471" i="1"/>
  <c r="AI1470" i="1"/>
  <c r="AD1470" i="1"/>
  <c r="R1470" i="1"/>
  <c r="AI1469" i="1"/>
  <c r="AD1469" i="1"/>
  <c r="AI1468" i="1"/>
  <c r="AD1468" i="1"/>
  <c r="R1468" i="1"/>
  <c r="AI1467" i="1"/>
  <c r="AD1467" i="1"/>
  <c r="R1467" i="1"/>
  <c r="AI1466" i="1"/>
  <c r="AD1466" i="1"/>
  <c r="R1466" i="1"/>
  <c r="AI1465" i="1"/>
  <c r="AD1465" i="1"/>
  <c r="R1465" i="1"/>
  <c r="AI1464" i="1"/>
  <c r="AD1464" i="1"/>
  <c r="R1464" i="1"/>
  <c r="AI1463" i="1"/>
  <c r="R1463" i="1"/>
  <c r="AI1462" i="1"/>
  <c r="AD1462" i="1"/>
  <c r="R1462" i="1"/>
  <c r="AI1461" i="1"/>
  <c r="AD1461" i="1"/>
  <c r="R1461" i="1"/>
  <c r="AI1460" i="1"/>
  <c r="R1460" i="1"/>
  <c r="AI1459" i="1"/>
  <c r="AD1459" i="1"/>
  <c r="R1459" i="1"/>
  <c r="AI1458" i="1"/>
  <c r="AD1458" i="1"/>
  <c r="R1458" i="1"/>
  <c r="AI1457" i="1"/>
  <c r="AD1457" i="1"/>
  <c r="R1457" i="1"/>
  <c r="AI1456" i="1"/>
  <c r="AD1456" i="1"/>
  <c r="R1456" i="1"/>
  <c r="Q1456" i="1"/>
  <c r="P1456" i="1"/>
  <c r="AI1455" i="1"/>
  <c r="AD1455" i="1"/>
  <c r="R1455" i="1"/>
  <c r="AI1454" i="1"/>
  <c r="AD1454" i="1"/>
  <c r="R1454" i="1"/>
  <c r="AI1453" i="1"/>
  <c r="AD1453" i="1"/>
  <c r="R1453" i="1"/>
  <c r="AI1452" i="1"/>
  <c r="AD1452" i="1"/>
  <c r="R1452" i="1"/>
  <c r="AI1451" i="1"/>
  <c r="AD1451" i="1"/>
  <c r="R1451" i="1"/>
  <c r="AI1450" i="1"/>
  <c r="AD1450" i="1"/>
  <c r="R1450" i="1"/>
  <c r="AI1449" i="1"/>
  <c r="AD1449" i="1"/>
  <c r="R1449" i="1"/>
  <c r="AI1448" i="1"/>
  <c r="AD1448" i="1"/>
  <c r="R1448" i="1"/>
  <c r="AI1447" i="1"/>
  <c r="AD1447" i="1"/>
  <c r="R1447" i="1"/>
  <c r="AI1446" i="1"/>
  <c r="AD1446" i="1"/>
  <c r="R1446" i="1"/>
  <c r="AI1445" i="1"/>
  <c r="AD1445" i="1"/>
  <c r="R1445" i="1"/>
  <c r="AI1444" i="1"/>
  <c r="AD1444" i="1"/>
  <c r="R1444" i="1"/>
  <c r="AI1443" i="1"/>
  <c r="AD1443" i="1"/>
  <c r="R1443" i="1"/>
  <c r="AI1442" i="1"/>
  <c r="AD1442" i="1"/>
  <c r="R1442" i="1"/>
  <c r="AI1441" i="1"/>
  <c r="AD1441" i="1"/>
  <c r="R1441" i="1"/>
  <c r="AI1440" i="1"/>
  <c r="AD1440" i="1"/>
  <c r="R1440" i="1"/>
  <c r="AI1439" i="1"/>
  <c r="AD1439" i="1"/>
  <c r="R1439" i="1"/>
  <c r="AI1438" i="1"/>
  <c r="R1438" i="1"/>
  <c r="AI1437" i="1"/>
  <c r="AD1437" i="1"/>
  <c r="R1437" i="1"/>
  <c r="AI1436" i="1"/>
  <c r="AD1436" i="1"/>
  <c r="R1436" i="1"/>
  <c r="AI1435" i="1"/>
  <c r="AD1435" i="1"/>
  <c r="R1435" i="1"/>
  <c r="AI1434" i="1"/>
  <c r="AD1434" i="1"/>
  <c r="R1434" i="1"/>
  <c r="AI1433" i="1"/>
  <c r="AD1433" i="1"/>
  <c r="R1433" i="1"/>
  <c r="AI1432" i="1"/>
  <c r="AD1432" i="1"/>
  <c r="R1432" i="1"/>
  <c r="AI1431" i="1"/>
  <c r="AD1431" i="1"/>
  <c r="R1431" i="1"/>
  <c r="AI1430" i="1"/>
  <c r="AD1430" i="1"/>
  <c r="R1430" i="1"/>
  <c r="AI1429" i="1"/>
  <c r="AD1429" i="1"/>
  <c r="R1429" i="1"/>
  <c r="AI1428" i="1"/>
  <c r="AD1428" i="1"/>
  <c r="AI1427" i="1"/>
  <c r="AD1427" i="1"/>
  <c r="R1427" i="1"/>
  <c r="AI1426" i="1"/>
  <c r="AD1426" i="1"/>
  <c r="R1426" i="1"/>
  <c r="AI1425" i="1"/>
  <c r="AD1425" i="1"/>
  <c r="R1425" i="1"/>
  <c r="AI1424" i="1"/>
  <c r="R1424" i="1"/>
  <c r="AI1423" i="1"/>
  <c r="AD1423" i="1"/>
  <c r="R1423" i="1"/>
  <c r="AI1422" i="1"/>
  <c r="AD1422" i="1"/>
  <c r="R1422" i="1"/>
  <c r="AI1421" i="1"/>
  <c r="AD1421" i="1"/>
  <c r="R1421" i="1"/>
  <c r="AI1420" i="1"/>
  <c r="AD1420" i="1"/>
  <c r="R1420" i="1"/>
  <c r="AI1419" i="1"/>
  <c r="AD1419" i="1"/>
  <c r="R1419" i="1"/>
  <c r="AI1418" i="1"/>
  <c r="AD1418" i="1"/>
  <c r="R1418" i="1"/>
  <c r="AI1417" i="1"/>
  <c r="AD1417" i="1"/>
  <c r="R1417" i="1"/>
  <c r="AI1416" i="1"/>
  <c r="AD1416" i="1"/>
  <c r="R1416" i="1"/>
  <c r="AI1415" i="1"/>
  <c r="AD1415" i="1"/>
  <c r="R1415" i="1"/>
  <c r="AI1414" i="1"/>
  <c r="AD1414" i="1"/>
  <c r="R1414" i="1"/>
  <c r="AI1413" i="1"/>
  <c r="AD1413" i="1"/>
  <c r="R1413" i="1"/>
  <c r="AI1412" i="1"/>
  <c r="AD1412" i="1"/>
  <c r="R1412" i="1"/>
  <c r="AI1411" i="1"/>
  <c r="AD1411" i="1"/>
  <c r="R1411" i="1"/>
  <c r="AI1410" i="1"/>
  <c r="AD1410" i="1"/>
  <c r="R1410" i="1"/>
  <c r="AI1409" i="1"/>
  <c r="AD1409" i="1"/>
  <c r="R1409" i="1"/>
  <c r="AI1408" i="1"/>
  <c r="R1408" i="1"/>
  <c r="AI1407" i="1"/>
  <c r="AD1407" i="1"/>
  <c r="R1407" i="1"/>
  <c r="AI1406" i="1"/>
  <c r="AD1406" i="1"/>
  <c r="R1406" i="1"/>
  <c r="AI1405" i="1"/>
  <c r="AD1405" i="1"/>
  <c r="R1405" i="1"/>
  <c r="AI1404" i="1"/>
  <c r="AD1404" i="1"/>
  <c r="R1404" i="1"/>
  <c r="AI1403" i="1"/>
  <c r="AD1403" i="1"/>
  <c r="R1403" i="1"/>
  <c r="AI1402" i="1"/>
  <c r="AD1402" i="1"/>
  <c r="R1402" i="1"/>
  <c r="AI1401" i="1"/>
  <c r="AD1401" i="1"/>
  <c r="R1401" i="1"/>
  <c r="AI1400" i="1"/>
  <c r="AD1400" i="1"/>
  <c r="R1400" i="1"/>
  <c r="AI1399" i="1"/>
  <c r="AD1399" i="1"/>
  <c r="R1399" i="1"/>
  <c r="AI1398" i="1"/>
  <c r="AD1398" i="1"/>
  <c r="R1398" i="1"/>
  <c r="AI1397" i="1"/>
  <c r="AD1397" i="1"/>
  <c r="R1397" i="1"/>
  <c r="AI1396" i="1"/>
  <c r="AD1396" i="1"/>
  <c r="R1396" i="1"/>
  <c r="AI1395" i="1"/>
  <c r="AD1395" i="1"/>
  <c r="R1395" i="1"/>
  <c r="AI1394" i="1"/>
  <c r="AD1394" i="1"/>
  <c r="R1394" i="1"/>
  <c r="AI1393" i="1"/>
  <c r="R1393" i="1"/>
  <c r="AI1392" i="1"/>
  <c r="AD1392" i="1"/>
  <c r="R1392" i="1"/>
  <c r="AI1391" i="1"/>
  <c r="AD1391" i="1"/>
  <c r="R1391" i="1"/>
  <c r="AI1390" i="1"/>
  <c r="AD1390" i="1"/>
  <c r="R1390" i="1"/>
  <c r="AI1389" i="1"/>
  <c r="AD1389" i="1"/>
  <c r="R1389" i="1"/>
  <c r="AI1388" i="1"/>
  <c r="AD1388" i="1"/>
  <c r="R1388" i="1"/>
  <c r="AI1387" i="1"/>
  <c r="AD1387" i="1"/>
  <c r="R1387" i="1"/>
  <c r="AI1386" i="1"/>
  <c r="AD1386" i="1"/>
  <c r="R1386" i="1"/>
  <c r="AI1385" i="1"/>
  <c r="AD1385" i="1"/>
  <c r="R1385" i="1"/>
  <c r="AI1384" i="1"/>
  <c r="AD1384" i="1"/>
  <c r="R1384" i="1"/>
  <c r="AI1383" i="1"/>
  <c r="AD1383" i="1"/>
  <c r="R1383" i="1"/>
  <c r="AI1382" i="1"/>
  <c r="AD1382" i="1"/>
  <c r="R1382" i="1"/>
  <c r="AI1381" i="1"/>
  <c r="AD1381" i="1"/>
  <c r="R1381" i="1"/>
  <c r="AI1380" i="1"/>
  <c r="AD1380" i="1"/>
  <c r="R1380" i="1"/>
  <c r="AI1379" i="1"/>
  <c r="AD1379" i="1"/>
  <c r="R1379" i="1"/>
  <c r="AI1378" i="1"/>
  <c r="AD1378" i="1"/>
  <c r="R1378" i="1"/>
  <c r="AI1377" i="1"/>
  <c r="AD1377" i="1"/>
  <c r="R1377" i="1"/>
  <c r="AI1376" i="1"/>
  <c r="AD1376" i="1"/>
  <c r="R1376" i="1"/>
  <c r="AI1375" i="1"/>
  <c r="R1375" i="1"/>
  <c r="AI1374" i="1"/>
  <c r="AD1374" i="1"/>
  <c r="R1374" i="1"/>
  <c r="AI1373" i="1"/>
  <c r="AD1373" i="1"/>
  <c r="R1373" i="1"/>
  <c r="AI1372" i="1"/>
  <c r="AD1372" i="1"/>
  <c r="R1372" i="1"/>
  <c r="AI1371" i="1"/>
  <c r="AD1371" i="1"/>
  <c r="R1371" i="1"/>
  <c r="AI1370" i="1"/>
  <c r="AD1370" i="1"/>
  <c r="R1370" i="1"/>
  <c r="AI1369" i="1"/>
  <c r="AD1369" i="1"/>
  <c r="R1369" i="1"/>
  <c r="AI1368" i="1"/>
  <c r="AD1368" i="1"/>
  <c r="R1368" i="1"/>
  <c r="AI1367" i="1"/>
  <c r="AD1367" i="1"/>
  <c r="R1367" i="1"/>
  <c r="AI1366" i="1"/>
  <c r="AD1366" i="1"/>
  <c r="R1366" i="1"/>
  <c r="AI1365" i="1"/>
  <c r="AD1365" i="1"/>
  <c r="R1365" i="1"/>
  <c r="AI1364" i="1"/>
  <c r="AD1364" i="1"/>
  <c r="R1364" i="1"/>
  <c r="AI1363" i="1"/>
  <c r="AD1363" i="1"/>
  <c r="R1363" i="1"/>
  <c r="AI1362" i="1"/>
  <c r="AD1362" i="1"/>
  <c r="R1362" i="1"/>
  <c r="AI1361" i="1"/>
  <c r="AD1361" i="1"/>
  <c r="R1361" i="1"/>
  <c r="AI1360" i="1"/>
  <c r="AD1360" i="1"/>
  <c r="R1360" i="1"/>
  <c r="AI1359" i="1"/>
  <c r="AD1359" i="1"/>
  <c r="R1359" i="1"/>
  <c r="AI1358" i="1"/>
  <c r="AD1358" i="1"/>
  <c r="R1358" i="1"/>
  <c r="AI1357" i="1"/>
  <c r="AD1357" i="1"/>
  <c r="R1357" i="1"/>
  <c r="AI1356" i="1"/>
  <c r="AD1356" i="1"/>
  <c r="R1356" i="1"/>
  <c r="AI1355" i="1"/>
  <c r="AD1355" i="1"/>
  <c r="R1355" i="1"/>
  <c r="AI1354" i="1"/>
  <c r="AD1354" i="1"/>
  <c r="R1354" i="1"/>
  <c r="AI1353" i="1"/>
  <c r="AD1353" i="1"/>
  <c r="R1353" i="1"/>
  <c r="AI1352" i="1"/>
  <c r="AD1352" i="1"/>
  <c r="R1352" i="1"/>
  <c r="AI1351" i="1"/>
  <c r="AD1351" i="1"/>
  <c r="R1351" i="1"/>
  <c r="AI1350" i="1"/>
  <c r="AD1350" i="1"/>
  <c r="R1350" i="1"/>
  <c r="AI1349" i="1"/>
  <c r="AD1349" i="1"/>
  <c r="R1349" i="1"/>
  <c r="AI1348" i="1"/>
  <c r="AD1348" i="1"/>
  <c r="R1348" i="1"/>
  <c r="AI1347" i="1"/>
  <c r="AD1347" i="1"/>
  <c r="R1347" i="1"/>
  <c r="AI1346" i="1"/>
  <c r="AD1346" i="1"/>
  <c r="R1346" i="1"/>
  <c r="AI1345" i="1"/>
  <c r="AD1345" i="1"/>
  <c r="R1345" i="1"/>
  <c r="AI1344" i="1"/>
  <c r="AD1344" i="1"/>
  <c r="R1344" i="1"/>
  <c r="AI1343" i="1"/>
  <c r="R1343" i="1"/>
  <c r="AI1342" i="1"/>
  <c r="AD1342" i="1"/>
  <c r="R1342" i="1"/>
  <c r="AI1341" i="1"/>
  <c r="AD1341" i="1"/>
  <c r="AI1340" i="1"/>
  <c r="AD1340" i="1"/>
  <c r="R1340" i="1"/>
  <c r="AI1339" i="1"/>
  <c r="AD1339" i="1"/>
  <c r="R1339" i="1"/>
  <c r="AI1338" i="1"/>
  <c r="AD1338" i="1"/>
  <c r="R1338" i="1"/>
  <c r="AI1337" i="1"/>
  <c r="AD1337" i="1"/>
  <c r="R1337" i="1"/>
  <c r="AI1336" i="1"/>
  <c r="AD1336" i="1"/>
  <c r="R1336" i="1"/>
  <c r="AI1335" i="1"/>
  <c r="AD1335" i="1"/>
  <c r="R1335" i="1"/>
  <c r="AI1334" i="1"/>
  <c r="AD1334" i="1"/>
  <c r="R1334" i="1"/>
  <c r="AI1333" i="1"/>
  <c r="AD1333" i="1"/>
  <c r="R1333" i="1"/>
  <c r="AI1332" i="1"/>
  <c r="AD1332" i="1"/>
  <c r="R1332" i="1"/>
  <c r="AI1331" i="1"/>
  <c r="AD1331" i="1"/>
  <c r="R1331" i="1"/>
  <c r="AI1330" i="1"/>
  <c r="AD1330" i="1"/>
  <c r="R1330" i="1"/>
  <c r="AI1329" i="1"/>
  <c r="AD1329" i="1"/>
  <c r="R1329" i="1"/>
  <c r="AI1328" i="1"/>
  <c r="AD1328" i="1"/>
  <c r="R1328" i="1"/>
  <c r="AI1327" i="1"/>
  <c r="R1327" i="1"/>
  <c r="AI1326" i="1"/>
  <c r="AD1326" i="1"/>
  <c r="R1326" i="1"/>
  <c r="AI1325" i="1"/>
  <c r="AD1325" i="1"/>
  <c r="R1325" i="1"/>
  <c r="AI1324" i="1"/>
  <c r="AD1324" i="1"/>
  <c r="R1324" i="1"/>
  <c r="AI1323" i="1"/>
  <c r="AD1323" i="1"/>
  <c r="R1323" i="1"/>
  <c r="AI1322" i="1"/>
  <c r="AD1322" i="1"/>
  <c r="R1322" i="1"/>
  <c r="AI1321" i="1"/>
  <c r="AD1321" i="1"/>
  <c r="R1321" i="1"/>
  <c r="AI1320" i="1"/>
  <c r="AD1320" i="1"/>
  <c r="R1320" i="1"/>
  <c r="AI1319" i="1"/>
  <c r="AD1319" i="1"/>
  <c r="R1319" i="1"/>
  <c r="AI1318" i="1"/>
  <c r="AD1318" i="1"/>
  <c r="R1318" i="1"/>
  <c r="AI1317" i="1"/>
  <c r="AD1317" i="1"/>
  <c r="R1317" i="1"/>
  <c r="AI1316" i="1"/>
  <c r="AD1316" i="1"/>
  <c r="R1316" i="1"/>
  <c r="AI1315" i="1"/>
  <c r="R1315" i="1"/>
  <c r="AI1314" i="1"/>
  <c r="AD1314" i="1"/>
  <c r="R1314" i="1"/>
  <c r="AI1313" i="1"/>
  <c r="AD1313" i="1"/>
  <c r="R1313" i="1"/>
  <c r="AI1312" i="1"/>
  <c r="AD1312" i="1"/>
  <c r="R1312" i="1"/>
  <c r="AI1311" i="1"/>
  <c r="AD1311" i="1"/>
  <c r="R1311" i="1"/>
  <c r="AI1310" i="1"/>
  <c r="AD1310" i="1"/>
  <c r="R1310" i="1"/>
  <c r="AI1309" i="1"/>
  <c r="AD1309" i="1"/>
  <c r="R1309" i="1"/>
  <c r="AI1308" i="1"/>
  <c r="R1308" i="1"/>
  <c r="AI1307" i="1"/>
  <c r="AD1307" i="1"/>
  <c r="R1307" i="1"/>
  <c r="AI1306" i="1"/>
  <c r="AD1306" i="1"/>
  <c r="R1306" i="1"/>
  <c r="AI1305" i="1"/>
  <c r="AD1305" i="1"/>
  <c r="R1305" i="1"/>
  <c r="AI1304" i="1"/>
  <c r="R1304" i="1"/>
  <c r="AI1303" i="1"/>
  <c r="AD1303" i="1"/>
  <c r="R1303" i="1"/>
  <c r="AI1302" i="1"/>
  <c r="AD1302" i="1"/>
  <c r="R1302" i="1"/>
  <c r="AI1301" i="1"/>
  <c r="AD1301" i="1"/>
  <c r="R1301" i="1"/>
  <c r="AI1300" i="1"/>
  <c r="AD1300" i="1"/>
  <c r="R1300" i="1"/>
  <c r="AI1299" i="1"/>
  <c r="AD1299" i="1"/>
  <c r="R1299" i="1"/>
  <c r="AI1298" i="1"/>
  <c r="AD1298" i="1"/>
  <c r="R1298" i="1"/>
  <c r="AI1297" i="1"/>
  <c r="AD1297" i="1"/>
  <c r="AI1296" i="1"/>
  <c r="AD1296" i="1"/>
  <c r="R1296" i="1"/>
  <c r="AI1295" i="1"/>
  <c r="AD1295" i="1"/>
  <c r="R1295" i="1"/>
  <c r="AI1294" i="1"/>
  <c r="AD1294" i="1"/>
  <c r="R1294" i="1"/>
  <c r="AI1293" i="1"/>
  <c r="AD1293" i="1"/>
  <c r="R1293" i="1"/>
  <c r="AI1292" i="1"/>
  <c r="AD1292" i="1"/>
  <c r="R1292" i="1"/>
  <c r="AI1291" i="1"/>
  <c r="AD1291" i="1"/>
  <c r="R1291" i="1"/>
  <c r="AI1290" i="1"/>
  <c r="AD1290" i="1"/>
  <c r="R1290" i="1"/>
  <c r="AI1289" i="1"/>
  <c r="AD1289" i="1"/>
  <c r="R1289" i="1"/>
  <c r="AI1288" i="1"/>
  <c r="AD1288" i="1"/>
  <c r="R1288" i="1"/>
  <c r="AI1287" i="1"/>
  <c r="AD1287" i="1"/>
  <c r="R1287" i="1"/>
  <c r="AI1286" i="1"/>
  <c r="AD1286" i="1"/>
  <c r="R1286" i="1"/>
  <c r="AI1285" i="1"/>
  <c r="AD1285" i="1"/>
  <c r="R1285" i="1"/>
  <c r="AI1284" i="1"/>
  <c r="AD1284" i="1"/>
  <c r="R1284" i="1"/>
  <c r="AI1283" i="1"/>
  <c r="AD1283" i="1"/>
  <c r="R1283" i="1"/>
  <c r="AI1282" i="1"/>
  <c r="AD1282" i="1"/>
  <c r="R1282" i="1"/>
  <c r="AI1281" i="1"/>
  <c r="AD1281" i="1"/>
  <c r="R1281" i="1"/>
  <c r="AI1280" i="1"/>
  <c r="AD1280" i="1"/>
  <c r="R1280" i="1"/>
  <c r="AI1279" i="1"/>
  <c r="AD1279" i="1"/>
  <c r="R1279" i="1"/>
  <c r="AI1278" i="1"/>
  <c r="AD1278" i="1"/>
  <c r="R1278" i="1"/>
  <c r="AI1277" i="1"/>
  <c r="AD1277" i="1"/>
  <c r="R1277" i="1"/>
  <c r="AI1276" i="1"/>
  <c r="AD1276" i="1"/>
  <c r="R1276" i="1"/>
  <c r="AI1275" i="1"/>
  <c r="AD1275" i="1"/>
  <c r="R1275" i="1"/>
  <c r="AI1274" i="1"/>
  <c r="AD1274" i="1"/>
  <c r="R1274" i="1"/>
  <c r="AI1273" i="1"/>
  <c r="AD1273" i="1"/>
  <c r="R1273" i="1"/>
  <c r="AI1272" i="1"/>
  <c r="AD1272" i="1"/>
  <c r="R1272" i="1"/>
  <c r="AI1271" i="1"/>
  <c r="AD1271" i="1"/>
  <c r="R1271" i="1"/>
  <c r="AI1270" i="1"/>
  <c r="AD1270" i="1"/>
  <c r="AI1269" i="1"/>
  <c r="AD1269" i="1"/>
  <c r="R1269" i="1"/>
  <c r="AI1268" i="1"/>
  <c r="AD1268" i="1"/>
  <c r="AI1267" i="1"/>
  <c r="AD1267" i="1"/>
  <c r="R1267" i="1"/>
  <c r="AI1266" i="1"/>
  <c r="AD1266" i="1"/>
  <c r="R1266" i="1"/>
  <c r="AI1265" i="1"/>
  <c r="AD1265" i="1"/>
  <c r="R1265" i="1"/>
  <c r="AI1264" i="1"/>
  <c r="AD1264" i="1"/>
  <c r="R1264" i="1"/>
  <c r="AI1263" i="1"/>
  <c r="AD1263" i="1"/>
  <c r="R1263" i="1"/>
  <c r="AI1262" i="1"/>
  <c r="AD1262" i="1"/>
  <c r="R1262" i="1"/>
  <c r="AI1261" i="1"/>
  <c r="AD1261" i="1"/>
  <c r="R1261" i="1"/>
  <c r="AI1260" i="1"/>
  <c r="AD1260" i="1"/>
  <c r="R1260" i="1"/>
  <c r="AI1259" i="1"/>
  <c r="AD1259" i="1"/>
  <c r="R1259" i="1"/>
  <c r="AI1258" i="1"/>
  <c r="AD1258" i="1"/>
  <c r="R1258" i="1"/>
  <c r="AI1257" i="1"/>
  <c r="AD1257" i="1"/>
  <c r="R1257" i="1"/>
  <c r="AI1256" i="1"/>
  <c r="AD1256" i="1"/>
  <c r="AI1255" i="1"/>
  <c r="AD1255" i="1"/>
  <c r="R1255" i="1"/>
  <c r="AI1254" i="1"/>
  <c r="AD1254" i="1"/>
  <c r="R1254" i="1"/>
  <c r="AI1253" i="1"/>
  <c r="AD1253" i="1"/>
  <c r="R1253" i="1"/>
  <c r="AI1252" i="1"/>
  <c r="AD1252" i="1"/>
  <c r="R1252" i="1"/>
  <c r="AI1251" i="1"/>
  <c r="AD1251" i="1"/>
  <c r="R1251" i="1"/>
  <c r="AI1250" i="1"/>
  <c r="AD1250" i="1"/>
  <c r="R1250" i="1"/>
  <c r="AI1249" i="1"/>
  <c r="AD1249" i="1"/>
  <c r="R1249" i="1"/>
  <c r="AI1248" i="1"/>
  <c r="AD1248" i="1"/>
  <c r="R1248" i="1"/>
  <c r="AI1247" i="1"/>
  <c r="AD1247" i="1"/>
  <c r="R1247" i="1"/>
  <c r="AI1246" i="1"/>
  <c r="AD1246" i="1"/>
  <c r="R1246" i="1"/>
  <c r="AI1245" i="1"/>
  <c r="AD1245" i="1"/>
  <c r="R1245" i="1"/>
  <c r="AI1244" i="1"/>
  <c r="AD1244" i="1"/>
  <c r="R1244" i="1"/>
  <c r="AI1243" i="1"/>
  <c r="AD1243" i="1"/>
  <c r="R1243" i="1"/>
  <c r="AI1242" i="1"/>
  <c r="AD1242" i="1"/>
  <c r="R1242" i="1"/>
  <c r="AI1241" i="1"/>
  <c r="AD1241" i="1"/>
  <c r="R1241" i="1"/>
  <c r="AI1240" i="1"/>
  <c r="AD1240" i="1"/>
  <c r="R1240" i="1"/>
  <c r="AI1239" i="1"/>
  <c r="AD1239" i="1"/>
  <c r="R1239" i="1"/>
  <c r="AI1238" i="1"/>
  <c r="AD1238" i="1"/>
  <c r="R1238" i="1"/>
  <c r="AI1237" i="1"/>
  <c r="AD1237" i="1"/>
  <c r="R1237" i="1"/>
  <c r="AI1236" i="1"/>
  <c r="AD1236" i="1"/>
  <c r="R1236" i="1"/>
  <c r="AI1235" i="1"/>
  <c r="AD1235" i="1"/>
  <c r="R1235" i="1"/>
  <c r="AI1234" i="1"/>
  <c r="AD1234" i="1"/>
  <c r="R1234" i="1"/>
  <c r="AI1233" i="1"/>
  <c r="AD1233" i="1"/>
  <c r="R1233" i="1"/>
  <c r="AI1232" i="1"/>
  <c r="AD1232" i="1"/>
  <c r="R1232" i="1"/>
  <c r="AI1231" i="1"/>
  <c r="AD1231" i="1"/>
  <c r="R1231" i="1"/>
  <c r="AI1230" i="1"/>
  <c r="AD1230" i="1"/>
  <c r="R1230" i="1"/>
  <c r="AI1229" i="1"/>
  <c r="AD1229" i="1"/>
  <c r="R1229" i="1"/>
  <c r="AI1228" i="1"/>
  <c r="AD1228" i="1"/>
  <c r="R1228" i="1"/>
  <c r="AI1227" i="1"/>
  <c r="AD1227" i="1"/>
  <c r="R1227" i="1"/>
  <c r="AI1226" i="1"/>
  <c r="AD1226" i="1"/>
  <c r="R1226" i="1"/>
  <c r="AI1225" i="1"/>
  <c r="AD1225" i="1"/>
  <c r="R1225" i="1"/>
  <c r="AI1224" i="1"/>
  <c r="AD1224" i="1"/>
  <c r="R1224" i="1"/>
  <c r="AI1223" i="1"/>
  <c r="AD1223" i="1"/>
  <c r="R1223" i="1"/>
  <c r="Q1223" i="1"/>
  <c r="P1223" i="1"/>
  <c r="AI1222" i="1"/>
  <c r="AD1222" i="1"/>
  <c r="R1222" i="1"/>
  <c r="AI1221" i="1"/>
  <c r="AD1221" i="1"/>
  <c r="R1221" i="1"/>
  <c r="AI1220" i="1"/>
  <c r="AD1220" i="1"/>
  <c r="R1220" i="1"/>
  <c r="AI1219" i="1"/>
  <c r="AD1219" i="1"/>
  <c r="R1219" i="1"/>
  <c r="AI1218" i="1"/>
  <c r="R1218" i="1"/>
  <c r="AI1217" i="1"/>
  <c r="AD1217" i="1"/>
  <c r="R1217" i="1"/>
  <c r="AI1216" i="1"/>
  <c r="AD1216" i="1"/>
  <c r="R1216" i="1"/>
  <c r="AI1215" i="1"/>
  <c r="AD1215" i="1"/>
  <c r="R1215" i="1"/>
  <c r="AI1214" i="1"/>
  <c r="AD1214" i="1"/>
  <c r="R1214" i="1"/>
  <c r="AI1213" i="1"/>
  <c r="AD1213" i="1"/>
  <c r="R1213" i="1"/>
  <c r="AI1212" i="1"/>
  <c r="AD1212" i="1"/>
  <c r="R1212" i="1"/>
  <c r="AI1211" i="1"/>
  <c r="AD1211" i="1"/>
  <c r="R1211" i="1"/>
  <c r="AI1210" i="1"/>
  <c r="AD1210" i="1"/>
  <c r="R1210" i="1"/>
  <c r="AI1209" i="1"/>
  <c r="AD1209" i="1"/>
  <c r="R1209" i="1"/>
  <c r="AI1208" i="1"/>
  <c r="AD1208" i="1"/>
  <c r="R1208" i="1"/>
  <c r="AI1207" i="1"/>
  <c r="AD1207" i="1"/>
  <c r="R1207" i="1"/>
  <c r="AI1206" i="1"/>
  <c r="AD1206" i="1"/>
  <c r="R1206" i="1"/>
  <c r="Q1206" i="1"/>
  <c r="P1206" i="1"/>
  <c r="AI1205" i="1"/>
  <c r="AD1205" i="1"/>
  <c r="R1205" i="1"/>
  <c r="AI1204" i="1"/>
  <c r="AD1204" i="1"/>
  <c r="R1204" i="1"/>
  <c r="AI1203" i="1"/>
  <c r="R1203" i="1"/>
  <c r="AI1202" i="1"/>
  <c r="AD1202" i="1"/>
  <c r="R1202" i="1"/>
  <c r="AI1201" i="1"/>
  <c r="AD1201" i="1"/>
  <c r="R1201" i="1"/>
  <c r="AI1200" i="1"/>
  <c r="AD1200" i="1"/>
  <c r="R1200" i="1"/>
  <c r="AI1199" i="1"/>
  <c r="AD1199" i="1"/>
  <c r="R1199" i="1"/>
  <c r="AI1198" i="1"/>
  <c r="AD1198" i="1"/>
  <c r="R1198" i="1"/>
  <c r="AI1197" i="1"/>
  <c r="AD1197" i="1"/>
  <c r="R1197" i="1"/>
  <c r="AI1196" i="1"/>
  <c r="AD1196" i="1"/>
  <c r="R1196" i="1"/>
  <c r="AI1195" i="1"/>
  <c r="AD1195" i="1"/>
  <c r="R1195" i="1"/>
  <c r="AI1194" i="1"/>
  <c r="AD1194" i="1"/>
  <c r="R1194" i="1"/>
  <c r="AI1193" i="1"/>
  <c r="AD1193" i="1"/>
  <c r="R1193" i="1"/>
  <c r="AI1192" i="1"/>
  <c r="AD1192" i="1"/>
  <c r="R1192" i="1"/>
  <c r="AI1191" i="1"/>
  <c r="AD1191" i="1"/>
  <c r="R1191" i="1"/>
  <c r="AI1190" i="1"/>
  <c r="AD1190" i="1"/>
  <c r="R1190" i="1"/>
  <c r="AI1189" i="1"/>
  <c r="AD1189" i="1"/>
  <c r="R1189" i="1"/>
  <c r="AI1188" i="1"/>
  <c r="AD1188" i="1"/>
  <c r="R1188" i="1"/>
  <c r="AI1187" i="1"/>
  <c r="AD1187" i="1"/>
  <c r="R1187" i="1"/>
  <c r="AI1186" i="1"/>
  <c r="AD1186" i="1"/>
  <c r="R1186" i="1"/>
  <c r="AI1185" i="1"/>
  <c r="AD1185" i="1"/>
  <c r="R1185" i="1"/>
  <c r="AI1184" i="1"/>
  <c r="AD1184" i="1"/>
  <c r="R1184" i="1"/>
  <c r="AI1183" i="1"/>
  <c r="AD1183" i="1"/>
  <c r="R1183" i="1"/>
  <c r="AI1182" i="1"/>
  <c r="AD1182" i="1"/>
  <c r="R1182" i="1"/>
  <c r="AI1181" i="1"/>
  <c r="AD1181" i="1"/>
  <c r="R1181" i="1"/>
  <c r="AI1180" i="1"/>
  <c r="AD1180" i="1"/>
  <c r="R1180" i="1"/>
  <c r="AI1179" i="1"/>
  <c r="AD1179" i="1"/>
  <c r="R1179" i="1"/>
  <c r="AI1178" i="1"/>
  <c r="AD1178" i="1"/>
  <c r="R1178" i="1"/>
  <c r="AI1177" i="1"/>
  <c r="AD1177" i="1"/>
  <c r="R1177" i="1"/>
  <c r="AI1176" i="1"/>
  <c r="AD1176" i="1"/>
  <c r="R1176" i="1"/>
  <c r="AI1175" i="1"/>
  <c r="AD1175" i="1"/>
  <c r="R1175" i="1"/>
  <c r="AI1174" i="1"/>
  <c r="AD1174" i="1"/>
  <c r="R1174" i="1"/>
  <c r="AI1173" i="1"/>
  <c r="AD1173" i="1"/>
  <c r="R1173" i="1"/>
  <c r="AI1172" i="1"/>
  <c r="AD1172" i="1"/>
  <c r="R1172" i="1"/>
  <c r="AI1171" i="1"/>
  <c r="AD1171" i="1"/>
  <c r="R1171" i="1"/>
  <c r="AI1170" i="1"/>
  <c r="AD1170" i="1"/>
  <c r="R1170" i="1"/>
  <c r="AI1169" i="1"/>
  <c r="AD1169" i="1"/>
  <c r="R1169" i="1"/>
  <c r="AI1168" i="1"/>
  <c r="AD1168" i="1"/>
  <c r="R1168" i="1"/>
  <c r="AI1167" i="1"/>
  <c r="AD1167" i="1"/>
  <c r="R1167" i="1"/>
  <c r="AD1166" i="1"/>
  <c r="R1166" i="1"/>
  <c r="AI1165" i="1"/>
  <c r="AD1165" i="1"/>
  <c r="R1165" i="1"/>
  <c r="AI1164" i="1"/>
  <c r="AD1164" i="1"/>
  <c r="R1164" i="1"/>
  <c r="AI1163" i="1"/>
  <c r="AD1163" i="1"/>
  <c r="R1163" i="1"/>
  <c r="AI1162" i="1"/>
  <c r="AD1162" i="1"/>
  <c r="R1162" i="1"/>
  <c r="AI1161" i="1"/>
  <c r="AD1161" i="1"/>
  <c r="R1161" i="1"/>
  <c r="AI1160" i="1"/>
  <c r="AD1160" i="1"/>
  <c r="R1160" i="1"/>
  <c r="AI1159" i="1"/>
  <c r="AD1159" i="1"/>
  <c r="R1159" i="1"/>
  <c r="AI1158" i="1"/>
  <c r="AD1158" i="1"/>
  <c r="R1158" i="1"/>
  <c r="AI1157" i="1"/>
  <c r="AD1157" i="1"/>
  <c r="R1157" i="1"/>
  <c r="AI1156" i="1"/>
  <c r="AD1156" i="1"/>
  <c r="R1156" i="1"/>
  <c r="AI1155" i="1"/>
  <c r="AD1155" i="1"/>
  <c r="R1155" i="1"/>
  <c r="AI1154" i="1"/>
  <c r="AD1154" i="1"/>
  <c r="R1154" i="1"/>
  <c r="AI1153" i="1"/>
  <c r="AD1153" i="1"/>
  <c r="R1153" i="1"/>
  <c r="AI1152" i="1"/>
  <c r="AD1152" i="1"/>
  <c r="R1152" i="1"/>
  <c r="AI1151" i="1"/>
  <c r="AD1151" i="1"/>
  <c r="R1151" i="1"/>
  <c r="AI1150" i="1"/>
  <c r="AD1150" i="1"/>
  <c r="R1150" i="1"/>
  <c r="AI1149" i="1"/>
  <c r="AD1149" i="1"/>
  <c r="R1149" i="1"/>
  <c r="AI1148" i="1"/>
  <c r="AD1148" i="1"/>
  <c r="R1148" i="1"/>
  <c r="AI1147" i="1"/>
  <c r="AD1147" i="1"/>
  <c r="R1147" i="1"/>
  <c r="AI1146" i="1"/>
  <c r="AD1146" i="1"/>
  <c r="R1146" i="1"/>
  <c r="AI1145" i="1"/>
  <c r="AD1145" i="1"/>
  <c r="R1145" i="1"/>
  <c r="AI1144" i="1"/>
  <c r="AD1144" i="1"/>
  <c r="R1144" i="1"/>
  <c r="AI1143" i="1"/>
  <c r="AD1143" i="1"/>
  <c r="R1143" i="1"/>
  <c r="AI1142" i="1"/>
  <c r="AD1142" i="1"/>
  <c r="R1142" i="1"/>
  <c r="AI1141" i="1"/>
  <c r="AD1141" i="1"/>
  <c r="R1141" i="1"/>
  <c r="AI1140" i="1"/>
  <c r="AD1140" i="1"/>
  <c r="R1140" i="1"/>
  <c r="AI1139" i="1"/>
  <c r="AD1139" i="1"/>
  <c r="R1139" i="1"/>
  <c r="AI1138" i="1"/>
  <c r="AD1138" i="1"/>
  <c r="AI1137" i="1"/>
  <c r="AD1137" i="1"/>
  <c r="R1137" i="1"/>
  <c r="AI1136" i="1"/>
  <c r="AD1136" i="1"/>
  <c r="R1136" i="1"/>
  <c r="AI1135" i="1"/>
  <c r="AD1135" i="1"/>
  <c r="AI1134" i="1"/>
  <c r="AD1134" i="1"/>
  <c r="R1134" i="1"/>
  <c r="AI1133" i="1"/>
  <c r="AD1133" i="1"/>
  <c r="R1133" i="1"/>
  <c r="AI1132" i="1"/>
  <c r="AD1132" i="1"/>
  <c r="R1132" i="1"/>
  <c r="AI1131" i="1"/>
  <c r="AD1131" i="1"/>
  <c r="R1131" i="1"/>
  <c r="AI1130" i="1"/>
  <c r="AD1130" i="1"/>
  <c r="R1130" i="1"/>
  <c r="AI1129" i="1"/>
  <c r="AD1129" i="1"/>
  <c r="R1129" i="1"/>
  <c r="AI1128" i="1"/>
  <c r="AD1128" i="1"/>
  <c r="R1128" i="1"/>
  <c r="AI1127" i="1"/>
  <c r="AD1127" i="1"/>
  <c r="R1127" i="1"/>
  <c r="AI1126" i="1"/>
  <c r="AD1126" i="1"/>
  <c r="R1126" i="1"/>
  <c r="AI1125" i="1"/>
  <c r="AD1125" i="1"/>
  <c r="R1125" i="1"/>
  <c r="AI1124" i="1"/>
  <c r="AD1124" i="1"/>
  <c r="R1124" i="1"/>
  <c r="AI1123" i="1"/>
  <c r="R1123" i="1"/>
  <c r="AI1122" i="1"/>
  <c r="AD1122" i="1"/>
  <c r="R1122" i="1"/>
  <c r="AI1121" i="1"/>
  <c r="AD1121" i="1"/>
  <c r="R1121" i="1"/>
  <c r="AI1120" i="1"/>
  <c r="AD1120" i="1"/>
  <c r="R1120" i="1"/>
  <c r="AI1119" i="1"/>
  <c r="AD1119" i="1"/>
  <c r="R1119" i="1"/>
  <c r="AI1118" i="1"/>
  <c r="AD1118" i="1"/>
  <c r="AI1117" i="1"/>
  <c r="AD1117" i="1"/>
  <c r="R1117" i="1"/>
  <c r="AI1116" i="1"/>
  <c r="AD1116" i="1"/>
  <c r="R1116" i="1"/>
  <c r="AI1115" i="1"/>
  <c r="AD1115" i="1"/>
  <c r="R1115" i="1"/>
  <c r="AI1114" i="1"/>
  <c r="AD1114" i="1"/>
  <c r="AI1113" i="1"/>
  <c r="AD1113" i="1"/>
  <c r="R1113" i="1"/>
  <c r="AI1112" i="1"/>
  <c r="AD1112" i="1"/>
  <c r="R1112" i="1"/>
  <c r="AI1111" i="1"/>
  <c r="AD1111" i="1"/>
  <c r="R1111" i="1"/>
  <c r="AI1110" i="1"/>
  <c r="AD1110" i="1"/>
  <c r="AI1109" i="1"/>
  <c r="AD1109" i="1"/>
  <c r="AI1108" i="1"/>
  <c r="AD1108" i="1"/>
  <c r="R1108" i="1"/>
  <c r="AI1107" i="1"/>
  <c r="AD1107" i="1"/>
  <c r="R1107" i="1"/>
  <c r="AI1106" i="1"/>
  <c r="AD1106" i="1"/>
  <c r="R1106" i="1"/>
  <c r="AI1105" i="1"/>
  <c r="AD1105" i="1"/>
  <c r="R1105" i="1"/>
  <c r="AI1104" i="1"/>
  <c r="AD1104" i="1"/>
  <c r="R1104" i="1"/>
  <c r="AI1103" i="1"/>
  <c r="AD1103" i="1"/>
  <c r="R1103" i="1"/>
  <c r="AI1102" i="1"/>
  <c r="AD1102" i="1"/>
  <c r="R1102" i="1"/>
  <c r="AI1101" i="1"/>
  <c r="AD1101" i="1"/>
  <c r="R1101" i="1"/>
  <c r="AI1100" i="1"/>
  <c r="AD1100" i="1"/>
  <c r="R1100" i="1"/>
  <c r="AI1099" i="1"/>
  <c r="AD1099" i="1"/>
  <c r="R1099" i="1"/>
  <c r="AI1098" i="1"/>
  <c r="AD1098" i="1"/>
  <c r="R1098" i="1"/>
  <c r="AI1097" i="1"/>
  <c r="AD1097" i="1"/>
  <c r="R1097" i="1"/>
  <c r="AI1096" i="1"/>
  <c r="AD1096" i="1"/>
  <c r="R1096" i="1"/>
  <c r="AI1095" i="1"/>
  <c r="AD1095" i="1"/>
  <c r="R1095" i="1"/>
  <c r="AI1094" i="1"/>
  <c r="AD1094" i="1"/>
  <c r="R1094" i="1"/>
  <c r="AI1093" i="1"/>
  <c r="AD1093" i="1"/>
  <c r="R1093" i="1"/>
  <c r="AI1092" i="1"/>
  <c r="AD1092" i="1"/>
  <c r="R1092" i="1"/>
  <c r="AI1091" i="1"/>
  <c r="AD1091" i="1"/>
  <c r="R1091" i="1"/>
  <c r="AI1090" i="1"/>
  <c r="AD1090" i="1"/>
  <c r="R1090" i="1"/>
  <c r="AI1089" i="1"/>
  <c r="AD1089" i="1"/>
  <c r="R1089" i="1"/>
  <c r="AI1088" i="1"/>
  <c r="AD1088" i="1"/>
  <c r="R1088" i="1"/>
  <c r="AI1087" i="1"/>
  <c r="AD1087" i="1"/>
  <c r="R1087" i="1"/>
  <c r="AI1086" i="1"/>
  <c r="AD1086" i="1"/>
  <c r="R1086" i="1"/>
  <c r="AI1085" i="1"/>
  <c r="AD1085" i="1"/>
  <c r="R1085" i="1"/>
  <c r="AI1084" i="1"/>
  <c r="AD1084" i="1"/>
  <c r="R1084" i="1"/>
  <c r="AI1083" i="1"/>
  <c r="AD1083" i="1"/>
  <c r="R1083" i="1"/>
  <c r="AI1082" i="1"/>
  <c r="AD1082" i="1"/>
  <c r="R1082" i="1"/>
  <c r="AI1081" i="1"/>
  <c r="AD1081" i="1"/>
  <c r="R1081" i="1"/>
  <c r="AI1080" i="1"/>
  <c r="AD1080" i="1"/>
  <c r="R1080" i="1"/>
  <c r="AI1079" i="1"/>
  <c r="AD1079" i="1"/>
  <c r="R1079" i="1"/>
  <c r="AI1078" i="1"/>
  <c r="AD1078" i="1"/>
  <c r="R1078" i="1"/>
  <c r="AI1077" i="1"/>
  <c r="AD1077" i="1"/>
  <c r="R1077" i="1"/>
  <c r="AI1076" i="1"/>
  <c r="AD1076" i="1"/>
  <c r="R1076" i="1"/>
  <c r="AI1075" i="1"/>
  <c r="AD1075" i="1"/>
  <c r="R1075" i="1"/>
  <c r="AI1074" i="1"/>
  <c r="AD1074" i="1"/>
  <c r="R1074" i="1"/>
  <c r="AI1073" i="1"/>
  <c r="AD1073" i="1"/>
  <c r="R1073" i="1"/>
  <c r="AI1072" i="1"/>
  <c r="AD1072" i="1"/>
  <c r="R1072" i="1"/>
  <c r="AI1071" i="1"/>
  <c r="AD1071" i="1"/>
  <c r="R1071" i="1"/>
  <c r="AI1070" i="1"/>
  <c r="AD1070" i="1"/>
  <c r="R1070" i="1"/>
  <c r="AI1069" i="1"/>
  <c r="AD1069" i="1"/>
  <c r="R1069" i="1"/>
  <c r="AI1068" i="1"/>
  <c r="AD1068" i="1"/>
  <c r="R1068" i="1"/>
  <c r="AI1067" i="1"/>
  <c r="AD1067" i="1"/>
  <c r="R1067" i="1"/>
  <c r="AI1066" i="1"/>
  <c r="AD1066" i="1"/>
  <c r="R1066" i="1"/>
  <c r="AI1065" i="1"/>
  <c r="AD1065" i="1"/>
  <c r="R1065" i="1"/>
  <c r="AI1064" i="1"/>
  <c r="AD1064" i="1"/>
  <c r="R1064" i="1"/>
  <c r="P1064" i="1"/>
  <c r="Q1064" i="1" s="1"/>
  <c r="AI1063" i="1"/>
  <c r="AD1063" i="1"/>
  <c r="R1063" i="1"/>
  <c r="Q1063" i="1"/>
  <c r="P1063" i="1"/>
  <c r="AI1062" i="1"/>
  <c r="AD1062" i="1"/>
  <c r="R1062" i="1"/>
  <c r="P1062" i="1"/>
  <c r="Q1062" i="1" s="1"/>
  <c r="AI1061" i="1"/>
  <c r="AD1061" i="1"/>
  <c r="R1061" i="1"/>
  <c r="AI1060" i="1"/>
  <c r="AD1060" i="1"/>
  <c r="R1060" i="1"/>
  <c r="AI1059" i="1"/>
  <c r="AD1059" i="1"/>
  <c r="R1059" i="1"/>
  <c r="AI1058" i="1"/>
  <c r="AD1058" i="1"/>
  <c r="R1058" i="1"/>
  <c r="AI1057" i="1"/>
  <c r="AD1057" i="1"/>
  <c r="R1057" i="1"/>
  <c r="AI1056" i="1"/>
  <c r="AD1056" i="1"/>
  <c r="R1056" i="1"/>
  <c r="AI1055" i="1"/>
  <c r="AD1055" i="1"/>
  <c r="R1055" i="1"/>
  <c r="AI1054" i="1"/>
  <c r="AD1054" i="1"/>
  <c r="R1054" i="1"/>
  <c r="AI1053" i="1"/>
  <c r="AD1053" i="1"/>
  <c r="R1053" i="1"/>
  <c r="AI1052" i="1"/>
  <c r="AD1052" i="1"/>
  <c r="R1052" i="1"/>
  <c r="AI1051" i="1"/>
  <c r="AD1051" i="1"/>
  <c r="R1051" i="1"/>
  <c r="AI1050" i="1"/>
  <c r="AD1050" i="1"/>
  <c r="R1050" i="1"/>
  <c r="AI1049" i="1"/>
  <c r="AD1049" i="1"/>
  <c r="R1049" i="1"/>
  <c r="AI1048" i="1"/>
  <c r="AD1048" i="1"/>
  <c r="R1048" i="1"/>
  <c r="AI1047" i="1"/>
  <c r="AD1047" i="1"/>
  <c r="R1047" i="1"/>
  <c r="AI1046" i="1"/>
  <c r="AD1046" i="1"/>
  <c r="R1046" i="1"/>
  <c r="AI1045" i="1"/>
  <c r="AD1045" i="1"/>
  <c r="R1045" i="1"/>
  <c r="AI1044" i="1"/>
  <c r="AD1044" i="1"/>
  <c r="R1044" i="1"/>
  <c r="AI1043" i="1"/>
  <c r="AD1043" i="1"/>
  <c r="R1043" i="1"/>
  <c r="AI1042" i="1"/>
  <c r="AD1042" i="1"/>
  <c r="R1042" i="1"/>
  <c r="AI1041" i="1"/>
  <c r="R1041" i="1"/>
  <c r="AI1040" i="1"/>
  <c r="AD1040" i="1"/>
  <c r="R1040" i="1"/>
  <c r="AI1039" i="1"/>
  <c r="AD1039" i="1"/>
  <c r="R1039" i="1"/>
  <c r="AI1038" i="1"/>
  <c r="AD1038" i="1"/>
  <c r="AI1037" i="1"/>
  <c r="AD1037" i="1"/>
  <c r="R1037" i="1"/>
  <c r="AI1036" i="1"/>
  <c r="AD1036" i="1"/>
  <c r="R1036" i="1"/>
  <c r="AI1035" i="1"/>
  <c r="AD1035" i="1"/>
  <c r="R1035" i="1"/>
  <c r="AI1034" i="1"/>
  <c r="AD1034" i="1"/>
  <c r="R1034" i="1"/>
  <c r="AI1033" i="1"/>
  <c r="AD1033" i="1"/>
  <c r="R1033" i="1"/>
  <c r="AI1032" i="1"/>
  <c r="AD1032" i="1"/>
  <c r="R1032" i="1"/>
  <c r="AI1031" i="1"/>
  <c r="AD1031" i="1"/>
  <c r="R1031" i="1"/>
  <c r="AI1030" i="1"/>
  <c r="AD1030" i="1"/>
  <c r="R1030" i="1"/>
  <c r="AI1029" i="1"/>
  <c r="AD1029" i="1"/>
  <c r="R1029" i="1"/>
  <c r="AI1028" i="1"/>
  <c r="AD1028" i="1"/>
  <c r="R1028" i="1"/>
  <c r="AI1027" i="1"/>
  <c r="AD1027" i="1"/>
  <c r="R1027" i="1"/>
  <c r="AI1026" i="1"/>
  <c r="AD1026" i="1"/>
  <c r="R1026" i="1"/>
  <c r="AI1025" i="1"/>
  <c r="AD1025" i="1"/>
  <c r="R1025" i="1"/>
  <c r="AI1024" i="1"/>
  <c r="AD1024" i="1"/>
  <c r="R1024" i="1"/>
  <c r="AI1023" i="1"/>
  <c r="AD1023" i="1"/>
  <c r="R1023" i="1"/>
  <c r="AI1022" i="1"/>
  <c r="AD1022" i="1"/>
  <c r="R1022" i="1"/>
  <c r="AI1021" i="1"/>
  <c r="AD1021" i="1"/>
  <c r="R1021" i="1"/>
  <c r="AI1020" i="1"/>
  <c r="AD1020" i="1"/>
  <c r="R1020" i="1"/>
  <c r="AI1019" i="1"/>
  <c r="AD1019" i="1"/>
  <c r="R1019" i="1"/>
  <c r="AI1018" i="1"/>
  <c r="AD1018" i="1"/>
  <c r="R1018" i="1"/>
  <c r="AI1017" i="1"/>
  <c r="AD1017" i="1"/>
  <c r="R1017" i="1"/>
  <c r="AI1016" i="1"/>
  <c r="AD1016" i="1"/>
  <c r="R1016" i="1"/>
  <c r="AI1015" i="1"/>
  <c r="AD1015" i="1"/>
  <c r="R1015" i="1"/>
  <c r="AI1014" i="1"/>
  <c r="AD1014" i="1"/>
  <c r="R1014" i="1"/>
  <c r="AI1013" i="1"/>
  <c r="AD1013" i="1"/>
  <c r="R1013" i="1"/>
  <c r="AI1012" i="1"/>
  <c r="AD1012" i="1"/>
  <c r="R1012" i="1"/>
  <c r="AI1011" i="1"/>
  <c r="AD1011" i="1"/>
  <c r="R1011" i="1"/>
  <c r="AI1010" i="1"/>
  <c r="AD1010" i="1"/>
  <c r="R1010" i="1"/>
  <c r="AI1009" i="1"/>
  <c r="R1009" i="1"/>
  <c r="AI1008" i="1"/>
  <c r="AD1008" i="1"/>
  <c r="R1008" i="1"/>
  <c r="AI1007" i="1"/>
  <c r="AD1007" i="1"/>
  <c r="AI1006" i="1"/>
  <c r="AD1006" i="1"/>
  <c r="R1006" i="1"/>
  <c r="AI1005" i="1"/>
  <c r="AD1005" i="1"/>
  <c r="R1005" i="1"/>
  <c r="AI1004" i="1"/>
  <c r="AD1004" i="1"/>
  <c r="R1004" i="1"/>
  <c r="AI1003" i="1"/>
  <c r="R1003" i="1"/>
  <c r="AI1002" i="1"/>
  <c r="AD1002" i="1"/>
  <c r="R1002" i="1"/>
  <c r="AI1001" i="1"/>
  <c r="AD1001" i="1"/>
  <c r="R1001" i="1"/>
  <c r="AI1000" i="1"/>
  <c r="AD1000" i="1"/>
  <c r="R1000" i="1"/>
  <c r="AI999" i="1"/>
  <c r="AD999" i="1"/>
  <c r="R999" i="1"/>
  <c r="AI998" i="1"/>
  <c r="AD998" i="1"/>
  <c r="R998" i="1"/>
  <c r="AI997" i="1"/>
  <c r="AD997" i="1"/>
  <c r="R997" i="1"/>
  <c r="AI996" i="1"/>
  <c r="AD996" i="1"/>
  <c r="R996" i="1"/>
  <c r="AI995" i="1"/>
  <c r="AD995" i="1"/>
  <c r="R995" i="1"/>
  <c r="AI994" i="1"/>
  <c r="AD994" i="1"/>
  <c r="R994" i="1"/>
  <c r="Q994" i="1"/>
  <c r="P994" i="1"/>
  <c r="AI993" i="1"/>
  <c r="AD993" i="1"/>
  <c r="R993" i="1"/>
  <c r="Q993" i="1"/>
  <c r="P993" i="1"/>
  <c r="AI992" i="1"/>
  <c r="AD992" i="1"/>
  <c r="R992" i="1"/>
  <c r="P992" i="1"/>
  <c r="Q992" i="1" s="1"/>
  <c r="AI991" i="1"/>
  <c r="AD991" i="1"/>
  <c r="R991" i="1"/>
  <c r="P991" i="1"/>
  <c r="Q991" i="1" s="1"/>
  <c r="AI990" i="1"/>
  <c r="AD990" i="1"/>
  <c r="R990" i="1"/>
  <c r="P990" i="1"/>
  <c r="Q990" i="1" s="1"/>
  <c r="AI989" i="1"/>
  <c r="AD989" i="1"/>
  <c r="R989" i="1"/>
  <c r="P989" i="1"/>
  <c r="Q989" i="1" s="1"/>
  <c r="AI988" i="1"/>
  <c r="AD988" i="1"/>
  <c r="R988" i="1"/>
  <c r="Q988" i="1"/>
  <c r="P988" i="1"/>
  <c r="AI987" i="1"/>
  <c r="AD987" i="1"/>
  <c r="R987" i="1"/>
  <c r="Q987" i="1"/>
  <c r="P987" i="1"/>
  <c r="AI986" i="1"/>
  <c r="AD986" i="1"/>
  <c r="R986" i="1"/>
  <c r="P986" i="1"/>
  <c r="Q986" i="1" s="1"/>
  <c r="AI985" i="1"/>
  <c r="AD985" i="1"/>
  <c r="R985" i="1"/>
  <c r="Q985" i="1"/>
  <c r="P985" i="1"/>
  <c r="AI984" i="1"/>
  <c r="AD984" i="1"/>
  <c r="R984" i="1"/>
  <c r="Q984" i="1"/>
  <c r="P984" i="1"/>
  <c r="AI983" i="1"/>
  <c r="AD983" i="1"/>
  <c r="R983" i="1"/>
  <c r="Q983" i="1"/>
  <c r="P983" i="1"/>
  <c r="AI982" i="1"/>
  <c r="AD982" i="1"/>
  <c r="R982" i="1"/>
  <c r="Q982" i="1"/>
  <c r="P982" i="1"/>
  <c r="AI981" i="1"/>
  <c r="AD981" i="1"/>
  <c r="R981" i="1"/>
  <c r="AI980" i="1"/>
  <c r="AD980" i="1"/>
  <c r="R980" i="1"/>
  <c r="AI979" i="1"/>
  <c r="AD979" i="1"/>
  <c r="R979" i="1"/>
  <c r="AI978" i="1"/>
  <c r="AD978" i="1"/>
  <c r="R978" i="1"/>
  <c r="AI977" i="1"/>
  <c r="AD977" i="1"/>
  <c r="R977" i="1"/>
  <c r="AI976" i="1"/>
  <c r="AD976" i="1"/>
  <c r="R976" i="1"/>
  <c r="AI975" i="1"/>
  <c r="AD975" i="1"/>
  <c r="R975" i="1"/>
  <c r="AI974" i="1"/>
  <c r="AD974" i="1"/>
  <c r="R974" i="1"/>
  <c r="AI973" i="1"/>
  <c r="AD973" i="1"/>
  <c r="R973" i="1"/>
  <c r="AI972" i="1"/>
  <c r="AD972" i="1"/>
  <c r="R972" i="1"/>
  <c r="AI971" i="1"/>
  <c r="AD971" i="1"/>
  <c r="R971" i="1"/>
  <c r="AI970" i="1"/>
  <c r="AD970" i="1"/>
  <c r="R970" i="1"/>
  <c r="AI969" i="1"/>
  <c r="AD969" i="1"/>
  <c r="R969" i="1"/>
  <c r="AI968" i="1"/>
  <c r="AD968" i="1"/>
  <c r="R968" i="1"/>
  <c r="AI967" i="1"/>
  <c r="AD967" i="1"/>
  <c r="R967" i="1"/>
  <c r="AI966" i="1"/>
  <c r="AD966" i="1"/>
  <c r="R966" i="1"/>
  <c r="AI965" i="1"/>
  <c r="AD965" i="1"/>
  <c r="R965" i="1"/>
  <c r="AI964" i="1"/>
  <c r="AD964" i="1"/>
  <c r="R964" i="1"/>
  <c r="AI963" i="1"/>
  <c r="AD963" i="1"/>
  <c r="R963" i="1"/>
  <c r="AI962" i="1"/>
  <c r="AD962" i="1"/>
  <c r="R962" i="1"/>
  <c r="AI961" i="1"/>
  <c r="AD961" i="1"/>
  <c r="R961" i="1"/>
  <c r="AI960" i="1"/>
  <c r="AD960" i="1"/>
  <c r="R960" i="1"/>
  <c r="AI959" i="1"/>
  <c r="AD959" i="1"/>
  <c r="R959" i="1"/>
  <c r="AI958" i="1"/>
  <c r="AD958" i="1"/>
  <c r="R958" i="1"/>
  <c r="AI957" i="1"/>
  <c r="AD957" i="1"/>
  <c r="R957" i="1"/>
  <c r="AI956" i="1"/>
  <c r="AD956" i="1"/>
  <c r="R956" i="1"/>
  <c r="AI955" i="1"/>
  <c r="AD955" i="1"/>
  <c r="R955" i="1"/>
  <c r="AI954" i="1"/>
  <c r="AD954" i="1"/>
  <c r="R954" i="1"/>
  <c r="AI953" i="1"/>
  <c r="AD953" i="1"/>
  <c r="R953" i="1"/>
  <c r="AI952" i="1"/>
  <c r="AD952" i="1"/>
  <c r="R952" i="1"/>
  <c r="AI951" i="1"/>
  <c r="AI950" i="1"/>
  <c r="AD950" i="1"/>
  <c r="R950" i="1"/>
  <c r="AI949" i="1"/>
  <c r="AD949" i="1"/>
  <c r="R949" i="1"/>
  <c r="AI948" i="1"/>
  <c r="AD948" i="1"/>
  <c r="R948" i="1"/>
  <c r="AI947" i="1"/>
  <c r="AD947" i="1"/>
  <c r="R947" i="1"/>
  <c r="AI946" i="1"/>
  <c r="AD946" i="1"/>
  <c r="R946" i="1"/>
  <c r="AI945" i="1"/>
  <c r="AD945" i="1"/>
  <c r="R945" i="1"/>
  <c r="AI944" i="1"/>
  <c r="AD944" i="1"/>
  <c r="R944" i="1"/>
  <c r="AI943" i="1"/>
  <c r="AD943" i="1"/>
  <c r="R943" i="1"/>
  <c r="AI942" i="1"/>
  <c r="AD942" i="1"/>
  <c r="AI941" i="1"/>
  <c r="AD941" i="1"/>
  <c r="R941" i="1"/>
  <c r="AI940" i="1"/>
  <c r="AD940" i="1"/>
  <c r="R940" i="1"/>
  <c r="AI939" i="1"/>
  <c r="AD939" i="1"/>
  <c r="R939" i="1"/>
  <c r="AI938" i="1"/>
  <c r="AD938" i="1"/>
  <c r="R938" i="1"/>
  <c r="AI937" i="1"/>
  <c r="AD937" i="1"/>
  <c r="R937" i="1"/>
  <c r="AI936" i="1"/>
  <c r="AD936" i="1"/>
  <c r="R936" i="1"/>
  <c r="AI935" i="1"/>
  <c r="AD935" i="1"/>
  <c r="R935" i="1"/>
  <c r="AI934" i="1"/>
  <c r="AD934" i="1"/>
  <c r="R934" i="1"/>
  <c r="AI933" i="1"/>
  <c r="AD933" i="1"/>
  <c r="R933" i="1"/>
  <c r="AI932" i="1"/>
  <c r="AD932" i="1"/>
  <c r="R932" i="1"/>
  <c r="AI931" i="1"/>
  <c r="AD931" i="1"/>
  <c r="R931" i="1"/>
  <c r="AI930" i="1"/>
  <c r="AD930" i="1"/>
  <c r="R930" i="1"/>
  <c r="AI929" i="1"/>
  <c r="AD929" i="1"/>
  <c r="R929" i="1"/>
  <c r="AI928" i="1"/>
  <c r="AD928" i="1"/>
  <c r="R928" i="1"/>
  <c r="AI927" i="1"/>
  <c r="AD927" i="1"/>
  <c r="R927" i="1"/>
  <c r="AI926" i="1"/>
  <c r="AD926" i="1"/>
  <c r="R926" i="1"/>
  <c r="AI925" i="1"/>
  <c r="AD925" i="1"/>
  <c r="R925" i="1"/>
  <c r="AI924" i="1"/>
  <c r="AD924" i="1"/>
  <c r="R924" i="1"/>
  <c r="AI923" i="1"/>
  <c r="AD923" i="1"/>
  <c r="R923" i="1"/>
  <c r="AI922" i="1"/>
  <c r="AD922" i="1"/>
  <c r="R922" i="1"/>
  <c r="AI921" i="1"/>
  <c r="AD921" i="1"/>
  <c r="R921" i="1"/>
  <c r="AI920" i="1"/>
  <c r="AD920" i="1"/>
  <c r="R920" i="1"/>
  <c r="AI919" i="1"/>
  <c r="AD919" i="1"/>
  <c r="R919" i="1"/>
  <c r="AI918" i="1"/>
  <c r="AD918" i="1"/>
  <c r="R918" i="1"/>
  <c r="Q918" i="1"/>
  <c r="P918" i="1"/>
  <c r="AI917" i="1"/>
  <c r="AD917" i="1"/>
  <c r="R917" i="1"/>
  <c r="AI916" i="1"/>
  <c r="AD916" i="1"/>
  <c r="R916" i="1"/>
  <c r="AI915" i="1"/>
  <c r="AD915" i="1"/>
  <c r="R915" i="1"/>
  <c r="AI914" i="1"/>
  <c r="AD914" i="1"/>
  <c r="R914" i="1"/>
  <c r="AI913" i="1"/>
  <c r="AD913" i="1"/>
  <c r="R913" i="1"/>
  <c r="AI912" i="1"/>
  <c r="AD912" i="1"/>
  <c r="R912" i="1"/>
  <c r="AI911" i="1"/>
  <c r="AD911" i="1"/>
  <c r="R911" i="1"/>
  <c r="AI910" i="1"/>
  <c r="AD910" i="1"/>
  <c r="R910" i="1"/>
  <c r="AI909" i="1"/>
  <c r="AD909" i="1"/>
  <c r="R909" i="1"/>
  <c r="AI908" i="1"/>
  <c r="AD908" i="1"/>
  <c r="R908" i="1"/>
  <c r="AI907" i="1"/>
  <c r="AD907" i="1"/>
  <c r="R907" i="1"/>
  <c r="AI906" i="1"/>
  <c r="AD906" i="1"/>
  <c r="R906" i="1"/>
  <c r="AI905" i="1"/>
  <c r="AD905" i="1"/>
  <c r="R905" i="1"/>
  <c r="AI904" i="1"/>
  <c r="AD904" i="1"/>
  <c r="R904" i="1"/>
  <c r="AI903" i="1"/>
  <c r="AD903" i="1"/>
  <c r="R903" i="1"/>
  <c r="AI902" i="1"/>
  <c r="AD902" i="1"/>
  <c r="R902" i="1"/>
  <c r="AI901" i="1"/>
  <c r="AD901" i="1"/>
  <c r="R901" i="1"/>
  <c r="AI900" i="1"/>
  <c r="AD900" i="1"/>
  <c r="R900" i="1"/>
  <c r="AI899" i="1"/>
  <c r="AD899" i="1"/>
  <c r="R899" i="1"/>
  <c r="P899" i="1"/>
  <c r="Q899" i="1" s="1"/>
  <c r="AI898" i="1"/>
  <c r="AD898" i="1"/>
  <c r="R898" i="1"/>
  <c r="AI897" i="1"/>
  <c r="R897" i="1"/>
  <c r="AI896" i="1"/>
  <c r="AD896" i="1"/>
  <c r="R896" i="1"/>
  <c r="AI895" i="1"/>
  <c r="AD895" i="1"/>
  <c r="R895" i="1"/>
  <c r="AI894" i="1"/>
  <c r="AD894" i="1"/>
  <c r="R894" i="1"/>
  <c r="P894" i="1"/>
  <c r="Q894" i="1" s="1"/>
  <c r="AI893" i="1"/>
  <c r="R893" i="1"/>
  <c r="AI892" i="1"/>
  <c r="AD892" i="1"/>
  <c r="R892" i="1"/>
  <c r="AI891" i="1"/>
  <c r="AD891" i="1"/>
  <c r="R891" i="1"/>
  <c r="AI890" i="1"/>
  <c r="AD890" i="1"/>
  <c r="R890" i="1"/>
  <c r="AI889" i="1"/>
  <c r="AD889" i="1"/>
  <c r="R889" i="1"/>
  <c r="AI888" i="1"/>
  <c r="AD888" i="1"/>
  <c r="R888" i="1"/>
  <c r="AI887" i="1"/>
  <c r="AD887" i="1"/>
  <c r="R887" i="1"/>
  <c r="AI886" i="1"/>
  <c r="AD886" i="1"/>
  <c r="R886" i="1"/>
  <c r="AI885" i="1"/>
  <c r="AD885" i="1"/>
  <c r="R885" i="1"/>
  <c r="AI884" i="1"/>
  <c r="AD884" i="1"/>
  <c r="R884" i="1"/>
  <c r="AI883" i="1"/>
  <c r="AD883" i="1"/>
  <c r="R883" i="1"/>
  <c r="AI882" i="1"/>
  <c r="AD882" i="1"/>
  <c r="R882" i="1"/>
  <c r="AI881" i="1"/>
  <c r="AD881" i="1"/>
  <c r="R881" i="1"/>
  <c r="AI880" i="1"/>
  <c r="AD880" i="1"/>
  <c r="R880" i="1"/>
  <c r="AI879" i="1"/>
  <c r="AD879" i="1"/>
  <c r="R879" i="1"/>
  <c r="AI878" i="1"/>
  <c r="AD878" i="1"/>
  <c r="R878" i="1"/>
  <c r="AI877" i="1"/>
  <c r="AD877" i="1"/>
  <c r="R877" i="1"/>
  <c r="AI876" i="1"/>
  <c r="AD876" i="1"/>
  <c r="R876" i="1"/>
  <c r="AI875" i="1"/>
  <c r="AD875" i="1"/>
  <c r="R875" i="1"/>
  <c r="AI874" i="1"/>
  <c r="AD874" i="1"/>
  <c r="R874" i="1"/>
  <c r="AI873" i="1"/>
  <c r="AD873" i="1"/>
  <c r="R873" i="1"/>
  <c r="AI872" i="1"/>
  <c r="AD872" i="1"/>
  <c r="R872" i="1"/>
  <c r="AI871" i="1"/>
  <c r="AD871" i="1"/>
  <c r="R871" i="1"/>
  <c r="AI870" i="1"/>
  <c r="AD870" i="1"/>
  <c r="R870" i="1"/>
  <c r="AI869" i="1"/>
  <c r="AD869" i="1"/>
  <c r="R869" i="1"/>
  <c r="AI868" i="1"/>
  <c r="AD868" i="1"/>
  <c r="R868" i="1"/>
  <c r="AI867" i="1"/>
  <c r="AD867" i="1"/>
  <c r="R867" i="1"/>
  <c r="AI866" i="1"/>
  <c r="AD866" i="1"/>
  <c r="R866" i="1"/>
  <c r="AI865" i="1"/>
  <c r="AD865" i="1"/>
  <c r="AI864" i="1"/>
  <c r="AD864" i="1"/>
  <c r="R864" i="1"/>
  <c r="AI863" i="1"/>
  <c r="AD863" i="1"/>
  <c r="R863" i="1"/>
  <c r="AI862" i="1"/>
  <c r="AD862" i="1"/>
  <c r="R862" i="1"/>
  <c r="AI861" i="1"/>
  <c r="AD861" i="1"/>
  <c r="R861" i="1"/>
  <c r="AI860" i="1"/>
  <c r="AD860" i="1"/>
  <c r="R860" i="1"/>
  <c r="AI859" i="1"/>
  <c r="AD859" i="1"/>
  <c r="R859" i="1"/>
  <c r="AI858" i="1"/>
  <c r="AD858" i="1"/>
  <c r="R858" i="1"/>
  <c r="AI857" i="1"/>
  <c r="AD857" i="1"/>
  <c r="R857" i="1"/>
  <c r="AI856" i="1"/>
  <c r="AD856" i="1"/>
  <c r="R856" i="1"/>
  <c r="AI855" i="1"/>
  <c r="AD855" i="1"/>
  <c r="R855" i="1"/>
  <c r="AI854" i="1"/>
  <c r="AD854" i="1"/>
  <c r="R854" i="1"/>
  <c r="AI853" i="1"/>
  <c r="AD853" i="1"/>
  <c r="R853" i="1"/>
  <c r="AI852" i="1"/>
  <c r="AD852" i="1"/>
  <c r="R852" i="1"/>
  <c r="AI851" i="1"/>
  <c r="AD851" i="1"/>
  <c r="R851" i="1"/>
  <c r="AI850" i="1"/>
  <c r="AD850" i="1"/>
  <c r="R850" i="1"/>
  <c r="AI849" i="1"/>
  <c r="AD849" i="1"/>
  <c r="R849" i="1"/>
  <c r="AI848" i="1"/>
  <c r="AD848" i="1"/>
  <c r="R848" i="1"/>
  <c r="AI847" i="1"/>
  <c r="AD847" i="1"/>
  <c r="R847" i="1"/>
  <c r="AI846" i="1"/>
  <c r="AD846" i="1"/>
  <c r="R846" i="1"/>
  <c r="AI845" i="1"/>
  <c r="AD845" i="1"/>
  <c r="R845" i="1"/>
  <c r="AI844" i="1"/>
  <c r="AD844" i="1"/>
  <c r="R844" i="1"/>
  <c r="AI843" i="1"/>
  <c r="AD843" i="1"/>
  <c r="R843" i="1"/>
  <c r="AI842" i="1"/>
  <c r="AD842" i="1"/>
  <c r="R842" i="1"/>
  <c r="AI841" i="1"/>
  <c r="AD841" i="1"/>
  <c r="R841" i="1"/>
  <c r="AI840" i="1"/>
  <c r="AD840" i="1"/>
  <c r="R840" i="1"/>
  <c r="AI839" i="1"/>
  <c r="AD839" i="1"/>
  <c r="R839" i="1"/>
  <c r="AI838" i="1"/>
  <c r="AD838" i="1"/>
  <c r="R838" i="1"/>
  <c r="AI837" i="1"/>
  <c r="AD837" i="1"/>
  <c r="R837" i="1"/>
  <c r="AI836" i="1"/>
  <c r="AD836" i="1"/>
  <c r="R836" i="1"/>
  <c r="AI835" i="1"/>
  <c r="AD835" i="1"/>
  <c r="R835" i="1"/>
  <c r="AI834" i="1"/>
  <c r="AD834" i="1"/>
  <c r="R834" i="1"/>
  <c r="AI833" i="1"/>
  <c r="AD833" i="1"/>
  <c r="R833" i="1"/>
  <c r="AI832" i="1"/>
  <c r="AD832" i="1"/>
  <c r="R832" i="1"/>
  <c r="AI831" i="1"/>
  <c r="AD831" i="1"/>
  <c r="R831" i="1"/>
  <c r="AI830" i="1"/>
  <c r="AD830" i="1"/>
  <c r="R830" i="1"/>
  <c r="AI829" i="1"/>
  <c r="AD829" i="1"/>
  <c r="R829" i="1"/>
  <c r="AI828" i="1"/>
  <c r="AD828" i="1"/>
  <c r="R828" i="1"/>
  <c r="AI827" i="1"/>
  <c r="AD827" i="1"/>
  <c r="R827" i="1"/>
  <c r="AI826" i="1"/>
  <c r="AD826" i="1"/>
  <c r="AI825" i="1"/>
  <c r="AD825" i="1"/>
  <c r="R825" i="1"/>
  <c r="AI824" i="1"/>
  <c r="AD824" i="1"/>
  <c r="R824" i="1"/>
  <c r="AI823" i="1"/>
  <c r="AD823" i="1"/>
  <c r="R823" i="1"/>
  <c r="AI822" i="1"/>
  <c r="AD822" i="1"/>
  <c r="R822" i="1"/>
  <c r="AI821" i="1"/>
  <c r="AD821" i="1"/>
  <c r="R821" i="1"/>
  <c r="AI820" i="1"/>
  <c r="AD820" i="1"/>
  <c r="R820" i="1"/>
  <c r="AI819" i="1"/>
  <c r="AD819" i="1"/>
  <c r="R819" i="1"/>
  <c r="AI818" i="1"/>
  <c r="AD818" i="1"/>
  <c r="R818" i="1"/>
  <c r="AI817" i="1"/>
  <c r="AD817" i="1"/>
  <c r="R817" i="1"/>
  <c r="AI816" i="1"/>
  <c r="AD816" i="1"/>
  <c r="AI815" i="1"/>
  <c r="AD815" i="1"/>
  <c r="R815" i="1"/>
  <c r="AI814" i="1"/>
  <c r="AD814" i="1"/>
  <c r="R814" i="1"/>
  <c r="AI813" i="1"/>
  <c r="AD813" i="1"/>
  <c r="R813" i="1"/>
  <c r="AI812" i="1"/>
  <c r="AD812" i="1"/>
  <c r="AI811" i="1"/>
  <c r="AD811" i="1"/>
  <c r="AI810" i="1"/>
  <c r="AD810" i="1"/>
  <c r="R810" i="1"/>
  <c r="AI809" i="1"/>
  <c r="R809" i="1"/>
  <c r="AI808" i="1"/>
  <c r="AD808" i="1"/>
  <c r="R808" i="1"/>
  <c r="AI807" i="1"/>
  <c r="AD807" i="1"/>
  <c r="R807" i="1"/>
  <c r="AI806" i="1"/>
  <c r="AD806" i="1"/>
  <c r="R806" i="1"/>
  <c r="AI805" i="1"/>
  <c r="AD805" i="1"/>
  <c r="R805" i="1"/>
  <c r="AI804" i="1"/>
  <c r="AD804" i="1"/>
  <c r="R804" i="1"/>
  <c r="AI803" i="1"/>
  <c r="AD803" i="1"/>
  <c r="AI802" i="1"/>
  <c r="AD802" i="1"/>
  <c r="R802" i="1"/>
  <c r="AI801" i="1"/>
  <c r="AD801" i="1"/>
  <c r="R801" i="1"/>
  <c r="AI800" i="1"/>
  <c r="AD800" i="1"/>
  <c r="R800" i="1"/>
  <c r="AI799" i="1"/>
  <c r="AD799" i="1"/>
  <c r="R799" i="1"/>
  <c r="AI798" i="1"/>
  <c r="AD798" i="1"/>
  <c r="R798" i="1"/>
  <c r="AI797" i="1"/>
  <c r="AD797" i="1"/>
  <c r="R797" i="1"/>
  <c r="AI796" i="1"/>
  <c r="AD796" i="1"/>
  <c r="R796" i="1"/>
  <c r="AI795" i="1"/>
  <c r="AD795" i="1"/>
  <c r="R795" i="1"/>
  <c r="AI794" i="1"/>
  <c r="AD794" i="1"/>
  <c r="R794" i="1"/>
  <c r="AI793" i="1"/>
  <c r="AD793" i="1"/>
  <c r="R793" i="1"/>
  <c r="AI792" i="1"/>
  <c r="AD792" i="1"/>
  <c r="R792" i="1"/>
  <c r="AI791" i="1"/>
  <c r="AD791" i="1"/>
  <c r="R791" i="1"/>
  <c r="AI790" i="1"/>
  <c r="AD790" i="1"/>
  <c r="R790" i="1"/>
  <c r="AI789" i="1"/>
  <c r="AD789" i="1"/>
  <c r="R789" i="1"/>
  <c r="AI788" i="1"/>
  <c r="AD788" i="1"/>
  <c r="R788" i="1"/>
  <c r="AI787" i="1"/>
  <c r="AD787" i="1"/>
  <c r="R787" i="1"/>
  <c r="AI786" i="1"/>
  <c r="AD786" i="1"/>
  <c r="R786" i="1"/>
  <c r="AI785" i="1"/>
  <c r="AD785" i="1"/>
  <c r="R785" i="1"/>
  <c r="AI784" i="1"/>
  <c r="AD784" i="1"/>
  <c r="AI783" i="1"/>
  <c r="AD783" i="1"/>
  <c r="R783" i="1"/>
  <c r="AI782" i="1"/>
  <c r="AD782" i="1"/>
  <c r="R782" i="1"/>
  <c r="AI781" i="1"/>
  <c r="AD781" i="1"/>
  <c r="R781" i="1"/>
  <c r="AI780" i="1"/>
  <c r="AD780" i="1"/>
  <c r="R780" i="1"/>
  <c r="AI779" i="1"/>
  <c r="AD779" i="1"/>
  <c r="R779" i="1"/>
  <c r="AI778" i="1"/>
  <c r="AD778" i="1"/>
  <c r="R778" i="1"/>
  <c r="AI777" i="1"/>
  <c r="AD777" i="1"/>
  <c r="AI776" i="1"/>
  <c r="AD776" i="1"/>
  <c r="R776" i="1"/>
  <c r="AI775" i="1"/>
  <c r="R775" i="1"/>
  <c r="AI774" i="1"/>
  <c r="R774" i="1"/>
  <c r="AI773" i="1"/>
  <c r="AD773" i="1"/>
  <c r="R773" i="1"/>
  <c r="AI772" i="1"/>
  <c r="AD772" i="1"/>
  <c r="R772" i="1"/>
  <c r="AI771" i="1"/>
  <c r="AD771" i="1"/>
  <c r="R771" i="1"/>
  <c r="AI770" i="1"/>
  <c r="AD770" i="1"/>
  <c r="R770" i="1"/>
  <c r="AI769" i="1"/>
  <c r="AD769" i="1"/>
  <c r="R769" i="1"/>
  <c r="AI768" i="1"/>
  <c r="AD768" i="1"/>
  <c r="R768" i="1"/>
  <c r="AI767" i="1"/>
  <c r="AD767" i="1"/>
  <c r="R767" i="1"/>
  <c r="AI766" i="1"/>
  <c r="AD766" i="1"/>
  <c r="R766" i="1"/>
  <c r="AI765" i="1"/>
  <c r="AD765" i="1"/>
  <c r="R765" i="1"/>
  <c r="AI764" i="1"/>
  <c r="R764" i="1"/>
  <c r="AI763" i="1"/>
  <c r="AD763" i="1"/>
  <c r="R763" i="1"/>
  <c r="AI762" i="1"/>
  <c r="AD762" i="1"/>
  <c r="R762" i="1"/>
  <c r="AI761" i="1"/>
  <c r="AD761" i="1"/>
  <c r="R761" i="1"/>
  <c r="AI760" i="1"/>
  <c r="AD760" i="1"/>
  <c r="R760" i="1"/>
  <c r="AI759" i="1"/>
  <c r="AD759" i="1"/>
  <c r="R759" i="1"/>
  <c r="AI758" i="1"/>
  <c r="AD758" i="1"/>
  <c r="R758" i="1"/>
  <c r="AI757" i="1"/>
  <c r="AD757" i="1"/>
  <c r="R757" i="1"/>
  <c r="AI756" i="1"/>
  <c r="AD756" i="1"/>
  <c r="R756" i="1"/>
  <c r="AI755" i="1"/>
  <c r="AD755" i="1"/>
  <c r="R755" i="1"/>
  <c r="AI754" i="1"/>
  <c r="AD754" i="1"/>
  <c r="R754" i="1"/>
  <c r="AI753" i="1"/>
  <c r="AD753" i="1"/>
  <c r="R753" i="1"/>
  <c r="AI752" i="1"/>
  <c r="AD752" i="1"/>
  <c r="R752" i="1"/>
  <c r="AI751" i="1"/>
  <c r="AD751" i="1"/>
  <c r="R751" i="1"/>
  <c r="AI750" i="1"/>
  <c r="AD750" i="1"/>
  <c r="R750" i="1"/>
  <c r="AI749" i="1"/>
  <c r="R749" i="1"/>
  <c r="AI748" i="1"/>
  <c r="AD748" i="1"/>
  <c r="AI747" i="1"/>
  <c r="AD747" i="1"/>
  <c r="R747" i="1"/>
  <c r="AI746" i="1"/>
  <c r="AD746" i="1"/>
  <c r="R746" i="1"/>
  <c r="AI745" i="1"/>
  <c r="AD745" i="1"/>
  <c r="R745" i="1"/>
  <c r="AI744" i="1"/>
  <c r="AD744" i="1"/>
  <c r="R744" i="1"/>
  <c r="AI743" i="1"/>
  <c r="R743" i="1"/>
  <c r="AI742" i="1"/>
  <c r="AD742" i="1"/>
  <c r="R742" i="1"/>
  <c r="AI741" i="1"/>
  <c r="AD741" i="1"/>
  <c r="R741" i="1"/>
  <c r="AI740" i="1"/>
  <c r="AD740" i="1"/>
  <c r="R740" i="1"/>
  <c r="AI739" i="1"/>
  <c r="AD739" i="1"/>
  <c r="R739" i="1"/>
  <c r="AI738" i="1"/>
  <c r="AD738" i="1"/>
  <c r="R738" i="1"/>
  <c r="AI737" i="1"/>
  <c r="AD737" i="1"/>
  <c r="R737" i="1"/>
  <c r="AI736" i="1"/>
  <c r="AD736" i="1"/>
  <c r="R736" i="1"/>
  <c r="AI735" i="1"/>
  <c r="AD735" i="1"/>
  <c r="R735" i="1"/>
  <c r="AI734" i="1"/>
  <c r="AD734" i="1"/>
  <c r="R734" i="1"/>
  <c r="AI733" i="1"/>
  <c r="AD733" i="1"/>
  <c r="R733" i="1"/>
  <c r="AI732" i="1"/>
  <c r="AD732" i="1"/>
  <c r="R732" i="1"/>
  <c r="AI731" i="1"/>
  <c r="AD731" i="1"/>
  <c r="R731" i="1"/>
  <c r="AI730" i="1"/>
  <c r="AD730" i="1"/>
  <c r="R730" i="1"/>
  <c r="AI729" i="1"/>
  <c r="AD729" i="1"/>
  <c r="R729" i="1"/>
  <c r="AI728" i="1"/>
  <c r="AD728" i="1"/>
  <c r="R728" i="1"/>
  <c r="AI727" i="1"/>
  <c r="AD727" i="1"/>
  <c r="R727" i="1"/>
  <c r="AI726" i="1"/>
  <c r="AD726" i="1"/>
  <c r="R726" i="1"/>
  <c r="AI725" i="1"/>
  <c r="AD725" i="1"/>
  <c r="R725" i="1"/>
  <c r="AI724" i="1"/>
  <c r="AD724" i="1"/>
  <c r="R724" i="1"/>
  <c r="AI723" i="1"/>
  <c r="AD723" i="1"/>
  <c r="R723" i="1"/>
  <c r="AI722" i="1"/>
  <c r="AD722" i="1"/>
  <c r="R722" i="1"/>
  <c r="AI721" i="1"/>
  <c r="AD721" i="1"/>
  <c r="R721" i="1"/>
  <c r="AI720" i="1"/>
  <c r="AD720" i="1"/>
  <c r="R720" i="1"/>
  <c r="AI719" i="1"/>
  <c r="AD719" i="1"/>
  <c r="R719" i="1"/>
  <c r="AI718" i="1"/>
  <c r="AD718" i="1"/>
  <c r="R718" i="1"/>
  <c r="AI717" i="1"/>
  <c r="AD717" i="1"/>
  <c r="R717" i="1"/>
  <c r="AI716" i="1"/>
  <c r="AD716" i="1"/>
  <c r="R716" i="1"/>
  <c r="AI715" i="1"/>
  <c r="AD715" i="1"/>
  <c r="R715" i="1"/>
  <c r="AI714" i="1"/>
  <c r="AD714" i="1"/>
  <c r="R714" i="1"/>
  <c r="AI713" i="1"/>
  <c r="AD713" i="1"/>
  <c r="R713" i="1"/>
  <c r="AI712" i="1"/>
  <c r="AD712" i="1"/>
  <c r="R712" i="1"/>
  <c r="AI711" i="1"/>
  <c r="R711" i="1"/>
  <c r="AI710" i="1"/>
  <c r="AD710" i="1"/>
  <c r="R710" i="1"/>
  <c r="AI709" i="1"/>
  <c r="AD709" i="1"/>
  <c r="R709" i="1"/>
  <c r="AI708" i="1"/>
  <c r="AD708" i="1"/>
  <c r="R708" i="1"/>
  <c r="AI707" i="1"/>
  <c r="AD707" i="1"/>
  <c r="R707" i="1"/>
  <c r="AI706" i="1"/>
  <c r="AD706" i="1"/>
  <c r="R706" i="1"/>
  <c r="AI705" i="1"/>
  <c r="AD705" i="1"/>
  <c r="R705" i="1"/>
  <c r="AI704" i="1"/>
  <c r="AD704" i="1"/>
  <c r="R704" i="1"/>
  <c r="AI703" i="1"/>
  <c r="AD703" i="1"/>
  <c r="R703" i="1"/>
  <c r="AI702" i="1"/>
  <c r="AD702" i="1"/>
  <c r="R702" i="1"/>
  <c r="AI701" i="1"/>
  <c r="AD701" i="1"/>
  <c r="R701" i="1"/>
  <c r="AI700" i="1"/>
  <c r="AD700" i="1"/>
  <c r="R700" i="1"/>
  <c r="AI699" i="1"/>
  <c r="AD699" i="1"/>
  <c r="R699" i="1"/>
  <c r="AI698" i="1"/>
  <c r="AD698" i="1"/>
  <c r="R698" i="1"/>
  <c r="AI697" i="1"/>
  <c r="AD697" i="1"/>
  <c r="R697" i="1"/>
  <c r="AI696" i="1"/>
  <c r="AD696" i="1"/>
  <c r="R696" i="1"/>
  <c r="AI695" i="1"/>
  <c r="R695" i="1"/>
  <c r="AI694" i="1"/>
  <c r="AD694" i="1"/>
  <c r="R694" i="1"/>
  <c r="AI693" i="1"/>
  <c r="AD693" i="1"/>
  <c r="R693" i="1"/>
  <c r="AI692" i="1"/>
  <c r="AD692" i="1"/>
  <c r="R692" i="1"/>
  <c r="AI691" i="1"/>
  <c r="AD691" i="1"/>
  <c r="R691" i="1"/>
  <c r="AI690" i="1"/>
  <c r="AD690" i="1"/>
  <c r="R690" i="1"/>
  <c r="AI689" i="1"/>
  <c r="AD689" i="1"/>
  <c r="R689" i="1"/>
  <c r="AI688" i="1"/>
  <c r="AD688" i="1"/>
  <c r="R688" i="1"/>
  <c r="AI687" i="1"/>
  <c r="AD687" i="1"/>
  <c r="R687" i="1"/>
  <c r="AI686" i="1"/>
  <c r="AD686" i="1"/>
  <c r="R686" i="1"/>
  <c r="AI685" i="1"/>
  <c r="AD685" i="1"/>
  <c r="R685" i="1"/>
  <c r="AI684" i="1"/>
  <c r="AD684" i="1"/>
  <c r="R684" i="1"/>
  <c r="AI683" i="1"/>
  <c r="AD683" i="1"/>
  <c r="R683" i="1"/>
  <c r="AI682" i="1"/>
  <c r="AD682" i="1"/>
  <c r="R682" i="1"/>
  <c r="AI681" i="1"/>
  <c r="AD681" i="1"/>
  <c r="R681" i="1"/>
  <c r="AI680" i="1"/>
  <c r="R680" i="1"/>
  <c r="AI679" i="1"/>
  <c r="AD679" i="1"/>
  <c r="R679" i="1"/>
  <c r="AI678" i="1"/>
  <c r="AD678" i="1"/>
  <c r="R678" i="1"/>
  <c r="AI677" i="1"/>
  <c r="AD677" i="1"/>
  <c r="R677" i="1"/>
  <c r="AI676" i="1"/>
  <c r="AD676" i="1"/>
  <c r="R676" i="1"/>
  <c r="AI675" i="1"/>
  <c r="AD675" i="1"/>
  <c r="R675" i="1"/>
  <c r="AI674" i="1"/>
  <c r="AD674" i="1"/>
  <c r="R674" i="1"/>
  <c r="AI673" i="1"/>
  <c r="AD673" i="1"/>
  <c r="R673" i="1"/>
  <c r="AI672" i="1"/>
  <c r="AD672" i="1"/>
  <c r="R672" i="1"/>
  <c r="AI671" i="1"/>
  <c r="AD671" i="1"/>
  <c r="R671" i="1"/>
  <c r="AI670" i="1"/>
  <c r="AD670" i="1"/>
  <c r="R670" i="1"/>
  <c r="AI669" i="1"/>
  <c r="AD669" i="1"/>
  <c r="R669" i="1"/>
  <c r="AI668" i="1"/>
  <c r="AD668" i="1"/>
  <c r="R668" i="1"/>
  <c r="AI667" i="1"/>
  <c r="AD667" i="1"/>
  <c r="R667" i="1"/>
  <c r="AI666" i="1"/>
  <c r="AD666" i="1"/>
  <c r="R666" i="1"/>
  <c r="AI665" i="1"/>
  <c r="AD665" i="1"/>
  <c r="R665" i="1"/>
  <c r="AI664" i="1"/>
  <c r="AD664" i="1"/>
  <c r="R664" i="1"/>
  <c r="AI663" i="1"/>
  <c r="AD663" i="1"/>
  <c r="R663" i="1"/>
  <c r="AI662" i="1"/>
  <c r="AD662" i="1"/>
  <c r="R662" i="1"/>
  <c r="AI661" i="1"/>
  <c r="AD661" i="1"/>
  <c r="R661" i="1"/>
  <c r="AI660" i="1"/>
  <c r="R660" i="1"/>
  <c r="AI659" i="1"/>
  <c r="AD659" i="1"/>
  <c r="R659" i="1"/>
  <c r="AI658" i="1"/>
  <c r="AD658" i="1"/>
  <c r="AI657" i="1"/>
  <c r="AD657" i="1"/>
  <c r="R657" i="1"/>
  <c r="AI656" i="1"/>
  <c r="AD656" i="1"/>
  <c r="R656" i="1"/>
  <c r="AI655" i="1"/>
  <c r="AD655" i="1"/>
  <c r="R655" i="1"/>
  <c r="AI654" i="1"/>
  <c r="AD654" i="1"/>
  <c r="R654" i="1"/>
  <c r="AI653" i="1"/>
  <c r="AD653" i="1"/>
  <c r="R653" i="1"/>
  <c r="AI652" i="1"/>
  <c r="AD652" i="1"/>
  <c r="R652" i="1"/>
  <c r="AI651" i="1"/>
  <c r="AD651" i="1"/>
  <c r="R651" i="1"/>
  <c r="AI650" i="1"/>
  <c r="AD650" i="1"/>
  <c r="AI649" i="1"/>
  <c r="AD649" i="1"/>
  <c r="R649" i="1"/>
  <c r="AI648" i="1"/>
  <c r="AD648" i="1"/>
  <c r="R648" i="1"/>
  <c r="AI647" i="1"/>
  <c r="AD647" i="1"/>
  <c r="R647" i="1"/>
  <c r="AI646" i="1"/>
  <c r="AD646" i="1"/>
  <c r="R646" i="1"/>
  <c r="AI645" i="1"/>
  <c r="AD645" i="1"/>
  <c r="R645" i="1"/>
  <c r="AI644" i="1"/>
  <c r="AD644" i="1"/>
  <c r="R644" i="1"/>
  <c r="AI643" i="1"/>
  <c r="AD643" i="1"/>
  <c r="R643" i="1"/>
  <c r="AI642" i="1"/>
  <c r="AD642" i="1"/>
  <c r="R642" i="1"/>
  <c r="AI641" i="1"/>
  <c r="AD641" i="1"/>
  <c r="AI640" i="1"/>
  <c r="AD640" i="1"/>
  <c r="R640" i="1"/>
  <c r="AI639" i="1"/>
  <c r="AD639" i="1"/>
  <c r="R639" i="1"/>
  <c r="AI638" i="1"/>
  <c r="AD638" i="1"/>
  <c r="R638" i="1"/>
  <c r="AI637" i="1"/>
  <c r="AD637" i="1"/>
  <c r="R637" i="1"/>
  <c r="AI636" i="1"/>
  <c r="AD636" i="1"/>
  <c r="R636" i="1"/>
  <c r="AI635" i="1"/>
  <c r="AD635" i="1"/>
  <c r="R635" i="1"/>
  <c r="AI634" i="1"/>
  <c r="AD634" i="1"/>
  <c r="R634" i="1"/>
  <c r="AI633" i="1"/>
  <c r="AD633" i="1"/>
  <c r="R633" i="1"/>
  <c r="AI632" i="1"/>
  <c r="AD632" i="1"/>
  <c r="R632" i="1"/>
  <c r="AI631" i="1"/>
  <c r="AD631" i="1"/>
  <c r="R631" i="1"/>
  <c r="AI630" i="1"/>
  <c r="AD630" i="1"/>
  <c r="R630" i="1"/>
  <c r="AI629" i="1"/>
  <c r="AD629" i="1"/>
  <c r="R629" i="1"/>
  <c r="AI628" i="1"/>
  <c r="AD628" i="1"/>
  <c r="R628" i="1"/>
  <c r="AI627" i="1"/>
  <c r="AD627" i="1"/>
  <c r="R627" i="1"/>
  <c r="AI626" i="1"/>
  <c r="AD626" i="1"/>
  <c r="R626" i="1"/>
  <c r="AI625" i="1"/>
  <c r="AD625" i="1"/>
  <c r="R625" i="1"/>
  <c r="AI624" i="1"/>
  <c r="AD624" i="1"/>
  <c r="R624" i="1"/>
  <c r="AI623" i="1"/>
  <c r="AD623" i="1"/>
  <c r="R623" i="1"/>
  <c r="AI622" i="1"/>
  <c r="AD622" i="1"/>
  <c r="R622" i="1"/>
  <c r="AI621" i="1"/>
  <c r="AD621" i="1"/>
  <c r="R621" i="1"/>
  <c r="AI620" i="1"/>
  <c r="AD620" i="1"/>
  <c r="R620" i="1"/>
  <c r="AI619" i="1"/>
  <c r="AD619" i="1"/>
  <c r="R619" i="1"/>
  <c r="AI618" i="1"/>
  <c r="AD618" i="1"/>
  <c r="R618" i="1"/>
  <c r="AI617" i="1"/>
  <c r="AD617" i="1"/>
  <c r="R617" i="1"/>
  <c r="AD616" i="1"/>
  <c r="R616" i="1"/>
  <c r="P616" i="1"/>
  <c r="Q616" i="1" s="1"/>
  <c r="AI615" i="1"/>
  <c r="AD615" i="1"/>
  <c r="R615" i="1"/>
  <c r="AI614" i="1"/>
  <c r="AD614" i="1"/>
  <c r="R614" i="1"/>
  <c r="AI613" i="1"/>
  <c r="AD613" i="1"/>
  <c r="R613" i="1"/>
  <c r="AI612" i="1"/>
  <c r="AD612" i="1"/>
  <c r="R612" i="1"/>
  <c r="AI611" i="1"/>
  <c r="AD611" i="1"/>
  <c r="R611" i="1"/>
  <c r="AI610" i="1"/>
  <c r="AD610" i="1"/>
  <c r="R610" i="1"/>
  <c r="AI609" i="1"/>
  <c r="AD609" i="1"/>
  <c r="R609" i="1"/>
  <c r="AI608" i="1"/>
  <c r="AD608" i="1"/>
  <c r="R608" i="1"/>
  <c r="AI607" i="1"/>
  <c r="AD607" i="1"/>
  <c r="R607" i="1"/>
  <c r="AI606" i="1"/>
  <c r="AD606" i="1"/>
  <c r="R606" i="1"/>
  <c r="AI605" i="1"/>
  <c r="AD605" i="1"/>
  <c r="R605" i="1"/>
  <c r="AI604" i="1"/>
  <c r="AD604" i="1"/>
  <c r="R604" i="1"/>
  <c r="AI603" i="1"/>
  <c r="AD603" i="1"/>
  <c r="R603" i="1"/>
  <c r="AI602" i="1"/>
  <c r="AD602" i="1"/>
  <c r="R602" i="1"/>
  <c r="AI601" i="1"/>
  <c r="R601" i="1"/>
  <c r="AI600" i="1"/>
  <c r="AD600" i="1"/>
  <c r="R600" i="1"/>
  <c r="AI599" i="1"/>
  <c r="AD599" i="1"/>
  <c r="R599" i="1"/>
  <c r="AI598" i="1"/>
  <c r="AD598" i="1"/>
  <c r="R598" i="1"/>
  <c r="AI597" i="1"/>
  <c r="AD597" i="1"/>
  <c r="R597" i="1"/>
  <c r="AI596" i="1"/>
  <c r="AD596" i="1"/>
  <c r="R596" i="1"/>
  <c r="AI595" i="1"/>
  <c r="AD595" i="1"/>
  <c r="R595" i="1"/>
  <c r="AI594" i="1"/>
  <c r="AD594" i="1"/>
  <c r="R594" i="1"/>
  <c r="AI593" i="1"/>
  <c r="AD593" i="1"/>
  <c r="R593" i="1"/>
  <c r="AI592" i="1"/>
  <c r="AD592" i="1"/>
  <c r="R592" i="1"/>
  <c r="AI591" i="1"/>
  <c r="AD591" i="1"/>
  <c r="R591" i="1"/>
  <c r="AI590" i="1"/>
  <c r="AD590" i="1"/>
  <c r="R590" i="1"/>
  <c r="AI589" i="1"/>
  <c r="AD589" i="1"/>
  <c r="R589" i="1"/>
  <c r="AI588" i="1"/>
  <c r="AD588" i="1"/>
  <c r="R588" i="1"/>
  <c r="Q588" i="1"/>
  <c r="P588" i="1"/>
  <c r="AI587" i="1"/>
  <c r="AD587" i="1"/>
  <c r="R587" i="1"/>
  <c r="P587" i="1"/>
  <c r="Q587" i="1" s="1"/>
  <c r="AI586" i="1"/>
  <c r="AD586" i="1"/>
  <c r="R586" i="1"/>
  <c r="P586" i="1"/>
  <c r="Q586" i="1" s="1"/>
  <c r="AI585" i="1"/>
  <c r="AD585" i="1"/>
  <c r="R585" i="1"/>
  <c r="Q585" i="1"/>
  <c r="P585" i="1"/>
  <c r="AI584" i="1"/>
  <c r="AD584" i="1"/>
  <c r="R584" i="1"/>
  <c r="P584" i="1"/>
  <c r="Q584" i="1" s="1"/>
  <c r="AI583" i="1"/>
  <c r="AD583" i="1"/>
  <c r="R583" i="1"/>
  <c r="AI582" i="1"/>
  <c r="AD582" i="1"/>
  <c r="R582" i="1"/>
  <c r="AI581" i="1"/>
  <c r="AD581" i="1"/>
  <c r="R581" i="1"/>
  <c r="AI580" i="1"/>
  <c r="AD580" i="1"/>
  <c r="R580" i="1"/>
  <c r="AI579" i="1"/>
  <c r="AD579" i="1"/>
  <c r="R579" i="1"/>
  <c r="AI578" i="1"/>
  <c r="AD578" i="1"/>
  <c r="R578" i="1"/>
  <c r="AI577" i="1"/>
  <c r="AD577" i="1"/>
  <c r="R577" i="1"/>
  <c r="AI576" i="1"/>
  <c r="AD576" i="1"/>
  <c r="R576" i="1"/>
  <c r="AI575" i="1"/>
  <c r="AD575" i="1"/>
  <c r="R575" i="1"/>
  <c r="AI574" i="1"/>
  <c r="AD574" i="1"/>
  <c r="R574" i="1"/>
  <c r="AI573" i="1"/>
  <c r="AD573" i="1"/>
  <c r="R573" i="1"/>
  <c r="AI572" i="1"/>
  <c r="AD572" i="1"/>
  <c r="R572" i="1"/>
  <c r="AI571" i="1"/>
  <c r="AD571" i="1"/>
  <c r="R571" i="1"/>
  <c r="AI570" i="1"/>
  <c r="AD570" i="1"/>
  <c r="R570" i="1"/>
  <c r="AI569" i="1"/>
  <c r="AD569" i="1"/>
  <c r="R569" i="1"/>
  <c r="AI568" i="1"/>
  <c r="AD568" i="1"/>
  <c r="R568" i="1"/>
  <c r="AI567" i="1"/>
  <c r="AD567" i="1"/>
  <c r="R567" i="1"/>
  <c r="AI566" i="1"/>
  <c r="AD566" i="1"/>
  <c r="R566" i="1"/>
  <c r="AI565" i="1"/>
  <c r="AD565" i="1"/>
  <c r="R565" i="1"/>
  <c r="AI564" i="1"/>
  <c r="AD564" i="1"/>
  <c r="R564" i="1"/>
  <c r="R563" i="1"/>
  <c r="Q563" i="1"/>
  <c r="P563" i="1"/>
  <c r="AI562" i="1"/>
  <c r="R562" i="1"/>
  <c r="Q562" i="1"/>
  <c r="P562" i="1"/>
  <c r="AI561" i="1"/>
  <c r="AD561" i="1"/>
  <c r="R561" i="1"/>
  <c r="AI560" i="1"/>
  <c r="AD560" i="1"/>
  <c r="R560" i="1"/>
  <c r="AI559" i="1"/>
  <c r="AD559" i="1"/>
  <c r="R559" i="1"/>
  <c r="AI558" i="1"/>
  <c r="AD558" i="1"/>
  <c r="R558" i="1"/>
  <c r="AI557" i="1"/>
  <c r="R557" i="1"/>
  <c r="AI556" i="1"/>
  <c r="R556" i="1"/>
  <c r="AI555" i="1"/>
  <c r="AD555" i="1"/>
  <c r="R555" i="1"/>
  <c r="AI554" i="1"/>
  <c r="AD554" i="1"/>
  <c r="R554" i="1"/>
  <c r="AI553" i="1"/>
  <c r="AD553" i="1"/>
  <c r="R553" i="1"/>
  <c r="AI552" i="1"/>
  <c r="AD552" i="1"/>
  <c r="R552" i="1"/>
  <c r="AI551" i="1"/>
  <c r="AD551" i="1"/>
  <c r="R551" i="1"/>
  <c r="AI550" i="1"/>
  <c r="AD550" i="1"/>
  <c r="R550" i="1"/>
  <c r="AI549" i="1"/>
  <c r="AD549" i="1"/>
  <c r="R549" i="1"/>
  <c r="AI548" i="1"/>
  <c r="AD548" i="1"/>
  <c r="R548" i="1"/>
  <c r="AI547" i="1"/>
  <c r="AD547" i="1"/>
  <c r="R547" i="1"/>
  <c r="AI546" i="1"/>
  <c r="AD546" i="1"/>
  <c r="R546" i="1"/>
  <c r="AI545" i="1"/>
  <c r="AD545" i="1"/>
  <c r="R545" i="1"/>
  <c r="AI544" i="1"/>
  <c r="AD544" i="1"/>
  <c r="R544" i="1"/>
  <c r="AI543" i="1"/>
  <c r="AD543" i="1"/>
  <c r="R543" i="1"/>
  <c r="AI542" i="1"/>
  <c r="AD542" i="1"/>
  <c r="R542" i="1"/>
  <c r="AI541" i="1"/>
  <c r="R541" i="1"/>
  <c r="AI540" i="1"/>
  <c r="AD540" i="1"/>
  <c r="R540" i="1"/>
  <c r="AI539" i="1"/>
  <c r="R539" i="1"/>
  <c r="AI538" i="1"/>
  <c r="R538" i="1"/>
  <c r="AI537" i="1"/>
  <c r="R537" i="1"/>
  <c r="AI536" i="1"/>
  <c r="AD536" i="1"/>
  <c r="R536" i="1"/>
  <c r="AI535" i="1"/>
  <c r="AD535" i="1"/>
  <c r="R535" i="1"/>
  <c r="AI534" i="1"/>
  <c r="AD534" i="1"/>
  <c r="R534" i="1"/>
  <c r="AI533" i="1"/>
  <c r="AD533" i="1"/>
  <c r="R533" i="1"/>
  <c r="AI532" i="1"/>
  <c r="AD532" i="1"/>
  <c r="R532" i="1"/>
  <c r="AI531" i="1"/>
  <c r="R531" i="1"/>
  <c r="AI530" i="1"/>
  <c r="AD530" i="1"/>
  <c r="R530" i="1"/>
  <c r="AI529" i="1"/>
  <c r="AD529" i="1"/>
  <c r="R529" i="1"/>
  <c r="AI528" i="1"/>
  <c r="AD528" i="1"/>
  <c r="R528" i="1"/>
  <c r="AI527" i="1"/>
  <c r="AD527" i="1"/>
  <c r="R527" i="1"/>
  <c r="AI526" i="1"/>
  <c r="AD526" i="1"/>
  <c r="R526" i="1"/>
  <c r="AI525" i="1"/>
  <c r="AD525" i="1"/>
  <c r="R525" i="1"/>
  <c r="AI524" i="1"/>
  <c r="AD524" i="1"/>
  <c r="R524" i="1"/>
  <c r="AI523" i="1"/>
  <c r="AD523" i="1"/>
  <c r="R523" i="1"/>
  <c r="AI522" i="1"/>
  <c r="AD522" i="1"/>
  <c r="R522" i="1"/>
  <c r="AI521" i="1"/>
  <c r="AD521" i="1"/>
  <c r="R521" i="1"/>
  <c r="AI520" i="1"/>
  <c r="AD520" i="1"/>
  <c r="R520" i="1"/>
  <c r="AI519" i="1"/>
  <c r="AD519" i="1"/>
  <c r="R519" i="1"/>
  <c r="AI518" i="1"/>
  <c r="AD518" i="1"/>
  <c r="R518" i="1"/>
  <c r="AI517" i="1"/>
  <c r="AD517" i="1"/>
  <c r="R517" i="1"/>
  <c r="AI516" i="1"/>
  <c r="AD516" i="1"/>
  <c r="R516" i="1"/>
  <c r="AI515" i="1"/>
  <c r="AD515" i="1"/>
  <c r="R515" i="1"/>
  <c r="AI514" i="1"/>
  <c r="AD514" i="1"/>
  <c r="R514" i="1"/>
  <c r="AI513" i="1"/>
  <c r="AD513" i="1"/>
  <c r="R513" i="1"/>
  <c r="AI512" i="1"/>
  <c r="AD512" i="1"/>
  <c r="R512" i="1"/>
  <c r="AI511" i="1"/>
  <c r="AD511" i="1"/>
  <c r="R511" i="1"/>
  <c r="AI510" i="1"/>
  <c r="AD510" i="1"/>
  <c r="R510" i="1"/>
  <c r="AI509" i="1"/>
  <c r="AD509" i="1"/>
  <c r="R509" i="1"/>
  <c r="AI508" i="1"/>
  <c r="AD508" i="1"/>
  <c r="R508" i="1"/>
  <c r="AI507" i="1"/>
  <c r="AD507" i="1"/>
  <c r="R507" i="1"/>
  <c r="AI506" i="1"/>
  <c r="AD506" i="1"/>
  <c r="R506" i="1"/>
  <c r="AI505" i="1"/>
  <c r="AD505" i="1"/>
  <c r="R505" i="1"/>
  <c r="AI504" i="1"/>
  <c r="AD504" i="1"/>
  <c r="AI503" i="1"/>
  <c r="AD503" i="1"/>
  <c r="R503" i="1"/>
  <c r="AI502" i="1"/>
  <c r="AD502" i="1"/>
  <c r="R502" i="1"/>
  <c r="AI501" i="1"/>
  <c r="AD501" i="1"/>
  <c r="R501" i="1"/>
  <c r="AI500" i="1"/>
  <c r="AD500" i="1"/>
  <c r="AI499" i="1"/>
  <c r="AD499" i="1"/>
  <c r="AI498" i="1"/>
  <c r="AD498" i="1"/>
  <c r="R498" i="1"/>
  <c r="AI497" i="1"/>
  <c r="AD497" i="1"/>
  <c r="R497" i="1"/>
  <c r="AI496" i="1"/>
  <c r="AD496" i="1"/>
  <c r="R496" i="1"/>
  <c r="AI495" i="1"/>
  <c r="AD495" i="1"/>
  <c r="AI494" i="1"/>
  <c r="AD494" i="1"/>
  <c r="R494" i="1"/>
  <c r="AI493" i="1"/>
  <c r="AD493" i="1"/>
  <c r="R493" i="1"/>
  <c r="AI492" i="1"/>
  <c r="AD492" i="1"/>
  <c r="AI491" i="1"/>
  <c r="AD491" i="1"/>
  <c r="R491" i="1"/>
  <c r="AI490" i="1"/>
  <c r="R490" i="1"/>
  <c r="AI489" i="1"/>
  <c r="AD489" i="1"/>
  <c r="R489" i="1"/>
  <c r="AI488" i="1"/>
  <c r="AD488" i="1"/>
  <c r="R488" i="1"/>
  <c r="AI487" i="1"/>
  <c r="AD487" i="1"/>
  <c r="R487" i="1"/>
  <c r="AI486" i="1"/>
  <c r="AD486" i="1"/>
  <c r="AI485" i="1"/>
  <c r="AD485" i="1"/>
  <c r="R485" i="1"/>
  <c r="AI484" i="1"/>
  <c r="AD484" i="1"/>
  <c r="R484" i="1"/>
  <c r="AI483" i="1"/>
  <c r="AD483" i="1"/>
  <c r="R483" i="1"/>
  <c r="AI482" i="1"/>
  <c r="AD482" i="1"/>
  <c r="R482" i="1"/>
  <c r="AI481" i="1"/>
  <c r="AD481" i="1"/>
  <c r="R481" i="1"/>
  <c r="AI480" i="1"/>
  <c r="AD480" i="1"/>
  <c r="R480" i="1"/>
  <c r="AI479" i="1"/>
  <c r="AD479" i="1"/>
  <c r="R479" i="1"/>
  <c r="AI478" i="1"/>
  <c r="AD478" i="1"/>
  <c r="R478" i="1"/>
  <c r="AI477" i="1"/>
  <c r="AD477" i="1"/>
  <c r="R477" i="1"/>
  <c r="AI476" i="1"/>
  <c r="AD476" i="1"/>
  <c r="R476" i="1"/>
  <c r="AI475" i="1"/>
  <c r="AD475" i="1"/>
  <c r="R475" i="1"/>
  <c r="AI474" i="1"/>
  <c r="AD474" i="1"/>
  <c r="R474" i="1"/>
  <c r="AI473" i="1"/>
  <c r="AD473" i="1"/>
  <c r="R473" i="1"/>
  <c r="AI472" i="1"/>
  <c r="AD472" i="1"/>
  <c r="R472" i="1"/>
  <c r="AI471" i="1"/>
  <c r="AD471" i="1"/>
  <c r="R471" i="1"/>
  <c r="AI470" i="1"/>
  <c r="AD470" i="1"/>
  <c r="R470" i="1"/>
  <c r="AI469" i="1"/>
  <c r="R469" i="1"/>
  <c r="AI468" i="1"/>
  <c r="R468" i="1"/>
  <c r="AI467" i="1"/>
  <c r="AD467" i="1"/>
  <c r="R467" i="1"/>
  <c r="AI466" i="1"/>
  <c r="AD466" i="1"/>
  <c r="R466" i="1"/>
  <c r="AI465" i="1"/>
  <c r="AD465" i="1"/>
  <c r="R465" i="1"/>
  <c r="AI464" i="1"/>
  <c r="AD464" i="1"/>
  <c r="AI463" i="1"/>
  <c r="AD463" i="1"/>
  <c r="R463" i="1"/>
  <c r="AI462" i="1"/>
  <c r="AD462" i="1"/>
  <c r="R462" i="1"/>
  <c r="AI461" i="1"/>
  <c r="AD461" i="1"/>
  <c r="R461" i="1"/>
  <c r="AI460" i="1"/>
  <c r="AD460" i="1"/>
  <c r="R460" i="1"/>
  <c r="AI459" i="1"/>
  <c r="AD459" i="1"/>
  <c r="R459" i="1"/>
  <c r="AI458" i="1"/>
  <c r="AD458" i="1"/>
  <c r="R458" i="1"/>
  <c r="AI457" i="1"/>
  <c r="AD457" i="1"/>
  <c r="R457" i="1"/>
  <c r="AI456" i="1"/>
  <c r="AD456" i="1"/>
  <c r="R456" i="1"/>
  <c r="AI455" i="1"/>
  <c r="AD455" i="1"/>
  <c r="R455" i="1"/>
  <c r="AI454" i="1"/>
  <c r="AD454" i="1"/>
  <c r="R454" i="1"/>
  <c r="AI453" i="1"/>
  <c r="AD453" i="1"/>
  <c r="R453" i="1"/>
  <c r="AI452" i="1"/>
  <c r="AD452" i="1"/>
  <c r="R452" i="1"/>
  <c r="AI451" i="1"/>
  <c r="AD451" i="1"/>
  <c r="R451" i="1"/>
  <c r="AI450" i="1"/>
  <c r="AD450" i="1"/>
  <c r="R450" i="1"/>
  <c r="AI449" i="1"/>
  <c r="R449" i="1"/>
  <c r="AI448" i="1"/>
  <c r="AD448" i="1"/>
  <c r="R448" i="1"/>
  <c r="AI447" i="1"/>
  <c r="AD447" i="1"/>
  <c r="R447" i="1"/>
  <c r="AI446" i="1"/>
  <c r="AD446" i="1"/>
  <c r="R446" i="1"/>
  <c r="AI445" i="1"/>
  <c r="AD445" i="1"/>
  <c r="R445" i="1"/>
  <c r="AI444" i="1"/>
  <c r="AD444" i="1"/>
  <c r="R444" i="1"/>
  <c r="AI443" i="1"/>
  <c r="AD443" i="1"/>
  <c r="R443" i="1"/>
  <c r="AI442" i="1"/>
  <c r="AD442" i="1"/>
  <c r="AI441" i="1"/>
  <c r="AD441" i="1"/>
  <c r="R441" i="1"/>
  <c r="AI440" i="1"/>
  <c r="AD440" i="1"/>
  <c r="R440" i="1"/>
  <c r="AI439" i="1"/>
  <c r="AD439" i="1"/>
  <c r="R439" i="1"/>
  <c r="AI438" i="1"/>
  <c r="AD438" i="1"/>
  <c r="R438" i="1"/>
  <c r="AI437" i="1"/>
  <c r="AD437" i="1"/>
  <c r="R437" i="1"/>
  <c r="AI436" i="1"/>
  <c r="AD436" i="1"/>
  <c r="R436" i="1"/>
  <c r="AI435" i="1"/>
  <c r="AD435" i="1"/>
  <c r="R435" i="1"/>
  <c r="AI434" i="1"/>
  <c r="AD434" i="1"/>
  <c r="R434" i="1"/>
  <c r="AI433" i="1"/>
  <c r="AD433" i="1"/>
  <c r="R433" i="1"/>
  <c r="AI432" i="1"/>
  <c r="AD432" i="1"/>
  <c r="R432" i="1"/>
  <c r="AI431" i="1"/>
  <c r="AD431" i="1"/>
  <c r="R431" i="1"/>
  <c r="AI430" i="1"/>
  <c r="AD430" i="1"/>
  <c r="R430" i="1"/>
  <c r="AI429" i="1"/>
  <c r="AD429" i="1"/>
  <c r="R429" i="1"/>
  <c r="AI428" i="1"/>
  <c r="AD428" i="1"/>
  <c r="R428" i="1"/>
  <c r="AI427" i="1"/>
  <c r="AD427" i="1"/>
  <c r="R427" i="1"/>
  <c r="AI426" i="1"/>
  <c r="AD426" i="1"/>
  <c r="R426" i="1"/>
  <c r="AI425" i="1"/>
  <c r="AD425" i="1"/>
  <c r="R425" i="1"/>
  <c r="AI424" i="1"/>
  <c r="AD424" i="1"/>
  <c r="R424" i="1"/>
  <c r="AI423" i="1"/>
  <c r="AD423" i="1"/>
  <c r="R423" i="1"/>
  <c r="AD422" i="1"/>
  <c r="R422" i="1"/>
  <c r="AI421" i="1"/>
  <c r="AD421" i="1"/>
  <c r="R421" i="1"/>
  <c r="AI420" i="1"/>
  <c r="AD420" i="1"/>
  <c r="R420" i="1"/>
  <c r="AI419" i="1"/>
  <c r="AD419" i="1"/>
  <c r="R419" i="1"/>
  <c r="AI418" i="1"/>
  <c r="AD418" i="1"/>
  <c r="R418" i="1"/>
  <c r="AI417" i="1"/>
  <c r="AD417" i="1"/>
  <c r="AI416" i="1"/>
  <c r="AD416" i="1"/>
  <c r="R416" i="1"/>
  <c r="AI415" i="1"/>
  <c r="R415" i="1"/>
  <c r="AI414" i="1"/>
  <c r="AD414" i="1"/>
  <c r="R414" i="1"/>
  <c r="AI413" i="1"/>
  <c r="AD413" i="1"/>
  <c r="R413" i="1"/>
  <c r="AI412" i="1"/>
  <c r="AD412" i="1"/>
  <c r="R412" i="1"/>
  <c r="AI411" i="1"/>
  <c r="AD411" i="1"/>
  <c r="R411" i="1"/>
  <c r="AI410" i="1"/>
  <c r="AD410" i="1"/>
  <c r="R410" i="1"/>
  <c r="AI409" i="1"/>
  <c r="AD409" i="1"/>
  <c r="R409" i="1"/>
  <c r="AI408" i="1"/>
  <c r="AD408" i="1"/>
  <c r="R408" i="1"/>
  <c r="AI407" i="1"/>
  <c r="AD407" i="1"/>
  <c r="R407" i="1"/>
  <c r="AI406" i="1"/>
  <c r="AD406" i="1"/>
  <c r="R406" i="1"/>
  <c r="AI405" i="1"/>
  <c r="AD405" i="1"/>
  <c r="R405" i="1"/>
  <c r="AI404" i="1"/>
  <c r="AD404" i="1"/>
  <c r="R404" i="1"/>
  <c r="Q404" i="1"/>
  <c r="P404" i="1"/>
  <c r="AI403" i="1"/>
  <c r="AD403" i="1"/>
  <c r="R403" i="1"/>
  <c r="AI402" i="1"/>
  <c r="AD402" i="1"/>
  <c r="R402" i="1"/>
  <c r="AI401" i="1"/>
  <c r="AG401" i="1"/>
  <c r="AD401" i="1"/>
  <c r="R401" i="1"/>
  <c r="AI400" i="1"/>
  <c r="AD400" i="1"/>
  <c r="R400" i="1"/>
  <c r="AI399" i="1"/>
  <c r="AD399" i="1"/>
  <c r="R399" i="1"/>
  <c r="AI398" i="1"/>
  <c r="AD398" i="1"/>
  <c r="R398" i="1"/>
  <c r="AI397" i="1"/>
  <c r="AD397" i="1"/>
  <c r="R397" i="1"/>
  <c r="AI396" i="1"/>
  <c r="AD396" i="1"/>
  <c r="R396" i="1"/>
  <c r="AI395" i="1"/>
  <c r="AD395" i="1"/>
  <c r="R395" i="1"/>
  <c r="AI394" i="1"/>
  <c r="AD394" i="1"/>
  <c r="R394" i="1"/>
  <c r="AI393" i="1"/>
  <c r="AD393" i="1"/>
  <c r="R393" i="1"/>
  <c r="AI392" i="1"/>
  <c r="R392" i="1"/>
  <c r="AI391" i="1"/>
  <c r="AD391" i="1"/>
  <c r="R391" i="1"/>
  <c r="AI390" i="1"/>
  <c r="AD390" i="1"/>
  <c r="R390" i="1"/>
  <c r="AI389" i="1"/>
  <c r="AD389" i="1"/>
  <c r="R389" i="1"/>
  <c r="AI388" i="1"/>
  <c r="R388" i="1"/>
  <c r="AI387" i="1"/>
  <c r="AD387" i="1"/>
  <c r="R387" i="1"/>
  <c r="AI386" i="1"/>
  <c r="AD386" i="1"/>
  <c r="R386" i="1"/>
  <c r="AI385" i="1"/>
  <c r="AD385" i="1"/>
  <c r="R385" i="1"/>
  <c r="AI384" i="1"/>
  <c r="AD384" i="1"/>
  <c r="R384" i="1"/>
  <c r="AI383" i="1"/>
  <c r="AD383" i="1"/>
  <c r="R383" i="1"/>
  <c r="Q383" i="1"/>
  <c r="P383" i="1"/>
  <c r="AI382" i="1"/>
  <c r="AD382" i="1"/>
  <c r="R382" i="1"/>
  <c r="AI381" i="1"/>
  <c r="AD381" i="1"/>
  <c r="R381" i="1"/>
  <c r="AI380" i="1"/>
  <c r="AD380" i="1"/>
  <c r="R380" i="1"/>
  <c r="AI379" i="1"/>
  <c r="AD379" i="1"/>
  <c r="R379" i="1"/>
  <c r="AI378" i="1"/>
  <c r="AD378" i="1"/>
  <c r="R378" i="1"/>
  <c r="AI377" i="1"/>
  <c r="R377" i="1"/>
  <c r="AI376" i="1"/>
  <c r="AD376" i="1"/>
  <c r="R376" i="1"/>
  <c r="AI375" i="1"/>
  <c r="AD375" i="1"/>
  <c r="R375" i="1"/>
  <c r="AI374" i="1"/>
  <c r="AD374" i="1"/>
  <c r="R374" i="1"/>
  <c r="AI373" i="1"/>
  <c r="AD373" i="1"/>
  <c r="R373" i="1"/>
  <c r="AI372" i="1"/>
  <c r="AD372" i="1"/>
  <c r="R372" i="1"/>
  <c r="AI371" i="1"/>
  <c r="AD371" i="1"/>
  <c r="R371" i="1"/>
  <c r="AI370" i="1"/>
  <c r="AD370" i="1"/>
  <c r="R370" i="1"/>
  <c r="AI369" i="1"/>
  <c r="AD369" i="1"/>
  <c r="R369" i="1"/>
  <c r="AI368" i="1"/>
  <c r="AD368" i="1"/>
  <c r="R368" i="1"/>
  <c r="AI367" i="1"/>
  <c r="AD367" i="1"/>
  <c r="R367" i="1"/>
  <c r="AI366" i="1"/>
  <c r="AD366" i="1"/>
  <c r="R366" i="1"/>
  <c r="AI365" i="1"/>
  <c r="AD365" i="1"/>
  <c r="R365" i="1"/>
  <c r="AI364" i="1"/>
  <c r="AD364" i="1"/>
  <c r="R364" i="1"/>
  <c r="AI363" i="1"/>
  <c r="AD363" i="1"/>
  <c r="R363" i="1"/>
  <c r="AI362" i="1"/>
  <c r="AD362" i="1"/>
  <c r="R362" i="1"/>
  <c r="AI361" i="1"/>
  <c r="AD361" i="1"/>
  <c r="R361" i="1"/>
  <c r="AI360" i="1"/>
  <c r="AD360" i="1"/>
  <c r="R360" i="1"/>
  <c r="AI359" i="1"/>
  <c r="AD359" i="1"/>
  <c r="R359" i="1"/>
  <c r="AI358" i="1"/>
  <c r="AD358" i="1"/>
  <c r="R358" i="1"/>
  <c r="AI357" i="1"/>
  <c r="AD357" i="1"/>
  <c r="R357" i="1"/>
  <c r="AI356" i="1"/>
  <c r="AD356" i="1"/>
  <c r="R356" i="1"/>
  <c r="AI355" i="1"/>
  <c r="AD355" i="1"/>
  <c r="R355" i="1"/>
  <c r="AI354" i="1"/>
  <c r="AD354" i="1"/>
  <c r="R354" i="1"/>
  <c r="AI353" i="1"/>
  <c r="AD353" i="1"/>
  <c r="R353" i="1"/>
  <c r="AI352" i="1"/>
  <c r="AD352" i="1"/>
  <c r="R352" i="1"/>
  <c r="AI351" i="1"/>
  <c r="AD351" i="1"/>
  <c r="R351" i="1"/>
  <c r="AI350" i="1"/>
  <c r="AD350" i="1"/>
  <c r="R350" i="1"/>
  <c r="AI349" i="1"/>
  <c r="AD349" i="1"/>
  <c r="R349" i="1"/>
  <c r="AI348" i="1"/>
  <c r="AD348" i="1"/>
  <c r="R348" i="1"/>
  <c r="AI347" i="1"/>
  <c r="AD347" i="1"/>
  <c r="R347" i="1"/>
  <c r="AI346" i="1"/>
  <c r="AD346" i="1"/>
  <c r="R346" i="1"/>
  <c r="AI345" i="1"/>
  <c r="AD345" i="1"/>
  <c r="R345" i="1"/>
  <c r="AI344" i="1"/>
  <c r="AD344" i="1"/>
  <c r="R344" i="1"/>
  <c r="AI343" i="1"/>
  <c r="AD343" i="1"/>
  <c r="R343" i="1"/>
  <c r="AI342" i="1"/>
  <c r="AD342" i="1"/>
  <c r="R342" i="1"/>
  <c r="AI341" i="1"/>
  <c r="AD341" i="1"/>
  <c r="R341" i="1"/>
  <c r="AI340" i="1"/>
  <c r="AD340" i="1"/>
  <c r="R340" i="1"/>
  <c r="AI339" i="1"/>
  <c r="AD339" i="1"/>
  <c r="R339" i="1"/>
  <c r="AI338" i="1"/>
  <c r="AD338" i="1"/>
  <c r="R338" i="1"/>
  <c r="AI337" i="1"/>
  <c r="AD337" i="1"/>
  <c r="R337" i="1"/>
  <c r="AI336" i="1"/>
  <c r="AD336" i="1"/>
  <c r="R336" i="1"/>
  <c r="AI335" i="1"/>
  <c r="AD335" i="1"/>
  <c r="R335" i="1"/>
  <c r="AI334" i="1"/>
  <c r="AD334" i="1"/>
  <c r="R334" i="1"/>
  <c r="AI333" i="1"/>
  <c r="AD333" i="1"/>
  <c r="R333" i="1"/>
  <c r="AI332" i="1"/>
  <c r="AD332" i="1"/>
  <c r="R332" i="1"/>
  <c r="AI331" i="1"/>
  <c r="AD331" i="1"/>
  <c r="R331" i="1"/>
  <c r="AI330" i="1"/>
  <c r="AD330" i="1"/>
  <c r="R330" i="1"/>
  <c r="AI329" i="1"/>
  <c r="AD329" i="1"/>
  <c r="R329" i="1"/>
  <c r="AI328" i="1"/>
  <c r="AD328" i="1"/>
  <c r="R328" i="1"/>
  <c r="AI327" i="1"/>
  <c r="AD327" i="1"/>
  <c r="R327" i="1"/>
  <c r="AI326" i="1"/>
  <c r="R326" i="1"/>
  <c r="AI325" i="1"/>
  <c r="AD325" i="1"/>
  <c r="R325" i="1"/>
  <c r="AI324" i="1"/>
  <c r="AD324" i="1"/>
  <c r="R324" i="1"/>
  <c r="Q324" i="1"/>
  <c r="P324" i="1"/>
  <c r="AI323" i="1"/>
  <c r="AD323" i="1"/>
  <c r="R323" i="1"/>
  <c r="AI322" i="1"/>
  <c r="AD322" i="1"/>
  <c r="R322" i="1"/>
  <c r="AI321" i="1"/>
  <c r="AD321" i="1"/>
  <c r="R321" i="1"/>
  <c r="AI320" i="1"/>
  <c r="AD320" i="1"/>
  <c r="R320" i="1"/>
  <c r="AI319" i="1"/>
  <c r="AD319" i="1"/>
  <c r="R319" i="1"/>
  <c r="AI318" i="1"/>
  <c r="AD318" i="1"/>
  <c r="R318" i="1"/>
  <c r="AI317" i="1"/>
  <c r="AD317" i="1"/>
  <c r="R317" i="1"/>
  <c r="AI316" i="1"/>
  <c r="AD316" i="1"/>
  <c r="R316" i="1"/>
  <c r="AI315" i="1"/>
  <c r="AD315" i="1"/>
  <c r="R315" i="1"/>
  <c r="AI314" i="1"/>
  <c r="R314" i="1"/>
  <c r="AI313" i="1"/>
  <c r="AD313" i="1"/>
  <c r="R313" i="1"/>
  <c r="AI312" i="1"/>
  <c r="AD312" i="1"/>
  <c r="R312" i="1"/>
  <c r="AI311" i="1"/>
  <c r="AD311" i="1"/>
  <c r="R311" i="1"/>
  <c r="AI310" i="1"/>
  <c r="AD310" i="1"/>
  <c r="R310" i="1"/>
  <c r="AI309" i="1"/>
  <c r="AD309" i="1"/>
  <c r="R309" i="1"/>
  <c r="AI308" i="1"/>
  <c r="AD308" i="1"/>
  <c r="R308" i="1"/>
  <c r="AI307" i="1"/>
  <c r="AD307" i="1"/>
  <c r="R307" i="1"/>
  <c r="AI306" i="1"/>
  <c r="R306" i="1"/>
  <c r="Q306" i="1"/>
  <c r="P306" i="1"/>
  <c r="AI305" i="1"/>
  <c r="R305" i="1"/>
  <c r="AI304" i="1"/>
  <c r="R304" i="1"/>
  <c r="AI303" i="1"/>
  <c r="AD303" i="1"/>
  <c r="R303" i="1"/>
  <c r="AI302" i="1"/>
  <c r="AI301" i="1"/>
  <c r="AD301" i="1"/>
  <c r="R301" i="1"/>
  <c r="AI300" i="1"/>
  <c r="AD300" i="1"/>
  <c r="R300" i="1"/>
  <c r="AI299" i="1"/>
  <c r="AD299" i="1"/>
  <c r="R299" i="1"/>
  <c r="AI298" i="1"/>
  <c r="AD298" i="1"/>
  <c r="R298" i="1"/>
  <c r="AI297" i="1"/>
  <c r="AD297" i="1"/>
  <c r="R297" i="1"/>
  <c r="AI296" i="1"/>
  <c r="AD296" i="1"/>
  <c r="R296" i="1"/>
  <c r="AI295" i="1"/>
  <c r="AD295" i="1"/>
  <c r="R295" i="1"/>
  <c r="AI294" i="1"/>
  <c r="R294" i="1"/>
  <c r="AI293" i="1"/>
  <c r="AD293" i="1"/>
  <c r="Q293" i="1"/>
  <c r="P293" i="1"/>
  <c r="AI292" i="1"/>
  <c r="AD292" i="1"/>
  <c r="R292" i="1"/>
  <c r="AI291" i="1"/>
  <c r="AD291" i="1"/>
  <c r="R291" i="1"/>
  <c r="AI290" i="1"/>
  <c r="R290" i="1"/>
  <c r="Q290" i="1"/>
  <c r="P290" i="1"/>
  <c r="AI289" i="1"/>
  <c r="R289" i="1"/>
  <c r="Q289" i="1"/>
  <c r="P289" i="1"/>
  <c r="AI288" i="1"/>
  <c r="R288" i="1"/>
  <c r="P288" i="1"/>
  <c r="Q288" i="1" s="1"/>
  <c r="AI287" i="1"/>
  <c r="R287" i="1"/>
  <c r="Q287" i="1"/>
  <c r="P287" i="1"/>
  <c r="AI286" i="1"/>
  <c r="AD286" i="1"/>
  <c r="R286" i="1"/>
  <c r="AI285" i="1"/>
  <c r="AD285" i="1"/>
  <c r="R285" i="1"/>
  <c r="AI284" i="1"/>
  <c r="AD284" i="1"/>
  <c r="R284" i="1"/>
  <c r="AI283" i="1"/>
  <c r="AD283" i="1"/>
  <c r="R283" i="1"/>
  <c r="AI282" i="1"/>
  <c r="R282" i="1"/>
  <c r="AI281" i="1"/>
  <c r="AD281" i="1"/>
  <c r="R281" i="1"/>
  <c r="AI280" i="1"/>
  <c r="AD280" i="1"/>
  <c r="R280" i="1"/>
  <c r="AI279" i="1"/>
  <c r="AD279" i="1"/>
  <c r="R279" i="1"/>
  <c r="AI278" i="1"/>
  <c r="AD278" i="1"/>
  <c r="R278" i="1"/>
  <c r="AI277" i="1"/>
  <c r="R277" i="1"/>
  <c r="Q277" i="1"/>
  <c r="P277" i="1"/>
  <c r="AI276" i="1"/>
  <c r="AD276" i="1"/>
  <c r="R276" i="1"/>
  <c r="AI275" i="1"/>
  <c r="R275" i="1"/>
  <c r="P275" i="1"/>
  <c r="Q275" i="1" s="1"/>
  <c r="AI274" i="1"/>
  <c r="AD274" i="1"/>
  <c r="R274" i="1"/>
  <c r="AI273" i="1"/>
  <c r="R273" i="1"/>
  <c r="P273" i="1"/>
  <c r="Q273" i="1" s="1"/>
  <c r="AI272" i="1"/>
  <c r="AD272" i="1"/>
  <c r="R272" i="1"/>
  <c r="AI271" i="1"/>
  <c r="AD271" i="1"/>
  <c r="R271" i="1"/>
  <c r="AI270" i="1"/>
  <c r="AD270" i="1"/>
  <c r="R270" i="1"/>
  <c r="AI269" i="1"/>
  <c r="AD269" i="1"/>
  <c r="R269" i="1"/>
  <c r="AI268" i="1"/>
  <c r="AD268" i="1"/>
  <c r="R268" i="1"/>
  <c r="AI267" i="1"/>
  <c r="AD267" i="1"/>
  <c r="R267" i="1"/>
  <c r="AI266" i="1"/>
  <c r="AD266" i="1"/>
  <c r="R266" i="1"/>
  <c r="AI265" i="1"/>
  <c r="AD265" i="1"/>
  <c r="R265" i="1"/>
  <c r="AI264" i="1"/>
  <c r="AD264" i="1"/>
  <c r="R264" i="1"/>
  <c r="AI263" i="1"/>
  <c r="AD263" i="1"/>
  <c r="R263" i="1"/>
  <c r="AI262" i="1"/>
  <c r="AD262" i="1"/>
  <c r="R262" i="1"/>
  <c r="AI261" i="1"/>
  <c r="AD261" i="1"/>
  <c r="R261" i="1"/>
  <c r="AI260" i="1"/>
  <c r="AD260" i="1"/>
  <c r="R260" i="1"/>
  <c r="AI259" i="1"/>
  <c r="AD259" i="1"/>
  <c r="R259" i="1"/>
  <c r="AI258" i="1"/>
  <c r="AD258" i="1"/>
  <c r="R258" i="1"/>
  <c r="AI257" i="1"/>
  <c r="AD257" i="1"/>
  <c r="R257" i="1"/>
  <c r="AI256" i="1"/>
  <c r="AD256" i="1"/>
  <c r="R256" i="1"/>
  <c r="AI255" i="1"/>
  <c r="AD255" i="1"/>
  <c r="R255" i="1"/>
  <c r="AI254" i="1"/>
  <c r="AD254" i="1"/>
  <c r="R254" i="1"/>
  <c r="AI253" i="1"/>
  <c r="AD253" i="1"/>
  <c r="R253" i="1"/>
  <c r="AI252" i="1"/>
  <c r="AD252" i="1"/>
  <c r="R252" i="1"/>
  <c r="AI251" i="1"/>
  <c r="AD251" i="1"/>
  <c r="R251" i="1"/>
  <c r="AI250" i="1"/>
  <c r="AD250" i="1"/>
  <c r="R250" i="1"/>
  <c r="AI249" i="1"/>
  <c r="AD249" i="1"/>
  <c r="R249" i="1"/>
  <c r="AI248" i="1"/>
  <c r="AD248" i="1"/>
  <c r="R248" i="1"/>
  <c r="AI247" i="1"/>
  <c r="AD247" i="1"/>
  <c r="R247" i="1"/>
  <c r="AI246" i="1"/>
  <c r="AD246" i="1"/>
  <c r="R246" i="1"/>
  <c r="AI245" i="1"/>
  <c r="AD245" i="1"/>
  <c r="R245" i="1"/>
  <c r="AI244" i="1"/>
  <c r="AD244" i="1"/>
  <c r="R244" i="1"/>
  <c r="AI243" i="1"/>
  <c r="AD243" i="1"/>
  <c r="R243" i="1"/>
  <c r="AI242" i="1"/>
  <c r="AD242" i="1"/>
  <c r="R242" i="1"/>
  <c r="AI241" i="1"/>
  <c r="AD241" i="1"/>
  <c r="R241" i="1"/>
  <c r="AI240" i="1"/>
  <c r="AD240" i="1"/>
  <c r="R240" i="1"/>
  <c r="AI239" i="1"/>
  <c r="AD239" i="1"/>
  <c r="R239" i="1"/>
  <c r="AI238" i="1"/>
  <c r="AD238" i="1"/>
  <c r="R238" i="1"/>
  <c r="AI237" i="1"/>
  <c r="AD237" i="1"/>
  <c r="R237" i="1"/>
  <c r="AI236" i="1"/>
  <c r="AD236" i="1"/>
  <c r="R236" i="1"/>
  <c r="AI235" i="1"/>
  <c r="AD235" i="1"/>
  <c r="R235" i="1"/>
  <c r="AI234" i="1"/>
  <c r="AD234" i="1"/>
  <c r="R234" i="1"/>
  <c r="AI233" i="1"/>
  <c r="AD233" i="1"/>
  <c r="R233" i="1"/>
  <c r="AI232" i="1"/>
  <c r="AD232" i="1"/>
  <c r="R232" i="1"/>
  <c r="AI231" i="1"/>
  <c r="AD231" i="1"/>
  <c r="R231" i="1"/>
  <c r="AI230" i="1"/>
  <c r="AD230" i="1"/>
  <c r="R230" i="1"/>
  <c r="AI229" i="1"/>
  <c r="AD229" i="1"/>
  <c r="R229" i="1"/>
  <c r="AI228" i="1"/>
  <c r="AD228" i="1"/>
  <c r="R228" i="1"/>
  <c r="AI227" i="1"/>
  <c r="AD227" i="1"/>
  <c r="R227" i="1"/>
  <c r="AI226" i="1"/>
  <c r="AD226" i="1"/>
  <c r="R226" i="1"/>
  <c r="AI225" i="1"/>
  <c r="AD225" i="1"/>
  <c r="R225" i="1"/>
  <c r="AI224" i="1"/>
  <c r="AD224" i="1"/>
  <c r="R224" i="1"/>
  <c r="AI223" i="1"/>
  <c r="AD223" i="1"/>
  <c r="R223" i="1"/>
  <c r="AI222" i="1"/>
  <c r="AD222" i="1"/>
  <c r="R222" i="1"/>
  <c r="AI221" i="1"/>
  <c r="AD221" i="1"/>
  <c r="R221" i="1"/>
  <c r="AI220" i="1"/>
  <c r="AD220" i="1"/>
  <c r="R220" i="1"/>
  <c r="AI219" i="1"/>
  <c r="AD219" i="1"/>
  <c r="R219" i="1"/>
  <c r="AI218" i="1"/>
  <c r="AD218" i="1"/>
  <c r="R218" i="1"/>
  <c r="AI217" i="1"/>
  <c r="AD217" i="1"/>
  <c r="R217" i="1"/>
  <c r="AI216" i="1"/>
  <c r="AD216" i="1"/>
  <c r="R216" i="1"/>
  <c r="AI215" i="1"/>
  <c r="AD215" i="1"/>
  <c r="R215" i="1"/>
  <c r="AI214" i="1"/>
  <c r="AD214" i="1"/>
  <c r="R214" i="1"/>
  <c r="AI213" i="1"/>
  <c r="AD213" i="1"/>
  <c r="R213" i="1"/>
  <c r="AI212" i="1"/>
  <c r="AD212" i="1"/>
  <c r="R212" i="1"/>
  <c r="AI211" i="1"/>
  <c r="AD211" i="1"/>
  <c r="R211" i="1"/>
  <c r="AI210" i="1"/>
  <c r="AD210" i="1"/>
  <c r="R210" i="1"/>
  <c r="AI209" i="1"/>
  <c r="AD209" i="1"/>
  <c r="R209" i="1"/>
  <c r="AI208" i="1"/>
  <c r="AD208" i="1"/>
  <c r="R208" i="1"/>
  <c r="AI207" i="1"/>
  <c r="AD207" i="1"/>
  <c r="R207" i="1"/>
  <c r="AI206" i="1"/>
  <c r="AD206" i="1"/>
  <c r="R206" i="1"/>
  <c r="AI205" i="1"/>
  <c r="AD205" i="1"/>
  <c r="R205" i="1"/>
  <c r="AI204" i="1"/>
  <c r="AD204" i="1"/>
  <c r="R204" i="1"/>
  <c r="AI203" i="1"/>
  <c r="AD203" i="1"/>
  <c r="R203" i="1"/>
  <c r="AI202" i="1"/>
  <c r="AD202" i="1"/>
  <c r="R202" i="1"/>
  <c r="AI201" i="1"/>
  <c r="AD201" i="1"/>
  <c r="R201" i="1"/>
  <c r="AI200" i="1"/>
  <c r="AD200" i="1"/>
  <c r="R200" i="1"/>
  <c r="AI199" i="1"/>
  <c r="AD199" i="1"/>
  <c r="R199" i="1"/>
  <c r="AI198" i="1"/>
  <c r="AD198" i="1"/>
  <c r="R198" i="1"/>
  <c r="AI197" i="1"/>
  <c r="AD197" i="1"/>
  <c r="R197" i="1"/>
  <c r="AI196" i="1"/>
  <c r="AD196" i="1"/>
  <c r="R196" i="1"/>
  <c r="AI195" i="1"/>
  <c r="AD195" i="1"/>
  <c r="R195" i="1"/>
  <c r="AI194" i="1"/>
  <c r="AD194" i="1"/>
  <c r="R194" i="1"/>
  <c r="AI193" i="1"/>
  <c r="AD193" i="1"/>
  <c r="R193" i="1"/>
  <c r="AI192" i="1"/>
  <c r="AD192" i="1"/>
  <c r="R192" i="1"/>
  <c r="AI191" i="1"/>
  <c r="AD191" i="1"/>
  <c r="R191" i="1"/>
  <c r="AI190" i="1"/>
  <c r="AD190" i="1"/>
  <c r="R190" i="1"/>
  <c r="AI189" i="1"/>
  <c r="AD189" i="1"/>
  <c r="R189" i="1"/>
  <c r="AI188" i="1"/>
  <c r="AD188" i="1"/>
  <c r="R188" i="1"/>
  <c r="AI187" i="1"/>
  <c r="AD187" i="1"/>
  <c r="R187" i="1"/>
  <c r="AI186" i="1"/>
  <c r="AD186" i="1"/>
  <c r="R186" i="1"/>
  <c r="AI185" i="1"/>
  <c r="AD185" i="1"/>
  <c r="R185" i="1"/>
  <c r="AI184" i="1"/>
  <c r="AD184" i="1"/>
  <c r="R184" i="1"/>
  <c r="AI183" i="1"/>
  <c r="AD183" i="1"/>
  <c r="R183" i="1"/>
  <c r="AI182" i="1"/>
  <c r="AD182" i="1"/>
  <c r="R182" i="1"/>
  <c r="AI181" i="1"/>
  <c r="AD181" i="1"/>
  <c r="R181" i="1"/>
  <c r="AI180" i="1"/>
  <c r="AD180" i="1"/>
  <c r="R180" i="1"/>
  <c r="AI179" i="1"/>
  <c r="AD179" i="1"/>
  <c r="R179" i="1"/>
  <c r="AI178" i="1"/>
  <c r="AD178" i="1"/>
  <c r="R178" i="1"/>
  <c r="AI177" i="1"/>
  <c r="AD177" i="1"/>
  <c r="R177" i="1"/>
  <c r="AI176" i="1"/>
  <c r="AD176" i="1"/>
  <c r="R176" i="1"/>
  <c r="AI175" i="1"/>
  <c r="AD175" i="1"/>
  <c r="R175" i="1"/>
  <c r="AI174" i="1"/>
  <c r="AD174" i="1"/>
  <c r="R174" i="1"/>
  <c r="AI173" i="1"/>
  <c r="AD173" i="1"/>
  <c r="R173" i="1"/>
  <c r="AI172" i="1"/>
  <c r="AD172" i="1"/>
  <c r="R172" i="1"/>
  <c r="AI171" i="1"/>
  <c r="AD171" i="1"/>
  <c r="R171" i="1"/>
  <c r="AI170" i="1"/>
  <c r="AD170" i="1"/>
  <c r="R170" i="1"/>
  <c r="AI169" i="1"/>
  <c r="AD169" i="1"/>
  <c r="R169" i="1"/>
  <c r="AI168" i="1"/>
  <c r="AD168" i="1"/>
  <c r="R168" i="1"/>
  <c r="AI167" i="1"/>
  <c r="AD167" i="1"/>
  <c r="R167" i="1"/>
  <c r="AI166" i="1"/>
  <c r="AD166" i="1"/>
  <c r="R166" i="1"/>
  <c r="AI165" i="1"/>
  <c r="AD165" i="1"/>
  <c r="R165" i="1"/>
  <c r="AI164" i="1"/>
  <c r="AD164" i="1"/>
  <c r="R164" i="1"/>
  <c r="AI163" i="1"/>
  <c r="AD163" i="1"/>
  <c r="R163" i="1"/>
  <c r="AI162" i="1"/>
  <c r="AD162" i="1"/>
  <c r="R162" i="1"/>
  <c r="AI161" i="1"/>
  <c r="AD161" i="1"/>
  <c r="R161" i="1"/>
  <c r="AI160" i="1"/>
  <c r="AD160" i="1"/>
  <c r="R160" i="1"/>
  <c r="AI159" i="1"/>
  <c r="AD159" i="1"/>
  <c r="R159" i="1"/>
  <c r="AI158" i="1"/>
  <c r="AD158" i="1"/>
  <c r="R158" i="1"/>
  <c r="AI157" i="1"/>
  <c r="AD157" i="1"/>
  <c r="R157" i="1"/>
  <c r="AI156" i="1"/>
  <c r="AD156" i="1"/>
  <c r="R156" i="1"/>
  <c r="AI155" i="1"/>
  <c r="AD155" i="1"/>
  <c r="R155" i="1"/>
  <c r="AI154" i="1"/>
  <c r="AD154" i="1"/>
  <c r="R154" i="1"/>
  <c r="AI153" i="1"/>
  <c r="AD153" i="1"/>
  <c r="R153" i="1"/>
  <c r="AI152" i="1"/>
  <c r="AD152" i="1"/>
  <c r="R152" i="1"/>
  <c r="AI151" i="1"/>
  <c r="AD151" i="1"/>
  <c r="R151" i="1"/>
  <c r="AI150" i="1"/>
  <c r="AD150" i="1"/>
  <c r="R150" i="1"/>
  <c r="AI149" i="1"/>
  <c r="AD149" i="1"/>
  <c r="R149" i="1"/>
  <c r="AI148" i="1"/>
  <c r="AD148" i="1"/>
  <c r="R148" i="1"/>
  <c r="AI147" i="1"/>
  <c r="AD147" i="1"/>
  <c r="R147" i="1"/>
  <c r="AI146" i="1"/>
  <c r="AD146" i="1"/>
  <c r="R146" i="1"/>
  <c r="AI145" i="1"/>
  <c r="AD145" i="1"/>
  <c r="R145" i="1"/>
  <c r="AI144" i="1"/>
  <c r="AD144" i="1"/>
  <c r="R144" i="1"/>
  <c r="AI143" i="1"/>
  <c r="AD143" i="1"/>
  <c r="R143" i="1"/>
  <c r="AI142" i="1"/>
  <c r="AD142" i="1"/>
  <c r="R142" i="1"/>
  <c r="AI141" i="1"/>
  <c r="AD141" i="1"/>
  <c r="R141" i="1"/>
  <c r="AI140" i="1"/>
  <c r="AD140" i="1"/>
  <c r="R140" i="1"/>
  <c r="AI139" i="1"/>
  <c r="AD139" i="1"/>
  <c r="R139" i="1"/>
  <c r="AI138" i="1"/>
  <c r="AD138" i="1"/>
  <c r="R138" i="1"/>
  <c r="AI137" i="1"/>
  <c r="AD137" i="1"/>
  <c r="R137" i="1"/>
  <c r="AI136" i="1"/>
  <c r="AD136" i="1"/>
  <c r="R136" i="1"/>
  <c r="AI135" i="1"/>
  <c r="AD135" i="1"/>
  <c r="R135" i="1"/>
  <c r="AI134" i="1"/>
  <c r="AD134" i="1"/>
  <c r="R134" i="1"/>
  <c r="AI133" i="1"/>
  <c r="AD133" i="1"/>
  <c r="R133" i="1"/>
  <c r="AI132" i="1"/>
  <c r="AD132" i="1"/>
  <c r="R132" i="1"/>
  <c r="AI131" i="1"/>
  <c r="AD131" i="1"/>
  <c r="R131" i="1"/>
  <c r="AI130" i="1"/>
  <c r="AD130" i="1"/>
  <c r="R130" i="1"/>
  <c r="AI129" i="1"/>
  <c r="AD129" i="1"/>
  <c r="R129" i="1"/>
  <c r="AI128" i="1"/>
  <c r="AD128" i="1"/>
  <c r="R128" i="1"/>
  <c r="AI127" i="1"/>
  <c r="AD127" i="1"/>
  <c r="R127" i="1"/>
  <c r="AI126" i="1"/>
  <c r="AD126" i="1"/>
  <c r="R126" i="1"/>
  <c r="AI125" i="1"/>
  <c r="AD125" i="1"/>
  <c r="R125" i="1"/>
  <c r="AI124" i="1"/>
  <c r="AD124" i="1"/>
  <c r="R124" i="1"/>
  <c r="AI123" i="1"/>
  <c r="AD123" i="1"/>
  <c r="R123" i="1"/>
  <c r="AI122" i="1"/>
  <c r="AD122" i="1"/>
  <c r="R122" i="1"/>
  <c r="AI121" i="1"/>
  <c r="AD121" i="1"/>
  <c r="R121" i="1"/>
  <c r="AI120" i="1"/>
  <c r="R120" i="1"/>
  <c r="AI119" i="1"/>
  <c r="R119" i="1"/>
  <c r="AI118" i="1"/>
  <c r="R118" i="1"/>
  <c r="AI117" i="1"/>
  <c r="R117" i="1"/>
  <c r="AI116" i="1"/>
  <c r="R116" i="1"/>
  <c r="AI115" i="1"/>
  <c r="AD115" i="1"/>
  <c r="R115" i="1"/>
  <c r="AI114" i="1"/>
  <c r="AD114" i="1"/>
  <c r="R114" i="1"/>
  <c r="AI113" i="1"/>
  <c r="AD113" i="1"/>
  <c r="R113" i="1"/>
  <c r="AI112" i="1"/>
  <c r="AD112" i="1"/>
  <c r="R112" i="1"/>
  <c r="AI111" i="1"/>
  <c r="AD111" i="1"/>
  <c r="R111" i="1"/>
  <c r="AI110" i="1"/>
  <c r="AD110" i="1"/>
  <c r="R110" i="1"/>
  <c r="AI109" i="1"/>
  <c r="AD109" i="1"/>
  <c r="R109" i="1"/>
  <c r="AI108" i="1"/>
  <c r="AD108" i="1"/>
  <c r="R108" i="1"/>
  <c r="AI107" i="1"/>
  <c r="AD107" i="1"/>
  <c r="R107" i="1"/>
  <c r="AI106" i="1"/>
  <c r="AD106" i="1"/>
  <c r="R106" i="1"/>
  <c r="AI105" i="1"/>
  <c r="AD105" i="1"/>
  <c r="R105" i="1"/>
  <c r="AI104" i="1"/>
  <c r="AD104" i="1"/>
  <c r="R104" i="1"/>
  <c r="AI103" i="1"/>
  <c r="AD103" i="1"/>
  <c r="R103" i="1"/>
  <c r="AI102" i="1"/>
  <c r="AD102" i="1"/>
  <c r="R102" i="1"/>
  <c r="AI101" i="1"/>
  <c r="AD101" i="1"/>
  <c r="R101" i="1"/>
  <c r="AI100" i="1"/>
  <c r="R100" i="1"/>
  <c r="P100" i="1"/>
  <c r="Q100" i="1" s="1"/>
  <c r="AI99" i="1"/>
  <c r="AD99" i="1"/>
  <c r="R99" i="1"/>
  <c r="AI98" i="1"/>
  <c r="AD98" i="1"/>
  <c r="AI97" i="1"/>
  <c r="AD97" i="1"/>
  <c r="R97" i="1"/>
  <c r="AI96" i="1"/>
  <c r="R96" i="1"/>
  <c r="AI95" i="1"/>
  <c r="AD95" i="1"/>
  <c r="R95" i="1"/>
  <c r="AI94" i="1"/>
  <c r="AD94" i="1"/>
  <c r="AI93" i="1"/>
  <c r="AD93" i="1"/>
  <c r="R93" i="1"/>
  <c r="AI92" i="1"/>
  <c r="R92" i="1"/>
  <c r="AI91" i="1"/>
  <c r="R91" i="1"/>
  <c r="Q91" i="1"/>
  <c r="P91" i="1"/>
  <c r="AI90" i="1"/>
  <c r="AD90" i="1"/>
  <c r="R90" i="1"/>
  <c r="AI89" i="1"/>
  <c r="AD89" i="1"/>
  <c r="R89" i="1"/>
  <c r="AI88" i="1"/>
  <c r="AD88" i="1"/>
  <c r="R88" i="1"/>
  <c r="AI87" i="1"/>
  <c r="AD87" i="1"/>
  <c r="R87" i="1"/>
  <c r="AI86" i="1"/>
  <c r="R86" i="1"/>
  <c r="AI85" i="1"/>
  <c r="R85" i="1"/>
  <c r="AI84" i="1"/>
  <c r="AD84" i="1"/>
  <c r="R84" i="1"/>
  <c r="AI83" i="1"/>
  <c r="AD83" i="1"/>
  <c r="R83" i="1"/>
  <c r="AI82" i="1"/>
  <c r="AD82" i="1"/>
  <c r="R82" i="1"/>
  <c r="AI81" i="1"/>
  <c r="AD81" i="1"/>
  <c r="R81" i="1"/>
  <c r="AI80" i="1"/>
  <c r="AD80" i="1"/>
  <c r="R80" i="1"/>
  <c r="AI79" i="1"/>
  <c r="AD79" i="1"/>
  <c r="R79" i="1"/>
  <c r="AI78" i="1"/>
  <c r="AD78" i="1"/>
  <c r="R78" i="1"/>
  <c r="AI77" i="1"/>
  <c r="AD77" i="1"/>
  <c r="R77" i="1"/>
  <c r="AI76" i="1"/>
  <c r="AD76" i="1"/>
  <c r="R76" i="1"/>
  <c r="AI75" i="1"/>
  <c r="AD75" i="1"/>
  <c r="R75" i="1"/>
  <c r="AI74" i="1"/>
  <c r="AD74" i="1"/>
  <c r="AI73" i="1"/>
  <c r="AD73" i="1"/>
  <c r="AI72" i="1"/>
  <c r="AD72" i="1"/>
  <c r="R72" i="1"/>
  <c r="AI71" i="1"/>
  <c r="AD71" i="1"/>
  <c r="R71" i="1"/>
  <c r="AI70" i="1"/>
  <c r="R70" i="1"/>
  <c r="P70" i="1"/>
  <c r="Q70" i="1" s="1"/>
  <c r="AI69" i="1"/>
  <c r="AD69" i="1"/>
  <c r="R69" i="1"/>
  <c r="Q69" i="1"/>
  <c r="P69" i="1"/>
  <c r="AI68" i="1"/>
  <c r="AD68" i="1"/>
  <c r="R68" i="1"/>
  <c r="AI67" i="1"/>
  <c r="AD67" i="1"/>
  <c r="R67" i="1"/>
  <c r="AI66" i="1"/>
  <c r="AD66" i="1"/>
  <c r="R66" i="1"/>
  <c r="AI65" i="1"/>
  <c r="AD65" i="1"/>
  <c r="R65" i="1"/>
  <c r="AI64" i="1"/>
  <c r="AD64" i="1"/>
  <c r="R64" i="1"/>
  <c r="AI63" i="1"/>
  <c r="AD63" i="1"/>
  <c r="AI62" i="1"/>
  <c r="AD62" i="1"/>
  <c r="R62" i="1"/>
  <c r="AI61" i="1"/>
  <c r="AD61" i="1"/>
  <c r="R61" i="1"/>
  <c r="AI60" i="1"/>
  <c r="AD60" i="1"/>
  <c r="R60" i="1"/>
  <c r="AI59" i="1"/>
  <c r="AD59" i="1"/>
  <c r="R59" i="1"/>
  <c r="AI58" i="1"/>
  <c r="AD58" i="1"/>
  <c r="R58" i="1"/>
  <c r="AI57" i="1"/>
  <c r="AD57" i="1"/>
  <c r="R57" i="1"/>
  <c r="AI56" i="1"/>
  <c r="R56" i="1"/>
  <c r="AI55" i="1"/>
  <c r="AD55" i="1"/>
  <c r="R55" i="1"/>
  <c r="AI54" i="1"/>
  <c r="AD54" i="1"/>
  <c r="R54" i="1"/>
  <c r="AI53" i="1"/>
  <c r="AD53" i="1"/>
  <c r="R53" i="1"/>
  <c r="AI52" i="1"/>
  <c r="AD52" i="1"/>
  <c r="AI51" i="1"/>
  <c r="AD51" i="1"/>
  <c r="R51" i="1"/>
  <c r="AI50" i="1"/>
  <c r="AD50" i="1"/>
  <c r="R50" i="1"/>
  <c r="AI49" i="1"/>
  <c r="AD49" i="1"/>
  <c r="R49" i="1"/>
  <c r="AI48" i="1"/>
  <c r="AD48" i="1"/>
  <c r="R48" i="1"/>
  <c r="AI47" i="1"/>
  <c r="AD47" i="1"/>
  <c r="R47" i="1"/>
  <c r="AI46" i="1"/>
  <c r="AD46" i="1"/>
  <c r="R46" i="1"/>
  <c r="P46" i="1"/>
  <c r="Q46" i="1" s="1"/>
  <c r="AI45" i="1"/>
  <c r="AD45" i="1"/>
  <c r="R45" i="1"/>
  <c r="Q45" i="1"/>
  <c r="P45" i="1"/>
  <c r="AI44" i="1"/>
  <c r="AD44" i="1"/>
  <c r="R44" i="1"/>
  <c r="Q44" i="1"/>
  <c r="P44" i="1"/>
  <c r="AI43" i="1"/>
  <c r="R43" i="1"/>
  <c r="P43" i="1"/>
  <c r="Q43" i="1" s="1"/>
  <c r="AI42" i="1"/>
  <c r="R42" i="1"/>
  <c r="P42" i="1"/>
  <c r="Q42" i="1" s="1"/>
  <c r="AI41" i="1"/>
  <c r="R41" i="1"/>
  <c r="Q41" i="1"/>
  <c r="P41" i="1"/>
  <c r="AI40" i="1"/>
  <c r="R40" i="1"/>
  <c r="P40" i="1"/>
  <c r="Q40" i="1" s="1"/>
  <c r="AI39" i="1"/>
  <c r="R39" i="1"/>
  <c r="P39" i="1"/>
  <c r="Q39" i="1" s="1"/>
  <c r="AI38" i="1"/>
  <c r="AD38" i="1"/>
  <c r="R38" i="1"/>
  <c r="AI37" i="1"/>
  <c r="AD37" i="1"/>
  <c r="R37" i="1"/>
  <c r="AI36" i="1"/>
  <c r="AD36" i="1"/>
  <c r="R36" i="1"/>
  <c r="AI35" i="1"/>
  <c r="R35" i="1"/>
  <c r="AI34" i="1"/>
  <c r="AD34" i="1"/>
  <c r="R34" i="1"/>
  <c r="AI33" i="1"/>
  <c r="AD33" i="1"/>
  <c r="R33" i="1"/>
  <c r="AI32" i="1"/>
  <c r="AD32" i="1"/>
  <c r="R32" i="1"/>
  <c r="AI31" i="1"/>
  <c r="AD31" i="1"/>
  <c r="R31" i="1"/>
  <c r="AI30" i="1"/>
  <c r="AD30" i="1"/>
  <c r="R30" i="1"/>
  <c r="AI29" i="1"/>
  <c r="AD29" i="1"/>
  <c r="R29" i="1"/>
  <c r="AI28" i="1"/>
  <c r="AD28" i="1"/>
  <c r="R28" i="1"/>
  <c r="AI27" i="1"/>
  <c r="AD27" i="1"/>
  <c r="R27" i="1"/>
  <c r="AI26" i="1"/>
  <c r="AD26" i="1"/>
  <c r="R26" i="1"/>
  <c r="AI25" i="1"/>
  <c r="AD25" i="1"/>
  <c r="R25" i="1"/>
  <c r="AI24" i="1"/>
  <c r="AD24" i="1"/>
  <c r="R24" i="1"/>
  <c r="AI23" i="1"/>
  <c r="AD23" i="1"/>
  <c r="R23" i="1"/>
  <c r="AI22" i="1"/>
  <c r="AD22" i="1"/>
  <c r="R22" i="1"/>
  <c r="AI21" i="1"/>
  <c r="AD21" i="1"/>
  <c r="R21" i="1"/>
  <c r="AI20" i="1"/>
  <c r="AD20" i="1"/>
  <c r="R20" i="1"/>
  <c r="AI19" i="1"/>
  <c r="AD19" i="1"/>
  <c r="R19" i="1"/>
  <c r="AI18" i="1"/>
  <c r="AD18" i="1"/>
  <c r="R18" i="1"/>
  <c r="AI17" i="1"/>
  <c r="AD17" i="1"/>
  <c r="R17" i="1"/>
  <c r="AI16" i="1"/>
  <c r="AD16" i="1"/>
  <c r="R16" i="1"/>
  <c r="AI15" i="1"/>
  <c r="AD15" i="1"/>
  <c r="AI14" i="1"/>
  <c r="AD14" i="1"/>
  <c r="R14" i="1"/>
  <c r="AI13" i="1"/>
  <c r="AD13" i="1"/>
  <c r="R13" i="1"/>
  <c r="AI12" i="1"/>
  <c r="AD12" i="1"/>
  <c r="R12" i="1"/>
  <c r="AI11" i="1"/>
  <c r="R11" i="1"/>
  <c r="P11" i="1"/>
  <c r="Q11" i="1" s="1"/>
  <c r="AI10" i="1"/>
  <c r="R10" i="1"/>
  <c r="AI9" i="1"/>
  <c r="R9" i="1"/>
  <c r="AI8" i="1"/>
  <c r="AD8" i="1"/>
  <c r="R8" i="1"/>
  <c r="AI7" i="1"/>
  <c r="R7" i="1"/>
  <c r="AI6" i="1"/>
  <c r="AD6" i="1"/>
  <c r="R6" i="1"/>
  <c r="AI5" i="1"/>
  <c r="AD5" i="1"/>
  <c r="R5" i="1"/>
  <c r="AI4" i="1"/>
  <c r="AD4" i="1"/>
  <c r="R4" i="1"/>
  <c r="AI3" i="1"/>
  <c r="AD3" i="1"/>
  <c r="R3" i="1"/>
  <c r="AI2" i="1"/>
  <c r="AD2" i="1"/>
  <c r="R2" i="1"/>
  <c r="P285" i="1" l="1"/>
  <c r="Q285" i="1" s="1"/>
  <c r="P815" i="1"/>
  <c r="Q815" i="1" s="1"/>
  <c r="P1249" i="1"/>
  <c r="Q1249" i="1" s="1"/>
  <c r="P539" i="1"/>
  <c r="Q539" i="1" s="1"/>
  <c r="P113" i="1"/>
  <c r="Q113" i="1" s="1"/>
  <c r="P480" i="1"/>
  <c r="Q480" i="1" s="1"/>
  <c r="P1596" i="1"/>
  <c r="Q1596" i="1" s="1"/>
  <c r="P322" i="1"/>
  <c r="Q322" i="1" s="1"/>
  <c r="P337" i="1"/>
  <c r="Q337" i="1" s="1"/>
  <c r="P1424" i="1"/>
  <c r="Q1424" i="1" s="1"/>
  <c r="P1290" i="1"/>
  <c r="Q1290" i="1" s="1"/>
  <c r="P1497" i="1"/>
  <c r="Q1497" i="1" s="1"/>
  <c r="P321" i="1"/>
  <c r="Q321" i="1" s="1"/>
  <c r="P697" i="1"/>
  <c r="Q697" i="1" s="1"/>
  <c r="P68" i="1"/>
  <c r="Q68" i="1" s="1"/>
  <c r="P313" i="1"/>
  <c r="Q313" i="1" s="1"/>
  <c r="P949" i="1"/>
  <c r="Q949" i="1" s="1"/>
  <c r="P1619" i="1"/>
  <c r="Q1619" i="1" s="1"/>
  <c r="P1603" i="1"/>
  <c r="Q1603" i="1" s="1"/>
  <c r="P1357" i="1"/>
  <c r="Q1357" i="1" s="1"/>
  <c r="P1008" i="1"/>
  <c r="Q1008" i="1" s="1"/>
  <c r="P1721" i="1"/>
  <c r="Q1721" i="1" s="1"/>
  <c r="P1724" i="1"/>
  <c r="Q1724" i="1" s="1"/>
  <c r="P629" i="1"/>
  <c r="Q629" i="1" s="1"/>
  <c r="P1722" i="1"/>
  <c r="Q1722" i="1" s="1"/>
  <c r="P1723" i="1"/>
  <c r="Q1723" i="1" s="1"/>
  <c r="P1533" i="1"/>
  <c r="Q1533" i="1" s="1"/>
  <c r="P580" i="1"/>
  <c r="Q580" i="1" s="1"/>
  <c r="P1253" i="1"/>
  <c r="Q1253" i="1" s="1"/>
  <c r="P484" i="1"/>
  <c r="Q484" i="1" s="1"/>
  <c r="P504" i="1"/>
  <c r="Q504" i="1" s="1"/>
  <c r="P1785" i="1"/>
  <c r="Q1785" i="1" s="1"/>
  <c r="P74" i="1"/>
  <c r="Q74" i="1" s="1"/>
  <c r="P101" i="1"/>
  <c r="Q101" i="1" s="1"/>
  <c r="P701" i="1"/>
  <c r="Q701" i="1" s="1"/>
  <c r="P52" i="1"/>
  <c r="Q52" i="1" s="1"/>
  <c r="P750" i="1"/>
  <c r="Q750" i="1" s="1"/>
  <c r="P764" i="1"/>
  <c r="Q764" i="1" s="1"/>
  <c r="P135" i="1"/>
  <c r="Q135" i="1" s="1"/>
  <c r="P683" i="1"/>
  <c r="Q683" i="1" s="1"/>
  <c r="P1044" i="1"/>
  <c r="Q1044" i="1" s="1"/>
  <c r="P610" i="1"/>
  <c r="Q610" i="1" s="1"/>
  <c r="P1315" i="1"/>
  <c r="Q1315" i="1" s="1"/>
  <c r="P810" i="1"/>
  <c r="Q810" i="1" s="1"/>
  <c r="P422" i="1"/>
  <c r="Q422" i="1" s="1"/>
  <c r="P451" i="1"/>
  <c r="Q451" i="1" s="1"/>
  <c r="P342" i="1"/>
  <c r="Q342" i="1" s="1"/>
  <c r="P853" i="1"/>
  <c r="Q853" i="1" s="1"/>
  <c r="P909" i="1"/>
  <c r="Q909" i="1" s="1"/>
  <c r="P726" i="1"/>
  <c r="Q726" i="1" s="1"/>
  <c r="P735" i="1"/>
  <c r="Q735" i="1" s="1"/>
  <c r="P1578" i="1"/>
  <c r="Q1578" i="1" s="1"/>
  <c r="P532" i="1"/>
  <c r="Q532" i="1" s="1"/>
  <c r="P758" i="1"/>
  <c r="Q758" i="1" s="1"/>
  <c r="P1421" i="1"/>
  <c r="Q1421" i="1" s="1"/>
  <c r="P236" i="1"/>
  <c r="Q236" i="1" s="1"/>
  <c r="P889" i="1"/>
  <c r="Q889" i="1" s="1"/>
  <c r="P665" i="1"/>
  <c r="Q665" i="1" s="1"/>
  <c r="P924" i="1"/>
  <c r="Q924" i="1" s="1"/>
  <c r="P830" i="1"/>
  <c r="Q830" i="1" s="1"/>
  <c r="P364" i="1"/>
  <c r="Q364" i="1" s="1"/>
  <c r="P840" i="1"/>
  <c r="Q840" i="1" s="1"/>
  <c r="P769" i="1"/>
  <c r="Q769" i="1" s="1"/>
  <c r="P350" i="1"/>
  <c r="Q350" i="1" s="1"/>
  <c r="P787" i="1"/>
  <c r="Q787" i="1" s="1"/>
  <c r="P309" i="1"/>
  <c r="Q309" i="1" s="1"/>
  <c r="P712" i="1"/>
  <c r="Q712" i="1" s="1"/>
  <c r="P630" i="1"/>
  <c r="Q630" i="1" s="1"/>
  <c r="P456" i="1"/>
  <c r="Q456" i="1" s="1"/>
  <c r="P966" i="1"/>
  <c r="Q966" i="1" s="1"/>
  <c r="P547" i="1"/>
  <c r="Q547" i="1" s="1"/>
  <c r="P1225" i="1"/>
  <c r="Q1225" i="1" s="1"/>
  <c r="P821" i="1"/>
  <c r="Q821" i="1" s="1"/>
  <c r="P1808" i="1"/>
  <c r="Q1808" i="1" s="1"/>
  <c r="P1007" i="1"/>
  <c r="Q1007" i="1" s="1"/>
  <c r="P374" i="1"/>
  <c r="Q374" i="1" s="1"/>
  <c r="P1175" i="1"/>
  <c r="Q1175" i="1" s="1"/>
  <c r="P803" i="1"/>
  <c r="Q803" i="1" s="1"/>
  <c r="P108" i="1"/>
  <c r="Q108" i="1" s="1"/>
  <c r="P567" i="1"/>
  <c r="Q567" i="1" s="1"/>
  <c r="P1725" i="1"/>
  <c r="Q1725" i="1" s="1"/>
  <c r="P791" i="1"/>
  <c r="Q791" i="1" s="1"/>
  <c r="P317" i="1"/>
  <c r="Q317" i="1" s="1"/>
  <c r="P1613" i="1"/>
  <c r="Q1613" i="1" s="1"/>
  <c r="P1582" i="1"/>
  <c r="Q1582" i="1" s="1"/>
  <c r="P488" i="1"/>
  <c r="Q488" i="1" s="1"/>
  <c r="P508" i="1"/>
  <c r="Q508" i="1" s="1"/>
  <c r="P1021" i="1"/>
  <c r="Q1021" i="1" s="1"/>
  <c r="P1031" i="1"/>
  <c r="Q1031" i="1" s="1"/>
  <c r="P1467" i="1"/>
  <c r="Q1467" i="1" s="1"/>
  <c r="P544" i="1"/>
  <c r="Q544" i="1" s="1"/>
  <c r="P1380" i="1"/>
  <c r="Q1380" i="1" s="1"/>
  <c r="P510" i="1"/>
  <c r="Q510" i="1" s="1"/>
  <c r="P930" i="1"/>
  <c r="Q930" i="1" s="1"/>
  <c r="P960" i="1"/>
  <c r="Q960" i="1" s="1"/>
  <c r="P1222" i="1"/>
  <c r="Q1222" i="1" s="1"/>
  <c r="P252" i="1"/>
  <c r="Q252" i="1" s="1"/>
  <c r="P268" i="1"/>
  <c r="Q268" i="1" s="1"/>
  <c r="P140" i="1"/>
  <c r="Q140" i="1" s="1"/>
  <c r="P141" i="1"/>
  <c r="Q141" i="1" s="1"/>
  <c r="P143" i="1"/>
  <c r="Q143" i="1" s="1"/>
  <c r="P144" i="1"/>
  <c r="Q144" i="1" s="1"/>
  <c r="P502" i="1"/>
  <c r="Q502" i="1" s="1"/>
  <c r="P1096" i="1"/>
  <c r="Q1096" i="1" s="1"/>
  <c r="P1040" i="1"/>
  <c r="Q1040" i="1" s="1"/>
  <c r="P97" i="1"/>
  <c r="Q97" i="1" s="1"/>
  <c r="P50" i="1"/>
  <c r="Q50" i="1" s="1"/>
  <c r="P86" i="1"/>
  <c r="Q86" i="1" s="1"/>
  <c r="P93" i="1"/>
  <c r="Q93" i="1" s="1"/>
  <c r="P49" i="1"/>
  <c r="Q49" i="1" s="1"/>
  <c r="P446" i="1"/>
  <c r="Q446" i="1" s="1"/>
  <c r="P1217" i="1"/>
  <c r="Q1217" i="1" s="1"/>
  <c r="P428" i="1"/>
  <c r="Q428" i="1" s="1"/>
  <c r="P1633" i="1"/>
  <c r="Q1633" i="1" s="1"/>
  <c r="P1636" i="1"/>
  <c r="Q1636" i="1" s="1"/>
  <c r="P743" i="1"/>
  <c r="Q743" i="1" s="1"/>
  <c r="P897" i="1"/>
  <c r="Q897" i="1" s="1"/>
  <c r="P1817" i="1"/>
  <c r="Q1817" i="1" s="1"/>
  <c r="P1597" i="1"/>
  <c r="Q1597" i="1" s="1"/>
  <c r="P621" i="1"/>
  <c r="Q621" i="1" s="1"/>
  <c r="P1305" i="1"/>
  <c r="Q1305" i="1" s="1"/>
  <c r="P405" i="1"/>
  <c r="Q405" i="1" s="1"/>
  <c r="P649" i="1"/>
  <c r="Q649" i="1" s="1"/>
  <c r="P1041" i="1"/>
  <c r="Q1041" i="1" s="1"/>
  <c r="P530" i="1"/>
  <c r="Q530" i="1" s="1"/>
  <c r="P1300" i="1"/>
  <c r="Q1300" i="1" s="1"/>
  <c r="P1297" i="1"/>
  <c r="Q1297" i="1" s="1"/>
  <c r="P1573" i="1"/>
  <c r="Q1573" i="1" s="1"/>
  <c r="P1735" i="1"/>
  <c r="Q1735" i="1" s="1"/>
  <c r="P398" i="1"/>
  <c r="Q398" i="1" s="1"/>
  <c r="P740" i="1"/>
  <c r="Q740" i="1" s="1"/>
  <c r="P1729" i="1"/>
  <c r="Q1729" i="1" s="1"/>
  <c r="P1172" i="1"/>
  <c r="Q1172" i="1" s="1"/>
  <c r="P1407" i="1"/>
  <c r="Q1407" i="1" s="1"/>
  <c r="P651" i="1"/>
  <c r="Q651" i="1" s="1"/>
  <c r="P1029" i="1"/>
  <c r="Q1029" i="1" s="1"/>
  <c r="P386" i="1"/>
  <c r="Q386" i="1" s="1"/>
  <c r="P708" i="1"/>
  <c r="Q708" i="1" s="1"/>
  <c r="P707" i="1"/>
  <c r="Q707" i="1" s="1"/>
  <c r="P1659" i="1"/>
  <c r="Q1659" i="1" s="1"/>
  <c r="P159" i="1"/>
  <c r="Q159" i="1" s="1"/>
  <c r="P366" i="1"/>
  <c r="Q366" i="1" s="1"/>
  <c r="P816" i="1"/>
  <c r="Q816" i="1" s="1"/>
  <c r="P877" i="1"/>
  <c r="Q877" i="1" s="1"/>
  <c r="P1812" i="1"/>
  <c r="Q1812" i="1" s="1"/>
  <c r="P1106" i="1"/>
  <c r="Q1106" i="1" s="1"/>
  <c r="P512" i="1"/>
  <c r="Q512" i="1" s="1"/>
  <c r="P641" i="1"/>
  <c r="Q641" i="1" s="1"/>
  <c r="P1610" i="1"/>
  <c r="Q1610" i="1" s="1"/>
  <c r="P1224" i="1"/>
  <c r="Q1224" i="1" s="1"/>
  <c r="P1230" i="1"/>
  <c r="Q1230" i="1" s="1"/>
  <c r="P1466" i="1"/>
  <c r="Q1466" i="1" s="1"/>
  <c r="P455" i="1"/>
  <c r="Q455" i="1" s="1"/>
  <c r="P489" i="1"/>
  <c r="Q489" i="1" s="1"/>
  <c r="P1137" i="1"/>
  <c r="Q1137" i="1" s="1"/>
  <c r="P410" i="1"/>
  <c r="Q410" i="1" s="1"/>
  <c r="P847" i="1"/>
  <c r="Q847" i="1" s="1"/>
  <c r="P323" i="1"/>
  <c r="Q323" i="1" s="1"/>
  <c r="P1000" i="1"/>
  <c r="Q1000" i="1" s="1"/>
  <c r="P1631" i="1"/>
  <c r="Q1631" i="1" s="1"/>
  <c r="P880" i="1"/>
  <c r="Q880" i="1" s="1"/>
  <c r="P506" i="1"/>
  <c r="Q506" i="1" s="1"/>
  <c r="P1500" i="1"/>
  <c r="Q1500" i="1" s="1"/>
  <c r="P218" i="1"/>
  <c r="Q218" i="1" s="1"/>
  <c r="P478" i="1"/>
  <c r="Q478" i="1" s="1"/>
  <c r="P1715" i="1"/>
  <c r="Q1715" i="1" s="1"/>
  <c r="P717" i="1"/>
  <c r="Q717" i="1" s="1"/>
  <c r="P538" i="1"/>
  <c r="Q538" i="1" s="1"/>
  <c r="P1269" i="1"/>
  <c r="Q1269" i="1" s="1"/>
  <c r="P1743" i="1"/>
  <c r="Q1743" i="1" s="1"/>
  <c r="P1012" i="1"/>
  <c r="Q1012" i="1" s="1"/>
  <c r="P1285" i="1"/>
  <c r="Q1285" i="1" s="1"/>
  <c r="P1053" i="1"/>
  <c r="Q1053" i="1" s="1"/>
  <c r="P914" i="1"/>
  <c r="Q914" i="1" s="1"/>
  <c r="P1457" i="1"/>
  <c r="Q1457" i="1" s="1"/>
  <c r="P1010" i="1"/>
  <c r="Q1010" i="1" s="1"/>
  <c r="P872" i="1"/>
  <c r="Q872" i="1" s="1"/>
  <c r="P1464" i="1"/>
  <c r="Q1464" i="1" s="1"/>
  <c r="P615" i="1"/>
  <c r="Q615" i="1" s="1"/>
  <c r="P1262" i="1"/>
  <c r="Q1262" i="1" s="1"/>
  <c r="P1406" i="1"/>
  <c r="Q1406" i="1" s="1"/>
  <c r="P133" i="1"/>
  <c r="Q133" i="1" s="1"/>
  <c r="P358" i="1"/>
  <c r="Q358" i="1" s="1"/>
  <c r="P1404" i="1"/>
  <c r="Q1404" i="1" s="1"/>
  <c r="P837" i="1"/>
  <c r="Q837" i="1" s="1"/>
  <c r="P1125" i="1"/>
  <c r="Q1125" i="1" s="1"/>
  <c r="P1033" i="1"/>
  <c r="Q1033" i="1" s="1"/>
  <c r="P352" i="1"/>
  <c r="Q352" i="1" s="1"/>
  <c r="P1562" i="1"/>
  <c r="Q1562" i="1" s="1"/>
  <c r="P1541" i="1"/>
  <c r="Q1541" i="1" s="1"/>
  <c r="P1789" i="1"/>
  <c r="Q1789" i="1" s="1"/>
  <c r="P1233" i="1"/>
  <c r="Q1233" i="1" s="1"/>
  <c r="P526" i="1"/>
  <c r="Q526" i="1" s="1"/>
  <c r="P1178" i="1"/>
  <c r="Q1178" i="1" s="1"/>
  <c r="P1195" i="1"/>
  <c r="Q1195" i="1" s="1"/>
  <c r="P121" i="1"/>
  <c r="Q121" i="1" s="1"/>
  <c r="P1025" i="1"/>
  <c r="Q1025" i="1" s="1"/>
  <c r="P1141" i="1"/>
  <c r="Q1141" i="1" s="1"/>
  <c r="P1737" i="1"/>
  <c r="Q1737" i="1" s="1"/>
  <c r="P1471" i="1"/>
  <c r="Q1471" i="1" s="1"/>
  <c r="P637" i="1"/>
  <c r="Q637" i="1" s="1"/>
  <c r="P1736" i="1"/>
  <c r="Q1736" i="1" s="1"/>
  <c r="P1054" i="1"/>
  <c r="Q1054" i="1" s="1"/>
  <c r="P1468" i="1"/>
  <c r="Q1468" i="1" s="1"/>
  <c r="P1731" i="1"/>
  <c r="Q1731" i="1" s="1"/>
  <c r="P1951" i="1"/>
  <c r="Q1951" i="1" s="1"/>
  <c r="P1561" i="1"/>
  <c r="Q1561" i="1" s="1"/>
  <c r="P1257" i="1"/>
  <c r="Q1257" i="1" s="1"/>
  <c r="P776" i="1"/>
  <c r="Q776" i="1" s="1"/>
  <c r="P947" i="1"/>
  <c r="Q947" i="1" s="1"/>
  <c r="P1376" i="1"/>
  <c r="Q1376" i="1" s="1"/>
  <c r="P1316" i="1"/>
  <c r="Q1316" i="1" s="1"/>
  <c r="P336" i="1"/>
  <c r="Q336" i="1" s="1"/>
  <c r="P838" i="1"/>
  <c r="Q838" i="1" s="1"/>
  <c r="P516" i="1"/>
  <c r="Q516" i="1" s="1"/>
  <c r="P1648" i="1"/>
  <c r="Q1648" i="1" s="1"/>
  <c r="P1448" i="1"/>
  <c r="Q1448" i="1" s="1"/>
  <c r="P955" i="1"/>
  <c r="Q955" i="1" s="1"/>
  <c r="P1514" i="1"/>
  <c r="Q1514" i="1" s="1"/>
  <c r="P1746" i="1"/>
  <c r="Q1746" i="1" s="1"/>
  <c r="P916" i="1"/>
  <c r="Q916" i="1" s="1"/>
  <c r="P846" i="1"/>
  <c r="Q846" i="1" s="1"/>
  <c r="P952" i="1"/>
  <c r="Q952" i="1" s="1"/>
  <c r="P771" i="1"/>
  <c r="Q771" i="1" s="1"/>
  <c r="P1037" i="1"/>
  <c r="Q1037" i="1" s="1"/>
  <c r="P1585" i="1"/>
  <c r="Q1585" i="1" s="1"/>
  <c r="P1302" i="1"/>
  <c r="Q1302" i="1" s="1"/>
  <c r="P369" i="1"/>
  <c r="Q369" i="1" s="1"/>
  <c r="P280" i="1"/>
  <c r="Q280" i="1" s="1"/>
  <c r="P996" i="1"/>
  <c r="Q996" i="1" s="1"/>
  <c r="P969" i="1"/>
  <c r="Q969" i="1" s="1"/>
  <c r="P409" i="1"/>
  <c r="Q409" i="1" s="1"/>
  <c r="P781" i="1"/>
  <c r="Q781" i="1" s="1"/>
  <c r="P1536" i="1"/>
  <c r="Q1536" i="1" s="1"/>
  <c r="P1203" i="1"/>
  <c r="Q1203" i="1" s="1"/>
  <c r="P1519" i="1"/>
  <c r="Q1519" i="1" s="1"/>
  <c r="P1482" i="1"/>
  <c r="Q1482" i="1" s="1"/>
  <c r="P934" i="1"/>
  <c r="Q934" i="1" s="1"/>
  <c r="P1788" i="1"/>
  <c r="Q1788" i="1" s="1"/>
  <c r="P548" i="1"/>
  <c r="Q548" i="1" s="1"/>
  <c r="P862" i="1"/>
  <c r="Q862" i="1" s="1"/>
  <c r="P348" i="1"/>
  <c r="Q348" i="1" s="1"/>
  <c r="P448" i="1"/>
  <c r="Q448" i="1" s="1"/>
  <c r="P1453" i="1"/>
  <c r="Q1453" i="1" s="1"/>
  <c r="P725" i="1"/>
  <c r="Q725" i="1" s="1"/>
  <c r="P812" i="1"/>
  <c r="Q812" i="1" s="1"/>
  <c r="P1185" i="1"/>
  <c r="Q1185" i="1" s="1"/>
  <c r="P395" i="1"/>
  <c r="Q395" i="1" s="1"/>
  <c r="P1473" i="1"/>
  <c r="Q1473" i="1" s="1"/>
  <c r="P1678" i="1"/>
  <c r="Q1678" i="1" s="1"/>
  <c r="P397" i="1"/>
  <c r="Q397" i="1" s="1"/>
  <c r="P493" i="1"/>
  <c r="Q493" i="1" s="1"/>
  <c r="P1207" i="1"/>
  <c r="Q1207" i="1" s="1"/>
  <c r="P706" i="1"/>
  <c r="Q706" i="1" s="1"/>
  <c r="P1298" i="1"/>
  <c r="Q1298" i="1" s="1"/>
  <c r="P811" i="1"/>
  <c r="Q811" i="1" s="1"/>
  <c r="P389" i="1"/>
  <c r="Q389" i="1" s="1"/>
  <c r="P860" i="1"/>
  <c r="Q860" i="1" s="1"/>
  <c r="P937" i="1"/>
  <c r="Q937" i="1" s="1"/>
  <c r="P1532" i="1"/>
  <c r="Q1532" i="1" s="1"/>
  <c r="P1238" i="1"/>
  <c r="Q1238" i="1" s="1"/>
  <c r="P486" i="1"/>
  <c r="Q486" i="1" s="1"/>
  <c r="P253" i="1"/>
  <c r="Q253" i="1" s="1"/>
  <c r="P497" i="1"/>
  <c r="Q497" i="1" s="1"/>
  <c r="P951" i="1"/>
  <c r="Q951" i="1" s="1"/>
  <c r="P1950" i="1"/>
  <c r="Q1950" i="1" s="1"/>
  <c r="P1747" i="1"/>
  <c r="Q1747" i="1" s="1"/>
  <c r="P1216" i="1"/>
  <c r="Q1216" i="1" s="1"/>
  <c r="P631" i="1"/>
  <c r="Q631" i="1" s="1"/>
  <c r="P1132" i="1"/>
  <c r="Q1132" i="1" s="1"/>
  <c r="P334" i="1"/>
  <c r="Q334" i="1" s="1"/>
  <c r="P1395" i="1"/>
  <c r="Q1395" i="1" s="1"/>
  <c r="P1049" i="1"/>
  <c r="Q1049" i="1" s="1"/>
  <c r="P399" i="1"/>
  <c r="Q399" i="1" s="1"/>
  <c r="P1393" i="1"/>
  <c r="Q1393" i="1" s="1"/>
  <c r="P1299" i="1"/>
  <c r="Q1299" i="1" s="1"/>
  <c r="P1454" i="1"/>
  <c r="Q1454" i="1" s="1"/>
  <c r="P834" i="1"/>
  <c r="Q834" i="1" s="1"/>
  <c r="P612" i="1"/>
  <c r="Q612" i="1" s="1"/>
  <c r="P1362" i="1"/>
  <c r="Q1362" i="1" s="1"/>
  <c r="P1651" i="1"/>
  <c r="Q1651" i="1" s="1"/>
  <c r="P1158" i="1"/>
  <c r="Q1158" i="1" s="1"/>
  <c r="P997" i="1"/>
  <c r="Q997" i="1" s="1"/>
  <c r="P517" i="1"/>
  <c r="Q517" i="1" s="1"/>
  <c r="P566" i="1"/>
  <c r="Q566" i="1" s="1"/>
  <c r="P1712" i="1"/>
  <c r="Q1712" i="1" s="1"/>
  <c r="P1242" i="1"/>
  <c r="Q1242" i="1" s="1"/>
  <c r="P718" i="1"/>
  <c r="Q718" i="1" s="1"/>
  <c r="P1685" i="1"/>
  <c r="Q1685" i="1" s="1"/>
  <c r="P1749" i="1"/>
  <c r="Q1749" i="1" s="1"/>
  <c r="P1057" i="1"/>
  <c r="Q1057" i="1" s="1"/>
  <c r="P883" i="1"/>
  <c r="Q883" i="1" s="1"/>
  <c r="P1499" i="1"/>
  <c r="Q1499" i="1" s="1"/>
  <c r="P1728" i="1"/>
  <c r="Q1728" i="1" s="1"/>
  <c r="P935" i="1"/>
  <c r="Q935" i="1" s="1"/>
  <c r="P724" i="1"/>
  <c r="Q724" i="1" s="1"/>
  <c r="P593" i="1"/>
  <c r="Q593" i="1" s="1"/>
  <c r="P429" i="1"/>
  <c r="Q429" i="1" s="1"/>
  <c r="P648" i="1"/>
  <c r="Q648" i="1" s="1"/>
  <c r="P1815" i="1"/>
  <c r="Q1815" i="1" s="1"/>
  <c r="P632" i="1"/>
  <c r="Q632" i="1" s="1"/>
  <c r="P48" i="1"/>
  <c r="Q48" i="1" s="1"/>
  <c r="P316" i="1"/>
  <c r="Q316" i="1" s="1"/>
  <c r="P265" i="1"/>
  <c r="Q265" i="1" s="1"/>
  <c r="P1213" i="1"/>
  <c r="Q1213" i="1" s="1"/>
  <c r="P1310" i="1"/>
  <c r="Q1310" i="1" s="1"/>
  <c r="P1504" i="1"/>
  <c r="Q1504" i="1" s="1"/>
  <c r="P1496" i="1"/>
  <c r="Q1496" i="1" s="1"/>
  <c r="P1251" i="1"/>
  <c r="Q1251" i="1" s="1"/>
  <c r="P1119" i="1"/>
  <c r="Q1119" i="1" s="1"/>
  <c r="P1131" i="1"/>
  <c r="Q1131" i="1" s="1"/>
  <c r="P1028" i="1"/>
  <c r="Q1028" i="1" s="1"/>
  <c r="P1117" i="1"/>
  <c r="Q1117" i="1" s="1"/>
  <c r="P518" i="1"/>
  <c r="Q518" i="1" s="1"/>
  <c r="P713" i="1"/>
  <c r="Q713" i="1" s="1"/>
  <c r="P573" i="1"/>
  <c r="Q573" i="1" s="1"/>
  <c r="P639" i="1"/>
  <c r="Q639" i="1" s="1"/>
  <c r="P1343" i="1"/>
  <c r="Q1343" i="1" s="1"/>
  <c r="P431" i="1"/>
  <c r="Q431" i="1" s="1"/>
  <c r="P269" i="1"/>
  <c r="Q269" i="1" s="1"/>
  <c r="P1495" i="1"/>
  <c r="Q1495" i="1" s="1"/>
  <c r="P932" i="1"/>
  <c r="Q932" i="1" s="1"/>
  <c r="P66" i="1"/>
  <c r="Q66" i="1" s="1"/>
  <c r="P1319" i="1"/>
  <c r="Q1319" i="1" s="1"/>
  <c r="P564" i="1"/>
  <c r="Q564" i="1" s="1"/>
  <c r="P407" i="1"/>
  <c r="Q407" i="1" s="1"/>
  <c r="P1629" i="1"/>
  <c r="Q1629" i="1" s="1"/>
  <c r="P1575" i="1"/>
  <c r="Q1575" i="1" s="1"/>
  <c r="P892" i="1"/>
  <c r="Q892" i="1" s="1"/>
  <c r="P127" i="1"/>
  <c r="Q127" i="1" s="1"/>
  <c r="P1814" i="1"/>
  <c r="Q1814" i="1" s="1"/>
  <c r="P634" i="1"/>
  <c r="Q634" i="1" s="1"/>
  <c r="P1567" i="1"/>
  <c r="Q1567" i="1" s="1"/>
  <c r="P87" i="1"/>
  <c r="Q87" i="1" s="1"/>
  <c r="P73" i="1"/>
  <c r="Q73" i="1" s="1"/>
  <c r="P264" i="1"/>
  <c r="Q264" i="1" s="1"/>
  <c r="P1711" i="1"/>
  <c r="Q1711" i="1" s="1"/>
  <c r="P942" i="1"/>
  <c r="Q942" i="1" s="1"/>
  <c r="P1682" i="1"/>
  <c r="Q1682" i="1" s="1"/>
  <c r="P599" i="1"/>
  <c r="Q599" i="1" s="1"/>
  <c r="P938" i="1"/>
  <c r="Q938" i="1" s="1"/>
  <c r="P1320" i="1"/>
  <c r="Q1320" i="1" s="1"/>
  <c r="P1607" i="1"/>
  <c r="Q1607" i="1" s="1"/>
  <c r="P1580" i="1"/>
  <c r="Q1580" i="1" s="1"/>
  <c r="P627" i="1"/>
  <c r="Q627" i="1" s="1"/>
  <c r="P1330" i="1"/>
  <c r="Q1330" i="1" s="1"/>
  <c r="P331" i="1"/>
  <c r="Q331" i="1" s="1"/>
  <c r="P76" i="1"/>
  <c r="Q76" i="1" s="1"/>
  <c r="P579" i="1"/>
  <c r="Q579" i="1" s="1"/>
  <c r="P1589" i="1"/>
  <c r="Q1589" i="1" s="1"/>
  <c r="P945" i="1"/>
  <c r="Q945" i="1" s="1"/>
  <c r="P1332" i="1"/>
  <c r="Q1332" i="1" s="1"/>
  <c r="P908" i="1"/>
  <c r="Q908" i="1" s="1"/>
  <c r="P773" i="1"/>
  <c r="Q773" i="1" s="1"/>
  <c r="P1383" i="1"/>
  <c r="Q1383" i="1" s="1"/>
  <c r="P1259" i="1"/>
  <c r="Q1259" i="1" s="1"/>
  <c r="P1072" i="1"/>
  <c r="Q1072" i="1" s="1"/>
  <c r="P1191" i="1"/>
  <c r="Q1191" i="1" s="1"/>
  <c r="P1337" i="1"/>
  <c r="Q1337" i="1" s="1"/>
  <c r="P1542" i="1"/>
  <c r="Q1542" i="1" s="1"/>
  <c r="P598" i="1"/>
  <c r="Q598" i="1" s="1"/>
  <c r="P1177" i="1"/>
  <c r="Q1177" i="1" s="1"/>
  <c r="P828" i="1"/>
  <c r="Q828" i="1" s="1"/>
  <c r="P1068" i="1"/>
  <c r="Q1068" i="1" s="1"/>
  <c r="P1115" i="1"/>
  <c r="Q1115" i="1" s="1"/>
  <c r="P1730" i="1"/>
  <c r="Q1730" i="1" s="1"/>
  <c r="P869" i="1"/>
  <c r="Q869" i="1" s="1"/>
  <c r="P1558" i="1"/>
  <c r="Q1558" i="1" s="1"/>
  <c r="P775" i="1"/>
  <c r="Q775" i="1" s="1"/>
  <c r="P755" i="1"/>
  <c r="Q755" i="1" s="1"/>
  <c r="P1227" i="1"/>
  <c r="Q1227" i="1" s="1"/>
  <c r="P715" i="1"/>
  <c r="Q715" i="1" s="1"/>
  <c r="P731" i="1"/>
  <c r="Q731" i="1" s="1"/>
  <c r="P472" i="1"/>
  <c r="Q472" i="1" s="1"/>
  <c r="P831" i="1"/>
  <c r="Q831" i="1" s="1"/>
  <c r="P372" i="1"/>
  <c r="Q372" i="1" s="1"/>
  <c r="P606" i="1"/>
  <c r="Q606" i="1" s="1"/>
  <c r="P678" i="1"/>
  <c r="Q678" i="1" s="1"/>
  <c r="P1418" i="1"/>
  <c r="Q1418" i="1" s="1"/>
  <c r="P607" i="1"/>
  <c r="Q607" i="1" s="1"/>
  <c r="P274" i="1"/>
  <c r="Q274" i="1" s="1"/>
  <c r="P1555" i="1"/>
  <c r="Q1555" i="1" s="1"/>
  <c r="P1899" i="1"/>
  <c r="Q1899" i="1" s="1"/>
  <c r="P749" i="1"/>
  <c r="Q749" i="1" s="1"/>
  <c r="P490" i="1"/>
  <c r="Q490" i="1" s="1"/>
  <c r="P818" i="1"/>
  <c r="Q818" i="1" s="1"/>
  <c r="P75" i="1"/>
  <c r="Q75" i="1" s="1"/>
  <c r="P64" i="1"/>
  <c r="Q64" i="1" s="1"/>
  <c r="P51" i="1"/>
  <c r="Q51" i="1" s="1"/>
  <c r="P1775" i="1"/>
  <c r="Q1775" i="1" s="1"/>
  <c r="P503" i="1"/>
  <c r="Q503" i="1" s="1"/>
  <c r="P297" i="1"/>
  <c r="Q297" i="1" s="1"/>
  <c r="P262" i="1"/>
  <c r="Q262" i="1" s="1"/>
  <c r="P258" i="1"/>
  <c r="Q258" i="1" s="1"/>
  <c r="P671" i="1"/>
  <c r="Q671" i="1" s="1"/>
  <c r="P702" i="1"/>
  <c r="Q702" i="1" s="1"/>
  <c r="P1379" i="1"/>
  <c r="Q1379" i="1" s="1"/>
  <c r="P1595" i="1"/>
  <c r="Q1595" i="1" s="1"/>
  <c r="P1481" i="1"/>
  <c r="Q1481" i="1" s="1"/>
  <c r="P1507" i="1"/>
  <c r="Q1507" i="1" s="1"/>
  <c r="P1458" i="1"/>
  <c r="Q1458" i="1" s="1"/>
  <c r="P1130" i="1"/>
  <c r="Q1130" i="1" s="1"/>
  <c r="P1027" i="1"/>
  <c r="Q1027" i="1" s="1"/>
  <c r="P805" i="1"/>
  <c r="Q805" i="1" s="1"/>
  <c r="P693" i="1"/>
  <c r="Q693" i="1" s="1"/>
  <c r="P473" i="1"/>
  <c r="Q473" i="1" s="1"/>
  <c r="P367" i="1"/>
  <c r="Q367" i="1" s="1"/>
  <c r="P1952" i="1"/>
  <c r="Q1952" i="1" s="1"/>
  <c r="P1713" i="1"/>
  <c r="Q1713" i="1" s="1"/>
  <c r="P1050" i="1"/>
  <c r="Q1050" i="1" s="1"/>
  <c r="P1570" i="1"/>
  <c r="Q1570" i="1" s="1"/>
  <c r="P1604" i="1"/>
  <c r="Q1604" i="1" s="1"/>
  <c r="P1181" i="1"/>
  <c r="Q1181" i="1" s="1"/>
  <c r="P1209" i="1"/>
  <c r="Q1209" i="1" s="1"/>
  <c r="P842" i="1"/>
  <c r="Q842" i="1" s="1"/>
  <c r="P961" i="1"/>
  <c r="Q961" i="1" s="1"/>
  <c r="P1771" i="1"/>
  <c r="Q1771" i="1" s="1"/>
  <c r="P1328" i="1"/>
  <c r="Q1328" i="1" s="1"/>
  <c r="P620" i="1"/>
  <c r="Q620" i="1" s="1"/>
  <c r="P494" i="1"/>
  <c r="Q494" i="1" s="1"/>
  <c r="P742" i="1"/>
  <c r="Q742" i="1" s="1"/>
  <c r="P1043" i="1"/>
  <c r="Q1043" i="1" s="1"/>
  <c r="P1252" i="1"/>
  <c r="Q1252" i="1" s="1"/>
  <c r="P1649" i="1"/>
  <c r="Q1649" i="1" s="1"/>
  <c r="P1165" i="1"/>
  <c r="Q1165" i="1" s="1"/>
  <c r="P396" i="1"/>
  <c r="Q396" i="1" s="1"/>
  <c r="P500" i="1"/>
  <c r="Q500" i="1" s="1"/>
  <c r="P1381" i="1"/>
  <c r="Q1381" i="1" s="1"/>
  <c r="P1677" i="1"/>
  <c r="Q1677" i="1" s="1"/>
  <c r="P1425" i="1"/>
  <c r="Q1425" i="1" s="1"/>
  <c r="P123" i="1"/>
  <c r="Q123" i="1" s="1"/>
  <c r="P125" i="1"/>
  <c r="Q125" i="1" s="1"/>
  <c r="P1325" i="1"/>
  <c r="Q1325" i="1" s="1"/>
  <c r="P1306" i="1"/>
  <c r="Q1306" i="1" s="1"/>
  <c r="P858" i="1"/>
  <c r="Q858" i="1" s="1"/>
  <c r="P832" i="1"/>
  <c r="Q832" i="1" s="1"/>
  <c r="P1080" i="1"/>
  <c r="Q1080" i="1" s="1"/>
  <c r="P1733" i="1"/>
  <c r="Q1733" i="1" s="1"/>
  <c r="P905" i="1"/>
  <c r="Q905" i="1" s="1"/>
  <c r="P1155" i="1"/>
  <c r="Q1155" i="1" s="1"/>
  <c r="P1157" i="1"/>
  <c r="Q1157" i="1" s="1"/>
  <c r="P1547" i="1"/>
  <c r="Q1547" i="1" s="1"/>
  <c r="P156" i="1"/>
  <c r="Q156" i="1" s="1"/>
  <c r="P1411" i="1"/>
  <c r="Q1411" i="1" s="1"/>
  <c r="P946" i="1"/>
  <c r="Q946" i="1" s="1"/>
  <c r="P1089" i="1"/>
  <c r="Q1089" i="1" s="1"/>
  <c r="P1606" i="1"/>
  <c r="Q1606" i="1" s="1"/>
  <c r="P1304" i="1"/>
  <c r="Q1304" i="1" s="1"/>
  <c r="P541" i="1"/>
  <c r="Q541" i="1" s="1"/>
  <c r="P467" i="1"/>
  <c r="Q467" i="1" s="1"/>
  <c r="P244" i="1"/>
  <c r="Q244" i="1" s="1"/>
  <c r="P689" i="1"/>
  <c r="Q689" i="1" s="1"/>
  <c r="P971" i="1"/>
  <c r="Q971" i="1" s="1"/>
  <c r="P193" i="1"/>
  <c r="Q193" i="1" s="1"/>
  <c r="P177" i="1"/>
  <c r="Q177" i="1" s="1"/>
  <c r="P162" i="1"/>
  <c r="Q162" i="1" s="1"/>
  <c r="P1149" i="1"/>
  <c r="Q1149" i="1" s="1"/>
  <c r="P1667" i="1"/>
  <c r="Q1667" i="1" s="1"/>
  <c r="P1537" i="1"/>
  <c r="Q1537" i="1" s="1"/>
  <c r="P1247" i="1"/>
  <c r="Q1247" i="1" s="1"/>
  <c r="P1318" i="1"/>
  <c r="Q1318" i="1" s="1"/>
  <c r="P826" i="1"/>
  <c r="Q826" i="1" s="1"/>
  <c r="P1344" i="1"/>
  <c r="Q1344" i="1" s="1"/>
  <c r="P653" i="1"/>
  <c r="Q653" i="1" s="1"/>
  <c r="P1439" i="1"/>
  <c r="Q1439" i="1" s="1"/>
  <c r="P1658" i="1"/>
  <c r="Q1658" i="1" s="1"/>
  <c r="P927" i="1"/>
  <c r="Q927" i="1" s="1"/>
  <c r="P419" i="1"/>
  <c r="Q419" i="1" s="1"/>
  <c r="P628" i="1"/>
  <c r="Q628" i="1" s="1"/>
  <c r="P695" i="1"/>
  <c r="Q695" i="1" s="1"/>
  <c r="P1413" i="1"/>
  <c r="Q1413" i="1" s="1"/>
  <c r="P1243" i="1"/>
  <c r="Q1243" i="1" s="1"/>
  <c r="P1329" i="1"/>
  <c r="Q1329" i="1" s="1"/>
  <c r="P529" i="1"/>
  <c r="Q529" i="1" s="1"/>
  <c r="P426" i="1"/>
  <c r="Q426" i="1" s="1"/>
  <c r="P254" i="1"/>
  <c r="Q254" i="1" s="1"/>
  <c r="P412" i="1"/>
  <c r="Q412" i="1" s="1"/>
  <c r="P370" i="1"/>
  <c r="Q370" i="1" s="1"/>
  <c r="P581" i="1"/>
  <c r="Q581" i="1" s="1"/>
  <c r="P175" i="1"/>
  <c r="Q175" i="1" s="1"/>
  <c r="P1220" i="1"/>
  <c r="Q1220" i="1" s="1"/>
  <c r="P555" i="1"/>
  <c r="Q555" i="1" s="1"/>
  <c r="P430" i="1"/>
  <c r="Q430" i="1" s="1"/>
  <c r="P795" i="1"/>
  <c r="Q795" i="1" s="1"/>
  <c r="P457" i="1"/>
  <c r="Q457" i="1" s="1"/>
  <c r="P948" i="1"/>
  <c r="Q948" i="1" s="1"/>
  <c r="P1430" i="1"/>
  <c r="Q1430" i="1" s="1"/>
  <c r="P119" i="1"/>
  <c r="Q119" i="1" s="1"/>
  <c r="P1097" i="1"/>
  <c r="Q1097" i="1" s="1"/>
  <c r="P227" i="1"/>
  <c r="Q227" i="1" s="1"/>
  <c r="P206" i="1"/>
  <c r="Q206" i="1" s="1"/>
  <c r="P190" i="1"/>
  <c r="Q190" i="1" s="1"/>
  <c r="P174" i="1"/>
  <c r="Q174" i="1" s="1"/>
  <c r="P423" i="1"/>
  <c r="Q423" i="1" s="1"/>
  <c r="P1171" i="1"/>
  <c r="Q1171" i="1" s="1"/>
  <c r="P328" i="1"/>
  <c r="Q328" i="1" s="1"/>
  <c r="P1160" i="1"/>
  <c r="Q1160" i="1" s="1"/>
  <c r="P1166" i="1"/>
  <c r="Q1166" i="1" s="1"/>
  <c r="P1186" i="1"/>
  <c r="Q1186" i="1" s="1"/>
  <c r="P780" i="1"/>
  <c r="Q780" i="1" s="1"/>
  <c r="P1045" i="1"/>
  <c r="Q1045" i="1" s="1"/>
  <c r="P765" i="1"/>
  <c r="Q765" i="1" s="1"/>
  <c r="P645" i="1"/>
  <c r="Q645" i="1" s="1"/>
  <c r="P1295" i="1"/>
  <c r="Q1295" i="1" s="1"/>
  <c r="P1637" i="1"/>
  <c r="Q1637" i="1" s="1"/>
  <c r="P911" i="1"/>
  <c r="Q911" i="1" s="1"/>
  <c r="P1490" i="1"/>
  <c r="Q1490" i="1" s="1"/>
  <c r="P1022" i="1"/>
  <c r="Q1022" i="1" s="1"/>
  <c r="P1143" i="1"/>
  <c r="Q1143" i="1" s="1"/>
  <c r="P1019" i="1"/>
  <c r="Q1019" i="1" s="1"/>
  <c r="P1120" i="1"/>
  <c r="Q1120" i="1" s="1"/>
  <c r="P1307" i="1"/>
  <c r="Q1307" i="1" s="1"/>
  <c r="P931" i="1"/>
  <c r="Q931" i="1" s="1"/>
  <c r="P1124" i="1"/>
  <c r="Q1124" i="1" s="1"/>
  <c r="P753" i="1"/>
  <c r="Q753" i="1" s="1"/>
  <c r="P709" i="1"/>
  <c r="Q709" i="1" s="1"/>
  <c r="P1526" i="1"/>
  <c r="Q1526" i="1" s="1"/>
  <c r="P1543" i="1"/>
  <c r="Q1543" i="1" s="1"/>
  <c r="P1436" i="1"/>
  <c r="Q1436" i="1" s="1"/>
  <c r="P1278" i="1"/>
  <c r="Q1278" i="1" s="1"/>
  <c r="P1557" i="1"/>
  <c r="Q1557" i="1" s="1"/>
  <c r="P1521" i="1"/>
  <c r="Q1521" i="1" s="1"/>
  <c r="P748" i="1"/>
  <c r="Q748" i="1" s="1"/>
  <c r="P1527" i="1"/>
  <c r="Q1527" i="1" s="1"/>
  <c r="P391" i="1"/>
  <c r="Q391" i="1" s="1"/>
  <c r="P1351" i="1"/>
  <c r="Q1351" i="1" s="1"/>
  <c r="P329" i="1"/>
  <c r="Q329" i="1" s="1"/>
  <c r="P214" i="1"/>
  <c r="Q214" i="1" s="1"/>
  <c r="P447" i="1"/>
  <c r="Q447" i="1" s="1"/>
  <c r="P117" i="1"/>
  <c r="Q117" i="1" s="1"/>
  <c r="P1740" i="1"/>
  <c r="Q1740" i="1" s="1"/>
  <c r="P1342" i="1"/>
  <c r="Q1342" i="1" s="1"/>
  <c r="P416" i="1"/>
  <c r="Q416" i="1" s="1"/>
  <c r="P99" i="1"/>
  <c r="Q99" i="1" s="1"/>
  <c r="P1816" i="1"/>
  <c r="Q1816" i="1" s="1"/>
  <c r="P913" i="1"/>
  <c r="Q913" i="1" s="1"/>
  <c r="P1375" i="1"/>
  <c r="Q1375" i="1" s="1"/>
  <c r="P531" i="1"/>
  <c r="Q531" i="1" s="1"/>
  <c r="P1187" i="1"/>
  <c r="Q1187" i="1" s="1"/>
  <c r="P1174" i="1"/>
  <c r="Q1174" i="1" s="1"/>
  <c r="P461" i="1"/>
  <c r="Q461" i="1" s="1"/>
  <c r="P893" i="1"/>
  <c r="Q893" i="1" s="1"/>
  <c r="P600" i="1"/>
  <c r="Q600" i="1" s="1"/>
  <c r="P291" i="1"/>
  <c r="Q291" i="1" s="1"/>
  <c r="P98" i="1"/>
  <c r="Q98" i="1" s="1"/>
  <c r="P1047" i="1"/>
  <c r="Q1047" i="1" s="1"/>
  <c r="P1335" i="1"/>
  <c r="Q1335" i="1" s="1"/>
  <c r="P1292" i="1"/>
  <c r="Q1292" i="1" s="1"/>
  <c r="P234" i="1"/>
  <c r="Q234" i="1" s="1"/>
  <c r="P711" i="1"/>
  <c r="Q711" i="1" s="1"/>
  <c r="P449" i="1"/>
  <c r="Q449" i="1" s="1"/>
  <c r="P112" i="1"/>
  <c r="Q112" i="1" s="1"/>
  <c r="P1588" i="1"/>
  <c r="Q1588" i="1" s="1"/>
  <c r="P577" i="1"/>
  <c r="Q577" i="1" s="1"/>
  <c r="P445" i="1"/>
  <c r="Q445" i="1" s="1"/>
  <c r="P314" i="1"/>
  <c r="Q314" i="1" s="1"/>
  <c r="P589" i="1"/>
  <c r="Q589" i="1" s="1"/>
  <c r="P1154" i="1"/>
  <c r="Q1154" i="1" s="1"/>
  <c r="P1676" i="1"/>
  <c r="Q1676" i="1" s="1"/>
  <c r="P1034" i="1"/>
  <c r="Q1034" i="1" s="1"/>
  <c r="P266" i="1"/>
  <c r="Q266" i="1" s="1"/>
  <c r="P635" i="1"/>
  <c r="Q635" i="1" s="1"/>
  <c r="P1478" i="1"/>
  <c r="Q1478" i="1" s="1"/>
  <c r="P199" i="1"/>
  <c r="Q199" i="1" s="1"/>
  <c r="P1484" i="1"/>
  <c r="Q1484" i="1" s="1"/>
  <c r="P270" i="1"/>
  <c r="Q270" i="1" s="1"/>
  <c r="P53" i="1"/>
  <c r="Q53" i="1" s="1"/>
  <c r="P1622" i="1"/>
  <c r="Q1622" i="1" s="1"/>
  <c r="P1954" i="1"/>
  <c r="Q1954" i="1" s="1"/>
  <c r="P1485" i="1"/>
  <c r="Q1485" i="1" s="1"/>
  <c r="P559" i="1"/>
  <c r="Q559" i="1" s="1"/>
  <c r="P1774" i="1"/>
  <c r="Q1774" i="1" s="1"/>
  <c r="P915" i="1"/>
  <c r="Q915" i="1" s="1"/>
  <c r="P130" i="1"/>
  <c r="Q130" i="1" s="1"/>
  <c r="P605" i="1"/>
  <c r="Q605" i="1" s="1"/>
  <c r="P375" i="1"/>
  <c r="Q375" i="1" s="1"/>
  <c r="P499" i="1"/>
  <c r="Q499" i="1" s="1"/>
  <c r="P1579" i="1"/>
  <c r="Q1579" i="1" s="1"/>
  <c r="P1336" i="1"/>
  <c r="Q1336" i="1" s="1"/>
  <c r="P1559" i="1"/>
  <c r="Q1559" i="1" s="1"/>
  <c r="P319" i="1"/>
  <c r="Q319" i="1" s="1"/>
  <c r="P976" i="1"/>
  <c r="Q976" i="1" s="1"/>
  <c r="P807" i="1"/>
  <c r="Q807" i="1" s="1"/>
  <c r="P1587" i="1"/>
  <c r="Q1587" i="1" s="1"/>
  <c r="P698" i="1"/>
  <c r="Q698" i="1" s="1"/>
  <c r="P106" i="1"/>
  <c r="Q106" i="1" s="1"/>
  <c r="P102" i="1"/>
  <c r="Q102" i="1" s="1"/>
  <c r="P636" i="1"/>
  <c r="Q636" i="1" s="1"/>
  <c r="P941" i="1"/>
  <c r="Q941" i="1" s="1"/>
  <c r="P664" i="1"/>
  <c r="Q664" i="1" s="1"/>
  <c r="P1340" i="1"/>
  <c r="Q1340" i="1" s="1"/>
  <c r="P964" i="1"/>
  <c r="Q964" i="1" s="1"/>
  <c r="P1503" i="1"/>
  <c r="Q1503" i="1" s="1"/>
  <c r="P1169" i="1"/>
  <c r="Q1169" i="1" s="1"/>
  <c r="P308" i="1"/>
  <c r="Q308" i="1" s="1"/>
  <c r="P583" i="1"/>
  <c r="Q583" i="1" s="1"/>
  <c r="P1401" i="1"/>
  <c r="Q1401" i="1" s="1"/>
  <c r="P137" i="1"/>
  <c r="Q137" i="1" s="1"/>
  <c r="P1741" i="1"/>
  <c r="Q1741" i="1" s="1"/>
  <c r="P1624" i="1"/>
  <c r="Q1624" i="1" s="1"/>
  <c r="P58" i="1"/>
  <c r="Q58" i="1" s="1"/>
  <c r="P505" i="1"/>
  <c r="Q505" i="1" s="1"/>
  <c r="P759" i="1"/>
  <c r="Q759" i="1" s="1"/>
  <c r="P166" i="1"/>
  <c r="Q166" i="1" s="1"/>
  <c r="P1075" i="1"/>
  <c r="Q1075" i="1" s="1"/>
  <c r="P1234" i="1"/>
  <c r="Q1234" i="1" s="1"/>
  <c r="P1264" i="1"/>
  <c r="Q1264" i="1" s="1"/>
  <c r="P962" i="1"/>
  <c r="Q962" i="1" s="1"/>
  <c r="P226" i="1"/>
  <c r="Q226" i="1" s="1"/>
  <c r="P1434" i="1"/>
  <c r="Q1434" i="1" s="1"/>
  <c r="P596" i="1"/>
  <c r="Q596" i="1" s="1"/>
  <c r="P327" i="1"/>
  <c r="Q327" i="1" s="1"/>
  <c r="P1844" i="1"/>
  <c r="Q1844" i="1" s="1"/>
  <c r="P891" i="1"/>
  <c r="Q891" i="1" s="1"/>
  <c r="P1508" i="1"/>
  <c r="Q1508" i="1" s="1"/>
  <c r="P276" i="1"/>
  <c r="Q276" i="1" s="1"/>
  <c r="P60" i="1"/>
  <c r="Q60" i="1" s="1"/>
  <c r="P912" i="1"/>
  <c r="Q912" i="1" s="1"/>
  <c r="P633" i="1"/>
  <c r="Q633" i="1" s="1"/>
  <c r="P551" i="1"/>
  <c r="Q551" i="1" s="1"/>
  <c r="P346" i="1"/>
  <c r="Q346" i="1" s="1"/>
  <c r="P359" i="1"/>
  <c r="Q359" i="1" s="1"/>
  <c r="P936" i="1"/>
  <c r="Q936" i="1" s="1"/>
  <c r="P1167" i="1"/>
  <c r="Q1167" i="1" s="1"/>
  <c r="P1164" i="1"/>
  <c r="Q1164" i="1" s="1"/>
  <c r="P491" i="1"/>
  <c r="Q491" i="1" s="1"/>
  <c r="P939" i="1"/>
  <c r="Q939" i="1" s="1"/>
  <c r="P1128" i="1"/>
  <c r="Q1128" i="1" s="1"/>
  <c r="P1138" i="1"/>
  <c r="Q1138" i="1" s="1"/>
  <c r="P1511" i="1"/>
  <c r="Q1511" i="1" s="1"/>
  <c r="P1294" i="1"/>
  <c r="Q1294" i="1" s="1"/>
  <c r="P1391" i="1"/>
  <c r="Q1391" i="1" s="1"/>
  <c r="P255" i="1"/>
  <c r="Q255" i="1" s="1"/>
  <c r="P1772" i="1"/>
  <c r="Q1772" i="1" s="1"/>
  <c r="P1592" i="1"/>
  <c r="Q1592" i="1" s="1"/>
  <c r="P464" i="1"/>
  <c r="Q464" i="1" s="1"/>
  <c r="P223" i="1"/>
  <c r="Q223" i="1" s="1"/>
  <c r="P420" i="1"/>
  <c r="Q420" i="1" s="1"/>
  <c r="P688" i="1"/>
  <c r="Q688" i="1" s="1"/>
  <c r="P642" i="1"/>
  <c r="Q642" i="1" s="1"/>
  <c r="P836" i="1"/>
  <c r="Q836" i="1" s="1"/>
  <c r="P845" i="1"/>
  <c r="Q845" i="1" s="1"/>
  <c r="P406" i="1"/>
  <c r="Q406" i="1" s="1"/>
  <c r="P1239" i="1"/>
  <c r="Q1239" i="1" s="1"/>
  <c r="P1331" i="1"/>
  <c r="Q1331" i="1" s="1"/>
  <c r="P873" i="1"/>
  <c r="Q873" i="1" s="1"/>
  <c r="P570" i="1"/>
  <c r="Q570" i="1" s="1"/>
  <c r="P640" i="1"/>
  <c r="Q640" i="1" s="1"/>
  <c r="P149" i="1"/>
  <c r="Q149" i="1" s="1"/>
  <c r="P182" i="1"/>
  <c r="Q182" i="1" s="1"/>
  <c r="P295" i="1"/>
  <c r="Q295" i="1" s="1"/>
  <c r="P1279" i="1"/>
  <c r="Q1279" i="1" s="1"/>
  <c r="P1214" i="1"/>
  <c r="Q1214" i="1" s="1"/>
  <c r="P1427" i="1"/>
  <c r="Q1427" i="1" s="1"/>
  <c r="P129" i="1"/>
  <c r="Q129" i="1" s="1"/>
  <c r="P1819" i="1"/>
  <c r="Q1819" i="1" s="1"/>
  <c r="P1620" i="1"/>
  <c r="Q1620" i="1" s="1"/>
  <c r="P1394" i="1"/>
  <c r="Q1394" i="1" s="1"/>
  <c r="P663" i="1"/>
  <c r="Q663" i="1" s="1"/>
  <c r="P669" i="1"/>
  <c r="Q669" i="1" s="1"/>
  <c r="P618" i="1"/>
  <c r="Q618" i="1" s="1"/>
  <c r="P1489" i="1"/>
  <c r="Q1489" i="1" s="1"/>
  <c r="P714" i="1"/>
  <c r="Q714" i="1" s="1"/>
  <c r="P1417" i="1"/>
  <c r="Q1417" i="1" s="1"/>
  <c r="P191" i="1"/>
  <c r="Q191" i="1" s="1"/>
  <c r="P874" i="1"/>
  <c r="Q874" i="1" s="1"/>
  <c r="P335" i="1"/>
  <c r="Q335" i="1" s="1"/>
  <c r="P251" i="1"/>
  <c r="Q251" i="1" s="1"/>
  <c r="P311" i="1"/>
  <c r="Q311" i="1" s="1"/>
  <c r="P1626" i="1"/>
  <c r="Q1626" i="1" s="1"/>
  <c r="P808" i="1"/>
  <c r="Q808" i="1" s="1"/>
  <c r="P1134" i="1"/>
  <c r="Q1134" i="1" s="1"/>
  <c r="P956" i="1"/>
  <c r="Q956" i="1" s="1"/>
  <c r="P1273" i="1"/>
  <c r="Q1273" i="1" s="1"/>
  <c r="P1440" i="1"/>
  <c r="Q1440" i="1" s="1"/>
  <c r="P670" i="1"/>
  <c r="Q670" i="1" s="1"/>
  <c r="P568" i="1"/>
  <c r="Q568" i="1" s="1"/>
  <c r="P435" i="1"/>
  <c r="Q435" i="1" s="1"/>
  <c r="P89" i="1"/>
  <c r="Q89" i="1" s="1"/>
  <c r="P111" i="1"/>
  <c r="Q111" i="1" s="1"/>
  <c r="P1769" i="1"/>
  <c r="Q1769" i="1" s="1"/>
  <c r="P666" i="1"/>
  <c r="Q666" i="1" s="1"/>
  <c r="P1116" i="1"/>
  <c r="Q1116" i="1" s="1"/>
  <c r="P1474" i="1"/>
  <c r="Q1474" i="1" s="1"/>
  <c r="P754" i="1"/>
  <c r="Q754" i="1" s="1"/>
  <c r="P1347" i="1"/>
  <c r="Q1347" i="1" s="1"/>
  <c r="P822" i="1"/>
  <c r="Q822" i="1" s="1"/>
  <c r="P675" i="1"/>
  <c r="Q675" i="1" s="1"/>
  <c r="P145" i="1"/>
  <c r="Q145" i="1" s="1"/>
  <c r="P414" i="1"/>
  <c r="Q414" i="1" s="1"/>
  <c r="P1283" i="1"/>
  <c r="Q1283" i="1" s="1"/>
  <c r="P1423" i="1"/>
  <c r="Q1423" i="1" s="1"/>
  <c r="P1892" i="1"/>
  <c r="Q1892" i="1" s="1"/>
  <c r="P250" i="1"/>
  <c r="Q250" i="1" s="1"/>
  <c r="P794" i="1"/>
  <c r="Q794" i="1" s="1"/>
  <c r="P150" i="1"/>
  <c r="Q150" i="1" s="1"/>
  <c r="P187" i="1"/>
  <c r="Q187" i="1" s="1"/>
  <c r="P1083" i="1"/>
  <c r="Q1083" i="1" s="1"/>
  <c r="P104" i="1"/>
  <c r="Q104" i="1" s="1"/>
  <c r="P1849" i="1"/>
  <c r="Q1849" i="1" s="1"/>
  <c r="P1280" i="1"/>
  <c r="Q1280" i="1" s="1"/>
  <c r="P574" i="1"/>
  <c r="Q574" i="1" s="1"/>
  <c r="P198" i="1"/>
  <c r="Q198" i="1" s="1"/>
  <c r="P220" i="1"/>
  <c r="Q220" i="1" s="1"/>
  <c r="P1449" i="1"/>
  <c r="Q1449" i="1" s="1"/>
  <c r="P1522" i="1"/>
  <c r="Q1522" i="1" s="1"/>
  <c r="P1617" i="1"/>
  <c r="Q1617" i="1" s="1"/>
  <c r="P1782" i="1"/>
  <c r="Q1782" i="1" s="1"/>
  <c r="P377" i="1"/>
  <c r="Q377" i="1" s="1"/>
  <c r="P884" i="1"/>
  <c r="Q884" i="1" s="1"/>
  <c r="P1284" i="1"/>
  <c r="P248" i="1"/>
  <c r="Q248" i="1" s="1"/>
  <c r="P1266" i="1"/>
  <c r="Q1266" i="1" s="1"/>
  <c r="P554" i="1"/>
  <c r="Q554" i="1" s="1"/>
  <c r="P591" i="1"/>
  <c r="Q591" i="1" s="1"/>
  <c r="P160" i="1"/>
  <c r="Q160" i="1" s="1"/>
  <c r="P207" i="1"/>
  <c r="Q207" i="1" s="1"/>
  <c r="P1429" i="1"/>
  <c r="Q1429" i="1" s="1"/>
  <c r="P1061" i="1"/>
  <c r="Q1061" i="1" s="1"/>
  <c r="P896" i="1"/>
  <c r="Q896" i="1" s="1"/>
  <c r="P283" i="1"/>
  <c r="Q283" i="1" s="1"/>
  <c r="P224" i="1"/>
  <c r="Q224" i="1" s="1"/>
  <c r="P427" i="1"/>
  <c r="Q427" i="1" s="1"/>
  <c r="P1574" i="1"/>
  <c r="Q1574" i="1" s="1"/>
  <c r="P684" i="1"/>
  <c r="Q684" i="1" s="1"/>
  <c r="P611" i="1"/>
  <c r="Q611" i="1" s="1"/>
  <c r="P1069" i="1"/>
  <c r="Q1069" i="1" s="1"/>
  <c r="P1056" i="1"/>
  <c r="Q1056" i="1" s="1"/>
  <c r="P1338" i="1"/>
  <c r="Q1338" i="1" s="1"/>
  <c r="P1531" i="1"/>
  <c r="Q1531" i="1" s="1"/>
  <c r="P1093" i="1"/>
  <c r="Q1093" i="1" s="1"/>
  <c r="P368" i="1"/>
  <c r="Q368" i="1" s="1"/>
  <c r="P1402" i="1"/>
  <c r="Q1402" i="1" s="1"/>
  <c r="P1001" i="1"/>
  <c r="Q1001" i="1" s="1"/>
  <c r="P1142" i="1"/>
  <c r="Q1142" i="1" s="1"/>
  <c r="P1245" i="1"/>
  <c r="Q1245" i="1" s="1"/>
  <c r="P1501" i="1"/>
  <c r="Q1501" i="1" s="1"/>
  <c r="P1852" i="1"/>
  <c r="Q1852" i="1" s="1"/>
  <c r="P257" i="1"/>
  <c r="Q257" i="1" s="1"/>
  <c r="P109" i="1"/>
  <c r="Q109" i="1" s="1"/>
  <c r="P79" i="1"/>
  <c r="Q79" i="1" s="1"/>
  <c r="P90" i="1"/>
  <c r="Q90" i="1" s="1"/>
  <c r="P1218" i="1"/>
  <c r="Q1218" i="1" s="1"/>
  <c r="P841" i="1"/>
  <c r="Q841" i="1" s="1"/>
  <c r="P221" i="1"/>
  <c r="Q221" i="1" s="1"/>
  <c r="P476" i="1"/>
  <c r="Q476" i="1" s="1"/>
  <c r="P796" i="1"/>
  <c r="Q796" i="1" s="1"/>
  <c r="P1384" i="1"/>
  <c r="Q1384" i="1" s="1"/>
  <c r="P594" i="1"/>
  <c r="Q594" i="1" s="1"/>
  <c r="P165" i="1"/>
  <c r="Q165" i="1" s="1"/>
  <c r="P1773" i="1"/>
  <c r="Q1773" i="1" s="1"/>
  <c r="P77" i="1"/>
  <c r="Q77" i="1" s="1"/>
  <c r="P103" i="1"/>
  <c r="Q103" i="1" s="1"/>
  <c r="P454" i="1"/>
  <c r="Q454" i="1" s="1"/>
  <c r="P1374" i="1"/>
  <c r="Q1374" i="1" s="1"/>
  <c r="P809" i="1"/>
  <c r="Q809" i="1" s="1"/>
  <c r="P1370" i="1"/>
  <c r="Q1370" i="1" s="1"/>
  <c r="P1147" i="1"/>
  <c r="Q1147" i="1" s="1"/>
  <c r="P848" i="1"/>
  <c r="Q848" i="1" s="1"/>
  <c r="P1150" i="1"/>
  <c r="Q1150" i="1" s="1"/>
  <c r="P353" i="1"/>
  <c r="Q353" i="1" s="1"/>
  <c r="P1465" i="1"/>
  <c r="Q1465" i="1" s="1"/>
  <c r="P578" i="1"/>
  <c r="Q578" i="1" s="1"/>
  <c r="P1669" i="1"/>
  <c r="Q1669" i="1" s="1"/>
  <c r="P1077" i="1"/>
  <c r="Q1077" i="1" s="1"/>
  <c r="P925" i="1"/>
  <c r="Q925" i="1" s="1"/>
  <c r="P1060" i="1"/>
  <c r="Q1060" i="1" s="1"/>
  <c r="P318" i="1"/>
  <c r="Q318" i="1" s="1"/>
  <c r="P1687" i="1"/>
  <c r="Q1687" i="1" s="1"/>
  <c r="P747" i="1"/>
  <c r="Q747" i="1" s="1"/>
  <c r="P1554" i="1"/>
  <c r="Q1554" i="1" s="1"/>
  <c r="P1387" i="1"/>
  <c r="Q1387" i="1" s="1"/>
  <c r="P785" i="1"/>
  <c r="Q785" i="1" s="1"/>
  <c r="P189" i="1"/>
  <c r="Q189" i="1" s="1"/>
  <c r="P212" i="1"/>
  <c r="Q212" i="1" s="1"/>
  <c r="P1099" i="1"/>
  <c r="Q1099" i="1" s="1"/>
  <c r="P240" i="1"/>
  <c r="Q240" i="1" s="1"/>
  <c r="P107" i="1"/>
  <c r="Q107" i="1" s="1"/>
  <c r="P1409" i="1"/>
  <c r="Q1409" i="1" s="1"/>
  <c r="P249" i="1"/>
  <c r="Q249" i="1" s="1"/>
  <c r="P421" i="1"/>
  <c r="Q421" i="1" s="1"/>
  <c r="P1818" i="1"/>
  <c r="Q1818" i="1" s="1"/>
  <c r="P752" i="1"/>
  <c r="Q752" i="1" s="1"/>
  <c r="P617" i="1"/>
  <c r="Q617" i="1" s="1"/>
  <c r="P1389" i="1"/>
  <c r="Q1389" i="1" s="1"/>
  <c r="P235" i="1"/>
  <c r="Q235" i="1" s="1"/>
  <c r="P1422" i="1"/>
  <c r="Q1422" i="1" s="1"/>
  <c r="P1188" i="1"/>
  <c r="Q1188" i="1" s="1"/>
  <c r="P201" i="1"/>
  <c r="Q201" i="1" s="1"/>
  <c r="P403" i="1"/>
  <c r="Q403" i="1" s="1"/>
  <c r="P110" i="1"/>
  <c r="Q110" i="1" s="1"/>
  <c r="P1377" i="1"/>
  <c r="Q1377" i="1" s="1"/>
  <c r="P192" i="1"/>
  <c r="Q192" i="1" s="1"/>
  <c r="P333" i="1"/>
  <c r="Q333" i="1" s="1"/>
  <c r="P1779" i="1"/>
  <c r="Q1779" i="1" s="1"/>
  <c r="P301" i="1"/>
  <c r="Q301" i="1" s="1"/>
  <c r="P1348" i="1"/>
  <c r="Q1348" i="1" s="1"/>
  <c r="P479" i="1"/>
  <c r="Q479" i="1" s="1"/>
  <c r="P1684" i="1"/>
  <c r="Q1684" i="1" s="1"/>
  <c r="P565" i="1"/>
  <c r="Q565" i="1" s="1"/>
  <c r="P1032" i="1"/>
  <c r="Q1032" i="1" s="1"/>
  <c r="P552" i="1"/>
  <c r="Q552" i="1" s="1"/>
  <c r="P1248" i="1"/>
  <c r="Q1248" i="1" s="1"/>
  <c r="P205" i="1"/>
  <c r="Q205" i="1" s="1"/>
  <c r="P487" i="1"/>
  <c r="Q487" i="1" s="1"/>
  <c r="P1745" i="1"/>
  <c r="Q1745" i="1" s="1"/>
  <c r="P1594" i="1"/>
  <c r="Q1594" i="1" s="1"/>
  <c r="P643" i="1"/>
  <c r="Q643" i="1" s="1"/>
  <c r="P271" i="1"/>
  <c r="Q271" i="1" s="1"/>
  <c r="P1237" i="1"/>
  <c r="Q1237" i="1" s="1"/>
  <c r="P1806" i="1"/>
  <c r="Q1806" i="1" s="1"/>
  <c r="P699" i="1"/>
  <c r="Q699" i="1" s="1"/>
  <c r="P756" i="1"/>
  <c r="Q756" i="1" s="1"/>
  <c r="P1373" i="1"/>
  <c r="Q1373" i="1" s="1"/>
  <c r="P338" i="1"/>
  <c r="Q338" i="1" s="1"/>
  <c r="P652" i="1"/>
  <c r="Q652" i="1" s="1"/>
  <c r="P1846" i="1"/>
  <c r="Q1846" i="1" s="1"/>
  <c r="P465" i="1"/>
  <c r="Q465" i="1" s="1"/>
  <c r="P1480" i="1"/>
  <c r="Q1480" i="1" s="1"/>
  <c r="P638" i="1"/>
  <c r="Q638" i="1" s="1"/>
  <c r="P533" i="1"/>
  <c r="Q533" i="1" s="1"/>
  <c r="P196" i="1"/>
  <c r="Q196" i="1" s="1"/>
  <c r="P763" i="1"/>
  <c r="Q763" i="1" s="1"/>
  <c r="P1201" i="1"/>
  <c r="Q1201" i="1" s="1"/>
  <c r="P1663" i="1"/>
  <c r="Q1663" i="1" s="1"/>
  <c r="P164" i="1"/>
  <c r="Q164" i="1" s="1"/>
  <c r="P1646" i="1"/>
  <c r="Q1646" i="1" s="1"/>
  <c r="P1339" i="1"/>
  <c r="Q1339" i="1" s="1"/>
  <c r="P345" i="1"/>
  <c r="Q345" i="1" s="1"/>
  <c r="P696" i="1"/>
  <c r="Q696" i="1" s="1"/>
  <c r="P1719" i="1"/>
  <c r="Q1719" i="1" s="1"/>
  <c r="P613" i="1"/>
  <c r="Q613" i="1" s="1"/>
  <c r="P1014" i="1"/>
  <c r="Q1014" i="1" s="1"/>
  <c r="P1006" i="1"/>
  <c r="Q1006" i="1" s="1"/>
  <c r="P1369" i="1"/>
  <c r="Q1369" i="1" s="1"/>
  <c r="P312" i="1"/>
  <c r="Q312" i="1" s="1"/>
  <c r="P471" i="1"/>
  <c r="Q471" i="1" s="1"/>
  <c r="P657" i="1"/>
  <c r="Q657" i="1" s="1"/>
  <c r="P349" i="1"/>
  <c r="Q349" i="1" s="1"/>
  <c r="P1146" i="1"/>
  <c r="Q1146" i="1" s="1"/>
  <c r="P1364" i="1"/>
  <c r="Q1364" i="1" s="1"/>
  <c r="P1683" i="1"/>
  <c r="Q1683" i="1" s="1"/>
  <c r="P96" i="1"/>
  <c r="Q96" i="1" s="1"/>
  <c r="P682" i="1"/>
  <c r="Q682" i="1" s="1"/>
  <c r="P1809" i="1"/>
  <c r="Q1809" i="1" s="1"/>
  <c r="P898" i="1"/>
  <c r="Q898" i="1" s="1"/>
  <c r="P922" i="1"/>
  <c r="Q922" i="1" s="1"/>
  <c r="P817" i="1"/>
  <c r="Q817" i="1" s="1"/>
  <c r="P814" i="1"/>
  <c r="Q814" i="1" s="1"/>
  <c r="P954" i="1"/>
  <c r="Q954" i="1" s="1"/>
  <c r="P1011" i="1"/>
  <c r="Q1011" i="1" s="1"/>
  <c r="P540" i="1"/>
  <c r="Q540" i="1" s="1"/>
  <c r="P376" i="1"/>
  <c r="Q376" i="1" s="1"/>
  <c r="P1452" i="1"/>
  <c r="Q1452" i="1" s="1"/>
  <c r="P263" i="1"/>
  <c r="Q263" i="1" s="1"/>
  <c r="P466" i="1"/>
  <c r="Q466" i="1" s="1"/>
  <c r="P1837" i="1"/>
  <c r="Q1837" i="1" s="1"/>
  <c r="P1845" i="1"/>
  <c r="Q1845" i="1" s="1"/>
  <c r="P1840" i="1"/>
  <c r="Q1840" i="1" s="1"/>
  <c r="P231" i="1"/>
  <c r="Q231" i="1" s="1"/>
  <c r="P980" i="1"/>
  <c r="Q980" i="1" s="1"/>
  <c r="P1140" i="1"/>
  <c r="Q1140" i="1" s="1"/>
  <c r="P462" i="1"/>
  <c r="Q462" i="1" s="1"/>
  <c r="P1079" i="1"/>
  <c r="Q1079" i="1" s="1"/>
  <c r="P1611" i="1"/>
  <c r="Q1611" i="1" s="1"/>
  <c r="P967" i="1"/>
  <c r="Q967" i="1" s="1"/>
  <c r="P1358" i="1"/>
  <c r="Q1358" i="1" s="1"/>
  <c r="P868" i="1"/>
  <c r="Q868" i="1" s="1"/>
  <c r="P957" i="1"/>
  <c r="Q957" i="1" s="1"/>
  <c r="P1109" i="1"/>
  <c r="Q1109" i="1" s="1"/>
  <c r="P525" i="1"/>
  <c r="Q525" i="1" s="1"/>
  <c r="P114" i="1"/>
  <c r="Q114" i="1" s="1"/>
  <c r="P1035" i="1"/>
  <c r="Q1035" i="1" s="1"/>
  <c r="P970" i="1"/>
  <c r="Q970" i="1" s="1"/>
  <c r="P1546" i="1"/>
  <c r="Q1546" i="1" s="1"/>
  <c r="P459" i="1"/>
  <c r="Q459" i="1" s="1"/>
  <c r="P553" i="1"/>
  <c r="Q553" i="1" s="1"/>
  <c r="P1469" i="1"/>
  <c r="Q1469" i="1" s="1"/>
  <c r="P344" i="1"/>
  <c r="Q344" i="1" s="1"/>
  <c r="P1767" i="1"/>
  <c r="Q1767" i="1" s="1"/>
  <c r="P229" i="1"/>
  <c r="Q229" i="1" s="1"/>
  <c r="P825" i="1"/>
  <c r="Q825" i="1" s="1"/>
  <c r="P411" i="1"/>
  <c r="Q411" i="1" s="1"/>
  <c r="P660" i="1"/>
  <c r="Q660" i="1" s="1"/>
  <c r="P1470" i="1"/>
  <c r="Q1470" i="1" s="1"/>
  <c r="P417" i="1"/>
  <c r="Q417" i="1" s="1"/>
  <c r="P1066" i="1"/>
  <c r="Q1066" i="1" s="1"/>
  <c r="P1569" i="1"/>
  <c r="Q1569" i="1" s="1"/>
  <c r="P850" i="1"/>
  <c r="Q850" i="1" s="1"/>
  <c r="P819" i="1"/>
  <c r="Q819" i="1" s="1"/>
  <c r="P1052" i="1"/>
  <c r="Q1052" i="1" s="1"/>
  <c r="P1353" i="1"/>
  <c r="Q1353" i="1" s="1"/>
  <c r="P890" i="1"/>
  <c r="Q890" i="1" s="1"/>
  <c r="P361" i="1"/>
  <c r="Q361" i="1" s="1"/>
  <c r="P1312" i="1"/>
  <c r="Q1312" i="1" s="1"/>
  <c r="P1148" i="1"/>
  <c r="Q1148" i="1" s="1"/>
  <c r="P1518" i="1"/>
  <c r="Q1518" i="1" s="1"/>
  <c r="P1103" i="1"/>
  <c r="Q1103" i="1" s="1"/>
  <c r="P1314" i="1"/>
  <c r="Q1314" i="1" s="1"/>
  <c r="P556" i="1"/>
  <c r="Q556" i="1" s="1"/>
  <c r="P402" i="1"/>
  <c r="Q402" i="1" s="1"/>
  <c r="P1334" i="1"/>
  <c r="Q1334" i="1" s="1"/>
  <c r="P1432" i="1"/>
  <c r="Q1432" i="1" s="1"/>
  <c r="P1898" i="1"/>
  <c r="Q1898" i="1" s="1"/>
  <c r="P537" i="1"/>
  <c r="Q537" i="1" s="1"/>
  <c r="P1479" i="1"/>
  <c r="Q1479" i="1" s="1"/>
  <c r="P609" i="1"/>
  <c r="Q609" i="1" s="1"/>
  <c r="P1442" i="1"/>
  <c r="Q1442" i="1" s="1"/>
  <c r="P332" i="1"/>
  <c r="Q332" i="1" s="1"/>
  <c r="P1653" i="1"/>
  <c r="Q1653" i="1" s="1"/>
  <c r="P1491" i="1"/>
  <c r="Q1491" i="1" s="1"/>
  <c r="P222" i="1"/>
  <c r="Q222" i="1" s="1"/>
  <c r="P792" i="1"/>
  <c r="Q792" i="1" s="1"/>
  <c r="P751" i="1"/>
  <c r="Q751" i="1" s="1"/>
  <c r="P766" i="1"/>
  <c r="Q766" i="1" s="1"/>
  <c r="P158" i="1"/>
  <c r="Q158" i="1" s="1"/>
  <c r="P115" i="1"/>
  <c r="Q115" i="1" s="1"/>
  <c r="P1811" i="1"/>
  <c r="Q1811" i="1" s="1"/>
  <c r="P1009" i="1"/>
  <c r="Q1009" i="1" s="1"/>
  <c r="P1656" i="1"/>
  <c r="Q1656" i="1" s="1"/>
  <c r="P393" i="1"/>
  <c r="Q393" i="1" s="1"/>
  <c r="P1441" i="1"/>
  <c r="Q1441" i="1" s="1"/>
  <c r="P1577" i="1"/>
  <c r="Q1577" i="1" s="1"/>
  <c r="P1581" i="1"/>
  <c r="Q1581" i="1" s="1"/>
  <c r="P730" i="1"/>
  <c r="Q730" i="1" s="1"/>
  <c r="P298" i="1"/>
  <c r="Q298" i="1" s="1"/>
  <c r="P1679" i="1"/>
  <c r="Q1679" i="1" s="1"/>
  <c r="P1517" i="1"/>
  <c r="Q1517" i="1" s="1"/>
  <c r="P1228" i="1"/>
  <c r="Q1228" i="1" s="1"/>
  <c r="P433" i="1"/>
  <c r="Q433" i="1" s="1"/>
  <c r="P700" i="1"/>
  <c r="Q700" i="1" s="1"/>
  <c r="P1363" i="1"/>
  <c r="Q1363" i="1" s="1"/>
  <c r="P933" i="1"/>
  <c r="Q933" i="1" s="1"/>
  <c r="P180" i="1"/>
  <c r="Q180" i="1" s="1"/>
  <c r="P856" i="1"/>
  <c r="Q856" i="1" s="1"/>
  <c r="P793" i="1"/>
  <c r="Q793" i="1" s="1"/>
  <c r="P1488" i="1"/>
  <c r="Q1488" i="1" s="1"/>
  <c r="P1516" i="1"/>
  <c r="Q1516" i="1" s="1"/>
  <c r="P783" i="1"/>
  <c r="Q783" i="1" s="1"/>
  <c r="P859" i="1"/>
  <c r="Q859" i="1" s="1"/>
  <c r="P477" i="1"/>
  <c r="Q477" i="1" s="1"/>
  <c r="P723" i="1"/>
  <c r="Q723" i="1" s="1"/>
  <c r="P1036" i="1"/>
  <c r="Q1036" i="1" s="1"/>
  <c r="P602" i="1"/>
  <c r="Q602" i="1" s="1"/>
  <c r="P1528" i="1"/>
  <c r="Q1528" i="1" s="1"/>
  <c r="P1600" i="1"/>
  <c r="Q1600" i="1" s="1"/>
  <c r="P1549" i="1"/>
  <c r="Q1549" i="1" s="1"/>
  <c r="P558" i="1"/>
  <c r="Q558" i="1" s="1"/>
  <c r="P1326" i="1"/>
  <c r="Q1326" i="1" s="1"/>
  <c r="P1039" i="1"/>
  <c r="Q1039" i="1" s="1"/>
  <c r="P1666" i="1"/>
  <c r="Q1666" i="1" s="1"/>
  <c r="P1512" i="1"/>
  <c r="Q1512" i="1" s="1"/>
  <c r="P576" i="1"/>
  <c r="Q576" i="1" s="1"/>
  <c r="P267" i="1"/>
  <c r="Q267" i="1" s="1"/>
  <c r="P1416" i="1"/>
  <c r="Q1416" i="1" s="1"/>
  <c r="P757" i="1"/>
  <c r="Q757" i="1" s="1"/>
  <c r="P126" i="1"/>
  <c r="Q126" i="1" s="1"/>
  <c r="P729" i="1"/>
  <c r="Q729" i="1" s="1"/>
  <c r="P1038" i="1"/>
  <c r="Q1038" i="1" s="1"/>
  <c r="P843" i="1"/>
  <c r="Q843" i="1" s="1"/>
  <c r="P1162" i="1"/>
  <c r="Q1162" i="1" s="1"/>
  <c r="P1235" i="1"/>
  <c r="Q1235" i="1" s="1"/>
  <c r="P146" i="1"/>
  <c r="Q146" i="1" s="1"/>
  <c r="P1437" i="1"/>
  <c r="Q1437" i="1" s="1"/>
  <c r="P243" i="1"/>
  <c r="Q243" i="1" s="1"/>
  <c r="P625" i="1"/>
  <c r="Q625" i="1" s="1"/>
  <c r="P260" i="1"/>
  <c r="Q260" i="1" s="1"/>
  <c r="P134" i="1"/>
  <c r="Q134" i="1" s="1"/>
  <c r="P439" i="1"/>
  <c r="Q439" i="1" s="1"/>
  <c r="P798" i="1"/>
  <c r="Q798" i="1" s="1"/>
  <c r="P1590" i="1"/>
  <c r="Q1590" i="1" s="1"/>
  <c r="P1368" i="1"/>
  <c r="Q1368" i="1" s="1"/>
  <c r="P770" i="1"/>
  <c r="Q770" i="1" s="1"/>
  <c r="P1810" i="1"/>
  <c r="Q1810" i="1" s="1"/>
  <c r="P1568" i="1"/>
  <c r="Q1568" i="1" s="1"/>
  <c r="P450" i="1"/>
  <c r="Q450" i="1" s="1"/>
  <c r="P741" i="1"/>
  <c r="Q741" i="1" s="1"/>
  <c r="P870" i="1"/>
  <c r="Q870" i="1" s="1"/>
  <c r="P597" i="1"/>
  <c r="Q597" i="1" s="1"/>
  <c r="P1296" i="1"/>
  <c r="Q1296" i="1" s="1"/>
  <c r="P849" i="1"/>
  <c r="Q849" i="1" s="1"/>
  <c r="P495" i="1"/>
  <c r="Q495" i="1" s="1"/>
  <c r="P514" i="1"/>
  <c r="Q514" i="1" s="1"/>
  <c r="P1668" i="1"/>
  <c r="Q1668" i="1" s="1"/>
  <c r="P463" i="1"/>
  <c r="Q463" i="1" s="1"/>
  <c r="P1003" i="1"/>
  <c r="Q1003" i="1" s="1"/>
  <c r="P1179" i="1"/>
  <c r="Q1179" i="1" s="1"/>
  <c r="P744" i="1"/>
  <c r="Q744" i="1" s="1"/>
  <c r="P1199" i="1"/>
  <c r="Q1199" i="1" s="1"/>
  <c r="P209" i="1"/>
  <c r="Q209" i="1" s="1"/>
  <c r="P1621" i="1"/>
  <c r="Q1621" i="1" s="1"/>
  <c r="P974" i="1"/>
  <c r="Q974" i="1" s="1"/>
  <c r="P513" i="1"/>
  <c r="Q513" i="1" s="1"/>
  <c r="P1183" i="1"/>
  <c r="Q1183" i="1" s="1"/>
  <c r="P1566" i="1"/>
  <c r="Q1566" i="1" s="1"/>
  <c r="P1652" i="1"/>
  <c r="Q1652" i="1" s="1"/>
  <c r="P1289" i="1"/>
  <c r="Q1289" i="1" s="1"/>
  <c r="P1275" i="1"/>
  <c r="Q1275" i="1" s="1"/>
  <c r="P1428" i="1"/>
  <c r="Q1428" i="1" s="1"/>
  <c r="P561" i="1"/>
  <c r="Q561" i="1" s="1"/>
  <c r="P797" i="1"/>
  <c r="Q797" i="1" s="1"/>
  <c r="P84" i="1"/>
  <c r="Q84" i="1" s="1"/>
  <c r="P67" i="1"/>
  <c r="Q67" i="1" s="1"/>
  <c r="P1291" i="1"/>
  <c r="Q1291" i="1" s="1"/>
  <c r="P624" i="1"/>
  <c r="Q624" i="1" s="1"/>
  <c r="P728" i="1"/>
  <c r="Q728" i="1" s="1"/>
  <c r="P1173" i="1"/>
  <c r="Q1173" i="1" s="1"/>
  <c r="P1529" i="1"/>
  <c r="Q1529" i="1" s="1"/>
  <c r="P857" i="1"/>
  <c r="Q857" i="1" s="1"/>
  <c r="P1734" i="1"/>
  <c r="Q1734" i="1" s="1"/>
  <c r="P1354" i="1"/>
  <c r="Q1354" i="1" s="1"/>
  <c r="P1616" i="1"/>
  <c r="Q1616" i="1" s="1"/>
  <c r="P95" i="1"/>
  <c r="Q95" i="1" s="1"/>
  <c r="P886" i="1"/>
  <c r="Q886" i="1" s="1"/>
  <c r="P1108" i="1"/>
  <c r="Q1108" i="1" s="1"/>
  <c r="P1462" i="1"/>
  <c r="Q1462" i="1" s="1"/>
  <c r="P1396" i="1"/>
  <c r="Q1396" i="1" s="1"/>
  <c r="P138" i="1"/>
  <c r="Q138" i="1" s="1"/>
  <c r="P72" i="1"/>
  <c r="Q72" i="1" s="1"/>
  <c r="P572" i="1"/>
  <c r="Q572" i="1" s="1"/>
  <c r="P1804" i="1"/>
  <c r="Q1804" i="1" s="1"/>
  <c r="P1087" i="1"/>
  <c r="Q1087" i="1" s="1"/>
  <c r="P170" i="1"/>
  <c r="Q170" i="1" s="1"/>
  <c r="P1492" i="1"/>
  <c r="Q1492" i="1" s="1"/>
  <c r="P1777" i="1"/>
  <c r="Q1777" i="1" s="1"/>
  <c r="P1848" i="1"/>
  <c r="Q1848" i="1" s="1"/>
  <c r="P1851" i="1"/>
  <c r="Q1851" i="1" s="1"/>
  <c r="P1415" i="1"/>
  <c r="Q1415" i="1" s="1"/>
  <c r="P483" i="1"/>
  <c r="Q483" i="1" s="1"/>
  <c r="P441" i="1"/>
  <c r="Q441" i="1" s="1"/>
  <c r="P1208" i="1"/>
  <c r="Q1208" i="1" s="1"/>
  <c r="P1341" i="1"/>
  <c r="Q1341" i="1" s="1"/>
  <c r="P762" i="1"/>
  <c r="Q762" i="1" s="1"/>
  <c r="P1058" i="1"/>
  <c r="Q1058" i="1" s="1"/>
  <c r="P779" i="1"/>
  <c r="Q779" i="1" s="1"/>
  <c r="P923" i="1"/>
  <c r="Q923" i="1" s="1"/>
  <c r="P1271" i="1"/>
  <c r="Q1271" i="1" s="1"/>
  <c r="P1770" i="1"/>
  <c r="Q1770" i="1" s="1"/>
  <c r="P968" i="1"/>
  <c r="Q968" i="1" s="1"/>
  <c r="P835" i="1"/>
  <c r="Q835" i="1" s="1"/>
  <c r="P1170" i="1"/>
  <c r="Q1170" i="1" s="1"/>
  <c r="P1163" i="1"/>
  <c r="Q1163" i="1" s="1"/>
  <c r="P1382" i="1"/>
  <c r="Q1382" i="1" s="1"/>
  <c r="P151" i="1"/>
  <c r="Q151" i="1" s="1"/>
  <c r="P38" i="1"/>
  <c r="Q38" i="1" s="1"/>
  <c r="P507" i="1"/>
  <c r="Q507" i="1" s="1"/>
  <c r="P296" i="1"/>
  <c r="Q296" i="1" s="1"/>
  <c r="P614" i="1"/>
  <c r="Q614" i="1" s="1"/>
  <c r="P1113" i="1"/>
  <c r="Q1113" i="1" s="1"/>
  <c r="P230" i="1"/>
  <c r="Q230" i="1" s="1"/>
  <c r="P241" i="1"/>
  <c r="Q241" i="1" s="1"/>
  <c r="P59" i="1"/>
  <c r="Q59" i="1" s="1"/>
  <c r="P1215" i="1"/>
  <c r="Q1215" i="1" s="1"/>
  <c r="P921" i="1"/>
  <c r="Q921" i="1" s="1"/>
  <c r="P1673" i="1"/>
  <c r="Q1673" i="1" s="1"/>
  <c r="P1024" i="1"/>
  <c r="Q1024" i="1" s="1"/>
  <c r="P929" i="1"/>
  <c r="Q929" i="1" s="1"/>
  <c r="P139" i="1"/>
  <c r="Q139" i="1" s="1"/>
  <c r="P85" i="1"/>
  <c r="Q85" i="1" s="1"/>
  <c r="P54" i="1"/>
  <c r="Q54" i="1" s="1"/>
  <c r="P1586" i="1"/>
  <c r="Q1586" i="1" s="1"/>
  <c r="P284" i="1"/>
  <c r="Q284" i="1" s="1"/>
  <c r="P622" i="1"/>
  <c r="Q622" i="1" s="1"/>
  <c r="P667" i="1"/>
  <c r="Q667" i="1" s="1"/>
  <c r="P654" i="1"/>
  <c r="Q654" i="1" s="1"/>
  <c r="P672" i="1"/>
  <c r="Q672" i="1" s="1"/>
  <c r="P347" i="1"/>
  <c r="Q347" i="1" s="1"/>
  <c r="P438" i="1"/>
  <c r="Q438" i="1" s="1"/>
  <c r="P492" i="1"/>
  <c r="Q492" i="1" s="1"/>
  <c r="P1443" i="1"/>
  <c r="Q1443" i="1" s="1"/>
  <c r="P1365" i="1"/>
  <c r="Q1365" i="1" s="1"/>
  <c r="P1196" i="1"/>
  <c r="Q1196" i="1" s="1"/>
  <c r="P1258" i="1"/>
  <c r="Q1258" i="1" s="1"/>
  <c r="P1078" i="1"/>
  <c r="Q1078" i="1" s="1"/>
  <c r="P94" i="1"/>
  <c r="Q94" i="1" s="1"/>
  <c r="P1509" i="1"/>
  <c r="Q1509" i="1" s="1"/>
  <c r="P1784" i="1"/>
  <c r="Q1784" i="1" s="1"/>
  <c r="P534" i="1"/>
  <c r="Q534" i="1" s="1"/>
  <c r="P278" i="1"/>
  <c r="Q278" i="1" s="1"/>
  <c r="P360" i="1"/>
  <c r="Q360" i="1" s="1"/>
  <c r="P1576" i="1"/>
  <c r="Q1576" i="1" s="1"/>
  <c r="P176" i="1"/>
  <c r="Q176" i="1" s="1"/>
  <c r="P183" i="1"/>
  <c r="Q183" i="1" s="1"/>
  <c r="P152" i="1"/>
  <c r="Q152" i="1" s="1"/>
  <c r="P691" i="1"/>
  <c r="Q691" i="1" s="1"/>
  <c r="P61" i="1"/>
  <c r="Q61" i="1" s="1"/>
  <c r="P1875" i="1"/>
  <c r="Q1875" i="1" s="1"/>
  <c r="P1371" i="1"/>
  <c r="Q1371" i="1" s="1"/>
  <c r="P1515" i="1"/>
  <c r="Q1515" i="1" s="1"/>
  <c r="P520" i="1"/>
  <c r="Q520" i="1" s="1"/>
  <c r="P1551" i="1"/>
  <c r="Q1551" i="1" s="1"/>
  <c r="P1139" i="1"/>
  <c r="Q1139" i="1" s="1"/>
  <c r="P1270" i="1"/>
  <c r="Q1270" i="1" s="1"/>
  <c r="P1349" i="1"/>
  <c r="Q1349" i="1" s="1"/>
  <c r="P378" i="1"/>
  <c r="Q378" i="1" s="1"/>
  <c r="P1219" i="1"/>
  <c r="Q1219" i="1" s="1"/>
  <c r="P1152" i="1"/>
  <c r="Q1152" i="1" s="1"/>
  <c r="P1445" i="1"/>
  <c r="Q1445" i="1" s="1"/>
  <c r="P704" i="1"/>
  <c r="Q704" i="1" s="1"/>
  <c r="P122" i="1"/>
  <c r="Q122" i="1" s="1"/>
  <c r="P879" i="1"/>
  <c r="Q879" i="1" s="1"/>
  <c r="P1520" i="1"/>
  <c r="Q1520" i="1" s="1"/>
  <c r="P394" i="1"/>
  <c r="Q394" i="1" s="1"/>
  <c r="P784" i="1"/>
  <c r="Q784" i="1" s="1"/>
  <c r="P444" i="1"/>
  <c r="Q444" i="1" s="1"/>
  <c r="P745" i="1"/>
  <c r="Q745" i="1" s="1"/>
  <c r="P903" i="1"/>
  <c r="Q903" i="1" s="1"/>
  <c r="P88" i="1"/>
  <c r="Q88" i="1" s="1"/>
  <c r="P851" i="1"/>
  <c r="Q851" i="1" s="1"/>
  <c r="P481" i="1"/>
  <c r="Q481" i="1" s="1"/>
  <c r="P560" i="1"/>
  <c r="Q560" i="1" s="1"/>
  <c r="P1609" i="1"/>
  <c r="Q1609" i="1" s="1"/>
  <c r="P310" i="1"/>
  <c r="Q310" i="1" s="1"/>
  <c r="P1231" i="1"/>
  <c r="Q1231" i="1" s="1"/>
  <c r="P437" i="1"/>
  <c r="Q437" i="1" s="1"/>
  <c r="P1030" i="1"/>
  <c r="Q1030" i="1" s="1"/>
  <c r="P1104" i="1"/>
  <c r="Q1104" i="1" s="1"/>
  <c r="P1110" i="1"/>
  <c r="Q1110" i="1" s="1"/>
  <c r="P1272" i="1"/>
  <c r="Q1272" i="1" s="1"/>
  <c r="P1240" i="1"/>
  <c r="Q1240" i="1" s="1"/>
  <c r="P1123" i="1"/>
  <c r="Q1123" i="1" s="1"/>
  <c r="P1107" i="1"/>
  <c r="Q1107" i="1" s="1"/>
  <c r="P1345" i="1"/>
  <c r="Q1345" i="1" s="1"/>
  <c r="P1614" i="1"/>
  <c r="Q1614" i="1" s="1"/>
  <c r="P169" i="1"/>
  <c r="Q169" i="1" s="1"/>
  <c r="P882" i="1"/>
  <c r="Q882" i="1" s="1"/>
  <c r="P1414" i="1"/>
  <c r="Q1414" i="1" s="1"/>
  <c r="P292" i="1"/>
  <c r="Q292" i="1" s="1"/>
  <c r="P1317" i="1"/>
  <c r="Q1317" i="1" s="1"/>
  <c r="P1204" i="1"/>
  <c r="Q1204" i="1" s="1"/>
  <c r="P1438" i="1"/>
  <c r="Q1438" i="1" s="1"/>
  <c r="P1261" i="1"/>
  <c r="Q1261" i="1" s="1"/>
  <c r="P824" i="1"/>
  <c r="Q824" i="1" s="1"/>
  <c r="P806" i="1"/>
  <c r="Q806" i="1" s="1"/>
  <c r="P919" i="1"/>
  <c r="Q919" i="1" s="1"/>
  <c r="P981" i="1"/>
  <c r="Q981" i="1" s="1"/>
  <c r="P1017" i="1"/>
  <c r="Q1017" i="1" s="1"/>
  <c r="P1378" i="1"/>
  <c r="Q1378" i="1" s="1"/>
  <c r="P1277" i="1"/>
  <c r="Q1277" i="1" s="1"/>
  <c r="P279" i="1"/>
  <c r="Q279" i="1" s="1"/>
  <c r="P62" i="1"/>
  <c r="Q62" i="1" s="1"/>
  <c r="P83" i="1"/>
  <c r="Q83" i="1" s="1"/>
  <c r="P1092" i="1"/>
  <c r="Q1092" i="1" s="1"/>
  <c r="P1836" i="1"/>
  <c r="Q1836" i="1" s="1"/>
  <c r="P384" i="1"/>
  <c r="Q384" i="1" s="1"/>
  <c r="P557" i="1"/>
  <c r="Q557" i="1" s="1"/>
  <c r="P685" i="1"/>
  <c r="Q685" i="1" s="1"/>
  <c r="P839" i="1"/>
  <c r="Q839" i="1" s="1"/>
  <c r="P681" i="1"/>
  <c r="Q681" i="1" s="1"/>
  <c r="P680" i="1"/>
  <c r="Q680" i="1" s="1"/>
  <c r="P963" i="1"/>
  <c r="Q963" i="1" s="1"/>
  <c r="P662" i="1"/>
  <c r="Q662" i="1" s="1"/>
  <c r="P734" i="1"/>
  <c r="Q734" i="1" s="1"/>
  <c r="P1081" i="1"/>
  <c r="Q1081" i="1" s="1"/>
  <c r="P1366" i="1"/>
  <c r="Q1366" i="1" s="1"/>
  <c r="P482" i="1"/>
  <c r="Q482" i="1" s="1"/>
  <c r="P536" i="1"/>
  <c r="Q536" i="1" s="1"/>
  <c r="P1539" i="1"/>
  <c r="Q1539" i="1" s="1"/>
  <c r="P1593" i="1"/>
  <c r="Q1593" i="1" s="1"/>
  <c r="P1661" i="1"/>
  <c r="Q1661" i="1" s="1"/>
  <c r="P167" i="1"/>
  <c r="Q167" i="1" s="1"/>
  <c r="P173" i="1"/>
  <c r="Q173" i="1" s="1"/>
  <c r="P202" i="1"/>
  <c r="Q202" i="1" s="1"/>
  <c r="P1101" i="1"/>
  <c r="Q1101" i="1" s="1"/>
  <c r="P460" i="1"/>
  <c r="Q460" i="1" s="1"/>
  <c r="P1781" i="1"/>
  <c r="Q1781" i="1" s="1"/>
  <c r="P1748" i="1"/>
  <c r="Q1748" i="1" s="1"/>
  <c r="P56" i="1"/>
  <c r="Q56" i="1" s="1"/>
  <c r="P120" i="1"/>
  <c r="Q120" i="1" s="1"/>
  <c r="P1477" i="1"/>
  <c r="Q1477" i="1" s="1"/>
  <c r="P1419" i="1"/>
  <c r="Q1419" i="1" s="1"/>
  <c r="P1105" i="1"/>
  <c r="Q1105" i="1" s="1"/>
  <c r="P1013" i="1"/>
  <c r="Q1013" i="1" s="1"/>
  <c r="P1241" i="1"/>
  <c r="Q1241" i="1" s="1"/>
  <c r="P1303" i="1"/>
  <c r="Q1303" i="1" s="1"/>
  <c r="P1476" i="1"/>
  <c r="Q1476" i="1" s="1"/>
  <c r="P1525" i="1"/>
  <c r="Q1525" i="1" s="1"/>
  <c r="P498" i="1"/>
  <c r="Q498" i="1" s="1"/>
  <c r="P1672" i="1"/>
  <c r="Q1672" i="1" s="1"/>
  <c r="P261" i="1"/>
  <c r="Q261" i="1" s="1"/>
  <c r="P418" i="1"/>
  <c r="Q418" i="1" s="1"/>
  <c r="P867" i="1"/>
  <c r="Q867" i="1" s="1"/>
  <c r="P225" i="1"/>
  <c r="Q225" i="1" s="1"/>
  <c r="P958" i="1"/>
  <c r="Q958" i="1" s="1"/>
  <c r="P1563" i="1"/>
  <c r="Q1563" i="1" s="1"/>
  <c r="P436" i="1"/>
  <c r="Q436" i="1" s="1"/>
  <c r="P373" i="1"/>
  <c r="Q373" i="1" s="1"/>
  <c r="P979" i="1"/>
  <c r="Q979" i="1" s="1"/>
  <c r="P978" i="1"/>
  <c r="Q978" i="1" s="1"/>
  <c r="P844" i="1"/>
  <c r="Q844" i="1" s="1"/>
  <c r="P1226" i="1"/>
  <c r="Q1226" i="1" s="1"/>
  <c r="P604" i="1"/>
  <c r="Q604" i="1" s="1"/>
  <c r="P339" i="1"/>
  <c r="Q339" i="1" s="1"/>
  <c r="P1657" i="1"/>
  <c r="Q1657" i="1" s="1"/>
  <c r="P524" i="1"/>
  <c r="Q524" i="1" s="1"/>
  <c r="P1654" i="1"/>
  <c r="Q1654" i="1" s="1"/>
  <c r="P1643" i="1"/>
  <c r="Q1643" i="1" s="1"/>
  <c r="P522" i="1"/>
  <c r="Q522" i="1" s="1"/>
  <c r="P1067" i="1"/>
  <c r="Q1067" i="1" s="1"/>
  <c r="P1281" i="1"/>
  <c r="Q1281" i="1" s="1"/>
  <c r="P1783" i="1"/>
  <c r="Q1783" i="1" s="1"/>
  <c r="P1842" i="1"/>
  <c r="Q1842" i="1" s="1"/>
  <c r="P305" i="1"/>
  <c r="Q305" i="1" s="1"/>
  <c r="P1780" i="1"/>
  <c r="Q1780" i="1" s="1"/>
  <c r="P475" i="1"/>
  <c r="Q475" i="1" s="1"/>
  <c r="P1720" i="1"/>
  <c r="Q1720" i="1" s="1"/>
  <c r="P1675" i="1"/>
  <c r="Q1675" i="1" s="1"/>
  <c r="P888" i="1"/>
  <c r="Q888" i="1" s="1"/>
  <c r="P363" i="1"/>
  <c r="Q363" i="1" s="1"/>
  <c r="P674" i="1"/>
  <c r="Q674" i="1" s="1"/>
  <c r="P1016" i="1"/>
  <c r="Q1016" i="1" s="1"/>
  <c r="P1018" i="1"/>
  <c r="Q1018" i="1" s="1"/>
  <c r="P1144" i="1"/>
  <c r="Q1144" i="1" s="1"/>
  <c r="P1265" i="1"/>
  <c r="Q1265" i="1" s="1"/>
  <c r="P1623" i="1"/>
  <c r="Q1623" i="1" s="1"/>
  <c r="P1506" i="1"/>
  <c r="Q1506" i="1" s="1"/>
  <c r="P1397" i="1"/>
  <c r="Q1397" i="1" s="1"/>
  <c r="P1211" i="1"/>
  <c r="Q1211" i="1" s="1"/>
  <c r="P440" i="1"/>
  <c r="Q440" i="1" s="1"/>
  <c r="P972" i="1"/>
  <c r="Q972" i="1" s="1"/>
  <c r="P900" i="1"/>
  <c r="Q900" i="1" s="1"/>
  <c r="P1953" i="1"/>
  <c r="Q1953" i="1" s="1"/>
  <c r="P1645" i="1"/>
  <c r="Q1645" i="1" s="1"/>
  <c r="P1071" i="1"/>
  <c r="Q1071" i="1" s="1"/>
  <c r="P1540" i="1"/>
  <c r="Q1540" i="1" s="1"/>
  <c r="P761" i="1"/>
  <c r="Q761" i="1" s="1"/>
  <c r="P147" i="1"/>
  <c r="Q147" i="1" s="1"/>
  <c r="P281" i="1"/>
  <c r="Q281" i="1" s="1"/>
  <c r="P943" i="1"/>
  <c r="Q943" i="1" s="1"/>
  <c r="P1493" i="1"/>
  <c r="Q1493" i="1" s="1"/>
  <c r="P1475" i="1"/>
  <c r="Q1475" i="1" s="1"/>
  <c r="P1359" i="1"/>
  <c r="Q1359" i="1" s="1"/>
  <c r="P1671" i="1"/>
  <c r="Q1671" i="1" s="1"/>
  <c r="P105" i="1"/>
  <c r="Q105" i="1" s="1"/>
  <c r="P1094" i="1"/>
  <c r="Q1094" i="1" s="1"/>
  <c r="P82" i="1"/>
  <c r="Q82" i="1" s="1"/>
  <c r="P1583" i="1"/>
  <c r="Q1583" i="1" s="1"/>
  <c r="P940" i="1"/>
  <c r="Q940" i="1" s="1"/>
  <c r="P132" i="1"/>
  <c r="Q132" i="1" s="1"/>
  <c r="P1400" i="1"/>
  <c r="Q1400" i="1" s="1"/>
  <c r="P1090" i="1"/>
  <c r="Q1090" i="1" s="1"/>
  <c r="P965" i="1"/>
  <c r="Q965" i="1" s="1"/>
  <c r="P1221" i="1"/>
  <c r="Q1221" i="1" s="1"/>
  <c r="P778" i="1"/>
  <c r="Q778" i="1" s="1"/>
  <c r="P1591" i="1"/>
  <c r="Q1591" i="1" s="1"/>
  <c r="P1255" i="1"/>
  <c r="Q1255" i="1" s="1"/>
  <c r="P213" i="1"/>
  <c r="Q213" i="1" s="1"/>
  <c r="P1602" i="1"/>
  <c r="Q1602" i="1" s="1"/>
  <c r="P245" i="1"/>
  <c r="Q245" i="1" s="1"/>
  <c r="P247" i="1"/>
  <c r="Q247" i="1" s="1"/>
  <c r="P1360" i="1"/>
  <c r="Q1360" i="1" s="1"/>
  <c r="P720" i="1"/>
  <c r="Q720" i="1" s="1"/>
  <c r="P238" i="1"/>
  <c r="Q238" i="1" s="1"/>
  <c r="P242" i="1"/>
  <c r="Q242" i="1" s="1"/>
  <c r="P304" i="1"/>
  <c r="Q304" i="1" s="1"/>
  <c r="P468" i="1"/>
  <c r="Q468" i="1" s="1"/>
  <c r="P303" i="1"/>
  <c r="Q303" i="1" s="1"/>
  <c r="P1716" i="1"/>
  <c r="Q1716" i="1" s="1"/>
  <c r="P371" i="1"/>
  <c r="Q371" i="1" s="1"/>
  <c r="P443" i="1"/>
  <c r="Q443" i="1" s="1"/>
  <c r="P944" i="1"/>
  <c r="Q944" i="1" s="1"/>
  <c r="P1121" i="1"/>
  <c r="Q1121" i="1" s="1"/>
  <c r="P1260" i="1"/>
  <c r="Q1260" i="1" s="1"/>
  <c r="P1309" i="1"/>
  <c r="Q1309" i="1" s="1"/>
  <c r="P1502" i="1"/>
  <c r="Q1502" i="1" s="1"/>
  <c r="P1513" i="1"/>
  <c r="Q1513" i="1" s="1"/>
  <c r="P1750" i="1"/>
  <c r="Q1750" i="1" s="1"/>
  <c r="P142" i="1"/>
  <c r="Q142" i="1" s="1"/>
  <c r="P1807" i="1"/>
  <c r="Q1807" i="1" s="1"/>
  <c r="P1455" i="1"/>
  <c r="Q1455" i="1" s="1"/>
  <c r="P400" i="1"/>
  <c r="Q400" i="1" s="1"/>
  <c r="P760" i="1"/>
  <c r="Q760" i="1" s="1"/>
  <c r="P1635" i="1"/>
  <c r="Q1635" i="1" s="1"/>
  <c r="P124" i="1"/>
  <c r="Q124" i="1" s="1"/>
  <c r="P644" i="1"/>
  <c r="Q644" i="1" s="1"/>
  <c r="P790" i="1"/>
  <c r="Q790" i="1" s="1"/>
  <c r="P1732" i="1"/>
  <c r="Q1732" i="1" s="1"/>
  <c r="P904" i="1"/>
  <c r="Q904" i="1" s="1"/>
  <c r="P820" i="1"/>
  <c r="Q820" i="1" s="1"/>
  <c r="P1153" i="1"/>
  <c r="Q1153" i="1" s="1"/>
  <c r="P1161" i="1"/>
  <c r="Q1161" i="1" s="1"/>
  <c r="P272" i="1"/>
  <c r="Q272" i="1" s="1"/>
  <c r="P676" i="1"/>
  <c r="Q676" i="1" s="1"/>
  <c r="P1324" i="1"/>
  <c r="Q1324" i="1" s="1"/>
  <c r="P302" i="1"/>
  <c r="Q302" i="1" s="1"/>
  <c r="P380" i="1"/>
  <c r="Q380" i="1" s="1"/>
  <c r="P719" i="1"/>
  <c r="Q719" i="1" s="1"/>
  <c r="P917" i="1"/>
  <c r="Q917" i="1" s="1"/>
  <c r="P1505" i="1"/>
  <c r="Q1505" i="1" s="1"/>
  <c r="P1487" i="1"/>
  <c r="Q1487" i="1" s="1"/>
  <c r="P703" i="1"/>
  <c r="Q703" i="1" s="1"/>
  <c r="P1352" i="1"/>
  <c r="Q1352" i="1" s="1"/>
  <c r="P864" i="1"/>
  <c r="Q864" i="1" s="1"/>
  <c r="P1544" i="1"/>
  <c r="Q1544" i="1" s="1"/>
  <c r="P1727" i="1"/>
  <c r="Q1727" i="1" s="1"/>
  <c r="P171" i="1"/>
  <c r="Q171" i="1" s="1"/>
  <c r="P210" i="1"/>
  <c r="Q210" i="1" s="1"/>
  <c r="P1742" i="1"/>
  <c r="Q1742" i="1" s="1"/>
  <c r="P1718" i="1"/>
  <c r="Q1718" i="1" s="1"/>
  <c r="P571" i="1"/>
  <c r="Q571" i="1" s="1"/>
  <c r="P1212" i="1"/>
  <c r="Q1212" i="1" s="1"/>
  <c r="P687" i="1"/>
  <c r="Q687" i="1" s="1"/>
  <c r="P470" i="1"/>
  <c r="Q470" i="1" s="1"/>
  <c r="P920" i="1"/>
  <c r="Q920" i="1" s="1"/>
  <c r="P1145" i="1"/>
  <c r="Q1145" i="1" s="1"/>
  <c r="P1274" i="1"/>
  <c r="Q1274" i="1" s="1"/>
  <c r="P1483" i="1"/>
  <c r="Q1483" i="1" s="1"/>
  <c r="P1392" i="1"/>
  <c r="Q1392" i="1" s="1"/>
  <c r="P928" i="1"/>
  <c r="Q928" i="1" s="1"/>
  <c r="P307" i="1"/>
  <c r="Q307" i="1" s="1"/>
  <c r="P1095" i="1"/>
  <c r="Q1095" i="1" s="1"/>
  <c r="P80" i="1"/>
  <c r="Q80" i="1" s="1"/>
  <c r="P973" i="1"/>
  <c r="Q973" i="1" s="1"/>
  <c r="P432" i="1"/>
  <c r="Q432" i="1" s="1"/>
  <c r="P626" i="1"/>
  <c r="Q626" i="1" s="1"/>
  <c r="P1444" i="1"/>
  <c r="Q1444" i="1" s="1"/>
  <c r="P852" i="1"/>
  <c r="Q852" i="1" s="1"/>
  <c r="P690" i="1"/>
  <c r="Q690" i="1" s="1"/>
  <c r="P679" i="1"/>
  <c r="Q679" i="1" s="1"/>
  <c r="P1726" i="1"/>
  <c r="Q1726" i="1" s="1"/>
  <c r="P772" i="1"/>
  <c r="Q772" i="1" s="1"/>
  <c r="P668" i="1"/>
  <c r="Q668" i="1" s="1"/>
  <c r="P705" i="1"/>
  <c r="Q705" i="1" s="1"/>
  <c r="P535" i="1"/>
  <c r="Q535" i="1" s="1"/>
  <c r="P1535" i="1"/>
  <c r="Q1535" i="1" s="1"/>
  <c r="P738" i="1"/>
  <c r="Q738" i="1" s="1"/>
  <c r="P1194" i="1"/>
  <c r="Q1194" i="1" s="1"/>
  <c r="P1256" i="1"/>
  <c r="Q1256" i="1" s="1"/>
  <c r="P325" i="1"/>
  <c r="Q325" i="1" s="1"/>
  <c r="P148" i="1"/>
  <c r="Q148" i="1" s="1"/>
  <c r="P179" i="1"/>
  <c r="Q179" i="1" s="1"/>
  <c r="P197" i="1"/>
  <c r="Q197" i="1" s="1"/>
  <c r="P204" i="1"/>
  <c r="Q204" i="1" s="1"/>
  <c r="P485" i="1"/>
  <c r="Q485" i="1" s="1"/>
  <c r="P1084" i="1"/>
  <c r="Q1084" i="1" s="1"/>
  <c r="P519" i="1"/>
  <c r="Q519" i="1" s="1"/>
  <c r="P801" i="1"/>
  <c r="Q801" i="1" s="1"/>
  <c r="P1005" i="1"/>
  <c r="Q1005" i="1" s="1"/>
  <c r="P1127" i="1"/>
  <c r="Q1127" i="1" s="1"/>
  <c r="P1015" i="1"/>
  <c r="Q1015" i="1" s="1"/>
  <c r="P1459" i="1"/>
  <c r="Q1459" i="1" s="1"/>
  <c r="P1023" i="1"/>
  <c r="Q1023" i="1" s="1"/>
  <c r="P582" i="1"/>
  <c r="Q582" i="1" s="1"/>
  <c r="P259" i="1"/>
  <c r="Q259" i="1" s="1"/>
  <c r="P926" i="1"/>
  <c r="Q926" i="1" s="1"/>
  <c r="P81" i="1"/>
  <c r="Q81" i="1" s="1"/>
  <c r="P434" i="1"/>
  <c r="Q434" i="1" s="1"/>
  <c r="P543" i="1"/>
  <c r="Q543" i="1" s="1"/>
  <c r="P1813" i="1"/>
  <c r="Q1813" i="1" s="1"/>
  <c r="P442" i="1"/>
  <c r="Q442" i="1" s="1"/>
  <c r="P128" i="1"/>
  <c r="Q128" i="1" s="1"/>
  <c r="P549" i="1"/>
  <c r="Q549" i="1" s="1"/>
  <c r="P1565" i="1"/>
  <c r="Q1565" i="1" s="1"/>
  <c r="P647" i="1"/>
  <c r="Q647" i="1" s="1"/>
  <c r="P1070" i="1"/>
  <c r="Q1070" i="1" s="1"/>
  <c r="P601" i="1"/>
  <c r="Q601" i="1" s="1"/>
  <c r="P777" i="1"/>
  <c r="Q777" i="1" s="1"/>
  <c r="P1361" i="1"/>
  <c r="Q1361" i="1" s="1"/>
  <c r="P1232" i="1"/>
  <c r="Q1232" i="1" s="1"/>
  <c r="P528" i="1"/>
  <c r="Q528" i="1" s="1"/>
  <c r="P1662" i="1"/>
  <c r="Q1662" i="1" s="1"/>
  <c r="P1805" i="1"/>
  <c r="Q1805" i="1" s="1"/>
  <c r="P413" i="1"/>
  <c r="Q413" i="1" s="1"/>
  <c r="P1841" i="1"/>
  <c r="Q1841" i="1" s="1"/>
  <c r="P239" i="1"/>
  <c r="Q239" i="1" s="1"/>
  <c r="P118" i="1"/>
  <c r="Q118" i="1" s="1"/>
  <c r="P569" i="1"/>
  <c r="Q569" i="1" s="1"/>
  <c r="P1129" i="1"/>
  <c r="Q1129" i="1" s="1"/>
  <c r="P1026" i="1"/>
  <c r="Q1026" i="1" s="1"/>
  <c r="P1246" i="1"/>
  <c r="Q1246" i="1" s="1"/>
  <c r="P1244" i="1"/>
  <c r="Q1244" i="1" s="1"/>
  <c r="P1051" i="1"/>
  <c r="Q1051" i="1" s="1"/>
  <c r="P823" i="1"/>
  <c r="Q823" i="1" s="1"/>
  <c r="P1126" i="1"/>
  <c r="Q1126" i="1" s="1"/>
  <c r="P1714" i="1"/>
  <c r="Q1714" i="1" s="1"/>
  <c r="P1114" i="1"/>
  <c r="Q1114" i="1" s="1"/>
  <c r="P910" i="1"/>
  <c r="Q910" i="1" s="1"/>
  <c r="P501" i="1"/>
  <c r="Q501" i="1" s="1"/>
  <c r="P55" i="1"/>
  <c r="Q55" i="1" s="1"/>
  <c r="P1630" i="1"/>
  <c r="Q1630" i="1" s="1"/>
  <c r="P1686" i="1"/>
  <c r="Q1686" i="1" s="1"/>
  <c r="P1042" i="1"/>
  <c r="Q1042" i="1" s="1"/>
  <c r="P496" i="1"/>
  <c r="Q496" i="1" s="1"/>
  <c r="P1553" i="1"/>
  <c r="Q1553" i="1" s="1"/>
  <c r="P1133" i="1"/>
  <c r="Q1133" i="1" s="1"/>
  <c r="P1634" i="1"/>
  <c r="Q1634" i="1" s="1"/>
  <c r="P1494" i="1"/>
  <c r="Q1494" i="1" s="1"/>
  <c r="P1524" i="1"/>
  <c r="Q1524" i="1" s="1"/>
  <c r="P365" i="1"/>
  <c r="Q365" i="1" s="1"/>
  <c r="P1739" i="1"/>
  <c r="Q1739" i="1" s="1"/>
  <c r="P950" i="1"/>
  <c r="Q950" i="1" s="1"/>
  <c r="P1571" i="1"/>
  <c r="Q1571" i="1" s="1"/>
  <c r="P1738" i="1"/>
  <c r="Q1738" i="1" s="1"/>
  <c r="P136" i="1"/>
  <c r="Q136" i="1" s="1"/>
  <c r="P256" i="1"/>
  <c r="Q256" i="1" s="1"/>
  <c r="P320" i="1"/>
  <c r="Q320" i="1" s="1"/>
  <c r="P131" i="1"/>
  <c r="Q131" i="1" s="1"/>
  <c r="P527" i="1"/>
  <c r="Q527" i="1" s="1"/>
  <c r="P550" i="1"/>
  <c r="Q550" i="1" s="1"/>
  <c r="P1254" i="1"/>
  <c r="Q1254" i="1" s="1"/>
  <c r="P388" i="1"/>
  <c r="Q388" i="1" s="1"/>
  <c r="P768" i="1"/>
  <c r="Q768" i="1" s="1"/>
  <c r="P1321" i="1"/>
  <c r="Q1321" i="1" s="1"/>
  <c r="P509" i="1"/>
  <c r="Q509" i="1" s="1"/>
  <c r="P692" i="1"/>
  <c r="Q692" i="1" s="1"/>
  <c r="P511" i="1"/>
  <c r="Q511" i="1" s="1"/>
  <c r="P861" i="1"/>
  <c r="Q861" i="1" s="1"/>
  <c r="P78" i="1"/>
  <c r="Q78" i="1" s="1"/>
  <c r="P1210" i="1"/>
  <c r="Q1210" i="1" s="1"/>
  <c r="P1523" i="1"/>
  <c r="Q1523" i="1" s="1"/>
  <c r="P1463" i="1"/>
  <c r="Q1463" i="1" s="1"/>
  <c r="P1638" i="1"/>
  <c r="Q1638" i="1" s="1"/>
  <c r="P545" i="1"/>
  <c r="Q545" i="1" s="1"/>
  <c r="P799" i="1"/>
  <c r="Q799" i="1" s="1"/>
  <c r="P1091" i="1"/>
  <c r="Q1091" i="1" s="1"/>
  <c r="P1184" i="1"/>
  <c r="Q1184" i="1" s="1"/>
  <c r="P330" i="1"/>
  <c r="Q330" i="1" s="1"/>
  <c r="P686" i="1"/>
  <c r="Q686" i="1" s="1"/>
  <c r="P1111" i="1"/>
  <c r="Q1111" i="1" s="1"/>
  <c r="P1118" i="1"/>
  <c r="Q1118" i="1" s="1"/>
  <c r="P1136" i="1"/>
  <c r="Q1136" i="1" s="1"/>
  <c r="P1263" i="1"/>
  <c r="Q1263" i="1" s="1"/>
  <c r="P1276" i="1"/>
  <c r="Q1276" i="1" s="1"/>
  <c r="P546" i="1"/>
  <c r="Q546" i="1" s="1"/>
  <c r="P1426" i="1"/>
  <c r="Q1426" i="1" s="1"/>
  <c r="P71" i="1"/>
  <c r="Q71" i="1" s="1"/>
  <c r="P315" i="1"/>
  <c r="Q315" i="1" s="1"/>
  <c r="P1112" i="1"/>
  <c r="Q1112" i="1" s="1"/>
  <c r="P1267" i="1"/>
  <c r="Q1267" i="1" s="1"/>
  <c r="P1550" i="1"/>
  <c r="Q1550" i="1" s="1"/>
  <c r="P1670" i="1"/>
  <c r="Q1670" i="1" s="1"/>
  <c r="P1717" i="1"/>
  <c r="Q1717" i="1" s="1"/>
  <c r="P746" i="1"/>
  <c r="Q746" i="1" s="1"/>
  <c r="P871" i="1"/>
  <c r="Q871" i="1" s="1"/>
  <c r="P351" i="1"/>
  <c r="Q351" i="1" s="1"/>
  <c r="P1403" i="1"/>
  <c r="Q1403" i="1" s="1"/>
  <c r="P608" i="1"/>
  <c r="Q608" i="1" s="1"/>
  <c r="P1073" i="1"/>
  <c r="Q1073" i="1" s="1"/>
  <c r="P673" i="1"/>
  <c r="Q673" i="1" s="1"/>
  <c r="P1020" i="1"/>
  <c r="Q1020" i="1" s="1"/>
  <c r="P1059" i="1"/>
  <c r="Q1059" i="1" s="1"/>
  <c r="P1055" i="1"/>
  <c r="Q1055" i="1" s="1"/>
  <c r="P1556" i="1"/>
  <c r="Q1556" i="1" s="1"/>
  <c r="P623" i="1"/>
  <c r="Q623" i="1" s="1"/>
  <c r="P452" i="1"/>
  <c r="Q452" i="1" s="1"/>
  <c r="P1168" i="1"/>
  <c r="Q1168" i="1" s="1"/>
  <c r="P1431" i="1"/>
  <c r="Q1431" i="1" s="1"/>
  <c r="P355" i="1"/>
  <c r="Q355" i="1" s="1"/>
  <c r="P341" i="1"/>
  <c r="Q341" i="1" s="1"/>
  <c r="P1048" i="1"/>
  <c r="Q1048" i="1" s="1"/>
  <c r="P1412" i="1"/>
  <c r="Q1412" i="1" s="1"/>
  <c r="P1398" i="1"/>
  <c r="Q1398" i="1" s="1"/>
  <c r="P975" i="1"/>
  <c r="Q975" i="1" s="1"/>
  <c r="P1447" i="1"/>
  <c r="Q1447" i="1" s="1"/>
  <c r="P1618" i="1"/>
  <c r="Q1618" i="1" s="1"/>
  <c r="P732" i="1"/>
  <c r="Q732" i="1" s="1"/>
  <c r="P863" i="1"/>
  <c r="Q863" i="1" s="1"/>
  <c r="P1367" i="1"/>
  <c r="Q1367" i="1" s="1"/>
  <c r="P1534" i="1"/>
  <c r="Q1534" i="1" s="1"/>
  <c r="P1182" i="1"/>
  <c r="Q1182" i="1" s="1"/>
  <c r="P1572" i="1"/>
  <c r="Q1572" i="1" s="1"/>
  <c r="P1333" i="1"/>
  <c r="Q1333" i="1" s="1"/>
  <c r="P827" i="1"/>
  <c r="Q827" i="1" s="1"/>
  <c r="P1356" i="1"/>
  <c r="Q1356" i="1" s="1"/>
  <c r="P523" i="1"/>
  <c r="Q523" i="1" s="1"/>
  <c r="P354" i="1"/>
  <c r="Q354" i="1" s="1"/>
  <c r="P1605" i="1"/>
  <c r="Q1605" i="1" s="1"/>
  <c r="P1405" i="1"/>
  <c r="Q1405" i="1" s="1"/>
  <c r="P677" i="1"/>
  <c r="Q677" i="1" s="1"/>
  <c r="P774" i="1"/>
  <c r="Q774" i="1" s="1"/>
  <c r="P1460" i="1"/>
  <c r="Q1460" i="1" s="1"/>
  <c r="P356" i="1"/>
  <c r="Q356" i="1" s="1"/>
  <c r="P721" i="1"/>
  <c r="Q721" i="1" s="1"/>
  <c r="P1327" i="1"/>
  <c r="Q1327" i="1" s="1"/>
  <c r="P902" i="1"/>
  <c r="Q902" i="1" s="1"/>
  <c r="P1346" i="1"/>
  <c r="Q1346" i="1" s="1"/>
  <c r="P1665" i="1"/>
  <c r="Q1665" i="1" s="1"/>
  <c r="P1433" i="1"/>
  <c r="Q1433" i="1" s="1"/>
  <c r="P453" i="1"/>
  <c r="Q453" i="1" s="1"/>
  <c r="P661" i="1"/>
  <c r="Q661" i="1" s="1"/>
  <c r="P875" i="1"/>
  <c r="Q875" i="1" s="1"/>
  <c r="P401" i="1"/>
  <c r="Q401" i="1" s="1"/>
  <c r="P782" i="1"/>
  <c r="Q782" i="1" s="1"/>
  <c r="P1355" i="1"/>
  <c r="Q1355" i="1" s="1"/>
  <c r="P1250" i="1"/>
  <c r="Q1250" i="1" s="1"/>
  <c r="P1744" i="1"/>
  <c r="Q1744" i="1" s="1"/>
  <c r="P385" i="1"/>
  <c r="Q385" i="1" s="1"/>
  <c r="P959" i="1"/>
  <c r="Q959" i="1" s="1"/>
  <c r="P1004" i="1"/>
  <c r="Q1004" i="1" s="1"/>
  <c r="P521" i="1"/>
  <c r="Q521" i="1" s="1"/>
  <c r="P1122" i="1"/>
  <c r="Q1122" i="1" s="1"/>
  <c r="P343" i="1"/>
  <c r="Q343" i="1" s="1"/>
  <c r="P415" i="1"/>
  <c r="Q415" i="1" s="1"/>
  <c r="P1461" i="1"/>
  <c r="Q1461" i="1" s="1"/>
  <c r="P998" i="1"/>
  <c r="Q998" i="1" s="1"/>
  <c r="P603" i="1"/>
  <c r="Q603" i="1" s="1"/>
  <c r="P788" i="1"/>
  <c r="Q788" i="1" s="1"/>
  <c r="P575" i="1"/>
  <c r="Q575" i="1" s="1"/>
  <c r="P1446" i="1"/>
  <c r="Q1446" i="1" s="1"/>
  <c r="P1301" i="1"/>
  <c r="Q1301" i="1" s="1"/>
  <c r="P382" i="1"/>
  <c r="Q382" i="1" s="1"/>
  <c r="P379" i="1"/>
  <c r="Q379" i="1" s="1"/>
  <c r="P727" i="1"/>
  <c r="Q727" i="1" s="1"/>
  <c r="P722" i="1"/>
  <c r="Q722" i="1" s="1"/>
  <c r="P1151" i="1"/>
  <c r="Q1151" i="1" s="1"/>
  <c r="P1156" i="1"/>
  <c r="Q1156" i="1" s="1"/>
  <c r="P1372" i="1"/>
  <c r="Q1372" i="1" s="1"/>
  <c r="P1655" i="1"/>
  <c r="Q1655" i="1" s="1"/>
  <c r="P172" i="1"/>
  <c r="Q172" i="1" s="1"/>
  <c r="P1399" i="1"/>
  <c r="Q1399" i="1" s="1"/>
  <c r="P474" i="1"/>
  <c r="Q474" i="1" s="1"/>
  <c r="P1628" i="1"/>
  <c r="Q1628" i="1" s="1"/>
  <c r="P1627" i="1"/>
  <c r="Q1627" i="1" s="1"/>
  <c r="P659" i="1"/>
  <c r="Q659" i="1" s="1"/>
  <c r="P833" i="1"/>
  <c r="Q833" i="1" s="1"/>
  <c r="P1538" i="1"/>
  <c r="Q1538" i="1" s="1"/>
  <c r="P786" i="1"/>
  <c r="Q786" i="1" s="1"/>
  <c r="P733" i="1"/>
  <c r="Q733" i="1" s="1"/>
  <c r="P854" i="1"/>
  <c r="Q854" i="1" s="1"/>
  <c r="P767" i="1"/>
  <c r="Q767" i="1" s="1"/>
  <c r="P1046" i="1"/>
  <c r="Q1046" i="1" s="1"/>
  <c r="P855" i="1"/>
  <c r="Q855" i="1" s="1"/>
  <c r="P590" i="1"/>
  <c r="Q590" i="1" s="1"/>
  <c r="P1176" i="1"/>
  <c r="Q1176" i="1" s="1"/>
  <c r="P881" i="1"/>
  <c r="Q881" i="1" s="1"/>
  <c r="P357" i="1"/>
  <c r="Q357" i="1" s="1"/>
  <c r="P619" i="1"/>
  <c r="Q619" i="1" s="1"/>
  <c r="P1510" i="1"/>
  <c r="Q1510" i="1" s="1"/>
  <c r="P1350" i="1"/>
  <c r="Q1350" i="1" s="1"/>
  <c r="P802" i="1"/>
  <c r="Q802" i="1" s="1"/>
  <c r="P804" i="1"/>
  <c r="Q804" i="1" s="1"/>
  <c r="P1647" i="1"/>
  <c r="Q1647" i="1" s="1"/>
  <c r="P1388" i="1"/>
  <c r="Q1388" i="1" s="1"/>
  <c r="P866" i="1"/>
  <c r="Q866" i="1" s="1"/>
  <c r="P1408" i="1"/>
  <c r="Q1408" i="1" s="1"/>
  <c r="P736" i="1"/>
  <c r="Q736" i="1" s="1"/>
  <c r="P381" i="1"/>
  <c r="Q381" i="1" s="1"/>
  <c r="P515" i="1"/>
  <c r="Q515" i="1" s="1"/>
  <c r="P739" i="1"/>
  <c r="Q739" i="1" s="1"/>
  <c r="P999" i="1"/>
  <c r="Q999" i="1" s="1"/>
  <c r="P595" i="1"/>
  <c r="Q595" i="1" s="1"/>
  <c r="P1584" i="1"/>
  <c r="Q1584" i="1" s="1"/>
  <c r="P1766" i="1"/>
  <c r="Q1766" i="1" s="1"/>
  <c r="P1189" i="1"/>
  <c r="Q1189" i="1" s="1"/>
  <c r="P1190" i="1"/>
  <c r="Q1190" i="1" s="1"/>
  <c r="P188" i="1"/>
  <c r="Q188" i="1" s="1"/>
  <c r="P1420" i="1"/>
  <c r="Q1420" i="1" s="1"/>
  <c r="P1086" i="1"/>
  <c r="Q1086" i="1" s="1"/>
  <c r="P1100" i="1"/>
  <c r="Q1100" i="1" s="1"/>
  <c r="P1674" i="1"/>
  <c r="Q1674" i="1" s="1"/>
  <c r="P1288" i="1"/>
  <c r="Q1288" i="1" s="1"/>
  <c r="P1098" i="1"/>
  <c r="Q1098" i="1" s="1"/>
  <c r="P592" i="1"/>
  <c r="Q592" i="1" s="1"/>
  <c r="P895" i="1"/>
  <c r="Q895" i="1" s="1"/>
  <c r="P1192" i="1"/>
  <c r="Q1192" i="1" s="1"/>
  <c r="P1268" i="1"/>
  <c r="Q1268" i="1" s="1"/>
  <c r="P185" i="1"/>
  <c r="Q185" i="1" s="1"/>
  <c r="P716" i="1"/>
  <c r="Q716" i="1" s="1"/>
  <c r="P340" i="1"/>
  <c r="Q340" i="1" s="1"/>
  <c r="P901" i="1"/>
  <c r="Q901" i="1" s="1"/>
  <c r="P800" i="1"/>
  <c r="Q800" i="1" s="1"/>
  <c r="P878" i="1"/>
  <c r="Q878" i="1" s="1"/>
  <c r="P425" i="1"/>
  <c r="Q425" i="1" s="1"/>
  <c r="P195" i="1"/>
  <c r="Q195" i="1" s="1"/>
  <c r="P65" i="1"/>
  <c r="Q65" i="1" s="1"/>
  <c r="P1955" i="1"/>
  <c r="Q1955" i="1" s="1"/>
  <c r="P1776" i="1"/>
  <c r="Q1776" i="1" s="1"/>
  <c r="P1486" i="1"/>
  <c r="Q1486" i="1" s="1"/>
  <c r="P1159" i="1"/>
  <c r="Q1159" i="1" s="1"/>
  <c r="P1198" i="1"/>
  <c r="Q1198" i="1" s="1"/>
  <c r="P161" i="1"/>
  <c r="Q161" i="1" s="1"/>
  <c r="P219" i="1"/>
  <c r="Q219" i="1" s="1"/>
  <c r="P1545" i="1"/>
  <c r="Q1545" i="1" s="1"/>
  <c r="P1560" i="1"/>
  <c r="Q1560" i="1" s="1"/>
  <c r="P1552" i="1"/>
  <c r="Q1552" i="1" s="1"/>
  <c r="P1193" i="1"/>
  <c r="Q1193" i="1" s="1"/>
  <c r="P1236" i="1"/>
  <c r="Q1236" i="1" s="1"/>
  <c r="P1197" i="1"/>
  <c r="Q1197" i="1" s="1"/>
  <c r="P1200" i="1"/>
  <c r="Q1200" i="1" s="1"/>
  <c r="P203" i="1"/>
  <c r="Q203" i="1" s="1"/>
  <c r="P216" i="1"/>
  <c r="Q216" i="1" s="1"/>
  <c r="P1088" i="1"/>
  <c r="Q1088" i="1" s="1"/>
  <c r="P1498" i="1"/>
  <c r="Q1498" i="1" s="1"/>
  <c r="P1838" i="1"/>
  <c r="Q1838" i="1" s="1"/>
  <c r="P906" i="1"/>
  <c r="Q906" i="1" s="1"/>
  <c r="P1180" i="1"/>
  <c r="Q1180" i="1" s="1"/>
  <c r="P1082" i="1"/>
  <c r="Q1082" i="1" s="1"/>
  <c r="P907" i="1"/>
  <c r="Q907" i="1" s="1"/>
  <c r="P876" i="1"/>
  <c r="Q876" i="1" s="1"/>
  <c r="P408" i="1"/>
  <c r="Q408" i="1" s="1"/>
  <c r="P737" i="1"/>
  <c r="Q737" i="1" s="1"/>
  <c r="P1644" i="1"/>
  <c r="Q1644" i="1" s="1"/>
  <c r="P1074" i="1"/>
  <c r="Q1074" i="1" s="1"/>
  <c r="P362" i="1"/>
  <c r="Q362" i="1" s="1"/>
  <c r="P1768" i="1"/>
  <c r="Q1768" i="1" s="1"/>
  <c r="P181" i="1"/>
  <c r="Q181" i="1" s="1"/>
  <c r="P194" i="1"/>
  <c r="Q194" i="1" s="1"/>
  <c r="P1660" i="1"/>
  <c r="Q1660" i="1" s="1"/>
  <c r="P1410" i="1"/>
  <c r="Q1410" i="1" s="1"/>
  <c r="P1102" i="1"/>
  <c r="Q1102" i="1" s="1"/>
  <c r="P300" i="1"/>
  <c r="Q300" i="1" s="1"/>
  <c r="P1450" i="1"/>
  <c r="Q1450" i="1" s="1"/>
  <c r="P1891" i="1"/>
  <c r="Q1891" i="1" s="1"/>
  <c r="P1847" i="1"/>
  <c r="Q1847" i="1" s="1"/>
  <c r="P211" i="1"/>
  <c r="Q211" i="1" s="1"/>
  <c r="P1850" i="1"/>
  <c r="Q1850" i="1" s="1"/>
  <c r="P228" i="1"/>
  <c r="Q228" i="1" s="1"/>
  <c r="P1282" i="1"/>
  <c r="Q1282" i="1" s="1"/>
  <c r="P326" i="1"/>
  <c r="Q326" i="1" s="1"/>
  <c r="P157" i="1"/>
  <c r="Q157" i="1" s="1"/>
  <c r="P208" i="1"/>
  <c r="Q208" i="1" s="1"/>
  <c r="P953" i="1"/>
  <c r="Q953" i="1" s="1"/>
  <c r="P1076" i="1"/>
  <c r="Q1076" i="1" s="1"/>
  <c r="P1612" i="1"/>
  <c r="Q1612" i="1" s="1"/>
  <c r="P1385" i="1"/>
  <c r="Q1385" i="1" s="1"/>
  <c r="P1650" i="1"/>
  <c r="Q1650" i="1" s="1"/>
  <c r="P1530" i="1"/>
  <c r="Q1530" i="1" s="1"/>
  <c r="P1065" i="1"/>
  <c r="Q1065" i="1" s="1"/>
  <c r="P813" i="1"/>
  <c r="Q813" i="1" s="1"/>
  <c r="P154" i="1"/>
  <c r="Q154" i="1" s="1"/>
  <c r="P163" i="1"/>
  <c r="Q163" i="1" s="1"/>
  <c r="P178" i="1"/>
  <c r="Q178" i="1" s="1"/>
  <c r="P865" i="1"/>
  <c r="Q865" i="1" s="1"/>
  <c r="P1451" i="1"/>
  <c r="Q1451" i="1" s="1"/>
  <c r="P1435" i="1"/>
  <c r="Q1435" i="1" s="1"/>
  <c r="P294" i="1"/>
  <c r="Q294" i="1" s="1"/>
  <c r="P1601" i="1"/>
  <c r="Q1601" i="1" s="1"/>
  <c r="P1293" i="1"/>
  <c r="Q1293" i="1" s="1"/>
  <c r="P1323" i="1"/>
  <c r="Q1323" i="1" s="1"/>
  <c r="P424" i="1"/>
  <c r="Q424" i="1" s="1"/>
  <c r="P168" i="1"/>
  <c r="Q168" i="1" s="1"/>
  <c r="P200" i="1"/>
  <c r="Q200" i="1" s="1"/>
  <c r="P299" i="1"/>
  <c r="Q299" i="1" s="1"/>
  <c r="P1085" i="1"/>
  <c r="Q1085" i="1" s="1"/>
  <c r="P1311" i="1"/>
  <c r="Q1311" i="1" s="1"/>
  <c r="P246" i="1"/>
  <c r="Q246" i="1" s="1"/>
  <c r="P646" i="1"/>
  <c r="Q646" i="1" s="1"/>
  <c r="P57" i="1"/>
  <c r="Q57" i="1" s="1"/>
  <c r="P92" i="1"/>
  <c r="Q92" i="1" s="1"/>
  <c r="P1615" i="1"/>
  <c r="Q1615" i="1" s="1"/>
  <c r="P1843" i="1"/>
  <c r="Q1843" i="1" s="1"/>
  <c r="P232" i="1"/>
  <c r="Q232" i="1" s="1"/>
  <c r="P469" i="1"/>
  <c r="Q469" i="1" s="1"/>
  <c r="P1564" i="1"/>
  <c r="Q1564" i="1" s="1"/>
  <c r="P155" i="1"/>
  <c r="Q155" i="1" s="1"/>
  <c r="P186" i="1"/>
  <c r="Q186" i="1" s="1"/>
  <c r="P217" i="1"/>
  <c r="Q217" i="1" s="1"/>
  <c r="P887" i="1"/>
  <c r="Q887" i="1" s="1"/>
  <c r="P286" i="1"/>
  <c r="Q286" i="1" s="1"/>
  <c r="P1608" i="1"/>
  <c r="Q1608" i="1" s="1"/>
  <c r="P1834" i="1"/>
  <c r="Q1834" i="1" s="1"/>
  <c r="P542" i="1"/>
  <c r="Q542" i="1" s="1"/>
  <c r="P977" i="1"/>
  <c r="Q977" i="1" s="1"/>
  <c r="P1778" i="1"/>
  <c r="Q1778" i="1" s="1"/>
  <c r="P233" i="1"/>
  <c r="Q233" i="1" s="1"/>
  <c r="P390" i="1"/>
  <c r="Q390" i="1" s="1"/>
  <c r="P282" i="1"/>
  <c r="Q282" i="1" s="1"/>
  <c r="P1787" i="1"/>
  <c r="Q1787" i="1" s="1"/>
  <c r="P1286" i="1"/>
  <c r="Q1286" i="1" s="1"/>
  <c r="P116" i="1"/>
  <c r="Q116" i="1" s="1"/>
  <c r="P694" i="1"/>
  <c r="Q694" i="1" s="1"/>
  <c r="P153" i="1"/>
  <c r="Q153" i="1" s="1"/>
  <c r="P184" i="1"/>
  <c r="Q184" i="1" s="1"/>
  <c r="P215" i="1"/>
  <c r="Q215" i="1" s="1"/>
  <c r="P885" i="1"/>
  <c r="Q885" i="1" s="1"/>
  <c r="P1287" i="1"/>
  <c r="Q1287" i="1" s="1"/>
  <c r="P1472" i="1"/>
  <c r="Q1472" i="1" s="1"/>
  <c r="P1839" i="1"/>
  <c r="Q1839" i="1" s="1"/>
  <c r="P1835" i="1"/>
  <c r="Q1835" i="1" s="1"/>
  <c r="P237" i="1"/>
  <c r="Q237" i="1" s="1"/>
  <c r="P29" i="1" l="1"/>
  <c r="Q29" i="1" s="1"/>
  <c r="P8" i="1"/>
  <c r="Q8" i="1" s="1"/>
  <c r="P34" i="1"/>
  <c r="Q34" i="1" s="1"/>
  <c r="P22" i="1"/>
  <c r="Q22" i="1" s="1"/>
  <c r="P1386" i="1"/>
  <c r="Q1386" i="1" s="1"/>
  <c r="P789" i="1"/>
  <c r="Q789" i="1" s="1"/>
  <c r="P5" i="1"/>
  <c r="Q5" i="1" s="1"/>
  <c r="P30" i="1"/>
  <c r="Q30" i="1" s="1"/>
  <c r="P32" i="1"/>
  <c r="Q32" i="1" s="1"/>
  <c r="P15" i="1"/>
  <c r="Q15" i="1" s="1"/>
  <c r="P392" i="1"/>
  <c r="Q392" i="1" s="1"/>
  <c r="P26" i="1"/>
  <c r="Q26" i="1" s="1"/>
  <c r="P28" i="1"/>
  <c r="Q28" i="1" s="1"/>
  <c r="P1322" i="1"/>
  <c r="Q1322" i="1" s="1"/>
  <c r="P20" i="1"/>
  <c r="Q20" i="1" s="1"/>
  <c r="P13" i="1"/>
  <c r="Q13" i="1" s="1"/>
  <c r="P1710" i="1"/>
  <c r="Q1710" i="1" s="1"/>
  <c r="P1002" i="1"/>
  <c r="Q1002" i="1" s="1"/>
  <c r="P31" i="1"/>
  <c r="Q31" i="1" s="1"/>
  <c r="P37" i="1"/>
  <c r="Q37" i="1" s="1"/>
  <c r="P10" i="1"/>
  <c r="Q10" i="1" s="1"/>
  <c r="P710" i="1"/>
  <c r="Q710" i="1" s="1"/>
  <c r="P9" i="1"/>
  <c r="Q9" i="1" s="1"/>
  <c r="P1229" i="1"/>
  <c r="Q1229" i="1" s="1"/>
  <c r="P14" i="1"/>
  <c r="Q14" i="1" s="1"/>
  <c r="P17" i="1"/>
  <c r="Q17" i="1" s="1"/>
  <c r="P36" i="1"/>
  <c r="Q36" i="1" s="1"/>
  <c r="P3" i="1"/>
  <c r="Q3" i="1" s="1"/>
  <c r="P1981" i="1"/>
  <c r="Q1981" i="1" s="1"/>
  <c r="P1390" i="1"/>
  <c r="Q1390" i="1" s="1"/>
  <c r="P23" i="1"/>
  <c r="Q23" i="1" s="1"/>
  <c r="P33" i="1"/>
  <c r="Q33" i="1" s="1"/>
  <c r="P655" i="1"/>
  <c r="Q655" i="1" s="1"/>
  <c r="P6" i="1"/>
  <c r="Q6" i="1" s="1"/>
  <c r="P27" i="1"/>
  <c r="Q27" i="1" s="1"/>
  <c r="P1202" i="1"/>
  <c r="Q1202" i="1" s="1"/>
  <c r="P2" i="1"/>
  <c r="Q2" i="1" s="1"/>
  <c r="P1308" i="1"/>
  <c r="Q1308" i="1" s="1"/>
  <c r="P19" i="1"/>
  <c r="Q19" i="1" s="1"/>
  <c r="P25" i="1"/>
  <c r="Q25" i="1" s="1"/>
  <c r="P1956" i="1"/>
  <c r="Q1956" i="1" s="1"/>
  <c r="P21" i="1"/>
  <c r="Q21" i="1" s="1"/>
  <c r="P656" i="1"/>
  <c r="Q656" i="1" s="1"/>
  <c r="P1985" i="1"/>
  <c r="Q1985" i="1" s="1"/>
  <c r="P1205" i="1"/>
  <c r="Q1205" i="1" s="1"/>
  <c r="P4" i="1"/>
  <c r="Q4" i="1" s="1"/>
  <c r="P35" i="1"/>
  <c r="Q35" i="1" s="1"/>
  <c r="P1986" i="1"/>
  <c r="Q1986" i="1" s="1"/>
  <c r="P829" i="1"/>
  <c r="Q829" i="1" s="1"/>
  <c r="P7" i="1"/>
  <c r="Q7" i="1" s="1"/>
  <c r="P24" i="1"/>
  <c r="Q24" i="1" s="1"/>
  <c r="P16" i="1"/>
  <c r="Q16" i="1" s="1"/>
  <c r="P458" i="1"/>
  <c r="Q458" i="1" s="1"/>
  <c r="P1313" i="1"/>
  <c r="Q1313" i="1" s="1"/>
  <c r="P387" i="1"/>
  <c r="Q387" i="1" s="1"/>
  <c r="P995" i="1"/>
  <c r="Q995" i="1" s="1"/>
  <c r="P18" i="1"/>
  <c r="Q18" i="1" s="1"/>
  <c r="P12" i="1"/>
  <c r="Q12" i="1" s="1"/>
  <c r="P1957" i="1"/>
  <c r="Q1957" i="1" s="1"/>
  <c r="P1135" i="1"/>
  <c r="Q1135" i="1" s="1"/>
  <c r="P63" i="1"/>
  <c r="Q63" i="1" s="1"/>
</calcChain>
</file>

<file path=xl/sharedStrings.xml><?xml version="1.0" encoding="utf-8"?>
<sst xmlns="http://schemas.openxmlformats.org/spreadsheetml/2006/main" count="35496" uniqueCount="3205">
  <si>
    <t>Placa</t>
  </si>
  <si>
    <t>Prefixo</t>
  </si>
  <si>
    <t>Modelo</t>
  </si>
  <si>
    <t xml:space="preserve">Perfil cadastro </t>
  </si>
  <si>
    <t>Locadora</t>
  </si>
  <si>
    <t>Rastreador</t>
  </si>
  <si>
    <t>Status Rastreador</t>
  </si>
  <si>
    <t xml:space="preserve">Ano </t>
  </si>
  <si>
    <t>Estado</t>
  </si>
  <si>
    <t>SVC</t>
  </si>
  <si>
    <t>Base</t>
  </si>
  <si>
    <t>Operação</t>
  </si>
  <si>
    <t xml:space="preserve">Focal </t>
  </si>
  <si>
    <t>Líder</t>
  </si>
  <si>
    <t>Regional</t>
  </si>
  <si>
    <t>BIP</t>
  </si>
  <si>
    <t>Dias S/ Rodar</t>
  </si>
  <si>
    <t>Status DDS</t>
  </si>
  <si>
    <t>Status final</t>
  </si>
  <si>
    <t>Protocolo</t>
  </si>
  <si>
    <t xml:space="preserve">Data da abertura </t>
  </si>
  <si>
    <t>Data de parada</t>
  </si>
  <si>
    <t>Observação</t>
  </si>
  <si>
    <t>Status</t>
  </si>
  <si>
    <t>Prazo</t>
  </si>
  <si>
    <t>Oficina</t>
  </si>
  <si>
    <t>Reserva</t>
  </si>
  <si>
    <t>Modelo Reseerva</t>
  </si>
  <si>
    <t>Utimo Bip Reserva</t>
  </si>
  <si>
    <t xml:space="preserve">Dias sem Rodar </t>
  </si>
  <si>
    <t xml:space="preserve">Tratativa força tarefa </t>
  </si>
  <si>
    <t>Data Solicitada</t>
  </si>
  <si>
    <t>Contato</t>
  </si>
  <si>
    <t xml:space="preserve">Dias em manutenção </t>
  </si>
  <si>
    <t>SLA</t>
  </si>
  <si>
    <t>Desmobilização</t>
  </si>
  <si>
    <t>SVL8C61</t>
  </si>
  <si>
    <t>ACCELO 1016</t>
  </si>
  <si>
    <t>VUC</t>
  </si>
  <si>
    <t>Maroni</t>
  </si>
  <si>
    <t>COBLI</t>
  </si>
  <si>
    <t>SP</t>
  </si>
  <si>
    <t>FMS09</t>
  </si>
  <si>
    <t>FMS09 SÃO PAULO (SP)</t>
  </si>
  <si>
    <t>SHOPEE</t>
  </si>
  <si>
    <t>Sara</t>
  </si>
  <si>
    <t>KIMBERLLY</t>
  </si>
  <si>
    <t>DANIEL SHOPEE</t>
  </si>
  <si>
    <t>Veículo Ativo</t>
  </si>
  <si>
    <t/>
  </si>
  <si>
    <t>GJG8C81</t>
  </si>
  <si>
    <t>Sprinter 313</t>
  </si>
  <si>
    <t>VAN</t>
  </si>
  <si>
    <t>Denigris</t>
  </si>
  <si>
    <t>DISPONIBILIZADO 27/11</t>
  </si>
  <si>
    <t xml:space="preserve"> </t>
  </si>
  <si>
    <t>GEW1I64</t>
  </si>
  <si>
    <t>Murici</t>
  </si>
  <si>
    <t>BRRC01</t>
  </si>
  <si>
    <t>SC (FULL FILMENTE) FULL</t>
  </si>
  <si>
    <t>MERCADO LIVRE</t>
  </si>
  <si>
    <t>Luana</t>
  </si>
  <si>
    <t>BRUNO/ERIVELTON</t>
  </si>
  <si>
    <t>VITOR</t>
  </si>
  <si>
    <t>Veiculo precisa fazer o Diferencial - irá para o alair  07/02/2025 - 18/03 - aguardando volante do motor, 28/05 - Alguma coisa corta o combustível de ir pros bicos, 02/05 - aguardando</t>
  </si>
  <si>
    <t>Corretiva</t>
  </si>
  <si>
    <t>Aguardando Aprovação</t>
  </si>
  <si>
    <t>De Nigris (São Bernado dos Campos)</t>
  </si>
  <si>
    <t>Foi solicitado a remoção do rastreador da placa, Dudu irá remover - 09/05</t>
  </si>
  <si>
    <t>GDL9E85</t>
  </si>
  <si>
    <t>SVN3B68</t>
  </si>
  <si>
    <t>DELIVERY 9.180</t>
  </si>
  <si>
    <t>Dibracan</t>
  </si>
  <si>
    <t>SGL2C89</t>
  </si>
  <si>
    <t>I/FORD TRANSIT 350 FL</t>
  </si>
  <si>
    <t xml:space="preserve">Ford Go  </t>
  </si>
  <si>
    <t>ITURAN</t>
  </si>
  <si>
    <t>Hillary/Jonathan</t>
  </si>
  <si>
    <t>GEOVANA</t>
  </si>
  <si>
    <t>GFS7F11</t>
  </si>
  <si>
    <t>SGL2D40</t>
  </si>
  <si>
    <t>Conferido pelo BIP - 05/09/2025</t>
  </si>
  <si>
    <t>GBV9I35</t>
  </si>
  <si>
    <t>Aguardando a oficina enviar o orçamento 17/04</t>
  </si>
  <si>
    <t>SGL1J11</t>
  </si>
  <si>
    <t>Conferido pelo gestor 20/08</t>
  </si>
  <si>
    <t>GFX3I74</t>
  </si>
  <si>
    <t>STT3B07</t>
  </si>
  <si>
    <t>MASTER FURGAO L1</t>
  </si>
  <si>
    <t>SVB7B38</t>
  </si>
  <si>
    <t>GJN9E64</t>
  </si>
  <si>
    <t>Abner</t>
  </si>
  <si>
    <t>SGF9B40</t>
  </si>
  <si>
    <t>MM01 (CAJAMAR)</t>
  </si>
  <si>
    <t>SVI2E40</t>
  </si>
  <si>
    <t>GEZ5H13</t>
  </si>
  <si>
    <t>SWH0G90</t>
  </si>
  <si>
    <t>ACCELO 817</t>
  </si>
  <si>
    <t>CAMINHÃO</t>
  </si>
  <si>
    <t>SVI6D65</t>
  </si>
  <si>
    <t>SWS5G99</t>
  </si>
  <si>
    <t>GAC8H65</t>
  </si>
  <si>
    <t>GDN9I61</t>
  </si>
  <si>
    <t>GCI0A64</t>
  </si>
  <si>
    <t>GBJ3A92</t>
  </si>
  <si>
    <t>SWI8D46</t>
  </si>
  <si>
    <t>Wrsat</t>
  </si>
  <si>
    <t>FDX3G43</t>
  </si>
  <si>
    <t>SUZ9D42</t>
  </si>
  <si>
    <t>SVD7A43</t>
  </si>
  <si>
    <t>SVJ3F95</t>
  </si>
  <si>
    <t>Aguardando espaço na oficina 10/04</t>
  </si>
  <si>
    <t>SUW8J92</t>
  </si>
  <si>
    <t>RTM9F09</t>
  </si>
  <si>
    <t>Localiza</t>
  </si>
  <si>
    <t>GEOTAB</t>
  </si>
  <si>
    <t>SGL2C88</t>
  </si>
  <si>
    <t>SGL2C26</t>
  </si>
  <si>
    <t>SGL1J13</t>
  </si>
  <si>
    <t>SUJ9H28</t>
  </si>
  <si>
    <t>Aguardando oficina encaminhar informação - 17/04</t>
  </si>
  <si>
    <t>RTM7G82</t>
  </si>
  <si>
    <t>Conferido pelo BIP 20/08</t>
  </si>
  <si>
    <t>RTM7G83</t>
  </si>
  <si>
    <t>TOE7D26</t>
  </si>
  <si>
    <t>TOE7D05</t>
  </si>
  <si>
    <t>TOE7D03</t>
  </si>
  <si>
    <t>TOE7C88</t>
  </si>
  <si>
    <t>Falta de motorista 24/08</t>
  </si>
  <si>
    <t>TOE7C95</t>
  </si>
  <si>
    <t>SVC9F75</t>
  </si>
  <si>
    <t>Fiorino Endurance Evo 1.4 2P</t>
  </si>
  <si>
    <t>UTILITARIO</t>
  </si>
  <si>
    <t xml:space="preserve">SWU9J57 </t>
  </si>
  <si>
    <t>Conferido pelo Gestor - 05/08/2025</t>
  </si>
  <si>
    <t>TLK9H18</t>
  </si>
  <si>
    <t xml:space="preserve">TLZ6J18 </t>
  </si>
  <si>
    <t>SC</t>
  </si>
  <si>
    <t>SSC5</t>
  </si>
  <si>
    <t>SC (CRICIUMA) SSC5</t>
  </si>
  <si>
    <t>Natallia</t>
  </si>
  <si>
    <t>REGIANE</t>
  </si>
  <si>
    <t>DIEGO</t>
  </si>
  <si>
    <t>GEF8B74</t>
  </si>
  <si>
    <t>GP01</t>
  </si>
  <si>
    <t>GP01 VARGEM GRANDE (GRUPO PEREIRA)</t>
  </si>
  <si>
    <t>GRUPO PEREIRA</t>
  </si>
  <si>
    <t>Adriano</t>
  </si>
  <si>
    <t>GUILHERME</t>
  </si>
  <si>
    <t>Disponibilizado para a Base - 28/10/2025</t>
  </si>
  <si>
    <t>FJG5F03</t>
  </si>
  <si>
    <t>GJE0D54</t>
  </si>
  <si>
    <t>disponibilizado para base 24/09</t>
  </si>
  <si>
    <t>Motor</t>
  </si>
  <si>
    <t>GGQ9J34</t>
  </si>
  <si>
    <t>conferido pelo bip 24/09</t>
  </si>
  <si>
    <t>GBZ4B11</t>
  </si>
  <si>
    <t>GCP5D34</t>
  </si>
  <si>
    <t>veiculo guinchado com problema de arla</t>
  </si>
  <si>
    <t>Em Diagnóstico</t>
  </si>
  <si>
    <t>GEZ7B46</t>
  </si>
  <si>
    <t>GEN8H43</t>
  </si>
  <si>
    <t>SGL4D18</t>
  </si>
  <si>
    <t>SGL2C38</t>
  </si>
  <si>
    <t>GEV8B15</t>
  </si>
  <si>
    <t>GDY7B23</t>
  </si>
  <si>
    <t>GEI7B15</t>
  </si>
  <si>
    <t>GCL2D74</t>
  </si>
  <si>
    <t>FUP1A85</t>
  </si>
  <si>
    <t>GGV1A34</t>
  </si>
  <si>
    <t>Veículo disponível para a base 31/10</t>
  </si>
  <si>
    <t>Estacionamento da Coca/MuriTruck</t>
  </si>
  <si>
    <t>GJN6D04</t>
  </si>
  <si>
    <t>Manutenção Própria</t>
  </si>
  <si>
    <t>SGL1J08</t>
  </si>
  <si>
    <t>SGL2C80</t>
  </si>
  <si>
    <t>GII1D53</t>
  </si>
  <si>
    <t>09/05 sem previsão</t>
  </si>
  <si>
    <t>GGF8H51</t>
  </si>
  <si>
    <t>TOE7D25</t>
  </si>
  <si>
    <t>SGL4D27</t>
  </si>
  <si>
    <t>GHW4C93</t>
  </si>
  <si>
    <t>GP02</t>
  </si>
  <si>
    <t>GP02 JACAREI (GRUPO PEREIRA)</t>
  </si>
  <si>
    <t>RENATO</t>
  </si>
  <si>
    <t>GFV1C44</t>
  </si>
  <si>
    <t>Sinistro Proprio</t>
  </si>
  <si>
    <t xml:space="preserve">03/09 - Time reenviou a aprovação ao diretor, onde aguardamos a aprovação. 18/08 - Veículo segue pendente de aprovação. 08/08 - Veículo foi realocado para a oficina GR por falta de espaço. 07/08 - Veículo será retirado de guincho e será encaminhado para a oficina Passos as 13h. 29/07 - Veículo está realizando a funilaria do teto na oficina Vieira. </t>
  </si>
  <si>
    <t xml:space="preserve">Sinistro </t>
  </si>
  <si>
    <t>GR CAR</t>
  </si>
  <si>
    <t>GHW1G44</t>
  </si>
  <si>
    <t>GCX2D35</t>
  </si>
  <si>
    <t>GFS6J84</t>
  </si>
  <si>
    <t>GAX9F44</t>
  </si>
  <si>
    <t>GDD8C74</t>
  </si>
  <si>
    <t>GEY9C46</t>
  </si>
  <si>
    <t>GID6J64</t>
  </si>
  <si>
    <t>GGN8H92</t>
  </si>
  <si>
    <t>FZL8E64</t>
  </si>
  <si>
    <t>disponibilizado para base 19/08</t>
  </si>
  <si>
    <t>GEY9H07</t>
  </si>
  <si>
    <t>GGD5G63</t>
  </si>
  <si>
    <t>GHO2G54</t>
  </si>
  <si>
    <t>GGJ1A94</t>
  </si>
  <si>
    <t>Aguardando vaga no Alair 08/04</t>
  </si>
  <si>
    <t>Luiz</t>
  </si>
  <si>
    <t>GKB2A73</t>
  </si>
  <si>
    <t>GFB8H14</t>
  </si>
  <si>
    <t>disponiblizado para base 16/09</t>
  </si>
  <si>
    <t>SGL2C65</t>
  </si>
  <si>
    <t>GAQ6E84</t>
  </si>
  <si>
    <t>GIB4E82</t>
  </si>
  <si>
    <t>SGL4D29</t>
  </si>
  <si>
    <t>SGL4C82</t>
  </si>
  <si>
    <t>GKH4D61</t>
  </si>
  <si>
    <t>Em diagnóstico 09/04</t>
  </si>
  <si>
    <t>SGF8J56</t>
  </si>
  <si>
    <t>I/FORD TRANSIT 350 CL</t>
  </si>
  <si>
    <t>SGL2D16</t>
  </si>
  <si>
    <t>GP03</t>
  </si>
  <si>
    <t>GP03 HORTOLANDIA (GRUPO PEREIRA)</t>
  </si>
  <si>
    <t>KETHLEEN</t>
  </si>
  <si>
    <t>SGL4D23</t>
  </si>
  <si>
    <t>GBT8G14</t>
  </si>
  <si>
    <t>TAK7B94</t>
  </si>
  <si>
    <t>IVECO 35S1</t>
  </si>
  <si>
    <t>BRUNO</t>
  </si>
  <si>
    <t>23/09 - Pendente de aprovação. 18/09 - Realizando cotação das peças, para redução dos custos. 12/09 - Oficina segue finalizando o orçamento. 05/09 - Colisão frontal com uma árvore, segue em orçamentação.</t>
  </si>
  <si>
    <t>GIW6I25</t>
  </si>
  <si>
    <t>SGL4C94</t>
  </si>
  <si>
    <t>GEQ0J14</t>
  </si>
  <si>
    <t>GIG4F93</t>
  </si>
  <si>
    <t>FNG2B94</t>
  </si>
  <si>
    <t>SGF9B31</t>
  </si>
  <si>
    <t>TAK7B86</t>
  </si>
  <si>
    <t>TAK7D11</t>
  </si>
  <si>
    <t>09/05 - veículo colidiu e vai de guincho pra oficina New Sider</t>
  </si>
  <si>
    <t>TAK7D14</t>
  </si>
  <si>
    <t>Veículo disponível para a base 22/08</t>
  </si>
  <si>
    <t>GEI6C33</t>
  </si>
  <si>
    <t>GBK6I84</t>
  </si>
  <si>
    <t>GDG6C93</t>
  </si>
  <si>
    <t>GFN5I84</t>
  </si>
  <si>
    <t>GHS3H03</t>
  </si>
  <si>
    <t>GGZ1F34</t>
  </si>
  <si>
    <t>TAK7B96</t>
  </si>
  <si>
    <t>SGL2C05</t>
  </si>
  <si>
    <t>SGL4D25</t>
  </si>
  <si>
    <t>SGL4D19</t>
  </si>
  <si>
    <t>Conferido pelo DDS - 273429423 - 07/09/2025</t>
  </si>
  <si>
    <t>SGL4C74</t>
  </si>
  <si>
    <t>SGL1I56</t>
  </si>
  <si>
    <t>LH</t>
  </si>
  <si>
    <t>LH SHOPEE</t>
  </si>
  <si>
    <t>SGL4D26</t>
  </si>
  <si>
    <t>GJX9H56</t>
  </si>
  <si>
    <t>TECTOR 170E21</t>
  </si>
  <si>
    <t>TRUCK</t>
  </si>
  <si>
    <t>LHM13</t>
  </si>
  <si>
    <t>LHM13 (BRASILIANDIA)</t>
  </si>
  <si>
    <t>BRUNO/ERIVELTON/PEDRO</t>
  </si>
  <si>
    <t>GDO6D67</t>
  </si>
  <si>
    <t>SJR7A84</t>
  </si>
  <si>
    <t xml:space="preserve"> CONSTELLATION 17.190</t>
  </si>
  <si>
    <t>caminhão</t>
  </si>
  <si>
    <t>LM</t>
  </si>
  <si>
    <t>SSP17</t>
  </si>
  <si>
    <t>LHM16 (XPT AMERICANOPOLIS)</t>
  </si>
  <si>
    <t>Julia</t>
  </si>
  <si>
    <t>IGOR</t>
  </si>
  <si>
    <t>FERNANDO</t>
  </si>
  <si>
    <t>CUM6J26</t>
  </si>
  <si>
    <t>ACTROS 2548 LS 6X2</t>
  </si>
  <si>
    <t>Cavalo</t>
  </si>
  <si>
    <t>Maestro</t>
  </si>
  <si>
    <t>3S Tecnologia</t>
  </si>
  <si>
    <t>LHS BR</t>
  </si>
  <si>
    <t>LHS BR (SHOPEE)</t>
  </si>
  <si>
    <t>GIOVANA</t>
  </si>
  <si>
    <t>MARCIO / João/Felix</t>
  </si>
  <si>
    <t>SWQ6D05</t>
  </si>
  <si>
    <t>SUS0E35</t>
  </si>
  <si>
    <t>BPQ9C21</t>
  </si>
  <si>
    <t>DISPOniblizado para base 27/11</t>
  </si>
  <si>
    <t>GBZ9G62</t>
  </si>
  <si>
    <t>SWR6H23</t>
  </si>
  <si>
    <t>VM 360</t>
  </si>
  <si>
    <t>Aline</t>
  </si>
  <si>
    <t>FELIX</t>
  </si>
  <si>
    <t>Conferido pelo gestor - 16/10/2025</t>
  </si>
  <si>
    <t>Carla</t>
  </si>
  <si>
    <t>SVM9H44</t>
  </si>
  <si>
    <t>SWX1C68</t>
  </si>
  <si>
    <t>SWP1G25</t>
  </si>
  <si>
    <t>ACTROS 2651 LS 6X4</t>
  </si>
  <si>
    <t>STG7D60</t>
  </si>
  <si>
    <t>SWJ6C56</t>
  </si>
  <si>
    <t>SVI9C10</t>
  </si>
  <si>
    <t>RYF7D49</t>
  </si>
  <si>
    <t>Atego 2426</t>
  </si>
  <si>
    <t>Truck</t>
  </si>
  <si>
    <t>RYF7E29</t>
  </si>
  <si>
    <t>TAJ1H97</t>
  </si>
  <si>
    <t>TECTOR 24-320-CL</t>
  </si>
  <si>
    <t>João/Felix</t>
  </si>
  <si>
    <t>TAJ9I09</t>
  </si>
  <si>
    <t>TAJ9I08</t>
  </si>
  <si>
    <t>TAJ5D59</t>
  </si>
  <si>
    <t>TAJ5D50</t>
  </si>
  <si>
    <t>TAJ5D56</t>
  </si>
  <si>
    <t>TAJ5D55</t>
  </si>
  <si>
    <t>FXO3A21</t>
  </si>
  <si>
    <t>FURGAO CARGA GERAL</t>
  </si>
  <si>
    <t>Carreta</t>
  </si>
  <si>
    <t>GKC1A36</t>
  </si>
  <si>
    <t>18/09 - Veículo com orçamento aprovado e prazo de entrega.</t>
  </si>
  <si>
    <t>Sinistro</t>
  </si>
  <si>
    <t>Central Truck</t>
  </si>
  <si>
    <t>RBE0I12</t>
  </si>
  <si>
    <t>RXK1F70</t>
  </si>
  <si>
    <t>RBB2B76</t>
  </si>
  <si>
    <t>RBA0G09</t>
  </si>
  <si>
    <t>FCM8B62</t>
  </si>
  <si>
    <t>GBH5G53</t>
  </si>
  <si>
    <t>FZB6G45</t>
  </si>
  <si>
    <t>FID5J93</t>
  </si>
  <si>
    <t>RBB2B81</t>
  </si>
  <si>
    <t>RBD1F58</t>
  </si>
  <si>
    <t>GBX1009</t>
  </si>
  <si>
    <t>FXE2B95</t>
  </si>
  <si>
    <t>RBE5F24</t>
  </si>
  <si>
    <t>BITREM CARGA GERAL DIANTEIRO</t>
  </si>
  <si>
    <t>RBE5F18</t>
  </si>
  <si>
    <t>BITREM CARGA GERAL TRASEIRO</t>
  </si>
  <si>
    <t>RXK7I60</t>
  </si>
  <si>
    <t>RXK6D30</t>
  </si>
  <si>
    <t>FQV3G01</t>
  </si>
  <si>
    <t>RXL7I59</t>
  </si>
  <si>
    <t>GBX4F42</t>
  </si>
  <si>
    <t>RXK2F90</t>
  </si>
  <si>
    <t>FTZ4B35</t>
  </si>
  <si>
    <t>EGH1H81</t>
  </si>
  <si>
    <t>GIV9F94</t>
  </si>
  <si>
    <t>FXQ6J12</t>
  </si>
  <si>
    <t>FCR2E04</t>
  </si>
  <si>
    <t>FXG4H42</t>
  </si>
  <si>
    <t>RBB2B91</t>
  </si>
  <si>
    <t>RXL8B09</t>
  </si>
  <si>
    <t>RXM3H49</t>
  </si>
  <si>
    <t>RBC5B90</t>
  </si>
  <si>
    <t>FQF9G84</t>
  </si>
  <si>
    <t>GDQ0A52</t>
  </si>
  <si>
    <t>GCF8G31</t>
  </si>
  <si>
    <t>GHU3H12</t>
  </si>
  <si>
    <t>SUX7J97</t>
  </si>
  <si>
    <t>SWG3J97</t>
  </si>
  <si>
    <t>SUP0C31</t>
  </si>
  <si>
    <t>SWB1H35</t>
  </si>
  <si>
    <t>SWP5D92</t>
  </si>
  <si>
    <t>STW1J68</t>
  </si>
  <si>
    <t>SVN1E68</t>
  </si>
  <si>
    <t>STH1E13</t>
  </si>
  <si>
    <t>STT6A13</t>
  </si>
  <si>
    <t>SWF8B24</t>
  </si>
  <si>
    <t>SWW6E22</t>
  </si>
  <si>
    <t>SWR0F47</t>
  </si>
  <si>
    <t>STN3J57</t>
  </si>
  <si>
    <t>STG3I56</t>
  </si>
  <si>
    <t>SUC4B73</t>
  </si>
  <si>
    <t>SUK7D45</t>
  </si>
  <si>
    <t>SVG9I28</t>
  </si>
  <si>
    <t>SWG3F74</t>
  </si>
  <si>
    <t>SWV4F52</t>
  </si>
  <si>
    <t>SWO1G45</t>
  </si>
  <si>
    <t>GEB1H86</t>
  </si>
  <si>
    <t>FNY2B06</t>
  </si>
  <si>
    <t>FKB6C94</t>
  </si>
  <si>
    <t>FMZ8A65</t>
  </si>
  <si>
    <t>FRM4I25</t>
  </si>
  <si>
    <t>FJL5B71</t>
  </si>
  <si>
    <t>FGU5I81</t>
  </si>
  <si>
    <t>FSS7C51</t>
  </si>
  <si>
    <t>FNU3B54</t>
  </si>
  <si>
    <t>GKE0G54</t>
  </si>
  <si>
    <t>Conferido pelo gestor - 18/09/2025</t>
  </si>
  <si>
    <t>FCK2I74</t>
  </si>
  <si>
    <t>FJK3B27</t>
  </si>
  <si>
    <t>FCP9C64</t>
  </si>
  <si>
    <t>FSW4I21</t>
  </si>
  <si>
    <t>FJI1H82</t>
  </si>
  <si>
    <t>FXB3C61</t>
  </si>
  <si>
    <t>FZF3E46</t>
  </si>
  <si>
    <t>FWE9D62</t>
  </si>
  <si>
    <t>FCD0G15</t>
  </si>
  <si>
    <t>FZF0J72</t>
  </si>
  <si>
    <t>GDO4D06</t>
  </si>
  <si>
    <t>Sem Rastreador</t>
  </si>
  <si>
    <t>TME3B67</t>
  </si>
  <si>
    <t>TLN5J37</t>
  </si>
  <si>
    <t>SVI6C80</t>
  </si>
  <si>
    <t>GKA3B04</t>
  </si>
  <si>
    <t>CONSTELLATION 26.320</t>
  </si>
  <si>
    <t>CUG3E95</t>
  </si>
  <si>
    <t>FVV1B52</t>
  </si>
  <si>
    <t>FLN0H65</t>
  </si>
  <si>
    <t>FNU0D51</t>
  </si>
  <si>
    <t>FCA3E37</t>
  </si>
  <si>
    <t>SXV5C98</t>
  </si>
  <si>
    <t>ACCELO 1017</t>
  </si>
  <si>
    <t>Caminhão</t>
  </si>
  <si>
    <t>SXV0C78</t>
  </si>
  <si>
    <t>SXV5D58</t>
  </si>
  <si>
    <t>SXV4J18</t>
  </si>
  <si>
    <t>SXV5A28</t>
  </si>
  <si>
    <t>SXV4I98</t>
  </si>
  <si>
    <t>SXV5A78</t>
  </si>
  <si>
    <t>SXV5E68</t>
  </si>
  <si>
    <t>SXV4J58</t>
  </si>
  <si>
    <t>SXU6B48</t>
  </si>
  <si>
    <t>SXV4F98</t>
  </si>
  <si>
    <t>SXU6B28</t>
  </si>
  <si>
    <t>SXV5D78</t>
  </si>
  <si>
    <t>SXV4J78</t>
  </si>
  <si>
    <t>SXV5E28</t>
  </si>
  <si>
    <t>STS7H95</t>
  </si>
  <si>
    <t>FH 540</t>
  </si>
  <si>
    <t>STY3A64</t>
  </si>
  <si>
    <t>BQP1A71</t>
  </si>
  <si>
    <t>FJR8I54</t>
  </si>
  <si>
    <t>FGJ9H71</t>
  </si>
  <si>
    <t>STO4D24</t>
  </si>
  <si>
    <t>SWD2I13</t>
  </si>
  <si>
    <t>SWU6I91</t>
  </si>
  <si>
    <t>SVT0E87</t>
  </si>
  <si>
    <t>SWR0A95</t>
  </si>
  <si>
    <t>STN3D74</t>
  </si>
  <si>
    <t>SWG2G22</t>
  </si>
  <si>
    <t>STO3J87</t>
  </si>
  <si>
    <t>SSU9E09</t>
  </si>
  <si>
    <t>SSU5F06</t>
  </si>
  <si>
    <t>SVM9C81</t>
  </si>
  <si>
    <t>SWX3E45</t>
  </si>
  <si>
    <t>SUQ0C67</t>
  </si>
  <si>
    <t>SVM8J76</t>
  </si>
  <si>
    <t>STQ6I54</t>
  </si>
  <si>
    <t>SVC6I57</t>
  </si>
  <si>
    <t>STT8D25</t>
  </si>
  <si>
    <t>SVD8C95</t>
  </si>
  <si>
    <t>SWK9I32</t>
  </si>
  <si>
    <t>TAJ7D48</t>
  </si>
  <si>
    <t>STU3D88</t>
  </si>
  <si>
    <t>SSP5</t>
  </si>
  <si>
    <t>SC (ARENA BARUERI) SSP5</t>
  </si>
  <si>
    <t>Isleine</t>
  </si>
  <si>
    <t>Vitor</t>
  </si>
  <si>
    <t>RUX9G54</t>
  </si>
  <si>
    <t>BA</t>
  </si>
  <si>
    <t>LMS36</t>
  </si>
  <si>
    <t>LMS37 JARDIM CAJAZEIRAS (BA)</t>
  </si>
  <si>
    <t>UEBERT</t>
  </si>
  <si>
    <t>TIAGO</t>
  </si>
  <si>
    <t>TOE7C97</t>
  </si>
  <si>
    <t>MARS1</t>
  </si>
  <si>
    <t>MARS1 (ITUPEVA)</t>
  </si>
  <si>
    <t>MARS</t>
  </si>
  <si>
    <t>ANA FLAVIA</t>
  </si>
  <si>
    <t>Conferido pelo DDS - 4178234 - 18/08</t>
  </si>
  <si>
    <t>RNG5A17</t>
  </si>
  <si>
    <t>SSP20</t>
  </si>
  <si>
    <t>SC (SOROCABA) SSP20</t>
  </si>
  <si>
    <t>Khetlyn</t>
  </si>
  <si>
    <t>LARIANE</t>
  </si>
  <si>
    <t>ROSANA</t>
  </si>
  <si>
    <t>TOE2A40</t>
  </si>
  <si>
    <t>Conferido pelo gestor 31/08</t>
  </si>
  <si>
    <t>SFN0B78</t>
  </si>
  <si>
    <t>MM01</t>
  </si>
  <si>
    <t>MADEIRA MADEIRA</t>
  </si>
  <si>
    <t>RODRIGO</t>
  </si>
  <si>
    <t>JULIANO</t>
  </si>
  <si>
    <t xml:space="preserve">Batida </t>
  </si>
  <si>
    <t>Gabriel L.</t>
  </si>
  <si>
    <t>TOE7D29</t>
  </si>
  <si>
    <t>solicitado desbloqueio 24/09</t>
  </si>
  <si>
    <t>SJT6B03</t>
  </si>
  <si>
    <t>Disponibilizado para base - 18/08</t>
  </si>
  <si>
    <t>Aguardando oficina encaminhar informação - 07/04</t>
  </si>
  <si>
    <t>SJT7C45</t>
  </si>
  <si>
    <t>SFE0J20</t>
  </si>
  <si>
    <t>SGL2B72</t>
  </si>
  <si>
    <t>SGL2C77</t>
  </si>
  <si>
    <t>GFR7C64</t>
  </si>
  <si>
    <t>SVV7G19</t>
  </si>
  <si>
    <t>SFN0C59</t>
  </si>
  <si>
    <t>Conferido pelo gestor 18/09/2025</t>
  </si>
  <si>
    <t>SGF9A55</t>
  </si>
  <si>
    <t>TOE2B98</t>
  </si>
  <si>
    <t>TOE2C50</t>
  </si>
  <si>
    <t>TOE2C53</t>
  </si>
  <si>
    <t>TOE2C44</t>
  </si>
  <si>
    <t>SGF8I55</t>
  </si>
  <si>
    <t>MM03</t>
  </si>
  <si>
    <t>MM03 (ARUJA)</t>
  </si>
  <si>
    <t>ALEXANDRE</t>
  </si>
  <si>
    <t>SGF8J97</t>
  </si>
  <si>
    <t>Conferido pelo lider 18/09/2025</t>
  </si>
  <si>
    <t>TOE7D13</t>
  </si>
  <si>
    <t>MM04</t>
  </si>
  <si>
    <t>MM04 (JUNDIAI)</t>
  </si>
  <si>
    <t xml:space="preserve">KETHLEEN </t>
  </si>
  <si>
    <t>LIBERADO 30/10/2025</t>
  </si>
  <si>
    <t>Ford Studio Guarulhos</t>
  </si>
  <si>
    <t>SGL2C21</t>
  </si>
  <si>
    <t>SGF9C11</t>
  </si>
  <si>
    <t>GFJ5J16</t>
  </si>
  <si>
    <t>Disponibilizado para base 19/08</t>
  </si>
  <si>
    <t>TAK7D13</t>
  </si>
  <si>
    <t>SGF8I96</t>
  </si>
  <si>
    <t xml:space="preserve"> I/FORD TRANSIT 350 CL</t>
  </si>
  <si>
    <t xml:space="preserve">Embreagem </t>
  </si>
  <si>
    <t>SGF8I77</t>
  </si>
  <si>
    <t>SGF9B96</t>
  </si>
  <si>
    <t>SVI2F20</t>
  </si>
  <si>
    <t>SGL4D20</t>
  </si>
  <si>
    <t xml:space="preserve">Kethleen </t>
  </si>
  <si>
    <t>STH5D15</t>
  </si>
  <si>
    <t>18/09 - Veículo disponibilizado para a base.</t>
  </si>
  <si>
    <t>Anderson</t>
  </si>
  <si>
    <t>SGL2D21</t>
  </si>
  <si>
    <t>SGL2C95</t>
  </si>
  <si>
    <t>FORD RENT</t>
  </si>
  <si>
    <t>TOE7D16</t>
  </si>
  <si>
    <t>SUC0F54</t>
  </si>
  <si>
    <t>OXXO1</t>
  </si>
  <si>
    <t>OXXO1 (CAJAMAR)</t>
  </si>
  <si>
    <t>OXXO</t>
  </si>
  <si>
    <t>16/09 - Carro pronto, e base informada.</t>
  </si>
  <si>
    <t>Aguardando resposta do time de sinistro 07/04</t>
  </si>
  <si>
    <t>SUK9C18</t>
  </si>
  <si>
    <t>GCJ0H47</t>
  </si>
  <si>
    <t>Gabriel</t>
  </si>
  <si>
    <t>SUE2A75</t>
  </si>
  <si>
    <t>SFG8G11</t>
  </si>
  <si>
    <t>Conferido pelo BIP 11/08</t>
  </si>
  <si>
    <t>GDK8I26</t>
  </si>
  <si>
    <t>SSY3I38</t>
  </si>
  <si>
    <t>SUG5C29</t>
  </si>
  <si>
    <t>SVO4A80</t>
  </si>
  <si>
    <t>FNI3F91</t>
  </si>
  <si>
    <t>SUE0D98</t>
  </si>
  <si>
    <t>STE1C78</t>
  </si>
  <si>
    <t>SWW5E78</t>
  </si>
  <si>
    <t>SSS6G60</t>
  </si>
  <si>
    <t>SWH8D54</t>
  </si>
  <si>
    <t>SUI6F96</t>
  </si>
  <si>
    <t>RUO6B02</t>
  </si>
  <si>
    <t>PTL01</t>
  </si>
  <si>
    <t>PTL01 BELEM (PETLOVE)</t>
  </si>
  <si>
    <t>PETLOVE</t>
  </si>
  <si>
    <t>veiculo é do metrcado mas esta rodando na pet love ate definição para devolver na localiza carro esta com Fernando do ABC</t>
  </si>
  <si>
    <t xml:space="preserve">EYH4A21 </t>
  </si>
  <si>
    <t>RHW0D59</t>
  </si>
  <si>
    <t>E-Jumpy Furgão 2P</t>
  </si>
  <si>
    <t>VAN ELETRICA</t>
  </si>
  <si>
    <t>rodou em 22/10 na pet love</t>
  </si>
  <si>
    <t>RHW0D53</t>
  </si>
  <si>
    <t>RHW0D35</t>
  </si>
  <si>
    <t>rodou em 10/10 na pet love</t>
  </si>
  <si>
    <t>FHE4895</t>
  </si>
  <si>
    <t>PTL02</t>
  </si>
  <si>
    <t>PTL02 JUNDIA (PETLOVE)</t>
  </si>
  <si>
    <t>Conferido pelo BIP 24/08</t>
  </si>
  <si>
    <t>RVP4C43</t>
  </si>
  <si>
    <t>Movida</t>
  </si>
  <si>
    <t>Devolvido</t>
  </si>
  <si>
    <t>SVA6J10</t>
  </si>
  <si>
    <t>PTL07</t>
  </si>
  <si>
    <t>PTL07 SJC (XPT PETLOVE)</t>
  </si>
  <si>
    <t>GABRIELE</t>
  </si>
  <si>
    <t>RNC9E64</t>
  </si>
  <si>
    <t>SSP3</t>
  </si>
  <si>
    <t>SC (1CAMPINAS) SSP3</t>
  </si>
  <si>
    <t>KAREN</t>
  </si>
  <si>
    <t>24/09 - Veículo está aguardando suporte do coxim, e ainda está pendente de chegada. 18/09 - Veículo segue na oficina, aguardando retorno sobre a liberação do veículo. 10/09 - Veículo ainda segue em finalização. 25/08 - Entrada paga aguardando apenas prazo de entrega. 21/08 - Aguardando liberação do pagamento. 24/07 - Peças encontradas aguardadando apenas pagamento do serviço 23/06 - faltando ainda peças que não foram enviadas (Porta do lado direito, e os dois para-lama). Colisão Frontal, solicitando orçamento para real aprovação. Assim, solcitando um prazo de liberação. 04/02/2025./Orçamento autorizado a fazer na passos. Feito a aprovação na Vegas e o mesmo já fará o serviço. 07/02/2025. Oficina está aguardando o pagamento da Murici, para a solicitação de peças. 16/04/2025 Oficina informou que está aguardando as peças 13/05/2025 Oficina informou que está tendo muita dificuldade para achar as peças, ainda segue na busca. 28/05/2025 todas as peças faltantes já com a oficina, aguardando finalização. Veículo está aguardando pagamento por parte da Murici</t>
  </si>
  <si>
    <t>Aguardando peça</t>
  </si>
  <si>
    <t>Vegas Truck</t>
  </si>
  <si>
    <t>Aguardando a oficina enviar o orçamento 10/04</t>
  </si>
  <si>
    <t>RVA2J33</t>
  </si>
  <si>
    <t>DEVOLVIDO PARA A BASEAPEX - 01/09/2025 - PRIVADO DA KAREM</t>
  </si>
  <si>
    <t>RVE7B98</t>
  </si>
  <si>
    <t>RHW2G08</t>
  </si>
  <si>
    <t>JAC iEV1200T AT 4x2 2P</t>
  </si>
  <si>
    <t>caminhão eletrico</t>
  </si>
  <si>
    <t>SGI8J77</t>
  </si>
  <si>
    <t>RNU2D20</t>
  </si>
  <si>
    <t>RUO6B67</t>
  </si>
  <si>
    <t>Motor está fazendo no Alair</t>
  </si>
  <si>
    <t>Truck Center</t>
  </si>
  <si>
    <t>Oficina está aguardando as peças chegarem 09/05</t>
  </si>
  <si>
    <t>RNN3G80</t>
  </si>
  <si>
    <t>devolvido na precison em 02/07/2025</t>
  </si>
  <si>
    <t>RVA2J45</t>
  </si>
  <si>
    <t>RVB0J92</t>
  </si>
  <si>
    <t>Basepex fazendo vistoria 09/10/2025</t>
  </si>
  <si>
    <t xml:space="preserve">Estacionamento da base </t>
  </si>
  <si>
    <t>RNC5H22</t>
  </si>
  <si>
    <t>Veículo Disponibilizado para a Base-03/09</t>
  </si>
  <si>
    <t>RTE0I46</t>
  </si>
  <si>
    <t>Conferido pelo BIP - 23/09/2025</t>
  </si>
  <si>
    <t>RMR5J24</t>
  </si>
  <si>
    <t>disponibilizado para base 16/10</t>
  </si>
  <si>
    <t>RVB0J72</t>
  </si>
  <si>
    <t>RVX0G52</t>
  </si>
  <si>
    <t>veiculo ativo</t>
  </si>
  <si>
    <t>RMR8G82</t>
  </si>
  <si>
    <t>RHV8D42</t>
  </si>
  <si>
    <t>Conferido pelo BIP - 06/09/2025</t>
  </si>
  <si>
    <t>Oficina vai montar o veículo para mandar para a css 09/05</t>
  </si>
  <si>
    <t>RNJ9D62</t>
  </si>
  <si>
    <t>veiculo devolvido na precision 13/06</t>
  </si>
  <si>
    <t>SGI8J69</t>
  </si>
  <si>
    <t>RTE0I49</t>
  </si>
  <si>
    <t>RNC5H28</t>
  </si>
  <si>
    <t>SGI8I50</t>
  </si>
  <si>
    <t>STO0I02</t>
  </si>
  <si>
    <t>SC (ITUPEVA) SSP38</t>
  </si>
  <si>
    <t>RNC5H15</t>
  </si>
  <si>
    <t>Veículo Disponibilizado para a Base 24/09</t>
  </si>
  <si>
    <t>Flavio</t>
  </si>
  <si>
    <t>RNB5I49</t>
  </si>
  <si>
    <t>RNC5H23</t>
  </si>
  <si>
    <t>RNC9E69</t>
  </si>
  <si>
    <t>disponibilizado para base 06/10</t>
  </si>
  <si>
    <t>Hillary</t>
  </si>
  <si>
    <t>RNE7C74</t>
  </si>
  <si>
    <t>RNC5H20</t>
  </si>
  <si>
    <t>RNJ9D65</t>
  </si>
  <si>
    <t>enviado vex no email em 22/10</t>
  </si>
  <si>
    <t>SGI8J90</t>
  </si>
  <si>
    <t>SSP37</t>
  </si>
  <si>
    <t>SC (2 CAMPINAS ) SSP37</t>
  </si>
  <si>
    <t>SHI6I70</t>
  </si>
  <si>
    <t>SGI8J01</t>
  </si>
  <si>
    <t>RNC9E50</t>
  </si>
  <si>
    <t>SFT5A79</t>
  </si>
  <si>
    <t>SGI9A10</t>
  </si>
  <si>
    <t>SGI8J95</t>
  </si>
  <si>
    <t>SGI8I17</t>
  </si>
  <si>
    <t>SFT5A52</t>
  </si>
  <si>
    <t>SC (3 CAMPINAS ) SSP3</t>
  </si>
  <si>
    <t>SFT5A98</t>
  </si>
  <si>
    <t>SGI8J40</t>
  </si>
  <si>
    <t>SC (ABC) SSP17</t>
  </si>
  <si>
    <t>08/09 - Veículo segue sendo negociado. 05/09 - Colisão grave na lateral da cabine, onde deu valor alto e segue em negociação.</t>
  </si>
  <si>
    <t>Passos</t>
  </si>
  <si>
    <t>RTM6B51</t>
  </si>
  <si>
    <t>veiculo ativo rodando na operação madeira</t>
  </si>
  <si>
    <t>RTM6B70</t>
  </si>
  <si>
    <t>RTM6B49</t>
  </si>
  <si>
    <t>manutenção pela localiza pesado</t>
  </si>
  <si>
    <t>Veiculo, será liberado só mediante pegamento - 09/05</t>
  </si>
  <si>
    <t>RNN6A68</t>
  </si>
  <si>
    <t xml:space="preserve">Vazamento de oléo </t>
  </si>
  <si>
    <t>RTM6B44</t>
  </si>
  <si>
    <t>enviado email com vex 29/10</t>
  </si>
  <si>
    <t>SGL2D15</t>
  </si>
  <si>
    <t>conferido pelo BIP 09/09</t>
  </si>
  <si>
    <t>RTM6B72</t>
  </si>
  <si>
    <t>RTM6B58</t>
  </si>
  <si>
    <t>SGI8I12</t>
  </si>
  <si>
    <t>RUX2J11</t>
  </si>
  <si>
    <t xml:space="preserve"> Partner Rapid Business Pack 1.4 2P</t>
  </si>
  <si>
    <t>devolvido na precision em 25/07/2025</t>
  </si>
  <si>
    <t>Veiculo esta em outra operação</t>
  </si>
  <si>
    <t>RTM6B48</t>
  </si>
  <si>
    <t>devolvido na precision 27/10</t>
  </si>
  <si>
    <t xml:space="preserve">RNB5I50  </t>
  </si>
  <si>
    <t>enviado email com vex 22/10</t>
  </si>
  <si>
    <t>RFU2E32</t>
  </si>
  <si>
    <t>RNB5I52</t>
  </si>
  <si>
    <t>09/06 - Veiculo devolvido na precision</t>
  </si>
  <si>
    <t>RNJ9D14</t>
  </si>
  <si>
    <t>veiculo devolvido com vex 13/08 no email</t>
  </si>
  <si>
    <t>RNJ9D01</t>
  </si>
  <si>
    <t>RTM6B50</t>
  </si>
  <si>
    <t>RUO6B73</t>
  </si>
  <si>
    <t>Conferido pelo BIP - 03/09/2025</t>
  </si>
  <si>
    <t>SGL1J16</t>
  </si>
  <si>
    <t xml:space="preserve">Veiculo desmobilizado </t>
  </si>
  <si>
    <t>SGK7E11</t>
  </si>
  <si>
    <t>SGL1I25</t>
  </si>
  <si>
    <t>SGI8J72</t>
  </si>
  <si>
    <t>SGI8J58</t>
  </si>
  <si>
    <t>SGI8J84</t>
  </si>
  <si>
    <t>SGI8J87</t>
  </si>
  <si>
    <t>SUR6J68</t>
  </si>
  <si>
    <t>RUM3C07</t>
  </si>
  <si>
    <t>RNN0C19</t>
  </si>
  <si>
    <t>JCJ0D32</t>
  </si>
  <si>
    <t>Vamos</t>
  </si>
  <si>
    <t>16/09/2025 - N° ROTA LOGISTICA 276812684</t>
  </si>
  <si>
    <t>RNE4J09</t>
  </si>
  <si>
    <t>Veículo devolvido dia 08/08 na presicion</t>
  </si>
  <si>
    <t>GDV1E06</t>
  </si>
  <si>
    <t>SJR9E23</t>
  </si>
  <si>
    <t>TIY7H48</t>
  </si>
  <si>
    <t>RNG4F37</t>
  </si>
  <si>
    <t>SSP10</t>
  </si>
  <si>
    <t>SC (ARAÇATUBA) SSP10</t>
  </si>
  <si>
    <t>LARISSA</t>
  </si>
  <si>
    <t>REGIS</t>
  </si>
  <si>
    <t>10/10/25 - Será devolvido pra locadora, sem previsão ainda</t>
  </si>
  <si>
    <t>16/05 cobrei a oficina sobre orçamento via whats</t>
  </si>
  <si>
    <t>RVE2F27</t>
  </si>
  <si>
    <t>10/10/25 - veiculo no estacionamento da base esperando devolução</t>
  </si>
  <si>
    <t>RUZ8A53</t>
  </si>
  <si>
    <t>em 05/05 enviado email solicitando aprovação</t>
  </si>
  <si>
    <t>RVQ2D64</t>
  </si>
  <si>
    <t>RVQ2D51</t>
  </si>
  <si>
    <t>RNG4F63</t>
  </si>
  <si>
    <t>SWK0B78</t>
  </si>
  <si>
    <t>SVR0C16</t>
  </si>
  <si>
    <t>SGF8J08</t>
  </si>
  <si>
    <t>disponmiobilizado para base 01/10</t>
  </si>
  <si>
    <t>SGF8J96</t>
  </si>
  <si>
    <t>RNF6H36</t>
  </si>
  <si>
    <t>SFW2E95</t>
  </si>
  <si>
    <t>STU8B28</t>
  </si>
  <si>
    <t>MARCELO/ISLENE/ERIVELTON</t>
  </si>
  <si>
    <t>disponibilizado para base 28/10/2025</t>
  </si>
  <si>
    <t>SJT9A40</t>
  </si>
  <si>
    <t>Conferido pelo gestor - 24/09/2025</t>
  </si>
  <si>
    <t>em 04/04 ficou acertado do Erivelton levar o veiculo para CSS tiete</t>
  </si>
  <si>
    <t>RNZ3H57</t>
  </si>
  <si>
    <t>Veículo Disponibilizado para a base-06/10</t>
  </si>
  <si>
    <t>RNF2B91</t>
  </si>
  <si>
    <t>12/09 - Veículo segue na oficina Vieira realizando funilaria 11/09 - Veículo retornará para a oficina Vieira, e irá realizar funilaria da traseira.</t>
  </si>
  <si>
    <t>Oficina Vieira</t>
  </si>
  <si>
    <t>RNJ9D16</t>
  </si>
  <si>
    <t>RNJ9D08</t>
  </si>
  <si>
    <t>RNH7H50</t>
  </si>
  <si>
    <t>16/09 - Veículo dará parada na Central Truck. 15/09 - Veículo sofreu uma colisão na porta esquerda.</t>
  </si>
  <si>
    <t>Muritruck</t>
  </si>
  <si>
    <t>RTM7G80</t>
  </si>
  <si>
    <t>disponibilizado para base 11/09</t>
  </si>
  <si>
    <t>RTB7E47</t>
  </si>
  <si>
    <t>SVW6D33</t>
  </si>
  <si>
    <t>RND8C52</t>
  </si>
  <si>
    <t>veiculo devolvido em 13/08/2025 VEX enviado via email</t>
  </si>
  <si>
    <t>JCJ3H90</t>
  </si>
  <si>
    <t>RTM6B60</t>
  </si>
  <si>
    <t>rodando na operação madeira madeira</t>
  </si>
  <si>
    <t>veiculo chegou de guincho na oficina em 05/05</t>
  </si>
  <si>
    <t>SVN2A21</t>
  </si>
  <si>
    <t>JCJ0D35</t>
  </si>
  <si>
    <t>JCJ0D26</t>
  </si>
  <si>
    <t>RNJ9C61</t>
  </si>
  <si>
    <t>devolvido na precision em 30/07/2025</t>
  </si>
  <si>
    <t>16/05 cobrei via whats sobre previsao-em 02/02 o Vinicius mandou email para Sr aguardando aprovação !</t>
  </si>
  <si>
    <t>SRP3D16</t>
  </si>
  <si>
    <t>SJT7H68</t>
  </si>
  <si>
    <t>RNE0J07</t>
  </si>
  <si>
    <t>SUP6H59</t>
  </si>
  <si>
    <t>RND8C47</t>
  </si>
  <si>
    <t>RTF0B76</t>
  </si>
  <si>
    <t>RNJ9D02</t>
  </si>
  <si>
    <t>Devolução na  precision em 03/07/2025</t>
  </si>
  <si>
    <t>RNJ9C65</t>
  </si>
  <si>
    <t>SUZ1E05</t>
  </si>
  <si>
    <t>SGI9A06</t>
  </si>
  <si>
    <t>RNB5I53</t>
  </si>
  <si>
    <t>Disponibilizado para a base - 18/09/2025</t>
  </si>
  <si>
    <t>JCI8F76</t>
  </si>
  <si>
    <t>JCI8F95</t>
  </si>
  <si>
    <t>SVL2E12</t>
  </si>
  <si>
    <t>sapucai</t>
  </si>
  <si>
    <t>RNN6A71</t>
  </si>
  <si>
    <t>10/10/25 - veiculo deixado no estacionamento da coca para desmobilização</t>
  </si>
  <si>
    <t>SGL2C69</t>
  </si>
  <si>
    <t>RNJ9C72</t>
  </si>
  <si>
    <t>RNJ9D58</t>
  </si>
  <si>
    <t>16/09 Sem motorista por conta da telemetria / retorna dia 22/09</t>
  </si>
  <si>
    <t>RNJ9D40</t>
  </si>
  <si>
    <t>disponibilizado para base 15/09</t>
  </si>
  <si>
    <t>RTE0I43</t>
  </si>
  <si>
    <t>devolvido na precision em 24/09</t>
  </si>
  <si>
    <t>JCI8F67</t>
  </si>
  <si>
    <t>SFG2D54</t>
  </si>
  <si>
    <t>RNJ9D10</t>
  </si>
  <si>
    <t>JCJ0D25</t>
  </si>
  <si>
    <t>RNB5I50</t>
  </si>
  <si>
    <t>SJT5G88</t>
  </si>
  <si>
    <t>SGF9B41</t>
  </si>
  <si>
    <t>SJT6E89</t>
  </si>
  <si>
    <t>JCJ0D24</t>
  </si>
  <si>
    <t>JCJ0D28</t>
  </si>
  <si>
    <t>Conferido pelo BIP - 04/09/2025</t>
  </si>
  <si>
    <t>FKH3F94</t>
  </si>
  <si>
    <t>SGL2B42</t>
  </si>
  <si>
    <t>SGL1J04</t>
  </si>
  <si>
    <t>disponiobilizado pára base 19/09</t>
  </si>
  <si>
    <t>SGL2D04</t>
  </si>
  <si>
    <t>Disponibilizado para a base 30/09</t>
  </si>
  <si>
    <t>SGL1J06</t>
  </si>
  <si>
    <t>SGL2C94</t>
  </si>
  <si>
    <t>SGI8H59</t>
  </si>
  <si>
    <t>SGI8J92</t>
  </si>
  <si>
    <t>RUM3C40</t>
  </si>
  <si>
    <t>SSP25</t>
  </si>
  <si>
    <t>SC (ATIBAIA) SSP25</t>
  </si>
  <si>
    <t>LEANDRO</t>
  </si>
  <si>
    <t>ROSANA/EDSON</t>
  </si>
  <si>
    <t>rodando  pet love RJ</t>
  </si>
  <si>
    <t xml:space="preserve">                   Estacionamento da Coca/MuriTruck</t>
  </si>
  <si>
    <t>SGI8H16</t>
  </si>
  <si>
    <t>RUL7F87</t>
  </si>
  <si>
    <t>ira para para a petlove- 29/10/2025</t>
  </si>
  <si>
    <t>SWL1C23</t>
  </si>
  <si>
    <t>RNB5I56</t>
  </si>
  <si>
    <t>carro devolvido em 30/09 na precision</t>
  </si>
  <si>
    <t>RUM2B32</t>
  </si>
  <si>
    <t>devolvido na precision em 23/09</t>
  </si>
  <si>
    <t>SGI8I95</t>
  </si>
  <si>
    <t>Veículo Disponibilizado para a base 16/10</t>
  </si>
  <si>
    <t>SGL2D25</t>
  </si>
  <si>
    <t>Conferido pelo bip- 13/10/2025</t>
  </si>
  <si>
    <t>SGI8J35</t>
  </si>
  <si>
    <t>solicitado desbloqueio via forms 15/09</t>
  </si>
  <si>
    <t>SGI8J37</t>
  </si>
  <si>
    <t>RVT4F15</t>
  </si>
  <si>
    <t xml:space="preserve"> Veículo Transferido para a Basepex 29/08</t>
  </si>
  <si>
    <t>SGL2D31</t>
  </si>
  <si>
    <t>SUZ7J93</t>
  </si>
  <si>
    <t>16/09/2025 N° ROTA LOGISTICA 276838829</t>
  </si>
  <si>
    <t>SGL2B63</t>
  </si>
  <si>
    <t>Rota Logistc- 273165418-08/09</t>
  </si>
  <si>
    <t>SFN0B75</t>
  </si>
  <si>
    <t>SVF7G32</t>
  </si>
  <si>
    <t>16/09/2025 N° DO ROTA LOGISTICA 276816947</t>
  </si>
  <si>
    <t>SWK5H31</t>
  </si>
  <si>
    <t>Alair pediu para deixar no estacionamento da coca 03/04 pois lá está cheio- 04/04 estacionamento da coca agaurdando vaga no alair</t>
  </si>
  <si>
    <t>JCI8F71</t>
  </si>
  <si>
    <t>JCJ0D29</t>
  </si>
  <si>
    <t>SGL2C19</t>
  </si>
  <si>
    <t>RUM2B53</t>
  </si>
  <si>
    <t>PET LOVE JUNDIAI</t>
  </si>
  <si>
    <t>Esta no estacionamento para desmobilização 31/10/2025</t>
  </si>
  <si>
    <t>RUM2B43</t>
  </si>
  <si>
    <t>RUM2B42</t>
  </si>
  <si>
    <t>GDM9A22</t>
  </si>
  <si>
    <t>Veículo foi para a oficina 09/05 ainda sem sabe o problema</t>
  </si>
  <si>
    <t>SGI8H76</t>
  </si>
  <si>
    <t>SUM5H13</t>
  </si>
  <si>
    <t>SGH8A75</t>
  </si>
  <si>
    <t>Conferido pelo BIP - 24/09/2025</t>
  </si>
  <si>
    <t>RUM2B35</t>
  </si>
  <si>
    <t>Disponibilizado para a base 11/11/2025</t>
  </si>
  <si>
    <t>SGI8J93</t>
  </si>
  <si>
    <t>SGI8J80</t>
  </si>
  <si>
    <t>solicitado desbloqueio 22/09</t>
  </si>
  <si>
    <t>SVX5C53</t>
  </si>
  <si>
    <t>SJU6F48</t>
  </si>
  <si>
    <t>SUG1B43</t>
  </si>
  <si>
    <t>STT6B53</t>
  </si>
  <si>
    <t>16/09/2025 N° ROTA LOGISTICA 276855629</t>
  </si>
  <si>
    <t>SST3H02</t>
  </si>
  <si>
    <t>16/09/2025 N° ROTA LOGISTICA 276853865</t>
  </si>
  <si>
    <t>SSW3I53</t>
  </si>
  <si>
    <t>STS2D26</t>
  </si>
  <si>
    <t>16/09/2025 N° ROTA LOGISTICA 276803052</t>
  </si>
  <si>
    <t>FQX8J13</t>
  </si>
  <si>
    <t>SUH1J87</t>
  </si>
  <si>
    <t>ROSANA / EDSON</t>
  </si>
  <si>
    <t>RVD4C93</t>
  </si>
  <si>
    <t>SSP24</t>
  </si>
  <si>
    <t>SC (AVARÉ) SSP24</t>
  </si>
  <si>
    <t>EDUARDO</t>
  </si>
  <si>
    <t>Vazou o óleo do Motor - 23/06/2025 - Temos que mandar para a oficina em Marilia na Igmec mas o ghuincho está muito caro 16/07/2025 - Vreiculo guinchado para Marilia (Oficina Injemeec) por melhores preços - Vamos pegar as peças de uma placa de um veiculo de Marilia e inserir no motor da nossa, esse veiculo de marilia deu PT, sem concerto, vendo se aprova 28/07/2025 - Mesmo mão de obra ficou caro, Vamos ver se conseguimos mandar essa placa para Ribeirão Preto, fazendo cotação com Marcio 30/07/2025</t>
  </si>
  <si>
    <t>Injemec</t>
  </si>
  <si>
    <t>RVD4C92</t>
  </si>
  <si>
    <t>RVD4C91</t>
  </si>
  <si>
    <t>devolvido com vex no email em 28/10</t>
  </si>
  <si>
    <t>Aguardando orçamento da oficina 09/05/2025</t>
  </si>
  <si>
    <t>SFV0D67</t>
  </si>
  <si>
    <t>disponibilizado 29/09</t>
  </si>
  <si>
    <t>RVB7H44</t>
  </si>
  <si>
    <t>Veículo Ativo- aguardando data para devolução</t>
  </si>
  <si>
    <t>RVD4C76</t>
  </si>
  <si>
    <t>veiculo ativo aguardando local para devolver ou transferir</t>
  </si>
  <si>
    <t>RVB0J97</t>
  </si>
  <si>
    <t xml:space="preserve">chave seta </t>
  </si>
  <si>
    <t>SFV0C98</t>
  </si>
  <si>
    <t>SFV0D17</t>
  </si>
  <si>
    <t>EOO7H87</t>
  </si>
  <si>
    <t>Movida GTF</t>
  </si>
  <si>
    <t>SBA1</t>
  </si>
  <si>
    <t>SC (BAHIA SALVADOR) SBA1</t>
  </si>
  <si>
    <t>devolvido na movida 31/10/2025</t>
  </si>
  <si>
    <t>Foi solicitado o reserva no dia 02/07 - 300385579 mas não temos disponibilidade</t>
  </si>
  <si>
    <t>RUX9F98</t>
  </si>
  <si>
    <t>RUX9G83</t>
  </si>
  <si>
    <t>RHW0D84</t>
  </si>
  <si>
    <t xml:space="preserve">Reserva ativo </t>
  </si>
  <si>
    <t xml:space="preserve">Veiculo em manutenção pela localiza, saira direto para desmobilização </t>
  </si>
  <si>
    <t>GAULESA ELETRICOS ( Localiza )</t>
  </si>
  <si>
    <t>UAB4J58</t>
  </si>
  <si>
    <t>Aguardando peça 30/05</t>
  </si>
  <si>
    <t>SDP9I99</t>
  </si>
  <si>
    <t>GAULESA  ELETRICOS (Localiza)</t>
  </si>
  <si>
    <t>TCG3H60</t>
  </si>
  <si>
    <t>Aguardando orçamento 08/05/2025</t>
  </si>
  <si>
    <t>SFW0A67</t>
  </si>
  <si>
    <t>SDP9J01</t>
  </si>
  <si>
    <t xml:space="preserve">Veiculo em manutenção, saira direto para desmobilização </t>
  </si>
  <si>
    <t>TDF3F38</t>
  </si>
  <si>
    <t>RHW0D78</t>
  </si>
  <si>
    <t>RUX9F74</t>
  </si>
  <si>
    <t>RHW0D54</t>
  </si>
  <si>
    <t>RNU2C30</t>
  </si>
  <si>
    <t>Devolvida-</t>
  </si>
  <si>
    <t>RNU2C25</t>
  </si>
  <si>
    <t>Devolvida</t>
  </si>
  <si>
    <t>RVE1D19</t>
  </si>
  <si>
    <t>FQD2I72</t>
  </si>
  <si>
    <t>Devolvido- 19.09.25</t>
  </si>
  <si>
    <t>SFW2D98</t>
  </si>
  <si>
    <t>o</t>
  </si>
  <si>
    <t>RVE1D20</t>
  </si>
  <si>
    <t>SDP9J04</t>
  </si>
  <si>
    <t>RHW0D75</t>
  </si>
  <si>
    <t xml:space="preserve">Reserva solicitado </t>
  </si>
  <si>
    <t xml:space="preserve">reserva solicitado em 23/09 via whatsap </t>
  </si>
  <si>
    <t>SDP9I94</t>
  </si>
  <si>
    <t>RUM4B28</t>
  </si>
  <si>
    <t xml:space="preserve">Devolvida para locadora - 15.09.25 </t>
  </si>
  <si>
    <t>SFW2B88</t>
  </si>
  <si>
    <t>SGL4D24</t>
  </si>
  <si>
    <t>30/09/202</t>
  </si>
  <si>
    <t>SGL2D27</t>
  </si>
  <si>
    <t>conferido pelo Bip 03/09</t>
  </si>
  <si>
    <t>RUM4B21</t>
  </si>
  <si>
    <t>Veículo devolvido 15/09</t>
  </si>
  <si>
    <t>SFW0A32</t>
  </si>
  <si>
    <t>RHW0D56</t>
  </si>
  <si>
    <t>Substituição temporária</t>
  </si>
  <si>
    <t>SFW0A69</t>
  </si>
  <si>
    <t>RHW0D37</t>
  </si>
  <si>
    <t xml:space="preserve">Solicitar Reserva </t>
  </si>
  <si>
    <t>Bateria/Aguardando orçamento</t>
  </si>
  <si>
    <t>RHW0D47</t>
  </si>
  <si>
    <t>Pane; Não dá partida</t>
  </si>
  <si>
    <t>reserva solicitado via whatsap em 23/09</t>
  </si>
  <si>
    <t>RHW0D79</t>
  </si>
  <si>
    <t>RHW0D83</t>
  </si>
  <si>
    <t>RUM1E20</t>
  </si>
  <si>
    <t xml:space="preserve">  Devolvida pela locadora -19/09/2055</t>
  </si>
  <si>
    <t>RVE1D49</t>
  </si>
  <si>
    <t>RHW0D80</t>
  </si>
  <si>
    <t>RVE1D52</t>
  </si>
  <si>
    <t>RHW0D41</t>
  </si>
  <si>
    <t>SDP9J03</t>
  </si>
  <si>
    <t>RHW0D76</t>
  </si>
  <si>
    <t>SDP9I95</t>
  </si>
  <si>
    <t>disponibilizado para base 12/09</t>
  </si>
  <si>
    <t>SFW0A27</t>
  </si>
  <si>
    <t>SFW6D05</t>
  </si>
  <si>
    <t>SFW2B32</t>
  </si>
  <si>
    <t>TOE7C71</t>
  </si>
  <si>
    <t>Conferido pelo DDS - 265919809 - 18/08</t>
  </si>
  <si>
    <t>SGL4C86</t>
  </si>
  <si>
    <t>Fora do Prazo</t>
  </si>
  <si>
    <t>Transferir aguardando aprovação Diretoria</t>
  </si>
  <si>
    <t>RVB7I22</t>
  </si>
  <si>
    <t>SSP14</t>
  </si>
  <si>
    <t>SC (BAURU) SSP14</t>
  </si>
  <si>
    <t>Leticia</t>
  </si>
  <si>
    <t>Motor/Cabeçote</t>
  </si>
  <si>
    <t xml:space="preserve">Corretiva </t>
  </si>
  <si>
    <t>04/04/2025 - Motor está na retifica do alair, Truck center alertou que vai ficar pronto em 5 meses</t>
  </si>
  <si>
    <t>RUZ9B77</t>
  </si>
  <si>
    <t>RNB5I57</t>
  </si>
  <si>
    <t>SSV3J50</t>
  </si>
  <si>
    <t>SWA1G38</t>
  </si>
  <si>
    <t>SSW9E19</t>
  </si>
  <si>
    <t>QUX1B83</t>
  </si>
  <si>
    <t>SSC3</t>
  </si>
  <si>
    <t>SC (BLUMENAU) SSC3</t>
  </si>
  <si>
    <t>GABRIELI</t>
  </si>
  <si>
    <t>QPC5I33</t>
  </si>
  <si>
    <t>12/08 - Funilaria finalizada, veículo apresentou um problema na parte mecanica, referente ao motor. 11/08 - Veículo teve a parte mecânica aprovada e prazo de entrega estimado para amanhã (12/08) 07/08 - Parte de funilaria, lataria e pintura finalizado, após verificação foi encontrado novas avarias mecânicas, aguardando validação da aprovação com o Abner. 01/08 - Aguardando liberação do veículo. 31/07 - Prazo estimado e acompanharemos a saída do mesmo. 30/06 - orçamento aprovado já está sendo parcelado conforme validado com o Abner, e prazo estimado pela oficina. 24/06 - Carro segue aguardando aprovação do senhor André, negociação já feita.  Colisão Frontal, informado pela oficina que será enviado o orçamento amanhã 19/05/2025 - oficina vai encaminhar o orçamento hoje conforme informou a mesma.22/05/2025 Veículo será enviado para outra oficina orçamento ficou superfaturado (R$ 40.000,00). 28/05/2025. Veículo foi retirado de guincho e realocado para FSP, aguardando o orçamento 04/06/2025. oficina informou que hoje ou sexta nos enviara o orçamento, aguardando confecção. 06/06/2025. 12/06/2025 - orçamento feito, aguardando aprovação da diretoria. Abner está negociando os valores.</t>
  </si>
  <si>
    <t>FSP</t>
  </si>
  <si>
    <t>Aguardando oficina encaminhar o orçamento 23/05</t>
  </si>
  <si>
    <t>RVH5G74</t>
  </si>
  <si>
    <t>conferido pelo bip 11/09</t>
  </si>
  <si>
    <t>QUF6H32</t>
  </si>
  <si>
    <t>QPC5I34</t>
  </si>
  <si>
    <t>RUX2C77</t>
  </si>
  <si>
    <t>Kayque</t>
  </si>
  <si>
    <t>STB1E48</t>
  </si>
  <si>
    <t>SVA0I78</t>
  </si>
  <si>
    <t>Conferido pelo BIP - 02/09/2025</t>
  </si>
  <si>
    <t>SGH8H44</t>
  </si>
  <si>
    <t>SFW0A59</t>
  </si>
  <si>
    <t>SGH6H62</t>
  </si>
  <si>
    <t>SGI8I32</t>
  </si>
  <si>
    <t>SGH8H53</t>
  </si>
  <si>
    <t>SUD0I56</t>
  </si>
  <si>
    <t>UEN3F58</t>
  </si>
  <si>
    <t>UEC7A08</t>
  </si>
  <si>
    <t>QSW7B38</t>
  </si>
  <si>
    <t>UGH4A00</t>
  </si>
  <si>
    <t>UEY0F58</t>
  </si>
  <si>
    <t>SDQ2A74</t>
  </si>
  <si>
    <t>Kangoo Z.E. MAXI 5 Lugares 2P</t>
  </si>
  <si>
    <t>Utilitario eletrico</t>
  </si>
  <si>
    <t>DF</t>
  </si>
  <si>
    <t>SDF1</t>
  </si>
  <si>
    <t>SC (BRASILIA) SDF1</t>
  </si>
  <si>
    <t>Ercy netto</t>
  </si>
  <si>
    <t>Elisangela</t>
  </si>
  <si>
    <t>SDQ2A82</t>
  </si>
  <si>
    <t>SDQ2B53</t>
  </si>
  <si>
    <t>SDP3F46</t>
  </si>
  <si>
    <t>reserva ativo</t>
  </si>
  <si>
    <t>Reserva Solicitado 08.10</t>
  </si>
  <si>
    <t>RUK7J40</t>
  </si>
  <si>
    <t>Veículo Devolvido para a Locadora 30/06</t>
  </si>
  <si>
    <t>SDQ2B54</t>
  </si>
  <si>
    <t>Aguardando Informações do motorista para solicitação de veiculo reserva 29/05/2025</t>
  </si>
  <si>
    <t>SDQ2B42</t>
  </si>
  <si>
    <t>SDQ2A72</t>
  </si>
  <si>
    <t>Veículo deu nowshow  e está aguardando o técnico da rotagyn 08/04</t>
  </si>
  <si>
    <t>SDQ2B52</t>
  </si>
  <si>
    <t>SDQ2B45</t>
  </si>
  <si>
    <t>SDQ2B51</t>
  </si>
  <si>
    <t>SDQ2B55</t>
  </si>
  <si>
    <t>SDQ2A76</t>
  </si>
  <si>
    <t>SDQ2A84</t>
  </si>
  <si>
    <t>SDQ2A67</t>
  </si>
  <si>
    <t>RUZ8A13</t>
  </si>
  <si>
    <t>PR</t>
  </si>
  <si>
    <t>SPR8</t>
  </si>
  <si>
    <t>SC (CAMPINA GRANDE DO SUL) SPR8</t>
  </si>
  <si>
    <t>TUANY</t>
  </si>
  <si>
    <t>RENATA</t>
  </si>
  <si>
    <t xml:space="preserve">veiculo ativo aguardadando para ser desmobilizado </t>
  </si>
  <si>
    <t>RNJ9C77</t>
  </si>
  <si>
    <t>RNR5C65</t>
  </si>
  <si>
    <t xml:space="preserve">devolvida </t>
  </si>
  <si>
    <t>RNJ9C48</t>
  </si>
  <si>
    <t>disponibilizado para base 19/09</t>
  </si>
  <si>
    <t>RNJ9C97</t>
  </si>
  <si>
    <t>RNJ9C86</t>
  </si>
  <si>
    <t>disponibilizado para base 30/09</t>
  </si>
  <si>
    <t>RNJ9C80</t>
  </si>
  <si>
    <t>conferdio pelo bip 24/09</t>
  </si>
  <si>
    <t xml:space="preserve">Carla </t>
  </si>
  <si>
    <t>RNR5C62</t>
  </si>
  <si>
    <t xml:space="preserve"> aguardando pra devolver pra localiza</t>
  </si>
  <si>
    <t xml:space="preserve">(DESMOBILIZAÇÃO) RETIRAR PROTAGEM E RASTREADORES </t>
  </si>
  <si>
    <t>RUZ7J95</t>
  </si>
  <si>
    <t xml:space="preserve">Devolvida para transportadora eco </t>
  </si>
  <si>
    <t>SGI8J10</t>
  </si>
  <si>
    <t>SGI8H18</t>
  </si>
  <si>
    <t>SGI8I73</t>
  </si>
  <si>
    <t>SUP5G29</t>
  </si>
  <si>
    <t>RVA2J36</t>
  </si>
  <si>
    <t>RVA2J99</t>
  </si>
  <si>
    <t>RND8C38</t>
  </si>
  <si>
    <t>disponibilkizado para basae 30/09</t>
  </si>
  <si>
    <t>RNR5C63</t>
  </si>
  <si>
    <t>RNE7C78</t>
  </si>
  <si>
    <t>veicvulo devolvido em 07/07</t>
  </si>
  <si>
    <t>RND8C53</t>
  </si>
  <si>
    <t>RNJ9C78</t>
  </si>
  <si>
    <t>RNJ9C96</t>
  </si>
  <si>
    <t>STT6I27</t>
  </si>
  <si>
    <t>SVB0J99</t>
  </si>
  <si>
    <t>RNR5C66</t>
  </si>
  <si>
    <t>RNR5C64</t>
  </si>
  <si>
    <t xml:space="preserve">devolvida para localiza </t>
  </si>
  <si>
    <t>STU2G48</t>
  </si>
  <si>
    <t>STU8J19</t>
  </si>
  <si>
    <t>RTM3B06</t>
  </si>
  <si>
    <t>MS</t>
  </si>
  <si>
    <t>SMS1</t>
  </si>
  <si>
    <t>SC (CAMPO GRANDE) SMS1</t>
  </si>
  <si>
    <t>SAMANTHA</t>
  </si>
  <si>
    <t>Veiculo pronto, aguardando desmobilização</t>
  </si>
  <si>
    <t>Mf Centro Automotivo (Movida)</t>
  </si>
  <si>
    <t>RUW5D89</t>
  </si>
  <si>
    <t>Placa devolvido - 27/11/2025</t>
  </si>
  <si>
    <t>RUW5E46</t>
  </si>
  <si>
    <t>RUW5E00</t>
  </si>
  <si>
    <t>Disponibilizado para base 02/10/2025</t>
  </si>
  <si>
    <t>RUW5D96</t>
  </si>
  <si>
    <t>Placa devolvida - 27/11/2025</t>
  </si>
  <si>
    <t>FCC9I06</t>
  </si>
  <si>
    <t>veiculo devolvido- 21.09.25</t>
  </si>
  <si>
    <t>Cobramos o Grupo da Movida, Aguardando retorno 07/04</t>
  </si>
  <si>
    <t>FJB2D57</t>
  </si>
  <si>
    <t>RUS8B65</t>
  </si>
  <si>
    <t>RUO6B07</t>
  </si>
  <si>
    <t>SSP6</t>
  </si>
  <si>
    <t>SC (Z LESTE) SSP6</t>
  </si>
  <si>
    <t>JHENIFFER</t>
  </si>
  <si>
    <t>JULIANA</t>
  </si>
  <si>
    <t>Manunteção - Presente na planilha</t>
  </si>
  <si>
    <t>RTB7E32</t>
  </si>
  <si>
    <t>SSP16</t>
  </si>
  <si>
    <t>SC (CARAGUATATUBA) SSP16</t>
  </si>
  <si>
    <t>CAMILA</t>
  </si>
  <si>
    <t>RVQ2D86</t>
  </si>
  <si>
    <t>ISLEINE/MARCELO</t>
  </si>
  <si>
    <t xml:space="preserve">Manutenção </t>
  </si>
  <si>
    <t>19/08- Aguardando Orçamento-Motor,(Motorista utilizou o veículo sem autorização e não informou ninguém que estava usando o mesmo, o motorista informou que o bujão caiu no meio da rua) Desmobilização</t>
  </si>
  <si>
    <t>RUO6B04</t>
  </si>
  <si>
    <t>devolvido na precision em 27/10/2025</t>
  </si>
  <si>
    <t>RUO6B01</t>
  </si>
  <si>
    <t>veiculo rodando por enquanto na pet love abc</t>
  </si>
  <si>
    <t>RUO6B06</t>
  </si>
  <si>
    <t>PLACAS PARADAS NA OFICINA RM AGUARDANDO RETIRADA, BASE ME INFORMOU QUE AS MESMAS NÃO PODEM RODAR POR CAUSA DO MOTOR</t>
  </si>
  <si>
    <t>RUO6B00</t>
  </si>
  <si>
    <t>SGL2D51</t>
  </si>
  <si>
    <t xml:space="preserve">                   </t>
  </si>
  <si>
    <t>RUK7J38</t>
  </si>
  <si>
    <t>Veículo devolvido 01/07</t>
  </si>
  <si>
    <t>RNH7H58</t>
  </si>
  <si>
    <t xml:space="preserve">Placa deixada na coca - </t>
  </si>
  <si>
    <t>Pneus careca, Revisão vencida e direção dura 09/04</t>
  </si>
  <si>
    <t>RNN6A69</t>
  </si>
  <si>
    <t>Veículo devolvido 06/06</t>
  </si>
  <si>
    <t>SGI8I06</t>
  </si>
  <si>
    <t>SSP45</t>
  </si>
  <si>
    <t>SC (ITAQUERA) SSP45</t>
  </si>
  <si>
    <t>Karla</t>
  </si>
  <si>
    <t>Juliana</t>
  </si>
  <si>
    <t>Operando</t>
  </si>
  <si>
    <t>SGL2D47</t>
  </si>
  <si>
    <t>SGL2C56</t>
  </si>
  <si>
    <t>RUO6B03</t>
  </si>
  <si>
    <t>Prazo 08/04</t>
  </si>
  <si>
    <t>RUO6B05</t>
  </si>
  <si>
    <t>Placa devolvida em São Palulo - 16/09/2025</t>
  </si>
  <si>
    <t>SGF8J05</t>
  </si>
  <si>
    <t>SGF9B44</t>
  </si>
  <si>
    <t>SUV1C98</t>
  </si>
  <si>
    <t>SGI8I99</t>
  </si>
  <si>
    <t>RVC0J92</t>
  </si>
  <si>
    <t>SPR3</t>
  </si>
  <si>
    <t>SC (CASCAVEL) SPR3</t>
  </si>
  <si>
    <t>CAROLINA/EDGAR</t>
  </si>
  <si>
    <t>CLEITON</t>
  </si>
  <si>
    <t>veiculo ativo no estacionamento aguardando local para devolver</t>
  </si>
  <si>
    <t>RUX6F61</t>
  </si>
  <si>
    <t>Carro em oficina Movida, para efetuar o processo de desmobilização.</t>
  </si>
  <si>
    <t>Oficina Movida</t>
  </si>
  <si>
    <t>Aguardando Aprovação Movida 07/05</t>
  </si>
  <si>
    <t>RUX2C24</t>
  </si>
  <si>
    <t>17/09 - Veículo já com todas as peças e oficina já em serviço, com prazo de entrega informado. 15/09 - Peças já em Londrina aguardando chegada na oficina. 11/09 - Time irá retirar as peças aqui na base do jaguaré, aguardando retirada. 08/09 - fornecedor teve imprevistos e não conseguiu enviar as peças ainda, faltante ainda farol direito chegar. 28/08 - Oficina aguardando peças para finalização do veículo, que está com o prazo de chegada para o dia 02/09 na base Murici, para ser enviada diretamente na oficina. 19/08 - Veículo seguindo finalização.12/08 - peças com previsão de chegada para dia 22/08 e após a chegada enviaremos para a oficina. 07/08 - Aguardando chegada das peças (algumas chegaram na Jancap), após chegada de todas o Gilmar nos enviará.  31/07 - Prazo estimado com a chegada das peças incuidas. 25/07 - aguardando chegada das peças com prazo de entrega. 14/07 - Orçamento das peças seguem aprovadas, e virão ao Jaguaré para enviarmos a oficina em PR. 01/07 - aguardando aprovação do orçamento das peças. 25/06 - Aguardando peças chegarem. 18/06 - acompanhando prazo de entrega. 09/06 - sinistro.</t>
  </si>
  <si>
    <t>Autentica</t>
  </si>
  <si>
    <t>RUY0I50</t>
  </si>
  <si>
    <t>RNP6E44</t>
  </si>
  <si>
    <t>disponibilizado para base 15/08</t>
  </si>
  <si>
    <t>RNJ9C35</t>
  </si>
  <si>
    <t>RNJ9C31</t>
  </si>
  <si>
    <t>RVH3F32</t>
  </si>
  <si>
    <t>Vamos encaminhar embregaem nova aqui de SP 06/06/2025</t>
  </si>
  <si>
    <t>RNP6E41</t>
  </si>
  <si>
    <t>RUX2C17</t>
  </si>
  <si>
    <t>motor irá primeiro para a retificar e depois teremos o prazo de entrega</t>
  </si>
  <si>
    <t>RUX2C18</t>
  </si>
  <si>
    <t>SFW0A40</t>
  </si>
  <si>
    <t>SSC4</t>
  </si>
  <si>
    <t>SC (CHAPECO) SSC4</t>
  </si>
  <si>
    <t>02/09 - aguardando apenas prazo de entrega. 29/08 - pagamento realizado aguardando apenas prazo de entrega. 19/08 - Aguardando pagamento da entrada. 06/08 - Oficina ainda aguardando peças para a finalização. 01/08 - Veículo está aguardando peças para finalização oficina já em busca. 30/07 - Veículo com prazo de entrega acompanhando qualquer adiantamento. 08/07 - Peças chegaram veículo já em serviço. 24/06 - aguardando chegada das peças para prazo de entrega. Colisão - Para choque, coordenador Juliano fará as despesas dos boletos para a oficina, e formalizará o email - estamos aguardando o pagamento da Murici, Esperando diretoria paga a entrada 30/01/2025 - Aguardando pagameto da entrada da oficina 26/02/2025 "Ou paga para fazer o conserto ou paga para sair da oficina" disse a Base. Enviado aprovação para a diretoria, onde a mesma informou para aguardar até dia 04/03, entrada deu 14 mil. - Aprovada (Vai seguira até dia 04/03/2025 por causa do caixa). Aprovado pela diretoria referente ao pagamento acordado. Vamos esperar até o dia 19/03 e solicitar um prazo de entrega para a oficina. 10/03/2025 - Entrada ainda não foi paga...25/03/2025. 12/06/2025 - Entrada paga, aguardando prazo de entrega da oficina - Placa aguardando peças 19/08/2025</t>
  </si>
  <si>
    <t>Duti Reparações Automotivos</t>
  </si>
  <si>
    <t>SFW0A65</t>
  </si>
  <si>
    <t>Juliano cobrado novamente, pois havia me informado no dia 03/04 que a Bruna estava a caminho. Veículo já deveria estar pronto segundo a informações dele.</t>
  </si>
  <si>
    <t>SFW2C66</t>
  </si>
  <si>
    <t>SGH8H54</t>
  </si>
  <si>
    <t>SGH8C41</t>
  </si>
  <si>
    <t>RUX9H13</t>
  </si>
  <si>
    <t>MG</t>
  </si>
  <si>
    <t>SMG1</t>
  </si>
  <si>
    <t>SC (CONTAGEM) SMG1</t>
  </si>
  <si>
    <t xml:space="preserve">SAMUEL </t>
  </si>
  <si>
    <t>HARLEY</t>
  </si>
  <si>
    <t>RUX9H14</t>
  </si>
  <si>
    <t>RVF9J99</t>
  </si>
  <si>
    <t>SSP34</t>
  </si>
  <si>
    <t>SC (COTIA) SSP34</t>
  </si>
  <si>
    <t>Tainá</t>
  </si>
  <si>
    <t>VITOR/JULIO</t>
  </si>
  <si>
    <t>RNN0C21</t>
  </si>
  <si>
    <t>Veículo devolvido 24/09</t>
  </si>
  <si>
    <t>RTM6B57</t>
  </si>
  <si>
    <t>Veículo devolvido dia, 11/08</t>
  </si>
  <si>
    <t>RNU2B89</t>
  </si>
  <si>
    <t>Veículo devolvido 11/08 na precision</t>
  </si>
  <si>
    <t>RNJ9D32</t>
  </si>
  <si>
    <t>Veículo desvolvido dia 17/07</t>
  </si>
  <si>
    <t>RNN0C13</t>
  </si>
  <si>
    <t>devolvido na precision em 01/08</t>
  </si>
  <si>
    <t>RNB5I26</t>
  </si>
  <si>
    <t>Veículo devolvido 22/10/2025 na precision</t>
  </si>
  <si>
    <t>09/05 veículo em teste</t>
  </si>
  <si>
    <t>RNN5I94</t>
  </si>
  <si>
    <t>devolvido na precision em 24/07</t>
  </si>
  <si>
    <t>RNB5I54</t>
  </si>
  <si>
    <t>solicitado desbloqueio 15/09 via forms</t>
  </si>
  <si>
    <t>SGH8C20</t>
  </si>
  <si>
    <t>SGI8H73</t>
  </si>
  <si>
    <t>Disponibilizado 30/09</t>
  </si>
  <si>
    <t>RNJ9C66</t>
  </si>
  <si>
    <t>devolvido na precision 25/09</t>
  </si>
  <si>
    <t>Aguardando peça - 04/04</t>
  </si>
  <si>
    <t>SGF9B76</t>
  </si>
  <si>
    <t>solicitado desbloqueio 15/09</t>
  </si>
  <si>
    <t>RTE0I44</t>
  </si>
  <si>
    <t>Veículo devolvido 13/06</t>
  </si>
  <si>
    <t>SVK8G87</t>
  </si>
  <si>
    <t>SJT0F71</t>
  </si>
  <si>
    <t>CArro Roubado em Cotia 21/08/2025</t>
  </si>
  <si>
    <t>SGH6H60</t>
  </si>
  <si>
    <t>RVQ2D54</t>
  </si>
  <si>
    <t>RNN0C20</t>
  </si>
  <si>
    <t>Veículo Devolvido 1709</t>
  </si>
  <si>
    <t>SSV2H07</t>
  </si>
  <si>
    <t>GHM9C04</t>
  </si>
  <si>
    <t>Provavel pane Eletrica  05/06/2025 - Essa Sprinter finalizamos motor e injeção . Essa parte ok, está pronta 
Veio sem funcionar . Já funcionamos e está rodando. Estão finalizando o arla , a bomba queimou , compramos uma usada e estamos recuperando pra substituir pela queimada. Acredito que até sexta feira estará montada e venho com uma devolutiva de pronta ! Caso não. Apenas o conjunto novo 
Cotado na concessionária de 15 a 18k 31/07/2025</t>
  </si>
  <si>
    <t>Em contato com a Base a mesma me informou que n sabe o nome da oficina, tenho que conversar com Abner para saber para onde a mesma foi emcaminhada 10/07/2025</t>
  </si>
  <si>
    <t>SFW2B76</t>
  </si>
  <si>
    <t>24/09 - Oficina não está nos retornando devido a falta de pagamento, aguardamos regularização. 19/08 - Todas as peças chegaram na oficina, onde já estão dando andamento com o serviço. 08/08 - Veículo com prazo estimado pela oficina, acompanharemos o a finalização.  06/08 - Aguardando peças por parte da oficina prazo para chegada para terça-feira (12/08). 31/07 - Aguardando retorno da oficina sobre o prazo de entrega. 30/07 - Veículo com prazo de entrega segue o mesmo aguardando finalização. 18/07 - Aguardando liberação do veículo.  Parte Traseira sinistrada, será levado para a Safety Car. 21/05/2025 aguardando orçamento 23/05/2025 orçamento aprovado em prazo informado pela oficina. 16/06/2025 - Enviamos as peças, esperando as mesmas chegarem para podermos pedir prazo 05/08/2025</t>
  </si>
  <si>
    <t>Safety Car</t>
  </si>
  <si>
    <t>RUX2D16</t>
  </si>
  <si>
    <t xml:space="preserve">Pós manutenção, veiculo presentou Pane Eletrica - 17/06/2025 - Bip reiniciou pq subiram minuta na mesma, placa ainda na oficina 27/06/2025, Motor começa a montar no dia (31/07), oficina deu prazo de 7 dias 31/07/2025 - Altorização na parte de motor </t>
  </si>
  <si>
    <t xml:space="preserve">Oficina Robson </t>
  </si>
  <si>
    <t>RUX2D04</t>
  </si>
  <si>
    <t>devolvida na precision 03/11</t>
  </si>
  <si>
    <t>GDM4G44</t>
  </si>
  <si>
    <t>Parou e não ligou mais, estamos vendo oq vamos fazer sobre a mesma, provavel pane Eletrica 05/06/2025 - Após verificar com base, oficina e Abner, sobre esse veiculo, vamos ver se mandamos para a Mercedes o mesmo. O veiculo está desmontado na oficina e temos q montar, oficina está cobrando 5k de mão de obra, temos que enviar o veiulo para a Mercedes 14/07/2025 - Aguardando data para levar a mesma para a Mercedes 30/07/2025 - Aguardando agendanto pela Mercedes 15/08/2025</t>
  </si>
  <si>
    <t xml:space="preserve">Mecanictruck LTDA - Mercedes </t>
  </si>
  <si>
    <t>Peças sendo  enviadas para oficina 04/04/2025</t>
  </si>
  <si>
    <t>SFT5B15</t>
  </si>
  <si>
    <t>///////////</t>
  </si>
  <si>
    <t>SFW2B92</t>
  </si>
  <si>
    <t>RUX2C64</t>
  </si>
  <si>
    <t>esta rodando pet love RJ</t>
  </si>
  <si>
    <t>RUX2C85</t>
  </si>
  <si>
    <t>RUX2D23</t>
  </si>
  <si>
    <t>RVB7H85</t>
  </si>
  <si>
    <t>PLACA DEVOLVIDA - pv da Regaine - 27/06/2025</t>
  </si>
  <si>
    <t>04/04/2025 - Peças sendo  enviadas para oficina.</t>
  </si>
  <si>
    <t>RUX2C70</t>
  </si>
  <si>
    <t>Em contato com Base e Vinicius os mesmos me informaram q estavam aguardando orçamento das peças para comprarmos e enviarmos, vamos fazer a funilaria da parte de traz na oficina 15/04/2025</t>
  </si>
  <si>
    <t>RUX2C76</t>
  </si>
  <si>
    <t>SWM5J67</t>
  </si>
  <si>
    <t>Conferido pelo DDS - 275523053 - 12/09/2025</t>
  </si>
  <si>
    <t>RTB7E33</t>
  </si>
  <si>
    <t>Conferido pelo DDS - 275485092 - 12/09/2025</t>
  </si>
  <si>
    <t>STO4I48</t>
  </si>
  <si>
    <t>SVG0B47</t>
  </si>
  <si>
    <t>RTB7E31</t>
  </si>
  <si>
    <t>RUX2C87</t>
  </si>
  <si>
    <t>RUX2D15</t>
  </si>
  <si>
    <t>RUX2D18</t>
  </si>
  <si>
    <t xml:space="preserve">                                         </t>
  </si>
  <si>
    <t>devolvido na precion em 03/11/2025</t>
  </si>
  <si>
    <t>SGI8J17</t>
  </si>
  <si>
    <t>SGI8I67</t>
  </si>
  <si>
    <t>RUX2D17</t>
  </si>
  <si>
    <t>RUX2D20</t>
  </si>
  <si>
    <t>RUX2B50</t>
  </si>
  <si>
    <t>MT</t>
  </si>
  <si>
    <t>SMR1</t>
  </si>
  <si>
    <t>SC (CUIABA) SMR1</t>
  </si>
  <si>
    <t xml:space="preserve">MICAEL MARCOS </t>
  </si>
  <si>
    <t>31/07-Aguardando Orçamento/Junta Cabeçote queimada</t>
  </si>
  <si>
    <t>GP Auto Center</t>
  </si>
  <si>
    <t>RUX2B54</t>
  </si>
  <si>
    <t xml:space="preserve">                 07/08- aguardando Oçamento para a oficina anterior arcar com o danos que foram causados nos veículos  31/07-Aguardando Orçamento-   06/06 Veículo veio de outra oficina, a nova oficina que o veículo está estão analisando oque precisa ser feito nela Processo de translado . Motor e Cabeçote</t>
  </si>
  <si>
    <t>RUX2B53</t>
  </si>
  <si>
    <t xml:space="preserve">veiculo sera desmobilizado </t>
  </si>
  <si>
    <t>Aguardando oficina encaminhar informação  02/05</t>
  </si>
  <si>
    <t>RUX2B56</t>
  </si>
  <si>
    <t>Veículo Pronto para fazer a Devolução/Aguardando Endereço</t>
  </si>
  <si>
    <t>RVB7H42</t>
  </si>
  <si>
    <t>Veículo Devolvido para a Locadora 24/06</t>
  </si>
  <si>
    <t>Abner ficou de fazer uma reunião para com a oficina as 14:30 - 03/04</t>
  </si>
  <si>
    <t>RUX2B32</t>
  </si>
  <si>
    <t>Veículo será Desmobilizado/ Aguardando data de desmobilização</t>
  </si>
  <si>
    <t>RUK7J83</t>
  </si>
  <si>
    <t>Veículo Devolvido Para a Locadora 24/06</t>
  </si>
  <si>
    <t>RUX2B49</t>
  </si>
  <si>
    <t>Veículo Será demobilizado/Aguardando data para fazer a Devolução</t>
  </si>
  <si>
    <t>RUX2B48</t>
  </si>
  <si>
    <t>RUX2B47</t>
  </si>
  <si>
    <t xml:space="preserve">           Devolvido em 02/06 na precision em Sp notificado </t>
  </si>
  <si>
    <t>Esta sendo tratado com Berrocal onde essa placa vai rodar 19/05/2025</t>
  </si>
  <si>
    <t>RUX2B45</t>
  </si>
  <si>
    <t>SDU2D18</t>
  </si>
  <si>
    <t>SPR1</t>
  </si>
  <si>
    <t>SC (CURITIBA) SPR1</t>
  </si>
  <si>
    <t>16/09 -  Funilaria finalizada e entregue na base.</t>
  </si>
  <si>
    <t>RUZ8A36</t>
  </si>
  <si>
    <t>RVB8A71</t>
  </si>
  <si>
    <t>SDU2D20</t>
  </si>
  <si>
    <t>SDU2D21</t>
  </si>
  <si>
    <t>SDT9F40</t>
  </si>
  <si>
    <t>EXPERT-CARGO-1.5-TURBO-DIESEL</t>
  </si>
  <si>
    <t>RVB8A89</t>
  </si>
  <si>
    <t>RUZ8A12</t>
  </si>
  <si>
    <t>RUX2B91</t>
  </si>
  <si>
    <t>RUX2B97</t>
  </si>
  <si>
    <t>RUX6F65</t>
  </si>
  <si>
    <t>SDU2D26</t>
  </si>
  <si>
    <t>RUX2B92</t>
  </si>
  <si>
    <t>disponibilizado para base 08/09</t>
  </si>
  <si>
    <t xml:space="preserve">Verificando se vamos fazer a devolução do veiculo </t>
  </si>
  <si>
    <t>RVH4C81</t>
  </si>
  <si>
    <t>decretado pt em 22/08 conforme mensagem whatsap grupo movida</t>
  </si>
  <si>
    <t>Não obtive resposta por parte da oficina 03/04</t>
  </si>
  <si>
    <t>RVG0G13</t>
  </si>
  <si>
    <t>RVG0G15</t>
  </si>
  <si>
    <t>RUW5E56</t>
  </si>
  <si>
    <t>RVH4C82</t>
  </si>
  <si>
    <t>SDU2D24</t>
  </si>
  <si>
    <t>RVA2J29</t>
  </si>
  <si>
    <t>RUZ8A27</t>
  </si>
  <si>
    <t>masTER FURGAO L1</t>
  </si>
  <si>
    <t>RUZ8A43</t>
  </si>
  <si>
    <t>RUZ8A41</t>
  </si>
  <si>
    <t>RUZ8A38</t>
  </si>
  <si>
    <t>RUW5E68</t>
  </si>
  <si>
    <t>TAREFA: 3866363 OCORRENCIA: 3866322</t>
  </si>
  <si>
    <t>SDU2D19</t>
  </si>
  <si>
    <t>Reserva solicitado - 18403680</t>
  </si>
  <si>
    <t>RVG0G10</t>
  </si>
  <si>
    <t>RUW5E62</t>
  </si>
  <si>
    <t>SDU2D28</t>
  </si>
  <si>
    <t>h</t>
  </si>
  <si>
    <t>SDU2D27</t>
  </si>
  <si>
    <t>Aguardando Aprovação Localiza 07/05</t>
  </si>
  <si>
    <t>SDU2D25</t>
  </si>
  <si>
    <t>RVH3F36</t>
  </si>
  <si>
    <t>TAREFA: 3957724 OCORRÊNCIA: 3957684</t>
  </si>
  <si>
    <t>RUX2B93</t>
  </si>
  <si>
    <t>EPR9</t>
  </si>
  <si>
    <t>XPT (FRANCISCO BELTRAO) EPR9/SPR4</t>
  </si>
  <si>
    <t>SIDIANE</t>
  </si>
  <si>
    <t>SDU2D31</t>
  </si>
  <si>
    <t>RUZ8A32</t>
  </si>
  <si>
    <t>EPR6</t>
  </si>
  <si>
    <t>XPT (SAO MATEUS DO SUL) EPR6/SPR7</t>
  </si>
  <si>
    <t>ALINE</t>
  </si>
  <si>
    <t>CLEITON TERTO</t>
  </si>
  <si>
    <t>veiculo rodanmdo no xpt sao mateus</t>
  </si>
  <si>
    <t>RUX2B82</t>
  </si>
  <si>
    <t>SDT9F36</t>
  </si>
  <si>
    <t>SDU2D17</t>
  </si>
  <si>
    <t>RUX2B35</t>
  </si>
  <si>
    <t>RUX2B70</t>
  </si>
  <si>
    <t>SDU2D29</t>
  </si>
  <si>
    <t>RHW0D51</t>
  </si>
  <si>
    <t>RVA2J57</t>
  </si>
  <si>
    <t>SVV0E39</t>
  </si>
  <si>
    <t>SDQ2C01</t>
  </si>
  <si>
    <t>SSC2</t>
  </si>
  <si>
    <t>SC (FLORIANOPOLIS) SSC2</t>
  </si>
  <si>
    <t>CARLOS SELL</t>
  </si>
  <si>
    <t>CARLOS MORRISON</t>
  </si>
  <si>
    <t>22/09 - Veículo ainda segue aguardando a porta lateral. 28/08 - De acordo com o funileiro, houve imprevistos na finalização do veículo, o mesmo deu um novo prazo para o dia.  19/08 - Veículo segue finaizando funilaria com prazo informado pela oficina. 04/08 - Realizando a funilaria da lateral do veículo e amasso na porta lateral.</t>
  </si>
  <si>
    <t>França pneus</t>
  </si>
  <si>
    <t>Aguardando localiza dar continuade no serviço do veículo 17/04</t>
  </si>
  <si>
    <t>SDQ2B98</t>
  </si>
  <si>
    <t>TCN0I66</t>
  </si>
  <si>
    <t>SGI8J52</t>
  </si>
  <si>
    <t>11/09 - Veículo está realizando orçamento, e o prazo em questão seria da confecção. 04/09 - Veículo já se enontra na oficina AMS e está realizando nova orçamentação. 03/09 - Veículo será retirado de guincho para a AMS.  07/08 - Veículo foi encaminhado de guincho hoje (07/08) para a Ford Dimas, irá realizar a orçamentação. 30/06 - Colisão na lateral esquerda do veículo</t>
  </si>
  <si>
    <t>Oficina AMS</t>
  </si>
  <si>
    <t>SDQ2A97</t>
  </si>
  <si>
    <t>SDT9F57</t>
  </si>
  <si>
    <t>RNJ9C91</t>
  </si>
  <si>
    <t>17/09 veiculo ativo pedido na reunião</t>
  </si>
  <si>
    <t>RVH5G75</t>
  </si>
  <si>
    <t>Enviado o email e aguardando e aguardando retorno 07/04</t>
  </si>
  <si>
    <t>RVH5G73</t>
  </si>
  <si>
    <t>Veículo está com problema na suspensão, lider vai encaminhar para a oficina AMS 09/05</t>
  </si>
  <si>
    <t>SDP9J20</t>
  </si>
  <si>
    <t>RVE1D42</t>
  </si>
  <si>
    <t>Parachoque</t>
  </si>
  <si>
    <t>SDT9F58</t>
  </si>
  <si>
    <t>SDP9J17</t>
  </si>
  <si>
    <t>SDQ2C02</t>
  </si>
  <si>
    <t>Veículo Disponibilizado para a Base 11/09</t>
  </si>
  <si>
    <t>RUX2D10</t>
  </si>
  <si>
    <t>Falta motorista 27/08, 28/09, 29/08, 30/08, 31/08</t>
  </si>
  <si>
    <t>Oficina está fazendo o diagnóstico do veículo 17/04</t>
  </si>
  <si>
    <t>SDT9H12</t>
  </si>
  <si>
    <t>SDQ2B62</t>
  </si>
  <si>
    <t>SGI8J75</t>
  </si>
  <si>
    <t>SDT9H16</t>
  </si>
  <si>
    <t>RVH5G71</t>
  </si>
  <si>
    <t>reserva solicitado 09/12/2024 tarefa 4111425</t>
  </si>
  <si>
    <t>RNJ9C95</t>
  </si>
  <si>
    <t>SWY8C17</t>
  </si>
  <si>
    <t>RVH5G72</t>
  </si>
  <si>
    <t>RNJ9C88</t>
  </si>
  <si>
    <t>SDT9F44</t>
  </si>
  <si>
    <t>Confrome atendente Fernanda da localiza segundo 614829, horario da retirada do reserva foi alterado para 16:30</t>
  </si>
  <si>
    <t>SGI8H80</t>
  </si>
  <si>
    <t>RUX2C73</t>
  </si>
  <si>
    <t>RUX2C72</t>
  </si>
  <si>
    <t>RUX2C78</t>
  </si>
  <si>
    <t>solicitado desbloqueio 08/09</t>
  </si>
  <si>
    <t>SGI8I96</t>
  </si>
  <si>
    <t>SGI8H20</t>
  </si>
  <si>
    <t>SGI8I24</t>
  </si>
  <si>
    <t>RNJ9C87</t>
  </si>
  <si>
    <t>Aguardando as peças chegarem para fazer recondicionamentos das peças 17/04</t>
  </si>
  <si>
    <t>RNJ9C89</t>
  </si>
  <si>
    <t>RNJ9C90</t>
  </si>
  <si>
    <t>disponibilizado para base 25/09</t>
  </si>
  <si>
    <t>SDQ2B63</t>
  </si>
  <si>
    <t xml:space="preserve">SDQ2B97 </t>
  </si>
  <si>
    <t>Conferido pelo BIP 21/08</t>
  </si>
  <si>
    <t>SDQ2B60</t>
  </si>
  <si>
    <t>RHW0D25</t>
  </si>
  <si>
    <t>SGI9A01</t>
  </si>
  <si>
    <t>SGI8H55</t>
  </si>
  <si>
    <t>GEG2F43</t>
  </si>
  <si>
    <t>Embreagem</t>
  </si>
  <si>
    <t>SGI8J57</t>
  </si>
  <si>
    <t>FWR6F43</t>
  </si>
  <si>
    <t>4C4CC</t>
  </si>
  <si>
    <t>SDT9F61</t>
  </si>
  <si>
    <t>E-EXPERT-CARGO-1.5-TURBO-DIESEL</t>
  </si>
  <si>
    <t>SDQ2A99</t>
  </si>
  <si>
    <t>SDQ2B97</t>
  </si>
  <si>
    <t>SDT9F60</t>
  </si>
  <si>
    <t>SGJ8F54</t>
  </si>
  <si>
    <t>SGI8G54</t>
  </si>
  <si>
    <t>SGJ8F55</t>
  </si>
  <si>
    <t>SDP9J07</t>
  </si>
  <si>
    <t>CE</t>
  </si>
  <si>
    <t>SCE1</t>
  </si>
  <si>
    <t>SC (FORTALEZA) SCE1</t>
  </si>
  <si>
    <t>GLEUMA</t>
  </si>
  <si>
    <t>JARDEL</t>
  </si>
  <si>
    <t xml:space="preserve">23/10 -veiculo pronto em processo de devolução </t>
  </si>
  <si>
    <t>PIGALLE VEICULOS PEC (Localiza)</t>
  </si>
  <si>
    <t>SDP9J05</t>
  </si>
  <si>
    <t>SDP9J10</t>
  </si>
  <si>
    <t>Não liga</t>
  </si>
  <si>
    <t>TXA1A15</t>
  </si>
  <si>
    <t>RNU2C11</t>
  </si>
  <si>
    <t>SSP26</t>
  </si>
  <si>
    <t>SC (FRANCA) SSP26</t>
  </si>
  <si>
    <t>MATHEUS</t>
  </si>
  <si>
    <t>MARCIO DIONISIO</t>
  </si>
  <si>
    <t>Vamos tentar devolver a mesma em Ribeirão Preto, a mesma vai indo devagar com um atrás 04/04/2025</t>
  </si>
  <si>
    <t>RNB5I16</t>
  </si>
  <si>
    <t>manutenção propria</t>
  </si>
  <si>
    <t xml:space="preserve">                                                                                                                                                 </t>
  </si>
  <si>
    <t>RUL8C86</t>
  </si>
  <si>
    <t>RUO6A81</t>
  </si>
  <si>
    <t xml:space="preserve">Placa parada para devolver </t>
  </si>
  <si>
    <t>RVD8H34</t>
  </si>
  <si>
    <t>placa com vex enviado no email 24/10</t>
  </si>
  <si>
    <t>RUO6A83</t>
  </si>
  <si>
    <t>placa devolvida na precision 28/10/2025</t>
  </si>
  <si>
    <t>RVD4D41</t>
  </si>
  <si>
    <t>RUO6B10</t>
  </si>
  <si>
    <t>Conferido pelo BIP - 28/09/2025</t>
  </si>
  <si>
    <t>RVB1A01</t>
  </si>
  <si>
    <t>placa com vex emvaindo no email em 24/10/2025</t>
  </si>
  <si>
    <t>RUO6B25</t>
  </si>
  <si>
    <t>RNF2B99</t>
  </si>
  <si>
    <t>Esperando Marcio terminar de recondisionar amorteceores para enviar a oficina 04/04/2025</t>
  </si>
  <si>
    <t>RVG7D23</t>
  </si>
  <si>
    <t>placa devolvida na precison em 28/10/2025 com vex no email</t>
  </si>
  <si>
    <t>FCX4C57</t>
  </si>
  <si>
    <t>PLACA DEVOLVIDA - 29/09/2025</t>
  </si>
  <si>
    <t>RUO6A80</t>
  </si>
  <si>
    <t>RVG7D30</t>
  </si>
  <si>
    <t>RUN2B12</t>
  </si>
  <si>
    <t>RUO6B51</t>
  </si>
  <si>
    <t>PLACAS DEVOLVIDAS - 02/10/2025</t>
  </si>
  <si>
    <t>EQI5G81</t>
  </si>
  <si>
    <t>nao fi solicitado reserva devido a restrição em 17/02</t>
  </si>
  <si>
    <t>RUO6A82</t>
  </si>
  <si>
    <t>placa com vex enviado 24/10/2025</t>
  </si>
  <si>
    <t>RUO6B44</t>
  </si>
  <si>
    <t>placa devolvida na precision 03/11/2025</t>
  </si>
  <si>
    <t>EZN9J72</t>
  </si>
  <si>
    <t>Placa devolvida para a Movida - 22/09</t>
  </si>
  <si>
    <t>RVE7B97</t>
  </si>
  <si>
    <t>FGL7F74</t>
  </si>
  <si>
    <t>disponibilizado para base 16/09</t>
  </si>
  <si>
    <t>RNN0C18</t>
  </si>
  <si>
    <t xml:space="preserve">01/07/2025 fazendo motor (bloco estourado) </t>
  </si>
  <si>
    <t>Aguardando Pagamento</t>
  </si>
  <si>
    <t>16/05 cobrei via emaile whats sobre a peça -12/05 motor esta pronto aguardando chicote eletrico murici que iria fornecer-cobrada a oficina truck center 04/04 sobre o veiculo Recuperação de bloco, oficina esperando resposta da retifica para ver se o bloco tem restauração ou não 01/04/2025</t>
  </si>
  <si>
    <t>RTO9B12</t>
  </si>
  <si>
    <t>Ducato Chassi 2.3 2P</t>
  </si>
  <si>
    <t>devolvida na precission em 01/10/2025</t>
  </si>
  <si>
    <t>RHV8D37</t>
  </si>
  <si>
    <t>C</t>
  </si>
  <si>
    <t>RVC0J80</t>
  </si>
  <si>
    <t>MB Accelo 815 MT 4x2 4.8 2P</t>
  </si>
  <si>
    <t>11/09 - Veículo disponibilizado para a base</t>
  </si>
  <si>
    <t>GIG3B72</t>
  </si>
  <si>
    <t>GHR3C76</t>
  </si>
  <si>
    <t>disponibilizado para base 01/09</t>
  </si>
  <si>
    <t>RNU2C28</t>
  </si>
  <si>
    <t>RNF6H47</t>
  </si>
  <si>
    <t>RVB1A02</t>
  </si>
  <si>
    <t>RVQ2D62</t>
  </si>
  <si>
    <t>RNE7C83</t>
  </si>
  <si>
    <t>RVC0J68</t>
  </si>
  <si>
    <t>RHV8D36</t>
  </si>
  <si>
    <t>TAO9D16</t>
  </si>
  <si>
    <t>9F65</t>
  </si>
  <si>
    <t>RTM7G79</t>
  </si>
  <si>
    <t>JCJ1B31</t>
  </si>
  <si>
    <t>RNE4J02</t>
  </si>
  <si>
    <t>RVC0J66</t>
  </si>
  <si>
    <t>RVC0J86</t>
  </si>
  <si>
    <t>base notificada em 04/04 para levar o carro no alair em 05/04</t>
  </si>
  <si>
    <t>RHU2D62</t>
  </si>
  <si>
    <t>VUC sem direito a reserva</t>
  </si>
  <si>
    <t>RNJ9D11</t>
  </si>
  <si>
    <t>Veículo sem recuperação será dado baixa na planilha do Meli.</t>
  </si>
  <si>
    <t>GJL3J28</t>
  </si>
  <si>
    <t>TAP3F30</t>
  </si>
  <si>
    <t>RVC0J62</t>
  </si>
  <si>
    <t>12/05 cobrei via whats time do sinistro para aparovação com Sr Andre-em 05/05 oficina cobrada para enviar orçamento</t>
  </si>
  <si>
    <t>RVC0J81</t>
  </si>
  <si>
    <t>JCI8F93</t>
  </si>
  <si>
    <t>ISLEINE/ERIVELTON</t>
  </si>
  <si>
    <t>RNH7H38</t>
  </si>
  <si>
    <t>RVG0A11</t>
  </si>
  <si>
    <t>TAO5A35</t>
  </si>
  <si>
    <t>TAO5A38</t>
  </si>
  <si>
    <t>TAO0D65</t>
  </si>
  <si>
    <t>TAO3J35</t>
  </si>
  <si>
    <t>TAO3J41</t>
  </si>
  <si>
    <t>TAO3J34</t>
  </si>
  <si>
    <t>TAO3J92</t>
  </si>
  <si>
    <t>TAO4A31</t>
  </si>
  <si>
    <t>RVQ2D55</t>
  </si>
  <si>
    <t>RHV8D32</t>
  </si>
  <si>
    <t>RVF9J64</t>
  </si>
  <si>
    <t>RVG0A12</t>
  </si>
  <si>
    <t>RNJ9D39</t>
  </si>
  <si>
    <t>SDQ2A25</t>
  </si>
  <si>
    <t>GO</t>
  </si>
  <si>
    <t>SGO1</t>
  </si>
  <si>
    <t>SC (GOIANIA) SGO1</t>
  </si>
  <si>
    <t xml:space="preserve">FMO8E22 </t>
  </si>
  <si>
    <t xml:space="preserve">17/09 - Funileiro atrasou a entrega devido a problemas de saúde, e prazo está de hoje para amanhã. 11/09 - Veículo ainda segue realizando serviço. 26/08 - Veículo com prazo de entrega informado e oficina segue realizando os serviços. 25/08 - Orçamento finalizado peças encomendas pela oficina.  21/08 - Mecânico irá realizar orçamento do veículo hoje (21/08), na parte da tarde. 19/08 - Veículo sofreu colisão em uma árvore, encaminhado para a oficina Auto reformadora Santos </t>
  </si>
  <si>
    <t>Auto Reformadora Santos</t>
  </si>
  <si>
    <t>SDP9J16</t>
  </si>
  <si>
    <t>TEV9E72</t>
  </si>
  <si>
    <t>EOA8G93</t>
  </si>
  <si>
    <t>SRS8</t>
  </si>
  <si>
    <t>Reserva Solicitado</t>
  </si>
  <si>
    <t>Pane Életrica</t>
  </si>
  <si>
    <t>Nova Lima (Movida)</t>
  </si>
  <si>
    <t>EEC0I73</t>
  </si>
  <si>
    <t>disponibilizado para base 12/11</t>
  </si>
  <si>
    <t>EXN8E45</t>
  </si>
  <si>
    <t>Veículo devolvido para a Movida 15/09</t>
  </si>
  <si>
    <t xml:space="preserve">EOA8G93 </t>
  </si>
  <si>
    <t>Reserva Ativo</t>
  </si>
  <si>
    <t>FAZER O MOTOR CORREA ARREBENTOU E TRAVOU O MOTOR</t>
  </si>
  <si>
    <t>Lima (Movida)</t>
  </si>
  <si>
    <t>SDQ2A30</t>
  </si>
  <si>
    <t>SDP9J13</t>
  </si>
  <si>
    <t>SDP9J14</t>
  </si>
  <si>
    <t>SDP9J15</t>
  </si>
  <si>
    <t>SDQ2A37</t>
  </si>
  <si>
    <t>reserva solicitado em 11/03 protocolo de solicitação 6437584</t>
  </si>
  <si>
    <t>SDQ2A29</t>
  </si>
  <si>
    <t>SDQ2A26</t>
  </si>
  <si>
    <t>Reserva solicitado em 10/03 - Protocolo 300385579</t>
  </si>
  <si>
    <t>RUY0I52</t>
  </si>
  <si>
    <t>SPR5</t>
  </si>
  <si>
    <t>SC (GUARAPUAVA) SPR5</t>
  </si>
  <si>
    <t>QPC0J27</t>
  </si>
  <si>
    <t>RUX2C15</t>
  </si>
  <si>
    <t>STV6J39</t>
  </si>
  <si>
    <t>SGH7J35</t>
  </si>
  <si>
    <t>SQZ2J54</t>
  </si>
  <si>
    <t>SSP27</t>
  </si>
  <si>
    <t>SC (ITAPETININGA) SSP27</t>
  </si>
  <si>
    <t>RICARDO</t>
  </si>
  <si>
    <t>JCJ0D40</t>
  </si>
  <si>
    <t>FCN9F84</t>
  </si>
  <si>
    <t>GEB0E43</t>
  </si>
  <si>
    <t>JCJ0D22</t>
  </si>
  <si>
    <t>SFW6D02</t>
  </si>
  <si>
    <t>SSP42</t>
  </si>
  <si>
    <t xml:space="preserve">RVB7H59  </t>
  </si>
  <si>
    <t>SSP38</t>
  </si>
  <si>
    <t>SGI8J30</t>
  </si>
  <si>
    <t>SFW0A75</t>
  </si>
  <si>
    <t>disponibilizado para base 01/10</t>
  </si>
  <si>
    <t>SFD5H74</t>
  </si>
  <si>
    <t>problema de módulo e catalizador</t>
  </si>
  <si>
    <t>Aguardando bicos, Abner disse que vai encaminhar - 09/05</t>
  </si>
  <si>
    <t>SFD5H70</t>
  </si>
  <si>
    <t>SGI8H40</t>
  </si>
  <si>
    <t>RVB7H99</t>
  </si>
  <si>
    <t>17/09 - Veículo realizando funilaria na oficina Vieira</t>
  </si>
  <si>
    <t>STI7D23</t>
  </si>
  <si>
    <t>SJT3D02</t>
  </si>
  <si>
    <t>Porta travada e falta do estribo</t>
  </si>
  <si>
    <t>RUL7G00</t>
  </si>
  <si>
    <t>Devolvido 01/09 Precision</t>
  </si>
  <si>
    <t>SFN0B54</t>
  </si>
  <si>
    <t>WRSAT</t>
  </si>
  <si>
    <t>Conferido pelo DDS - 279618235 - 23/09/2025</t>
  </si>
  <si>
    <t>SGI8G92</t>
  </si>
  <si>
    <t>SFN0B74</t>
  </si>
  <si>
    <t>SFG8G13</t>
  </si>
  <si>
    <t>SFW0A37</t>
  </si>
  <si>
    <t>RVB7H81</t>
  </si>
  <si>
    <t>devolvido precision em 26/09</t>
  </si>
  <si>
    <t>SFN0B49</t>
  </si>
  <si>
    <t>RUZ9B72</t>
  </si>
  <si>
    <t>Devolvido para locadora no dia 24/07/2025 - Precision motor</t>
  </si>
  <si>
    <t>RVE7C02</t>
  </si>
  <si>
    <t>veiculo devoovido 30/07</t>
  </si>
  <si>
    <t>RVE7C05</t>
  </si>
  <si>
    <t>RVE7B95</t>
  </si>
  <si>
    <t>Demobilizado pela base - 01/10/25</t>
  </si>
  <si>
    <t>SGI8J88</t>
  </si>
  <si>
    <t>Atualizado dia 04/04 - Informações recebidas pela Ana Flavia</t>
  </si>
  <si>
    <t>STT7A07</t>
  </si>
  <si>
    <t>SVF7D05</t>
  </si>
  <si>
    <t>SFD5H76</t>
  </si>
  <si>
    <t>disponibilizado 07/11/2025</t>
  </si>
  <si>
    <t>SGH6H69</t>
  </si>
  <si>
    <t>SGI8I42</t>
  </si>
  <si>
    <t>SFW2E77</t>
  </si>
  <si>
    <t>SGK7D53</t>
  </si>
  <si>
    <t>RNB5I11</t>
  </si>
  <si>
    <t>Aguardando previsão da oficina</t>
  </si>
  <si>
    <t>SFN0C60</t>
  </si>
  <si>
    <t>Disponibilizado para a Base - 17/09/2025</t>
  </si>
  <si>
    <t>SVN5B77</t>
  </si>
  <si>
    <t>SWD0G13</t>
  </si>
  <si>
    <t>SJT0J55</t>
  </si>
  <si>
    <t>pronto 21/11</t>
  </si>
  <si>
    <t>SWH3G65</t>
  </si>
  <si>
    <t>SGK7A66</t>
  </si>
  <si>
    <t>SFT5A14</t>
  </si>
  <si>
    <t>SFT5A02</t>
  </si>
  <si>
    <t>SFV0E21</t>
  </si>
  <si>
    <t>SFW0A36</t>
  </si>
  <si>
    <t>SVQ8B88</t>
  </si>
  <si>
    <t>RUM2B67</t>
  </si>
  <si>
    <t>disponibilizado para base 17/09</t>
  </si>
  <si>
    <t>SFN0B56</t>
  </si>
  <si>
    <t>SFN0C63</t>
  </si>
  <si>
    <t>GFB0H75</t>
  </si>
  <si>
    <t>SSP28</t>
  </si>
  <si>
    <t>SC (JALES) SSP28</t>
  </si>
  <si>
    <t>JOAO VITOR</t>
  </si>
  <si>
    <t>Aguardando Aprovação serviço de bico injetores</t>
  </si>
  <si>
    <t>bicos enviado 03/04 para sp os velhos aguradando abner enviar os novos enviado email em 03/04 cobrando</t>
  </si>
  <si>
    <t>RUM2B47</t>
  </si>
  <si>
    <t>pane eletrica</t>
  </si>
  <si>
    <t>Noel car</t>
  </si>
  <si>
    <t>em 05/05 cobrei a base para levar o veiculo para outro fornecedor</t>
  </si>
  <si>
    <t>RUM2B54</t>
  </si>
  <si>
    <t>10/10/25 - Veiculo ativo rodando em tres lagoas esperando desmobilização</t>
  </si>
  <si>
    <t>RUO6B27</t>
  </si>
  <si>
    <t>RUL7F41</t>
  </si>
  <si>
    <t>15/10/25 - Carro ativo no estacionamento da base para devolução</t>
  </si>
  <si>
    <t>RFP9G74</t>
  </si>
  <si>
    <t>veiculo ativo deixado no estacionamento de osasco em 15/10, precisa retirar a plotagem para devolver na precision carros feito apenas paliativo no motor para devolver</t>
  </si>
  <si>
    <t>12/05 enviado email para base solicitando que mesmo trazer para SP para desmobilizar</t>
  </si>
  <si>
    <t>RVB8A64</t>
  </si>
  <si>
    <t>devolvido em 28/07</t>
  </si>
  <si>
    <t>RUZ8A39</t>
  </si>
  <si>
    <t>13/10/2025 - regis pediu para mandar para tres lagoas</t>
  </si>
  <si>
    <t>RVD8H79</t>
  </si>
  <si>
    <t>10/10/25 - pronto na oficina CW CAR 10/10/25 aguardando retirada para devolução</t>
  </si>
  <si>
    <t>C.W CAR</t>
  </si>
  <si>
    <t>SGF9B74</t>
  </si>
  <si>
    <t>17/09 n° do rota logistica veiculo rodando normal 277220672</t>
  </si>
  <si>
    <t>RUM2B48</t>
  </si>
  <si>
    <t>devolvida na precision em 18/08</t>
  </si>
  <si>
    <t>EST1G84</t>
  </si>
  <si>
    <t>XPT</t>
  </si>
  <si>
    <t>XPT(ANAPOLIS) EGO4/SGO1</t>
  </si>
  <si>
    <t>MICAEL</t>
  </si>
  <si>
    <t>ELISÂNGELA</t>
  </si>
  <si>
    <t>RUM2B62</t>
  </si>
  <si>
    <t>RUL7F78</t>
  </si>
  <si>
    <t>SFT5A40</t>
  </si>
  <si>
    <t>pintura</t>
  </si>
  <si>
    <t>noel</t>
  </si>
  <si>
    <t>SGF9B10</t>
  </si>
  <si>
    <t>RUM2B66</t>
  </si>
  <si>
    <t>10/10/25 - em manutenção 06/10 ALTERNADOR na CW CAR para ser devolvido</t>
  </si>
  <si>
    <t>RUM2B60</t>
  </si>
  <si>
    <t>SGH7I14</t>
  </si>
  <si>
    <t>SSC1</t>
  </si>
  <si>
    <t>SC (JOINVILLE) SSC1</t>
  </si>
  <si>
    <t xml:space="preserve">JAIANE </t>
  </si>
  <si>
    <t xml:space="preserve">LUCAS </t>
  </si>
  <si>
    <t>SGH6H64</t>
  </si>
  <si>
    <t>LUCAS</t>
  </si>
  <si>
    <t xml:space="preserve">TJE6B54 </t>
  </si>
  <si>
    <t>Conferido pelo DDS - 275462678 - 12/09/2025</t>
  </si>
  <si>
    <t xml:space="preserve">TKM4F45 </t>
  </si>
  <si>
    <t>Conferido pelo DDS - 275200017 - 11/09/2025</t>
  </si>
  <si>
    <t xml:space="preserve">TLN2J87 </t>
  </si>
  <si>
    <t>Conferido pelo DDS - 275453599 - 12/09/2025</t>
  </si>
  <si>
    <t xml:space="preserve">TLF2J77 </t>
  </si>
  <si>
    <t>Conferido pelo DDS - 275455125 - 12/09/2025</t>
  </si>
  <si>
    <t xml:space="preserve">TJG8I26 </t>
  </si>
  <si>
    <t>Conferido pelo DDS - 275464687 - 12/09/2025</t>
  </si>
  <si>
    <t xml:space="preserve">TLQ1J15 </t>
  </si>
  <si>
    <t>Conferido pelo DDS - 275472303 - 12/09/2025</t>
  </si>
  <si>
    <t xml:space="preserve">TJV1C85 </t>
  </si>
  <si>
    <t>Conferido pelo DDS - 275472842 - 12/09/2025</t>
  </si>
  <si>
    <t>SWB1J96</t>
  </si>
  <si>
    <t>TMB1B26</t>
  </si>
  <si>
    <t>Conferido pelo DDS - 275294377 - 11/09/2025</t>
  </si>
  <si>
    <t>UDD7E60</t>
  </si>
  <si>
    <t>UGT4A60</t>
  </si>
  <si>
    <t>UEI4F88</t>
  </si>
  <si>
    <t>UER8C19</t>
  </si>
  <si>
    <t>SGH6H71</t>
  </si>
  <si>
    <t>RS</t>
  </si>
  <si>
    <t>SRS10</t>
  </si>
  <si>
    <t>SC (LAJEADO) SRS10</t>
  </si>
  <si>
    <t xml:space="preserve">FERNANDA </t>
  </si>
  <si>
    <t>24/09 - Oficina não está nos retornando devido a falta de pagamento, aguardamos regularização. 22/09 - Aguardando retorno da oficina. 16/09 - Aguarando retorno da oficina sobre a liberação do veículo. 19/08 - Prazo estimado pela oficina após validação. 01/08 - Aguardando peça por parte da oficina. 31/07 - Aguardando retorno da oficina sobre o prazo de entrega. 30/07 - Veículo já em serviço e com prazo de entrega. Aguardando chegada de peças, Portas - faltando peças (1 porta). Porta já entregue, oficina realizando a funilaria pesada para conseguir colocar a porta. 06/03/2025 oficina informou prazo de entrega 05/06/2025</t>
  </si>
  <si>
    <t>RUX2C80</t>
  </si>
  <si>
    <t>Placa cobrada no moacir 09/05 ele me disse que vai passar a atualização ainda hoje</t>
  </si>
  <si>
    <t>RVD9A43</t>
  </si>
  <si>
    <t>Pane Életrica( veículo guinchado para a oficina)</t>
  </si>
  <si>
    <t>RVD9A40</t>
  </si>
  <si>
    <t>Veículo Ativo no estacionamento da Base - em processo de desmobilização</t>
  </si>
  <si>
    <t>/</t>
  </si>
  <si>
    <t>RVD9A39</t>
  </si>
  <si>
    <t>RNU2J58</t>
  </si>
  <si>
    <t>17/09 veiculo ativo a pedido na reunião</t>
  </si>
  <si>
    <t>SGH7I25</t>
  </si>
  <si>
    <t>Veículo disponivel para a base 11/09</t>
  </si>
  <si>
    <t>SGI8J06</t>
  </si>
  <si>
    <t xml:space="preserve">LUCAS   </t>
  </si>
  <si>
    <t>Funilaria</t>
  </si>
  <si>
    <t>RNJ9C33</t>
  </si>
  <si>
    <t>RVD9A45</t>
  </si>
  <si>
    <t>SGH8H61</t>
  </si>
  <si>
    <t>SGH6H56</t>
  </si>
  <si>
    <t>RNJ9C38</t>
  </si>
  <si>
    <t>RUG7E81</t>
  </si>
  <si>
    <t>SUX3G28</t>
  </si>
  <si>
    <t>SVP3F90</t>
  </si>
  <si>
    <t>SGH8C39</t>
  </si>
  <si>
    <t>SGH8C22</t>
  </si>
  <si>
    <t>SGH6H61</t>
  </si>
  <si>
    <t>SGH8C14</t>
  </si>
  <si>
    <t>SGI8J26</t>
  </si>
  <si>
    <t>SGH8H56</t>
  </si>
  <si>
    <t>SGH6H70</t>
  </si>
  <si>
    <t>SGH0H20</t>
  </si>
  <si>
    <t>SGH8H55</t>
  </si>
  <si>
    <t>SGH8C46</t>
  </si>
  <si>
    <t>SGH8H51</t>
  </si>
  <si>
    <t>SGI8J64</t>
  </si>
  <si>
    <t>SGI8I40</t>
  </si>
  <si>
    <t>SGH6H76</t>
  </si>
  <si>
    <t>SGH6H73</t>
  </si>
  <si>
    <t>SGH7C09</t>
  </si>
  <si>
    <t>SGH6H66</t>
  </si>
  <si>
    <t>SGH8B51</t>
  </si>
  <si>
    <t>SGH7J32</t>
  </si>
  <si>
    <t>SGH0H32</t>
  </si>
  <si>
    <t>SGH6H77</t>
  </si>
  <si>
    <t>RVB8A70</t>
  </si>
  <si>
    <t>00/01/1900</t>
  </si>
  <si>
    <t>SC (LONDRINA) SPR2</t>
  </si>
  <si>
    <t>EDGARD</t>
  </si>
  <si>
    <t xml:space="preserve">veiculo ativo negociando com a outra mlp </t>
  </si>
  <si>
    <t>RVB8A72</t>
  </si>
  <si>
    <t>SPR2</t>
  </si>
  <si>
    <t>RVX0G53</t>
  </si>
  <si>
    <t>RVB8A73</t>
  </si>
  <si>
    <t>RVX0G57</t>
  </si>
  <si>
    <t>irá para outra transportadora (DESMOBILIZAÇÃO)</t>
  </si>
  <si>
    <t>RVB8A68</t>
  </si>
  <si>
    <t>RVB8A81</t>
  </si>
  <si>
    <t>15/09 - Peças já na base de Londrina aguardando retirada, para chegar em cáscavel. 11/09 - Edgard fará a cotação das peças faltantes para finalizar o veículo. 04/09 - Peças enviadas aguardando chegada e prazo de entrega. 02/09 - Peças faltantes chegaram na Jancap, já sendo mandada aqui para o Jaguaré. 19/08 - Peças aprovadas aguardando chegada na base do Jaguaré. 15/08 - peças com cotação formalizada aguardando apenas aprovação. 01/08 - Aguardando finalização da cotação para formalização do E-mail. 31/07 - Cotação sendo feita e buscando melhor custo beneficio. 29/07 - Veículo está aguardando peças (em cotação). 23/07 - Veículo sofreu colisão com lixeira de rua.</t>
  </si>
  <si>
    <t>Formula comercio de automóveis (Auto Vans)</t>
  </si>
  <si>
    <t>FOM3F69</t>
  </si>
  <si>
    <t>CITROEN JUMPY</t>
  </si>
  <si>
    <t>Auto Vans</t>
  </si>
  <si>
    <t>STY0E52</t>
  </si>
  <si>
    <t>Vazando óleo e ficou fraco</t>
  </si>
  <si>
    <t>Roela</t>
  </si>
  <si>
    <t>RNP5E13</t>
  </si>
  <si>
    <t>Carro devolvido para localiza</t>
  </si>
  <si>
    <t>Estacionamento da Base</t>
  </si>
  <si>
    <t>(DESMOBILIZAÇÃO) necessitam retirar o Rastreador e a Plotagem</t>
  </si>
  <si>
    <t>SFD5H85</t>
  </si>
  <si>
    <t>RVB8B05</t>
  </si>
  <si>
    <t>RNI1I30</t>
  </si>
  <si>
    <t>RVB8A83</t>
  </si>
  <si>
    <t>RVB8A63</t>
  </si>
  <si>
    <t>RVB8A67</t>
  </si>
  <si>
    <t>RNI1I29</t>
  </si>
  <si>
    <t>RNI1I31</t>
  </si>
  <si>
    <t>SFD5H80</t>
  </si>
  <si>
    <t>SFD5H79</t>
  </si>
  <si>
    <t xml:space="preserve">Motor esta na concessionária </t>
  </si>
  <si>
    <t>SFD5H72</t>
  </si>
  <si>
    <t>SJT3I94</t>
  </si>
  <si>
    <t>RUX2B84</t>
  </si>
  <si>
    <t>JCJ3H93</t>
  </si>
  <si>
    <t>RUX2C27</t>
  </si>
  <si>
    <t>solicitado desbloqueio 10/09 via forms</t>
  </si>
  <si>
    <t>SFD5H69</t>
  </si>
  <si>
    <t>SFD5H66</t>
  </si>
  <si>
    <t>SSX8B52</t>
  </si>
  <si>
    <t>STS5J93</t>
  </si>
  <si>
    <t>SJT7C88</t>
  </si>
  <si>
    <t>Freio somente</t>
  </si>
  <si>
    <t>auto Vans</t>
  </si>
  <si>
    <t>GBI9698</t>
  </si>
  <si>
    <t>AM</t>
  </si>
  <si>
    <t>SAM1</t>
  </si>
  <si>
    <t>SC (MANAUS) SAM1</t>
  </si>
  <si>
    <t>AMAURY/BEREH</t>
  </si>
  <si>
    <t>SYLVIA</t>
  </si>
  <si>
    <t>Ventuinha(Motor)</t>
  </si>
  <si>
    <t>Ofina Manaus</t>
  </si>
  <si>
    <t>FLR5G23</t>
  </si>
  <si>
    <t>Base irá retirar o veículo da oficina na data de hoje dia 28/08.</t>
  </si>
  <si>
    <t>QXJ9E76</t>
  </si>
  <si>
    <t>GIY0J57</t>
  </si>
  <si>
    <t>SSP13</t>
  </si>
  <si>
    <t>SC (MARILIA) SSP13</t>
  </si>
  <si>
    <t>NAYARA/FLAVIA</t>
  </si>
  <si>
    <t>RUL7F47</t>
  </si>
  <si>
    <t>SGK7D94</t>
  </si>
  <si>
    <t>RVT4F17</t>
  </si>
  <si>
    <t>devolvido 13/08/2025 para locadora</t>
  </si>
  <si>
    <t>RUM3C18</t>
  </si>
  <si>
    <t>RUL8C91</t>
  </si>
  <si>
    <t>30/07 - Devolução, protocolo: 6705404</t>
  </si>
  <si>
    <t>SDT9E95</t>
  </si>
  <si>
    <t xml:space="preserve">12/05 cobrei a Dani sobre o reserva infelizemnte sem disponibilidade-em 08/05 reserva solicitado protocolo </t>
  </si>
  <si>
    <t>reserva solicitado em 09/04 protocolo 6471938</t>
  </si>
  <si>
    <t>SDT9E93</t>
  </si>
  <si>
    <t>reserva solicitado 25/11 protocolo ws78s649va</t>
  </si>
  <si>
    <t>RVD4C71</t>
  </si>
  <si>
    <t>a peça chegou hoje 04/04 agurdando uma previsao da oficina</t>
  </si>
  <si>
    <t>SDT9E96</t>
  </si>
  <si>
    <t>SGK7E01</t>
  </si>
  <si>
    <t>SGF9B13</t>
  </si>
  <si>
    <t>SVI0D38</t>
  </si>
  <si>
    <t>SDT9G84</t>
  </si>
  <si>
    <t>disponibilizado para base 04/09</t>
  </si>
  <si>
    <t>efetuado a cobrança no whats em 04/04 pela localiza sobre previsao</t>
  </si>
  <si>
    <t>RUM3C09</t>
  </si>
  <si>
    <t>RVD4C67</t>
  </si>
  <si>
    <t>RVD4C73</t>
  </si>
  <si>
    <t>SGK7D80</t>
  </si>
  <si>
    <t>SGK7D62</t>
  </si>
  <si>
    <t>SGK7E17</t>
  </si>
  <si>
    <t>SGK7D92</t>
  </si>
  <si>
    <t>SGK7D88</t>
  </si>
  <si>
    <t>SGK7D83</t>
  </si>
  <si>
    <t>SGK7D52</t>
  </si>
  <si>
    <t>SGK7B80</t>
  </si>
  <si>
    <t>RUO6B11</t>
  </si>
  <si>
    <t>RVD4C77</t>
  </si>
  <si>
    <t>disponibilizado para base 21/09</t>
  </si>
  <si>
    <t>JCI8F94</t>
  </si>
  <si>
    <t>SWC3A30</t>
  </si>
  <si>
    <t>SPR6</t>
  </si>
  <si>
    <t>SC (MARINGA) SPR6</t>
  </si>
  <si>
    <t>MICHEL</t>
  </si>
  <si>
    <t>GONZAGA</t>
  </si>
  <si>
    <t>SJV1B04</t>
  </si>
  <si>
    <t>STC0D57</t>
  </si>
  <si>
    <t>SVH1A04</t>
  </si>
  <si>
    <t xml:space="preserve">SGF8I80	</t>
  </si>
  <si>
    <t>SGF8I73</t>
  </si>
  <si>
    <t>SGF8J29</t>
  </si>
  <si>
    <t>SGF9A28</t>
  </si>
  <si>
    <t>SGF9A48</t>
  </si>
  <si>
    <t>SGF8I80</t>
  </si>
  <si>
    <t>RHU2D67</t>
  </si>
  <si>
    <t>SSP30</t>
  </si>
  <si>
    <t>SC (MEGA GUARULHOS) SSP30</t>
  </si>
  <si>
    <t>CLAUDIA</t>
  </si>
  <si>
    <t>Placa sem motorista - 20/10/2025</t>
  </si>
  <si>
    <t>SGI8I22</t>
  </si>
  <si>
    <t>08/09 - Cotação feita e formalizada juntamente com o orçamento, aguardando apenas aprovação. 28/08 - Orçamento enviado cotando peças para redução dos valores. 25/08 - Veículo segue em orçamentação, aguardando o envio.  07/08 - Veículo já chegou na oficina Passos e esta realizando orçamentção. 05/08 - Veículo será retirado de guincho amanhã de manhã ( 06/08/2025), e será encaminhado para a oficina Passos. 01/08 - Aguadando espaço na oficina passos. 31/07 - Veículo aguardando espaço na oficina Passos para orçamentação. 25/07 - Orçamento ficou pronto porém oficina está com as peças em falta, encaminharemos para a oficina Passos na quinta-feira (31/07) . 22/07 - Orçamento ainda em confecção. 02/07 - Veículo foi encaminhado para a oficina GR e já está em orçamentação. 28/06 - Colisão frontal com a traseira do terceiro.</t>
  </si>
  <si>
    <t>SGI8I70</t>
  </si>
  <si>
    <t>RTM6B62</t>
  </si>
  <si>
    <t>Placa pronta para devolver</t>
  </si>
  <si>
    <t>RTM6B67</t>
  </si>
  <si>
    <t>SGI8H63</t>
  </si>
  <si>
    <t>SFW0A79</t>
  </si>
  <si>
    <t>SFT5A36</t>
  </si>
  <si>
    <t>Revisão de freios e pnes  - PLACA TEM QUE DESCER PARA A COCA</t>
  </si>
  <si>
    <t>SGI8G86</t>
  </si>
  <si>
    <t xml:space="preserve">Veiculo ativo seegundo a base </t>
  </si>
  <si>
    <t>SGI0G81</t>
  </si>
  <si>
    <t>SGH8H46</t>
  </si>
  <si>
    <t>SGI8J07</t>
  </si>
  <si>
    <t>Embreagem - pneu PLACA TEM QUE DESCER PARA A COCA</t>
  </si>
  <si>
    <t>Estacionamento de Guarulhos</t>
  </si>
  <si>
    <t>RVQ2D56</t>
  </si>
  <si>
    <t>devolvido na precision 06/10/2025</t>
  </si>
  <si>
    <t>14/07 E-mail formalizado pra ir pra coca</t>
  </si>
  <si>
    <t>RHO5B26</t>
  </si>
  <si>
    <t>reserva solicitado</t>
  </si>
  <si>
    <t>17/07 Base solicitou a manutenção pela a localiza</t>
  </si>
  <si>
    <t>SGI8J67</t>
  </si>
  <si>
    <t>Placa quase sem freio - vamos mandar para a coca.</t>
  </si>
  <si>
    <t>SFV0D14</t>
  </si>
  <si>
    <t>SFV0D01</t>
  </si>
  <si>
    <t>Conferido pelo BIP - 02/10/2025</t>
  </si>
  <si>
    <t>SGI8J96</t>
  </si>
  <si>
    <t>Tratado com a Claudia, veículo será retirado da CCS hoje (dia 04/04)</t>
  </si>
  <si>
    <t>SFV0D88</t>
  </si>
  <si>
    <t>RHU2D75</t>
  </si>
  <si>
    <t>Placa ativa 21/11/2025</t>
  </si>
  <si>
    <t>RHU2D65</t>
  </si>
  <si>
    <t xml:space="preserve">14/07 Localiza cobrada </t>
  </si>
  <si>
    <t>RVB7H45</t>
  </si>
  <si>
    <t>Veiculo devolvido - 24/06</t>
  </si>
  <si>
    <t>RVB7H67</t>
  </si>
  <si>
    <t>Veículo devolvido dia 16/07</t>
  </si>
  <si>
    <t>SGI8J62</t>
  </si>
  <si>
    <t>SFW0A62</t>
  </si>
  <si>
    <t>SGI8I48</t>
  </si>
  <si>
    <t>SGI8J44</t>
  </si>
  <si>
    <t>SFV0D69</t>
  </si>
  <si>
    <t>SGI8J29</t>
  </si>
  <si>
    <t>24/09 - Contando Guincho com o Jailton, para levar o veículo para a oficina Passos. 718/09 - Mecânico fez orçamento parcial presencialmente. 16/09 - veículo sofreu uma colisão frontal grave.</t>
  </si>
  <si>
    <t>RHV8D30</t>
  </si>
  <si>
    <t>Motorista em comtratação - 09/10/2025</t>
  </si>
  <si>
    <t>SFW6C99</t>
  </si>
  <si>
    <t>Manutenção</t>
  </si>
  <si>
    <t>RNZ3H53</t>
  </si>
  <si>
    <t>Carros enviados para XPT Três Lagoas ( Araçatuba).</t>
  </si>
  <si>
    <t>Aguardando oficina encaminhar informação - 03/04</t>
  </si>
  <si>
    <t>SFW0A42</t>
  </si>
  <si>
    <t xml:space="preserve">revisao - freio </t>
  </si>
  <si>
    <t>SFV0D61</t>
  </si>
  <si>
    <t>RHW2G07</t>
  </si>
  <si>
    <t>SFV0D53</t>
  </si>
  <si>
    <t>SFT5A13</t>
  </si>
  <si>
    <t>SGI8H31</t>
  </si>
  <si>
    <t>SFT5A07</t>
  </si>
  <si>
    <t>SFV0D59</t>
  </si>
  <si>
    <t>SFV0D12</t>
  </si>
  <si>
    <t>Veiculo ativo segundo a base - 09/10/2025</t>
  </si>
  <si>
    <t>SFV0D57</t>
  </si>
  <si>
    <t>SFV0D04</t>
  </si>
  <si>
    <t>SFW2E98</t>
  </si>
  <si>
    <t>RTM6B56</t>
  </si>
  <si>
    <t xml:space="preserve">Placa pronta para devolver - Placa rodando na Mocca escondido </t>
  </si>
  <si>
    <t>SGI8H51</t>
  </si>
  <si>
    <t>RHW0D57</t>
  </si>
  <si>
    <t>SSP21</t>
  </si>
  <si>
    <t>SC (MOOCA CENTRO) SSP21</t>
  </si>
  <si>
    <t>DOMENICO</t>
  </si>
  <si>
    <t>SDQ2A60</t>
  </si>
  <si>
    <t>SDQ2A62</t>
  </si>
  <si>
    <t>SDQ2A73</t>
  </si>
  <si>
    <t>SDQ3A67</t>
  </si>
  <si>
    <t>SDQ3J74</t>
  </si>
  <si>
    <t>SDQ3J95</t>
  </si>
  <si>
    <t>SDT9F62</t>
  </si>
  <si>
    <t>SDT9F68</t>
  </si>
  <si>
    <t>SEF1D68</t>
  </si>
  <si>
    <t>SEF1D72</t>
  </si>
  <si>
    <t>SEF1D74</t>
  </si>
  <si>
    <t>SDQ4A29</t>
  </si>
  <si>
    <t>SDT9F66</t>
  </si>
  <si>
    <t xml:space="preserve">Disponibilizado para base 23/09  conferido pelo bip 13/10 </t>
  </si>
  <si>
    <t>SDQ3J57</t>
  </si>
  <si>
    <t>Manutenção do cambio, bateria, semi eixo, bieleta, amortecedor</t>
  </si>
  <si>
    <t>PASSOS (Localiza)</t>
  </si>
  <si>
    <t>reserva solicitado 23/09 via whatsap</t>
  </si>
  <si>
    <t>SDT9F65</t>
  </si>
  <si>
    <t>SDQ3H16</t>
  </si>
  <si>
    <t>Veiculo Disponibilizado pelo Forms 09/09/25</t>
  </si>
  <si>
    <t>SDQ4A78</t>
  </si>
  <si>
    <t>SDQ2A58</t>
  </si>
  <si>
    <t>SDQ3J67</t>
  </si>
  <si>
    <t>SEF1C57</t>
  </si>
  <si>
    <t>SDQ3A65</t>
  </si>
  <si>
    <t xml:space="preserve">09/05 Localiza ainda sem previsão </t>
  </si>
  <si>
    <t>RHW0D44</t>
  </si>
  <si>
    <t>SDQ4A14</t>
  </si>
  <si>
    <t>SDQ3A54</t>
  </si>
  <si>
    <t>SEF1C60</t>
  </si>
  <si>
    <t>disponibilizado para base 23/09</t>
  </si>
  <si>
    <t>SDQ2A59</t>
  </si>
  <si>
    <t>SEF1D71</t>
  </si>
  <si>
    <t>SDQ2A66</t>
  </si>
  <si>
    <t>SDQ2A75</t>
  </si>
  <si>
    <t>SDQ3J66</t>
  </si>
  <si>
    <t>SDQ2A64</t>
  </si>
  <si>
    <t>SEF1D70</t>
  </si>
  <si>
    <t>w</t>
  </si>
  <si>
    <t>RHW0D58</t>
  </si>
  <si>
    <t>sem deireto a reserva localiza fleet</t>
  </si>
  <si>
    <t>SDQ2E05</t>
  </si>
  <si>
    <t>SEF1C58</t>
  </si>
  <si>
    <t>SDQ3G17</t>
  </si>
  <si>
    <t>SDQ3H13</t>
  </si>
  <si>
    <t>SDQ3A66</t>
  </si>
  <si>
    <t>SDQ2A70</t>
  </si>
  <si>
    <t>SDQ2H83</t>
  </si>
  <si>
    <t>SDQ3J53</t>
  </si>
  <si>
    <t>SDQ3I65</t>
  </si>
  <si>
    <t>SDQ3A53</t>
  </si>
  <si>
    <t>Sem motorista 02/09 e com baratas no carro</t>
  </si>
  <si>
    <t>SDT9F67</t>
  </si>
  <si>
    <t>SDT9F64</t>
  </si>
  <si>
    <t>SEF1C61</t>
  </si>
  <si>
    <t>SDQ4B93</t>
  </si>
  <si>
    <t>SEF1D69</t>
  </si>
  <si>
    <t>RUX9H12</t>
  </si>
  <si>
    <t>SMG14</t>
  </si>
  <si>
    <t>SC (NOVA LIMA) SMG14</t>
  </si>
  <si>
    <t>WILL</t>
  </si>
  <si>
    <t>RUX9H22</t>
  </si>
  <si>
    <t>Veículo Disponibilizado para a Base 08/09</t>
  </si>
  <si>
    <t>Aguardando Aprovação, email encaminhado para o Abner 08/04</t>
  </si>
  <si>
    <t>RUX9G13</t>
  </si>
  <si>
    <t>RUX9H55</t>
  </si>
  <si>
    <t>SUI1I27</t>
  </si>
  <si>
    <t>SRS5</t>
  </si>
  <si>
    <t>SC (PASSO FUNDO) SRS5</t>
  </si>
  <si>
    <t>PABLO</t>
  </si>
  <si>
    <t>SGI8I85</t>
  </si>
  <si>
    <t>SRS1</t>
  </si>
  <si>
    <t>EVAILTON</t>
  </si>
  <si>
    <t>GBJ3J26</t>
  </si>
  <si>
    <t>Sem motorista 01/10/2025</t>
  </si>
  <si>
    <t xml:space="preserve">GIL2H66 </t>
  </si>
  <si>
    <t>SPR4</t>
  </si>
  <si>
    <t>SC (PATO BRANCO) SPR4</t>
  </si>
  <si>
    <t>CLAUDIANE</t>
  </si>
  <si>
    <t>pneus</t>
  </si>
  <si>
    <t>RUX2B99</t>
  </si>
  <si>
    <t>17/09 Veiculo vai ser desmobilizado</t>
  </si>
  <si>
    <t>RUX2C16</t>
  </si>
  <si>
    <t>GFE0J36</t>
  </si>
  <si>
    <t>SFV0D15</t>
  </si>
  <si>
    <t>SC (PATOS MINAS) SMG11</t>
  </si>
  <si>
    <t>Sem Lider</t>
  </si>
  <si>
    <t xml:space="preserve">HARLEY </t>
  </si>
  <si>
    <t>Conferido pelo - 30/09/2025</t>
  </si>
  <si>
    <t>RVG0G17</t>
  </si>
  <si>
    <t>SRS2</t>
  </si>
  <si>
    <t>SC (PELOTAS) SRS2</t>
  </si>
  <si>
    <t>ROGER</t>
  </si>
  <si>
    <t>Christofer</t>
  </si>
  <si>
    <t>RN (Movida)</t>
  </si>
  <si>
    <t xml:space="preserve">Veículo está em manutenção pela Movida e a mesma não voltará para a Murici pois será desmobilizada </t>
  </si>
  <si>
    <t>SGI8I75</t>
  </si>
  <si>
    <t>Chisrtofer</t>
  </si>
  <si>
    <t>SFW0A39</t>
  </si>
  <si>
    <t>SFZ4A58</t>
  </si>
  <si>
    <t>RNC5H11</t>
  </si>
  <si>
    <t>SSP36</t>
  </si>
  <si>
    <t>SC (PIRACICABA) SSP36</t>
  </si>
  <si>
    <t>JCJ0D43</t>
  </si>
  <si>
    <t>Manutenção própria</t>
  </si>
  <si>
    <t>JCJ0D42</t>
  </si>
  <si>
    <t>JCJ3H91</t>
  </si>
  <si>
    <t>RUX2J10</t>
  </si>
  <si>
    <t>SMG5</t>
  </si>
  <si>
    <t>SC (POÇOS DE CALDAS) SMG5</t>
  </si>
  <si>
    <t xml:space="preserve">CAMILA </t>
  </si>
  <si>
    <t>04/09 - cotação feita porém valores não ficaram de acordo. 28/08 - Cotando peças para diminuir os custos. 25/08 - Orçamento finalizado porém superfaturado. 19/08 - Veículo segue em orçamentação, aguardando envio. 14/08 - Veículo encaminhado de guincho para a oficina GR Car. 13/08 - Orçamento realizado porém com valores superfaturados, cotando o guincho e peças para redução dos valores.  11/08 - Veículo foi encaminhado para a oficina Genesis e está em orçamentação. 08/08 - Veículo sofreu uma colisão e capotamento.</t>
  </si>
  <si>
    <t>RUX2J14</t>
  </si>
  <si>
    <t>RUX2J13</t>
  </si>
  <si>
    <t>Veiculo devolcido- 30.09.2025</t>
  </si>
  <si>
    <t>SFN0B73</t>
  </si>
  <si>
    <t>FXU5F35</t>
  </si>
  <si>
    <t>RUX2J16</t>
  </si>
  <si>
    <t>RUX2J08</t>
  </si>
  <si>
    <t>RUX2J18</t>
  </si>
  <si>
    <t>RUX2J19</t>
  </si>
  <si>
    <t>RVG0G12</t>
  </si>
  <si>
    <t>SPR7</t>
  </si>
  <si>
    <t>SC (PONTA GROSSA) SPR7</t>
  </si>
  <si>
    <t>ADRIELLE</t>
  </si>
  <si>
    <t xml:space="preserve">03/07 reserva solicitado via 0800 </t>
  </si>
  <si>
    <t>RUW5D78</t>
  </si>
  <si>
    <t>Desmobilização(Movida) Aguardando data de devolução</t>
  </si>
  <si>
    <t>Protocolo: 4254437</t>
  </si>
  <si>
    <t>SUH2D47</t>
  </si>
  <si>
    <t>SUX5E10</t>
  </si>
  <si>
    <t>SDT9G04</t>
  </si>
  <si>
    <t>SC (PORTO ALEGRE) SRS1</t>
  </si>
  <si>
    <t xml:space="preserve">24/09 - Oficina não está nos retornando devido a falta de pagamento, aguardamos regularização. 22/09 - Aguardando retorno da oficina. 16/09 - Aguarando retorno da oficina sobre a liberação do veículo. 10/09 - Peça faltante chegará amanhã, e já com prazo de entrega. 01/09 - De acordo com o funileiro as peças que faltam irão chegar na quarta feira, assim já irá finalizar o serviço e entregar o veículo na sexta feira. 20/08 - Oficina está aguardando a chegada da balança. 19/08 - Oficina aguardando a chegada do eixo traseiro. 31/07 - Aguardando retorno da oficina sobre o prazo de entrega. 30/07 - Veículo foi aprovado e segue com prazo de entega estimado. 23/05 - Lateral do veiculo foi amassado. Aguardando aprovação por parte da seguradora. </t>
  </si>
  <si>
    <t>Placa cobrada pro pessoal do sinistro 09/05 e ainda está com a mesma previsão</t>
  </si>
  <si>
    <t>RTM6B63</t>
  </si>
  <si>
    <t>24/09 - Oficina não está nos retornando devido a falta de pagamento, aguardamos regularização. 01/09 - Veículo ainda não iniciou a funilaria, vinte dias para finalização. 19/08 - Acompanhando a liberação do veículo com qualquer adiantamento. 31/07 - Veículo com prazo de entrega estimado  acompanharemos o mesmo. 25/07 - Oficina cobrada de orçamento agaurdando envio para validação de aprovação. 15/07 - Veículo foi encaminhado para a Safety e está realizando orçamento. 10/07 - Veículo colidiu o baú, em uma árvore e irá dar parada para manutenção.</t>
  </si>
  <si>
    <t>SDT9G02</t>
  </si>
  <si>
    <t>SDU0F52</t>
  </si>
  <si>
    <t>SDT9G19</t>
  </si>
  <si>
    <t>SGH6H72</t>
  </si>
  <si>
    <t>Veículo Disponibilizado para a Base 24/10</t>
  </si>
  <si>
    <t>SGH0H48</t>
  </si>
  <si>
    <t>SDT9F97</t>
  </si>
  <si>
    <t>Cobrado 03/04 mas n obtive prazo dessa</t>
  </si>
  <si>
    <t>Rogerio</t>
  </si>
  <si>
    <t>SGH8C21</t>
  </si>
  <si>
    <t>SGH6H68</t>
  </si>
  <si>
    <t>Veículo Disponibilizado para a Base 16/10</t>
  </si>
  <si>
    <t>Ford Amazon</t>
  </si>
  <si>
    <t>SGH7G94</t>
  </si>
  <si>
    <t>RNJ9C39</t>
  </si>
  <si>
    <t>SGH0G97</t>
  </si>
  <si>
    <t>SGH6H67</t>
  </si>
  <si>
    <t>SGH7J22</t>
  </si>
  <si>
    <t>SDT9G08</t>
  </si>
  <si>
    <t>SDT9G17</t>
  </si>
  <si>
    <t>SDT9F89</t>
  </si>
  <si>
    <t>placa foi cobrada 03/04 e foi esssa resposta que eu obtive  "Veículo entregue na css em  01/04, em fila para diagnóstico sem previsão. 04/04 placa foi cobrada novamente, aguardando retorno - 04/04  Em diagnóstico aguardando orçamento.</t>
  </si>
  <si>
    <t>SDT9F99</t>
  </si>
  <si>
    <t>Conferido pelo BIP - 07/09/2025</t>
  </si>
  <si>
    <t>SGH0H42</t>
  </si>
  <si>
    <t>RVD9A44</t>
  </si>
  <si>
    <t>SGH8C42</t>
  </si>
  <si>
    <t>RTM6B47</t>
  </si>
  <si>
    <t>Veículo Ativo- em processo de desmobilização</t>
  </si>
  <si>
    <t>RNQ8D22</t>
  </si>
  <si>
    <t>RTP4B89</t>
  </si>
  <si>
    <t>SGH8C33</t>
  </si>
  <si>
    <t>SDT9G01</t>
  </si>
  <si>
    <t>SDT9G14</t>
  </si>
  <si>
    <t>SGH7J24</t>
  </si>
  <si>
    <t>SGI8H45</t>
  </si>
  <si>
    <t>SGH8H45</t>
  </si>
  <si>
    <t>SGH6H63</t>
  </si>
  <si>
    <t>SGH0H44</t>
  </si>
  <si>
    <t>SGI8H09</t>
  </si>
  <si>
    <t>RUX2C79</t>
  </si>
  <si>
    <t>SGH0H23</t>
  </si>
  <si>
    <t>SDT9F98</t>
  </si>
  <si>
    <t>SGH0H40</t>
  </si>
  <si>
    <t>SGH6H58</t>
  </si>
  <si>
    <t>SGH6H74</t>
  </si>
  <si>
    <t>SGH8C44</t>
  </si>
  <si>
    <t>SGH8C35</t>
  </si>
  <si>
    <t>Veículo Disponibilizado para a base 23/10/2025</t>
  </si>
  <si>
    <t>SGH0H17</t>
  </si>
  <si>
    <t>SGF6H57</t>
  </si>
  <si>
    <t>SDQ2C0</t>
  </si>
  <si>
    <t>SGH0H33</t>
  </si>
  <si>
    <t>SVT2F29</t>
  </si>
  <si>
    <t>RNP6E43</t>
  </si>
  <si>
    <t>SGL2D11</t>
  </si>
  <si>
    <t>SSP40</t>
  </si>
  <si>
    <t>SC (PQ NOVO MUNDO) SSP40</t>
  </si>
  <si>
    <t>KARINA</t>
  </si>
  <si>
    <t>SGL2C08</t>
  </si>
  <si>
    <t>Veículo disponibilizado para a base</t>
  </si>
  <si>
    <t>SGF9B85</t>
  </si>
  <si>
    <t>SGK7E38</t>
  </si>
  <si>
    <t>SGK7E30</t>
  </si>
  <si>
    <t>SGK7E21</t>
  </si>
  <si>
    <t>SGI8J55</t>
  </si>
  <si>
    <t>SGL1J17</t>
  </si>
  <si>
    <t>SGH8H60</t>
  </si>
  <si>
    <t>SGH7J44</t>
  </si>
  <si>
    <t>SGL2B84</t>
  </si>
  <si>
    <t>STN5J69</t>
  </si>
  <si>
    <t>STD0B60</t>
  </si>
  <si>
    <t>SGH7F79</t>
  </si>
  <si>
    <t>SGL1J19</t>
  </si>
  <si>
    <t>Sem Motorista</t>
  </si>
  <si>
    <t>SGH6H78</t>
  </si>
  <si>
    <t>Bateria da placa falhando - Veiculo não aceitou troca de bateria</t>
  </si>
  <si>
    <t xml:space="preserve">FORD VILA GUILHERME </t>
  </si>
  <si>
    <t>RTM6B71</t>
  </si>
  <si>
    <t>Finalizando  até 13/10 oficina Vieira ( prazo enviado hoje 08/10/2025 ) trocando airbags e finalizando Pintura</t>
  </si>
  <si>
    <t>SGK7E24</t>
  </si>
  <si>
    <t xml:space="preserve">29/09 - Veículo disponibilizado para base. </t>
  </si>
  <si>
    <t>RTM6B65</t>
  </si>
  <si>
    <t>Placa rodando escondido na madeira-madeira</t>
  </si>
  <si>
    <t xml:space="preserve">24/04 - Aguardando resposta da base </t>
  </si>
  <si>
    <t>RUZ9B78</t>
  </si>
  <si>
    <t>veiculo devolvido na precision 14/07/2025</t>
  </si>
  <si>
    <t>RTE0I45</t>
  </si>
  <si>
    <t>deiculo deixado na Precision em 20/06 informado pelo whats</t>
  </si>
  <si>
    <t>RNU2D18</t>
  </si>
  <si>
    <t>Veículo devolvido 09/06</t>
  </si>
  <si>
    <t>RNN0C08</t>
  </si>
  <si>
    <t>SSP11</t>
  </si>
  <si>
    <t>SC (PRESIDENTE PRUDENTE) SSP11</t>
  </si>
  <si>
    <t>SFT5B03</t>
  </si>
  <si>
    <t>SFT5A78</t>
  </si>
  <si>
    <t>SGL2C02</t>
  </si>
  <si>
    <t>RNF6H39</t>
  </si>
  <si>
    <t>31/10/2025 - Vai rodar em Tres lagoas com o Gabriel 01/11/2025</t>
  </si>
  <si>
    <t>12/05 cobre a oficina sobre o diagnostico</t>
  </si>
  <si>
    <t>RNJ9D18</t>
  </si>
  <si>
    <t xml:space="preserve">enviado email em 04/04 cobrando financeiro </t>
  </si>
  <si>
    <t>SFT5A48</t>
  </si>
  <si>
    <t>SGL2D44</t>
  </si>
  <si>
    <t>SFT5B02</t>
  </si>
  <si>
    <t>SFW2F16</t>
  </si>
  <si>
    <t>SGF8J27</t>
  </si>
  <si>
    <t>SFT5A61</t>
  </si>
  <si>
    <t>PE</t>
  </si>
  <si>
    <t>SPE1</t>
  </si>
  <si>
    <t>SC (RECIFE) SPE1</t>
  </si>
  <si>
    <t xml:space="preserve">ANDREW </t>
  </si>
  <si>
    <t>Aguardando Pagamento 03/04/2025 caixa de fusível externa queimada, pane elétrica</t>
  </si>
  <si>
    <t xml:space="preserve">Elias MT </t>
  </si>
  <si>
    <t>Oficina aguardando peça. 02/05</t>
  </si>
  <si>
    <t>RNU2C17</t>
  </si>
  <si>
    <t xml:space="preserve">Veiculo devolvido- 11/06 </t>
  </si>
  <si>
    <t>Nen</t>
  </si>
  <si>
    <t>a jancap enviara peça hoje 07/04 e restante 13/04 devido a falta de estoque</t>
  </si>
  <si>
    <t>RNJ9C84</t>
  </si>
  <si>
    <t>Cabeçote - aguardando envio - foi encaminhada as peças</t>
  </si>
  <si>
    <t>WS oficina automotiva</t>
  </si>
  <si>
    <t>-</t>
  </si>
  <si>
    <t> </t>
  </si>
  <si>
    <t>Aguardando peça 02/05</t>
  </si>
  <si>
    <t>RNJ9D03</t>
  </si>
  <si>
    <t>Placas devolvidas no dia 29/07</t>
  </si>
  <si>
    <t>RNJ9C94</t>
  </si>
  <si>
    <t>Foi agendado a instalação da telemetria, porém os instaladores não compareceram, Tharcio reagendou para segunda-feira 07/04</t>
  </si>
  <si>
    <t>SDQ3A32</t>
  </si>
  <si>
    <t>SSP4</t>
  </si>
  <si>
    <t>SC (RIBEIRAO PRETO) SSP4</t>
  </si>
  <si>
    <t>DEBORAH</t>
  </si>
  <si>
    <t>solicitar reserva</t>
  </si>
  <si>
    <t>RVD4D21</t>
  </si>
  <si>
    <t>veiculo no estacionamento da coca aguardando para ser devolvido</t>
  </si>
  <si>
    <t>RVA2J63</t>
  </si>
  <si>
    <t>Placa com junta sobre medida, mas Marcio de Ribeirão está tentando mandar  a mesma para sp de guincho pois ela n roda.</t>
  </si>
  <si>
    <t>RVD4D19</t>
  </si>
  <si>
    <t>Placa parada dno estacionamento</t>
  </si>
  <si>
    <t>SDQ3A28</t>
  </si>
  <si>
    <t>SDP9I93</t>
  </si>
  <si>
    <t xml:space="preserve">Conferido pelo DDS - 282083467
</t>
  </si>
  <si>
    <t>RHW0D28</t>
  </si>
  <si>
    <t xml:space="preserve">Conferido pelo DDS - 282083537
</t>
  </si>
  <si>
    <t>RFU2E46</t>
  </si>
  <si>
    <t>SEF1D91</t>
  </si>
  <si>
    <t>Conferido pelo BIP - 29/09/2025</t>
  </si>
  <si>
    <t>RVA2J52</t>
  </si>
  <si>
    <t>RNB5I19</t>
  </si>
  <si>
    <t>Placa devolvida - 22/10/2025</t>
  </si>
  <si>
    <t>RNC9E48</t>
  </si>
  <si>
    <t>Disponibilizado mes 11</t>
  </si>
  <si>
    <t>RNF2B95</t>
  </si>
  <si>
    <t>SEF1D96</t>
  </si>
  <si>
    <t>SGF8J33</t>
  </si>
  <si>
    <t xml:space="preserve">24/09 - Procuração ficou pronta, e liberação segue sendo feita. 10/09 - Aguardando procuração que será confeccionada pela FORD. 04/09 - Veículo segue com a tratativa da placa. 15/08 - Veículo foi apreendido devido estar sem placa dianteira - Aguardando avará do Ari para a retirada do veiculo </t>
  </si>
  <si>
    <t>Pátio da DER</t>
  </si>
  <si>
    <t>SWP0G46</t>
  </si>
  <si>
    <t>SFW0A41</t>
  </si>
  <si>
    <t>RVD4D37</t>
  </si>
  <si>
    <t>aguardando para devolver</t>
  </si>
  <si>
    <t>RUY3D33</t>
  </si>
  <si>
    <t>Placa com problemas, vamos devolver. Abner disse q para retirar da oficina e devolver - Placa fumassiando muito.</t>
  </si>
  <si>
    <t>SDQ3A33</t>
  </si>
  <si>
    <t>Conferido pelo BIP - 30/09/2025</t>
  </si>
  <si>
    <t>RUY2E07</t>
  </si>
  <si>
    <t>GDS2B64</t>
  </si>
  <si>
    <t>Placa ativa - 07/11/2025</t>
  </si>
  <si>
    <t>Base me informou que essa placa foi terça-feira para SP e está aguardando posicionametno para onde foi enviada - Veiculo se enconra na rua doltor andre costa 723</t>
  </si>
  <si>
    <t>RNZ3H89</t>
  </si>
  <si>
    <t>SDQ3A27</t>
  </si>
  <si>
    <t>RNJ9D51</t>
  </si>
  <si>
    <t>Placa devolvida - 30/06/2025 - Pessoal do Marcio</t>
  </si>
  <si>
    <t>RFM2C61</t>
  </si>
  <si>
    <t>30/07 - Veículo declarado PT e devolvido.</t>
  </si>
  <si>
    <t>RVD4D18</t>
  </si>
  <si>
    <t>veiculo ativo no estacionamento de ribeirao aguardando local para devolver/transferir</t>
  </si>
  <si>
    <t>RUO6B61</t>
  </si>
  <si>
    <t>Placa devolvida - 10/06/2025 - Grupo bolinha verde</t>
  </si>
  <si>
    <t>SDQ2J19</t>
  </si>
  <si>
    <t>RVD4D20</t>
  </si>
  <si>
    <t>vex enviadso no email em 29/10</t>
  </si>
  <si>
    <t>SDQ2J86</t>
  </si>
  <si>
    <t>RNF2B98</t>
  </si>
  <si>
    <t>RNZ3H85</t>
  </si>
  <si>
    <t>SEF1D95</t>
  </si>
  <si>
    <t>SUP2B68</t>
  </si>
  <si>
    <t>GDM9D26</t>
  </si>
  <si>
    <t>RHW0D24</t>
  </si>
  <si>
    <t>RVD4D22</t>
  </si>
  <si>
    <t>SDQ2J76</t>
  </si>
  <si>
    <t>SDQ3A10</t>
  </si>
  <si>
    <t xml:space="preserve">Veiculo Ativo </t>
  </si>
  <si>
    <t>Aguardando chegada da peça da fabrica - 07/04/2025</t>
  </si>
  <si>
    <t>RNF2B88</t>
  </si>
  <si>
    <t>Aguardando chegada da peça , provavel chegada das peçlas amanhã 07/04/2025</t>
  </si>
  <si>
    <t>SGI8I46</t>
  </si>
  <si>
    <t>RNZ3H84</t>
  </si>
  <si>
    <t>tres lagoas</t>
  </si>
  <si>
    <t>SDQ3A25</t>
  </si>
  <si>
    <t>SDQ2J85</t>
  </si>
  <si>
    <t>RUY3D36</t>
  </si>
  <si>
    <t>SGF9B68</t>
  </si>
  <si>
    <t>RVD4D24</t>
  </si>
  <si>
    <t>RVD4D40</t>
  </si>
  <si>
    <t>SDQ2J88</t>
  </si>
  <si>
    <t>reserva solicitado em 06/12</t>
  </si>
  <si>
    <t>SDQ3A37</t>
  </si>
  <si>
    <t>SDQ2J23</t>
  </si>
  <si>
    <t>RNZ3H80</t>
  </si>
  <si>
    <t>Mele pediu para desmobilizar</t>
  </si>
  <si>
    <t>RFT7G83</t>
  </si>
  <si>
    <t>no estacionamento de guarulhos</t>
  </si>
  <si>
    <t>RNE7C71</t>
  </si>
  <si>
    <t>RNC5H19</t>
  </si>
  <si>
    <t>RNC9E67</t>
  </si>
  <si>
    <t>RNC9E73</t>
  </si>
  <si>
    <t>RNC9E77</t>
  </si>
  <si>
    <t>RNF2B76</t>
  </si>
  <si>
    <t>SGH8H48</t>
  </si>
  <si>
    <t>SRS3</t>
  </si>
  <si>
    <t>SC (SANTA MARIA) SRS3</t>
  </si>
  <si>
    <t xml:space="preserve">DEIVES </t>
  </si>
  <si>
    <t xml:space="preserve">FABIO BERROCAL </t>
  </si>
  <si>
    <t>Veículo disponibilizado para base 02/10/2025</t>
  </si>
  <si>
    <t>SGI8J51</t>
  </si>
  <si>
    <t>SFW6D03</t>
  </si>
  <si>
    <t>Rota Logistc- 274102732-09/08</t>
  </si>
  <si>
    <t>SGH8C31</t>
  </si>
  <si>
    <t>SDU2C99</t>
  </si>
  <si>
    <t>SSP15</t>
  </si>
  <si>
    <t>SC (SANTOS) SSP15</t>
  </si>
  <si>
    <t>NATANAEL</t>
  </si>
  <si>
    <t>SDU2C98</t>
  </si>
  <si>
    <t>SDQ2A90</t>
  </si>
  <si>
    <t>SDQ2A43</t>
  </si>
  <si>
    <t>SDU2D05</t>
  </si>
  <si>
    <t>Verificado data de conclusão do serviço 04/04</t>
  </si>
  <si>
    <t>SDU2D02</t>
  </si>
  <si>
    <t>SDU2D03</t>
  </si>
  <si>
    <t>SDU2D01</t>
  </si>
  <si>
    <t>SGF8J34</t>
  </si>
  <si>
    <t>SSP22</t>
  </si>
  <si>
    <t>SC (SAO CARLOS) SSP22</t>
  </si>
  <si>
    <t>MAURICIO</t>
  </si>
  <si>
    <t>Bico injetor -24.09</t>
  </si>
  <si>
    <t>Lanzotti</t>
  </si>
  <si>
    <t>SWZ7J67</t>
  </si>
  <si>
    <t>2409-  Aguardando Aprovação do Diagnóstico do veículo (1mik reais o dignóstico)Bico Injetor</t>
  </si>
  <si>
    <t xml:space="preserve">Ford Piracicaba </t>
  </si>
  <si>
    <t>SWJ0E21</t>
  </si>
  <si>
    <t>Disponibilizado para a Base  - 16/09/2025</t>
  </si>
  <si>
    <t>RNZ3H55</t>
  </si>
  <si>
    <t>devolvido na precision em 03/11/2025</t>
  </si>
  <si>
    <t>Aguardando envio das peças 07/04</t>
  </si>
  <si>
    <t>RND8C57</t>
  </si>
  <si>
    <t xml:space="preserve">Manutenção própria </t>
  </si>
  <si>
    <t>RNB5I33</t>
  </si>
  <si>
    <t>SWV3D77</t>
  </si>
  <si>
    <t>SUX1H87</t>
  </si>
  <si>
    <t>Conferido pelo Bip - 12/09/2025</t>
  </si>
  <si>
    <t>RNJ9D54</t>
  </si>
  <si>
    <t>Está no patio do posto - 14/10/2025</t>
  </si>
  <si>
    <t xml:space="preserve"> Lanzotti Aguardando Pagamento </t>
  </si>
  <si>
    <t>Orçamento encaminhado 08/04</t>
  </si>
  <si>
    <t>RNF2B77</t>
  </si>
  <si>
    <t>devolvida na precision em 30/10/2025</t>
  </si>
  <si>
    <t>RNF2B68</t>
  </si>
  <si>
    <t>SWR4C91</t>
  </si>
  <si>
    <t>SGH0H30</t>
  </si>
  <si>
    <t>RNF2B74</t>
  </si>
  <si>
    <t>Veículo no estacionamento da base aguardando espaço na oficina 09/05</t>
  </si>
  <si>
    <t>RNJ9D53</t>
  </si>
  <si>
    <t>RVB7I20</t>
  </si>
  <si>
    <t>Veículo devolvido 02/07</t>
  </si>
  <si>
    <t>SGH8A87</t>
  </si>
  <si>
    <t>SGF9A36</t>
  </si>
  <si>
    <t>SXA5D58</t>
  </si>
  <si>
    <t>Mecânico chamou um parceiro para fazer a analise do veículo 09/05</t>
  </si>
  <si>
    <t>SXA5C88</t>
  </si>
  <si>
    <t>SXA5C78</t>
  </si>
  <si>
    <t>SXA5D38</t>
  </si>
  <si>
    <t>RNJ9D50</t>
  </si>
  <si>
    <t>RNJ9D25</t>
  </si>
  <si>
    <t>Disponibilizado para base 06/08</t>
  </si>
  <si>
    <t>Veículo encaminhado para a oficina 17/04</t>
  </si>
  <si>
    <t>SGF9B45</t>
  </si>
  <si>
    <t>SGL2D34</t>
  </si>
  <si>
    <t>TAK7D15</t>
  </si>
  <si>
    <t>SJU0J06</t>
  </si>
  <si>
    <t>RNJ9D30</t>
  </si>
  <si>
    <t>SGI8J33</t>
  </si>
  <si>
    <t>SGF9C25</t>
  </si>
  <si>
    <t>SGF8I64</t>
  </si>
  <si>
    <t>Conferido pelo DDS - 273422983 - 07/09/2025</t>
  </si>
  <si>
    <t>SGF9B03</t>
  </si>
  <si>
    <t>SGF9B78</t>
  </si>
  <si>
    <t>SVH9C94</t>
  </si>
  <si>
    <t>TAK7B83</t>
  </si>
  <si>
    <t>TAK7D09</t>
  </si>
  <si>
    <t>SVC1A96</t>
  </si>
  <si>
    <t>SFT5A73</t>
  </si>
  <si>
    <t>SFV0D65</t>
  </si>
  <si>
    <t>SFW0A73</t>
  </si>
  <si>
    <t>Veiculo disponibilizado para base-23.09</t>
  </si>
  <si>
    <t>SUU7D47</t>
  </si>
  <si>
    <t>TAL3J35</t>
  </si>
  <si>
    <t>RNE7C77</t>
  </si>
  <si>
    <t>RNF2C01</t>
  </si>
  <si>
    <t>SGL2B92</t>
  </si>
  <si>
    <t>RUL7F46</t>
  </si>
  <si>
    <t>SSP8</t>
  </si>
  <si>
    <t>SC (SAO JOSE DOS CAMPOS) SSP8</t>
  </si>
  <si>
    <t>carro no estacionamento da coca rodara na pet love RJ</t>
  </si>
  <si>
    <t>Aguardando oficina encaminhar o orçamento 09/05</t>
  </si>
  <si>
    <t>SGK7D70</t>
  </si>
  <si>
    <t>22/08 - veículo segue realizando funilaria da estrutura. 19/08 - Veículo ainda segue em serviço. 01/08 - acompanhando a liberação do veículo com qualquer adiantamento. 31/07  - peças serão enviadas hoje as 10:00 horas para a oficina GR Car. 30/07 - Peças chegaram aguardando envio para a oficina. 18/07 - peças encomendadas aguardando chegada das mesmas. 08/07 - Veículo foi aprovado para recuperação e está em serviço, estamos cotando as peças para envio 04/07 - Veículo foi comprado pela Murici está aguardando aprovação. 02/07 - Aguardando diagnóstico da oficina (Ford) e ainda não foi confirmado o PT.</t>
  </si>
  <si>
    <t>GFX6D91</t>
  </si>
  <si>
    <t>RUM3C32</t>
  </si>
  <si>
    <t>19/08 - Pegaremos o carro de volta e faremos por conta. 30/07 - Devolução, protocolo: 6750226</t>
  </si>
  <si>
    <t>SGI9A03</t>
  </si>
  <si>
    <t>Conferido pelo DDS - 220256674 - 23/09/2025</t>
  </si>
  <si>
    <t>RUL7F45</t>
  </si>
  <si>
    <t>16/10/2025 - Devolvido na precision</t>
  </si>
  <si>
    <t>RUZ9B68</t>
  </si>
  <si>
    <t>veiculo devolvido na precision em 25/07</t>
  </si>
  <si>
    <t>Aguardando oficina encaminhar informação - 04/04</t>
  </si>
  <si>
    <t>RUZ9B74</t>
  </si>
  <si>
    <t>Devolvido em 11/07</t>
  </si>
  <si>
    <t>RNB5I29</t>
  </si>
  <si>
    <t>veiculo devolvido na precision em 22/10</t>
  </si>
  <si>
    <t>Aguardando oficina encaminhar informação - 08/04</t>
  </si>
  <si>
    <t>RTU5E56</t>
  </si>
  <si>
    <t>RNE4J04</t>
  </si>
  <si>
    <r>
      <rPr>
        <b/>
        <sz val="10"/>
        <color rgb="FF000000"/>
        <rFont val="Arial"/>
      </rPr>
      <t xml:space="preserve">28/11/2025 - </t>
    </r>
    <r>
      <rPr>
        <sz val="10"/>
        <color rgb="FF000000"/>
        <rFont val="Arial"/>
      </rPr>
      <t>Carro foi feito uma paliativa, mas será devolvido o motor do jeito que está, aguardando devolução</t>
    </r>
  </si>
  <si>
    <t>Ainda está no estacionamento da coca aguardando ser encaminhada para o Alair 17/04</t>
  </si>
  <si>
    <t>RUM3C27</t>
  </si>
  <si>
    <t>Disponibilizado para base 11/06, em processo de desmobilização desde 11/06, Veículo deixado na precision 15/07</t>
  </si>
  <si>
    <t>Veículo segue em diagnóstico pois apresentou problema na longarina 09/05</t>
  </si>
  <si>
    <t>QPC0J28</t>
  </si>
  <si>
    <t>SGK7D85</t>
  </si>
  <si>
    <t>SGK7D77</t>
  </si>
  <si>
    <t>SGK7D74</t>
  </si>
  <si>
    <t>SGK7D65</t>
  </si>
  <si>
    <t>RUL7F38</t>
  </si>
  <si>
    <t>RUM3C24</t>
  </si>
  <si>
    <t>devolvido na precision em 24/10</t>
  </si>
  <si>
    <t>JCI8F66</t>
  </si>
  <si>
    <t>SGL4D17</t>
  </si>
  <si>
    <t>JCJ0D41</t>
  </si>
  <si>
    <t>SGI8G13</t>
  </si>
  <si>
    <t>SGI8H70</t>
  </si>
  <si>
    <t xml:space="preserve">PRECISA TROCAR PNEUS URGENTE </t>
  </si>
  <si>
    <t>RNB5I58</t>
  </si>
  <si>
    <t>RUM3C31</t>
  </si>
  <si>
    <t>SGH0H29</t>
  </si>
  <si>
    <t>SC (SAPUCAIA) SRS8</t>
  </si>
  <si>
    <t>ALESSANDRA</t>
  </si>
  <si>
    <t>SGH8H49</t>
  </si>
  <si>
    <t>24/09 - Oficina não está nos retornando devido a falta de pagamento, aguardamos regularização. 12/09 - Diretoria pediu pra aguardar a liberação de caixa para pagamento de 30k.</t>
  </si>
  <si>
    <t>SGI8I41</t>
  </si>
  <si>
    <t>Rota Logistc-277745035-18/09</t>
  </si>
  <si>
    <t>SGH1B19</t>
  </si>
  <si>
    <t>SGH6H65</t>
  </si>
  <si>
    <t>SGH6H75</t>
  </si>
  <si>
    <t>Bomba e Bico</t>
  </si>
  <si>
    <t>Ford superauto</t>
  </si>
  <si>
    <t>RUX2C67</t>
  </si>
  <si>
    <t>RTM6B61</t>
  </si>
  <si>
    <t xml:space="preserve">Aguardando placa moacir </t>
  </si>
  <si>
    <t>Placa cobradas na data 03/04 não objtive retorno, 04/04  cobrada novamente aguardando retono da oficina.</t>
  </si>
  <si>
    <t>RNP6E45</t>
  </si>
  <si>
    <t xml:space="preserve">Motor </t>
  </si>
  <si>
    <t>SUY2B70</t>
  </si>
  <si>
    <t>SGL2D19</t>
  </si>
  <si>
    <t>SFT5A41</t>
  </si>
  <si>
    <t>04/04 cobrada aguardando retorno da oficina</t>
  </si>
  <si>
    <t>RTM6B45</t>
  </si>
  <si>
    <t>SGH0H25</t>
  </si>
  <si>
    <t>SGI8H35</t>
  </si>
  <si>
    <t>SGH0H15</t>
  </si>
  <si>
    <t>RTP4B92</t>
  </si>
  <si>
    <t>RNJ9C32</t>
  </si>
  <si>
    <t>SGL2B79</t>
  </si>
  <si>
    <t>SGI8H94</t>
  </si>
  <si>
    <t>SGH0H27</t>
  </si>
  <si>
    <t>SGH8C43</t>
  </si>
  <si>
    <t>SGH0H07</t>
  </si>
  <si>
    <t>SGH7J38</t>
  </si>
  <si>
    <t>SGL1H87</t>
  </si>
  <si>
    <t>SGH0H18</t>
  </si>
  <si>
    <t>Conferido pelo BIP - 08/09/2025</t>
  </si>
  <si>
    <t>SGH0H50</t>
  </si>
  <si>
    <t>RVD9A37</t>
  </si>
  <si>
    <t>SGH8A89</t>
  </si>
  <si>
    <t>RTP4B83</t>
  </si>
  <si>
    <t>Conferido pelo DDS - 278875766 - 21/09/2025</t>
  </si>
  <si>
    <t>SGL1I61</t>
  </si>
  <si>
    <t>SGH8C36</t>
  </si>
  <si>
    <t>SGH8C23</t>
  </si>
  <si>
    <t>SGH0H38</t>
  </si>
  <si>
    <t>SGH8C37</t>
  </si>
  <si>
    <t>SGH8C38</t>
  </si>
  <si>
    <t>SGL2C74</t>
  </si>
  <si>
    <t>RTP4B90</t>
  </si>
  <si>
    <t>RNJ9C37</t>
  </si>
  <si>
    <t>SGH8C30</t>
  </si>
  <si>
    <t>SGH8A94</t>
  </si>
  <si>
    <t>SGH8C34</t>
  </si>
  <si>
    <t>SGI8G98</t>
  </si>
  <si>
    <t>SGH8H47</t>
  </si>
  <si>
    <t>SGH8H50</t>
  </si>
  <si>
    <t>SGH8H52</t>
  </si>
  <si>
    <t>SGH8C28</t>
  </si>
  <si>
    <t>SGL2D23</t>
  </si>
  <si>
    <t>RNJ9C36</t>
  </si>
  <si>
    <t>SGI8H83</t>
  </si>
  <si>
    <t>SGH8C19</t>
  </si>
  <si>
    <t>SGH8C45</t>
  </si>
  <si>
    <t>SGI8H89</t>
  </si>
  <si>
    <t>SGH8B55</t>
  </si>
  <si>
    <t>SFT5A46</t>
  </si>
  <si>
    <t>SGI8J20</t>
  </si>
  <si>
    <t>SGH8C40</t>
  </si>
  <si>
    <t>SGH8B06</t>
  </si>
  <si>
    <t>SGI8J99</t>
  </si>
  <si>
    <t>RFP5B11</t>
  </si>
  <si>
    <t>SGL2C62</t>
  </si>
  <si>
    <t>SGH8C32</t>
  </si>
  <si>
    <t>SGH0H45</t>
  </si>
  <si>
    <t>SGH0H12</t>
  </si>
  <si>
    <t>RUO6B39</t>
  </si>
  <si>
    <t>SSP12</t>
  </si>
  <si>
    <t>SC (SJ RIO PRETO) SSP12</t>
  </si>
  <si>
    <t>GABRIEL</t>
  </si>
  <si>
    <t>veiculo ativo parado no estacionamento aguardando local para devolver ou transferir</t>
  </si>
  <si>
    <t>Aguardando orçamento da placa 08/04/2025</t>
  </si>
  <si>
    <t>SDT9F06</t>
  </si>
  <si>
    <t>SEF1D92</t>
  </si>
  <si>
    <t>Disponibilizado para a Base - 23/10/2025</t>
  </si>
  <si>
    <t>SDT9G93</t>
  </si>
  <si>
    <t>SDT9G94</t>
  </si>
  <si>
    <t>TXA1F90</t>
  </si>
  <si>
    <t>SDT9E97</t>
  </si>
  <si>
    <t>SJE1I29</t>
  </si>
  <si>
    <t>SDT9F07</t>
  </si>
  <si>
    <t>GAW7842</t>
  </si>
  <si>
    <t>SDU2C97</t>
  </si>
  <si>
    <t>RVG7D29</t>
  </si>
  <si>
    <t>XPT (TRES LAGOAS ) EMS4/SSP10</t>
  </si>
  <si>
    <t>ira rodar no XPT tre lagoas</t>
  </si>
  <si>
    <t>SDT9G91</t>
  </si>
  <si>
    <t>Placa foi movida da oficina amorim para a oficina Beto Localiza por carta de avarai ser recusada. Tentamos solicitar rezerva mas aparece a seguinte informação "Não será possível fazer a liberação do carro reserva, pois o serviço no momento está indisponível para a sua empresa. 
Oriento que entre em contato com o seu Gestor de Frotas para mais informações.🤝💚 🚗" 04/04/2025</t>
  </si>
  <si>
    <t>SEF1D94</t>
  </si>
  <si>
    <t>Solivitar Rezerva</t>
  </si>
  <si>
    <t>Placa em manunteção - na planilha</t>
  </si>
  <si>
    <t>RVD8H60</t>
  </si>
  <si>
    <t>SDT9F08</t>
  </si>
  <si>
    <t>SDT9G95</t>
  </si>
  <si>
    <t>SUD2F68</t>
  </si>
  <si>
    <t>SDQ2J17</t>
  </si>
  <si>
    <t>RUM3C17</t>
  </si>
  <si>
    <t>enviado vex 22/10</t>
  </si>
  <si>
    <t>RUO6B37</t>
  </si>
  <si>
    <t>devolvido na precision 24/09</t>
  </si>
  <si>
    <t>SDQ2J20</t>
  </si>
  <si>
    <t xml:space="preserve">Bateria, semi eixo, interruptor de freio, reprogramar unidade de comando </t>
  </si>
  <si>
    <t>RENAULT TORIBA (Localiza)</t>
  </si>
  <si>
    <t>TEJ1J42</t>
  </si>
  <si>
    <t>SDT9F50</t>
  </si>
  <si>
    <t>Pane Eletrica - 05/09/2025</t>
  </si>
  <si>
    <t>SAMPA TRIANON VEICUL (Localiza)</t>
  </si>
  <si>
    <t>TDV1I80</t>
  </si>
  <si>
    <t>Fiorino ENDURANCE FLEX 1.3 2P</t>
  </si>
  <si>
    <t>;</t>
  </si>
  <si>
    <t>SDT9G63</t>
  </si>
  <si>
    <t>Placa ativa - 10/10/2025</t>
  </si>
  <si>
    <t>TEJ1J20</t>
  </si>
  <si>
    <t>Veiculo será encaminhado para CSS, já foi solicitado guincho - 08/09</t>
  </si>
  <si>
    <t xml:space="preserve">HNZ1F20 </t>
  </si>
  <si>
    <t>Motor/Cambio</t>
  </si>
  <si>
    <t>SM3</t>
  </si>
  <si>
    <t>RNG5A18</t>
  </si>
  <si>
    <t>veiculo disponibilizado para locadora - 01/08</t>
  </si>
  <si>
    <t>Veiculo será encaminhado para o Alair - 12/05</t>
  </si>
  <si>
    <t>SGI8I01</t>
  </si>
  <si>
    <t>RNG5A15</t>
  </si>
  <si>
    <t>veiculo devolvido com vex enviado em 08/09/2025</t>
  </si>
  <si>
    <t>A oficina do japonês foi até o local, contatou que é problema na bomba, vamos encaminhar para a oficina Vip</t>
  </si>
  <si>
    <t>SDT9F52</t>
  </si>
  <si>
    <t>SDQ2J50</t>
  </si>
  <si>
    <t>RUM2B64</t>
  </si>
  <si>
    <t>RNE0J17</t>
  </si>
  <si>
    <t>disponibilizado para base 03/09</t>
  </si>
  <si>
    <t>RFT7G78</t>
  </si>
  <si>
    <t>RNE0J08</t>
  </si>
  <si>
    <t>RVB7I04</t>
  </si>
  <si>
    <t>Devolvido para locadora</t>
  </si>
  <si>
    <t>SDT9G65</t>
  </si>
  <si>
    <t xml:space="preserve">reserva solicitado em 06/05 com Atendente jenifer via 0800 localiza protocolo 6559587 </t>
  </si>
  <si>
    <t>SDT9F42</t>
  </si>
  <si>
    <t>RNB5H97</t>
  </si>
  <si>
    <t>SGI8I28</t>
  </si>
  <si>
    <t>RND8C43</t>
  </si>
  <si>
    <t>RNE0J15</t>
  </si>
  <si>
    <t>RNG5A19</t>
  </si>
  <si>
    <t>SDQ2J37</t>
  </si>
  <si>
    <t>JCJ0D34</t>
  </si>
  <si>
    <t>RNG4F49</t>
  </si>
  <si>
    <t>RVD8H36</t>
  </si>
  <si>
    <t>Aguardando transfência- 6 outubro</t>
  </si>
  <si>
    <t xml:space="preserve">Estacionamento da Base </t>
  </si>
  <si>
    <t>RUM2B49</t>
  </si>
  <si>
    <t>SDQ2J22</t>
  </si>
  <si>
    <t>SGI8I82</t>
  </si>
  <si>
    <t>RUM2B46</t>
  </si>
  <si>
    <t>veículo Ativo</t>
  </si>
  <si>
    <t>RNG5A20</t>
  </si>
  <si>
    <t>disponibilizado para base 22/09</t>
  </si>
  <si>
    <t>RUL8C93</t>
  </si>
  <si>
    <t>RUO9G28</t>
  </si>
  <si>
    <t>Aguardando transfência- 30 de setembro</t>
  </si>
  <si>
    <t>RUM3C44</t>
  </si>
  <si>
    <t>RVD8H61</t>
  </si>
  <si>
    <t>RUN2B13</t>
  </si>
  <si>
    <t>RUM3C41</t>
  </si>
  <si>
    <t>RUO6A92</t>
  </si>
  <si>
    <t>SDQ2B05</t>
  </si>
  <si>
    <t>JCJ0D39</t>
  </si>
  <si>
    <t>SDT9G71</t>
  </si>
  <si>
    <t>solicitado o desbloqueio 12/09</t>
  </si>
  <si>
    <t>SDQ2A78</t>
  </si>
  <si>
    <t>JCI8F77</t>
  </si>
  <si>
    <t>SGH9G33</t>
  </si>
  <si>
    <t>SGI8J03</t>
  </si>
  <si>
    <t>SGI8I77</t>
  </si>
  <si>
    <t>RUM2B25</t>
  </si>
  <si>
    <t>SDT9G58</t>
  </si>
  <si>
    <t>JCI8F75</t>
  </si>
  <si>
    <t>dispponibilizado para base 22/09</t>
  </si>
  <si>
    <t>SDT9G52</t>
  </si>
  <si>
    <t>RNG4F48</t>
  </si>
  <si>
    <t>SGI8H03</t>
  </si>
  <si>
    <t>SGI8H12</t>
  </si>
  <si>
    <t>GGQ5I13</t>
  </si>
  <si>
    <t>TJW3J78</t>
  </si>
  <si>
    <t>TMC9F34</t>
  </si>
  <si>
    <t>RUX9H16</t>
  </si>
  <si>
    <t>SC (VESPASIANO-BH ZONA NORTE) SMG8</t>
  </si>
  <si>
    <t>THAMIRES</t>
  </si>
  <si>
    <t>SGF9A21</t>
  </si>
  <si>
    <t>ES</t>
  </si>
  <si>
    <t>SES1</t>
  </si>
  <si>
    <t>SC (VITORIA) SES1</t>
  </si>
  <si>
    <t>JOÃO</t>
  </si>
  <si>
    <t>ERIC</t>
  </si>
  <si>
    <t>01/09 - Veículo foi aprovado faltando apenas prazo de entrega. 18/08 - Seguimos aguardando aprovação da diretoria. 15/08 - Veículo já com orçamento pronto, validando aprovação com o Abner. 11/08 - Veículo está já na oficina e segue realizando orçamento. 07/08 - Veículo será retirado da base para a oficina aguardando liberação do líder. 31/07 - Oficina paralisou as manuteções devido a falta de pagamento. 14/07 - Colisão frontal, veículo dará parada na data de hoje para a realização de outro orçamento, pois estava em outra oficina onde não realizaram o orçamento.</t>
  </si>
  <si>
    <t>KM Auto Center</t>
  </si>
  <si>
    <t>SGF8I65</t>
  </si>
  <si>
    <t>placa revisão pela FORD</t>
  </si>
  <si>
    <t>VIAFORD</t>
  </si>
  <si>
    <t>RUV4G24</t>
  </si>
  <si>
    <t xml:space="preserve">Placa rodando em RJ nas curtinas </t>
  </si>
  <si>
    <t>RUV4G26</t>
  </si>
  <si>
    <t>RUV4G23</t>
  </si>
  <si>
    <t>Motor com barulho</t>
  </si>
  <si>
    <t>SGF9B05</t>
  </si>
  <si>
    <t>RUX2J35</t>
  </si>
  <si>
    <t>Placas paradas pois irão devolver</t>
  </si>
  <si>
    <t>SGF9C03</t>
  </si>
  <si>
    <t>RUV4G27</t>
  </si>
  <si>
    <t>RUV4G30</t>
  </si>
  <si>
    <t>RUV4G20</t>
  </si>
  <si>
    <t>Placa parada para devolver</t>
  </si>
  <si>
    <t>SGF8J53</t>
  </si>
  <si>
    <t>RUV4G25</t>
  </si>
  <si>
    <t>RUV4G11</t>
  </si>
  <si>
    <t>SGF9A02</t>
  </si>
  <si>
    <t>SGF9A00</t>
  </si>
  <si>
    <t>SGF9B06</t>
  </si>
  <si>
    <t>RUV4G31</t>
  </si>
  <si>
    <t>ECU4G25</t>
  </si>
  <si>
    <t>Placa devolvida - 06/10/2025 - Com VEX</t>
  </si>
  <si>
    <t>14/07 - Movida cobrada</t>
  </si>
  <si>
    <t>EQJ8D01</t>
  </si>
  <si>
    <t>Devolvido no dia 03/10</t>
  </si>
  <si>
    <t>RUL7F48</t>
  </si>
  <si>
    <t>devolvido na precision em 06/10</t>
  </si>
  <si>
    <t>14/07 Oficina cobrada</t>
  </si>
  <si>
    <t>RUM4B35</t>
  </si>
  <si>
    <t>devolvido na movida 06/10</t>
  </si>
  <si>
    <t>SGH6H59</t>
  </si>
  <si>
    <t>SGI8I36</t>
  </si>
  <si>
    <t>TOE7C30</t>
  </si>
  <si>
    <t>Placa pronta - 29/09/2025</t>
  </si>
  <si>
    <t>RTB0I88</t>
  </si>
  <si>
    <t>veiculo esta na movida apos manutenção sera devolvida diretamente para movida</t>
  </si>
  <si>
    <t>Jl Car Experts Ltda (Movida)</t>
  </si>
  <si>
    <t>RUO6A96</t>
  </si>
  <si>
    <t xml:space="preserve">Sem rodar no Mele por causa do Contrato </t>
  </si>
  <si>
    <t>RUM3C02</t>
  </si>
  <si>
    <t>devolvido na precision em 15/10</t>
  </si>
  <si>
    <t>RUM3C42</t>
  </si>
  <si>
    <t xml:space="preserve">Placa vai para outra transportadora </t>
  </si>
  <si>
    <t>EFD8G37</t>
  </si>
  <si>
    <t>DEVOLVIDO A LOCADORA - 12/09/2025</t>
  </si>
  <si>
    <t>TOE7D00</t>
  </si>
  <si>
    <t>Placa disponibilizada para a Base  - 29/09/2025</t>
  </si>
  <si>
    <t>TLB4G35</t>
  </si>
  <si>
    <t>PLACA REZERVA DE ZONA LESTE - CONFERIDO PELO GESTOR</t>
  </si>
  <si>
    <t>ENU7B66</t>
  </si>
  <si>
    <t>veiculo devolvido 19/09/2025</t>
  </si>
  <si>
    <t>SGI8H00</t>
  </si>
  <si>
    <t>EFV2B04</t>
  </si>
  <si>
    <t>PLACA DEVOLVIDA PARA A MOVIDA - 12/09/2025</t>
  </si>
  <si>
    <t>FCU6H01</t>
  </si>
  <si>
    <t>SFT5A34</t>
  </si>
  <si>
    <t>SFV0D00</t>
  </si>
  <si>
    <t xml:space="preserve">TOE7C89 </t>
  </si>
  <si>
    <t xml:space="preserve">TJI8H56 </t>
  </si>
  <si>
    <t xml:space="preserve">TMD7E58 </t>
  </si>
  <si>
    <t xml:space="preserve">TJS6E17 </t>
  </si>
  <si>
    <t>SDT9E98</t>
  </si>
  <si>
    <t>SC_ZS</t>
  </si>
  <si>
    <t>SC (Z SUL) SC_ZS</t>
  </si>
  <si>
    <t>DIOGO</t>
  </si>
  <si>
    <t>Conferido pelo BIP - 09/09/2025.</t>
  </si>
  <si>
    <t>SDQ4G20</t>
  </si>
  <si>
    <t>reserva solicitado em 06/05 via 0800 com atendente jenifer 6571672</t>
  </si>
  <si>
    <t>SDQ4A10</t>
  </si>
  <si>
    <t>SDQ4E39</t>
  </si>
  <si>
    <t>SDQ3H17</t>
  </si>
  <si>
    <t>SDQ4A17</t>
  </si>
  <si>
    <t>SDQ3G20</t>
  </si>
  <si>
    <t>SDQ3G23</t>
  </si>
  <si>
    <t>SDQ3G33</t>
  </si>
  <si>
    <t>SDQ3H14</t>
  </si>
  <si>
    <t>SDQ3G22</t>
  </si>
  <si>
    <t>SDQ4A18</t>
  </si>
  <si>
    <t>RVE7C06</t>
  </si>
  <si>
    <t>SMR2</t>
  </si>
  <si>
    <t>XPT (ALTA FLORESTA) EMR5/SMR2</t>
  </si>
  <si>
    <t xml:space="preserve">LUCIENE </t>
  </si>
  <si>
    <t>Desmobilização-Aguardando Endereço para devolução</t>
  </si>
  <si>
    <t>EAS7778</t>
  </si>
  <si>
    <t>Aguardando documentação do novo motor 20/05/2025</t>
  </si>
  <si>
    <t>RVD8H33</t>
  </si>
  <si>
    <t>RUM2B59</t>
  </si>
  <si>
    <t>RVD8H35</t>
  </si>
  <si>
    <t>EPT6120</t>
  </si>
  <si>
    <t>RUX9G19</t>
  </si>
  <si>
    <t xml:space="preserve">MT </t>
  </si>
  <si>
    <t>LUCIENE</t>
  </si>
  <si>
    <t>GKA9329</t>
  </si>
  <si>
    <t>RUX9G21</t>
  </si>
  <si>
    <t>NPL6B03</t>
  </si>
  <si>
    <t>FORD/CARGO 2422 CNL</t>
  </si>
  <si>
    <t>Caminhao</t>
  </si>
  <si>
    <t>ESP13</t>
  </si>
  <si>
    <t>XPT (BRASILANDIA) ESP13/SSP5</t>
  </si>
  <si>
    <t>PEDRO</t>
  </si>
  <si>
    <t>RHW0D34</t>
  </si>
  <si>
    <t>DKH9232</t>
  </si>
  <si>
    <t>PA</t>
  </si>
  <si>
    <t>SPA1</t>
  </si>
  <si>
    <t>XPT (CHAPADINHA) EMN3/SMN1</t>
  </si>
  <si>
    <t xml:space="preserve">DANIEL GARY </t>
  </si>
  <si>
    <t>GFR0H26</t>
  </si>
  <si>
    <t>MA</t>
  </si>
  <si>
    <t>EMN3</t>
  </si>
  <si>
    <t>SFT5A20</t>
  </si>
  <si>
    <t>ERS6/SPR5</t>
  </si>
  <si>
    <t>XPT (ERECHIM) ERS6/SPR5</t>
  </si>
  <si>
    <t>TATIANA</t>
  </si>
  <si>
    <t>SFT5A29</t>
  </si>
  <si>
    <t>SFT5A59</t>
  </si>
  <si>
    <t>SFT5A10</t>
  </si>
  <si>
    <t>SFT5A25</t>
  </si>
  <si>
    <t>Placa precisa trocar pastilha de freios - 22/09/2025</t>
  </si>
  <si>
    <t>SVX1G28</t>
  </si>
  <si>
    <t>SSR6G39</t>
  </si>
  <si>
    <t>SVB9E97</t>
  </si>
  <si>
    <t>SFT5A90</t>
  </si>
  <si>
    <t>ERS3/SPR5</t>
  </si>
  <si>
    <t>XPT (FREDERICO WESTPHALEN) ERS3/SPR5</t>
  </si>
  <si>
    <t xml:space="preserve">PABLO </t>
  </si>
  <si>
    <t>SFT5A50</t>
  </si>
  <si>
    <t>SFT5A06</t>
  </si>
  <si>
    <t>SUI3B70</t>
  </si>
  <si>
    <t>EPR13</t>
  </si>
  <si>
    <t>XPT (MANOEL RIBAS) EPR13/SPR5</t>
  </si>
  <si>
    <t>CAROLINA</t>
  </si>
  <si>
    <t>Cleiton Roberto</t>
  </si>
  <si>
    <t>RNF-2B91</t>
  </si>
  <si>
    <t>OVU6178</t>
  </si>
  <si>
    <t>EHC3J30</t>
  </si>
  <si>
    <t>EPR7</t>
  </si>
  <si>
    <t>XPT (SANTO ANTONIO DA PLATINA) EPR7/SPR2</t>
  </si>
  <si>
    <t>TIAGO/LUANY</t>
  </si>
  <si>
    <t>disponibilizado para base 28/08</t>
  </si>
  <si>
    <t>PXN4729</t>
  </si>
  <si>
    <t>SGF8I94</t>
  </si>
  <si>
    <t>STB2G28</t>
  </si>
  <si>
    <t>DANIEL</t>
  </si>
  <si>
    <t>Aguardando a gente mandar as peças faltantes 04/04/2025</t>
  </si>
  <si>
    <t>SVT9G70</t>
  </si>
  <si>
    <t>03/09 - Abner pediu para segurar a aprovação, devído ao fluxo de caixa. 29/08 - Veículo continua aguardando aprovação  das peças. 20/08 - Veículo está aguardando aprovação das peças para envio. 14/08 - Cotação e valores todos formalizado faltando apenas aprovação. 11/08 - Aguardando envio da cotação e possiveís de recuparação. 01/08 - Finalizando a cotação das peças. 31/07 - Carro já com a oficina e está em orçamentação. 28/07 - Aguardando aprovação do Sr. André, para solicitarmos o guincho e levarmos para a FSP.</t>
  </si>
  <si>
    <t>STG9C09</t>
  </si>
  <si>
    <t>RVG0G11</t>
  </si>
  <si>
    <t>JUCINEIA MACUCO INFORMA QUE MANGUEIRA DO VEICULO ESTOUROU E ESTA VAZANDO OLEO NO PROTETOR DE CARTER SOLICITA REMOÇÃO PROTOCOLO GERADO: 2025079152  ENDEREÇO DE ORIGEM  R. Estanislau Boczkovski, 300-442, Antônio Olinto - PR, 83980-000, Brasil  LOCALIZAÇÃO ENDEREÇO DE ORIGEM https://www.google.com/maps/place/25%C2%B059'10.5%22S+50%C2%B012'10.4%22W/@-25.98625,-50.2028889,986m/data=!3m2!1e3!4b1!4m4!3m3!8m2!3d-25.98625!4d-50.2028889?hl=pt-BR&amp;entry=ttu&amp;g_ep=EgoyMDI1MDcyMC4wIKXMDSoASAFQAw%3D%3D  CARLOS ESTA COM VEICULO 47 996037447  JUCINEIA SOLICITANTE (42) 9998-61653  Fiat - FIORINO ENDURANCE EVO 1.4 FLEX 8V 2P</t>
  </si>
  <si>
    <t>Zakrzewski &amp; Cipanski Ltda - Epp (Movida)</t>
  </si>
  <si>
    <t>UEM9D08</t>
  </si>
  <si>
    <t>Arthur</t>
  </si>
  <si>
    <t>UFC2H60</t>
  </si>
  <si>
    <t>Partner Rapid Business Pack 1.4 2P</t>
  </si>
  <si>
    <t>UDL1H28</t>
  </si>
  <si>
    <t>UES5C89</t>
  </si>
  <si>
    <t>UEJ1D08</t>
  </si>
  <si>
    <t>QSZ9I88</t>
  </si>
  <si>
    <t>UDF2D07</t>
  </si>
  <si>
    <t>UFG1I38</t>
  </si>
  <si>
    <t>UGO4F58</t>
  </si>
  <si>
    <t>UGF4F30</t>
  </si>
  <si>
    <t>UDG2A79</t>
  </si>
  <si>
    <t>UDM7I79</t>
  </si>
  <si>
    <t>UES6H09</t>
  </si>
  <si>
    <t>UDG1A28</t>
  </si>
  <si>
    <t>UEY1D74</t>
  </si>
  <si>
    <t>Novo colaborador</t>
  </si>
  <si>
    <t>UGO2I49</t>
  </si>
  <si>
    <t>UEP0I07</t>
  </si>
  <si>
    <t>UGF3J37</t>
  </si>
  <si>
    <t>UGA8B38</t>
  </si>
  <si>
    <t>UFQ0E17</t>
  </si>
  <si>
    <t>UGG9A68</t>
  </si>
  <si>
    <t>RUW5D77</t>
  </si>
  <si>
    <t>SUZ7G58</t>
  </si>
  <si>
    <t>RUW5D98</t>
  </si>
  <si>
    <t>SUX4I99</t>
  </si>
  <si>
    <t>SUR9F09</t>
  </si>
  <si>
    <t>RUW5D84</t>
  </si>
  <si>
    <t>Solicitado via 0800 - 4009398</t>
  </si>
  <si>
    <t>STI4F79</t>
  </si>
  <si>
    <t>SFW0A34</t>
  </si>
  <si>
    <t>SVD8F48</t>
  </si>
  <si>
    <t>SUZ7A69</t>
  </si>
  <si>
    <t>SUR4C90</t>
  </si>
  <si>
    <t>SSX5J28</t>
  </si>
  <si>
    <t>SUH8H48</t>
  </si>
  <si>
    <t>SUT4H27</t>
  </si>
  <si>
    <t>Veículo passou pela oficina apenas para fazer orçamento de pastilha de freio</t>
  </si>
  <si>
    <t>STQ1D28</t>
  </si>
  <si>
    <t>RUO6B20</t>
  </si>
  <si>
    <t>EMS4</t>
  </si>
  <si>
    <t>Conferido pelo BIP - 25/09/2025</t>
  </si>
  <si>
    <t>12/05 enviado email para time de sinistro cobrando a respeito-enviado email em 05/05 cobrando o pagamento para time de sinistro</t>
  </si>
  <si>
    <t>RUM2B63</t>
  </si>
  <si>
    <t>RUO6B50</t>
  </si>
  <si>
    <t>Master Tech</t>
  </si>
  <si>
    <t>c</t>
  </si>
  <si>
    <t>RVQ2D76</t>
  </si>
  <si>
    <t>enviado email com vex 22/10/2025</t>
  </si>
  <si>
    <t>RVD8F81</t>
  </si>
  <si>
    <t>RVD8H69</t>
  </si>
  <si>
    <t>RVE2F23</t>
  </si>
  <si>
    <t>veiculo devolvido 29/07 em araçatuba</t>
  </si>
  <si>
    <t>RVE2F25</t>
  </si>
  <si>
    <t>RVD8G95</t>
  </si>
  <si>
    <t>10/10/25 - veiculo parado em araçatuba esperando desmobilização</t>
  </si>
  <si>
    <t>SVR7G02</t>
  </si>
  <si>
    <t>RUM3C04</t>
  </si>
  <si>
    <t>RUM2B57</t>
  </si>
  <si>
    <t>SFW2C23</t>
  </si>
  <si>
    <t>SFW6D16</t>
  </si>
  <si>
    <t>XPT (UMUARAMA) EPR8/SPR6</t>
  </si>
  <si>
    <t>08/08 falta de motorista</t>
  </si>
  <si>
    <t>SFV0D50</t>
  </si>
  <si>
    <t>SUD0C95</t>
  </si>
  <si>
    <t>EPR8</t>
  </si>
  <si>
    <t>RVG5F60</t>
  </si>
  <si>
    <t>SJU0F78</t>
  </si>
  <si>
    <t>RVG5F61</t>
  </si>
  <si>
    <t>SUT9A00</t>
  </si>
  <si>
    <t>SFW0A31</t>
  </si>
  <si>
    <t>SUG0F28</t>
  </si>
  <si>
    <t>EMG15</t>
  </si>
  <si>
    <t>XPT (VIÇOSA) EMG15/SRJ12</t>
  </si>
  <si>
    <t>COCA COLA</t>
  </si>
  <si>
    <t>DANISE</t>
  </si>
  <si>
    <t>ALAN</t>
  </si>
  <si>
    <t>GHK1J44</t>
  </si>
  <si>
    <t>SGL2D39</t>
  </si>
  <si>
    <t>STI1C79</t>
  </si>
  <si>
    <t>SGH8C18</t>
  </si>
  <si>
    <t>DTD3F21</t>
  </si>
  <si>
    <t>XX COCA COLA  (CD ABC)</t>
  </si>
  <si>
    <t>FELIPE</t>
  </si>
  <si>
    <t>DTD5279</t>
  </si>
  <si>
    <t>FRR0J79</t>
  </si>
  <si>
    <t>FSS4G15</t>
  </si>
  <si>
    <t>FXP0I03</t>
  </si>
  <si>
    <t>FXR6909</t>
  </si>
  <si>
    <t>FZM6G99</t>
  </si>
  <si>
    <t>GAL7C13</t>
  </si>
  <si>
    <t>GCC4H36</t>
  </si>
  <si>
    <t>GCR1H38</t>
  </si>
  <si>
    <t>GDL1B28</t>
  </si>
  <si>
    <t>GEF8A05</t>
  </si>
  <si>
    <t>GFC2I97</t>
  </si>
  <si>
    <t>GFC7H16</t>
  </si>
  <si>
    <t>GJN5C35</t>
  </si>
  <si>
    <t>RTZ4C60</t>
  </si>
  <si>
    <t>RTZ7C02</t>
  </si>
  <si>
    <t>RUC7I42</t>
  </si>
  <si>
    <t>FRY6I14</t>
  </si>
  <si>
    <t>XX COCA COLA (ABC)</t>
  </si>
  <si>
    <t>GCT0D85</t>
  </si>
  <si>
    <t>GKH0I15</t>
  </si>
  <si>
    <t>ACCELO 1316</t>
  </si>
  <si>
    <t>IPIRANGA</t>
  </si>
  <si>
    <t>SJQ0E74</t>
  </si>
  <si>
    <t>DELIVERY 13.180 6x2</t>
  </si>
  <si>
    <t>GreenMile</t>
  </si>
  <si>
    <t>SJQ9A84</t>
  </si>
  <si>
    <t>SJQ3B24</t>
  </si>
  <si>
    <t>SJQ0H62</t>
  </si>
  <si>
    <t>TJG5J58</t>
  </si>
  <si>
    <t>Atego 2429</t>
  </si>
  <si>
    <t>XX COCA COLA (APARECIDA)</t>
  </si>
  <si>
    <t>PEDRO H.</t>
  </si>
  <si>
    <t>TLU3G50</t>
  </si>
  <si>
    <t>TMD2F59</t>
  </si>
  <si>
    <t>TIT2G70</t>
  </si>
  <si>
    <t>TLX2F67</t>
  </si>
  <si>
    <t>Conferido pelo gestor - 23/09/2025</t>
  </si>
  <si>
    <t>TLT2E38</t>
  </si>
  <si>
    <t>TLA0E99</t>
  </si>
  <si>
    <t>Atego 1719</t>
  </si>
  <si>
    <t>TLJ9H08</t>
  </si>
  <si>
    <t>TLW7J19</t>
  </si>
  <si>
    <t>GDC9H54</t>
  </si>
  <si>
    <t>Accelo 1317</t>
  </si>
  <si>
    <t>GAL2G87</t>
  </si>
  <si>
    <t>TIV4J00</t>
  </si>
  <si>
    <t>XX COCA COLA (CRICIUMA)</t>
  </si>
  <si>
    <t>GDO8F91</t>
  </si>
  <si>
    <t>SFE2C99</t>
  </si>
  <si>
    <t>GAP2D57</t>
  </si>
  <si>
    <t>Regiane</t>
  </si>
  <si>
    <t>Diego</t>
  </si>
  <si>
    <t>AVU6B26</t>
  </si>
  <si>
    <t>25 390 CTC 6X2</t>
  </si>
  <si>
    <t>CARRETA</t>
  </si>
  <si>
    <t>GAG4E38</t>
  </si>
  <si>
    <t>17.190 CRM 4X2 4P</t>
  </si>
  <si>
    <t>TOCO</t>
  </si>
  <si>
    <t>GAW3J83</t>
  </si>
  <si>
    <t>ATEGO 2426</t>
  </si>
  <si>
    <t>GBQ6E23</t>
  </si>
  <si>
    <t>GBX5I14</t>
  </si>
  <si>
    <t>24.280 CRM 6X2</t>
  </si>
  <si>
    <t>GDH0H65</t>
  </si>
  <si>
    <t>13.180 DRC 6X2</t>
  </si>
  <si>
    <t>GDQ3H45</t>
  </si>
  <si>
    <t>GEF2C97</t>
  </si>
  <si>
    <t>GGU4C38</t>
  </si>
  <si>
    <t>GIA1D38</t>
  </si>
  <si>
    <t>GIQ2E94</t>
  </si>
  <si>
    <t>GKB4E54</t>
  </si>
  <si>
    <t>GKG6D57</t>
  </si>
  <si>
    <t>GDI9C34</t>
  </si>
  <si>
    <t>XX COCA COLA (IPATINGA)</t>
  </si>
  <si>
    <t>CLARISTON</t>
  </si>
  <si>
    <t>RUF9E69</t>
  </si>
  <si>
    <t>Harley</t>
  </si>
  <si>
    <t>GDH0B83</t>
  </si>
  <si>
    <t>SJQ5C76</t>
  </si>
  <si>
    <t>SJQ6B02</t>
  </si>
  <si>
    <t>SJQ2F14</t>
  </si>
  <si>
    <t>TMD8B98</t>
  </si>
  <si>
    <t>TKC8H49</t>
  </si>
  <si>
    <t>GIG2J16</t>
  </si>
  <si>
    <t>CONSTELLATION 17.190</t>
  </si>
  <si>
    <t>GBB8I63</t>
  </si>
  <si>
    <t>GEV0I07</t>
  </si>
  <si>
    <t>GAQ6B25</t>
  </si>
  <si>
    <t>GCQ2I17</t>
  </si>
  <si>
    <t>GDZ9G21</t>
  </si>
  <si>
    <t>GCH8F13</t>
  </si>
  <si>
    <t>GDU8E83</t>
  </si>
  <si>
    <t>GAI0B48</t>
  </si>
  <si>
    <t>Cleristo</t>
  </si>
  <si>
    <t>ANGELO</t>
  </si>
  <si>
    <t>GAQ4C37</t>
  </si>
  <si>
    <t>GAX5J68</t>
  </si>
  <si>
    <t>GBG9B54</t>
  </si>
  <si>
    <t>GBY9A46</t>
  </si>
  <si>
    <t>GCM8A54</t>
  </si>
  <si>
    <t>GCO0F14</t>
  </si>
  <si>
    <t>GEL1H63</t>
  </si>
  <si>
    <t>GEP2D64</t>
  </si>
  <si>
    <t>GFI7C15</t>
  </si>
  <si>
    <t>GIU4I37</t>
  </si>
  <si>
    <t>GJY8D53</t>
  </si>
  <si>
    <t>HBZ8C79</t>
  </si>
  <si>
    <t>OPW9J79</t>
  </si>
  <si>
    <t>TJQ7H28</t>
  </si>
  <si>
    <t>XX COCA COLA (JURUBATUBA)</t>
  </si>
  <si>
    <t>CLAÚDIO</t>
  </si>
  <si>
    <t>TKB9I09</t>
  </si>
  <si>
    <t>GED0I53</t>
  </si>
  <si>
    <t>TIR5C88</t>
  </si>
  <si>
    <t>XX COCA COLA (MARIANA)</t>
  </si>
  <si>
    <t>LEONIE</t>
  </si>
  <si>
    <t>CLERISTON</t>
  </si>
  <si>
    <t>TIT5E08</t>
  </si>
  <si>
    <t>TJB7A67</t>
  </si>
  <si>
    <t>TKC0E37</t>
  </si>
  <si>
    <t>TKK9J38</t>
  </si>
  <si>
    <t>TLM3C68</t>
  </si>
  <si>
    <t>TLO9H58</t>
  </si>
  <si>
    <t>TKA0J88</t>
  </si>
  <si>
    <t>TLA2J30</t>
  </si>
  <si>
    <t>TLL9D68</t>
  </si>
  <si>
    <t>TJW9G60</t>
  </si>
  <si>
    <t>TKM8C40</t>
  </si>
  <si>
    <t>TLS7I19</t>
  </si>
  <si>
    <t>TIS2I08</t>
  </si>
  <si>
    <t>TKF8H88</t>
  </si>
  <si>
    <t>SUR9C50</t>
  </si>
  <si>
    <t>FQI0F97</t>
  </si>
  <si>
    <t>BH</t>
  </si>
  <si>
    <t>XX COCA COLA (MINI BODEGA BH)</t>
  </si>
  <si>
    <t>GAZ2I77</t>
  </si>
  <si>
    <t>GBL5E47</t>
  </si>
  <si>
    <t>GFQ0A53</t>
  </si>
  <si>
    <t>GGP4C27</t>
  </si>
  <si>
    <t>GJZ7I35</t>
  </si>
  <si>
    <t>BXE1996</t>
  </si>
  <si>
    <t>XX COCA COLA (OSASCO)</t>
  </si>
  <si>
    <t>DPC4G50</t>
  </si>
  <si>
    <t>ECU4878</t>
  </si>
  <si>
    <t>EHR4131</t>
  </si>
  <si>
    <t>EJE4149</t>
  </si>
  <si>
    <t>EJX1G94</t>
  </si>
  <si>
    <t>EKU2740</t>
  </si>
  <si>
    <t>ELK5669</t>
  </si>
  <si>
    <t>EQH3050</t>
  </si>
  <si>
    <t>EXM7869</t>
  </si>
  <si>
    <t>EZU1383</t>
  </si>
  <si>
    <t>FFD2066</t>
  </si>
  <si>
    <t>FMS0415</t>
  </si>
  <si>
    <t>FQE3362</t>
  </si>
  <si>
    <t>FQI8704</t>
  </si>
  <si>
    <t>FRE7B62</t>
  </si>
  <si>
    <t>FUU2G71</t>
  </si>
  <si>
    <t>FWQ7402</t>
  </si>
  <si>
    <t>FWS0G69</t>
  </si>
  <si>
    <t>FXV3742</t>
  </si>
  <si>
    <t>GAE1G05</t>
  </si>
  <si>
    <t>GAT5D87</t>
  </si>
  <si>
    <t>GAV1B83</t>
  </si>
  <si>
    <t>GCB3A87</t>
  </si>
  <si>
    <t>GCX1J03</t>
  </si>
  <si>
    <t>GDF8I21</t>
  </si>
  <si>
    <t>GFY3C85</t>
  </si>
  <si>
    <t>GGU0F77</t>
  </si>
  <si>
    <t>GGY5F84</t>
  </si>
  <si>
    <t>GIW6A15</t>
  </si>
  <si>
    <t>GJQ6J28</t>
  </si>
  <si>
    <t>OWN2564</t>
  </si>
  <si>
    <t>TLQ6C88</t>
  </si>
  <si>
    <t>XX COCA COLA (PINHEIROS)</t>
  </si>
  <si>
    <t>JULIA</t>
  </si>
  <si>
    <t>ICARO</t>
  </si>
  <si>
    <t>TKS9E99</t>
  </si>
  <si>
    <t>XX COCA COLA (PONTE NOVA)</t>
  </si>
  <si>
    <t>FUG8I23</t>
  </si>
  <si>
    <t>GCX8G49</t>
  </si>
  <si>
    <t>GDN0H88</t>
  </si>
  <si>
    <t>GJF8F83</t>
  </si>
  <si>
    <t>GJM3J36</t>
  </si>
  <si>
    <t>SUJ9B58</t>
  </si>
  <si>
    <t>XX COCA COLA (PQ Novo Mundo)</t>
  </si>
  <si>
    <t>ITALO</t>
  </si>
  <si>
    <t>GIP9965</t>
  </si>
  <si>
    <t>DKK0615</t>
  </si>
  <si>
    <t>DKK9I44</t>
  </si>
  <si>
    <t>ECA6489</t>
  </si>
  <si>
    <t>EEB5356</t>
  </si>
  <si>
    <t>EJN7A26</t>
  </si>
  <si>
    <t>EKD5G42</t>
  </si>
  <si>
    <t>EMU9227</t>
  </si>
  <si>
    <t>EON1531</t>
  </si>
  <si>
    <t>EPA2597</t>
  </si>
  <si>
    <t>EPC1008</t>
  </si>
  <si>
    <t>EQQ6420</t>
  </si>
  <si>
    <t>EWJ7393</t>
  </si>
  <si>
    <t>EZY7902</t>
  </si>
  <si>
    <t>FBQ2481</t>
  </si>
  <si>
    <t>FBV7176</t>
  </si>
  <si>
    <t>FDI1491</t>
  </si>
  <si>
    <t>FFB2362</t>
  </si>
  <si>
    <t>FFK5322</t>
  </si>
  <si>
    <t>FFW3832</t>
  </si>
  <si>
    <t>FGU5844</t>
  </si>
  <si>
    <t>FOU7233</t>
  </si>
  <si>
    <t>FPM8D95</t>
  </si>
  <si>
    <t>FPY7155</t>
  </si>
  <si>
    <t>FQM7D47</t>
  </si>
  <si>
    <t>FRD4914</t>
  </si>
  <si>
    <t>FRR9712</t>
  </si>
  <si>
    <t>FSS0633</t>
  </si>
  <si>
    <t>FTK3491</t>
  </si>
  <si>
    <t>FVQ2210</t>
  </si>
  <si>
    <t>FWI9B57</t>
  </si>
  <si>
    <t>FWY5C49</t>
  </si>
  <si>
    <t>FZT7I15</t>
  </si>
  <si>
    <t>GAC1529</t>
  </si>
  <si>
    <t>GAC2F03</t>
  </si>
  <si>
    <t>GAF3902</t>
  </si>
  <si>
    <t>GBC1A05</t>
  </si>
  <si>
    <t>GBL3E31</t>
  </si>
  <si>
    <t>GBV0E36</t>
  </si>
  <si>
    <t>GDE5J27</t>
  </si>
  <si>
    <t>GDO0B74</t>
  </si>
  <si>
    <t>GED2J13</t>
  </si>
  <si>
    <t>GFC6I35</t>
  </si>
  <si>
    <t>GFJ3H03</t>
  </si>
  <si>
    <t>GGJ7E76</t>
  </si>
  <si>
    <t>GGK0B04</t>
  </si>
  <si>
    <t>GGL8F93</t>
  </si>
  <si>
    <t>GIZ5B06</t>
  </si>
  <si>
    <t>GJV4I78</t>
  </si>
  <si>
    <t>GKI9H48</t>
  </si>
  <si>
    <t>MQN6733</t>
  </si>
  <si>
    <t>GEB8E73</t>
  </si>
  <si>
    <t>XX COCA COLA SANTOS</t>
  </si>
  <si>
    <t>GCX9G65</t>
  </si>
  <si>
    <t>CLAVERSTON</t>
  </si>
  <si>
    <t>SUY5B68</t>
  </si>
  <si>
    <t>SDQ2C03</t>
  </si>
  <si>
    <t>SC (FLORIANOPOLIS) SSC2</t>
  </si>
  <si>
    <t>RVE7C04</t>
  </si>
  <si>
    <t>SGL4D21</t>
  </si>
  <si>
    <t>RUZ8A40</t>
  </si>
  <si>
    <t>motor</t>
  </si>
  <si>
    <t>vegas truck</t>
  </si>
  <si>
    <t>RNB5I46</t>
  </si>
  <si>
    <t>modulo</t>
  </si>
  <si>
    <t>SGF9B39</t>
  </si>
  <si>
    <t>PXN4H29</t>
  </si>
  <si>
    <t>disponibilizado para base 17/10</t>
  </si>
  <si>
    <t>TEJ1J72</t>
  </si>
  <si>
    <t>UGB2D07</t>
  </si>
  <si>
    <t>TIV8G15</t>
  </si>
  <si>
    <t>SGL4D14</t>
  </si>
  <si>
    <t>RFV4G68</t>
  </si>
  <si>
    <t>SGL4D16</t>
  </si>
  <si>
    <t>TOE2C57</t>
  </si>
  <si>
    <t>IUM0320</t>
  </si>
  <si>
    <t>sinistro</t>
  </si>
  <si>
    <t>UGG5I88</t>
  </si>
  <si>
    <t>EIO6H69</t>
  </si>
  <si>
    <t>UEW6F87</t>
  </si>
  <si>
    <t>UDI8C37</t>
  </si>
  <si>
    <t>UEW9B34</t>
  </si>
  <si>
    <t>UEY6C67</t>
  </si>
  <si>
    <t>UDI6A45</t>
  </si>
  <si>
    <t>UDG3A45</t>
  </si>
  <si>
    <t>UFU4A96</t>
  </si>
  <si>
    <t>UDQ0D66</t>
  </si>
  <si>
    <t>UEW8C55</t>
  </si>
  <si>
    <t>UEV4B14</t>
  </si>
  <si>
    <t>UFI7C36</t>
  </si>
  <si>
    <t>UFA6E04</t>
  </si>
  <si>
    <t>I/Foton Ewonder Chassi</t>
  </si>
  <si>
    <t>FTH0F61</t>
  </si>
  <si>
    <t>QSZ0H06</t>
  </si>
  <si>
    <t>RTM6B66</t>
  </si>
  <si>
    <t>SGI8H24</t>
  </si>
  <si>
    <t>TOE7D22</t>
  </si>
  <si>
    <t>MM4</t>
  </si>
  <si>
    <t>TOE7C92</t>
  </si>
  <si>
    <t>TOE7D28</t>
  </si>
  <si>
    <t>TOE7D08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</si>
</sst>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Segoe UI"/>
      <family val="2"/>
    </font>
    <font>
      <u/>
      <sz val="10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Segoe UI"/>
      <family val="2"/>
    </font>
    <font>
      <sz val="10"/>
      <color rgb="FF000000"/>
      <name val="Segoe UI"/>
      <family val="2"/>
    </font>
    <font>
      <sz val="11"/>
      <color rgb="FF000000"/>
      <name val="Aptos Narrow"/>
      <family val="2"/>
    </font>
    <font>
      <sz val="10"/>
      <name val="Arial"/>
      <family val="2"/>
    </font>
    <font>
      <sz val="11"/>
      <name val="Arial"/>
      <family val="2"/>
    </font>
    <font>
      <sz val="11"/>
      <name val="Segoe U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9"/>
      <color theme="1"/>
      <name val="Localiza"/>
      <charset val="1"/>
    </font>
    <font>
      <sz val="10"/>
      <color rgb="FF000000"/>
      <name val="Arial"/>
      <family val="2"/>
    </font>
    <font>
      <sz val="10"/>
      <color theme="1"/>
      <name val="Localiza"/>
      <charset val="1"/>
    </font>
    <font>
      <sz val="9"/>
      <name val="Segoe UI"/>
      <family val="2"/>
    </font>
    <font>
      <sz val="12"/>
      <name val="Arial"/>
      <family val="2"/>
    </font>
    <font>
      <sz val="11"/>
      <name val="Aptos Narrow"/>
      <family val="2"/>
      <scheme val="minor"/>
    </font>
    <font>
      <sz val="8"/>
      <color rgb="FF000000"/>
      <name val="Calibri"/>
      <family val="2"/>
    </font>
    <font>
      <sz val="11"/>
      <name val="Aptos Display"/>
      <family val="2"/>
      <scheme val="major"/>
    </font>
    <font>
      <sz val="10"/>
      <name val="Aptos Display"/>
      <family val="2"/>
      <scheme val="major"/>
    </font>
    <font>
      <sz val="10"/>
      <color rgb="FF000000"/>
      <name val="Calibri"/>
      <family val="2"/>
    </font>
    <font>
      <sz val="10"/>
      <color rgb="FF000000"/>
      <name val="Segoe UI"/>
      <family val="2"/>
      <charset val="1"/>
    </font>
    <font>
      <sz val="11"/>
      <color theme="1"/>
      <name val="Calibri"/>
      <family val="2"/>
    </font>
    <font>
      <b/>
      <sz val="11"/>
      <color rgb="FFFF0000"/>
      <name val="Arial"/>
      <family val="2"/>
    </font>
    <font>
      <sz val="10"/>
      <color rgb="FF002060"/>
      <name val="Segoe UI"/>
      <family val="2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Aptos Narrow"/>
      <family val="2"/>
    </font>
    <font>
      <sz val="10"/>
      <color rgb="FFFF0000"/>
      <name val="Segoe UI"/>
      <family val="2"/>
    </font>
    <font>
      <b/>
      <sz val="10"/>
      <color rgb="FF000000"/>
      <name val="Arial"/>
    </font>
    <font>
      <sz val="10"/>
      <color rgb="FF000000"/>
      <name val="Arial"/>
    </font>
    <font>
      <i/>
      <sz val="1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01B8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1B8AA"/>
      </left>
      <right/>
      <top style="thin">
        <color rgb="FF01B8AA"/>
      </top>
      <bottom/>
      <diagonal/>
    </border>
    <border>
      <left/>
      <right/>
      <top style="thin">
        <color rgb="FF01B8AA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1B8AA"/>
      </right>
      <top style="thin">
        <color rgb="FF01B8AA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4472C4"/>
      </left>
      <right/>
      <top style="thin">
        <color rgb="FF4472C4"/>
      </top>
      <bottom/>
      <diagonal/>
    </border>
  </borders>
  <cellStyleXfs count="2">
    <xf numFmtId="0" fontId="0" fillId="0" borderId="0"/>
    <xf numFmtId="0" fontId="1" fillId="0" borderId="0"/>
  </cellStyleXfs>
  <cellXfs count="220">
    <xf numFmtId="0" fontId="0" fillId="0" borderId="0" xfId="0"/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4" fontId="10" fillId="6" borderId="0" xfId="0" applyNumberFormat="1" applyFont="1" applyFill="1" applyAlignment="1">
      <alignment horizontal="center" vertical="center"/>
    </xf>
    <xf numFmtId="14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4" borderId="2" xfId="0" applyNumberFormat="1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/>
    </xf>
    <xf numFmtId="14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4" borderId="2" xfId="0" applyFont="1" applyFill="1" applyBorder="1"/>
    <xf numFmtId="0" fontId="6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4" fontId="7" fillId="6" borderId="0" xfId="0" applyNumberFormat="1" applyFont="1" applyFill="1" applyAlignment="1">
      <alignment horizontal="left" vertical="center"/>
    </xf>
    <xf numFmtId="14" fontId="6" fillId="4" borderId="3" xfId="0" applyNumberFormat="1" applyFont="1" applyFill="1" applyBorder="1" applyAlignment="1">
      <alignment horizontal="left" vertical="center"/>
    </xf>
    <xf numFmtId="14" fontId="8" fillId="4" borderId="0" xfId="0" applyNumberFormat="1" applyFont="1" applyFill="1" applyAlignment="1">
      <alignment horizontal="left"/>
    </xf>
    <xf numFmtId="0" fontId="7" fillId="7" borderId="0" xfId="0" applyFont="1" applyFill="1"/>
    <xf numFmtId="0" fontId="6" fillId="6" borderId="0" xfId="0" applyFont="1" applyFill="1" applyAlignment="1">
      <alignment horizontal="left" vertical="center"/>
    </xf>
    <xf numFmtId="0" fontId="7" fillId="7" borderId="2" xfId="0" applyFont="1" applyFill="1" applyBorder="1"/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4" fillId="0" borderId="0" xfId="0" applyNumberFormat="1" applyFont="1"/>
    <xf numFmtId="14" fontId="7" fillId="4" borderId="0" xfId="0" applyNumberFormat="1" applyFont="1" applyFill="1" applyAlignment="1">
      <alignment horizontal="left" vertical="center"/>
    </xf>
    <xf numFmtId="0" fontId="15" fillId="0" borderId="0" xfId="0" applyFont="1"/>
    <xf numFmtId="14" fontId="16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0" fillId="4" borderId="0" xfId="0" applyFill="1"/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2" fillId="8" borderId="0" xfId="0" applyFont="1" applyFill="1"/>
    <xf numFmtId="14" fontId="6" fillId="4" borderId="7" xfId="0" applyNumberFormat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14" fontId="8" fillId="4" borderId="7" xfId="0" applyNumberFormat="1" applyFont="1" applyFill="1" applyBorder="1" applyAlignment="1">
      <alignment horizontal="left"/>
    </xf>
    <xf numFmtId="14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14" fontId="8" fillId="4" borderId="6" xfId="0" applyNumberFormat="1" applyFont="1" applyFill="1" applyBorder="1" applyAlignment="1">
      <alignment horizontal="left"/>
    </xf>
    <xf numFmtId="14" fontId="18" fillId="0" borderId="0" xfId="0" applyNumberFormat="1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" fontId="9" fillId="0" borderId="0" xfId="0" applyNumberFormat="1" applyFont="1" applyAlignment="1">
      <alignment horizontal="center" vertical="center"/>
    </xf>
    <xf numFmtId="14" fontId="13" fillId="6" borderId="0" xfId="0" applyNumberFormat="1" applyFont="1" applyFill="1" applyAlignment="1">
      <alignment horizontal="center" vertical="center"/>
    </xf>
    <xf numFmtId="14" fontId="6" fillId="4" borderId="8" xfId="0" applyNumberFormat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top"/>
    </xf>
    <xf numFmtId="0" fontId="8" fillId="4" borderId="7" xfId="0" applyFont="1" applyFill="1" applyBorder="1" applyAlignment="1">
      <alignment horizontal="left"/>
    </xf>
    <xf numFmtId="0" fontId="12" fillId="4" borderId="0" xfId="0" applyFont="1" applyFill="1"/>
    <xf numFmtId="14" fontId="9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14" fontId="10" fillId="6" borderId="2" xfId="0" applyNumberFormat="1" applyFont="1" applyFill="1" applyBorder="1" applyAlignment="1">
      <alignment horizontal="center" vertical="center"/>
    </xf>
    <xf numFmtId="14" fontId="6" fillId="9" borderId="0" xfId="0" applyNumberFormat="1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/>
    </xf>
    <xf numFmtId="0" fontId="1" fillId="4" borderId="0" xfId="1" applyFill="1" applyAlignment="1">
      <alignment horizontal="left"/>
    </xf>
    <xf numFmtId="0" fontId="9" fillId="0" borderId="9" xfId="0" applyFont="1" applyBorder="1" applyAlignment="1">
      <alignment horizontal="center" vertical="center"/>
    </xf>
    <xf numFmtId="0" fontId="16" fillId="0" borderId="0" xfId="0" applyFont="1"/>
    <xf numFmtId="0" fontId="20" fillId="0" borderId="0" xfId="0" applyFont="1"/>
    <xf numFmtId="14" fontId="19" fillId="0" borderId="0" xfId="0" applyNumberFormat="1" applyFont="1" applyAlignment="1">
      <alignment horizontal="center" vertical="center"/>
    </xf>
    <xf numFmtId="14" fontId="21" fillId="6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4" borderId="0" xfId="0" applyFill="1" applyAlignment="1">
      <alignment horizontal="left"/>
    </xf>
    <xf numFmtId="14" fontId="16" fillId="0" borderId="0" xfId="0" applyNumberFormat="1" applyFont="1" applyAlignment="1">
      <alignment horizontal="left"/>
    </xf>
    <xf numFmtId="0" fontId="0" fillId="4" borderId="2" xfId="0" applyFill="1" applyBorder="1" applyAlignment="1">
      <alignment horizontal="left"/>
    </xf>
    <xf numFmtId="14" fontId="7" fillId="5" borderId="2" xfId="0" applyNumberFormat="1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23" fillId="0" borderId="0" xfId="0" applyFont="1"/>
    <xf numFmtId="14" fontId="24" fillId="0" borderId="0" xfId="0" applyNumberFormat="1" applyFont="1"/>
    <xf numFmtId="0" fontId="9" fillId="6" borderId="0" xfId="0" applyFont="1" applyFill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14" fontId="6" fillId="4" borderId="9" xfId="0" applyNumberFormat="1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/>
    </xf>
    <xf numFmtId="0" fontId="8" fillId="4" borderId="0" xfId="0" applyFont="1" applyFill="1"/>
    <xf numFmtId="0" fontId="14" fillId="0" borderId="0" xfId="0" applyFont="1"/>
    <xf numFmtId="0" fontId="25" fillId="4" borderId="0" xfId="0" applyFont="1" applyFill="1"/>
    <xf numFmtId="0" fontId="6" fillId="7" borderId="0" xfId="0" applyFont="1" applyFill="1"/>
    <xf numFmtId="14" fontId="26" fillId="0" borderId="0" xfId="0" applyNumberFormat="1" applyFont="1" applyAlignment="1">
      <alignment horizontal="center" vertical="center"/>
    </xf>
    <xf numFmtId="14" fontId="26" fillId="6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6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6" fillId="10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4" borderId="2" xfId="0" applyFont="1" applyFill="1" applyBorder="1" applyAlignment="1">
      <alignment horizontal="left" vertical="top"/>
    </xf>
    <xf numFmtId="0" fontId="6" fillId="4" borderId="8" xfId="0" applyFont="1" applyFill="1" applyBorder="1" applyAlignment="1">
      <alignment horizontal="left" vertical="center"/>
    </xf>
    <xf numFmtId="14" fontId="10" fillId="0" borderId="2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6" fillId="4" borderId="7" xfId="0" applyFont="1" applyFill="1" applyBorder="1" applyAlignment="1">
      <alignment horizontal="left" vertical="center"/>
    </xf>
    <xf numFmtId="14" fontId="29" fillId="4" borderId="0" xfId="0" applyNumberFormat="1" applyFont="1" applyFill="1" applyAlignment="1">
      <alignment horizontal="left" vertical="center"/>
    </xf>
    <xf numFmtId="14" fontId="6" fillId="4" borderId="0" xfId="0" quotePrefix="1" applyNumberFormat="1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17" fillId="4" borderId="0" xfId="0" applyNumberFormat="1" applyFont="1" applyFill="1" applyAlignment="1">
      <alignment horizontal="left" vertical="center"/>
    </xf>
    <xf numFmtId="0" fontId="27" fillId="4" borderId="0" xfId="0" applyFont="1" applyFill="1"/>
    <xf numFmtId="14" fontId="27" fillId="4" borderId="0" xfId="0" applyNumberFormat="1" applyFont="1" applyFill="1" applyAlignment="1">
      <alignment horizontal="left" vertical="center"/>
    </xf>
    <xf numFmtId="14" fontId="10" fillId="6" borderId="7" xfId="0" applyNumberFormat="1" applyFont="1" applyFill="1" applyBorder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4" fontId="14" fillId="11" borderId="0" xfId="0" applyNumberFormat="1" applyFont="1" applyFill="1"/>
    <xf numFmtId="0" fontId="7" fillId="5" borderId="0" xfId="0" quotePrefix="1" applyFont="1" applyFill="1" applyAlignment="1">
      <alignment horizontal="left" vertical="center"/>
    </xf>
    <xf numFmtId="0" fontId="30" fillId="4" borderId="0" xfId="0" applyFont="1" applyFill="1" applyAlignment="1">
      <alignment horizontal="left"/>
    </xf>
    <xf numFmtId="0" fontId="4" fillId="4" borderId="0" xfId="0" applyFont="1" applyFill="1"/>
    <xf numFmtId="14" fontId="12" fillId="0" borderId="0" xfId="0" applyNumberFormat="1" applyFont="1" applyAlignment="1">
      <alignment horizontal="center"/>
    </xf>
    <xf numFmtId="0" fontId="31" fillId="0" borderId="0" xfId="0" applyFont="1" applyAlignment="1">
      <alignment horizontal="left" vertical="center"/>
    </xf>
    <xf numFmtId="14" fontId="31" fillId="0" borderId="0" xfId="0" applyNumberFormat="1" applyFont="1" applyAlignment="1">
      <alignment horizontal="left" vertical="center"/>
    </xf>
    <xf numFmtId="14" fontId="6" fillId="7" borderId="0" xfId="0" applyNumberFormat="1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0" fillId="4" borderId="7" xfId="0" applyFill="1" applyBorder="1"/>
    <xf numFmtId="14" fontId="34" fillId="4" borderId="0" xfId="0" applyNumberFormat="1" applyFont="1" applyFill="1" applyAlignment="1">
      <alignment horizontal="left" vertical="center"/>
    </xf>
    <xf numFmtId="0" fontId="0" fillId="6" borderId="0" xfId="0" applyFill="1" applyAlignment="1">
      <alignment horizontal="center"/>
    </xf>
    <xf numFmtId="0" fontId="13" fillId="0" borderId="0" xfId="0" applyFont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7" borderId="8" xfId="0" applyFont="1" applyFill="1" applyBorder="1"/>
    <xf numFmtId="14" fontId="0" fillId="0" borderId="0" xfId="0" applyNumberFormat="1" applyAlignment="1">
      <alignment horizontal="center"/>
    </xf>
    <xf numFmtId="14" fontId="6" fillId="4" borderId="11" xfId="0" applyNumberFormat="1" applyFont="1" applyFill="1" applyBorder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24" fillId="12" borderId="0" xfId="0" applyFont="1" applyFill="1"/>
    <xf numFmtId="0" fontId="6" fillId="4" borderId="9" xfId="0" applyFont="1" applyFill="1" applyBorder="1" applyAlignment="1">
      <alignment horizontal="left" vertical="center"/>
    </xf>
    <xf numFmtId="14" fontId="6" fillId="0" borderId="9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14" fontId="6" fillId="4" borderId="13" xfId="0" applyNumberFormat="1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/>
    </xf>
    <xf numFmtId="14" fontId="21" fillId="6" borderId="7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1" fillId="4" borderId="2" xfId="1" applyFill="1" applyBorder="1" applyAlignment="1">
      <alignment horizontal="left"/>
    </xf>
    <xf numFmtId="0" fontId="12" fillId="6" borderId="0" xfId="0" applyFont="1" applyFill="1" applyAlignment="1">
      <alignment horizontal="center"/>
    </xf>
    <xf numFmtId="14" fontId="6" fillId="4" borderId="15" xfId="0" applyNumberFormat="1" applyFont="1" applyFill="1" applyBorder="1" applyAlignment="1">
      <alignment horizontal="left" vertical="center"/>
    </xf>
    <xf numFmtId="0" fontId="12" fillId="7" borderId="0" xfId="0" applyFont="1" applyFill="1"/>
    <xf numFmtId="0" fontId="12" fillId="7" borderId="0" xfId="0" applyFont="1" applyFill="1" applyAlignment="1">
      <alignment horizontal="left"/>
    </xf>
    <xf numFmtId="0" fontId="8" fillId="9" borderId="2" xfId="0" applyFont="1" applyFill="1" applyBorder="1" applyAlignment="1">
      <alignment horizontal="left"/>
    </xf>
    <xf numFmtId="14" fontId="6" fillId="4" borderId="16" xfId="0" applyNumberFormat="1" applyFont="1" applyFill="1" applyBorder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6" fillId="7" borderId="9" xfId="0" applyFont="1" applyFill="1" applyBorder="1"/>
    <xf numFmtId="0" fontId="7" fillId="7" borderId="9" xfId="0" applyFont="1" applyFill="1" applyBorder="1"/>
    <xf numFmtId="0" fontId="8" fillId="7" borderId="9" xfId="0" applyFont="1" applyFill="1" applyBorder="1"/>
    <xf numFmtId="0" fontId="6" fillId="0" borderId="9" xfId="0" applyFont="1" applyBorder="1"/>
    <xf numFmtId="14" fontId="7" fillId="14" borderId="9" xfId="0" applyNumberFormat="1" applyFont="1" applyFill="1" applyBorder="1"/>
    <xf numFmtId="0" fontId="7" fillId="14" borderId="9" xfId="0" applyFont="1" applyFill="1" applyBorder="1"/>
    <xf numFmtId="0" fontId="6" fillId="7" borderId="2" xfId="0" applyFont="1" applyFill="1" applyBorder="1"/>
    <xf numFmtId="0" fontId="8" fillId="7" borderId="2" xfId="0" applyFont="1" applyFill="1" applyBorder="1"/>
    <xf numFmtId="0" fontId="12" fillId="0" borderId="2" xfId="0" applyFont="1" applyBorder="1" applyAlignment="1">
      <alignment horizontal="center"/>
    </xf>
    <xf numFmtId="0" fontId="7" fillId="15" borderId="9" xfId="0" applyFont="1" applyFill="1" applyBorder="1"/>
    <xf numFmtId="0" fontId="7" fillId="0" borderId="9" xfId="0" applyFont="1" applyBorder="1"/>
    <xf numFmtId="0" fontId="9" fillId="0" borderId="9" xfId="0" applyFont="1" applyBorder="1"/>
    <xf numFmtId="0" fontId="18" fillId="0" borderId="9" xfId="0" applyFont="1" applyBorder="1"/>
    <xf numFmtId="0" fontId="10" fillId="15" borderId="9" xfId="0" applyFont="1" applyFill="1" applyBorder="1"/>
    <xf numFmtId="0" fontId="29" fillId="0" borderId="9" xfId="0" applyFont="1" applyBorder="1"/>
    <xf numFmtId="14" fontId="6" fillId="0" borderId="9" xfId="0" applyNumberFormat="1" applyFont="1" applyBorder="1"/>
    <xf numFmtId="0" fontId="6" fillId="0" borderId="12" xfId="0" applyFont="1" applyBorder="1"/>
    <xf numFmtId="0" fontId="21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4" fontId="7" fillId="5" borderId="9" xfId="0" applyNumberFormat="1" applyFont="1" applyFill="1" applyBorder="1" applyAlignment="1">
      <alignment horizontal="left" vertical="center"/>
    </xf>
    <xf numFmtId="1" fontId="6" fillId="5" borderId="9" xfId="0" applyNumberFormat="1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/>
    </xf>
    <xf numFmtId="14" fontId="6" fillId="0" borderId="9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" fontId="6" fillId="5" borderId="0" xfId="0" applyNumberFormat="1" applyFont="1" applyFill="1" applyAlignment="1">
      <alignment horizontal="left" vertical="center"/>
    </xf>
  </cellXfs>
  <cellStyles count="2">
    <cellStyle name="Normal" xfId="0" builtinId="0"/>
    <cellStyle name="Normal 4" xfId="1" xr:uid="{0748732F-63D2-4F85-AFC3-26EFBD55E8DA}"/>
  </cellStyles>
  <dxfs count="110"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rial"/>
        <family val="2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rgb="FF000000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9" formatCode="dd/mm/yyyy"/>
      <fill>
        <patternFill patternType="none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rgb="FF000000"/>
      </font>
      <numFmt numFmtId="0" formatCode="General"/>
      <fill>
        <patternFill patternType="none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34\AppData\Local\Microsoft\Windows\INetCache\IE\2B1HRCPL\Indicador%20de%20Manuten&#231;&#227;o%5b1%5d.xlsx" TargetMode="External"/><Relationship Id="rId1" Type="http://schemas.openxmlformats.org/officeDocument/2006/relationships/externalLinkPath" Target="file:///C:\Users\1034\AppData\Local\Microsoft\Windows\INetCache\IE\2B1HRCPL\Indicador%20de%20Manuten&#231;&#227;o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ças"/>
      <sheetName val="Dados"/>
      <sheetName val="Liberado"/>
      <sheetName val="Geral Frota Antiga "/>
      <sheetName val="Base Cadastro "/>
      <sheetName val="Base ML"/>
      <sheetName val="BIP"/>
      <sheetName val="Detalhes2"/>
      <sheetName val="Dinamicas"/>
      <sheetName val="Dashboards"/>
      <sheetName val="Relação geral desmob."/>
      <sheetName val="Planilha1"/>
      <sheetName val="Detalhes1"/>
      <sheetName val="Utilização VEC"/>
      <sheetName val="DDS"/>
      <sheetName val="Lista"/>
      <sheetName val="base veec18.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Placa</v>
          </cell>
          <cell r="B1" t="str">
            <v xml:space="preserve">ML </v>
          </cell>
          <cell r="C1" t="str">
            <v>DDS</v>
          </cell>
          <cell r="D1" t="str">
            <v>BASE RESERVA</v>
          </cell>
          <cell r="E1" t="str">
            <v>ULTIMO</v>
          </cell>
        </row>
        <row r="2">
          <cell r="A2" t="str">
            <v>SFG8G13</v>
          </cell>
          <cell r="B2">
            <v>45989</v>
          </cell>
          <cell r="C2">
            <v>45989</v>
          </cell>
          <cell r="D2" t="str">
            <v/>
          </cell>
          <cell r="E2">
            <v>45989</v>
          </cell>
        </row>
        <row r="3">
          <cell r="A3" t="str">
            <v>SUE2A75</v>
          </cell>
          <cell r="B3" t="str">
            <v xml:space="preserve"> </v>
          </cell>
          <cell r="C3" t="str">
            <v/>
          </cell>
          <cell r="D3" t="str">
            <v/>
          </cell>
          <cell r="E3">
            <v>0</v>
          </cell>
        </row>
        <row r="4">
          <cell r="A4" t="str">
            <v>SWL1C23</v>
          </cell>
          <cell r="B4">
            <v>45989</v>
          </cell>
          <cell r="C4">
            <v>45989</v>
          </cell>
          <cell r="D4" t="str">
            <v/>
          </cell>
          <cell r="E4">
            <v>45989</v>
          </cell>
        </row>
        <row r="5">
          <cell r="A5" t="str">
            <v>SWK5H31</v>
          </cell>
          <cell r="B5">
            <v>45989</v>
          </cell>
          <cell r="C5">
            <v>45989</v>
          </cell>
          <cell r="D5" t="str">
            <v/>
          </cell>
          <cell r="E5">
            <v>45989</v>
          </cell>
        </row>
        <row r="6">
          <cell r="A6" t="str">
            <v>SVF7G32</v>
          </cell>
          <cell r="B6">
            <v>45989</v>
          </cell>
          <cell r="C6">
            <v>45989</v>
          </cell>
          <cell r="D6" t="str">
            <v/>
          </cell>
          <cell r="E6">
            <v>45989</v>
          </cell>
        </row>
        <row r="7">
          <cell r="A7" t="str">
            <v>STS2D26</v>
          </cell>
          <cell r="B7" t="str">
            <v xml:space="preserve"> </v>
          </cell>
          <cell r="C7">
            <v>45989</v>
          </cell>
          <cell r="D7" t="str">
            <v/>
          </cell>
          <cell r="E7">
            <v>45989</v>
          </cell>
        </row>
        <row r="8">
          <cell r="A8" t="str">
            <v>STH5D15</v>
          </cell>
          <cell r="B8" t="str">
            <v xml:space="preserve"> </v>
          </cell>
          <cell r="C8" t="str">
            <v/>
          </cell>
          <cell r="D8" t="str">
            <v/>
          </cell>
          <cell r="E8">
            <v>0</v>
          </cell>
        </row>
        <row r="9">
          <cell r="A9" t="str">
            <v>SSW3I53</v>
          </cell>
          <cell r="B9">
            <v>45989</v>
          </cell>
          <cell r="C9">
            <v>45989</v>
          </cell>
          <cell r="D9" t="str">
            <v/>
          </cell>
          <cell r="E9">
            <v>45989</v>
          </cell>
        </row>
        <row r="10">
          <cell r="A10" t="str">
            <v>STO0I02</v>
          </cell>
          <cell r="B10">
            <v>45983</v>
          </cell>
          <cell r="C10" t="str">
            <v/>
          </cell>
          <cell r="D10" t="str">
            <v/>
          </cell>
          <cell r="E10">
            <v>45983</v>
          </cell>
        </row>
        <row r="11">
          <cell r="A11" t="str">
            <v>SFD5H70</v>
          </cell>
          <cell r="B11">
            <v>45972</v>
          </cell>
          <cell r="C11" t="str">
            <v/>
          </cell>
          <cell r="D11" t="str">
            <v/>
          </cell>
          <cell r="E11">
            <v>45972</v>
          </cell>
        </row>
        <row r="12">
          <cell r="A12" t="str">
            <v>SFD5H85</v>
          </cell>
          <cell r="B12">
            <v>45988</v>
          </cell>
          <cell r="C12">
            <v>45989</v>
          </cell>
          <cell r="D12" t="str">
            <v/>
          </cell>
          <cell r="E12">
            <v>45989</v>
          </cell>
        </row>
        <row r="13">
          <cell r="A13" t="str">
            <v>SFD5H80</v>
          </cell>
          <cell r="B13">
            <v>45964</v>
          </cell>
          <cell r="C13" t="str">
            <v/>
          </cell>
          <cell r="D13" t="str">
            <v/>
          </cell>
          <cell r="E13">
            <v>45964</v>
          </cell>
        </row>
        <row r="14">
          <cell r="A14" t="str">
            <v>SFD5H79</v>
          </cell>
          <cell r="B14">
            <v>45989</v>
          </cell>
          <cell r="C14">
            <v>45989</v>
          </cell>
          <cell r="D14" t="str">
            <v/>
          </cell>
          <cell r="E14">
            <v>45989</v>
          </cell>
        </row>
        <row r="15">
          <cell r="A15" t="str">
            <v>SFD5H76</v>
          </cell>
          <cell r="B15">
            <v>45989</v>
          </cell>
          <cell r="C15">
            <v>45989</v>
          </cell>
          <cell r="D15" t="str">
            <v/>
          </cell>
          <cell r="E15">
            <v>45989</v>
          </cell>
        </row>
        <row r="16">
          <cell r="A16" t="str">
            <v>SFD5H74</v>
          </cell>
          <cell r="B16">
            <v>45989</v>
          </cell>
          <cell r="C16">
            <v>45989</v>
          </cell>
          <cell r="D16" t="str">
            <v/>
          </cell>
          <cell r="E16">
            <v>45989</v>
          </cell>
        </row>
        <row r="17">
          <cell r="A17" t="str">
            <v>SFD5H72</v>
          </cell>
          <cell r="B17">
            <v>45988</v>
          </cell>
          <cell r="C17">
            <v>45989</v>
          </cell>
          <cell r="D17" t="str">
            <v/>
          </cell>
          <cell r="E17">
            <v>45989</v>
          </cell>
        </row>
        <row r="18">
          <cell r="A18" t="str">
            <v>SFD5H69</v>
          </cell>
          <cell r="B18">
            <v>45989</v>
          </cell>
          <cell r="C18">
            <v>45989</v>
          </cell>
          <cell r="D18" t="str">
            <v/>
          </cell>
          <cell r="E18">
            <v>45989</v>
          </cell>
        </row>
        <row r="19">
          <cell r="A19" t="str">
            <v>SFD5H66</v>
          </cell>
          <cell r="B19">
            <v>45989</v>
          </cell>
          <cell r="C19">
            <v>45989</v>
          </cell>
          <cell r="D19" t="str">
            <v/>
          </cell>
          <cell r="E19">
            <v>45989</v>
          </cell>
        </row>
        <row r="20">
          <cell r="A20" t="str">
            <v>SSW9E19</v>
          </cell>
          <cell r="B20" t="str">
            <v xml:space="preserve"> </v>
          </cell>
          <cell r="C20">
            <v>45989</v>
          </cell>
          <cell r="D20" t="str">
            <v/>
          </cell>
          <cell r="E20">
            <v>45989</v>
          </cell>
        </row>
        <row r="21">
          <cell r="A21" t="str">
            <v>SSX5J28</v>
          </cell>
          <cell r="B21" t="str">
            <v xml:space="preserve"> </v>
          </cell>
          <cell r="C21" t="str">
            <v/>
          </cell>
          <cell r="D21" t="str">
            <v/>
          </cell>
          <cell r="E21">
            <v>0</v>
          </cell>
        </row>
        <row r="22">
          <cell r="A22" t="str">
            <v>STG9C09</v>
          </cell>
          <cell r="B22" t="str">
            <v xml:space="preserve"> </v>
          </cell>
          <cell r="C22" t="str">
            <v/>
          </cell>
          <cell r="D22" t="str">
            <v/>
          </cell>
          <cell r="E22">
            <v>0</v>
          </cell>
        </row>
        <row r="23">
          <cell r="A23" t="str">
            <v>STQ1D28</v>
          </cell>
          <cell r="B23" t="str">
            <v xml:space="preserve"> </v>
          </cell>
          <cell r="C23">
            <v>45989</v>
          </cell>
          <cell r="D23" t="str">
            <v/>
          </cell>
          <cell r="E23">
            <v>45989</v>
          </cell>
        </row>
        <row r="24">
          <cell r="A24" t="str">
            <v>STT3B07</v>
          </cell>
          <cell r="B24" t="str">
            <v xml:space="preserve"> </v>
          </cell>
          <cell r="C24" t="str">
            <v/>
          </cell>
          <cell r="D24" t="str">
            <v/>
          </cell>
          <cell r="E24">
            <v>0</v>
          </cell>
        </row>
        <row r="25">
          <cell r="A25" t="str">
            <v>STV6J39</v>
          </cell>
          <cell r="B25" t="str">
            <v xml:space="preserve"> </v>
          </cell>
          <cell r="C25" t="str">
            <v/>
          </cell>
          <cell r="D25" t="str">
            <v/>
          </cell>
          <cell r="E25">
            <v>0</v>
          </cell>
        </row>
        <row r="26">
          <cell r="A26" t="str">
            <v>SUH2D47</v>
          </cell>
          <cell r="B26" t="str">
            <v xml:space="preserve"> </v>
          </cell>
          <cell r="C26" t="str">
            <v/>
          </cell>
          <cell r="D26" t="str">
            <v/>
          </cell>
          <cell r="E26">
            <v>0</v>
          </cell>
        </row>
        <row r="27">
          <cell r="A27" t="str">
            <v>SUI3B70</v>
          </cell>
          <cell r="B27" t="str">
            <v xml:space="preserve"> </v>
          </cell>
          <cell r="C27" t="str">
            <v/>
          </cell>
          <cell r="D27" t="str">
            <v/>
          </cell>
          <cell r="E27">
            <v>0</v>
          </cell>
        </row>
        <row r="28">
          <cell r="A28" t="str">
            <v>SUR9F09</v>
          </cell>
          <cell r="B28" t="str">
            <v xml:space="preserve"> </v>
          </cell>
          <cell r="C28" t="str">
            <v/>
          </cell>
          <cell r="D28" t="str">
            <v/>
          </cell>
          <cell r="E28">
            <v>0</v>
          </cell>
        </row>
        <row r="29">
          <cell r="A29" t="str">
            <v>SUX4I99</v>
          </cell>
          <cell r="B29" t="str">
            <v xml:space="preserve"> </v>
          </cell>
          <cell r="C29" t="str">
            <v/>
          </cell>
          <cell r="D29" t="str">
            <v/>
          </cell>
          <cell r="E29">
            <v>0</v>
          </cell>
        </row>
        <row r="30">
          <cell r="A30" t="str">
            <v>SUX5E10</v>
          </cell>
          <cell r="B30" t="str">
            <v xml:space="preserve"> </v>
          </cell>
          <cell r="C30">
            <v>45989</v>
          </cell>
          <cell r="D30" t="str">
            <v/>
          </cell>
          <cell r="E30">
            <v>45989</v>
          </cell>
        </row>
        <row r="31">
          <cell r="A31" t="str">
            <v>SUZ7G58</v>
          </cell>
          <cell r="B31" t="str">
            <v xml:space="preserve"> </v>
          </cell>
          <cell r="C31">
            <v>45989</v>
          </cell>
          <cell r="D31" t="str">
            <v/>
          </cell>
          <cell r="E31">
            <v>45989</v>
          </cell>
        </row>
        <row r="32">
          <cell r="A32" t="str">
            <v>SVD8F48</v>
          </cell>
          <cell r="B32" t="str">
            <v xml:space="preserve"> </v>
          </cell>
          <cell r="C32">
            <v>45989</v>
          </cell>
          <cell r="D32" t="str">
            <v/>
          </cell>
          <cell r="E32">
            <v>45989</v>
          </cell>
        </row>
        <row r="33">
          <cell r="A33" t="str">
            <v>SVX1G28</v>
          </cell>
          <cell r="B33" t="str">
            <v xml:space="preserve"> </v>
          </cell>
          <cell r="C33">
            <v>45989</v>
          </cell>
          <cell r="D33" t="str">
            <v/>
          </cell>
          <cell r="E33">
            <v>45989</v>
          </cell>
        </row>
        <row r="34">
          <cell r="A34" t="str">
            <v>STI1C79</v>
          </cell>
          <cell r="B34" t="str">
            <v xml:space="preserve"> </v>
          </cell>
          <cell r="C34" t="str">
            <v/>
          </cell>
          <cell r="D34" t="str">
            <v/>
          </cell>
          <cell r="E34">
            <v>0</v>
          </cell>
        </row>
        <row r="35">
          <cell r="A35" t="str">
            <v>STI4F79</v>
          </cell>
          <cell r="B35" t="str">
            <v xml:space="preserve"> </v>
          </cell>
          <cell r="C35" t="str">
            <v/>
          </cell>
          <cell r="D35" t="str">
            <v/>
          </cell>
          <cell r="E35">
            <v>0</v>
          </cell>
        </row>
        <row r="36">
          <cell r="A36" t="str">
            <v>STT6I27</v>
          </cell>
          <cell r="B36" t="str">
            <v xml:space="preserve"> </v>
          </cell>
          <cell r="C36">
            <v>45989</v>
          </cell>
          <cell r="D36" t="str">
            <v/>
          </cell>
          <cell r="E36">
            <v>45989</v>
          </cell>
        </row>
        <row r="37">
          <cell r="A37" t="str">
            <v>STU2G48</v>
          </cell>
          <cell r="B37" t="str">
            <v xml:space="preserve"> </v>
          </cell>
          <cell r="C37">
            <v>45989</v>
          </cell>
          <cell r="D37" t="str">
            <v/>
          </cell>
          <cell r="E37">
            <v>45989</v>
          </cell>
        </row>
        <row r="38">
          <cell r="A38" t="str">
            <v>STU3D88</v>
          </cell>
          <cell r="B38" t="str">
            <v xml:space="preserve"> </v>
          </cell>
          <cell r="C38">
            <v>45989</v>
          </cell>
          <cell r="D38" t="str">
            <v/>
          </cell>
          <cell r="E38">
            <v>45989</v>
          </cell>
        </row>
        <row r="39">
          <cell r="A39" t="str">
            <v>SUH8H48</v>
          </cell>
          <cell r="B39" t="str">
            <v xml:space="preserve"> </v>
          </cell>
          <cell r="C39" t="str">
            <v/>
          </cell>
          <cell r="D39" t="str">
            <v/>
          </cell>
          <cell r="E39">
            <v>0</v>
          </cell>
        </row>
        <row r="40">
          <cell r="A40" t="str">
            <v>SUP6H59</v>
          </cell>
          <cell r="B40" t="str">
            <v xml:space="preserve"> </v>
          </cell>
          <cell r="C40">
            <v>45989</v>
          </cell>
          <cell r="D40" t="str">
            <v/>
          </cell>
          <cell r="E40">
            <v>45989</v>
          </cell>
        </row>
        <row r="41">
          <cell r="A41" t="str">
            <v>SUR4C90</v>
          </cell>
          <cell r="B41" t="str">
            <v xml:space="preserve"> </v>
          </cell>
          <cell r="C41">
            <v>45989</v>
          </cell>
          <cell r="D41" t="str">
            <v/>
          </cell>
          <cell r="E41">
            <v>45989</v>
          </cell>
        </row>
        <row r="42">
          <cell r="A42" t="str">
            <v>SUT4H27</v>
          </cell>
          <cell r="B42" t="str">
            <v xml:space="preserve"> </v>
          </cell>
          <cell r="C42">
            <v>45989</v>
          </cell>
          <cell r="D42" t="str">
            <v/>
          </cell>
          <cell r="E42">
            <v>45989</v>
          </cell>
        </row>
        <row r="43">
          <cell r="A43" t="str">
            <v>SUV1C98</v>
          </cell>
          <cell r="B43" t="str">
            <v xml:space="preserve"> </v>
          </cell>
          <cell r="C43" t="str">
            <v/>
          </cell>
          <cell r="D43" t="str">
            <v/>
          </cell>
          <cell r="E43">
            <v>0</v>
          </cell>
        </row>
        <row r="44">
          <cell r="A44" t="str">
            <v>SUX3G28</v>
          </cell>
          <cell r="B44" t="str">
            <v xml:space="preserve"> </v>
          </cell>
          <cell r="C44">
            <v>45989</v>
          </cell>
          <cell r="D44" t="str">
            <v/>
          </cell>
          <cell r="E44">
            <v>45989</v>
          </cell>
        </row>
        <row r="45">
          <cell r="A45" t="str">
            <v>SUY5B68</v>
          </cell>
          <cell r="B45" t="str">
            <v xml:space="preserve"> </v>
          </cell>
          <cell r="C45">
            <v>45989</v>
          </cell>
          <cell r="D45" t="str">
            <v/>
          </cell>
          <cell r="E45">
            <v>45989</v>
          </cell>
        </row>
        <row r="46">
          <cell r="A46" t="str">
            <v>SUZ7A69</v>
          </cell>
          <cell r="B46" t="str">
            <v xml:space="preserve"> </v>
          </cell>
          <cell r="C46">
            <v>45989</v>
          </cell>
          <cell r="D46" t="str">
            <v/>
          </cell>
          <cell r="E46">
            <v>45989</v>
          </cell>
        </row>
        <row r="47">
          <cell r="A47" t="str">
            <v>SVA6J10</v>
          </cell>
          <cell r="B47" t="str">
            <v xml:space="preserve"> </v>
          </cell>
          <cell r="C47" t="str">
            <v/>
          </cell>
          <cell r="D47" t="str">
            <v/>
          </cell>
          <cell r="E47">
            <v>0</v>
          </cell>
        </row>
        <row r="48">
          <cell r="A48" t="str">
            <v>SVB9E97</v>
          </cell>
          <cell r="B48" t="str">
            <v xml:space="preserve"> </v>
          </cell>
          <cell r="C48">
            <v>45989</v>
          </cell>
          <cell r="D48" t="str">
            <v/>
          </cell>
          <cell r="E48">
            <v>45989</v>
          </cell>
        </row>
        <row r="49">
          <cell r="A49" t="str">
            <v>SVG0B47</v>
          </cell>
          <cell r="B49" t="str">
            <v xml:space="preserve"> </v>
          </cell>
          <cell r="C49">
            <v>45989</v>
          </cell>
          <cell r="D49" t="str">
            <v/>
          </cell>
          <cell r="E49">
            <v>45989</v>
          </cell>
        </row>
        <row r="50">
          <cell r="A50" t="str">
            <v>SVT9G70</v>
          </cell>
          <cell r="B50" t="str">
            <v xml:space="preserve"> </v>
          </cell>
          <cell r="C50" t="str">
            <v/>
          </cell>
          <cell r="D50" t="str">
            <v/>
          </cell>
          <cell r="E50">
            <v>0</v>
          </cell>
        </row>
        <row r="51">
          <cell r="A51" t="str">
            <v>EAS7778</v>
          </cell>
          <cell r="B51" t="str">
            <v xml:space="preserve"> </v>
          </cell>
          <cell r="C51" t="str">
            <v/>
          </cell>
          <cell r="D51" t="str">
            <v/>
          </cell>
          <cell r="E51">
            <v>0</v>
          </cell>
        </row>
        <row r="52">
          <cell r="A52" t="str">
            <v>EPT6I20</v>
          </cell>
          <cell r="B52" t="str">
            <v xml:space="preserve"> </v>
          </cell>
          <cell r="C52" t="str">
            <v/>
          </cell>
          <cell r="D52" t="str">
            <v/>
          </cell>
          <cell r="E52">
            <v>0</v>
          </cell>
        </row>
        <row r="53">
          <cell r="A53" t="str">
            <v>GAW7842</v>
          </cell>
          <cell r="B53" t="str">
            <v xml:space="preserve"> </v>
          </cell>
          <cell r="C53" t="str">
            <v/>
          </cell>
          <cell r="D53" t="str">
            <v/>
          </cell>
          <cell r="E53">
            <v>0</v>
          </cell>
        </row>
        <row r="54">
          <cell r="A54" t="str">
            <v>GDM9A22</v>
          </cell>
          <cell r="B54" t="str">
            <v xml:space="preserve"> </v>
          </cell>
          <cell r="C54" t="str">
            <v/>
          </cell>
          <cell r="D54" t="str">
            <v/>
          </cell>
          <cell r="E54">
            <v>0</v>
          </cell>
        </row>
        <row r="55">
          <cell r="A55" t="str">
            <v>GDM9D26</v>
          </cell>
          <cell r="B55" t="str">
            <v xml:space="preserve"> </v>
          </cell>
          <cell r="C55" t="str">
            <v/>
          </cell>
          <cell r="D55" t="str">
            <v/>
          </cell>
          <cell r="E55">
            <v>0</v>
          </cell>
        </row>
        <row r="56">
          <cell r="A56" t="str">
            <v>GDO6D67</v>
          </cell>
          <cell r="B56" t="str">
            <v xml:space="preserve"> </v>
          </cell>
          <cell r="C56" t="str">
            <v/>
          </cell>
          <cell r="D56" t="str">
            <v/>
          </cell>
          <cell r="E56">
            <v>0</v>
          </cell>
        </row>
        <row r="57">
          <cell r="A57" t="str">
            <v>GFX6D91</v>
          </cell>
          <cell r="B57" t="str">
            <v xml:space="preserve"> </v>
          </cell>
          <cell r="C57" t="str">
            <v/>
          </cell>
          <cell r="D57" t="str">
            <v/>
          </cell>
          <cell r="E57">
            <v>0</v>
          </cell>
        </row>
        <row r="58">
          <cell r="A58" t="str">
            <v>GIG3B72</v>
          </cell>
          <cell r="B58">
            <v>45971</v>
          </cell>
          <cell r="C58" t="str">
            <v/>
          </cell>
          <cell r="D58" t="str">
            <v/>
          </cell>
          <cell r="E58">
            <v>45971</v>
          </cell>
        </row>
        <row r="59">
          <cell r="A59" t="str">
            <v>QPC5I33</v>
          </cell>
          <cell r="B59" t="str">
            <v xml:space="preserve"> </v>
          </cell>
          <cell r="C59" t="str">
            <v/>
          </cell>
          <cell r="D59" t="str">
            <v/>
          </cell>
          <cell r="E59">
            <v>0</v>
          </cell>
        </row>
        <row r="60">
          <cell r="A60" t="str">
            <v>GFJ5J16</v>
          </cell>
          <cell r="B60" t="str">
            <v xml:space="preserve"> </v>
          </cell>
          <cell r="C60">
            <v>45989</v>
          </cell>
          <cell r="D60" t="str">
            <v/>
          </cell>
          <cell r="E60">
            <v>45989</v>
          </cell>
        </row>
        <row r="61">
          <cell r="A61" t="str">
            <v>STC3B36</v>
          </cell>
          <cell r="B61" t="str">
            <v xml:space="preserve"> </v>
          </cell>
          <cell r="C61" t="str">
            <v/>
          </cell>
          <cell r="D61" t="str">
            <v/>
          </cell>
          <cell r="E61">
            <v>0</v>
          </cell>
        </row>
        <row r="62">
          <cell r="A62" t="str">
            <v>RVF9J64</v>
          </cell>
          <cell r="B62">
            <v>45989</v>
          </cell>
          <cell r="C62">
            <v>45989</v>
          </cell>
          <cell r="D62" t="str">
            <v/>
          </cell>
          <cell r="E62">
            <v>45989</v>
          </cell>
        </row>
        <row r="63">
          <cell r="A63" t="str">
            <v>RVG0A11</v>
          </cell>
          <cell r="B63">
            <v>45989</v>
          </cell>
          <cell r="C63">
            <v>45989</v>
          </cell>
          <cell r="D63" t="str">
            <v/>
          </cell>
          <cell r="E63">
            <v>45989</v>
          </cell>
        </row>
        <row r="64">
          <cell r="A64" t="str">
            <v>RVG0A12</v>
          </cell>
          <cell r="B64">
            <v>45989</v>
          </cell>
          <cell r="C64">
            <v>45989</v>
          </cell>
          <cell r="D64" t="str">
            <v/>
          </cell>
          <cell r="E64">
            <v>45989</v>
          </cell>
        </row>
        <row r="65">
          <cell r="A65" t="str">
            <v>RVQ2D55</v>
          </cell>
          <cell r="B65">
            <v>45988</v>
          </cell>
          <cell r="C65">
            <v>45989</v>
          </cell>
          <cell r="D65" t="str">
            <v/>
          </cell>
          <cell r="E65">
            <v>45989</v>
          </cell>
        </row>
        <row r="66">
          <cell r="A66" t="str">
            <v>RVX0G12</v>
          </cell>
          <cell r="B66" t="str">
            <v xml:space="preserve"> </v>
          </cell>
          <cell r="C66" t="str">
            <v/>
          </cell>
          <cell r="D66" t="str">
            <v/>
          </cell>
          <cell r="E66">
            <v>0</v>
          </cell>
        </row>
        <row r="67">
          <cell r="A67" t="str">
            <v>SGH6H62</v>
          </cell>
          <cell r="B67">
            <v>45989</v>
          </cell>
          <cell r="C67">
            <v>45989</v>
          </cell>
          <cell r="D67" t="str">
            <v/>
          </cell>
          <cell r="E67">
            <v>45989</v>
          </cell>
        </row>
        <row r="68">
          <cell r="A68" t="str">
            <v>SGI8J33</v>
          </cell>
          <cell r="B68">
            <v>45988</v>
          </cell>
          <cell r="C68">
            <v>45989</v>
          </cell>
          <cell r="D68" t="str">
            <v/>
          </cell>
          <cell r="E68">
            <v>45989</v>
          </cell>
        </row>
        <row r="69">
          <cell r="A69" t="str">
            <v>SGI8I41</v>
          </cell>
          <cell r="B69">
            <v>45989</v>
          </cell>
          <cell r="C69">
            <v>45989</v>
          </cell>
          <cell r="D69" t="str">
            <v/>
          </cell>
          <cell r="E69">
            <v>45989</v>
          </cell>
        </row>
        <row r="70">
          <cell r="A70" t="str">
            <v>SGI8J99</v>
          </cell>
          <cell r="B70" t="str">
            <v xml:space="preserve"> </v>
          </cell>
          <cell r="C70">
            <v>45989</v>
          </cell>
          <cell r="D70" t="str">
            <v/>
          </cell>
          <cell r="E70">
            <v>45989</v>
          </cell>
        </row>
        <row r="71">
          <cell r="A71" t="str">
            <v>SGI8H45</v>
          </cell>
          <cell r="B71" t="str">
            <v xml:space="preserve"> </v>
          </cell>
          <cell r="C71" t="str">
            <v/>
          </cell>
          <cell r="D71" t="str">
            <v/>
          </cell>
          <cell r="E71">
            <v>0</v>
          </cell>
        </row>
        <row r="72">
          <cell r="A72" t="str">
            <v>SGI8I85</v>
          </cell>
          <cell r="B72">
            <v>45989</v>
          </cell>
          <cell r="C72">
            <v>45989</v>
          </cell>
          <cell r="D72" t="str">
            <v/>
          </cell>
          <cell r="E72">
            <v>45989</v>
          </cell>
        </row>
        <row r="73">
          <cell r="A73" t="str">
            <v>SGI8I75</v>
          </cell>
          <cell r="B73">
            <v>45989</v>
          </cell>
          <cell r="C73">
            <v>45989</v>
          </cell>
          <cell r="D73" t="str">
            <v/>
          </cell>
          <cell r="E73">
            <v>45989</v>
          </cell>
        </row>
        <row r="74">
          <cell r="A74" t="str">
            <v>SGI9A10</v>
          </cell>
          <cell r="B74">
            <v>45989</v>
          </cell>
          <cell r="C74">
            <v>45989</v>
          </cell>
          <cell r="D74" t="str">
            <v/>
          </cell>
          <cell r="E74">
            <v>45989</v>
          </cell>
        </row>
        <row r="75">
          <cell r="A75" t="str">
            <v>SGI8I50</v>
          </cell>
          <cell r="B75">
            <v>45989</v>
          </cell>
          <cell r="C75">
            <v>45989</v>
          </cell>
          <cell r="D75" t="str">
            <v/>
          </cell>
          <cell r="E75">
            <v>45989</v>
          </cell>
        </row>
        <row r="76">
          <cell r="A76" t="str">
            <v>SGI8J90</v>
          </cell>
          <cell r="B76">
            <v>45985</v>
          </cell>
          <cell r="C76" t="str">
            <v/>
          </cell>
          <cell r="D76" t="str">
            <v/>
          </cell>
          <cell r="E76">
            <v>45985</v>
          </cell>
        </row>
        <row r="77">
          <cell r="A77" t="str">
            <v>SGI8J95</v>
          </cell>
          <cell r="B77">
            <v>45988</v>
          </cell>
          <cell r="C77">
            <v>45989</v>
          </cell>
          <cell r="D77" t="str">
            <v/>
          </cell>
          <cell r="E77">
            <v>45989</v>
          </cell>
        </row>
        <row r="78">
          <cell r="A78" t="str">
            <v>SGI8J77</v>
          </cell>
          <cell r="B78">
            <v>45989</v>
          </cell>
          <cell r="C78">
            <v>45989</v>
          </cell>
          <cell r="D78" t="str">
            <v/>
          </cell>
          <cell r="E78">
            <v>45989</v>
          </cell>
        </row>
        <row r="79">
          <cell r="A79" t="str">
            <v>SGI8J01</v>
          </cell>
          <cell r="B79">
            <v>45989</v>
          </cell>
          <cell r="C79" t="str">
            <v/>
          </cell>
          <cell r="D79" t="str">
            <v/>
          </cell>
          <cell r="E79">
            <v>45989</v>
          </cell>
        </row>
        <row r="80">
          <cell r="A80" t="str">
            <v>SGI8I17</v>
          </cell>
          <cell r="B80">
            <v>45989</v>
          </cell>
          <cell r="C80">
            <v>45989</v>
          </cell>
          <cell r="D80" t="str">
            <v/>
          </cell>
          <cell r="E80">
            <v>45989</v>
          </cell>
        </row>
        <row r="81">
          <cell r="A81" t="str">
            <v>SGI8J69</v>
          </cell>
          <cell r="B81">
            <v>45982</v>
          </cell>
          <cell r="C81" t="str">
            <v/>
          </cell>
          <cell r="D81" t="str">
            <v/>
          </cell>
          <cell r="E81">
            <v>45982</v>
          </cell>
        </row>
        <row r="82">
          <cell r="A82" t="str">
            <v>SGI8J72</v>
          </cell>
          <cell r="B82">
            <v>45972</v>
          </cell>
          <cell r="C82" t="str">
            <v/>
          </cell>
          <cell r="D82" t="str">
            <v/>
          </cell>
          <cell r="E82">
            <v>45972</v>
          </cell>
        </row>
        <row r="83">
          <cell r="A83" t="str">
            <v>SGI8J40</v>
          </cell>
          <cell r="B83">
            <v>45989</v>
          </cell>
          <cell r="C83">
            <v>45989</v>
          </cell>
          <cell r="D83" t="str">
            <v/>
          </cell>
          <cell r="E83">
            <v>45989</v>
          </cell>
        </row>
        <row r="84">
          <cell r="A84" t="str">
            <v>SGI8J58</v>
          </cell>
          <cell r="B84">
            <v>45974</v>
          </cell>
          <cell r="C84" t="str">
            <v/>
          </cell>
          <cell r="D84" t="str">
            <v/>
          </cell>
          <cell r="E84">
            <v>45974</v>
          </cell>
        </row>
        <row r="85">
          <cell r="A85" t="str">
            <v>SGI8J84</v>
          </cell>
          <cell r="B85">
            <v>45989</v>
          </cell>
          <cell r="C85">
            <v>45989</v>
          </cell>
          <cell r="D85" t="str">
            <v/>
          </cell>
          <cell r="E85">
            <v>45989</v>
          </cell>
        </row>
        <row r="86">
          <cell r="A86" t="str">
            <v>SGI8J87</v>
          </cell>
          <cell r="B86">
            <v>45988</v>
          </cell>
          <cell r="C86" t="str">
            <v/>
          </cell>
          <cell r="D86" t="str">
            <v/>
          </cell>
          <cell r="E86">
            <v>45988</v>
          </cell>
        </row>
        <row r="87">
          <cell r="A87" t="str">
            <v>SGI8I12</v>
          </cell>
          <cell r="B87">
            <v>45989</v>
          </cell>
          <cell r="C87">
            <v>45989</v>
          </cell>
          <cell r="D87" t="str">
            <v/>
          </cell>
          <cell r="E87">
            <v>45989</v>
          </cell>
        </row>
        <row r="88">
          <cell r="A88" t="str">
            <v>SFT5A40</v>
          </cell>
          <cell r="B88">
            <v>45989</v>
          </cell>
          <cell r="C88">
            <v>45989</v>
          </cell>
          <cell r="D88" t="str">
            <v/>
          </cell>
          <cell r="E88">
            <v>45989</v>
          </cell>
        </row>
        <row r="89">
          <cell r="A89" t="str">
            <v>SFT5A48</v>
          </cell>
          <cell r="B89">
            <v>45968</v>
          </cell>
          <cell r="C89" t="str">
            <v/>
          </cell>
          <cell r="D89" t="str">
            <v/>
          </cell>
          <cell r="E89">
            <v>45968</v>
          </cell>
        </row>
        <row r="90">
          <cell r="A90" t="str">
            <v>SFT5A61</v>
          </cell>
          <cell r="B90">
            <v>45965</v>
          </cell>
          <cell r="C90" t="str">
            <v/>
          </cell>
          <cell r="D90" t="str">
            <v/>
          </cell>
          <cell r="E90">
            <v>45965</v>
          </cell>
        </row>
        <row r="91">
          <cell r="A91" t="str">
            <v>SGI8H76</v>
          </cell>
          <cell r="B91">
            <v>45989</v>
          </cell>
          <cell r="C91">
            <v>45989</v>
          </cell>
          <cell r="D91" t="str">
            <v/>
          </cell>
          <cell r="E91">
            <v>45989</v>
          </cell>
        </row>
        <row r="92">
          <cell r="A92" t="str">
            <v>SGI8J93</v>
          </cell>
          <cell r="B92">
            <v>45988</v>
          </cell>
          <cell r="C92">
            <v>45989</v>
          </cell>
          <cell r="D92" t="str">
            <v/>
          </cell>
          <cell r="E92">
            <v>45989</v>
          </cell>
        </row>
        <row r="93">
          <cell r="A93" t="str">
            <v>SGI8H16</v>
          </cell>
          <cell r="B93">
            <v>45988</v>
          </cell>
          <cell r="C93">
            <v>45989</v>
          </cell>
          <cell r="D93" t="str">
            <v/>
          </cell>
          <cell r="E93">
            <v>45989</v>
          </cell>
        </row>
        <row r="94">
          <cell r="A94" t="str">
            <v>SGI8J80</v>
          </cell>
          <cell r="B94">
            <v>45988</v>
          </cell>
          <cell r="C94">
            <v>45989</v>
          </cell>
          <cell r="D94" t="str">
            <v/>
          </cell>
          <cell r="E94">
            <v>45989</v>
          </cell>
        </row>
        <row r="95">
          <cell r="A95" t="str">
            <v>SGI8J37</v>
          </cell>
          <cell r="B95">
            <v>45989</v>
          </cell>
          <cell r="C95">
            <v>45989</v>
          </cell>
          <cell r="D95" t="str">
            <v/>
          </cell>
          <cell r="E95">
            <v>45989</v>
          </cell>
        </row>
        <row r="96">
          <cell r="A96" t="str">
            <v>SFV0D67</v>
          </cell>
          <cell r="B96">
            <v>45989</v>
          </cell>
          <cell r="C96">
            <v>45989</v>
          </cell>
          <cell r="D96" t="str">
            <v/>
          </cell>
          <cell r="E96">
            <v>45989</v>
          </cell>
        </row>
        <row r="97">
          <cell r="A97" t="str">
            <v>SFV0C98</v>
          </cell>
          <cell r="B97">
            <v>45984</v>
          </cell>
          <cell r="C97" t="str">
            <v/>
          </cell>
          <cell r="D97" t="str">
            <v/>
          </cell>
          <cell r="E97">
            <v>45984</v>
          </cell>
        </row>
        <row r="98">
          <cell r="A98" t="str">
            <v>SFV0D17</v>
          </cell>
          <cell r="B98" t="str">
            <v xml:space="preserve"> </v>
          </cell>
          <cell r="C98" t="str">
            <v/>
          </cell>
          <cell r="D98" t="str">
            <v/>
          </cell>
          <cell r="E98">
            <v>0</v>
          </cell>
        </row>
        <row r="99">
          <cell r="A99" t="str">
            <v>SGI8H18</v>
          </cell>
          <cell r="B99">
            <v>45988</v>
          </cell>
          <cell r="C99">
            <v>45989</v>
          </cell>
          <cell r="D99" t="str">
            <v/>
          </cell>
          <cell r="E99">
            <v>45989</v>
          </cell>
        </row>
        <row r="100">
          <cell r="A100" t="str">
            <v>SGI8I73</v>
          </cell>
          <cell r="B100">
            <v>45988</v>
          </cell>
          <cell r="C100">
            <v>45989</v>
          </cell>
          <cell r="D100" t="str">
            <v/>
          </cell>
          <cell r="E100">
            <v>45989</v>
          </cell>
        </row>
        <row r="101">
          <cell r="A101" t="str">
            <v>SGI8I06</v>
          </cell>
          <cell r="B101">
            <v>45940</v>
          </cell>
          <cell r="C101" t="str">
            <v/>
          </cell>
          <cell r="D101" t="str">
            <v/>
          </cell>
          <cell r="E101">
            <v>45940</v>
          </cell>
        </row>
        <row r="102">
          <cell r="A102" t="str">
            <v>SGI8I99</v>
          </cell>
          <cell r="B102">
            <v>45949</v>
          </cell>
          <cell r="C102" t="str">
            <v/>
          </cell>
          <cell r="D102" t="str">
            <v/>
          </cell>
          <cell r="E102">
            <v>45949</v>
          </cell>
        </row>
        <row r="103">
          <cell r="A103" t="str">
            <v>SGH8H54</v>
          </cell>
          <cell r="B103">
            <v>45984</v>
          </cell>
          <cell r="C103" t="str">
            <v/>
          </cell>
          <cell r="D103" t="str">
            <v/>
          </cell>
          <cell r="E103">
            <v>45984</v>
          </cell>
        </row>
        <row r="104">
          <cell r="A104" t="str">
            <v>SGH8C41</v>
          </cell>
          <cell r="B104">
            <v>45988</v>
          </cell>
          <cell r="C104">
            <v>45989</v>
          </cell>
          <cell r="D104" t="str">
            <v/>
          </cell>
          <cell r="E104">
            <v>45989</v>
          </cell>
        </row>
        <row r="105">
          <cell r="A105" t="str">
            <v>SGI8J96</v>
          </cell>
          <cell r="B105">
            <v>45988</v>
          </cell>
          <cell r="C105" t="str">
            <v/>
          </cell>
          <cell r="D105" t="str">
            <v/>
          </cell>
          <cell r="E105">
            <v>45988</v>
          </cell>
        </row>
        <row r="106">
          <cell r="A106" t="str">
            <v>SGH8H46</v>
          </cell>
          <cell r="B106">
            <v>45988</v>
          </cell>
          <cell r="C106">
            <v>45989</v>
          </cell>
          <cell r="D106" t="str">
            <v/>
          </cell>
          <cell r="E106">
            <v>45989</v>
          </cell>
        </row>
        <row r="107">
          <cell r="A107" t="str">
            <v>SGI8I70</v>
          </cell>
          <cell r="B107">
            <v>45988</v>
          </cell>
          <cell r="C107">
            <v>45989</v>
          </cell>
          <cell r="D107" t="str">
            <v/>
          </cell>
          <cell r="E107">
            <v>45989</v>
          </cell>
        </row>
        <row r="108">
          <cell r="A108" t="str">
            <v>SGI9A06</v>
          </cell>
          <cell r="B108" t="str">
            <v xml:space="preserve"> </v>
          </cell>
          <cell r="C108">
            <v>45989</v>
          </cell>
          <cell r="D108" t="str">
            <v/>
          </cell>
          <cell r="E108">
            <v>45989</v>
          </cell>
        </row>
        <row r="109">
          <cell r="A109" t="str">
            <v>SGH6H60</v>
          </cell>
          <cell r="B109">
            <v>45988</v>
          </cell>
          <cell r="C109">
            <v>45989</v>
          </cell>
          <cell r="D109" t="str">
            <v/>
          </cell>
          <cell r="E109">
            <v>45989</v>
          </cell>
        </row>
        <row r="110">
          <cell r="A110" t="str">
            <v>SGI8J44</v>
          </cell>
          <cell r="B110">
            <v>45973</v>
          </cell>
          <cell r="C110" t="str">
            <v/>
          </cell>
          <cell r="D110" t="str">
            <v/>
          </cell>
          <cell r="E110">
            <v>45973</v>
          </cell>
        </row>
        <row r="111">
          <cell r="A111" t="str">
            <v>SGH8C20</v>
          </cell>
          <cell r="B111">
            <v>45988</v>
          </cell>
          <cell r="C111">
            <v>45989</v>
          </cell>
          <cell r="D111" t="str">
            <v/>
          </cell>
          <cell r="E111">
            <v>45989</v>
          </cell>
        </row>
        <row r="112">
          <cell r="A112" t="str">
            <v>SGI8H73</v>
          </cell>
          <cell r="B112">
            <v>45988</v>
          </cell>
          <cell r="C112">
            <v>45989</v>
          </cell>
          <cell r="D112" t="str">
            <v/>
          </cell>
          <cell r="E112">
            <v>45989</v>
          </cell>
        </row>
        <row r="113">
          <cell r="A113" t="str">
            <v>SGI8J67</v>
          </cell>
          <cell r="B113">
            <v>45988</v>
          </cell>
          <cell r="C113">
            <v>45989</v>
          </cell>
          <cell r="D113" t="str">
            <v/>
          </cell>
          <cell r="E113">
            <v>45989</v>
          </cell>
        </row>
        <row r="114">
          <cell r="A114" t="str">
            <v>SGI8J17</v>
          </cell>
          <cell r="B114">
            <v>45989</v>
          </cell>
          <cell r="C114">
            <v>45989</v>
          </cell>
          <cell r="D114" t="str">
            <v/>
          </cell>
          <cell r="E114">
            <v>45989</v>
          </cell>
        </row>
        <row r="115">
          <cell r="A115" t="str">
            <v>SGI8I67</v>
          </cell>
          <cell r="B115">
            <v>45989</v>
          </cell>
          <cell r="C115">
            <v>45989</v>
          </cell>
          <cell r="D115" t="str">
            <v/>
          </cell>
          <cell r="E115">
            <v>45989</v>
          </cell>
        </row>
        <row r="116">
          <cell r="A116" t="str">
            <v>SGI8J10</v>
          </cell>
          <cell r="B116">
            <v>45989</v>
          </cell>
          <cell r="C116">
            <v>45989</v>
          </cell>
          <cell r="D116" t="str">
            <v/>
          </cell>
          <cell r="E116">
            <v>45989</v>
          </cell>
        </row>
        <row r="117">
          <cell r="A117" t="str">
            <v>SGI8H55</v>
          </cell>
          <cell r="B117">
            <v>45989</v>
          </cell>
          <cell r="C117">
            <v>45989</v>
          </cell>
          <cell r="D117" t="str">
            <v/>
          </cell>
          <cell r="E117">
            <v>45989</v>
          </cell>
        </row>
        <row r="118">
          <cell r="A118" t="str">
            <v>SGI8J75</v>
          </cell>
          <cell r="B118">
            <v>45988</v>
          </cell>
          <cell r="C118">
            <v>45989</v>
          </cell>
          <cell r="D118" t="str">
            <v/>
          </cell>
          <cell r="E118">
            <v>45989</v>
          </cell>
        </row>
        <row r="119">
          <cell r="A119" t="str">
            <v>SGI8J57</v>
          </cell>
          <cell r="B119">
            <v>45987</v>
          </cell>
          <cell r="C119" t="str">
            <v/>
          </cell>
          <cell r="D119" t="str">
            <v/>
          </cell>
          <cell r="E119">
            <v>45987</v>
          </cell>
        </row>
        <row r="120">
          <cell r="A120" t="str">
            <v>SGI8G54</v>
          </cell>
          <cell r="B120">
            <v>45988</v>
          </cell>
          <cell r="C120">
            <v>45989</v>
          </cell>
          <cell r="D120" t="str">
            <v/>
          </cell>
          <cell r="E120">
            <v>45989</v>
          </cell>
        </row>
        <row r="121">
          <cell r="A121" t="str">
            <v>SGJ8F55</v>
          </cell>
          <cell r="B121">
            <v>45989</v>
          </cell>
          <cell r="C121">
            <v>45989</v>
          </cell>
          <cell r="D121" t="str">
            <v/>
          </cell>
          <cell r="E121">
            <v>45989</v>
          </cell>
        </row>
        <row r="122">
          <cell r="A122" t="str">
            <v>SGI8H80</v>
          </cell>
          <cell r="B122">
            <v>45988</v>
          </cell>
          <cell r="C122">
            <v>45989</v>
          </cell>
          <cell r="D122" t="str">
            <v/>
          </cell>
          <cell r="E122">
            <v>45989</v>
          </cell>
        </row>
        <row r="123">
          <cell r="A123" t="str">
            <v>SGI8J52</v>
          </cell>
          <cell r="B123">
            <v>45838</v>
          </cell>
          <cell r="C123" t="str">
            <v/>
          </cell>
          <cell r="D123" t="str">
            <v/>
          </cell>
          <cell r="E123">
            <v>45838</v>
          </cell>
        </row>
        <row r="124">
          <cell r="A124" t="str">
            <v>SGJ8F54</v>
          </cell>
          <cell r="B124">
            <v>45989</v>
          </cell>
          <cell r="C124">
            <v>45989</v>
          </cell>
          <cell r="D124" t="str">
            <v/>
          </cell>
          <cell r="E124">
            <v>45989</v>
          </cell>
        </row>
        <row r="125">
          <cell r="A125" t="str">
            <v>SGI8I96</v>
          </cell>
          <cell r="B125">
            <v>45989</v>
          </cell>
          <cell r="C125">
            <v>45989</v>
          </cell>
          <cell r="D125" t="str">
            <v/>
          </cell>
          <cell r="E125">
            <v>45989</v>
          </cell>
        </row>
        <row r="126">
          <cell r="A126" t="str">
            <v>SGI9A01</v>
          </cell>
          <cell r="B126">
            <v>45989</v>
          </cell>
          <cell r="C126">
            <v>45989</v>
          </cell>
          <cell r="D126" t="str">
            <v/>
          </cell>
          <cell r="E126">
            <v>45989</v>
          </cell>
        </row>
        <row r="127">
          <cell r="A127" t="str">
            <v>SGI8H20</v>
          </cell>
          <cell r="B127">
            <v>45988</v>
          </cell>
          <cell r="C127">
            <v>45989</v>
          </cell>
          <cell r="D127" t="str">
            <v/>
          </cell>
          <cell r="E127">
            <v>45989</v>
          </cell>
        </row>
        <row r="128">
          <cell r="A128" t="str">
            <v>SGI8I24</v>
          </cell>
          <cell r="B128">
            <v>45989</v>
          </cell>
          <cell r="C128">
            <v>45989</v>
          </cell>
          <cell r="D128" t="str">
            <v/>
          </cell>
          <cell r="E128">
            <v>45989</v>
          </cell>
        </row>
        <row r="129">
          <cell r="A129" t="str">
            <v>SGI8H59</v>
          </cell>
          <cell r="B129">
            <v>45987</v>
          </cell>
          <cell r="C129" t="str">
            <v/>
          </cell>
          <cell r="D129" t="str">
            <v/>
          </cell>
          <cell r="E129">
            <v>45987</v>
          </cell>
        </row>
        <row r="130">
          <cell r="A130" t="str">
            <v>SGI8J92</v>
          </cell>
          <cell r="B130">
            <v>45989</v>
          </cell>
          <cell r="C130">
            <v>45989</v>
          </cell>
          <cell r="D130" t="str">
            <v/>
          </cell>
          <cell r="E130">
            <v>45989</v>
          </cell>
        </row>
        <row r="131">
          <cell r="A131" t="str">
            <v>SGI8J35</v>
          </cell>
          <cell r="B131">
            <v>45989</v>
          </cell>
          <cell r="C131">
            <v>45989</v>
          </cell>
          <cell r="D131" t="str">
            <v/>
          </cell>
          <cell r="E131">
            <v>45989</v>
          </cell>
        </row>
        <row r="132">
          <cell r="A132" t="str">
            <v>SGI8I42</v>
          </cell>
          <cell r="B132">
            <v>45989</v>
          </cell>
          <cell r="C132">
            <v>45989</v>
          </cell>
          <cell r="D132" t="str">
            <v/>
          </cell>
          <cell r="E132">
            <v>45989</v>
          </cell>
        </row>
        <row r="133">
          <cell r="A133" t="str">
            <v>SGI8I95</v>
          </cell>
          <cell r="B133">
            <v>45988</v>
          </cell>
          <cell r="C133">
            <v>45989</v>
          </cell>
          <cell r="D133" t="str">
            <v/>
          </cell>
          <cell r="E133">
            <v>45989</v>
          </cell>
        </row>
        <row r="134">
          <cell r="A134" t="str">
            <v>SGI8J30</v>
          </cell>
          <cell r="B134">
            <v>45988</v>
          </cell>
          <cell r="C134">
            <v>45989</v>
          </cell>
          <cell r="D134" t="str">
            <v/>
          </cell>
          <cell r="E134">
            <v>45989</v>
          </cell>
        </row>
        <row r="135">
          <cell r="A135" t="str">
            <v>SGH6H69</v>
          </cell>
          <cell r="B135">
            <v>45989</v>
          </cell>
          <cell r="C135">
            <v>45989</v>
          </cell>
          <cell r="D135" t="str">
            <v/>
          </cell>
          <cell r="E135">
            <v>45989</v>
          </cell>
        </row>
        <row r="136">
          <cell r="A136" t="str">
            <v>SGI8J88</v>
          </cell>
          <cell r="B136" t="str">
            <v xml:space="preserve"> </v>
          </cell>
          <cell r="C136">
            <v>45989</v>
          </cell>
          <cell r="D136" t="str">
            <v/>
          </cell>
          <cell r="E136">
            <v>45989</v>
          </cell>
        </row>
        <row r="137">
          <cell r="A137" t="str">
            <v>SGI8H40</v>
          </cell>
          <cell r="B137">
            <v>45989</v>
          </cell>
          <cell r="C137">
            <v>45989</v>
          </cell>
          <cell r="D137" t="str">
            <v/>
          </cell>
          <cell r="E137">
            <v>45989</v>
          </cell>
        </row>
        <row r="138">
          <cell r="A138" t="str">
            <v>SGH0H30</v>
          </cell>
          <cell r="B138" t="str">
            <v xml:space="preserve"> </v>
          </cell>
          <cell r="C138">
            <v>45989</v>
          </cell>
          <cell r="D138" t="str">
            <v/>
          </cell>
          <cell r="E138">
            <v>45989</v>
          </cell>
        </row>
        <row r="139">
          <cell r="A139" t="str">
            <v>SFT5A02</v>
          </cell>
          <cell r="B139">
            <v>45982</v>
          </cell>
          <cell r="C139" t="str">
            <v/>
          </cell>
          <cell r="D139" t="str">
            <v/>
          </cell>
          <cell r="E139">
            <v>45982</v>
          </cell>
        </row>
        <row r="140">
          <cell r="A140" t="str">
            <v>SFT5A14</v>
          </cell>
          <cell r="B140">
            <v>45989</v>
          </cell>
          <cell r="C140">
            <v>45989</v>
          </cell>
          <cell r="D140" t="str">
            <v/>
          </cell>
          <cell r="E140">
            <v>45989</v>
          </cell>
        </row>
        <row r="141">
          <cell r="A141" t="str">
            <v>SFV0E21</v>
          </cell>
          <cell r="B141">
            <v>45989</v>
          </cell>
          <cell r="C141">
            <v>45989</v>
          </cell>
          <cell r="D141" t="str">
            <v/>
          </cell>
          <cell r="E141">
            <v>45989</v>
          </cell>
        </row>
        <row r="142">
          <cell r="A142" t="str">
            <v>SFW2E77</v>
          </cell>
          <cell r="B142">
            <v>45989</v>
          </cell>
          <cell r="C142">
            <v>45989</v>
          </cell>
          <cell r="D142" t="str">
            <v/>
          </cell>
          <cell r="E142">
            <v>45989</v>
          </cell>
        </row>
        <row r="143">
          <cell r="A143" t="str">
            <v>SFW0A75</v>
          </cell>
          <cell r="B143">
            <v>45989</v>
          </cell>
          <cell r="C143">
            <v>45989</v>
          </cell>
          <cell r="D143" t="str">
            <v/>
          </cell>
          <cell r="E143">
            <v>45989</v>
          </cell>
        </row>
        <row r="144">
          <cell r="A144" t="str">
            <v>SFW0A37</v>
          </cell>
          <cell r="B144">
            <v>45989</v>
          </cell>
          <cell r="C144">
            <v>45989</v>
          </cell>
          <cell r="D144" t="str">
            <v/>
          </cell>
          <cell r="E144">
            <v>45989</v>
          </cell>
        </row>
        <row r="145">
          <cell r="A145" t="str">
            <v>SFW0A36</v>
          </cell>
          <cell r="B145">
            <v>45989</v>
          </cell>
          <cell r="C145">
            <v>45989</v>
          </cell>
          <cell r="D145" t="str">
            <v/>
          </cell>
          <cell r="E145">
            <v>45989</v>
          </cell>
        </row>
        <row r="146">
          <cell r="A146" t="str">
            <v>SFW6D02</v>
          </cell>
          <cell r="B146">
            <v>45969</v>
          </cell>
          <cell r="C146" t="str">
            <v/>
          </cell>
          <cell r="D146" t="str">
            <v/>
          </cell>
          <cell r="E146">
            <v>45969</v>
          </cell>
        </row>
        <row r="147">
          <cell r="A147" t="str">
            <v>SGH7I14</v>
          </cell>
          <cell r="B147" t="str">
            <v xml:space="preserve"> </v>
          </cell>
          <cell r="C147">
            <v>45989</v>
          </cell>
          <cell r="D147" t="str">
            <v/>
          </cell>
          <cell r="E147">
            <v>45989</v>
          </cell>
        </row>
        <row r="148">
          <cell r="A148" t="str">
            <v>SGH6H64</v>
          </cell>
          <cell r="B148">
            <v>45967</v>
          </cell>
          <cell r="C148" t="str">
            <v/>
          </cell>
          <cell r="D148" t="str">
            <v/>
          </cell>
          <cell r="E148">
            <v>45967</v>
          </cell>
        </row>
        <row r="149">
          <cell r="A149" t="str">
            <v>SGH8C22</v>
          </cell>
          <cell r="B149">
            <v>45988</v>
          </cell>
          <cell r="C149">
            <v>45989</v>
          </cell>
          <cell r="D149" t="str">
            <v/>
          </cell>
          <cell r="E149">
            <v>45989</v>
          </cell>
        </row>
        <row r="150">
          <cell r="A150" t="str">
            <v>SGH6H73</v>
          </cell>
          <cell r="B150">
            <v>45989</v>
          </cell>
          <cell r="C150">
            <v>45989</v>
          </cell>
          <cell r="D150" t="str">
            <v/>
          </cell>
          <cell r="E150">
            <v>45989</v>
          </cell>
        </row>
        <row r="151">
          <cell r="A151" t="str">
            <v>SGH8C14</v>
          </cell>
          <cell r="B151">
            <v>45980</v>
          </cell>
          <cell r="C151" t="str">
            <v/>
          </cell>
          <cell r="D151" t="str">
            <v/>
          </cell>
          <cell r="E151">
            <v>45980</v>
          </cell>
        </row>
        <row r="152">
          <cell r="A152" t="str">
            <v>SGH7I25</v>
          </cell>
          <cell r="B152">
            <v>45988</v>
          </cell>
          <cell r="C152">
            <v>45989</v>
          </cell>
          <cell r="D152" t="str">
            <v/>
          </cell>
          <cell r="E152">
            <v>45989</v>
          </cell>
        </row>
        <row r="153">
          <cell r="A153" t="str">
            <v>SGH8H55</v>
          </cell>
          <cell r="B153">
            <v>45973</v>
          </cell>
          <cell r="C153" t="str">
            <v/>
          </cell>
          <cell r="D153" t="str">
            <v/>
          </cell>
          <cell r="E153">
            <v>45973</v>
          </cell>
        </row>
        <row r="154">
          <cell r="A154" t="str">
            <v>SGH8C39</v>
          </cell>
          <cell r="B154">
            <v>45989</v>
          </cell>
          <cell r="C154">
            <v>45989</v>
          </cell>
          <cell r="D154" t="str">
            <v/>
          </cell>
          <cell r="E154">
            <v>45989</v>
          </cell>
        </row>
        <row r="155">
          <cell r="A155" t="str">
            <v>SGH7C09</v>
          </cell>
          <cell r="B155">
            <v>45989</v>
          </cell>
          <cell r="C155">
            <v>45989</v>
          </cell>
          <cell r="D155" t="str">
            <v/>
          </cell>
          <cell r="E155">
            <v>45989</v>
          </cell>
        </row>
        <row r="156">
          <cell r="A156" t="str">
            <v>SGH8H51</v>
          </cell>
          <cell r="B156">
            <v>45989</v>
          </cell>
          <cell r="C156">
            <v>45989</v>
          </cell>
          <cell r="D156" t="str">
            <v/>
          </cell>
          <cell r="E156">
            <v>45989</v>
          </cell>
        </row>
        <row r="157">
          <cell r="A157" t="str">
            <v>SGH6H66</v>
          </cell>
          <cell r="B157">
            <v>45988</v>
          </cell>
          <cell r="C157">
            <v>45989</v>
          </cell>
          <cell r="D157" t="str">
            <v/>
          </cell>
          <cell r="E157">
            <v>45989</v>
          </cell>
        </row>
        <row r="158">
          <cell r="A158" t="str">
            <v>SGH6H56</v>
          </cell>
          <cell r="B158">
            <v>45989</v>
          </cell>
          <cell r="C158">
            <v>45989</v>
          </cell>
          <cell r="D158" t="str">
            <v/>
          </cell>
          <cell r="E158">
            <v>45989</v>
          </cell>
        </row>
        <row r="159">
          <cell r="A159" t="str">
            <v>SGH6H61</v>
          </cell>
          <cell r="B159">
            <v>45989</v>
          </cell>
          <cell r="C159">
            <v>45989</v>
          </cell>
          <cell r="D159" t="str">
            <v/>
          </cell>
          <cell r="E159">
            <v>45989</v>
          </cell>
        </row>
        <row r="160">
          <cell r="A160" t="str">
            <v>SGH6H71</v>
          </cell>
          <cell r="B160">
            <v>45556</v>
          </cell>
          <cell r="C160" t="str">
            <v/>
          </cell>
          <cell r="D160" t="str">
            <v/>
          </cell>
          <cell r="E160">
            <v>45556</v>
          </cell>
        </row>
        <row r="161">
          <cell r="A161" t="str">
            <v>SGH8B51</v>
          </cell>
          <cell r="B161">
            <v>45988</v>
          </cell>
          <cell r="C161">
            <v>45989</v>
          </cell>
          <cell r="D161" t="str">
            <v/>
          </cell>
          <cell r="E161">
            <v>45989</v>
          </cell>
        </row>
        <row r="162">
          <cell r="A162" t="str">
            <v>SGH6H70</v>
          </cell>
          <cell r="B162">
            <v>45986</v>
          </cell>
          <cell r="C162" t="str">
            <v/>
          </cell>
          <cell r="D162" t="str">
            <v/>
          </cell>
          <cell r="E162">
            <v>45986</v>
          </cell>
        </row>
        <row r="163">
          <cell r="A163" t="str">
            <v>SGH8H56</v>
          </cell>
          <cell r="B163">
            <v>45950</v>
          </cell>
          <cell r="C163" t="str">
            <v/>
          </cell>
          <cell r="D163" t="str">
            <v/>
          </cell>
          <cell r="E163">
            <v>45950</v>
          </cell>
        </row>
        <row r="164">
          <cell r="A164" t="str">
            <v>SGH7J32</v>
          </cell>
          <cell r="B164">
            <v>45988</v>
          </cell>
          <cell r="C164">
            <v>45989</v>
          </cell>
          <cell r="D164" t="str">
            <v/>
          </cell>
          <cell r="E164">
            <v>45989</v>
          </cell>
        </row>
        <row r="165">
          <cell r="A165" t="str">
            <v>SGH6H77</v>
          </cell>
          <cell r="B165">
            <v>45988</v>
          </cell>
          <cell r="C165">
            <v>45989</v>
          </cell>
          <cell r="D165" t="str">
            <v/>
          </cell>
          <cell r="E165">
            <v>45989</v>
          </cell>
        </row>
        <row r="166">
          <cell r="A166" t="str">
            <v>SGH6H76</v>
          </cell>
          <cell r="B166">
            <v>45989</v>
          </cell>
          <cell r="C166">
            <v>45989</v>
          </cell>
          <cell r="D166" t="str">
            <v/>
          </cell>
          <cell r="E166">
            <v>45989</v>
          </cell>
        </row>
        <row r="167">
          <cell r="A167" t="str">
            <v>SGH8C46</v>
          </cell>
          <cell r="B167">
            <v>45974</v>
          </cell>
          <cell r="C167" t="str">
            <v/>
          </cell>
          <cell r="D167" t="str">
            <v/>
          </cell>
          <cell r="E167">
            <v>45974</v>
          </cell>
        </row>
        <row r="168">
          <cell r="A168" t="str">
            <v>SGH8H61</v>
          </cell>
          <cell r="B168">
            <v>45988</v>
          </cell>
          <cell r="C168">
            <v>45989</v>
          </cell>
          <cell r="D168" t="str">
            <v/>
          </cell>
          <cell r="E168">
            <v>45989</v>
          </cell>
        </row>
        <row r="169">
          <cell r="A169" t="str">
            <v>SGH0H32</v>
          </cell>
          <cell r="B169">
            <v>45988</v>
          </cell>
          <cell r="C169">
            <v>45989</v>
          </cell>
          <cell r="D169" t="str">
            <v/>
          </cell>
          <cell r="E169">
            <v>45989</v>
          </cell>
        </row>
        <row r="170">
          <cell r="A170" t="str">
            <v>SGH0H20</v>
          </cell>
          <cell r="B170">
            <v>45981</v>
          </cell>
          <cell r="C170" t="str">
            <v/>
          </cell>
          <cell r="D170" t="str">
            <v/>
          </cell>
          <cell r="E170">
            <v>45981</v>
          </cell>
        </row>
        <row r="171">
          <cell r="A171" t="str">
            <v>SGI8H51</v>
          </cell>
          <cell r="B171">
            <v>45988</v>
          </cell>
          <cell r="C171" t="str">
            <v/>
          </cell>
          <cell r="D171" t="str">
            <v/>
          </cell>
          <cell r="E171">
            <v>45988</v>
          </cell>
        </row>
        <row r="172">
          <cell r="A172" t="str">
            <v>SGI8H31</v>
          </cell>
          <cell r="B172">
            <v>45989</v>
          </cell>
          <cell r="C172" t="str">
            <v/>
          </cell>
          <cell r="D172" t="str">
            <v/>
          </cell>
          <cell r="E172">
            <v>45989</v>
          </cell>
        </row>
        <row r="173">
          <cell r="A173" t="str">
            <v>SGI8I48</v>
          </cell>
          <cell r="B173">
            <v>45989</v>
          </cell>
          <cell r="C173" t="str">
            <v/>
          </cell>
          <cell r="D173" t="str">
            <v/>
          </cell>
          <cell r="E173">
            <v>45989</v>
          </cell>
        </row>
        <row r="174">
          <cell r="A174" t="str">
            <v>SGI8J07</v>
          </cell>
          <cell r="B174">
            <v>45989</v>
          </cell>
          <cell r="C174">
            <v>45989</v>
          </cell>
          <cell r="D174" t="str">
            <v/>
          </cell>
          <cell r="E174">
            <v>45989</v>
          </cell>
        </row>
        <row r="175">
          <cell r="A175" t="str">
            <v>SGI8G86</v>
          </cell>
          <cell r="B175">
            <v>45988</v>
          </cell>
          <cell r="C175">
            <v>45989</v>
          </cell>
          <cell r="D175" t="str">
            <v/>
          </cell>
          <cell r="E175">
            <v>45989</v>
          </cell>
        </row>
        <row r="176">
          <cell r="A176" t="str">
            <v>SGI8I22</v>
          </cell>
          <cell r="B176">
            <v>45836</v>
          </cell>
          <cell r="C176" t="str">
            <v/>
          </cell>
          <cell r="D176" t="str">
            <v/>
          </cell>
          <cell r="E176">
            <v>45836</v>
          </cell>
        </row>
        <row r="177">
          <cell r="A177" t="str">
            <v>SGI8J29</v>
          </cell>
          <cell r="B177">
            <v>45912</v>
          </cell>
          <cell r="C177" t="str">
            <v/>
          </cell>
          <cell r="D177" t="str">
            <v/>
          </cell>
          <cell r="E177">
            <v>45912</v>
          </cell>
        </row>
        <row r="178">
          <cell r="A178" t="str">
            <v>SGI0G81</v>
          </cell>
          <cell r="B178">
            <v>45988</v>
          </cell>
          <cell r="C178" t="str">
            <v/>
          </cell>
          <cell r="D178" t="str">
            <v/>
          </cell>
          <cell r="E178">
            <v>45988</v>
          </cell>
        </row>
        <row r="179">
          <cell r="A179" t="str">
            <v>SGI8H63</v>
          </cell>
          <cell r="B179">
            <v>45988</v>
          </cell>
          <cell r="C179">
            <v>45989</v>
          </cell>
          <cell r="D179" t="str">
            <v/>
          </cell>
          <cell r="E179">
            <v>45989</v>
          </cell>
        </row>
        <row r="180">
          <cell r="A180" t="str">
            <v>SGI8J62</v>
          </cell>
          <cell r="B180">
            <v>45989</v>
          </cell>
          <cell r="C180">
            <v>45989</v>
          </cell>
          <cell r="D180" t="str">
            <v/>
          </cell>
          <cell r="E180">
            <v>45989</v>
          </cell>
        </row>
        <row r="181">
          <cell r="A181" t="str">
            <v>SFT5A07</v>
          </cell>
          <cell r="B181" t="str">
            <v xml:space="preserve"> </v>
          </cell>
          <cell r="C181">
            <v>45989</v>
          </cell>
          <cell r="D181" t="str">
            <v/>
          </cell>
          <cell r="E181">
            <v>45989</v>
          </cell>
        </row>
        <row r="182">
          <cell r="A182" t="str">
            <v>SFT5A13</v>
          </cell>
          <cell r="B182">
            <v>45989</v>
          </cell>
          <cell r="C182">
            <v>45989</v>
          </cell>
          <cell r="D182" t="str">
            <v/>
          </cell>
          <cell r="E182">
            <v>45989</v>
          </cell>
        </row>
        <row r="183">
          <cell r="A183" t="str">
            <v>SFT5A36</v>
          </cell>
          <cell r="B183">
            <v>45989</v>
          </cell>
          <cell r="C183">
            <v>45989</v>
          </cell>
          <cell r="D183" t="str">
            <v/>
          </cell>
          <cell r="E183">
            <v>45989</v>
          </cell>
        </row>
        <row r="184">
          <cell r="A184" t="str">
            <v>SFV0D59</v>
          </cell>
          <cell r="B184">
            <v>45975</v>
          </cell>
          <cell r="C184" t="str">
            <v/>
          </cell>
          <cell r="D184" t="str">
            <v/>
          </cell>
          <cell r="E184">
            <v>45975</v>
          </cell>
        </row>
        <row r="185">
          <cell r="A185" t="str">
            <v>SFV0D12</v>
          </cell>
          <cell r="B185">
            <v>45989</v>
          </cell>
          <cell r="C185">
            <v>45989</v>
          </cell>
          <cell r="D185" t="str">
            <v/>
          </cell>
          <cell r="E185">
            <v>45989</v>
          </cell>
        </row>
        <row r="186">
          <cell r="A186" t="str">
            <v>SFV0D53</v>
          </cell>
          <cell r="B186">
            <v>45959</v>
          </cell>
          <cell r="C186" t="str">
            <v/>
          </cell>
          <cell r="D186" t="str">
            <v/>
          </cell>
          <cell r="E186">
            <v>45959</v>
          </cell>
        </row>
        <row r="187">
          <cell r="A187" t="str">
            <v>SFV0D14</v>
          </cell>
          <cell r="B187">
            <v>45989</v>
          </cell>
          <cell r="C187" t="str">
            <v/>
          </cell>
          <cell r="D187" t="str">
            <v/>
          </cell>
          <cell r="E187">
            <v>45989</v>
          </cell>
        </row>
        <row r="188">
          <cell r="A188" t="str">
            <v>SFV0D88</v>
          </cell>
          <cell r="B188">
            <v>45988</v>
          </cell>
          <cell r="C188" t="str">
            <v/>
          </cell>
          <cell r="D188" t="str">
            <v/>
          </cell>
          <cell r="E188">
            <v>45988</v>
          </cell>
        </row>
        <row r="189">
          <cell r="A189" t="str">
            <v>SFV0D69</v>
          </cell>
          <cell r="B189">
            <v>45988</v>
          </cell>
          <cell r="C189" t="str">
            <v/>
          </cell>
          <cell r="D189" t="str">
            <v/>
          </cell>
          <cell r="E189">
            <v>45988</v>
          </cell>
        </row>
        <row r="190">
          <cell r="A190" t="str">
            <v>SFV0D61</v>
          </cell>
          <cell r="B190">
            <v>45988</v>
          </cell>
          <cell r="C190">
            <v>45989</v>
          </cell>
          <cell r="D190" t="str">
            <v/>
          </cell>
          <cell r="E190">
            <v>45989</v>
          </cell>
        </row>
        <row r="191">
          <cell r="A191" t="str">
            <v>SFV0D57</v>
          </cell>
          <cell r="B191">
            <v>45982</v>
          </cell>
          <cell r="C191" t="str">
            <v/>
          </cell>
          <cell r="D191" t="str">
            <v/>
          </cell>
          <cell r="E191">
            <v>45982</v>
          </cell>
        </row>
        <row r="192">
          <cell r="A192" t="str">
            <v>SFV0D04</v>
          </cell>
          <cell r="B192">
            <v>45988</v>
          </cell>
          <cell r="C192">
            <v>45989</v>
          </cell>
          <cell r="D192" t="str">
            <v/>
          </cell>
          <cell r="E192">
            <v>45989</v>
          </cell>
        </row>
        <row r="193">
          <cell r="A193" t="str">
            <v>SFV0D01</v>
          </cell>
          <cell r="B193">
            <v>45988</v>
          </cell>
          <cell r="C193">
            <v>45989</v>
          </cell>
          <cell r="D193" t="str">
            <v/>
          </cell>
          <cell r="E193">
            <v>45989</v>
          </cell>
        </row>
        <row r="194">
          <cell r="A194" t="str">
            <v>SFW2E98</v>
          </cell>
          <cell r="B194">
            <v>45988</v>
          </cell>
          <cell r="C194">
            <v>45989</v>
          </cell>
          <cell r="D194" t="str">
            <v/>
          </cell>
          <cell r="E194">
            <v>45989</v>
          </cell>
        </row>
        <row r="195">
          <cell r="A195" t="str">
            <v>SFW0A79</v>
          </cell>
          <cell r="B195">
            <v>45988</v>
          </cell>
          <cell r="C195">
            <v>45989</v>
          </cell>
          <cell r="D195" t="str">
            <v/>
          </cell>
          <cell r="E195">
            <v>45989</v>
          </cell>
        </row>
        <row r="196">
          <cell r="A196" t="str">
            <v>SFW0A62</v>
          </cell>
          <cell r="B196">
            <v>45988</v>
          </cell>
          <cell r="C196">
            <v>45989</v>
          </cell>
          <cell r="D196" t="str">
            <v/>
          </cell>
          <cell r="E196">
            <v>45989</v>
          </cell>
        </row>
        <row r="197">
          <cell r="A197" t="str">
            <v>SFW0A42</v>
          </cell>
          <cell r="B197">
            <v>45989</v>
          </cell>
          <cell r="C197">
            <v>45989</v>
          </cell>
          <cell r="D197" t="str">
            <v/>
          </cell>
          <cell r="E197">
            <v>45989</v>
          </cell>
        </row>
        <row r="198">
          <cell r="A198" t="str">
            <v>SFW6C99</v>
          </cell>
          <cell r="B198">
            <v>45967</v>
          </cell>
          <cell r="C198" t="str">
            <v/>
          </cell>
          <cell r="D198" t="str">
            <v/>
          </cell>
          <cell r="E198">
            <v>45967</v>
          </cell>
        </row>
        <row r="199">
          <cell r="A199" t="str">
            <v>SFV0D15</v>
          </cell>
          <cell r="B199" t="str">
            <v xml:space="preserve"> </v>
          </cell>
          <cell r="C199">
            <v>45989</v>
          </cell>
          <cell r="D199" t="str">
            <v/>
          </cell>
          <cell r="E199">
            <v>45989</v>
          </cell>
        </row>
        <row r="200">
          <cell r="A200" t="str">
            <v>SGH6H58</v>
          </cell>
          <cell r="B200">
            <v>45988</v>
          </cell>
          <cell r="C200" t="str">
            <v/>
          </cell>
          <cell r="D200" t="str">
            <v/>
          </cell>
          <cell r="E200">
            <v>45988</v>
          </cell>
        </row>
        <row r="201">
          <cell r="A201" t="str">
            <v>SGH6H74</v>
          </cell>
          <cell r="B201">
            <v>45987</v>
          </cell>
          <cell r="C201">
            <v>45989</v>
          </cell>
          <cell r="D201" t="str">
            <v/>
          </cell>
          <cell r="E201">
            <v>45989</v>
          </cell>
        </row>
        <row r="202">
          <cell r="A202" t="str">
            <v>SGH6H67</v>
          </cell>
          <cell r="B202">
            <v>45989</v>
          </cell>
          <cell r="C202">
            <v>45989</v>
          </cell>
          <cell r="D202" t="str">
            <v/>
          </cell>
          <cell r="E202">
            <v>45989</v>
          </cell>
        </row>
        <row r="203">
          <cell r="A203" t="str">
            <v>SGI8J26</v>
          </cell>
          <cell r="B203" t="str">
            <v xml:space="preserve"> </v>
          </cell>
          <cell r="C203">
            <v>45989</v>
          </cell>
          <cell r="D203" t="str">
            <v/>
          </cell>
          <cell r="E203">
            <v>45989</v>
          </cell>
        </row>
        <row r="204">
          <cell r="A204" t="str">
            <v>SGH8C44</v>
          </cell>
          <cell r="B204">
            <v>45989</v>
          </cell>
          <cell r="C204" t="str">
            <v/>
          </cell>
          <cell r="D204" t="str">
            <v/>
          </cell>
          <cell r="E204">
            <v>45989</v>
          </cell>
        </row>
        <row r="205">
          <cell r="A205" t="str">
            <v>SGH8C35</v>
          </cell>
          <cell r="B205">
            <v>45989</v>
          </cell>
          <cell r="C205">
            <v>45989</v>
          </cell>
          <cell r="D205" t="str">
            <v/>
          </cell>
          <cell r="E205">
            <v>45989</v>
          </cell>
        </row>
        <row r="206">
          <cell r="A206" t="str">
            <v>SGH7J24</v>
          </cell>
          <cell r="B206">
            <v>45988</v>
          </cell>
          <cell r="C206">
            <v>45989</v>
          </cell>
          <cell r="D206" t="str">
            <v/>
          </cell>
          <cell r="E206">
            <v>45989</v>
          </cell>
        </row>
        <row r="207">
          <cell r="A207" t="str">
            <v>SGH6H72</v>
          </cell>
          <cell r="B207">
            <v>45989</v>
          </cell>
          <cell r="C207">
            <v>45989</v>
          </cell>
          <cell r="D207" t="str">
            <v/>
          </cell>
          <cell r="E207">
            <v>45989</v>
          </cell>
        </row>
        <row r="208">
          <cell r="A208" t="str">
            <v>SGH7J22</v>
          </cell>
          <cell r="B208">
            <v>45967</v>
          </cell>
          <cell r="C208" t="str">
            <v/>
          </cell>
          <cell r="D208" t="str">
            <v/>
          </cell>
          <cell r="E208">
            <v>45967</v>
          </cell>
        </row>
        <row r="209">
          <cell r="A209" t="str">
            <v>SGH8C42</v>
          </cell>
          <cell r="B209">
            <v>45989</v>
          </cell>
          <cell r="C209">
            <v>45989</v>
          </cell>
          <cell r="D209" t="str">
            <v/>
          </cell>
          <cell r="E209">
            <v>45989</v>
          </cell>
        </row>
        <row r="210">
          <cell r="A210" t="str">
            <v>SGH7G94</v>
          </cell>
          <cell r="B210">
            <v>45978</v>
          </cell>
          <cell r="C210" t="str">
            <v/>
          </cell>
          <cell r="D210" t="str">
            <v/>
          </cell>
          <cell r="E210">
            <v>45978</v>
          </cell>
        </row>
        <row r="211">
          <cell r="A211" t="str">
            <v>SGH8H45</v>
          </cell>
          <cell r="B211">
            <v>45988</v>
          </cell>
          <cell r="C211">
            <v>45989</v>
          </cell>
          <cell r="D211" t="str">
            <v/>
          </cell>
          <cell r="E211">
            <v>45989</v>
          </cell>
        </row>
        <row r="212">
          <cell r="A212" t="str">
            <v>SGH6H68</v>
          </cell>
          <cell r="B212">
            <v>45989</v>
          </cell>
          <cell r="C212">
            <v>45989</v>
          </cell>
          <cell r="D212" t="str">
            <v/>
          </cell>
          <cell r="E212">
            <v>45989</v>
          </cell>
        </row>
        <row r="213">
          <cell r="A213" t="str">
            <v>SGH8C33</v>
          </cell>
          <cell r="B213">
            <v>45988</v>
          </cell>
          <cell r="C213" t="str">
            <v/>
          </cell>
          <cell r="D213" t="str">
            <v/>
          </cell>
          <cell r="E213">
            <v>45988</v>
          </cell>
        </row>
        <row r="214">
          <cell r="A214" t="str">
            <v>SGH6H63</v>
          </cell>
          <cell r="B214">
            <v>45989</v>
          </cell>
          <cell r="C214">
            <v>45989</v>
          </cell>
          <cell r="D214" t="str">
            <v/>
          </cell>
          <cell r="E214">
            <v>45989</v>
          </cell>
        </row>
        <row r="215">
          <cell r="A215" t="str">
            <v>SGH8C21</v>
          </cell>
          <cell r="B215">
            <v>45976</v>
          </cell>
          <cell r="C215" t="str">
            <v/>
          </cell>
          <cell r="D215" t="str">
            <v/>
          </cell>
          <cell r="E215">
            <v>45976</v>
          </cell>
        </row>
        <row r="216">
          <cell r="A216" t="str">
            <v>SGI8H09</v>
          </cell>
          <cell r="B216">
            <v>45984</v>
          </cell>
          <cell r="C216" t="str">
            <v/>
          </cell>
          <cell r="D216" t="str">
            <v/>
          </cell>
          <cell r="E216">
            <v>45984</v>
          </cell>
        </row>
        <row r="217">
          <cell r="A217" t="str">
            <v>SGI8J64</v>
          </cell>
          <cell r="B217">
            <v>45989</v>
          </cell>
          <cell r="C217">
            <v>45989</v>
          </cell>
          <cell r="D217" t="str">
            <v/>
          </cell>
          <cell r="E217">
            <v>45989</v>
          </cell>
        </row>
        <row r="218">
          <cell r="A218" t="str">
            <v>SGH0H48</v>
          </cell>
          <cell r="B218" t="str">
            <v xml:space="preserve"> </v>
          </cell>
          <cell r="C218">
            <v>45989</v>
          </cell>
          <cell r="D218" t="str">
            <v/>
          </cell>
          <cell r="E218">
            <v>45989</v>
          </cell>
        </row>
        <row r="219">
          <cell r="A219" t="str">
            <v>SGH0G97</v>
          </cell>
          <cell r="B219">
            <v>45989</v>
          </cell>
          <cell r="C219">
            <v>45989</v>
          </cell>
          <cell r="D219" t="str">
            <v/>
          </cell>
          <cell r="E219">
            <v>45989</v>
          </cell>
        </row>
        <row r="220">
          <cell r="A220" t="str">
            <v>SGH0H40</v>
          </cell>
          <cell r="B220">
            <v>45988</v>
          </cell>
          <cell r="C220">
            <v>45989</v>
          </cell>
          <cell r="D220" t="str">
            <v/>
          </cell>
          <cell r="E220">
            <v>45989</v>
          </cell>
        </row>
        <row r="221">
          <cell r="A221" t="str">
            <v>SGH0H17</v>
          </cell>
          <cell r="B221">
            <v>45989</v>
          </cell>
          <cell r="C221">
            <v>45989</v>
          </cell>
          <cell r="D221" t="str">
            <v/>
          </cell>
          <cell r="E221">
            <v>45989</v>
          </cell>
        </row>
        <row r="222">
          <cell r="A222" t="str">
            <v>SGF6H57</v>
          </cell>
          <cell r="B222">
            <v>45917</v>
          </cell>
          <cell r="C222" t="str">
            <v/>
          </cell>
          <cell r="D222" t="str">
            <v/>
          </cell>
          <cell r="E222">
            <v>45917</v>
          </cell>
        </row>
        <row r="223">
          <cell r="A223" t="str">
            <v>SGH0H33</v>
          </cell>
          <cell r="B223">
            <v>45989</v>
          </cell>
          <cell r="C223">
            <v>45989</v>
          </cell>
          <cell r="D223" t="str">
            <v/>
          </cell>
          <cell r="E223">
            <v>45989</v>
          </cell>
        </row>
        <row r="224">
          <cell r="A224" t="str">
            <v>SGH0H44</v>
          </cell>
          <cell r="B224">
            <v>45987</v>
          </cell>
          <cell r="C224">
            <v>45989</v>
          </cell>
          <cell r="D224" t="str">
            <v/>
          </cell>
          <cell r="E224">
            <v>45989</v>
          </cell>
        </row>
        <row r="225">
          <cell r="A225" t="str">
            <v>SGH0H42</v>
          </cell>
          <cell r="B225">
            <v>45989</v>
          </cell>
          <cell r="C225">
            <v>45989</v>
          </cell>
          <cell r="D225" t="str">
            <v/>
          </cell>
          <cell r="E225">
            <v>45989</v>
          </cell>
        </row>
        <row r="226">
          <cell r="A226" t="str">
            <v>SGH0H23</v>
          </cell>
          <cell r="B226">
            <v>45984</v>
          </cell>
          <cell r="C226" t="str">
            <v/>
          </cell>
          <cell r="D226" t="str">
            <v/>
          </cell>
          <cell r="E226">
            <v>45984</v>
          </cell>
        </row>
        <row r="227">
          <cell r="A227" t="str">
            <v>SGH6H59</v>
          </cell>
          <cell r="B227">
            <v>45988</v>
          </cell>
          <cell r="C227">
            <v>45989</v>
          </cell>
          <cell r="D227" t="str">
            <v/>
          </cell>
          <cell r="E227">
            <v>45989</v>
          </cell>
        </row>
        <row r="228">
          <cell r="A228" t="str">
            <v>SGI8H00</v>
          </cell>
          <cell r="B228">
            <v>45988</v>
          </cell>
          <cell r="C228">
            <v>45989</v>
          </cell>
          <cell r="D228" t="str">
            <v/>
          </cell>
          <cell r="E228">
            <v>45989</v>
          </cell>
        </row>
        <row r="229">
          <cell r="A229" t="str">
            <v>SGI8J55</v>
          </cell>
          <cell r="B229" t="str">
            <v xml:space="preserve"> </v>
          </cell>
          <cell r="C229">
            <v>45989</v>
          </cell>
          <cell r="D229" t="str">
            <v/>
          </cell>
          <cell r="E229">
            <v>45989</v>
          </cell>
        </row>
        <row r="230">
          <cell r="A230" t="str">
            <v>SFT5A78</v>
          </cell>
          <cell r="B230">
            <v>45985</v>
          </cell>
          <cell r="C230" t="str">
            <v/>
          </cell>
          <cell r="D230" t="str">
            <v/>
          </cell>
          <cell r="E230">
            <v>45985</v>
          </cell>
        </row>
        <row r="231">
          <cell r="A231" t="str">
            <v>SFT5B02</v>
          </cell>
          <cell r="B231">
            <v>45988</v>
          </cell>
          <cell r="C231">
            <v>45989</v>
          </cell>
          <cell r="D231" t="str">
            <v/>
          </cell>
          <cell r="E231">
            <v>45989</v>
          </cell>
        </row>
        <row r="232">
          <cell r="A232" t="str">
            <v>SFT5B03</v>
          </cell>
          <cell r="B232">
            <v>45988</v>
          </cell>
          <cell r="C232">
            <v>45989</v>
          </cell>
          <cell r="D232" t="str">
            <v/>
          </cell>
          <cell r="E232">
            <v>45989</v>
          </cell>
        </row>
        <row r="233">
          <cell r="A233" t="str">
            <v>SGH8H48</v>
          </cell>
          <cell r="B233">
            <v>45988</v>
          </cell>
          <cell r="C233">
            <v>45989</v>
          </cell>
          <cell r="D233" t="str">
            <v/>
          </cell>
          <cell r="E233">
            <v>45989</v>
          </cell>
        </row>
        <row r="234">
          <cell r="A234" t="str">
            <v>SGH8C31</v>
          </cell>
          <cell r="B234">
            <v>45988</v>
          </cell>
          <cell r="C234">
            <v>45989</v>
          </cell>
          <cell r="D234" t="str">
            <v/>
          </cell>
          <cell r="E234">
            <v>45989</v>
          </cell>
        </row>
        <row r="235">
          <cell r="A235" t="str">
            <v>SGH8A87</v>
          </cell>
          <cell r="B235">
            <v>45988</v>
          </cell>
          <cell r="C235">
            <v>45989</v>
          </cell>
          <cell r="D235" t="str">
            <v/>
          </cell>
          <cell r="E235">
            <v>45989</v>
          </cell>
        </row>
        <row r="236">
          <cell r="A236" t="str">
            <v>SFT5A73</v>
          </cell>
          <cell r="B236">
            <v>45988</v>
          </cell>
          <cell r="C236" t="str">
            <v/>
          </cell>
          <cell r="D236" t="str">
            <v/>
          </cell>
          <cell r="E236">
            <v>45988</v>
          </cell>
        </row>
        <row r="237">
          <cell r="A237" t="str">
            <v>SGI8G13</v>
          </cell>
          <cell r="B237">
            <v>45988</v>
          </cell>
          <cell r="C237">
            <v>45989</v>
          </cell>
          <cell r="D237" t="str">
            <v/>
          </cell>
          <cell r="E237">
            <v>45989</v>
          </cell>
        </row>
        <row r="238">
          <cell r="A238" t="str">
            <v>SGI9A03</v>
          </cell>
          <cell r="B238" t="str">
            <v xml:space="preserve"> </v>
          </cell>
          <cell r="C238" t="str">
            <v/>
          </cell>
          <cell r="D238" t="str">
            <v/>
          </cell>
          <cell r="E238">
            <v>0</v>
          </cell>
        </row>
        <row r="239">
          <cell r="A239" t="str">
            <v>SGI8H70</v>
          </cell>
          <cell r="B239">
            <v>45974</v>
          </cell>
          <cell r="C239" t="str">
            <v/>
          </cell>
          <cell r="D239" t="str">
            <v/>
          </cell>
          <cell r="E239">
            <v>45974</v>
          </cell>
        </row>
        <row r="240">
          <cell r="A240" t="str">
            <v>SGH8C30</v>
          </cell>
          <cell r="B240">
            <v>45988</v>
          </cell>
          <cell r="C240">
            <v>45989</v>
          </cell>
          <cell r="D240" t="str">
            <v/>
          </cell>
          <cell r="E240">
            <v>45989</v>
          </cell>
        </row>
        <row r="241">
          <cell r="A241" t="str">
            <v>SGH8C37</v>
          </cell>
          <cell r="B241">
            <v>45989</v>
          </cell>
          <cell r="C241">
            <v>45989</v>
          </cell>
          <cell r="D241" t="str">
            <v/>
          </cell>
          <cell r="E241">
            <v>45989</v>
          </cell>
        </row>
        <row r="242">
          <cell r="A242" t="str">
            <v>SGH8C43</v>
          </cell>
          <cell r="B242">
            <v>45989</v>
          </cell>
          <cell r="C242">
            <v>45989</v>
          </cell>
          <cell r="D242" t="str">
            <v/>
          </cell>
          <cell r="E242">
            <v>45989</v>
          </cell>
        </row>
        <row r="243">
          <cell r="A243" t="str">
            <v>SGH8C23</v>
          </cell>
          <cell r="B243">
            <v>45989</v>
          </cell>
          <cell r="C243">
            <v>45989</v>
          </cell>
          <cell r="D243" t="str">
            <v/>
          </cell>
          <cell r="E243">
            <v>45989</v>
          </cell>
        </row>
        <row r="244">
          <cell r="A244" t="str">
            <v>SGH8C38</v>
          </cell>
          <cell r="B244">
            <v>45989</v>
          </cell>
          <cell r="C244">
            <v>45989</v>
          </cell>
          <cell r="D244" t="str">
            <v/>
          </cell>
          <cell r="E244">
            <v>45989</v>
          </cell>
        </row>
        <row r="245">
          <cell r="A245" t="str">
            <v>SGH8B06</v>
          </cell>
          <cell r="B245">
            <v>45988</v>
          </cell>
          <cell r="C245">
            <v>45989</v>
          </cell>
          <cell r="D245" t="str">
            <v/>
          </cell>
          <cell r="E245">
            <v>45989</v>
          </cell>
        </row>
        <row r="246">
          <cell r="A246" t="str">
            <v>SGI8J20</v>
          </cell>
          <cell r="B246">
            <v>45989</v>
          </cell>
          <cell r="C246">
            <v>45989</v>
          </cell>
          <cell r="D246" t="str">
            <v/>
          </cell>
          <cell r="E246">
            <v>45989</v>
          </cell>
        </row>
        <row r="247">
          <cell r="A247" t="str">
            <v>SGH8C32</v>
          </cell>
          <cell r="B247">
            <v>45989</v>
          </cell>
          <cell r="C247">
            <v>45989</v>
          </cell>
          <cell r="D247" t="str">
            <v/>
          </cell>
          <cell r="E247">
            <v>45989</v>
          </cell>
        </row>
        <row r="248">
          <cell r="A248" t="str">
            <v>SGH8A94</v>
          </cell>
          <cell r="B248">
            <v>45989</v>
          </cell>
          <cell r="C248">
            <v>45989</v>
          </cell>
          <cell r="D248" t="str">
            <v/>
          </cell>
          <cell r="E248">
            <v>45989</v>
          </cell>
        </row>
        <row r="249">
          <cell r="A249" t="str">
            <v>SGH8A89</v>
          </cell>
          <cell r="B249">
            <v>45989</v>
          </cell>
          <cell r="C249">
            <v>45989</v>
          </cell>
          <cell r="D249" t="str">
            <v/>
          </cell>
          <cell r="E249">
            <v>45989</v>
          </cell>
        </row>
        <row r="250">
          <cell r="A250" t="str">
            <v>SGI8H89</v>
          </cell>
          <cell r="B250">
            <v>45988</v>
          </cell>
          <cell r="C250">
            <v>45989</v>
          </cell>
          <cell r="D250" t="str">
            <v/>
          </cell>
          <cell r="E250">
            <v>45989</v>
          </cell>
        </row>
        <row r="251">
          <cell r="A251" t="str">
            <v>SGI8H35</v>
          </cell>
          <cell r="B251">
            <v>45989</v>
          </cell>
          <cell r="C251">
            <v>45989</v>
          </cell>
          <cell r="D251" t="str">
            <v/>
          </cell>
          <cell r="E251">
            <v>45989</v>
          </cell>
        </row>
        <row r="252">
          <cell r="A252" t="str">
            <v>SGH8C45</v>
          </cell>
          <cell r="B252">
            <v>45989</v>
          </cell>
          <cell r="C252">
            <v>45989</v>
          </cell>
          <cell r="D252" t="str">
            <v/>
          </cell>
          <cell r="E252">
            <v>45989</v>
          </cell>
        </row>
        <row r="253">
          <cell r="A253" t="str">
            <v>SGH8H52</v>
          </cell>
          <cell r="B253">
            <v>45941</v>
          </cell>
          <cell r="C253" t="str">
            <v/>
          </cell>
          <cell r="D253" t="str">
            <v/>
          </cell>
          <cell r="E253">
            <v>45941</v>
          </cell>
        </row>
        <row r="254">
          <cell r="A254" t="str">
            <v>SGH8C19</v>
          </cell>
          <cell r="B254">
            <v>45989</v>
          </cell>
          <cell r="C254">
            <v>45989</v>
          </cell>
          <cell r="D254" t="str">
            <v/>
          </cell>
          <cell r="E254">
            <v>45989</v>
          </cell>
        </row>
        <row r="255">
          <cell r="A255" t="str">
            <v>SGH8C36</v>
          </cell>
          <cell r="B255">
            <v>45986</v>
          </cell>
          <cell r="C255" t="str">
            <v/>
          </cell>
          <cell r="D255" t="str">
            <v/>
          </cell>
          <cell r="E255">
            <v>45986</v>
          </cell>
        </row>
        <row r="256">
          <cell r="A256" t="str">
            <v>SGH8C28</v>
          </cell>
          <cell r="B256">
            <v>45989</v>
          </cell>
          <cell r="C256">
            <v>45989</v>
          </cell>
          <cell r="D256" t="str">
            <v/>
          </cell>
          <cell r="E256">
            <v>45989</v>
          </cell>
        </row>
        <row r="257">
          <cell r="A257" t="str">
            <v>SGI8G98</v>
          </cell>
          <cell r="B257" t="str">
            <v xml:space="preserve"> </v>
          </cell>
          <cell r="C257">
            <v>45989</v>
          </cell>
          <cell r="D257" t="str">
            <v/>
          </cell>
          <cell r="E257">
            <v>45989</v>
          </cell>
        </row>
        <row r="258">
          <cell r="A258" t="str">
            <v>SGH7J38</v>
          </cell>
          <cell r="B258">
            <v>45981</v>
          </cell>
          <cell r="C258" t="str">
            <v/>
          </cell>
          <cell r="D258" t="str">
            <v/>
          </cell>
          <cell r="E258">
            <v>45981</v>
          </cell>
        </row>
        <row r="259">
          <cell r="A259" t="str">
            <v>SGH8H47</v>
          </cell>
          <cell r="B259">
            <v>45989</v>
          </cell>
          <cell r="C259">
            <v>45989</v>
          </cell>
          <cell r="D259" t="str">
            <v/>
          </cell>
          <cell r="E259">
            <v>45989</v>
          </cell>
        </row>
        <row r="260">
          <cell r="A260" t="str">
            <v>SGH8B55</v>
          </cell>
          <cell r="B260">
            <v>45989</v>
          </cell>
          <cell r="C260">
            <v>45989</v>
          </cell>
          <cell r="D260" t="str">
            <v/>
          </cell>
          <cell r="E260">
            <v>45989</v>
          </cell>
        </row>
        <row r="261">
          <cell r="A261" t="str">
            <v>SGH6H65</v>
          </cell>
          <cell r="B261">
            <v>45989</v>
          </cell>
          <cell r="C261">
            <v>45989</v>
          </cell>
          <cell r="D261" t="str">
            <v/>
          </cell>
          <cell r="E261">
            <v>45989</v>
          </cell>
        </row>
        <row r="262">
          <cell r="A262" t="str">
            <v>SGH8H49</v>
          </cell>
          <cell r="B262">
            <v>45730</v>
          </cell>
          <cell r="C262" t="str">
            <v/>
          </cell>
          <cell r="D262" t="str">
            <v/>
          </cell>
          <cell r="E262">
            <v>45730</v>
          </cell>
        </row>
        <row r="263">
          <cell r="A263" t="str">
            <v>SGI8I40</v>
          </cell>
          <cell r="B263" t="str">
            <v xml:space="preserve"> </v>
          </cell>
          <cell r="C263">
            <v>45989</v>
          </cell>
          <cell r="D263" t="str">
            <v/>
          </cell>
          <cell r="E263">
            <v>45989</v>
          </cell>
        </row>
        <row r="264">
          <cell r="A264" t="str">
            <v>SGH6H75</v>
          </cell>
          <cell r="B264">
            <v>45989</v>
          </cell>
          <cell r="C264">
            <v>45989</v>
          </cell>
          <cell r="D264" t="str">
            <v/>
          </cell>
          <cell r="E264">
            <v>45989</v>
          </cell>
        </row>
        <row r="265">
          <cell r="A265" t="str">
            <v>SGI8J06</v>
          </cell>
          <cell r="B265" t="str">
            <v xml:space="preserve"> </v>
          </cell>
          <cell r="C265" t="str">
            <v/>
          </cell>
          <cell r="D265" t="str">
            <v/>
          </cell>
          <cell r="E265">
            <v>0</v>
          </cell>
        </row>
        <row r="266">
          <cell r="A266" t="str">
            <v>SGH8C34</v>
          </cell>
          <cell r="B266">
            <v>45989</v>
          </cell>
          <cell r="C266" t="str">
            <v/>
          </cell>
          <cell r="D266" t="str">
            <v/>
          </cell>
          <cell r="E266">
            <v>45989</v>
          </cell>
        </row>
        <row r="267">
          <cell r="A267" t="str">
            <v>SGH8C40</v>
          </cell>
          <cell r="B267" t="str">
            <v xml:space="preserve"> </v>
          </cell>
          <cell r="C267" t="str">
            <v/>
          </cell>
          <cell r="D267" t="str">
            <v/>
          </cell>
          <cell r="E267">
            <v>0</v>
          </cell>
        </row>
        <row r="268">
          <cell r="A268" t="str">
            <v>SGH8H50</v>
          </cell>
          <cell r="B268">
            <v>45989</v>
          </cell>
          <cell r="C268">
            <v>45989</v>
          </cell>
          <cell r="D268" t="str">
            <v/>
          </cell>
          <cell r="E268">
            <v>45989</v>
          </cell>
        </row>
        <row r="269">
          <cell r="A269" t="str">
            <v>SGI8H94</v>
          </cell>
          <cell r="B269">
            <v>45989</v>
          </cell>
          <cell r="C269">
            <v>45989</v>
          </cell>
          <cell r="D269" t="str">
            <v/>
          </cell>
          <cell r="E269">
            <v>45989</v>
          </cell>
        </row>
        <row r="270">
          <cell r="A270" t="str">
            <v>SGH0H50</v>
          </cell>
          <cell r="B270" t="str">
            <v xml:space="preserve"> </v>
          </cell>
          <cell r="C270" t="str">
            <v/>
          </cell>
          <cell r="D270" t="str">
            <v/>
          </cell>
          <cell r="E270">
            <v>0</v>
          </cell>
        </row>
        <row r="271">
          <cell r="A271" t="str">
            <v>SGH0H12</v>
          </cell>
          <cell r="B271">
            <v>45989</v>
          </cell>
          <cell r="C271">
            <v>45989</v>
          </cell>
          <cell r="D271" t="str">
            <v/>
          </cell>
          <cell r="E271">
            <v>45989</v>
          </cell>
        </row>
        <row r="272">
          <cell r="A272" t="str">
            <v>SGH0H38</v>
          </cell>
          <cell r="B272">
            <v>45978</v>
          </cell>
          <cell r="C272" t="str">
            <v/>
          </cell>
          <cell r="D272" t="str">
            <v/>
          </cell>
          <cell r="E272">
            <v>45978</v>
          </cell>
        </row>
        <row r="273">
          <cell r="A273" t="str">
            <v>SGH0H15</v>
          </cell>
          <cell r="B273">
            <v>45979</v>
          </cell>
          <cell r="C273" t="str">
            <v/>
          </cell>
          <cell r="D273" t="str">
            <v/>
          </cell>
          <cell r="E273">
            <v>45979</v>
          </cell>
        </row>
        <row r="274">
          <cell r="A274" t="str">
            <v>SGH0H07</v>
          </cell>
          <cell r="B274">
            <v>45982</v>
          </cell>
          <cell r="C274" t="str">
            <v/>
          </cell>
          <cell r="D274" t="str">
            <v/>
          </cell>
          <cell r="E274">
            <v>45982</v>
          </cell>
        </row>
        <row r="275">
          <cell r="A275" t="str">
            <v>SGH0H25</v>
          </cell>
          <cell r="B275">
            <v>45989</v>
          </cell>
          <cell r="C275" t="str">
            <v/>
          </cell>
          <cell r="D275" t="str">
            <v/>
          </cell>
          <cell r="E275">
            <v>45989</v>
          </cell>
        </row>
        <row r="276">
          <cell r="A276" t="str">
            <v>SGH0H45</v>
          </cell>
          <cell r="B276">
            <v>45988</v>
          </cell>
          <cell r="C276">
            <v>45989</v>
          </cell>
          <cell r="D276" t="str">
            <v/>
          </cell>
          <cell r="E276">
            <v>45989</v>
          </cell>
        </row>
        <row r="277">
          <cell r="A277" t="str">
            <v>SGH0H27</v>
          </cell>
          <cell r="B277">
            <v>45988</v>
          </cell>
          <cell r="C277">
            <v>45989</v>
          </cell>
          <cell r="D277" t="str">
            <v/>
          </cell>
          <cell r="E277">
            <v>45989</v>
          </cell>
        </row>
        <row r="278">
          <cell r="A278" t="str">
            <v>SGH0H29</v>
          </cell>
          <cell r="B278">
            <v>45989</v>
          </cell>
          <cell r="C278">
            <v>45989</v>
          </cell>
          <cell r="D278" t="str">
            <v/>
          </cell>
          <cell r="E278">
            <v>45989</v>
          </cell>
        </row>
        <row r="279">
          <cell r="A279" t="str">
            <v>SGH0H18</v>
          </cell>
          <cell r="B279">
            <v>45966</v>
          </cell>
          <cell r="C279" t="str">
            <v/>
          </cell>
          <cell r="D279" t="str">
            <v/>
          </cell>
          <cell r="E279">
            <v>45966</v>
          </cell>
        </row>
        <row r="280">
          <cell r="A280" t="str">
            <v>SGH1B19</v>
          </cell>
          <cell r="B280">
            <v>45989</v>
          </cell>
          <cell r="C280">
            <v>45989</v>
          </cell>
          <cell r="D280" t="str">
            <v/>
          </cell>
          <cell r="E280">
            <v>45989</v>
          </cell>
        </row>
        <row r="281">
          <cell r="A281" t="str">
            <v>SGH0H49</v>
          </cell>
          <cell r="B281" t="str">
            <v xml:space="preserve"> </v>
          </cell>
          <cell r="C281" t="str">
            <v/>
          </cell>
          <cell r="D281" t="str">
            <v/>
          </cell>
          <cell r="E281">
            <v>0</v>
          </cell>
        </row>
        <row r="282">
          <cell r="A282" t="str">
            <v>SGI8H83</v>
          </cell>
          <cell r="B282">
            <v>45989</v>
          </cell>
          <cell r="C282">
            <v>45989</v>
          </cell>
          <cell r="D282" t="str">
            <v/>
          </cell>
          <cell r="E282">
            <v>45989</v>
          </cell>
        </row>
        <row r="283">
          <cell r="A283" t="str">
            <v>SFT5A41</v>
          </cell>
          <cell r="B283" t="str">
            <v xml:space="preserve"> </v>
          </cell>
          <cell r="C283">
            <v>45989</v>
          </cell>
          <cell r="D283" t="str">
            <v/>
          </cell>
          <cell r="E283">
            <v>45989</v>
          </cell>
        </row>
        <row r="284">
          <cell r="A284" t="str">
            <v>SFT5A46</v>
          </cell>
          <cell r="B284">
            <v>45989</v>
          </cell>
          <cell r="C284">
            <v>45989</v>
          </cell>
          <cell r="D284" t="str">
            <v/>
          </cell>
          <cell r="E284">
            <v>45989</v>
          </cell>
        </row>
        <row r="285">
          <cell r="A285" t="str">
            <v>SGI8H03</v>
          </cell>
          <cell r="B285">
            <v>45988</v>
          </cell>
          <cell r="C285">
            <v>45989</v>
          </cell>
          <cell r="D285" t="str">
            <v/>
          </cell>
          <cell r="E285">
            <v>45989</v>
          </cell>
        </row>
        <row r="286">
          <cell r="A286" t="str">
            <v>SGI8I77</v>
          </cell>
          <cell r="B286">
            <v>45988</v>
          </cell>
          <cell r="C286">
            <v>45989</v>
          </cell>
          <cell r="D286" t="str">
            <v/>
          </cell>
          <cell r="E286">
            <v>45989</v>
          </cell>
        </row>
        <row r="287">
          <cell r="A287" t="str">
            <v>SGI8I82</v>
          </cell>
          <cell r="B287">
            <v>45988</v>
          </cell>
          <cell r="C287">
            <v>45989</v>
          </cell>
          <cell r="D287" t="str">
            <v/>
          </cell>
          <cell r="E287">
            <v>45989</v>
          </cell>
        </row>
        <row r="288">
          <cell r="A288" t="str">
            <v>SGH9G33</v>
          </cell>
          <cell r="B288">
            <v>45989</v>
          </cell>
          <cell r="C288" t="str">
            <v/>
          </cell>
          <cell r="D288" t="str">
            <v/>
          </cell>
          <cell r="E288">
            <v>45989</v>
          </cell>
        </row>
        <row r="289">
          <cell r="A289" t="str">
            <v>SGI8G92</v>
          </cell>
          <cell r="B289">
            <v>45989</v>
          </cell>
          <cell r="C289">
            <v>45989</v>
          </cell>
          <cell r="D289" t="str">
            <v/>
          </cell>
          <cell r="E289">
            <v>45989</v>
          </cell>
        </row>
        <row r="290">
          <cell r="A290" t="str">
            <v>SGI8J03</v>
          </cell>
          <cell r="B290">
            <v>45988</v>
          </cell>
          <cell r="C290">
            <v>45989</v>
          </cell>
          <cell r="D290" t="str">
            <v/>
          </cell>
          <cell r="E290">
            <v>45989</v>
          </cell>
        </row>
        <row r="291">
          <cell r="A291" t="str">
            <v>SGI8H12</v>
          </cell>
          <cell r="B291">
            <v>45988</v>
          </cell>
          <cell r="C291">
            <v>45989</v>
          </cell>
          <cell r="D291" t="str">
            <v/>
          </cell>
          <cell r="E291">
            <v>45989</v>
          </cell>
        </row>
        <row r="292">
          <cell r="A292" t="str">
            <v>SGI8I01</v>
          </cell>
          <cell r="B292">
            <v>45988</v>
          </cell>
          <cell r="C292">
            <v>45989</v>
          </cell>
          <cell r="D292" t="str">
            <v/>
          </cell>
          <cell r="E292">
            <v>45989</v>
          </cell>
        </row>
        <row r="293">
          <cell r="A293" t="str">
            <v>SGI8I28</v>
          </cell>
          <cell r="B293">
            <v>45988</v>
          </cell>
          <cell r="C293">
            <v>45989</v>
          </cell>
          <cell r="D293" t="str">
            <v/>
          </cell>
          <cell r="E293">
            <v>45989</v>
          </cell>
        </row>
        <row r="294">
          <cell r="A294" t="str">
            <v>SFW0A31</v>
          </cell>
          <cell r="B294">
            <v>45988</v>
          </cell>
          <cell r="C294">
            <v>45989</v>
          </cell>
          <cell r="D294" t="str">
            <v/>
          </cell>
          <cell r="E294">
            <v>45989</v>
          </cell>
        </row>
        <row r="295">
          <cell r="A295" t="str">
            <v>SGH8A75</v>
          </cell>
          <cell r="B295">
            <v>45988</v>
          </cell>
          <cell r="C295">
            <v>45989</v>
          </cell>
          <cell r="D295" t="str">
            <v/>
          </cell>
          <cell r="E295">
            <v>45989</v>
          </cell>
        </row>
        <row r="296">
          <cell r="A296" t="str">
            <v>SGH6H78</v>
          </cell>
          <cell r="B296">
            <v>45989</v>
          </cell>
          <cell r="C296" t="str">
            <v/>
          </cell>
          <cell r="D296" t="str">
            <v/>
          </cell>
          <cell r="E296">
            <v>45989</v>
          </cell>
        </row>
        <row r="297">
          <cell r="A297" t="str">
            <v>SGH7J35</v>
          </cell>
          <cell r="B297" t="str">
            <v xml:space="preserve"> </v>
          </cell>
          <cell r="C297">
            <v>45989</v>
          </cell>
          <cell r="D297" t="str">
            <v/>
          </cell>
          <cell r="E297">
            <v>45989</v>
          </cell>
        </row>
        <row r="298">
          <cell r="A298" t="str">
            <v>SGH8H44</v>
          </cell>
          <cell r="B298">
            <v>45989</v>
          </cell>
          <cell r="C298" t="str">
            <v/>
          </cell>
          <cell r="D298" t="str">
            <v/>
          </cell>
          <cell r="E298">
            <v>45989</v>
          </cell>
        </row>
        <row r="299">
          <cell r="A299" t="str">
            <v>SGH8C18</v>
          </cell>
          <cell r="B299">
            <v>45988</v>
          </cell>
          <cell r="C299">
            <v>45989</v>
          </cell>
          <cell r="D299" t="str">
            <v/>
          </cell>
          <cell r="E299">
            <v>45989</v>
          </cell>
        </row>
        <row r="300">
          <cell r="A300" t="str">
            <v>SGI8I32</v>
          </cell>
          <cell r="B300">
            <v>45989</v>
          </cell>
          <cell r="C300">
            <v>45989</v>
          </cell>
          <cell r="D300" t="str">
            <v/>
          </cell>
          <cell r="E300">
            <v>45989</v>
          </cell>
        </row>
        <row r="301">
          <cell r="A301" t="str">
            <v>SGI8J51</v>
          </cell>
          <cell r="B301">
            <v>45988</v>
          </cell>
          <cell r="C301">
            <v>45989</v>
          </cell>
          <cell r="D301" t="str">
            <v/>
          </cell>
          <cell r="E301">
            <v>45989</v>
          </cell>
        </row>
        <row r="302">
          <cell r="A302" t="str">
            <v>SGI8I46</v>
          </cell>
          <cell r="B302">
            <v>45989</v>
          </cell>
          <cell r="C302">
            <v>45989</v>
          </cell>
          <cell r="D302" t="str">
            <v/>
          </cell>
          <cell r="E302">
            <v>45989</v>
          </cell>
        </row>
        <row r="303">
          <cell r="A303" t="str">
            <v>SGH8H53</v>
          </cell>
          <cell r="B303">
            <v>45989</v>
          </cell>
          <cell r="C303">
            <v>45989</v>
          </cell>
          <cell r="D303" t="str">
            <v/>
          </cell>
          <cell r="E303">
            <v>45989</v>
          </cell>
        </row>
        <row r="304">
          <cell r="A304" t="str">
            <v>SGI8I36</v>
          </cell>
          <cell r="B304">
            <v>45989</v>
          </cell>
          <cell r="C304">
            <v>45989</v>
          </cell>
          <cell r="D304" t="str">
            <v/>
          </cell>
          <cell r="E304">
            <v>45989</v>
          </cell>
        </row>
        <row r="305">
          <cell r="A305" t="str">
            <v>SFT5A10</v>
          </cell>
          <cell r="B305">
            <v>45989</v>
          </cell>
          <cell r="C305">
            <v>45989</v>
          </cell>
          <cell r="D305" t="str">
            <v/>
          </cell>
          <cell r="E305">
            <v>45989</v>
          </cell>
        </row>
        <row r="306">
          <cell r="A306" t="str">
            <v>SFT5A90</v>
          </cell>
          <cell r="B306">
            <v>45989</v>
          </cell>
          <cell r="C306">
            <v>45989</v>
          </cell>
          <cell r="D306" t="str">
            <v/>
          </cell>
          <cell r="E306">
            <v>45989</v>
          </cell>
        </row>
        <row r="307">
          <cell r="A307" t="str">
            <v>SFT5A59</v>
          </cell>
          <cell r="B307" t="str">
            <v xml:space="preserve"> </v>
          </cell>
          <cell r="C307" t="str">
            <v/>
          </cell>
          <cell r="D307" t="str">
            <v/>
          </cell>
          <cell r="E307">
            <v>0</v>
          </cell>
        </row>
        <row r="308">
          <cell r="A308" t="str">
            <v>SFT5A25</v>
          </cell>
          <cell r="B308">
            <v>45989</v>
          </cell>
          <cell r="C308">
            <v>45989</v>
          </cell>
          <cell r="D308" t="str">
            <v/>
          </cell>
          <cell r="E308">
            <v>45989</v>
          </cell>
        </row>
        <row r="309">
          <cell r="A309" t="str">
            <v>SFT5A06</v>
          </cell>
          <cell r="B309">
            <v>45989</v>
          </cell>
          <cell r="C309">
            <v>45989</v>
          </cell>
          <cell r="D309" t="str">
            <v/>
          </cell>
          <cell r="E309">
            <v>45989</v>
          </cell>
        </row>
        <row r="310">
          <cell r="A310" t="str">
            <v>SFT5A50</v>
          </cell>
          <cell r="B310">
            <v>45989</v>
          </cell>
          <cell r="C310">
            <v>45989</v>
          </cell>
          <cell r="D310" t="str">
            <v/>
          </cell>
          <cell r="E310">
            <v>45989</v>
          </cell>
        </row>
        <row r="311">
          <cell r="A311" t="str">
            <v>SFT5A20</v>
          </cell>
          <cell r="B311">
            <v>45986</v>
          </cell>
          <cell r="C311" t="str">
            <v/>
          </cell>
          <cell r="D311" t="str">
            <v/>
          </cell>
          <cell r="E311">
            <v>45986</v>
          </cell>
        </row>
        <row r="312">
          <cell r="A312" t="str">
            <v>SFT5A29</v>
          </cell>
          <cell r="B312">
            <v>45989</v>
          </cell>
          <cell r="C312">
            <v>45989</v>
          </cell>
          <cell r="D312" t="str">
            <v/>
          </cell>
          <cell r="E312">
            <v>45989</v>
          </cell>
        </row>
        <row r="313">
          <cell r="A313" t="str">
            <v>SFT5A34</v>
          </cell>
          <cell r="B313">
            <v>45988</v>
          </cell>
          <cell r="C313">
            <v>45989</v>
          </cell>
          <cell r="D313" t="str">
            <v/>
          </cell>
          <cell r="E313">
            <v>45989</v>
          </cell>
        </row>
        <row r="314">
          <cell r="A314" t="str">
            <v>SFT5A52</v>
          </cell>
          <cell r="B314">
            <v>45925</v>
          </cell>
          <cell r="C314" t="str">
            <v/>
          </cell>
          <cell r="D314" t="str">
            <v/>
          </cell>
          <cell r="E314">
            <v>45925</v>
          </cell>
        </row>
        <row r="315">
          <cell r="A315" t="str">
            <v>SFT5A79</v>
          </cell>
          <cell r="B315">
            <v>45989</v>
          </cell>
          <cell r="C315">
            <v>45989</v>
          </cell>
          <cell r="D315" t="str">
            <v/>
          </cell>
          <cell r="E315">
            <v>45989</v>
          </cell>
        </row>
        <row r="316">
          <cell r="A316" t="str">
            <v>SFT5A98</v>
          </cell>
          <cell r="B316">
            <v>45989</v>
          </cell>
          <cell r="C316">
            <v>45989</v>
          </cell>
          <cell r="D316" t="str">
            <v/>
          </cell>
          <cell r="E316">
            <v>45989</v>
          </cell>
        </row>
        <row r="317">
          <cell r="A317" t="str">
            <v>SFT5B15</v>
          </cell>
          <cell r="B317">
            <v>45953</v>
          </cell>
          <cell r="C317" t="str">
            <v/>
          </cell>
          <cell r="D317" t="str">
            <v/>
          </cell>
          <cell r="E317">
            <v>45953</v>
          </cell>
        </row>
        <row r="318">
          <cell r="A318" t="str">
            <v>SFV0D50</v>
          </cell>
          <cell r="B318">
            <v>45988</v>
          </cell>
          <cell r="C318">
            <v>45989</v>
          </cell>
          <cell r="D318" t="str">
            <v/>
          </cell>
          <cell r="E318">
            <v>45989</v>
          </cell>
        </row>
        <row r="319">
          <cell r="A319" t="str">
            <v>SFV0D00</v>
          </cell>
          <cell r="B319">
            <v>45988</v>
          </cell>
          <cell r="C319">
            <v>45989</v>
          </cell>
          <cell r="D319" t="str">
            <v/>
          </cell>
          <cell r="E319">
            <v>45989</v>
          </cell>
        </row>
        <row r="320">
          <cell r="A320" t="str">
            <v>SFV0D65</v>
          </cell>
          <cell r="B320">
            <v>45989</v>
          </cell>
          <cell r="C320">
            <v>45989</v>
          </cell>
          <cell r="D320" t="str">
            <v/>
          </cell>
          <cell r="E320">
            <v>45989</v>
          </cell>
        </row>
        <row r="321">
          <cell r="A321" t="str">
            <v>SFW2F16</v>
          </cell>
          <cell r="B321">
            <v>45988</v>
          </cell>
          <cell r="C321">
            <v>45989</v>
          </cell>
          <cell r="D321" t="str">
            <v/>
          </cell>
          <cell r="E321">
            <v>45989</v>
          </cell>
        </row>
        <row r="322">
          <cell r="A322" t="str">
            <v>SFW2E95</v>
          </cell>
          <cell r="B322">
            <v>45989</v>
          </cell>
          <cell r="C322">
            <v>45989</v>
          </cell>
          <cell r="D322" t="str">
            <v/>
          </cell>
          <cell r="E322">
            <v>45989</v>
          </cell>
        </row>
        <row r="323">
          <cell r="A323" t="str">
            <v>SFW2D98</v>
          </cell>
          <cell r="B323">
            <v>45989</v>
          </cell>
          <cell r="C323">
            <v>45989</v>
          </cell>
          <cell r="D323" t="str">
            <v/>
          </cell>
          <cell r="E323">
            <v>45989</v>
          </cell>
        </row>
        <row r="324">
          <cell r="A324" t="str">
            <v>SFW2C66</v>
          </cell>
          <cell r="B324">
            <v>45989</v>
          </cell>
          <cell r="C324">
            <v>45989</v>
          </cell>
          <cell r="D324" t="str">
            <v/>
          </cell>
          <cell r="E324">
            <v>45989</v>
          </cell>
        </row>
        <row r="325">
          <cell r="A325" t="str">
            <v>SFW2C23</v>
          </cell>
          <cell r="B325">
            <v>45989</v>
          </cell>
          <cell r="C325">
            <v>45989</v>
          </cell>
          <cell r="D325" t="str">
            <v/>
          </cell>
          <cell r="E325">
            <v>45989</v>
          </cell>
        </row>
        <row r="326">
          <cell r="A326" t="str">
            <v>SFW2B92</v>
          </cell>
          <cell r="B326">
            <v>45989</v>
          </cell>
          <cell r="C326">
            <v>45989</v>
          </cell>
          <cell r="D326" t="str">
            <v/>
          </cell>
          <cell r="E326">
            <v>45989</v>
          </cell>
        </row>
        <row r="327">
          <cell r="A327" t="str">
            <v>SFW2B88</v>
          </cell>
          <cell r="B327">
            <v>45989</v>
          </cell>
          <cell r="C327">
            <v>45989</v>
          </cell>
          <cell r="D327" t="str">
            <v/>
          </cell>
          <cell r="E327">
            <v>45989</v>
          </cell>
        </row>
        <row r="328">
          <cell r="A328" t="str">
            <v>SFW2B76</v>
          </cell>
          <cell r="B328">
            <v>45789</v>
          </cell>
          <cell r="C328" t="str">
            <v/>
          </cell>
          <cell r="D328" t="str">
            <v/>
          </cell>
          <cell r="E328">
            <v>45789</v>
          </cell>
        </row>
        <row r="329">
          <cell r="A329" t="str">
            <v>SFW2B32</v>
          </cell>
          <cell r="B329">
            <v>45989</v>
          </cell>
          <cell r="C329">
            <v>45989</v>
          </cell>
          <cell r="D329" t="str">
            <v/>
          </cell>
          <cell r="E329">
            <v>45989</v>
          </cell>
        </row>
        <row r="330">
          <cell r="A330" t="str">
            <v>SFW0A73</v>
          </cell>
          <cell r="B330">
            <v>45989</v>
          </cell>
          <cell r="C330">
            <v>45989</v>
          </cell>
          <cell r="D330" t="str">
            <v/>
          </cell>
          <cell r="E330">
            <v>45989</v>
          </cell>
        </row>
        <row r="331">
          <cell r="A331" t="str">
            <v>SFW0A69</v>
          </cell>
          <cell r="B331">
            <v>45989</v>
          </cell>
          <cell r="C331">
            <v>45989</v>
          </cell>
          <cell r="D331" t="str">
            <v/>
          </cell>
          <cell r="E331">
            <v>45989</v>
          </cell>
        </row>
        <row r="332">
          <cell r="A332" t="str">
            <v>SFW0A67</v>
          </cell>
          <cell r="B332">
            <v>45913</v>
          </cell>
          <cell r="C332" t="str">
            <v/>
          </cell>
          <cell r="D332" t="str">
            <v/>
          </cell>
          <cell r="E332">
            <v>45913</v>
          </cell>
        </row>
        <row r="333">
          <cell r="A333" t="str">
            <v>SFW0A65</v>
          </cell>
          <cell r="B333">
            <v>45989</v>
          </cell>
          <cell r="C333">
            <v>45989</v>
          </cell>
          <cell r="D333" t="str">
            <v/>
          </cell>
          <cell r="E333">
            <v>45989</v>
          </cell>
        </row>
        <row r="334">
          <cell r="A334" t="str">
            <v>SFW0A59</v>
          </cell>
          <cell r="B334">
            <v>45989</v>
          </cell>
          <cell r="C334">
            <v>45989</v>
          </cell>
          <cell r="D334" t="str">
            <v/>
          </cell>
          <cell r="E334">
            <v>45989</v>
          </cell>
        </row>
        <row r="335">
          <cell r="A335" t="str">
            <v>SFW0A41</v>
          </cell>
          <cell r="B335">
            <v>45988</v>
          </cell>
          <cell r="C335">
            <v>45989</v>
          </cell>
          <cell r="D335" t="str">
            <v/>
          </cell>
          <cell r="E335">
            <v>45989</v>
          </cell>
        </row>
        <row r="336">
          <cell r="A336" t="str">
            <v>SFW0A40</v>
          </cell>
          <cell r="B336">
            <v>45591</v>
          </cell>
          <cell r="C336" t="str">
            <v/>
          </cell>
          <cell r="D336" t="str">
            <v/>
          </cell>
          <cell r="E336">
            <v>45591</v>
          </cell>
        </row>
        <row r="337">
          <cell r="A337" t="str">
            <v>SFW0A39</v>
          </cell>
          <cell r="B337">
            <v>45989</v>
          </cell>
          <cell r="C337">
            <v>45989</v>
          </cell>
          <cell r="D337" t="str">
            <v/>
          </cell>
          <cell r="E337">
            <v>45989</v>
          </cell>
        </row>
        <row r="338">
          <cell r="A338" t="str">
            <v>SFW0A27</v>
          </cell>
          <cell r="B338">
            <v>45989</v>
          </cell>
          <cell r="C338">
            <v>45989</v>
          </cell>
          <cell r="D338" t="str">
            <v/>
          </cell>
          <cell r="E338">
            <v>45989</v>
          </cell>
        </row>
        <row r="339">
          <cell r="A339" t="str">
            <v>SFW0A32</v>
          </cell>
          <cell r="B339">
            <v>45989</v>
          </cell>
          <cell r="C339">
            <v>45989</v>
          </cell>
          <cell r="D339" t="str">
            <v/>
          </cell>
          <cell r="E339">
            <v>45989</v>
          </cell>
        </row>
        <row r="340">
          <cell r="A340" t="str">
            <v>SFW0A34</v>
          </cell>
          <cell r="B340" t="str">
            <v xml:space="preserve"> </v>
          </cell>
          <cell r="C340">
            <v>45989</v>
          </cell>
          <cell r="D340" t="str">
            <v/>
          </cell>
          <cell r="E340">
            <v>45989</v>
          </cell>
        </row>
        <row r="341">
          <cell r="A341" t="str">
            <v>SFW6D03</v>
          </cell>
          <cell r="B341">
            <v>45988</v>
          </cell>
          <cell r="C341">
            <v>45989</v>
          </cell>
          <cell r="D341" t="str">
            <v/>
          </cell>
          <cell r="E341">
            <v>45989</v>
          </cell>
        </row>
        <row r="342">
          <cell r="A342" t="str">
            <v>SFW6D16</v>
          </cell>
          <cell r="B342">
            <v>45988</v>
          </cell>
          <cell r="C342">
            <v>45989</v>
          </cell>
          <cell r="D342" t="str">
            <v/>
          </cell>
          <cell r="E342">
            <v>45989</v>
          </cell>
        </row>
        <row r="343">
          <cell r="A343" t="str">
            <v>SFW6D05</v>
          </cell>
          <cell r="B343">
            <v>45989</v>
          </cell>
          <cell r="C343">
            <v>45989</v>
          </cell>
          <cell r="D343" t="str">
            <v/>
          </cell>
          <cell r="E343">
            <v>45989</v>
          </cell>
        </row>
        <row r="344">
          <cell r="A344" t="str">
            <v>SFZ4A58</v>
          </cell>
          <cell r="B344" t="str">
            <v xml:space="preserve"> </v>
          </cell>
          <cell r="C344">
            <v>45989</v>
          </cell>
          <cell r="D344" t="str">
            <v/>
          </cell>
          <cell r="E344">
            <v>45989</v>
          </cell>
        </row>
        <row r="345">
          <cell r="A345" t="str">
            <v>SGB7C14</v>
          </cell>
          <cell r="B345" t="str">
            <v xml:space="preserve"> </v>
          </cell>
          <cell r="C345" t="str">
            <v/>
          </cell>
          <cell r="D345" t="str">
            <v/>
          </cell>
          <cell r="E345">
            <v>0</v>
          </cell>
        </row>
        <row r="346">
          <cell r="A346" t="str">
            <v>SGB7B84</v>
          </cell>
          <cell r="B346" t="str">
            <v xml:space="preserve"> </v>
          </cell>
          <cell r="C346" t="str">
            <v/>
          </cell>
          <cell r="D346" t="str">
            <v/>
          </cell>
          <cell r="E346">
            <v>0</v>
          </cell>
        </row>
        <row r="347">
          <cell r="A347" t="str">
            <v>SGB7B11</v>
          </cell>
          <cell r="B347" t="str">
            <v xml:space="preserve"> </v>
          </cell>
          <cell r="C347" t="str">
            <v/>
          </cell>
          <cell r="D347" t="str">
            <v/>
          </cell>
          <cell r="E347">
            <v>0</v>
          </cell>
        </row>
        <row r="348">
          <cell r="A348" t="str">
            <v>SVR0C16</v>
          </cell>
          <cell r="B348" t="str">
            <v xml:space="preserve"> </v>
          </cell>
          <cell r="C348">
            <v>45989</v>
          </cell>
          <cell r="D348" t="str">
            <v/>
          </cell>
          <cell r="E348">
            <v>45989</v>
          </cell>
        </row>
        <row r="349">
          <cell r="A349" t="str">
            <v>SUI1I27</v>
          </cell>
          <cell r="B349" t="str">
            <v xml:space="preserve"> </v>
          </cell>
          <cell r="C349" t="str">
            <v/>
          </cell>
          <cell r="D349" t="str">
            <v/>
          </cell>
          <cell r="E349">
            <v>0</v>
          </cell>
        </row>
        <row r="350">
          <cell r="A350" t="str">
            <v>SWV3D77</v>
          </cell>
          <cell r="B350">
            <v>45973</v>
          </cell>
          <cell r="C350" t="str">
            <v/>
          </cell>
          <cell r="D350" t="str">
            <v/>
          </cell>
          <cell r="E350">
            <v>45973</v>
          </cell>
        </row>
        <row r="351">
          <cell r="A351" t="str">
            <v>SWP0G46</v>
          </cell>
          <cell r="B351">
            <v>45988</v>
          </cell>
          <cell r="C351">
            <v>45989</v>
          </cell>
          <cell r="D351" t="str">
            <v/>
          </cell>
          <cell r="E351">
            <v>45989</v>
          </cell>
        </row>
        <row r="352">
          <cell r="A352" t="str">
            <v>SUD0I56</v>
          </cell>
          <cell r="B352" t="str">
            <v xml:space="preserve"> </v>
          </cell>
          <cell r="C352">
            <v>45989</v>
          </cell>
          <cell r="D352" t="str">
            <v/>
          </cell>
          <cell r="E352">
            <v>45989</v>
          </cell>
        </row>
        <row r="353">
          <cell r="A353" t="str">
            <v>SWK0B78</v>
          </cell>
          <cell r="B353" t="str">
            <v xml:space="preserve"> </v>
          </cell>
          <cell r="C353">
            <v>45989</v>
          </cell>
          <cell r="D353" t="str">
            <v/>
          </cell>
          <cell r="E353">
            <v>45989</v>
          </cell>
        </row>
        <row r="354">
          <cell r="A354" t="str">
            <v>SVA0I78</v>
          </cell>
          <cell r="B354">
            <v>45942</v>
          </cell>
          <cell r="C354" t="str">
            <v/>
          </cell>
          <cell r="D354" t="str">
            <v/>
          </cell>
          <cell r="E354">
            <v>45942</v>
          </cell>
        </row>
        <row r="355">
          <cell r="A355" t="str">
            <v>SUP2B68</v>
          </cell>
          <cell r="B355">
            <v>45988</v>
          </cell>
          <cell r="C355">
            <v>45989</v>
          </cell>
          <cell r="D355" t="str">
            <v/>
          </cell>
          <cell r="E355">
            <v>45989</v>
          </cell>
        </row>
        <row r="356">
          <cell r="A356" t="str">
            <v>SWY8C17</v>
          </cell>
          <cell r="B356" t="str">
            <v xml:space="preserve"> </v>
          </cell>
          <cell r="C356">
            <v>45989</v>
          </cell>
          <cell r="D356" t="str">
            <v/>
          </cell>
          <cell r="E356">
            <v>45989</v>
          </cell>
        </row>
        <row r="357">
          <cell r="A357" t="str">
            <v>SUD2F68</v>
          </cell>
          <cell r="B357">
            <v>45989</v>
          </cell>
          <cell r="C357" t="str">
            <v/>
          </cell>
          <cell r="D357" t="str">
            <v/>
          </cell>
          <cell r="E357">
            <v>45989</v>
          </cell>
        </row>
        <row r="358">
          <cell r="A358" t="str">
            <v>STY4H28</v>
          </cell>
          <cell r="B358" t="str">
            <v xml:space="preserve"> </v>
          </cell>
          <cell r="C358" t="str">
            <v/>
          </cell>
          <cell r="D358" t="str">
            <v/>
          </cell>
          <cell r="E358">
            <v>0</v>
          </cell>
        </row>
        <row r="359">
          <cell r="A359" t="str">
            <v>SUU7D47</v>
          </cell>
          <cell r="B359">
            <v>45988</v>
          </cell>
          <cell r="C359">
            <v>45989</v>
          </cell>
          <cell r="D359" t="str">
            <v/>
          </cell>
          <cell r="E359">
            <v>45989</v>
          </cell>
        </row>
        <row r="360">
          <cell r="A360" t="str">
            <v>SUR6J68</v>
          </cell>
          <cell r="B360">
            <v>45989</v>
          </cell>
          <cell r="C360">
            <v>45989</v>
          </cell>
          <cell r="D360" t="str">
            <v/>
          </cell>
          <cell r="E360">
            <v>45989</v>
          </cell>
        </row>
        <row r="361">
          <cell r="A361" t="str">
            <v>SUX1H87</v>
          </cell>
          <cell r="B361">
            <v>45980</v>
          </cell>
          <cell r="C361" t="str">
            <v/>
          </cell>
          <cell r="D361" t="str">
            <v/>
          </cell>
          <cell r="E361">
            <v>45980</v>
          </cell>
        </row>
        <row r="362">
          <cell r="A362" t="str">
            <v>SWA1G38</v>
          </cell>
          <cell r="B362">
            <v>45988</v>
          </cell>
          <cell r="C362">
            <v>45989</v>
          </cell>
          <cell r="D362" t="str">
            <v/>
          </cell>
          <cell r="E362">
            <v>45989</v>
          </cell>
        </row>
        <row r="363">
          <cell r="A363" t="str">
            <v>SUY2B70</v>
          </cell>
          <cell r="B363">
            <v>45989</v>
          </cell>
          <cell r="C363">
            <v>45989</v>
          </cell>
          <cell r="D363" t="str">
            <v/>
          </cell>
          <cell r="E363">
            <v>45989</v>
          </cell>
        </row>
        <row r="364">
          <cell r="A364" t="str">
            <v>STB1E48</v>
          </cell>
          <cell r="B364" t="str">
            <v xml:space="preserve"> </v>
          </cell>
          <cell r="C364">
            <v>45989</v>
          </cell>
          <cell r="D364" t="str">
            <v/>
          </cell>
          <cell r="E364">
            <v>45989</v>
          </cell>
        </row>
        <row r="365">
          <cell r="A365" t="str">
            <v>SUG0F28</v>
          </cell>
          <cell r="B365" t="str">
            <v xml:space="preserve"> </v>
          </cell>
          <cell r="C365">
            <v>45989</v>
          </cell>
          <cell r="D365" t="str">
            <v/>
          </cell>
          <cell r="E365">
            <v>45989</v>
          </cell>
        </row>
        <row r="366">
          <cell r="A366" t="str">
            <v>SWZ7J67</v>
          </cell>
          <cell r="B366" t="str">
            <v xml:space="preserve"> </v>
          </cell>
          <cell r="C366" t="str">
            <v/>
          </cell>
          <cell r="D366" t="str">
            <v/>
          </cell>
          <cell r="E366">
            <v>0</v>
          </cell>
        </row>
        <row r="367">
          <cell r="A367" t="str">
            <v>SVT2F29</v>
          </cell>
          <cell r="B367">
            <v>45976</v>
          </cell>
          <cell r="C367" t="str">
            <v/>
          </cell>
          <cell r="D367" t="str">
            <v/>
          </cell>
          <cell r="E367">
            <v>45976</v>
          </cell>
        </row>
        <row r="368">
          <cell r="A368" t="str">
            <v>SUR9C50</v>
          </cell>
          <cell r="B368" t="str">
            <v xml:space="preserve"> </v>
          </cell>
          <cell r="C368" t="str">
            <v/>
          </cell>
          <cell r="D368" t="str">
            <v/>
          </cell>
          <cell r="E368">
            <v>0</v>
          </cell>
        </row>
        <row r="369">
          <cell r="A369" t="str">
            <v>SVI0D38</v>
          </cell>
          <cell r="B369">
            <v>45988</v>
          </cell>
          <cell r="C369">
            <v>45989</v>
          </cell>
          <cell r="D369" t="str">
            <v/>
          </cell>
          <cell r="E369">
            <v>45989</v>
          </cell>
        </row>
        <row r="370">
          <cell r="A370" t="str">
            <v>FDX3G43</v>
          </cell>
          <cell r="B370" t="str">
            <v xml:space="preserve"> </v>
          </cell>
          <cell r="C370" t="str">
            <v/>
          </cell>
          <cell r="D370" t="str">
            <v/>
          </cell>
          <cell r="E370">
            <v>0</v>
          </cell>
        </row>
        <row r="371">
          <cell r="A371" t="str">
            <v>SUI6F96</v>
          </cell>
          <cell r="B371" t="str">
            <v xml:space="preserve"> </v>
          </cell>
          <cell r="C371">
            <v>45989</v>
          </cell>
          <cell r="D371" t="str">
            <v/>
          </cell>
          <cell r="E371">
            <v>45989</v>
          </cell>
        </row>
        <row r="372">
          <cell r="A372" t="str">
            <v>SUE0D98</v>
          </cell>
          <cell r="B372" t="str">
            <v xml:space="preserve"> </v>
          </cell>
          <cell r="C372" t="str">
            <v/>
          </cell>
          <cell r="D372" t="str">
            <v/>
          </cell>
          <cell r="E372">
            <v>0</v>
          </cell>
        </row>
        <row r="373">
          <cell r="A373" t="str">
            <v>SWH8D54</v>
          </cell>
          <cell r="B373" t="str">
            <v xml:space="preserve"> </v>
          </cell>
          <cell r="C373">
            <v>45989</v>
          </cell>
          <cell r="D373" t="str">
            <v/>
          </cell>
          <cell r="E373">
            <v>45989</v>
          </cell>
        </row>
        <row r="374">
          <cell r="A374" t="str">
            <v>SUZ9D42</v>
          </cell>
          <cell r="B374" t="str">
            <v xml:space="preserve"> </v>
          </cell>
          <cell r="C374">
            <v>45989</v>
          </cell>
          <cell r="D374" t="str">
            <v/>
          </cell>
          <cell r="E374">
            <v>45989</v>
          </cell>
        </row>
        <row r="375">
          <cell r="A375" t="str">
            <v>SVL8C61</v>
          </cell>
          <cell r="B375" t="str">
            <v xml:space="preserve"> </v>
          </cell>
          <cell r="C375">
            <v>45989</v>
          </cell>
          <cell r="D375" t="str">
            <v/>
          </cell>
          <cell r="E375">
            <v>45989</v>
          </cell>
        </row>
        <row r="376">
          <cell r="A376" t="str">
            <v>SVD7A43</v>
          </cell>
          <cell r="B376" t="str">
            <v xml:space="preserve"> </v>
          </cell>
          <cell r="C376">
            <v>45989</v>
          </cell>
          <cell r="D376" t="str">
            <v/>
          </cell>
          <cell r="E376">
            <v>45989</v>
          </cell>
        </row>
        <row r="377">
          <cell r="A377" t="str">
            <v>SVJ3F95</v>
          </cell>
          <cell r="B377" t="str">
            <v xml:space="preserve"> </v>
          </cell>
          <cell r="C377">
            <v>45989</v>
          </cell>
          <cell r="D377" t="str">
            <v/>
          </cell>
          <cell r="E377">
            <v>45989</v>
          </cell>
        </row>
        <row r="378">
          <cell r="A378" t="str">
            <v>SUW8J92</v>
          </cell>
          <cell r="B378" t="str">
            <v xml:space="preserve"> </v>
          </cell>
          <cell r="C378" t="str">
            <v/>
          </cell>
          <cell r="D378" t="str">
            <v/>
          </cell>
          <cell r="E378">
            <v>0</v>
          </cell>
        </row>
        <row r="379">
          <cell r="A379" t="str">
            <v>SVI6D65</v>
          </cell>
          <cell r="B379" t="str">
            <v xml:space="preserve"> </v>
          </cell>
          <cell r="C379">
            <v>45989</v>
          </cell>
          <cell r="D379" t="str">
            <v/>
          </cell>
          <cell r="E379">
            <v>45989</v>
          </cell>
        </row>
        <row r="380">
          <cell r="A380" t="str">
            <v>SWI8D46</v>
          </cell>
          <cell r="B380" t="str">
            <v xml:space="preserve"> </v>
          </cell>
          <cell r="C380" t="str">
            <v/>
          </cell>
          <cell r="D380" t="str">
            <v/>
          </cell>
          <cell r="E380">
            <v>0</v>
          </cell>
        </row>
        <row r="381">
          <cell r="A381" t="str">
            <v>STO3J87</v>
          </cell>
          <cell r="B381" t="str">
            <v xml:space="preserve"> </v>
          </cell>
          <cell r="C381" t="str">
            <v/>
          </cell>
          <cell r="D381" t="str">
            <v/>
          </cell>
          <cell r="E381">
            <v>0</v>
          </cell>
        </row>
        <row r="382">
          <cell r="A382" t="str">
            <v>SSU9E09</v>
          </cell>
          <cell r="B382" t="str">
            <v xml:space="preserve"> </v>
          </cell>
          <cell r="C382" t="str">
            <v/>
          </cell>
          <cell r="D382" t="str">
            <v/>
          </cell>
          <cell r="E382">
            <v>0</v>
          </cell>
        </row>
        <row r="383">
          <cell r="A383" t="str">
            <v>SVC1A96</v>
          </cell>
          <cell r="B383" t="str">
            <v xml:space="preserve"> </v>
          </cell>
          <cell r="C383">
            <v>45989</v>
          </cell>
          <cell r="D383" t="str">
            <v/>
          </cell>
          <cell r="E383">
            <v>45989</v>
          </cell>
        </row>
        <row r="384">
          <cell r="A384" t="str">
            <v>SWR4C91</v>
          </cell>
          <cell r="B384" t="str">
            <v xml:space="preserve"> </v>
          </cell>
          <cell r="C384" t="str">
            <v/>
          </cell>
          <cell r="D384" t="str">
            <v/>
          </cell>
          <cell r="E384">
            <v>0</v>
          </cell>
        </row>
        <row r="385">
          <cell r="A385" t="str">
            <v>SWJ0E21</v>
          </cell>
          <cell r="B385" t="str">
            <v xml:space="preserve"> </v>
          </cell>
          <cell r="C385">
            <v>45989</v>
          </cell>
          <cell r="D385" t="str">
            <v/>
          </cell>
          <cell r="E385">
            <v>45989</v>
          </cell>
        </row>
        <row r="386">
          <cell r="A386" t="str">
            <v>SUJ9H28</v>
          </cell>
          <cell r="B386" t="str">
            <v xml:space="preserve"> </v>
          </cell>
          <cell r="C386">
            <v>45989</v>
          </cell>
          <cell r="D386" t="str">
            <v/>
          </cell>
          <cell r="E386">
            <v>45989</v>
          </cell>
        </row>
        <row r="387">
          <cell r="A387" t="str">
            <v>SUH1J87</v>
          </cell>
          <cell r="B387" t="str">
            <v xml:space="preserve"> </v>
          </cell>
          <cell r="C387">
            <v>45989</v>
          </cell>
          <cell r="D387" t="str">
            <v/>
          </cell>
          <cell r="E387">
            <v>45989</v>
          </cell>
        </row>
        <row r="388">
          <cell r="A388" t="str">
            <v>SFN0B54</v>
          </cell>
          <cell r="B388" t="str">
            <v xml:space="preserve"> </v>
          </cell>
          <cell r="C388">
            <v>45989</v>
          </cell>
          <cell r="D388" t="str">
            <v/>
          </cell>
          <cell r="E388">
            <v>45989</v>
          </cell>
        </row>
        <row r="389">
          <cell r="A389" t="str">
            <v>SFN0B74</v>
          </cell>
          <cell r="B389">
            <v>45989</v>
          </cell>
          <cell r="C389">
            <v>45989</v>
          </cell>
          <cell r="D389" t="str">
            <v/>
          </cell>
          <cell r="E389">
            <v>45989</v>
          </cell>
        </row>
        <row r="390">
          <cell r="A390" t="str">
            <v>SFN0B75</v>
          </cell>
          <cell r="B390" t="str">
            <v xml:space="preserve"> </v>
          </cell>
          <cell r="C390">
            <v>45989</v>
          </cell>
          <cell r="D390" t="str">
            <v/>
          </cell>
          <cell r="E390">
            <v>45989</v>
          </cell>
        </row>
        <row r="391">
          <cell r="A391" t="str">
            <v>SFN0B56</v>
          </cell>
          <cell r="B391" t="str">
            <v xml:space="preserve"> </v>
          </cell>
          <cell r="C391" t="str">
            <v/>
          </cell>
          <cell r="D391" t="str">
            <v/>
          </cell>
          <cell r="E391">
            <v>0</v>
          </cell>
        </row>
        <row r="392">
          <cell r="A392" t="str">
            <v>SFN0B73</v>
          </cell>
          <cell r="B392" t="str">
            <v xml:space="preserve"> </v>
          </cell>
          <cell r="C392">
            <v>45989</v>
          </cell>
          <cell r="D392" t="str">
            <v/>
          </cell>
          <cell r="E392">
            <v>45989</v>
          </cell>
        </row>
        <row r="393">
          <cell r="A393" t="str">
            <v>SFN0C59</v>
          </cell>
          <cell r="B393" t="str">
            <v xml:space="preserve"> </v>
          </cell>
          <cell r="C393">
            <v>45989</v>
          </cell>
          <cell r="D393" t="str">
            <v/>
          </cell>
          <cell r="E393">
            <v>45989</v>
          </cell>
        </row>
        <row r="394">
          <cell r="A394" t="str">
            <v>SFN0C60</v>
          </cell>
          <cell r="B394">
            <v>45989</v>
          </cell>
          <cell r="C394">
            <v>45989</v>
          </cell>
          <cell r="D394" t="str">
            <v/>
          </cell>
          <cell r="E394">
            <v>45989</v>
          </cell>
        </row>
        <row r="395">
          <cell r="A395" t="str">
            <v>SSU5F06</v>
          </cell>
          <cell r="B395" t="str">
            <v xml:space="preserve"> </v>
          </cell>
          <cell r="C395" t="str">
            <v/>
          </cell>
          <cell r="D395" t="str">
            <v/>
          </cell>
          <cell r="E395">
            <v>0</v>
          </cell>
        </row>
        <row r="396">
          <cell r="A396" t="str">
            <v>SVM9C81</v>
          </cell>
          <cell r="B396" t="str">
            <v xml:space="preserve"> </v>
          </cell>
          <cell r="C396" t="str">
            <v/>
          </cell>
          <cell r="D396" t="str">
            <v/>
          </cell>
          <cell r="E396">
            <v>0</v>
          </cell>
        </row>
        <row r="397">
          <cell r="A397" t="str">
            <v>SWX3E45</v>
          </cell>
          <cell r="B397" t="str">
            <v xml:space="preserve"> </v>
          </cell>
          <cell r="C397" t="str">
            <v/>
          </cell>
          <cell r="D397" t="str">
            <v/>
          </cell>
          <cell r="E397">
            <v>0</v>
          </cell>
        </row>
        <row r="398">
          <cell r="A398" t="str">
            <v>SUQ0C67</v>
          </cell>
          <cell r="B398" t="str">
            <v xml:space="preserve"> </v>
          </cell>
          <cell r="C398" t="str">
            <v/>
          </cell>
          <cell r="D398" t="str">
            <v/>
          </cell>
          <cell r="E398">
            <v>0</v>
          </cell>
        </row>
        <row r="399">
          <cell r="A399" t="str">
            <v>SVM8J76</v>
          </cell>
          <cell r="B399" t="str">
            <v xml:space="preserve"> </v>
          </cell>
          <cell r="C399" t="str">
            <v/>
          </cell>
          <cell r="D399" t="str">
            <v/>
          </cell>
          <cell r="E399">
            <v>0</v>
          </cell>
        </row>
        <row r="400">
          <cell r="A400" t="str">
            <v>STO4D24</v>
          </cell>
          <cell r="B400" t="str">
            <v xml:space="preserve"> </v>
          </cell>
          <cell r="C400" t="str">
            <v/>
          </cell>
          <cell r="D400" t="str">
            <v/>
          </cell>
          <cell r="E400">
            <v>0</v>
          </cell>
        </row>
        <row r="401">
          <cell r="A401" t="str">
            <v>STQ6I54</v>
          </cell>
          <cell r="B401" t="str">
            <v xml:space="preserve"> </v>
          </cell>
          <cell r="C401" t="str">
            <v/>
          </cell>
          <cell r="D401" t="str">
            <v/>
          </cell>
          <cell r="E401">
            <v>0</v>
          </cell>
        </row>
        <row r="402">
          <cell r="A402" t="str">
            <v>SVC6I57</v>
          </cell>
          <cell r="B402" t="str">
            <v xml:space="preserve"> </v>
          </cell>
          <cell r="C402" t="str">
            <v/>
          </cell>
          <cell r="D402" t="str">
            <v/>
          </cell>
          <cell r="E402">
            <v>0</v>
          </cell>
        </row>
        <row r="403">
          <cell r="A403" t="str">
            <v>SWD2I13</v>
          </cell>
          <cell r="B403" t="str">
            <v xml:space="preserve"> </v>
          </cell>
          <cell r="C403" t="str">
            <v/>
          </cell>
          <cell r="D403" t="str">
            <v/>
          </cell>
          <cell r="E403">
            <v>0</v>
          </cell>
        </row>
        <row r="404">
          <cell r="A404" t="str">
            <v>STT8D25</v>
          </cell>
          <cell r="B404" t="str">
            <v xml:space="preserve"> </v>
          </cell>
          <cell r="C404" t="str">
            <v/>
          </cell>
          <cell r="D404" t="str">
            <v/>
          </cell>
          <cell r="E404">
            <v>0</v>
          </cell>
        </row>
        <row r="405">
          <cell r="A405" t="str">
            <v>SFN0B49</v>
          </cell>
          <cell r="B405" t="str">
            <v xml:space="preserve"> </v>
          </cell>
          <cell r="C405">
            <v>45989</v>
          </cell>
          <cell r="D405" t="str">
            <v/>
          </cell>
          <cell r="E405">
            <v>45989</v>
          </cell>
        </row>
        <row r="406">
          <cell r="A406" t="str">
            <v>SFN0C63</v>
          </cell>
          <cell r="B406" t="str">
            <v xml:space="preserve"> </v>
          </cell>
          <cell r="C406">
            <v>45989</v>
          </cell>
          <cell r="D406" t="str">
            <v/>
          </cell>
          <cell r="E406">
            <v>45989</v>
          </cell>
        </row>
        <row r="407">
          <cell r="A407" t="str">
            <v>SVD8C95</v>
          </cell>
          <cell r="B407" t="str">
            <v xml:space="preserve"> </v>
          </cell>
          <cell r="C407" t="str">
            <v/>
          </cell>
          <cell r="D407" t="str">
            <v/>
          </cell>
          <cell r="E407">
            <v>0</v>
          </cell>
        </row>
        <row r="408">
          <cell r="A408" t="str">
            <v>SWR6H23</v>
          </cell>
          <cell r="B408" t="str">
            <v xml:space="preserve"> </v>
          </cell>
          <cell r="C408" t="str">
            <v/>
          </cell>
          <cell r="D408" t="str">
            <v/>
          </cell>
          <cell r="E408">
            <v>0</v>
          </cell>
        </row>
        <row r="409">
          <cell r="A409" t="str">
            <v>SWU6I91</v>
          </cell>
          <cell r="B409" t="str">
            <v xml:space="preserve"> </v>
          </cell>
          <cell r="C409" t="str">
            <v/>
          </cell>
          <cell r="D409" t="str">
            <v/>
          </cell>
          <cell r="E409">
            <v>0</v>
          </cell>
        </row>
        <row r="410">
          <cell r="A410" t="str">
            <v>RYF7E29</v>
          </cell>
          <cell r="B410" t="str">
            <v xml:space="preserve"> </v>
          </cell>
          <cell r="C410" t="str">
            <v/>
          </cell>
          <cell r="D410" t="str">
            <v/>
          </cell>
          <cell r="E410">
            <v>0</v>
          </cell>
        </row>
        <row r="411">
          <cell r="A411" t="str">
            <v>RYF7D49</v>
          </cell>
          <cell r="B411" t="str">
            <v xml:space="preserve"> </v>
          </cell>
          <cell r="C411" t="str">
            <v/>
          </cell>
          <cell r="D411" t="str">
            <v/>
          </cell>
          <cell r="E411">
            <v>0</v>
          </cell>
        </row>
        <row r="412">
          <cell r="A412" t="str">
            <v>SVT0E87</v>
          </cell>
          <cell r="B412" t="str">
            <v xml:space="preserve"> </v>
          </cell>
          <cell r="C412" t="str">
            <v/>
          </cell>
          <cell r="D412" t="str">
            <v/>
          </cell>
          <cell r="E412">
            <v>0</v>
          </cell>
        </row>
        <row r="413">
          <cell r="A413" t="str">
            <v>SWR0A95</v>
          </cell>
          <cell r="B413" t="str">
            <v xml:space="preserve"> </v>
          </cell>
          <cell r="C413" t="str">
            <v/>
          </cell>
          <cell r="D413" t="str">
            <v/>
          </cell>
          <cell r="E413">
            <v>0</v>
          </cell>
        </row>
        <row r="414">
          <cell r="A414" t="str">
            <v>STN3D74</v>
          </cell>
          <cell r="B414" t="str">
            <v xml:space="preserve"> </v>
          </cell>
          <cell r="C414" t="str">
            <v/>
          </cell>
          <cell r="D414" t="str">
            <v/>
          </cell>
          <cell r="E414">
            <v>0</v>
          </cell>
        </row>
        <row r="415">
          <cell r="A415" t="str">
            <v>SWG2G22</v>
          </cell>
          <cell r="B415" t="str">
            <v xml:space="preserve"> </v>
          </cell>
          <cell r="C415" t="str">
            <v/>
          </cell>
          <cell r="D415" t="str">
            <v/>
          </cell>
          <cell r="E415">
            <v>0</v>
          </cell>
        </row>
        <row r="416">
          <cell r="A416" t="str">
            <v>SWK9I32</v>
          </cell>
          <cell r="B416" t="str">
            <v xml:space="preserve"> </v>
          </cell>
          <cell r="C416" t="str">
            <v/>
          </cell>
          <cell r="D416" t="str">
            <v/>
          </cell>
          <cell r="E416">
            <v>0</v>
          </cell>
        </row>
        <row r="417">
          <cell r="A417" t="str">
            <v>SFN0B78</v>
          </cell>
          <cell r="B417" t="str">
            <v xml:space="preserve"> </v>
          </cell>
          <cell r="C417" t="str">
            <v/>
          </cell>
          <cell r="D417" t="str">
            <v/>
          </cell>
          <cell r="E417">
            <v>0</v>
          </cell>
        </row>
        <row r="418">
          <cell r="A418" t="str">
            <v>TAJ7D48</v>
          </cell>
          <cell r="B418" t="str">
            <v xml:space="preserve"> </v>
          </cell>
          <cell r="C418" t="str">
            <v/>
          </cell>
          <cell r="D418" t="str">
            <v/>
          </cell>
          <cell r="E418">
            <v>0</v>
          </cell>
        </row>
        <row r="419">
          <cell r="A419" t="str">
            <v>TAJ9I09</v>
          </cell>
          <cell r="B419" t="str">
            <v xml:space="preserve"> </v>
          </cell>
          <cell r="C419" t="str">
            <v/>
          </cell>
          <cell r="D419" t="str">
            <v/>
          </cell>
          <cell r="E419">
            <v>0</v>
          </cell>
        </row>
        <row r="420">
          <cell r="A420" t="str">
            <v>TAJ9I08</v>
          </cell>
          <cell r="B420" t="str">
            <v xml:space="preserve"> </v>
          </cell>
          <cell r="C420" t="str">
            <v/>
          </cell>
          <cell r="D420" t="str">
            <v/>
          </cell>
          <cell r="E420">
            <v>0</v>
          </cell>
        </row>
        <row r="421">
          <cell r="A421" t="str">
            <v>TAJ5D59</v>
          </cell>
          <cell r="B421" t="str">
            <v xml:space="preserve"> </v>
          </cell>
          <cell r="C421" t="str">
            <v/>
          </cell>
          <cell r="D421" t="str">
            <v/>
          </cell>
          <cell r="E421">
            <v>0</v>
          </cell>
        </row>
        <row r="422">
          <cell r="A422" t="str">
            <v>TAJ5D50</v>
          </cell>
          <cell r="B422" t="str">
            <v xml:space="preserve"> </v>
          </cell>
          <cell r="C422" t="str">
            <v/>
          </cell>
          <cell r="D422" t="str">
            <v/>
          </cell>
          <cell r="E422">
            <v>0</v>
          </cell>
        </row>
        <row r="423">
          <cell r="A423" t="str">
            <v>TAJ5D56</v>
          </cell>
          <cell r="B423" t="str">
            <v xml:space="preserve"> </v>
          </cell>
          <cell r="C423" t="str">
            <v/>
          </cell>
          <cell r="D423" t="str">
            <v/>
          </cell>
          <cell r="E423">
            <v>0</v>
          </cell>
        </row>
        <row r="424">
          <cell r="A424" t="str">
            <v>TAJ5D55</v>
          </cell>
          <cell r="B424" t="str">
            <v xml:space="preserve"> </v>
          </cell>
          <cell r="C424" t="str">
            <v/>
          </cell>
          <cell r="D424" t="str">
            <v/>
          </cell>
          <cell r="E424">
            <v>0</v>
          </cell>
        </row>
        <row r="425">
          <cell r="A425" t="str">
            <v>TAJ1H97</v>
          </cell>
          <cell r="B425" t="str">
            <v xml:space="preserve"> </v>
          </cell>
          <cell r="C425" t="str">
            <v/>
          </cell>
          <cell r="D425" t="str">
            <v/>
          </cell>
          <cell r="E425">
            <v>0</v>
          </cell>
        </row>
        <row r="426">
          <cell r="A426" t="str">
            <v>TAK7D11</v>
          </cell>
          <cell r="B426" t="str">
            <v xml:space="preserve"> </v>
          </cell>
          <cell r="C426" t="str">
            <v/>
          </cell>
          <cell r="D426" t="str">
            <v/>
          </cell>
          <cell r="E426">
            <v>0</v>
          </cell>
        </row>
        <row r="427">
          <cell r="A427" t="str">
            <v>TAK7D15</v>
          </cell>
          <cell r="B427" t="str">
            <v xml:space="preserve"> </v>
          </cell>
          <cell r="C427">
            <v>45989</v>
          </cell>
          <cell r="D427" t="str">
            <v/>
          </cell>
          <cell r="E427">
            <v>45989</v>
          </cell>
        </row>
        <row r="428">
          <cell r="A428" t="str">
            <v>TAK7B86</v>
          </cell>
          <cell r="B428" t="str">
            <v xml:space="preserve"> </v>
          </cell>
          <cell r="C428" t="str">
            <v/>
          </cell>
          <cell r="D428" t="str">
            <v/>
          </cell>
          <cell r="E428">
            <v>0</v>
          </cell>
        </row>
        <row r="429">
          <cell r="A429" t="str">
            <v>TAK7D13</v>
          </cell>
          <cell r="B429" t="str">
            <v xml:space="preserve"> </v>
          </cell>
          <cell r="C429" t="str">
            <v/>
          </cell>
          <cell r="D429" t="str">
            <v/>
          </cell>
          <cell r="E429">
            <v>0</v>
          </cell>
        </row>
        <row r="430">
          <cell r="A430" t="str">
            <v>TAK7D14</v>
          </cell>
          <cell r="B430" t="str">
            <v xml:space="preserve"> </v>
          </cell>
          <cell r="C430">
            <v>45989</v>
          </cell>
          <cell r="D430" t="str">
            <v/>
          </cell>
          <cell r="E430">
            <v>45989</v>
          </cell>
        </row>
        <row r="431">
          <cell r="A431" t="str">
            <v>TAK7B83</v>
          </cell>
          <cell r="B431" t="str">
            <v xml:space="preserve"> </v>
          </cell>
          <cell r="C431">
            <v>45989</v>
          </cell>
          <cell r="D431" t="str">
            <v/>
          </cell>
          <cell r="E431">
            <v>45989</v>
          </cell>
        </row>
        <row r="432">
          <cell r="A432" t="str">
            <v>TAL3J35</v>
          </cell>
          <cell r="B432" t="str">
            <v xml:space="preserve"> </v>
          </cell>
          <cell r="C432">
            <v>45989</v>
          </cell>
          <cell r="D432" t="str">
            <v/>
          </cell>
          <cell r="E432">
            <v>45989</v>
          </cell>
        </row>
        <row r="433">
          <cell r="A433" t="str">
            <v>TAK7B96</v>
          </cell>
          <cell r="B433" t="str">
            <v xml:space="preserve"> </v>
          </cell>
          <cell r="C433">
            <v>45989</v>
          </cell>
          <cell r="D433" t="str">
            <v/>
          </cell>
          <cell r="E433">
            <v>45989</v>
          </cell>
        </row>
        <row r="434">
          <cell r="A434" t="str">
            <v>TAK7B94</v>
          </cell>
          <cell r="B434" t="str">
            <v xml:space="preserve"> </v>
          </cell>
          <cell r="C434">
            <v>45989</v>
          </cell>
          <cell r="D434" t="str">
            <v/>
          </cell>
          <cell r="E434">
            <v>45989</v>
          </cell>
        </row>
        <row r="435">
          <cell r="A435" t="str">
            <v>TAK7D09</v>
          </cell>
          <cell r="B435" t="str">
            <v xml:space="preserve"> </v>
          </cell>
          <cell r="C435">
            <v>45989</v>
          </cell>
          <cell r="D435" t="str">
            <v/>
          </cell>
          <cell r="E435">
            <v>45989</v>
          </cell>
        </row>
        <row r="436">
          <cell r="A436" t="str">
            <v>SVX5C53</v>
          </cell>
          <cell r="B436">
            <v>45989</v>
          </cell>
          <cell r="C436">
            <v>45989</v>
          </cell>
          <cell r="D436" t="str">
            <v/>
          </cell>
          <cell r="E436">
            <v>45989</v>
          </cell>
        </row>
        <row r="437">
          <cell r="A437" t="str">
            <v>SVH1A04</v>
          </cell>
          <cell r="B437">
            <v>45989</v>
          </cell>
          <cell r="C437">
            <v>45989</v>
          </cell>
          <cell r="D437" t="str">
            <v/>
          </cell>
          <cell r="E437">
            <v>45989</v>
          </cell>
        </row>
        <row r="438">
          <cell r="A438" t="str">
            <v>SUC0F54</v>
          </cell>
          <cell r="B438" t="str">
            <v xml:space="preserve"> </v>
          </cell>
          <cell r="C438" t="str">
            <v/>
          </cell>
          <cell r="D438" t="str">
            <v/>
          </cell>
          <cell r="E438">
            <v>0</v>
          </cell>
        </row>
        <row r="439">
          <cell r="A439" t="str">
            <v>STY0E52</v>
          </cell>
          <cell r="B439">
            <v>45869</v>
          </cell>
          <cell r="C439" t="str">
            <v/>
          </cell>
          <cell r="D439" t="str">
            <v/>
          </cell>
          <cell r="E439">
            <v>45869</v>
          </cell>
        </row>
        <row r="440">
          <cell r="A440" t="str">
            <v>STI7D23</v>
          </cell>
          <cell r="B440">
            <v>45989</v>
          </cell>
          <cell r="C440">
            <v>45989</v>
          </cell>
          <cell r="D440" t="str">
            <v/>
          </cell>
          <cell r="E440">
            <v>45989</v>
          </cell>
        </row>
        <row r="441">
          <cell r="A441" t="str">
            <v>SSX8B52</v>
          </cell>
          <cell r="B441">
            <v>45989</v>
          </cell>
          <cell r="C441">
            <v>45989</v>
          </cell>
          <cell r="D441" t="str">
            <v/>
          </cell>
          <cell r="E441">
            <v>45989</v>
          </cell>
        </row>
        <row r="442">
          <cell r="A442" t="str">
            <v>SFG8G11</v>
          </cell>
          <cell r="B442" t="str">
            <v xml:space="preserve"> </v>
          </cell>
          <cell r="C442" t="str">
            <v/>
          </cell>
          <cell r="D442" t="str">
            <v/>
          </cell>
          <cell r="E442">
            <v>0</v>
          </cell>
        </row>
        <row r="443">
          <cell r="A443" t="str">
            <v>FQX8J13</v>
          </cell>
          <cell r="B443">
            <v>45989</v>
          </cell>
          <cell r="C443">
            <v>45989</v>
          </cell>
          <cell r="D443" t="str">
            <v/>
          </cell>
          <cell r="E443">
            <v>45989</v>
          </cell>
        </row>
        <row r="444">
          <cell r="A444" t="str">
            <v>SJV1B04</v>
          </cell>
          <cell r="B444">
            <v>45989</v>
          </cell>
          <cell r="C444">
            <v>45989</v>
          </cell>
          <cell r="D444" t="str">
            <v/>
          </cell>
          <cell r="E444">
            <v>45989</v>
          </cell>
        </row>
        <row r="445">
          <cell r="A445" t="str">
            <v>SJU6F48</v>
          </cell>
          <cell r="B445">
            <v>45989</v>
          </cell>
          <cell r="C445">
            <v>45989</v>
          </cell>
          <cell r="D445" t="str">
            <v/>
          </cell>
          <cell r="E445">
            <v>45989</v>
          </cell>
        </row>
        <row r="446">
          <cell r="A446" t="str">
            <v xml:space="preserve">SJU4I99 </v>
          </cell>
          <cell r="B446" t="str">
            <v xml:space="preserve"> </v>
          </cell>
          <cell r="C446" t="str">
            <v/>
          </cell>
          <cell r="D446" t="str">
            <v/>
          </cell>
          <cell r="E446">
            <v>0</v>
          </cell>
        </row>
        <row r="447">
          <cell r="A447" t="str">
            <v xml:space="preserve">SJU0J06 </v>
          </cell>
          <cell r="B447" t="str">
            <v xml:space="preserve"> </v>
          </cell>
          <cell r="C447" t="str">
            <v/>
          </cell>
          <cell r="D447" t="str">
            <v/>
          </cell>
          <cell r="E447">
            <v>0</v>
          </cell>
        </row>
        <row r="448">
          <cell r="A448" t="str">
            <v xml:space="preserve">SJU0F78 </v>
          </cell>
          <cell r="B448" t="str">
            <v xml:space="preserve"> </v>
          </cell>
          <cell r="C448" t="str">
            <v/>
          </cell>
          <cell r="D448" t="str">
            <v/>
          </cell>
          <cell r="E448">
            <v>0</v>
          </cell>
        </row>
        <row r="449">
          <cell r="A449" t="str">
            <v>FNI3F91</v>
          </cell>
          <cell r="B449" t="str">
            <v xml:space="preserve"> </v>
          </cell>
          <cell r="C449" t="str">
            <v/>
          </cell>
          <cell r="D449" t="str">
            <v/>
          </cell>
          <cell r="E449">
            <v>0</v>
          </cell>
        </row>
        <row r="450">
          <cell r="A450" t="str">
            <v>SUD0C95</v>
          </cell>
          <cell r="B450" t="str">
            <v xml:space="preserve"> </v>
          </cell>
          <cell r="C450">
            <v>45989</v>
          </cell>
          <cell r="D450" t="str">
            <v/>
          </cell>
          <cell r="E450">
            <v>45989</v>
          </cell>
        </row>
        <row r="451">
          <cell r="A451" t="str">
            <v>STC0D57</v>
          </cell>
          <cell r="B451">
            <v>45989</v>
          </cell>
          <cell r="C451">
            <v>45989</v>
          </cell>
          <cell r="D451" t="str">
            <v/>
          </cell>
          <cell r="E451">
            <v>45989</v>
          </cell>
        </row>
        <row r="452">
          <cell r="A452" t="str">
            <v>SUZ7J93</v>
          </cell>
          <cell r="B452">
            <v>45989</v>
          </cell>
          <cell r="C452">
            <v>45989</v>
          </cell>
          <cell r="D452" t="str">
            <v/>
          </cell>
          <cell r="E452">
            <v>45989</v>
          </cell>
        </row>
        <row r="453">
          <cell r="A453" t="str">
            <v>SUM5H13</v>
          </cell>
          <cell r="B453">
            <v>45989</v>
          </cell>
          <cell r="C453">
            <v>45989</v>
          </cell>
          <cell r="D453" t="str">
            <v/>
          </cell>
          <cell r="E453">
            <v>45989</v>
          </cell>
        </row>
        <row r="454">
          <cell r="A454" t="str">
            <v>SWD0G13</v>
          </cell>
          <cell r="B454">
            <v>45960</v>
          </cell>
          <cell r="C454" t="str">
            <v/>
          </cell>
          <cell r="D454" t="str">
            <v/>
          </cell>
          <cell r="E454">
            <v>45960</v>
          </cell>
        </row>
        <row r="455">
          <cell r="A455" t="str">
            <v>SUG1B43</v>
          </cell>
          <cell r="B455">
            <v>45978</v>
          </cell>
          <cell r="C455" t="str">
            <v/>
          </cell>
          <cell r="D455" t="str">
            <v/>
          </cell>
          <cell r="E455">
            <v>45978</v>
          </cell>
        </row>
        <row r="456">
          <cell r="A456" t="str">
            <v>STT6B53</v>
          </cell>
          <cell r="B456" t="str">
            <v xml:space="preserve"> </v>
          </cell>
          <cell r="C456">
            <v>45989</v>
          </cell>
          <cell r="D456" t="str">
            <v/>
          </cell>
          <cell r="E456">
            <v>45989</v>
          </cell>
        </row>
        <row r="457">
          <cell r="A457" t="str">
            <v>SFG2D54</v>
          </cell>
          <cell r="B457">
            <v>45974</v>
          </cell>
          <cell r="C457" t="str">
            <v/>
          </cell>
          <cell r="D457" t="str">
            <v/>
          </cell>
          <cell r="E457">
            <v>45974</v>
          </cell>
        </row>
        <row r="458">
          <cell r="A458" t="str">
            <v>SST3H02</v>
          </cell>
          <cell r="B458">
            <v>45989</v>
          </cell>
          <cell r="C458">
            <v>45989</v>
          </cell>
          <cell r="D458" t="str">
            <v/>
          </cell>
          <cell r="E458">
            <v>45989</v>
          </cell>
        </row>
        <row r="459">
          <cell r="A459" t="str">
            <v>SJT5G88</v>
          </cell>
          <cell r="B459">
            <v>45989</v>
          </cell>
          <cell r="C459" t="str">
            <v/>
          </cell>
          <cell r="D459" t="str">
            <v/>
          </cell>
          <cell r="E459">
            <v>45989</v>
          </cell>
        </row>
        <row r="460">
          <cell r="A460" t="str">
            <v>SJT0F71</v>
          </cell>
          <cell r="B460">
            <v>45889</v>
          </cell>
          <cell r="C460" t="str">
            <v/>
          </cell>
          <cell r="D460" t="str">
            <v/>
          </cell>
          <cell r="E460">
            <v>45889</v>
          </cell>
        </row>
        <row r="461">
          <cell r="A461" t="str">
            <v>STS5J93</v>
          </cell>
          <cell r="B461">
            <v>45989</v>
          </cell>
          <cell r="C461">
            <v>45989</v>
          </cell>
          <cell r="D461" t="str">
            <v/>
          </cell>
          <cell r="E461">
            <v>45989</v>
          </cell>
        </row>
        <row r="462">
          <cell r="A462" t="str">
            <v>SJT9A40</v>
          </cell>
          <cell r="B462">
            <v>45989</v>
          </cell>
          <cell r="C462">
            <v>45989</v>
          </cell>
          <cell r="D462" t="str">
            <v/>
          </cell>
          <cell r="E462">
            <v>45989</v>
          </cell>
        </row>
        <row r="463">
          <cell r="A463" t="str">
            <v>SJT7H68</v>
          </cell>
          <cell r="B463">
            <v>45989</v>
          </cell>
          <cell r="C463">
            <v>45989</v>
          </cell>
          <cell r="D463" t="str">
            <v/>
          </cell>
          <cell r="E463">
            <v>45989</v>
          </cell>
        </row>
        <row r="464">
          <cell r="A464" t="str">
            <v>SJT7C88</v>
          </cell>
          <cell r="B464">
            <v>45989</v>
          </cell>
          <cell r="C464">
            <v>45989</v>
          </cell>
          <cell r="D464" t="str">
            <v/>
          </cell>
          <cell r="E464">
            <v>45989</v>
          </cell>
        </row>
        <row r="465">
          <cell r="A465" t="str">
            <v>SJT7C45</v>
          </cell>
          <cell r="B465" t="str">
            <v xml:space="preserve"> </v>
          </cell>
          <cell r="C465" t="str">
            <v/>
          </cell>
          <cell r="D465" t="str">
            <v/>
          </cell>
          <cell r="E465">
            <v>0</v>
          </cell>
        </row>
        <row r="466">
          <cell r="A466" t="str">
            <v>SJT6E89</v>
          </cell>
          <cell r="B466">
            <v>45989</v>
          </cell>
          <cell r="C466">
            <v>45989</v>
          </cell>
          <cell r="D466" t="str">
            <v/>
          </cell>
          <cell r="E466">
            <v>45989</v>
          </cell>
        </row>
        <row r="467">
          <cell r="A467" t="str">
            <v>SJT6B03</v>
          </cell>
          <cell r="B467" t="str">
            <v xml:space="preserve"> </v>
          </cell>
          <cell r="C467" t="str">
            <v/>
          </cell>
          <cell r="D467" t="str">
            <v/>
          </cell>
          <cell r="E467">
            <v>0</v>
          </cell>
        </row>
        <row r="468">
          <cell r="A468" t="str">
            <v>SJT4J12</v>
          </cell>
          <cell r="B468" t="str">
            <v xml:space="preserve"> </v>
          </cell>
          <cell r="C468" t="str">
            <v/>
          </cell>
          <cell r="D468" t="str">
            <v/>
          </cell>
          <cell r="E468">
            <v>0</v>
          </cell>
        </row>
        <row r="469">
          <cell r="A469" t="str">
            <v>SJT3I94</v>
          </cell>
          <cell r="B469">
            <v>45926</v>
          </cell>
          <cell r="C469" t="str">
            <v/>
          </cell>
          <cell r="D469" t="str">
            <v/>
          </cell>
          <cell r="E469">
            <v>45926</v>
          </cell>
        </row>
        <row r="470">
          <cell r="A470" t="str">
            <v>SJT3D02</v>
          </cell>
          <cell r="B470">
            <v>45966</v>
          </cell>
          <cell r="C470" t="str">
            <v/>
          </cell>
          <cell r="D470" t="str">
            <v/>
          </cell>
          <cell r="E470">
            <v>45966</v>
          </cell>
        </row>
        <row r="471">
          <cell r="A471" t="str">
            <v>SJT0J55</v>
          </cell>
          <cell r="B471">
            <v>45988</v>
          </cell>
          <cell r="C471">
            <v>45989</v>
          </cell>
          <cell r="D471" t="str">
            <v/>
          </cell>
          <cell r="E471">
            <v>45989</v>
          </cell>
        </row>
        <row r="472">
          <cell r="A472" t="str">
            <v>SFE0J20</v>
          </cell>
          <cell r="B472" t="str">
            <v xml:space="preserve"> </v>
          </cell>
          <cell r="C472" t="str">
            <v/>
          </cell>
          <cell r="D472" t="str">
            <v/>
          </cell>
          <cell r="E472">
            <v>0</v>
          </cell>
        </row>
        <row r="473">
          <cell r="A473" t="str">
            <v>SJR9E23</v>
          </cell>
          <cell r="B473" t="str">
            <v xml:space="preserve"> </v>
          </cell>
          <cell r="C473" t="str">
            <v/>
          </cell>
          <cell r="D473" t="str">
            <v/>
          </cell>
          <cell r="E473">
            <v>0</v>
          </cell>
        </row>
        <row r="474">
          <cell r="A474" t="str">
            <v>SJR7A84</v>
          </cell>
          <cell r="B474" t="str">
            <v xml:space="preserve"> </v>
          </cell>
          <cell r="C474" t="str">
            <v/>
          </cell>
          <cell r="D474" t="str">
            <v/>
          </cell>
          <cell r="E474">
            <v>0</v>
          </cell>
        </row>
        <row r="475">
          <cell r="A475" t="str">
            <v>SFE2C99</v>
          </cell>
          <cell r="B475" t="str">
            <v xml:space="preserve"> </v>
          </cell>
          <cell r="C475" t="str">
            <v/>
          </cell>
          <cell r="D475" t="str">
            <v/>
          </cell>
          <cell r="E475">
            <v>0</v>
          </cell>
        </row>
        <row r="476">
          <cell r="A476" t="str">
            <v>SJQ5C76</v>
          </cell>
          <cell r="B476" t="str">
            <v xml:space="preserve"> </v>
          </cell>
          <cell r="C476" t="str">
            <v/>
          </cell>
          <cell r="D476" t="str">
            <v/>
          </cell>
          <cell r="E476">
            <v>0</v>
          </cell>
        </row>
        <row r="477">
          <cell r="A477" t="str">
            <v>SJQ0H62</v>
          </cell>
          <cell r="B477" t="str">
            <v xml:space="preserve"> </v>
          </cell>
          <cell r="C477" t="str">
            <v/>
          </cell>
          <cell r="D477" t="str">
            <v/>
          </cell>
          <cell r="E477">
            <v>0</v>
          </cell>
        </row>
        <row r="478">
          <cell r="A478" t="str">
            <v>SJQ9A84</v>
          </cell>
          <cell r="B478" t="str">
            <v xml:space="preserve"> </v>
          </cell>
          <cell r="C478" t="str">
            <v/>
          </cell>
          <cell r="D478" t="str">
            <v/>
          </cell>
          <cell r="E478">
            <v>0</v>
          </cell>
        </row>
        <row r="479">
          <cell r="A479" t="str">
            <v>SJQ6B02</v>
          </cell>
          <cell r="B479" t="str">
            <v xml:space="preserve"> </v>
          </cell>
          <cell r="C479" t="str">
            <v/>
          </cell>
          <cell r="D479" t="str">
            <v/>
          </cell>
          <cell r="E479">
            <v>0</v>
          </cell>
        </row>
        <row r="480">
          <cell r="A480" t="str">
            <v>SJQ0E74</v>
          </cell>
          <cell r="B480" t="str">
            <v xml:space="preserve"> </v>
          </cell>
          <cell r="C480" t="str">
            <v/>
          </cell>
          <cell r="D480" t="str">
            <v/>
          </cell>
          <cell r="E480">
            <v>0</v>
          </cell>
        </row>
        <row r="481">
          <cell r="A481" t="str">
            <v>SJQ2F14</v>
          </cell>
          <cell r="B481" t="str">
            <v xml:space="preserve"> </v>
          </cell>
          <cell r="C481" t="str">
            <v/>
          </cell>
          <cell r="D481" t="str">
            <v/>
          </cell>
          <cell r="E481">
            <v>0</v>
          </cell>
        </row>
        <row r="482">
          <cell r="A482" t="str">
            <v>SJQ3B24</v>
          </cell>
          <cell r="B482" t="str">
            <v xml:space="preserve"> </v>
          </cell>
          <cell r="C482" t="str">
            <v/>
          </cell>
          <cell r="D482" t="str">
            <v/>
          </cell>
          <cell r="E482">
            <v>0</v>
          </cell>
        </row>
        <row r="483">
          <cell r="A483" t="str">
            <v>GCX9G65</v>
          </cell>
          <cell r="B483" t="str">
            <v xml:space="preserve"> </v>
          </cell>
          <cell r="C483" t="str">
            <v/>
          </cell>
          <cell r="D483" t="str">
            <v/>
          </cell>
          <cell r="E483">
            <v>0</v>
          </cell>
        </row>
        <row r="484">
          <cell r="A484" t="str">
            <v>GDH0B83</v>
          </cell>
          <cell r="B484" t="str">
            <v xml:space="preserve"> </v>
          </cell>
          <cell r="C484" t="str">
            <v/>
          </cell>
          <cell r="D484" t="str">
            <v/>
          </cell>
          <cell r="E484">
            <v>0</v>
          </cell>
        </row>
        <row r="485">
          <cell r="A485" t="str">
            <v>GDO8F91</v>
          </cell>
          <cell r="B485" t="str">
            <v xml:space="preserve"> </v>
          </cell>
          <cell r="C485" t="str">
            <v/>
          </cell>
          <cell r="D485" t="str">
            <v/>
          </cell>
          <cell r="E485">
            <v>0</v>
          </cell>
        </row>
        <row r="486">
          <cell r="A486" t="str">
            <v>GKH0I15</v>
          </cell>
          <cell r="B486" t="str">
            <v xml:space="preserve"> </v>
          </cell>
          <cell r="C486" t="str">
            <v/>
          </cell>
          <cell r="D486" t="str">
            <v/>
          </cell>
          <cell r="E486">
            <v>0</v>
          </cell>
        </row>
        <row r="487">
          <cell r="A487" t="str">
            <v>GDC9H54</v>
          </cell>
          <cell r="B487" t="str">
            <v xml:space="preserve"> </v>
          </cell>
          <cell r="C487" t="str">
            <v/>
          </cell>
          <cell r="D487" t="str">
            <v/>
          </cell>
          <cell r="E487">
            <v>0</v>
          </cell>
        </row>
        <row r="488">
          <cell r="A488" t="str">
            <v>GDU8E83</v>
          </cell>
          <cell r="B488" t="str">
            <v xml:space="preserve"> </v>
          </cell>
          <cell r="C488" t="str">
            <v/>
          </cell>
          <cell r="D488" t="str">
            <v/>
          </cell>
          <cell r="E488">
            <v>0</v>
          </cell>
        </row>
        <row r="489">
          <cell r="A489" t="str">
            <v>GEB8E73</v>
          </cell>
          <cell r="B489" t="str">
            <v xml:space="preserve"> </v>
          </cell>
          <cell r="C489" t="str">
            <v/>
          </cell>
          <cell r="D489" t="str">
            <v/>
          </cell>
          <cell r="E489">
            <v>0</v>
          </cell>
        </row>
        <row r="490">
          <cell r="A490" t="str">
            <v xml:space="preserve">FGL7F74 </v>
          </cell>
          <cell r="B490" t="str">
            <v xml:space="preserve"> </v>
          </cell>
          <cell r="C490" t="str">
            <v/>
          </cell>
          <cell r="D490" t="str">
            <v/>
          </cell>
          <cell r="E490">
            <v>0</v>
          </cell>
        </row>
        <row r="491">
          <cell r="A491" t="str">
            <v>FUP1A85</v>
          </cell>
          <cell r="B491" t="str">
            <v xml:space="preserve"> </v>
          </cell>
          <cell r="C491" t="str">
            <v/>
          </cell>
          <cell r="D491" t="str">
            <v/>
          </cell>
          <cell r="E491">
            <v>0</v>
          </cell>
        </row>
        <row r="492">
          <cell r="A492" t="str">
            <v>GAC8H65</v>
          </cell>
          <cell r="B492" t="str">
            <v xml:space="preserve"> </v>
          </cell>
          <cell r="C492">
            <v>45989</v>
          </cell>
          <cell r="D492" t="str">
            <v/>
          </cell>
          <cell r="E492">
            <v>45989</v>
          </cell>
        </row>
        <row r="493">
          <cell r="A493" t="str">
            <v>GAQ6E84</v>
          </cell>
          <cell r="B493" t="str">
            <v xml:space="preserve"> </v>
          </cell>
          <cell r="C493">
            <v>45989</v>
          </cell>
          <cell r="D493" t="str">
            <v/>
          </cell>
          <cell r="E493">
            <v>45989</v>
          </cell>
        </row>
        <row r="494">
          <cell r="A494" t="str">
            <v>GAX9F44</v>
          </cell>
          <cell r="B494" t="str">
            <v xml:space="preserve"> </v>
          </cell>
          <cell r="C494">
            <v>45989</v>
          </cell>
          <cell r="D494" t="str">
            <v/>
          </cell>
          <cell r="E494">
            <v>45989</v>
          </cell>
        </row>
        <row r="495">
          <cell r="A495" t="str">
            <v>GBK6I84</v>
          </cell>
          <cell r="B495" t="str">
            <v xml:space="preserve"> </v>
          </cell>
          <cell r="C495">
            <v>45989</v>
          </cell>
          <cell r="D495" t="str">
            <v/>
          </cell>
          <cell r="E495">
            <v>45989</v>
          </cell>
        </row>
        <row r="496">
          <cell r="A496" t="str">
            <v>GBT8G14</v>
          </cell>
          <cell r="B496" t="str">
            <v xml:space="preserve"> </v>
          </cell>
          <cell r="C496" t="str">
            <v/>
          </cell>
          <cell r="D496" t="str">
            <v/>
          </cell>
          <cell r="E496">
            <v>0</v>
          </cell>
        </row>
        <row r="497">
          <cell r="A497" t="str">
            <v>GBV9I35</v>
          </cell>
          <cell r="B497" t="str">
            <v xml:space="preserve"> </v>
          </cell>
          <cell r="C497">
            <v>45989</v>
          </cell>
          <cell r="D497" t="str">
            <v/>
          </cell>
          <cell r="E497">
            <v>45989</v>
          </cell>
        </row>
        <row r="498">
          <cell r="A498" t="str">
            <v>GCP5D34</v>
          </cell>
          <cell r="B498" t="str">
            <v xml:space="preserve"> </v>
          </cell>
          <cell r="C498" t="str">
            <v/>
          </cell>
          <cell r="D498" t="str">
            <v/>
          </cell>
          <cell r="E498">
            <v>0</v>
          </cell>
        </row>
        <row r="499">
          <cell r="A499" t="str">
            <v>GCX2D35</v>
          </cell>
          <cell r="B499" t="str">
            <v xml:space="preserve"> </v>
          </cell>
          <cell r="C499" t="str">
            <v/>
          </cell>
          <cell r="D499" t="str">
            <v/>
          </cell>
          <cell r="E499">
            <v>0</v>
          </cell>
        </row>
        <row r="500">
          <cell r="A500" t="str">
            <v>GDG6C93</v>
          </cell>
          <cell r="B500" t="str">
            <v xml:space="preserve"> </v>
          </cell>
          <cell r="C500">
            <v>45989</v>
          </cell>
          <cell r="D500" t="str">
            <v/>
          </cell>
          <cell r="E500">
            <v>45989</v>
          </cell>
        </row>
        <row r="501">
          <cell r="A501" t="str">
            <v>GEI6C33</v>
          </cell>
          <cell r="B501" t="str">
            <v xml:space="preserve"> </v>
          </cell>
          <cell r="C501">
            <v>45989</v>
          </cell>
          <cell r="D501" t="str">
            <v/>
          </cell>
          <cell r="E501">
            <v>45989</v>
          </cell>
        </row>
        <row r="502">
          <cell r="A502" t="str">
            <v>GEN8H43</v>
          </cell>
          <cell r="B502" t="str">
            <v xml:space="preserve"> </v>
          </cell>
          <cell r="C502" t="str">
            <v/>
          </cell>
          <cell r="D502" t="str">
            <v/>
          </cell>
          <cell r="E502">
            <v>0</v>
          </cell>
        </row>
        <row r="503">
          <cell r="A503" t="str">
            <v>GEQ0J14</v>
          </cell>
          <cell r="B503" t="str">
            <v xml:space="preserve"> </v>
          </cell>
          <cell r="C503">
            <v>45989</v>
          </cell>
          <cell r="D503" t="str">
            <v/>
          </cell>
          <cell r="E503">
            <v>45989</v>
          </cell>
        </row>
        <row r="504">
          <cell r="A504" t="str">
            <v>GEY9C46</v>
          </cell>
          <cell r="B504" t="str">
            <v xml:space="preserve"> </v>
          </cell>
          <cell r="C504">
            <v>45989</v>
          </cell>
          <cell r="D504" t="str">
            <v/>
          </cell>
          <cell r="E504">
            <v>45989</v>
          </cell>
        </row>
        <row r="505">
          <cell r="A505" t="str">
            <v>GEY9H07</v>
          </cell>
          <cell r="B505" t="str">
            <v xml:space="preserve"> </v>
          </cell>
          <cell r="C505">
            <v>45989</v>
          </cell>
          <cell r="D505" t="str">
            <v/>
          </cell>
          <cell r="E505">
            <v>45989</v>
          </cell>
        </row>
        <row r="506">
          <cell r="A506" t="str">
            <v>GFN5I84</v>
          </cell>
          <cell r="B506" t="str">
            <v xml:space="preserve"> </v>
          </cell>
          <cell r="C506">
            <v>45989</v>
          </cell>
          <cell r="D506" t="str">
            <v/>
          </cell>
          <cell r="E506">
            <v>45989</v>
          </cell>
        </row>
        <row r="507">
          <cell r="A507" t="str">
            <v>GGD5G63</v>
          </cell>
          <cell r="B507" t="str">
            <v xml:space="preserve"> </v>
          </cell>
          <cell r="C507" t="str">
            <v/>
          </cell>
          <cell r="D507" t="str">
            <v/>
          </cell>
          <cell r="E507">
            <v>0</v>
          </cell>
        </row>
        <row r="508">
          <cell r="A508" t="str">
            <v>GGJ1A94</v>
          </cell>
          <cell r="B508" t="str">
            <v xml:space="preserve"> </v>
          </cell>
          <cell r="C508">
            <v>45989</v>
          </cell>
          <cell r="D508" t="str">
            <v/>
          </cell>
          <cell r="E508">
            <v>45989</v>
          </cell>
        </row>
        <row r="509">
          <cell r="A509" t="str">
            <v>GGQ9J34</v>
          </cell>
          <cell r="B509" t="str">
            <v xml:space="preserve"> </v>
          </cell>
          <cell r="C509" t="str">
            <v/>
          </cell>
          <cell r="D509" t="str">
            <v/>
          </cell>
          <cell r="E509">
            <v>0</v>
          </cell>
        </row>
        <row r="510">
          <cell r="A510" t="str">
            <v>GHO2G54</v>
          </cell>
          <cell r="B510" t="str">
            <v xml:space="preserve"> </v>
          </cell>
          <cell r="C510">
            <v>45989</v>
          </cell>
          <cell r="D510" t="str">
            <v/>
          </cell>
          <cell r="E510">
            <v>45989</v>
          </cell>
        </row>
        <row r="511">
          <cell r="A511" t="str">
            <v>GHW1G44</v>
          </cell>
          <cell r="B511" t="str">
            <v xml:space="preserve"> </v>
          </cell>
          <cell r="C511" t="str">
            <v/>
          </cell>
          <cell r="D511" t="str">
            <v/>
          </cell>
          <cell r="E511">
            <v>0</v>
          </cell>
        </row>
        <row r="512">
          <cell r="A512" t="str">
            <v>GID6J64</v>
          </cell>
          <cell r="B512" t="str">
            <v xml:space="preserve"> </v>
          </cell>
          <cell r="C512" t="str">
            <v/>
          </cell>
          <cell r="D512" t="str">
            <v/>
          </cell>
          <cell r="E512">
            <v>0</v>
          </cell>
        </row>
        <row r="513">
          <cell r="A513" t="str">
            <v>GII1D53</v>
          </cell>
          <cell r="B513" t="str">
            <v xml:space="preserve"> </v>
          </cell>
          <cell r="C513" t="str">
            <v/>
          </cell>
          <cell r="D513" t="str">
            <v/>
          </cell>
          <cell r="E513">
            <v>0</v>
          </cell>
        </row>
        <row r="514">
          <cell r="A514" t="str">
            <v>GIW6I25</v>
          </cell>
          <cell r="B514" t="str">
            <v xml:space="preserve"> </v>
          </cell>
          <cell r="C514" t="str">
            <v/>
          </cell>
          <cell r="D514" t="str">
            <v/>
          </cell>
          <cell r="E514">
            <v>0</v>
          </cell>
        </row>
        <row r="515">
          <cell r="A515" t="str">
            <v>GJE0D54</v>
          </cell>
          <cell r="B515" t="str">
            <v xml:space="preserve"> </v>
          </cell>
          <cell r="C515" t="str">
            <v/>
          </cell>
          <cell r="D515" t="str">
            <v/>
          </cell>
          <cell r="E515">
            <v>0</v>
          </cell>
        </row>
        <row r="516">
          <cell r="A516" t="str">
            <v>GJN9E64</v>
          </cell>
          <cell r="B516" t="str">
            <v xml:space="preserve"> </v>
          </cell>
          <cell r="C516" t="str">
            <v/>
          </cell>
          <cell r="D516" t="str">
            <v/>
          </cell>
          <cell r="E516">
            <v>0</v>
          </cell>
        </row>
        <row r="517">
          <cell r="A517" t="str">
            <v>GKB2A73</v>
          </cell>
          <cell r="B517" t="str">
            <v xml:space="preserve"> </v>
          </cell>
          <cell r="C517" t="str">
            <v/>
          </cell>
          <cell r="D517" t="str">
            <v/>
          </cell>
          <cell r="E517">
            <v>0</v>
          </cell>
        </row>
        <row r="518">
          <cell r="A518" t="str">
            <v>GKH4D61</v>
          </cell>
          <cell r="B518" t="str">
            <v xml:space="preserve"> </v>
          </cell>
          <cell r="C518" t="str">
            <v/>
          </cell>
          <cell r="D518" t="str">
            <v/>
          </cell>
          <cell r="E518">
            <v>0</v>
          </cell>
        </row>
        <row r="519">
          <cell r="A519" t="str">
            <v>FJG5F03</v>
          </cell>
          <cell r="B519" t="str">
            <v xml:space="preserve"> </v>
          </cell>
          <cell r="C519" t="str">
            <v/>
          </cell>
          <cell r="D519" t="str">
            <v/>
          </cell>
          <cell r="E519">
            <v>0</v>
          </cell>
        </row>
        <row r="520">
          <cell r="A520" t="str">
            <v>GDD8C74</v>
          </cell>
          <cell r="B520" t="str">
            <v xml:space="preserve"> </v>
          </cell>
          <cell r="C520" t="str">
            <v/>
          </cell>
          <cell r="D520" t="str">
            <v/>
          </cell>
          <cell r="E520">
            <v>0</v>
          </cell>
        </row>
        <row r="521">
          <cell r="A521" t="str">
            <v>GEZ7B46</v>
          </cell>
          <cell r="B521" t="str">
            <v xml:space="preserve"> </v>
          </cell>
          <cell r="C521">
            <v>45989</v>
          </cell>
          <cell r="D521" t="str">
            <v/>
          </cell>
          <cell r="E521">
            <v>45989</v>
          </cell>
        </row>
        <row r="522">
          <cell r="A522" t="str">
            <v>GFB0H75</v>
          </cell>
          <cell r="B522" t="str">
            <v xml:space="preserve"> </v>
          </cell>
          <cell r="C522" t="str">
            <v/>
          </cell>
          <cell r="D522" t="str">
            <v/>
          </cell>
          <cell r="E522">
            <v>0</v>
          </cell>
        </row>
        <row r="523">
          <cell r="A523" t="str">
            <v>GHW4C93</v>
          </cell>
          <cell r="B523" t="str">
            <v xml:space="preserve"> </v>
          </cell>
          <cell r="C523">
            <v>45989</v>
          </cell>
          <cell r="D523" t="str">
            <v/>
          </cell>
          <cell r="E523">
            <v>45989</v>
          </cell>
        </row>
        <row r="524">
          <cell r="A524" t="str">
            <v>GJG8C81</v>
          </cell>
          <cell r="B524" t="str">
            <v xml:space="preserve"> </v>
          </cell>
          <cell r="C524" t="str">
            <v/>
          </cell>
          <cell r="D524" t="str">
            <v/>
          </cell>
          <cell r="E524">
            <v>0</v>
          </cell>
        </row>
        <row r="525">
          <cell r="A525" t="str">
            <v>GJN6D04</v>
          </cell>
          <cell r="B525" t="str">
            <v xml:space="preserve"> </v>
          </cell>
          <cell r="C525" t="str">
            <v/>
          </cell>
          <cell r="D525" t="str">
            <v/>
          </cell>
          <cell r="E525">
            <v>0</v>
          </cell>
        </row>
        <row r="526">
          <cell r="A526" t="str">
            <v>GDN9I61</v>
          </cell>
          <cell r="B526" t="str">
            <v xml:space="preserve"> </v>
          </cell>
          <cell r="C526">
            <v>45989</v>
          </cell>
          <cell r="D526" t="str">
            <v/>
          </cell>
          <cell r="E526">
            <v>45989</v>
          </cell>
        </row>
        <row r="527">
          <cell r="A527" t="str">
            <v>GEI7B15</v>
          </cell>
          <cell r="B527" t="str">
            <v xml:space="preserve"> </v>
          </cell>
          <cell r="C527" t="str">
            <v/>
          </cell>
          <cell r="D527" t="str">
            <v/>
          </cell>
          <cell r="E527">
            <v>0</v>
          </cell>
        </row>
        <row r="528">
          <cell r="A528" t="str">
            <v>GIG4F93</v>
          </cell>
          <cell r="B528" t="str">
            <v xml:space="preserve"> </v>
          </cell>
          <cell r="C528">
            <v>45989</v>
          </cell>
          <cell r="D528" t="str">
            <v/>
          </cell>
          <cell r="E528">
            <v>45989</v>
          </cell>
        </row>
        <row r="529">
          <cell r="A529" t="str">
            <v>GIB4E82</v>
          </cell>
          <cell r="B529" t="str">
            <v xml:space="preserve"> </v>
          </cell>
          <cell r="C529">
            <v>45989</v>
          </cell>
          <cell r="D529" t="str">
            <v/>
          </cell>
          <cell r="E529">
            <v>45989</v>
          </cell>
        </row>
        <row r="530">
          <cell r="A530" t="str">
            <v>GHS3H03</v>
          </cell>
          <cell r="B530" t="str">
            <v xml:space="preserve"> </v>
          </cell>
          <cell r="C530">
            <v>45989</v>
          </cell>
          <cell r="D530" t="str">
            <v/>
          </cell>
          <cell r="E530">
            <v>45989</v>
          </cell>
        </row>
        <row r="531">
          <cell r="A531" t="str">
            <v>GGZ1F34</v>
          </cell>
          <cell r="B531" t="str">
            <v xml:space="preserve"> </v>
          </cell>
          <cell r="C531">
            <v>45989</v>
          </cell>
          <cell r="D531" t="str">
            <v/>
          </cell>
          <cell r="E531">
            <v>45989</v>
          </cell>
        </row>
        <row r="532">
          <cell r="A532" t="str">
            <v>GHM9C04</v>
          </cell>
          <cell r="B532" t="str">
            <v xml:space="preserve"> </v>
          </cell>
          <cell r="C532" t="str">
            <v/>
          </cell>
          <cell r="D532" t="str">
            <v/>
          </cell>
          <cell r="E532">
            <v>0</v>
          </cell>
        </row>
        <row r="533">
          <cell r="A533" t="str">
            <v>GHK1J44</v>
          </cell>
          <cell r="B533" t="str">
            <v xml:space="preserve"> </v>
          </cell>
          <cell r="C533" t="str">
            <v/>
          </cell>
          <cell r="D533" t="str">
            <v/>
          </cell>
          <cell r="E533">
            <v>0</v>
          </cell>
        </row>
        <row r="534">
          <cell r="A534" t="str">
            <v>GGV1A34</v>
          </cell>
          <cell r="B534" t="str">
            <v xml:space="preserve"> </v>
          </cell>
          <cell r="C534" t="str">
            <v/>
          </cell>
          <cell r="D534" t="str">
            <v/>
          </cell>
          <cell r="E534">
            <v>0</v>
          </cell>
        </row>
        <row r="535">
          <cell r="A535" t="str">
            <v>GGF8H51</v>
          </cell>
          <cell r="B535" t="str">
            <v xml:space="preserve"> </v>
          </cell>
          <cell r="C535" t="str">
            <v/>
          </cell>
          <cell r="D535" t="str">
            <v/>
          </cell>
          <cell r="E535">
            <v>0</v>
          </cell>
        </row>
        <row r="536">
          <cell r="A536" t="str">
            <v>GEG2F43</v>
          </cell>
          <cell r="B536" t="str">
            <v xml:space="preserve"> </v>
          </cell>
          <cell r="C536" t="str">
            <v/>
          </cell>
          <cell r="D536" t="str">
            <v/>
          </cell>
          <cell r="E536">
            <v>0</v>
          </cell>
        </row>
        <row r="537">
          <cell r="A537" t="str">
            <v>GGN8H92</v>
          </cell>
          <cell r="B537" t="str">
            <v xml:space="preserve"> </v>
          </cell>
          <cell r="C537">
            <v>45989</v>
          </cell>
          <cell r="D537" t="str">
            <v/>
          </cell>
          <cell r="E537">
            <v>45989</v>
          </cell>
        </row>
        <row r="538">
          <cell r="A538" t="str">
            <v>GFX3I74</v>
          </cell>
          <cell r="B538" t="str">
            <v xml:space="preserve"> </v>
          </cell>
          <cell r="C538">
            <v>45989</v>
          </cell>
          <cell r="D538" t="str">
            <v/>
          </cell>
          <cell r="E538">
            <v>45989</v>
          </cell>
        </row>
        <row r="539">
          <cell r="A539" t="str">
            <v>GFV1C44</v>
          </cell>
          <cell r="B539" t="str">
            <v xml:space="preserve"> </v>
          </cell>
          <cell r="C539" t="str">
            <v/>
          </cell>
          <cell r="D539" t="str">
            <v/>
          </cell>
          <cell r="E539">
            <v>0</v>
          </cell>
        </row>
        <row r="540">
          <cell r="A540" t="str">
            <v>GFS7F11</v>
          </cell>
          <cell r="B540" t="str">
            <v xml:space="preserve"> </v>
          </cell>
          <cell r="C540">
            <v>45989</v>
          </cell>
          <cell r="D540" t="str">
            <v/>
          </cell>
          <cell r="E540">
            <v>45989</v>
          </cell>
        </row>
        <row r="541">
          <cell r="A541" t="str">
            <v>GFS6J84</v>
          </cell>
          <cell r="B541" t="str">
            <v xml:space="preserve"> </v>
          </cell>
          <cell r="C541">
            <v>45989</v>
          </cell>
          <cell r="D541" t="str">
            <v/>
          </cell>
          <cell r="E541">
            <v>45989</v>
          </cell>
        </row>
        <row r="542">
          <cell r="A542" t="str">
            <v>GEZ5H13</v>
          </cell>
          <cell r="B542" t="str">
            <v xml:space="preserve"> </v>
          </cell>
          <cell r="C542">
            <v>45989</v>
          </cell>
          <cell r="D542" t="str">
            <v/>
          </cell>
          <cell r="E542">
            <v>45989</v>
          </cell>
        </row>
        <row r="543">
          <cell r="A543" t="str">
            <v>GFB8H14</v>
          </cell>
          <cell r="B543" t="str">
            <v xml:space="preserve"> </v>
          </cell>
          <cell r="C543">
            <v>45989</v>
          </cell>
          <cell r="D543" t="str">
            <v/>
          </cell>
          <cell r="E543">
            <v>45989</v>
          </cell>
        </row>
        <row r="544">
          <cell r="A544" t="str">
            <v>GEV8B15</v>
          </cell>
          <cell r="B544" t="str">
            <v xml:space="preserve"> </v>
          </cell>
          <cell r="C544" t="str">
            <v/>
          </cell>
          <cell r="D544" t="str">
            <v/>
          </cell>
          <cell r="E544">
            <v>0</v>
          </cell>
        </row>
        <row r="545">
          <cell r="A545" t="str">
            <v>GEF8B74</v>
          </cell>
          <cell r="B545" t="str">
            <v xml:space="preserve"> </v>
          </cell>
          <cell r="C545" t="str">
            <v/>
          </cell>
          <cell r="D545" t="str">
            <v/>
          </cell>
          <cell r="E545">
            <v>0</v>
          </cell>
        </row>
        <row r="546">
          <cell r="A546" t="str">
            <v>GEB0E43</v>
          </cell>
          <cell r="B546" t="str">
            <v xml:space="preserve"> </v>
          </cell>
          <cell r="C546">
            <v>45989</v>
          </cell>
          <cell r="D546" t="str">
            <v/>
          </cell>
          <cell r="E546">
            <v>45989</v>
          </cell>
        </row>
        <row r="547">
          <cell r="A547" t="str">
            <v>GDY7B23</v>
          </cell>
          <cell r="B547" t="str">
            <v xml:space="preserve"> </v>
          </cell>
          <cell r="C547" t="str">
            <v/>
          </cell>
          <cell r="D547" t="str">
            <v/>
          </cell>
          <cell r="E547">
            <v>0</v>
          </cell>
        </row>
        <row r="548">
          <cell r="A548" t="str">
            <v>GDM4G44</v>
          </cell>
          <cell r="B548" t="str">
            <v xml:space="preserve"> </v>
          </cell>
          <cell r="C548" t="str">
            <v/>
          </cell>
          <cell r="D548" t="str">
            <v/>
          </cell>
          <cell r="E548">
            <v>0</v>
          </cell>
        </row>
        <row r="549">
          <cell r="A549" t="str">
            <v>GCI0A64</v>
          </cell>
          <cell r="B549" t="str">
            <v xml:space="preserve"> </v>
          </cell>
          <cell r="C549">
            <v>45989</v>
          </cell>
          <cell r="D549" t="str">
            <v/>
          </cell>
          <cell r="E549">
            <v>45989</v>
          </cell>
        </row>
        <row r="550">
          <cell r="A550" t="str">
            <v>GCL2D74</v>
          </cell>
          <cell r="B550" t="str">
            <v xml:space="preserve"> </v>
          </cell>
          <cell r="C550" t="str">
            <v/>
          </cell>
          <cell r="D550" t="str">
            <v/>
          </cell>
          <cell r="E550">
            <v>0</v>
          </cell>
        </row>
        <row r="551">
          <cell r="A551" t="str">
            <v>GBZ4B11</v>
          </cell>
          <cell r="B551" t="str">
            <v xml:space="preserve"> </v>
          </cell>
          <cell r="C551" t="str">
            <v/>
          </cell>
          <cell r="D551" t="str">
            <v/>
          </cell>
          <cell r="E551">
            <v>0</v>
          </cell>
        </row>
        <row r="552">
          <cell r="A552" t="str">
            <v>GBJ3A92</v>
          </cell>
          <cell r="B552" t="str">
            <v xml:space="preserve"> </v>
          </cell>
          <cell r="C552">
            <v>45989</v>
          </cell>
          <cell r="D552" t="str">
            <v/>
          </cell>
          <cell r="E552">
            <v>45989</v>
          </cell>
        </row>
        <row r="553">
          <cell r="A553" t="str">
            <v>FZL8E64</v>
          </cell>
          <cell r="B553" t="str">
            <v xml:space="preserve"> </v>
          </cell>
          <cell r="C553">
            <v>45989</v>
          </cell>
          <cell r="D553" t="str">
            <v/>
          </cell>
          <cell r="E553">
            <v>45989</v>
          </cell>
        </row>
        <row r="554">
          <cell r="A554" t="str">
            <v>FNG2B94</v>
          </cell>
          <cell r="B554" t="str">
            <v xml:space="preserve"> </v>
          </cell>
          <cell r="C554">
            <v>45989</v>
          </cell>
          <cell r="D554" t="str">
            <v/>
          </cell>
          <cell r="E554">
            <v>45989</v>
          </cell>
        </row>
        <row r="555">
          <cell r="A555" t="str">
            <v>FCN9F84</v>
          </cell>
          <cell r="B555" t="str">
            <v xml:space="preserve"> </v>
          </cell>
          <cell r="C555">
            <v>45989</v>
          </cell>
          <cell r="D555" t="str">
            <v/>
          </cell>
          <cell r="E555">
            <v>45989</v>
          </cell>
        </row>
        <row r="556">
          <cell r="A556" t="str">
            <v>EST1G84</v>
          </cell>
          <cell r="B556">
            <v>45989</v>
          </cell>
          <cell r="C556">
            <v>45989</v>
          </cell>
          <cell r="D556" t="str">
            <v/>
          </cell>
          <cell r="E556">
            <v>45989</v>
          </cell>
        </row>
        <row r="557">
          <cell r="A557" t="str">
            <v>FWR6F43</v>
          </cell>
          <cell r="B557" t="str">
            <v xml:space="preserve"> </v>
          </cell>
          <cell r="C557">
            <v>45989</v>
          </cell>
          <cell r="D557" t="str">
            <v/>
          </cell>
          <cell r="E557">
            <v>45989</v>
          </cell>
        </row>
        <row r="558">
          <cell r="A558" t="str">
            <v>SVO4A80</v>
          </cell>
          <cell r="B558" t="str">
            <v xml:space="preserve"> </v>
          </cell>
          <cell r="C558">
            <v>45989</v>
          </cell>
          <cell r="D558" t="str">
            <v/>
          </cell>
          <cell r="E558">
            <v>45989</v>
          </cell>
        </row>
        <row r="559">
          <cell r="A559" t="str">
            <v>STE1C78</v>
          </cell>
          <cell r="B559" t="str">
            <v xml:space="preserve"> </v>
          </cell>
          <cell r="C559" t="str">
            <v/>
          </cell>
          <cell r="D559" t="str">
            <v/>
          </cell>
          <cell r="E559">
            <v>0</v>
          </cell>
        </row>
        <row r="560">
          <cell r="A560" t="str">
            <v>SWW5E78</v>
          </cell>
          <cell r="B560" t="str">
            <v xml:space="preserve"> </v>
          </cell>
          <cell r="C560" t="str">
            <v/>
          </cell>
          <cell r="D560" t="str">
            <v/>
          </cell>
          <cell r="E560">
            <v>0</v>
          </cell>
        </row>
        <row r="561">
          <cell r="A561" t="str">
            <v>SWH0G90</v>
          </cell>
          <cell r="B561" t="str">
            <v xml:space="preserve"> </v>
          </cell>
          <cell r="C561" t="str">
            <v/>
          </cell>
          <cell r="D561" t="str">
            <v/>
          </cell>
          <cell r="E561">
            <v>0</v>
          </cell>
        </row>
        <row r="562">
          <cell r="A562" t="str">
            <v>SUG5C29</v>
          </cell>
          <cell r="B562" t="str">
            <v xml:space="preserve"> </v>
          </cell>
          <cell r="C562" t="str">
            <v/>
          </cell>
          <cell r="D562" t="str">
            <v/>
          </cell>
          <cell r="E562">
            <v>0</v>
          </cell>
        </row>
        <row r="563">
          <cell r="A563" t="str">
            <v>SSS6G60</v>
          </cell>
          <cell r="B563" t="str">
            <v xml:space="preserve"> </v>
          </cell>
          <cell r="C563" t="str">
            <v/>
          </cell>
          <cell r="D563" t="str">
            <v/>
          </cell>
          <cell r="E563">
            <v>0</v>
          </cell>
        </row>
        <row r="564">
          <cell r="A564" t="str">
            <v>SSV3J50</v>
          </cell>
          <cell r="B564" t="str">
            <v xml:space="preserve"> </v>
          </cell>
          <cell r="C564">
            <v>45989</v>
          </cell>
          <cell r="D564" t="str">
            <v/>
          </cell>
          <cell r="E564">
            <v>45989</v>
          </cell>
        </row>
        <row r="565">
          <cell r="A565" t="str">
            <v>SSY3I38</v>
          </cell>
          <cell r="B565" t="str">
            <v xml:space="preserve"> </v>
          </cell>
          <cell r="C565" t="str">
            <v/>
          </cell>
          <cell r="D565" t="str">
            <v/>
          </cell>
          <cell r="E565">
            <v>0</v>
          </cell>
        </row>
        <row r="566">
          <cell r="A566" t="str">
            <v>STN5J69</v>
          </cell>
          <cell r="B566" t="str">
            <v xml:space="preserve"> </v>
          </cell>
          <cell r="C566">
            <v>45989</v>
          </cell>
          <cell r="D566" t="str">
            <v/>
          </cell>
          <cell r="E566">
            <v>45989</v>
          </cell>
        </row>
        <row r="567">
          <cell r="A567" t="str">
            <v>STO4I48</v>
          </cell>
          <cell r="B567" t="str">
            <v xml:space="preserve"> </v>
          </cell>
          <cell r="C567">
            <v>45989</v>
          </cell>
          <cell r="D567" t="str">
            <v/>
          </cell>
          <cell r="E567">
            <v>45989</v>
          </cell>
        </row>
        <row r="568">
          <cell r="A568" t="str">
            <v>SVN5B77</v>
          </cell>
          <cell r="B568">
            <v>45983</v>
          </cell>
          <cell r="C568" t="str">
            <v/>
          </cell>
          <cell r="D568" t="str">
            <v/>
          </cell>
          <cell r="E568">
            <v>45983</v>
          </cell>
        </row>
        <row r="569">
          <cell r="A569" t="str">
            <v>SWM5J67</v>
          </cell>
          <cell r="B569" t="str">
            <v xml:space="preserve"> </v>
          </cell>
          <cell r="C569" t="str">
            <v/>
          </cell>
          <cell r="D569" t="str">
            <v/>
          </cell>
          <cell r="E569">
            <v>0</v>
          </cell>
        </row>
        <row r="570">
          <cell r="A570" t="str">
            <v>SUK9C18</v>
          </cell>
          <cell r="B570" t="str">
            <v xml:space="preserve"> </v>
          </cell>
          <cell r="C570" t="str">
            <v/>
          </cell>
          <cell r="D570" t="str">
            <v/>
          </cell>
          <cell r="E570">
            <v>0</v>
          </cell>
        </row>
        <row r="571">
          <cell r="A571" t="str">
            <v>STD0B60</v>
          </cell>
          <cell r="B571" t="str">
            <v xml:space="preserve"> </v>
          </cell>
          <cell r="C571">
            <v>45989</v>
          </cell>
          <cell r="D571" t="str">
            <v/>
          </cell>
          <cell r="E571">
            <v>45989</v>
          </cell>
        </row>
        <row r="572">
          <cell r="A572" t="str">
            <v>GCT0D85</v>
          </cell>
          <cell r="B572" t="str">
            <v xml:space="preserve"> </v>
          </cell>
          <cell r="C572" t="str">
            <v/>
          </cell>
          <cell r="D572" t="str">
            <v/>
          </cell>
          <cell r="E572">
            <v>0</v>
          </cell>
        </row>
        <row r="573">
          <cell r="A573" t="str">
            <v>FRY6I14</v>
          </cell>
          <cell r="B573" t="str">
            <v xml:space="preserve"> </v>
          </cell>
          <cell r="C573" t="str">
            <v/>
          </cell>
          <cell r="D573" t="str">
            <v/>
          </cell>
          <cell r="E573">
            <v>0</v>
          </cell>
        </row>
        <row r="574">
          <cell r="A574" t="str">
            <v>JCI8F66</v>
          </cell>
          <cell r="B574">
            <v>45988</v>
          </cell>
          <cell r="C574">
            <v>45989</v>
          </cell>
          <cell r="D574" t="str">
            <v/>
          </cell>
          <cell r="E574">
            <v>45989</v>
          </cell>
        </row>
        <row r="575">
          <cell r="A575" t="str">
            <v>JCI8F67</v>
          </cell>
          <cell r="B575">
            <v>45989</v>
          </cell>
          <cell r="C575">
            <v>45989</v>
          </cell>
          <cell r="D575" t="str">
            <v/>
          </cell>
          <cell r="E575">
            <v>45989</v>
          </cell>
        </row>
        <row r="576">
          <cell r="A576" t="str">
            <v>JCI8F71</v>
          </cell>
          <cell r="B576">
            <v>45988</v>
          </cell>
          <cell r="C576">
            <v>45989</v>
          </cell>
          <cell r="D576" t="str">
            <v/>
          </cell>
          <cell r="E576">
            <v>45989</v>
          </cell>
        </row>
        <row r="577">
          <cell r="A577" t="str">
            <v>JCI8F75</v>
          </cell>
          <cell r="B577">
            <v>45989</v>
          </cell>
          <cell r="C577">
            <v>45989</v>
          </cell>
          <cell r="D577" t="str">
            <v/>
          </cell>
          <cell r="E577">
            <v>45989</v>
          </cell>
        </row>
        <row r="578">
          <cell r="A578" t="str">
            <v>JCI8F76</v>
          </cell>
          <cell r="B578">
            <v>45986</v>
          </cell>
          <cell r="C578" t="str">
            <v/>
          </cell>
          <cell r="D578" t="str">
            <v/>
          </cell>
          <cell r="E578">
            <v>45986</v>
          </cell>
        </row>
        <row r="579">
          <cell r="A579" t="str">
            <v>JCI8F77</v>
          </cell>
          <cell r="B579">
            <v>45988</v>
          </cell>
          <cell r="C579">
            <v>45989</v>
          </cell>
          <cell r="D579" t="str">
            <v/>
          </cell>
          <cell r="E579">
            <v>45989</v>
          </cell>
        </row>
        <row r="580">
          <cell r="A580" t="str">
            <v>JCI8F90</v>
          </cell>
          <cell r="B580">
            <v>45988</v>
          </cell>
          <cell r="C580">
            <v>45989</v>
          </cell>
          <cell r="D580" t="str">
            <v/>
          </cell>
          <cell r="E580">
            <v>45989</v>
          </cell>
        </row>
        <row r="581">
          <cell r="A581" t="str">
            <v>JCI8F93</v>
          </cell>
          <cell r="B581">
            <v>45989</v>
          </cell>
          <cell r="C581">
            <v>45989</v>
          </cell>
          <cell r="D581" t="str">
            <v/>
          </cell>
          <cell r="E581">
            <v>45989</v>
          </cell>
        </row>
        <row r="582">
          <cell r="A582" t="str">
            <v>JCI8F94</v>
          </cell>
          <cell r="B582">
            <v>45988</v>
          </cell>
          <cell r="C582">
            <v>45989</v>
          </cell>
          <cell r="D582" t="str">
            <v/>
          </cell>
          <cell r="E582">
            <v>45989</v>
          </cell>
        </row>
        <row r="583">
          <cell r="A583" t="str">
            <v>JCI8F95</v>
          </cell>
          <cell r="B583">
            <v>45989</v>
          </cell>
          <cell r="C583">
            <v>45989</v>
          </cell>
          <cell r="D583" t="str">
            <v/>
          </cell>
          <cell r="E583">
            <v>45989</v>
          </cell>
        </row>
        <row r="584">
          <cell r="A584" t="str">
            <v>JCJ0D22</v>
          </cell>
          <cell r="B584" t="str">
            <v xml:space="preserve"> </v>
          </cell>
          <cell r="C584">
            <v>45989</v>
          </cell>
          <cell r="D584" t="str">
            <v/>
          </cell>
          <cell r="E584">
            <v>45989</v>
          </cell>
        </row>
        <row r="585">
          <cell r="A585" t="str">
            <v>JCJ0D24</v>
          </cell>
          <cell r="B585">
            <v>45989</v>
          </cell>
          <cell r="C585">
            <v>45989</v>
          </cell>
          <cell r="D585" t="str">
            <v/>
          </cell>
          <cell r="E585">
            <v>45989</v>
          </cell>
        </row>
        <row r="586">
          <cell r="A586" t="str">
            <v>JCJ0D25</v>
          </cell>
          <cell r="B586">
            <v>45986</v>
          </cell>
          <cell r="C586" t="str">
            <v/>
          </cell>
          <cell r="D586" t="str">
            <v/>
          </cell>
          <cell r="E586">
            <v>45986</v>
          </cell>
        </row>
        <row r="587">
          <cell r="A587" t="str">
            <v>JCJ0D26</v>
          </cell>
          <cell r="B587">
            <v>45979</v>
          </cell>
          <cell r="C587" t="str">
            <v/>
          </cell>
          <cell r="D587" t="str">
            <v/>
          </cell>
          <cell r="E587">
            <v>45979</v>
          </cell>
        </row>
        <row r="588">
          <cell r="A588" t="str">
            <v>JCJ0D28</v>
          </cell>
          <cell r="B588">
            <v>45988</v>
          </cell>
          <cell r="C588">
            <v>45989</v>
          </cell>
          <cell r="D588" t="str">
            <v/>
          </cell>
          <cell r="E588">
            <v>45989</v>
          </cell>
        </row>
        <row r="589">
          <cell r="A589" t="str">
            <v>JCJ0D29</v>
          </cell>
          <cell r="B589">
            <v>45989</v>
          </cell>
          <cell r="C589">
            <v>45989</v>
          </cell>
          <cell r="D589" t="str">
            <v/>
          </cell>
          <cell r="E589">
            <v>45989</v>
          </cell>
        </row>
        <row r="590">
          <cell r="A590" t="str">
            <v>JCJ0D32</v>
          </cell>
          <cell r="B590">
            <v>45988</v>
          </cell>
          <cell r="C590">
            <v>45989</v>
          </cell>
          <cell r="D590" t="str">
            <v/>
          </cell>
          <cell r="E590">
            <v>45989</v>
          </cell>
        </row>
        <row r="591">
          <cell r="A591" t="str">
            <v>JCJ0D34</v>
          </cell>
          <cell r="B591">
            <v>45989</v>
          </cell>
          <cell r="C591">
            <v>45989</v>
          </cell>
          <cell r="D591" t="str">
            <v/>
          </cell>
          <cell r="E591">
            <v>45989</v>
          </cell>
        </row>
        <row r="592">
          <cell r="A592" t="str">
            <v>JCJ0D35</v>
          </cell>
          <cell r="B592">
            <v>45989</v>
          </cell>
          <cell r="C592">
            <v>45989</v>
          </cell>
          <cell r="D592" t="str">
            <v/>
          </cell>
          <cell r="E592">
            <v>45989</v>
          </cell>
        </row>
        <row r="593">
          <cell r="A593" t="str">
            <v>JCJ0D39</v>
          </cell>
          <cell r="B593">
            <v>45989</v>
          </cell>
          <cell r="C593">
            <v>45989</v>
          </cell>
          <cell r="D593" t="str">
            <v/>
          </cell>
          <cell r="E593">
            <v>45989</v>
          </cell>
        </row>
        <row r="594">
          <cell r="A594" t="str">
            <v>JCJ0D40</v>
          </cell>
          <cell r="B594">
            <v>45988</v>
          </cell>
          <cell r="C594">
            <v>45989</v>
          </cell>
          <cell r="D594" t="str">
            <v/>
          </cell>
          <cell r="E594">
            <v>45989</v>
          </cell>
        </row>
        <row r="595">
          <cell r="A595" t="str">
            <v>JCJ0D41</v>
          </cell>
          <cell r="B595">
            <v>45988</v>
          </cell>
          <cell r="C595">
            <v>45989</v>
          </cell>
          <cell r="D595" t="str">
            <v/>
          </cell>
          <cell r="E595">
            <v>45989</v>
          </cell>
        </row>
        <row r="596">
          <cell r="A596" t="str">
            <v>JCJ0D42</v>
          </cell>
          <cell r="B596">
            <v>45989</v>
          </cell>
          <cell r="C596">
            <v>45989</v>
          </cell>
          <cell r="D596" t="str">
            <v/>
          </cell>
          <cell r="E596">
            <v>45989</v>
          </cell>
        </row>
        <row r="597">
          <cell r="A597" t="str">
            <v>JCJ0D43</v>
          </cell>
          <cell r="B597">
            <v>45977</v>
          </cell>
          <cell r="C597" t="str">
            <v/>
          </cell>
          <cell r="D597" t="str">
            <v/>
          </cell>
          <cell r="E597">
            <v>45977</v>
          </cell>
        </row>
        <row r="598">
          <cell r="A598" t="str">
            <v>JCJ1B31</v>
          </cell>
          <cell r="B598">
            <v>45975</v>
          </cell>
          <cell r="C598" t="str">
            <v/>
          </cell>
          <cell r="D598" t="str">
            <v/>
          </cell>
          <cell r="E598">
            <v>45975</v>
          </cell>
        </row>
        <row r="599">
          <cell r="A599" t="str">
            <v>JCJ3H90</v>
          </cell>
          <cell r="B599">
            <v>45989</v>
          </cell>
          <cell r="C599">
            <v>45989</v>
          </cell>
          <cell r="D599" t="str">
            <v/>
          </cell>
          <cell r="E599">
            <v>45989</v>
          </cell>
        </row>
        <row r="600">
          <cell r="A600" t="str">
            <v>JCJ3H91</v>
          </cell>
          <cell r="B600">
            <v>45989</v>
          </cell>
          <cell r="C600">
            <v>45989</v>
          </cell>
          <cell r="D600" t="str">
            <v/>
          </cell>
          <cell r="E600">
            <v>45989</v>
          </cell>
        </row>
        <row r="601">
          <cell r="A601" t="str">
            <v>JCJ3H93</v>
          </cell>
          <cell r="B601">
            <v>45988</v>
          </cell>
          <cell r="C601">
            <v>45989</v>
          </cell>
          <cell r="D601" t="str">
            <v/>
          </cell>
          <cell r="E601">
            <v>45989</v>
          </cell>
        </row>
        <row r="602">
          <cell r="A602" t="str">
            <v>SQZ2J54</v>
          </cell>
          <cell r="B602">
            <v>45988</v>
          </cell>
          <cell r="C602">
            <v>45989</v>
          </cell>
          <cell r="D602" t="str">
            <v/>
          </cell>
          <cell r="E602">
            <v>45989</v>
          </cell>
        </row>
        <row r="603">
          <cell r="A603" t="str">
            <v>SRP3D16</v>
          </cell>
          <cell r="B603">
            <v>45989</v>
          </cell>
          <cell r="C603">
            <v>45989</v>
          </cell>
          <cell r="D603" t="str">
            <v/>
          </cell>
          <cell r="E603">
            <v>45989</v>
          </cell>
        </row>
        <row r="604">
          <cell r="A604" t="str">
            <v>RVH5G74</v>
          </cell>
          <cell r="B604">
            <v>45964</v>
          </cell>
          <cell r="C604" t="str">
            <v/>
          </cell>
          <cell r="D604" t="str">
            <v/>
          </cell>
          <cell r="E604">
            <v>45964</v>
          </cell>
        </row>
        <row r="605">
          <cell r="A605" t="str">
            <v>RVG5F61</v>
          </cell>
          <cell r="B605">
            <v>45988</v>
          </cell>
          <cell r="C605">
            <v>45989</v>
          </cell>
          <cell r="D605" t="str">
            <v/>
          </cell>
          <cell r="E605">
            <v>45989</v>
          </cell>
        </row>
        <row r="606">
          <cell r="A606" t="str">
            <v>EFD8G37</v>
          </cell>
          <cell r="B606">
            <v>45909</v>
          </cell>
          <cell r="C606" t="str">
            <v/>
          </cell>
          <cell r="D606" t="str">
            <v/>
          </cell>
          <cell r="E606">
            <v>45909</v>
          </cell>
        </row>
        <row r="607">
          <cell r="A607" t="str">
            <v>RVH3F32</v>
          </cell>
          <cell r="B607">
            <v>45987</v>
          </cell>
          <cell r="C607" t="str">
            <v/>
          </cell>
          <cell r="D607" t="str">
            <v/>
          </cell>
          <cell r="E607">
            <v>45987</v>
          </cell>
        </row>
        <row r="608">
          <cell r="A608" t="str">
            <v>RVG0G10</v>
          </cell>
          <cell r="B608">
            <v>45989</v>
          </cell>
          <cell r="C608">
            <v>45989</v>
          </cell>
          <cell r="D608" t="str">
            <v/>
          </cell>
          <cell r="E608">
            <v>45989</v>
          </cell>
        </row>
        <row r="609">
          <cell r="A609" t="str">
            <v>RVG0G11</v>
          </cell>
          <cell r="B609">
            <v>45988</v>
          </cell>
          <cell r="C609">
            <v>45989</v>
          </cell>
          <cell r="D609" t="str">
            <v/>
          </cell>
          <cell r="E609">
            <v>45989</v>
          </cell>
        </row>
        <row r="610">
          <cell r="A610" t="str">
            <v>RVG0G15</v>
          </cell>
          <cell r="B610">
            <v>45989</v>
          </cell>
          <cell r="C610">
            <v>45989</v>
          </cell>
          <cell r="D610" t="str">
            <v/>
          </cell>
          <cell r="E610">
            <v>45989</v>
          </cell>
        </row>
        <row r="611">
          <cell r="A611" t="str">
            <v>RVG0G17</v>
          </cell>
          <cell r="B611">
            <v>45861</v>
          </cell>
          <cell r="C611" t="str">
            <v/>
          </cell>
          <cell r="D611" t="str">
            <v/>
          </cell>
          <cell r="E611">
            <v>45861</v>
          </cell>
        </row>
        <row r="612">
          <cell r="A612" t="str">
            <v>RVH4C81</v>
          </cell>
          <cell r="B612">
            <v>45848</v>
          </cell>
          <cell r="C612" t="str">
            <v/>
          </cell>
          <cell r="D612" t="str">
            <v/>
          </cell>
          <cell r="E612">
            <v>45848</v>
          </cell>
        </row>
        <row r="613">
          <cell r="A613" t="str">
            <v>RVH4C82</v>
          </cell>
          <cell r="B613">
            <v>45919</v>
          </cell>
          <cell r="C613" t="str">
            <v/>
          </cell>
          <cell r="D613" t="str">
            <v/>
          </cell>
          <cell r="E613">
            <v>45919</v>
          </cell>
        </row>
        <row r="614">
          <cell r="A614" t="str">
            <v>RVH5G72</v>
          </cell>
          <cell r="B614">
            <v>45964</v>
          </cell>
          <cell r="C614" t="str">
            <v/>
          </cell>
          <cell r="D614" t="str">
            <v/>
          </cell>
          <cell r="E614">
            <v>45964</v>
          </cell>
        </row>
        <row r="615">
          <cell r="A615" t="str">
            <v>RVH3F36</v>
          </cell>
          <cell r="B615">
            <v>45987</v>
          </cell>
          <cell r="C615" t="str">
            <v/>
          </cell>
          <cell r="D615" t="str">
            <v/>
          </cell>
          <cell r="E615">
            <v>45987</v>
          </cell>
        </row>
        <row r="616">
          <cell r="A616" t="str">
            <v>RVH5G73</v>
          </cell>
          <cell r="B616">
            <v>45979</v>
          </cell>
          <cell r="C616" t="str">
            <v/>
          </cell>
          <cell r="D616" t="str">
            <v/>
          </cell>
          <cell r="E616">
            <v>45979</v>
          </cell>
        </row>
        <row r="617">
          <cell r="A617" t="str">
            <v>RVH5G75</v>
          </cell>
          <cell r="B617">
            <v>45989</v>
          </cell>
          <cell r="C617">
            <v>45989</v>
          </cell>
          <cell r="D617" t="str">
            <v/>
          </cell>
          <cell r="E617">
            <v>45989</v>
          </cell>
        </row>
        <row r="618">
          <cell r="A618" t="str">
            <v>RVH5G71</v>
          </cell>
          <cell r="B618">
            <v>45982</v>
          </cell>
          <cell r="C618" t="str">
            <v/>
          </cell>
          <cell r="D618" t="str">
            <v/>
          </cell>
          <cell r="E618">
            <v>45982</v>
          </cell>
        </row>
        <row r="619">
          <cell r="A619" t="str">
            <v>RUM4B21</v>
          </cell>
          <cell r="B619">
            <v>45908</v>
          </cell>
          <cell r="C619" t="str">
            <v/>
          </cell>
          <cell r="D619" t="str">
            <v/>
          </cell>
          <cell r="E619">
            <v>45908</v>
          </cell>
        </row>
        <row r="620">
          <cell r="A620" t="str">
            <v>RVG0G12</v>
          </cell>
          <cell r="B620">
            <v>45989</v>
          </cell>
          <cell r="C620">
            <v>45989</v>
          </cell>
          <cell r="D620" t="str">
            <v/>
          </cell>
          <cell r="E620">
            <v>45989</v>
          </cell>
        </row>
        <row r="621">
          <cell r="A621" t="str">
            <v>RVG0G13</v>
          </cell>
          <cell r="B621">
            <v>45989</v>
          </cell>
          <cell r="C621" t="str">
            <v/>
          </cell>
          <cell r="D621" t="str">
            <v/>
          </cell>
          <cell r="E621">
            <v>45989</v>
          </cell>
        </row>
        <row r="622">
          <cell r="A622" t="str">
            <v>RUS8B65</v>
          </cell>
          <cell r="B622">
            <v>45971</v>
          </cell>
          <cell r="C622" t="str">
            <v/>
          </cell>
          <cell r="D622" t="str">
            <v/>
          </cell>
          <cell r="E622">
            <v>45971</v>
          </cell>
        </row>
        <row r="623">
          <cell r="A623" t="str">
            <v>RTB0I88</v>
          </cell>
          <cell r="B623">
            <v>45793</v>
          </cell>
          <cell r="C623" t="str">
            <v/>
          </cell>
          <cell r="D623" t="str">
            <v/>
          </cell>
          <cell r="E623">
            <v>45793</v>
          </cell>
        </row>
        <row r="624">
          <cell r="A624" t="str">
            <v>RVG5F60</v>
          </cell>
          <cell r="B624">
            <v>45988</v>
          </cell>
          <cell r="C624">
            <v>45989</v>
          </cell>
          <cell r="D624" t="str">
            <v/>
          </cell>
          <cell r="E624">
            <v>45989</v>
          </cell>
        </row>
        <row r="625">
          <cell r="A625" t="str">
            <v>RUW5E62</v>
          </cell>
          <cell r="B625">
            <v>45989</v>
          </cell>
          <cell r="C625">
            <v>45989</v>
          </cell>
          <cell r="D625" t="str">
            <v/>
          </cell>
          <cell r="E625">
            <v>45989</v>
          </cell>
        </row>
        <row r="626">
          <cell r="A626" t="str">
            <v>RUW5D98</v>
          </cell>
          <cell r="B626">
            <v>45988</v>
          </cell>
          <cell r="C626">
            <v>45989</v>
          </cell>
          <cell r="D626" t="str">
            <v/>
          </cell>
          <cell r="E626">
            <v>45989</v>
          </cell>
        </row>
        <row r="627">
          <cell r="A627" t="str">
            <v>RUM4B28</v>
          </cell>
          <cell r="B627">
            <v>45914</v>
          </cell>
          <cell r="C627" t="str">
            <v/>
          </cell>
          <cell r="D627" t="str">
            <v/>
          </cell>
          <cell r="E627">
            <v>45914</v>
          </cell>
        </row>
        <row r="628">
          <cell r="A628" t="str">
            <v>EFV2B04</v>
          </cell>
          <cell r="B628">
            <v>45896</v>
          </cell>
          <cell r="C628" t="str">
            <v/>
          </cell>
          <cell r="D628" t="str">
            <v/>
          </cell>
          <cell r="E628">
            <v>45896</v>
          </cell>
        </row>
        <row r="629">
          <cell r="A629" t="str">
            <v>RTM3B06</v>
          </cell>
          <cell r="B629">
            <v>45842</v>
          </cell>
          <cell r="C629" t="str">
            <v/>
          </cell>
          <cell r="D629" t="str">
            <v/>
          </cell>
          <cell r="E629">
            <v>45842</v>
          </cell>
        </row>
        <row r="630">
          <cell r="A630" t="str">
            <v>RUX6F61</v>
          </cell>
          <cell r="B630">
            <v>45848</v>
          </cell>
          <cell r="C630" t="str">
            <v/>
          </cell>
          <cell r="D630" t="str">
            <v/>
          </cell>
          <cell r="E630">
            <v>45848</v>
          </cell>
        </row>
        <row r="631">
          <cell r="A631" t="str">
            <v>ECU4G25</v>
          </cell>
          <cell r="B631">
            <v>45888</v>
          </cell>
          <cell r="C631" t="str">
            <v/>
          </cell>
          <cell r="D631" t="str">
            <v/>
          </cell>
          <cell r="E631">
            <v>45888</v>
          </cell>
        </row>
        <row r="632">
          <cell r="A632" t="str">
            <v>FCC9I06</v>
          </cell>
          <cell r="B632">
            <v>45915</v>
          </cell>
          <cell r="C632" t="str">
            <v/>
          </cell>
          <cell r="D632" t="str">
            <v/>
          </cell>
          <cell r="E632">
            <v>45915</v>
          </cell>
        </row>
        <row r="633">
          <cell r="A633" t="str">
            <v>EQF6J51</v>
          </cell>
          <cell r="B633" t="str">
            <v xml:space="preserve"> </v>
          </cell>
          <cell r="C633" t="str">
            <v/>
          </cell>
          <cell r="D633" t="str">
            <v/>
          </cell>
          <cell r="E633">
            <v>0</v>
          </cell>
        </row>
        <row r="634">
          <cell r="A634" t="str">
            <v>RUW5D78</v>
          </cell>
          <cell r="B634">
            <v>45968</v>
          </cell>
          <cell r="C634" t="str">
            <v/>
          </cell>
          <cell r="D634" t="str">
            <v/>
          </cell>
          <cell r="E634">
            <v>45968</v>
          </cell>
        </row>
        <row r="635">
          <cell r="A635" t="str">
            <v>RUW5D84</v>
          </cell>
          <cell r="B635">
            <v>45988</v>
          </cell>
          <cell r="C635">
            <v>45989</v>
          </cell>
          <cell r="D635" t="str">
            <v/>
          </cell>
          <cell r="E635">
            <v>45989</v>
          </cell>
        </row>
        <row r="636">
          <cell r="A636" t="str">
            <v>RUW5E68</v>
          </cell>
          <cell r="B636">
            <v>45988</v>
          </cell>
          <cell r="C636">
            <v>45989</v>
          </cell>
          <cell r="D636" t="str">
            <v/>
          </cell>
          <cell r="E636">
            <v>45989</v>
          </cell>
        </row>
        <row r="637">
          <cell r="A637" t="str">
            <v>RUW5E56</v>
          </cell>
          <cell r="B637">
            <v>45977</v>
          </cell>
          <cell r="C637" t="str">
            <v/>
          </cell>
          <cell r="D637" t="str">
            <v/>
          </cell>
          <cell r="E637">
            <v>45977</v>
          </cell>
        </row>
        <row r="638">
          <cell r="A638" t="str">
            <v>RUW5D77</v>
          </cell>
          <cell r="B638">
            <v>45861</v>
          </cell>
          <cell r="C638" t="str">
            <v/>
          </cell>
          <cell r="D638" t="str">
            <v/>
          </cell>
          <cell r="E638">
            <v>45861</v>
          </cell>
        </row>
        <row r="639">
          <cell r="A639" t="str">
            <v>RUW5E00</v>
          </cell>
          <cell r="B639">
            <v>45958</v>
          </cell>
          <cell r="C639" t="str">
            <v/>
          </cell>
          <cell r="D639" t="str">
            <v/>
          </cell>
          <cell r="E639">
            <v>45958</v>
          </cell>
        </row>
        <row r="640">
          <cell r="A640" t="str">
            <v>RUW5E46</v>
          </cell>
          <cell r="B640">
            <v>45971</v>
          </cell>
          <cell r="C640" t="str">
            <v/>
          </cell>
          <cell r="D640" t="str">
            <v/>
          </cell>
          <cell r="E640">
            <v>45971</v>
          </cell>
        </row>
        <row r="641">
          <cell r="A641" t="str">
            <v>RUW5D89</v>
          </cell>
          <cell r="B641">
            <v>45970</v>
          </cell>
          <cell r="C641" t="str">
            <v/>
          </cell>
          <cell r="D641" t="str">
            <v/>
          </cell>
          <cell r="E641">
            <v>45970</v>
          </cell>
        </row>
        <row r="642">
          <cell r="A642" t="str">
            <v>RUW5D96</v>
          </cell>
          <cell r="B642">
            <v>45971</v>
          </cell>
          <cell r="C642" t="str">
            <v/>
          </cell>
          <cell r="D642" t="str">
            <v/>
          </cell>
          <cell r="E642">
            <v>45971</v>
          </cell>
        </row>
        <row r="643">
          <cell r="A643" t="str">
            <v>EQI5G81</v>
          </cell>
          <cell r="B643">
            <v>45928</v>
          </cell>
          <cell r="C643" t="str">
            <v/>
          </cell>
          <cell r="D643" t="str">
            <v/>
          </cell>
          <cell r="E643">
            <v>45928</v>
          </cell>
        </row>
        <row r="644">
          <cell r="A644" t="str">
            <v>ENU7B66</v>
          </cell>
          <cell r="B644">
            <v>45889</v>
          </cell>
          <cell r="C644" t="str">
            <v/>
          </cell>
          <cell r="D644" t="str">
            <v/>
          </cell>
          <cell r="E644">
            <v>45889</v>
          </cell>
        </row>
        <row r="645">
          <cell r="A645" t="str">
            <v>FCU6H01</v>
          </cell>
          <cell r="B645">
            <v>45905</v>
          </cell>
          <cell r="C645" t="str">
            <v/>
          </cell>
          <cell r="D645" t="str">
            <v/>
          </cell>
          <cell r="E645">
            <v>45905</v>
          </cell>
        </row>
        <row r="646">
          <cell r="A646" t="str">
            <v>RUX6F65</v>
          </cell>
          <cell r="B646">
            <v>45958</v>
          </cell>
          <cell r="C646" t="str">
            <v/>
          </cell>
          <cell r="D646" t="str">
            <v/>
          </cell>
          <cell r="E646">
            <v>45958</v>
          </cell>
        </row>
        <row r="647">
          <cell r="A647" t="str">
            <v>EEC0I73</v>
          </cell>
          <cell r="B647">
            <v>45863</v>
          </cell>
          <cell r="C647" t="str">
            <v/>
          </cell>
          <cell r="D647" t="str">
            <v/>
          </cell>
          <cell r="E647">
            <v>45863</v>
          </cell>
        </row>
        <row r="648">
          <cell r="A648" t="str">
            <v>EQJ8D01</v>
          </cell>
          <cell r="B648">
            <v>45794</v>
          </cell>
          <cell r="C648" t="str">
            <v/>
          </cell>
          <cell r="D648" t="str">
            <v/>
          </cell>
          <cell r="E648">
            <v>45794</v>
          </cell>
        </row>
        <row r="649">
          <cell r="A649" t="str">
            <v>FMO8E22</v>
          </cell>
          <cell r="B649">
            <v>45892</v>
          </cell>
          <cell r="C649" t="str">
            <v/>
          </cell>
          <cell r="D649" t="str">
            <v/>
          </cell>
          <cell r="E649">
            <v>45892</v>
          </cell>
        </row>
        <row r="650">
          <cell r="A650" t="str">
            <v>EOA8G93</v>
          </cell>
          <cell r="B650">
            <v>45839</v>
          </cell>
          <cell r="C650" t="str">
            <v/>
          </cell>
          <cell r="D650" t="str">
            <v/>
          </cell>
          <cell r="E650">
            <v>45839</v>
          </cell>
        </row>
        <row r="651">
          <cell r="A651" t="str">
            <v>EXN8E45</v>
          </cell>
          <cell r="B651">
            <v>45912</v>
          </cell>
          <cell r="C651" t="str">
            <v/>
          </cell>
          <cell r="D651" t="str">
            <v/>
          </cell>
          <cell r="E651">
            <v>45912</v>
          </cell>
        </row>
        <row r="652">
          <cell r="A652" t="str">
            <v>FQD2I72</v>
          </cell>
          <cell r="B652">
            <v>45910</v>
          </cell>
          <cell r="C652" t="str">
            <v/>
          </cell>
          <cell r="D652" t="str">
            <v/>
          </cell>
          <cell r="E652">
            <v>45910</v>
          </cell>
        </row>
        <row r="653">
          <cell r="A653" t="str">
            <v>FJB2D57</v>
          </cell>
          <cell r="B653">
            <v>45915</v>
          </cell>
          <cell r="C653" t="str">
            <v/>
          </cell>
          <cell r="D653" t="str">
            <v/>
          </cell>
          <cell r="E653">
            <v>45915</v>
          </cell>
        </row>
        <row r="654">
          <cell r="A654" t="str">
            <v>EOO7H87</v>
          </cell>
          <cell r="B654">
            <v>45748</v>
          </cell>
          <cell r="C654" t="str">
            <v/>
          </cell>
          <cell r="D654" t="str">
            <v/>
          </cell>
          <cell r="E654">
            <v>45748</v>
          </cell>
        </row>
        <row r="655">
          <cell r="A655" t="str">
            <v>FCX4C57</v>
          </cell>
          <cell r="B655">
            <v>45927</v>
          </cell>
          <cell r="C655" t="str">
            <v/>
          </cell>
          <cell r="D655" t="str">
            <v/>
          </cell>
          <cell r="E655">
            <v>45927</v>
          </cell>
        </row>
        <row r="656">
          <cell r="A656" t="str">
            <v>EZN9J72</v>
          </cell>
          <cell r="B656">
            <v>45921</v>
          </cell>
          <cell r="C656" t="str">
            <v/>
          </cell>
          <cell r="D656" t="str">
            <v/>
          </cell>
          <cell r="E656">
            <v>45921</v>
          </cell>
        </row>
        <row r="657">
          <cell r="A657" t="str">
            <v>RUM1E20</v>
          </cell>
          <cell r="B657">
            <v>45911</v>
          </cell>
          <cell r="C657" t="str">
            <v/>
          </cell>
          <cell r="D657" t="str">
            <v/>
          </cell>
          <cell r="E657">
            <v>45911</v>
          </cell>
        </row>
        <row r="658">
          <cell r="A658" t="str">
            <v>RUM4B35</v>
          </cell>
          <cell r="B658">
            <v>45793</v>
          </cell>
          <cell r="C658" t="str">
            <v/>
          </cell>
          <cell r="D658" t="str">
            <v/>
          </cell>
          <cell r="E658">
            <v>45793</v>
          </cell>
        </row>
        <row r="659">
          <cell r="A659" t="str">
            <v>SUJ9B58</v>
          </cell>
          <cell r="B659" t="str">
            <v xml:space="preserve"> </v>
          </cell>
          <cell r="C659" t="str">
            <v/>
          </cell>
          <cell r="D659" t="str">
            <v/>
          </cell>
          <cell r="E659">
            <v>0</v>
          </cell>
        </row>
        <row r="660">
          <cell r="A660" t="str">
            <v>SVB0J99</v>
          </cell>
          <cell r="B660" t="str">
            <v xml:space="preserve"> </v>
          </cell>
          <cell r="C660">
            <v>45989</v>
          </cell>
          <cell r="D660" t="str">
            <v/>
          </cell>
          <cell r="E660">
            <v>45989</v>
          </cell>
        </row>
        <row r="661">
          <cell r="A661" t="str">
            <v>SVV0E39</v>
          </cell>
          <cell r="B661" t="str">
            <v xml:space="preserve"> </v>
          </cell>
          <cell r="C661">
            <v>45989</v>
          </cell>
          <cell r="D661" t="str">
            <v/>
          </cell>
          <cell r="E661">
            <v>45989</v>
          </cell>
        </row>
        <row r="662">
          <cell r="A662" t="str">
            <v>SSR9G39</v>
          </cell>
          <cell r="B662" t="str">
            <v xml:space="preserve"> </v>
          </cell>
          <cell r="C662" t="str">
            <v/>
          </cell>
          <cell r="D662" t="str">
            <v/>
          </cell>
          <cell r="E662">
            <v>0</v>
          </cell>
        </row>
        <row r="663">
          <cell r="A663" t="str">
            <v>STU8J19</v>
          </cell>
          <cell r="B663" t="str">
            <v xml:space="preserve"> </v>
          </cell>
          <cell r="C663">
            <v>45989</v>
          </cell>
          <cell r="D663" t="str">
            <v/>
          </cell>
          <cell r="E663">
            <v>45989</v>
          </cell>
        </row>
        <row r="664">
          <cell r="A664" t="str">
            <v>SVP3F90</v>
          </cell>
          <cell r="B664">
            <v>45989</v>
          </cell>
          <cell r="C664">
            <v>45989</v>
          </cell>
          <cell r="D664" t="str">
            <v/>
          </cell>
          <cell r="E664">
            <v>45989</v>
          </cell>
        </row>
        <row r="665">
          <cell r="A665" t="str">
            <v>FUX5535</v>
          </cell>
          <cell r="B665" t="str">
            <v xml:space="preserve"> </v>
          </cell>
          <cell r="C665" t="str">
            <v/>
          </cell>
          <cell r="D665" t="str">
            <v/>
          </cell>
          <cell r="E665">
            <v>0</v>
          </cell>
        </row>
        <row r="666">
          <cell r="A666" t="str">
            <v>FKH3F94</v>
          </cell>
          <cell r="B666">
            <v>45989</v>
          </cell>
          <cell r="C666">
            <v>45989</v>
          </cell>
          <cell r="D666" t="str">
            <v/>
          </cell>
          <cell r="E666">
            <v>45989</v>
          </cell>
        </row>
        <row r="667">
          <cell r="A667" t="str">
            <v>FUU2G71</v>
          </cell>
          <cell r="B667" t="str">
            <v xml:space="preserve"> </v>
          </cell>
          <cell r="C667" t="str">
            <v/>
          </cell>
          <cell r="D667" t="str">
            <v/>
          </cell>
          <cell r="E667">
            <v>0</v>
          </cell>
        </row>
        <row r="668">
          <cell r="A668" t="str">
            <v>GED0I53</v>
          </cell>
          <cell r="B668" t="str">
            <v xml:space="preserve"> </v>
          </cell>
          <cell r="C668" t="str">
            <v/>
          </cell>
          <cell r="D668" t="str">
            <v/>
          </cell>
          <cell r="E668">
            <v>0</v>
          </cell>
        </row>
        <row r="669">
          <cell r="A669" t="str">
            <v>GIP9965</v>
          </cell>
          <cell r="B669" t="str">
            <v xml:space="preserve"> </v>
          </cell>
          <cell r="C669" t="str">
            <v/>
          </cell>
          <cell r="D669" t="str">
            <v/>
          </cell>
          <cell r="E669">
            <v>0</v>
          </cell>
        </row>
        <row r="670">
          <cell r="A670" t="str">
            <v>GBB8I63</v>
          </cell>
          <cell r="B670" t="str">
            <v xml:space="preserve"> </v>
          </cell>
          <cell r="C670" t="str">
            <v/>
          </cell>
          <cell r="D670" t="str">
            <v/>
          </cell>
          <cell r="E670">
            <v>0</v>
          </cell>
        </row>
        <row r="671">
          <cell r="A671" t="str">
            <v>GEV0I07</v>
          </cell>
          <cell r="B671" t="str">
            <v xml:space="preserve"> </v>
          </cell>
          <cell r="C671" t="str">
            <v/>
          </cell>
          <cell r="D671" t="str">
            <v/>
          </cell>
          <cell r="E671">
            <v>0</v>
          </cell>
        </row>
        <row r="672">
          <cell r="A672" t="str">
            <v>GDO4D06</v>
          </cell>
          <cell r="B672" t="str">
            <v xml:space="preserve"> </v>
          </cell>
          <cell r="C672" t="str">
            <v/>
          </cell>
          <cell r="D672" t="str">
            <v/>
          </cell>
          <cell r="E672">
            <v>0</v>
          </cell>
        </row>
        <row r="673">
          <cell r="A673" t="str">
            <v>GAQ6B25</v>
          </cell>
          <cell r="B673" t="str">
            <v xml:space="preserve"> </v>
          </cell>
          <cell r="C673" t="str">
            <v/>
          </cell>
          <cell r="D673" t="str">
            <v/>
          </cell>
          <cell r="E673">
            <v>0</v>
          </cell>
        </row>
        <row r="674">
          <cell r="A674" t="str">
            <v>GCQ2I17</v>
          </cell>
          <cell r="B674" t="str">
            <v xml:space="preserve"> </v>
          </cell>
          <cell r="C674" t="str">
            <v/>
          </cell>
          <cell r="D674" t="str">
            <v/>
          </cell>
          <cell r="E674">
            <v>0</v>
          </cell>
        </row>
        <row r="675">
          <cell r="A675" t="str">
            <v>GDI9C34</v>
          </cell>
          <cell r="B675" t="str">
            <v xml:space="preserve"> </v>
          </cell>
          <cell r="C675" t="str">
            <v/>
          </cell>
          <cell r="D675" t="str">
            <v/>
          </cell>
          <cell r="E675">
            <v>0</v>
          </cell>
        </row>
        <row r="676">
          <cell r="A676" t="str">
            <v>GDZ9G21</v>
          </cell>
          <cell r="B676" t="str">
            <v xml:space="preserve"> </v>
          </cell>
          <cell r="C676" t="str">
            <v/>
          </cell>
          <cell r="D676" t="str">
            <v/>
          </cell>
          <cell r="E676">
            <v>0</v>
          </cell>
        </row>
        <row r="677">
          <cell r="A677" t="str">
            <v>GIG2J16</v>
          </cell>
          <cell r="B677" t="str">
            <v xml:space="preserve"> </v>
          </cell>
          <cell r="C677" t="str">
            <v/>
          </cell>
          <cell r="D677" t="str">
            <v/>
          </cell>
          <cell r="E677">
            <v>0</v>
          </cell>
        </row>
        <row r="678">
          <cell r="A678" t="str">
            <v>GCH8F13</v>
          </cell>
          <cell r="B678" t="str">
            <v xml:space="preserve"> </v>
          </cell>
          <cell r="C678" t="str">
            <v/>
          </cell>
          <cell r="D678" t="str">
            <v/>
          </cell>
          <cell r="E678">
            <v>0</v>
          </cell>
        </row>
        <row r="679">
          <cell r="A679" t="str">
            <v>GGQ5I13</v>
          </cell>
          <cell r="B679" t="str">
            <v xml:space="preserve"> </v>
          </cell>
          <cell r="C679" t="str">
            <v/>
          </cell>
          <cell r="D679" t="str">
            <v/>
          </cell>
          <cell r="E679">
            <v>0</v>
          </cell>
        </row>
        <row r="680">
          <cell r="A680" t="str">
            <v>GFR7C64</v>
          </cell>
          <cell r="B680" t="str">
            <v xml:space="preserve"> </v>
          </cell>
          <cell r="C680">
            <v>45989</v>
          </cell>
          <cell r="D680" t="str">
            <v/>
          </cell>
          <cell r="E680">
            <v>45989</v>
          </cell>
        </row>
        <row r="681">
          <cell r="A681" t="str">
            <v>GKA3B04</v>
          </cell>
          <cell r="B681" t="str">
            <v xml:space="preserve"> </v>
          </cell>
          <cell r="C681" t="str">
            <v/>
          </cell>
          <cell r="D681" t="str">
            <v/>
          </cell>
          <cell r="E681">
            <v>0</v>
          </cell>
        </row>
        <row r="682">
          <cell r="A682" t="str">
            <v>CUG3E95</v>
          </cell>
          <cell r="B682" t="str">
            <v xml:space="preserve"> </v>
          </cell>
          <cell r="C682" t="str">
            <v/>
          </cell>
          <cell r="D682" t="str">
            <v/>
          </cell>
          <cell r="E682">
            <v>0</v>
          </cell>
        </row>
        <row r="683">
          <cell r="A683" t="str">
            <v>SVI2F20</v>
          </cell>
          <cell r="B683" t="str">
            <v xml:space="preserve"> </v>
          </cell>
          <cell r="C683">
            <v>45989</v>
          </cell>
          <cell r="D683" t="str">
            <v/>
          </cell>
          <cell r="E683">
            <v>45989</v>
          </cell>
        </row>
        <row r="684">
          <cell r="A684" t="str">
            <v>SVI2E40</v>
          </cell>
          <cell r="B684" t="str">
            <v xml:space="preserve"> </v>
          </cell>
          <cell r="C684">
            <v>45989</v>
          </cell>
          <cell r="D684" t="str">
            <v/>
          </cell>
          <cell r="E684">
            <v>45989</v>
          </cell>
        </row>
        <row r="685">
          <cell r="A685" t="str">
            <v>SWS5G99</v>
          </cell>
          <cell r="B685" t="str">
            <v xml:space="preserve"> </v>
          </cell>
          <cell r="C685" t="str">
            <v/>
          </cell>
          <cell r="D685" t="str">
            <v/>
          </cell>
          <cell r="E685">
            <v>0</v>
          </cell>
        </row>
        <row r="686">
          <cell r="A686" t="str">
            <v>SVV7G19</v>
          </cell>
          <cell r="B686" t="str">
            <v xml:space="preserve"> </v>
          </cell>
          <cell r="C686">
            <v>45989</v>
          </cell>
          <cell r="D686" t="str">
            <v/>
          </cell>
          <cell r="E686">
            <v>45989</v>
          </cell>
        </row>
        <row r="687">
          <cell r="A687" t="str">
            <v>SVB7B38</v>
          </cell>
          <cell r="B687" t="str">
            <v xml:space="preserve"> </v>
          </cell>
          <cell r="C687" t="str">
            <v/>
          </cell>
          <cell r="D687" t="str">
            <v/>
          </cell>
          <cell r="E687">
            <v>0</v>
          </cell>
        </row>
        <row r="688">
          <cell r="A688" t="str">
            <v>SVN3B68</v>
          </cell>
          <cell r="B688" t="str">
            <v xml:space="preserve"> </v>
          </cell>
          <cell r="C688">
            <v>45989</v>
          </cell>
          <cell r="D688" t="str">
            <v/>
          </cell>
          <cell r="E688">
            <v>45989</v>
          </cell>
        </row>
        <row r="689">
          <cell r="A689" t="str">
            <v>SVK8G87</v>
          </cell>
          <cell r="B689">
            <v>45989</v>
          </cell>
          <cell r="C689" t="str">
            <v/>
          </cell>
          <cell r="D689" t="str">
            <v/>
          </cell>
          <cell r="E689">
            <v>45989</v>
          </cell>
        </row>
        <row r="690">
          <cell r="A690" t="str">
            <v>SVL2E12</v>
          </cell>
          <cell r="B690">
            <v>45989</v>
          </cell>
          <cell r="C690">
            <v>45989</v>
          </cell>
          <cell r="D690" t="str">
            <v/>
          </cell>
          <cell r="E690">
            <v>45989</v>
          </cell>
        </row>
        <row r="691">
          <cell r="A691" t="str">
            <v>STT7A07</v>
          </cell>
          <cell r="B691">
            <v>45989</v>
          </cell>
          <cell r="C691">
            <v>45989</v>
          </cell>
          <cell r="D691" t="str">
            <v/>
          </cell>
          <cell r="E691">
            <v>45989</v>
          </cell>
        </row>
        <row r="692">
          <cell r="A692" t="str">
            <v>SUZ1E05</v>
          </cell>
          <cell r="B692">
            <v>45989</v>
          </cell>
          <cell r="C692" t="str">
            <v/>
          </cell>
          <cell r="D692" t="str">
            <v/>
          </cell>
          <cell r="E692">
            <v>45989</v>
          </cell>
        </row>
        <row r="693">
          <cell r="A693" t="str">
            <v>SWH3G65</v>
          </cell>
          <cell r="B693" t="str">
            <v xml:space="preserve"> </v>
          </cell>
          <cell r="C693">
            <v>45989</v>
          </cell>
          <cell r="D693" t="str">
            <v/>
          </cell>
          <cell r="E693">
            <v>45989</v>
          </cell>
        </row>
        <row r="694">
          <cell r="A694" t="str">
            <v>STU8B28</v>
          </cell>
          <cell r="B694">
            <v>45984</v>
          </cell>
          <cell r="C694" t="str">
            <v/>
          </cell>
          <cell r="D694" t="str">
            <v/>
          </cell>
          <cell r="E694">
            <v>45984</v>
          </cell>
        </row>
        <row r="695">
          <cell r="A695" t="str">
            <v>SVH9C94</v>
          </cell>
          <cell r="B695" t="str">
            <v xml:space="preserve"> </v>
          </cell>
          <cell r="C695">
            <v>45989</v>
          </cell>
          <cell r="D695" t="str">
            <v/>
          </cell>
          <cell r="E695">
            <v>45989</v>
          </cell>
        </row>
        <row r="696">
          <cell r="A696" t="str">
            <v>SVF7D05</v>
          </cell>
          <cell r="B696">
            <v>45989</v>
          </cell>
          <cell r="C696">
            <v>45989</v>
          </cell>
          <cell r="D696" t="str">
            <v/>
          </cell>
          <cell r="E696">
            <v>45989</v>
          </cell>
        </row>
        <row r="697">
          <cell r="A697" t="str">
            <v>SVQ8B88</v>
          </cell>
          <cell r="B697">
            <v>45966</v>
          </cell>
          <cell r="C697" t="str">
            <v/>
          </cell>
          <cell r="D697" t="str">
            <v/>
          </cell>
          <cell r="E697">
            <v>45966</v>
          </cell>
        </row>
        <row r="698">
          <cell r="A698" t="str">
            <v>SVN2A21</v>
          </cell>
          <cell r="B698">
            <v>45989</v>
          </cell>
          <cell r="C698">
            <v>45989</v>
          </cell>
          <cell r="D698" t="str">
            <v/>
          </cell>
          <cell r="E698">
            <v>45989</v>
          </cell>
        </row>
        <row r="699">
          <cell r="A699" t="str">
            <v>SUA3H49</v>
          </cell>
          <cell r="B699" t="str">
            <v xml:space="preserve"> </v>
          </cell>
          <cell r="C699" t="str">
            <v/>
          </cell>
          <cell r="D699" t="str">
            <v/>
          </cell>
          <cell r="E699">
            <v>0</v>
          </cell>
        </row>
        <row r="700">
          <cell r="A700" t="str">
            <v>SVW6D33</v>
          </cell>
          <cell r="B700">
            <v>45989</v>
          </cell>
          <cell r="C700">
            <v>45989</v>
          </cell>
          <cell r="D700" t="str">
            <v/>
          </cell>
          <cell r="E700">
            <v>45989</v>
          </cell>
        </row>
        <row r="701">
          <cell r="A701" t="str">
            <v>SWQ6D05</v>
          </cell>
          <cell r="B701" t="str">
            <v xml:space="preserve"> </v>
          </cell>
          <cell r="C701" t="str">
            <v/>
          </cell>
          <cell r="D701" t="str">
            <v/>
          </cell>
          <cell r="E701">
            <v>0</v>
          </cell>
        </row>
        <row r="702">
          <cell r="A702" t="str">
            <v>SUS0E35</v>
          </cell>
          <cell r="B702" t="str">
            <v xml:space="preserve"> </v>
          </cell>
          <cell r="C702" t="str">
            <v/>
          </cell>
          <cell r="D702" t="str">
            <v/>
          </cell>
          <cell r="E702">
            <v>0</v>
          </cell>
        </row>
        <row r="703">
          <cell r="A703" t="str">
            <v>BPQ9C21</v>
          </cell>
          <cell r="B703" t="str">
            <v xml:space="preserve"> </v>
          </cell>
          <cell r="C703" t="str">
            <v/>
          </cell>
          <cell r="D703" t="str">
            <v/>
          </cell>
          <cell r="E703">
            <v>0</v>
          </cell>
        </row>
        <row r="704">
          <cell r="A704" t="str">
            <v>CUM6J26</v>
          </cell>
          <cell r="B704" t="str">
            <v xml:space="preserve"> </v>
          </cell>
          <cell r="C704" t="str">
            <v/>
          </cell>
          <cell r="D704" t="str">
            <v/>
          </cell>
          <cell r="E704">
            <v>0</v>
          </cell>
        </row>
        <row r="705">
          <cell r="A705" t="str">
            <v>GBZ9G62</v>
          </cell>
          <cell r="B705" t="str">
            <v xml:space="preserve"> </v>
          </cell>
          <cell r="C705" t="str">
            <v/>
          </cell>
          <cell r="D705" t="str">
            <v/>
          </cell>
          <cell r="E705">
            <v>0</v>
          </cell>
        </row>
        <row r="706">
          <cell r="A706" t="str">
            <v>SVM9H44</v>
          </cell>
          <cell r="B706" t="str">
            <v xml:space="preserve"> </v>
          </cell>
          <cell r="C706" t="str">
            <v/>
          </cell>
          <cell r="D706" t="str">
            <v/>
          </cell>
          <cell r="E706">
            <v>0</v>
          </cell>
        </row>
        <row r="707">
          <cell r="A707" t="str">
            <v>SWP1G25</v>
          </cell>
          <cell r="B707" t="str">
            <v xml:space="preserve"> </v>
          </cell>
          <cell r="C707" t="str">
            <v/>
          </cell>
          <cell r="D707" t="str">
            <v/>
          </cell>
          <cell r="E707">
            <v>0</v>
          </cell>
        </row>
        <row r="708">
          <cell r="A708" t="str">
            <v>SWX1C68</v>
          </cell>
          <cell r="B708" t="str">
            <v xml:space="preserve"> </v>
          </cell>
          <cell r="C708" t="str">
            <v/>
          </cell>
          <cell r="D708" t="str">
            <v/>
          </cell>
          <cell r="E708">
            <v>0</v>
          </cell>
        </row>
        <row r="709">
          <cell r="A709" t="str">
            <v>STG7D60</v>
          </cell>
          <cell r="B709" t="str">
            <v xml:space="preserve"> </v>
          </cell>
          <cell r="C709" t="str">
            <v/>
          </cell>
          <cell r="D709" t="str">
            <v/>
          </cell>
          <cell r="E709">
            <v>0</v>
          </cell>
        </row>
        <row r="710">
          <cell r="A710" t="str">
            <v>SWJ6C56</v>
          </cell>
          <cell r="B710" t="str">
            <v xml:space="preserve"> </v>
          </cell>
          <cell r="C710" t="str">
            <v/>
          </cell>
          <cell r="D710" t="str">
            <v/>
          </cell>
          <cell r="E710">
            <v>0</v>
          </cell>
        </row>
        <row r="711">
          <cell r="A711" t="str">
            <v>SVI9C10</v>
          </cell>
          <cell r="B711" t="str">
            <v xml:space="preserve"> </v>
          </cell>
          <cell r="C711" t="str">
            <v/>
          </cell>
          <cell r="D711" t="str">
            <v/>
          </cell>
          <cell r="E711">
            <v>0</v>
          </cell>
        </row>
        <row r="712">
          <cell r="A712" t="str">
            <v>TLN5J37</v>
          </cell>
          <cell r="B712" t="str">
            <v xml:space="preserve"> </v>
          </cell>
          <cell r="C712" t="str">
            <v/>
          </cell>
          <cell r="D712" t="str">
            <v/>
          </cell>
          <cell r="E712">
            <v>0</v>
          </cell>
        </row>
        <row r="713">
          <cell r="A713" t="str">
            <v>TME3B67</v>
          </cell>
          <cell r="B713" t="str">
            <v xml:space="preserve"> </v>
          </cell>
          <cell r="C713" t="str">
            <v/>
          </cell>
          <cell r="D713" t="str">
            <v/>
          </cell>
          <cell r="E713">
            <v>0</v>
          </cell>
        </row>
        <row r="714">
          <cell r="A714" t="str">
            <v>SVI6C80</v>
          </cell>
          <cell r="B714" t="str">
            <v xml:space="preserve"> </v>
          </cell>
          <cell r="C714" t="str">
            <v/>
          </cell>
          <cell r="D714" t="str">
            <v/>
          </cell>
          <cell r="E714">
            <v>0</v>
          </cell>
        </row>
        <row r="715">
          <cell r="A715" t="str">
            <v>RFM2C06</v>
          </cell>
          <cell r="B715" t="str">
            <v xml:space="preserve"> </v>
          </cell>
          <cell r="C715" t="str">
            <v/>
          </cell>
          <cell r="D715" t="str">
            <v/>
          </cell>
          <cell r="E715">
            <v>0</v>
          </cell>
        </row>
        <row r="716">
          <cell r="A716" t="str">
            <v>RFM2C08</v>
          </cell>
          <cell r="B716" t="str">
            <v xml:space="preserve"> </v>
          </cell>
          <cell r="C716" t="str">
            <v/>
          </cell>
          <cell r="D716" t="str">
            <v/>
          </cell>
          <cell r="E716">
            <v>0</v>
          </cell>
        </row>
        <row r="717">
          <cell r="A717" t="str">
            <v>RFM2C09</v>
          </cell>
          <cell r="B717" t="str">
            <v xml:space="preserve"> </v>
          </cell>
          <cell r="C717" t="str">
            <v/>
          </cell>
          <cell r="D717" t="str">
            <v/>
          </cell>
          <cell r="E717">
            <v>0</v>
          </cell>
        </row>
        <row r="718">
          <cell r="A718" t="str">
            <v>RFM2C33</v>
          </cell>
          <cell r="B718" t="str">
            <v xml:space="preserve"> </v>
          </cell>
          <cell r="C718" t="str">
            <v/>
          </cell>
          <cell r="D718" t="str">
            <v/>
          </cell>
          <cell r="E718">
            <v>0</v>
          </cell>
        </row>
        <row r="719">
          <cell r="A719" t="str">
            <v>RFM2C42</v>
          </cell>
          <cell r="B719" t="str">
            <v xml:space="preserve"> </v>
          </cell>
          <cell r="C719" t="str">
            <v/>
          </cell>
          <cell r="D719" t="str">
            <v/>
          </cell>
          <cell r="E719">
            <v>0</v>
          </cell>
        </row>
        <row r="720">
          <cell r="A720" t="str">
            <v>RFM2C61</v>
          </cell>
          <cell r="B720">
            <v>45684</v>
          </cell>
          <cell r="C720" t="str">
            <v/>
          </cell>
          <cell r="D720" t="str">
            <v/>
          </cell>
          <cell r="E720">
            <v>45684</v>
          </cell>
        </row>
        <row r="721">
          <cell r="A721" t="str">
            <v>RFM2C62</v>
          </cell>
          <cell r="B721" t="str">
            <v xml:space="preserve"> </v>
          </cell>
          <cell r="C721" t="str">
            <v/>
          </cell>
          <cell r="D721" t="str">
            <v/>
          </cell>
          <cell r="E721">
            <v>0</v>
          </cell>
        </row>
        <row r="722">
          <cell r="A722" t="str">
            <v>RFM2C66</v>
          </cell>
          <cell r="B722" t="str">
            <v xml:space="preserve"> </v>
          </cell>
          <cell r="C722" t="str">
            <v/>
          </cell>
          <cell r="D722" t="str">
            <v/>
          </cell>
          <cell r="E722">
            <v>0</v>
          </cell>
        </row>
        <row r="723">
          <cell r="A723" t="str">
            <v>RFM2C73</v>
          </cell>
          <cell r="B723" t="str">
            <v xml:space="preserve"> </v>
          </cell>
          <cell r="C723" t="str">
            <v/>
          </cell>
          <cell r="D723" t="str">
            <v/>
          </cell>
          <cell r="E723">
            <v>0</v>
          </cell>
        </row>
        <row r="724">
          <cell r="A724" t="str">
            <v>RFM2C77</v>
          </cell>
          <cell r="B724" t="str">
            <v xml:space="preserve"> </v>
          </cell>
          <cell r="C724" t="str">
            <v/>
          </cell>
          <cell r="D724" t="str">
            <v/>
          </cell>
          <cell r="E724">
            <v>0</v>
          </cell>
        </row>
        <row r="725">
          <cell r="A725" t="str">
            <v>RFM2C80</v>
          </cell>
          <cell r="B725" t="str">
            <v xml:space="preserve"> </v>
          </cell>
          <cell r="C725" t="str">
            <v/>
          </cell>
          <cell r="D725" t="str">
            <v/>
          </cell>
          <cell r="E725">
            <v>0</v>
          </cell>
        </row>
        <row r="726">
          <cell r="A726" t="str">
            <v>RFM2C81</v>
          </cell>
          <cell r="B726" t="str">
            <v xml:space="preserve"> </v>
          </cell>
          <cell r="C726" t="str">
            <v/>
          </cell>
          <cell r="D726" t="str">
            <v/>
          </cell>
          <cell r="E726">
            <v>0</v>
          </cell>
        </row>
        <row r="727">
          <cell r="A727" t="str">
            <v>RFM2C87</v>
          </cell>
          <cell r="B727" t="str">
            <v xml:space="preserve"> </v>
          </cell>
          <cell r="C727" t="str">
            <v/>
          </cell>
          <cell r="D727" t="str">
            <v/>
          </cell>
          <cell r="E727">
            <v>0</v>
          </cell>
        </row>
        <row r="728">
          <cell r="A728" t="str">
            <v>RFM2C89</v>
          </cell>
          <cell r="B728" t="str">
            <v xml:space="preserve"> </v>
          </cell>
          <cell r="C728" t="str">
            <v/>
          </cell>
          <cell r="D728" t="str">
            <v/>
          </cell>
          <cell r="E728">
            <v>0</v>
          </cell>
        </row>
        <row r="729">
          <cell r="A729" t="str">
            <v>RFM2C92</v>
          </cell>
          <cell r="B729" t="str">
            <v xml:space="preserve"> </v>
          </cell>
          <cell r="C729" t="str">
            <v/>
          </cell>
          <cell r="D729" t="str">
            <v/>
          </cell>
          <cell r="E729">
            <v>0</v>
          </cell>
        </row>
        <row r="730">
          <cell r="A730" t="str">
            <v>RFM2C93</v>
          </cell>
          <cell r="B730" t="str">
            <v xml:space="preserve"> </v>
          </cell>
          <cell r="C730" t="str">
            <v/>
          </cell>
          <cell r="D730" t="str">
            <v/>
          </cell>
          <cell r="E730">
            <v>0</v>
          </cell>
        </row>
        <row r="731">
          <cell r="A731" t="str">
            <v>RFM2C94</v>
          </cell>
          <cell r="B731" t="str">
            <v xml:space="preserve"> </v>
          </cell>
          <cell r="C731" t="str">
            <v/>
          </cell>
          <cell r="D731" t="str">
            <v/>
          </cell>
          <cell r="E731">
            <v>0</v>
          </cell>
        </row>
        <row r="732">
          <cell r="A732" t="str">
            <v>RFM2C97</v>
          </cell>
          <cell r="B732" t="str">
            <v xml:space="preserve"> </v>
          </cell>
          <cell r="C732" t="str">
            <v/>
          </cell>
          <cell r="D732" t="str">
            <v/>
          </cell>
          <cell r="E732">
            <v>0</v>
          </cell>
        </row>
        <row r="733">
          <cell r="A733" t="str">
            <v>RFM2C98</v>
          </cell>
          <cell r="B733" t="str">
            <v xml:space="preserve"> </v>
          </cell>
          <cell r="C733" t="str">
            <v/>
          </cell>
          <cell r="D733" t="str">
            <v/>
          </cell>
          <cell r="E733">
            <v>0</v>
          </cell>
        </row>
        <row r="734">
          <cell r="A734" t="str">
            <v>RFM2C99</v>
          </cell>
          <cell r="B734" t="str">
            <v xml:space="preserve"> </v>
          </cell>
          <cell r="C734" t="str">
            <v/>
          </cell>
          <cell r="D734" t="str">
            <v/>
          </cell>
          <cell r="E734">
            <v>0</v>
          </cell>
        </row>
        <row r="735">
          <cell r="A735" t="str">
            <v>RFM2D00</v>
          </cell>
          <cell r="B735" t="str">
            <v xml:space="preserve"> </v>
          </cell>
          <cell r="C735" t="str">
            <v/>
          </cell>
          <cell r="D735" t="str">
            <v/>
          </cell>
          <cell r="E735">
            <v>0</v>
          </cell>
        </row>
        <row r="736">
          <cell r="A736" t="str">
            <v>RFM2D01</v>
          </cell>
          <cell r="B736" t="str">
            <v xml:space="preserve"> </v>
          </cell>
          <cell r="C736" t="str">
            <v/>
          </cell>
          <cell r="D736" t="str">
            <v/>
          </cell>
          <cell r="E736">
            <v>0</v>
          </cell>
        </row>
        <row r="737">
          <cell r="A737" t="str">
            <v>RFM2D03</v>
          </cell>
          <cell r="B737" t="str">
            <v xml:space="preserve"> </v>
          </cell>
          <cell r="C737" t="str">
            <v/>
          </cell>
          <cell r="D737" t="str">
            <v/>
          </cell>
          <cell r="E737">
            <v>0</v>
          </cell>
        </row>
        <row r="738">
          <cell r="A738" t="str">
            <v>RFM2D04</v>
          </cell>
          <cell r="B738" t="str">
            <v xml:space="preserve"> </v>
          </cell>
          <cell r="C738" t="str">
            <v/>
          </cell>
          <cell r="D738" t="str">
            <v/>
          </cell>
          <cell r="E738">
            <v>0</v>
          </cell>
        </row>
        <row r="739">
          <cell r="A739" t="str">
            <v>RFM2D05</v>
          </cell>
          <cell r="B739" t="str">
            <v xml:space="preserve"> </v>
          </cell>
          <cell r="C739" t="str">
            <v/>
          </cell>
          <cell r="D739" t="str">
            <v/>
          </cell>
          <cell r="E739">
            <v>0</v>
          </cell>
        </row>
        <row r="740">
          <cell r="A740" t="str">
            <v>RFM2D08</v>
          </cell>
          <cell r="B740" t="str">
            <v xml:space="preserve"> </v>
          </cell>
          <cell r="C740" t="str">
            <v/>
          </cell>
          <cell r="D740" t="str">
            <v/>
          </cell>
          <cell r="E740">
            <v>0</v>
          </cell>
        </row>
        <row r="741">
          <cell r="A741" t="str">
            <v>RFM2D09</v>
          </cell>
          <cell r="B741">
            <v>45706</v>
          </cell>
          <cell r="C741" t="str">
            <v/>
          </cell>
          <cell r="D741" t="str">
            <v/>
          </cell>
          <cell r="E741">
            <v>45706</v>
          </cell>
        </row>
        <row r="742">
          <cell r="A742" t="str">
            <v>RFM2D10</v>
          </cell>
          <cell r="B742">
            <v>45701</v>
          </cell>
          <cell r="C742" t="str">
            <v/>
          </cell>
          <cell r="D742" t="str">
            <v/>
          </cell>
          <cell r="E742">
            <v>45701</v>
          </cell>
        </row>
        <row r="743">
          <cell r="A743" t="str">
            <v>RFM2D13</v>
          </cell>
          <cell r="B743" t="str">
            <v xml:space="preserve"> </v>
          </cell>
          <cell r="C743" t="str">
            <v/>
          </cell>
          <cell r="D743" t="str">
            <v/>
          </cell>
          <cell r="E743">
            <v>0</v>
          </cell>
        </row>
        <row r="744">
          <cell r="A744" t="str">
            <v>RFM2D15</v>
          </cell>
          <cell r="B744" t="str">
            <v xml:space="preserve"> </v>
          </cell>
          <cell r="C744" t="str">
            <v/>
          </cell>
          <cell r="D744" t="str">
            <v/>
          </cell>
          <cell r="E744">
            <v>0</v>
          </cell>
        </row>
        <row r="745">
          <cell r="A745" t="str">
            <v>RFM2D27</v>
          </cell>
          <cell r="B745" t="str">
            <v xml:space="preserve"> </v>
          </cell>
          <cell r="C745" t="str">
            <v/>
          </cell>
          <cell r="D745" t="str">
            <v/>
          </cell>
          <cell r="E745">
            <v>0</v>
          </cell>
        </row>
        <row r="746">
          <cell r="A746" t="str">
            <v>RFM2D29</v>
          </cell>
          <cell r="B746" t="str">
            <v xml:space="preserve"> </v>
          </cell>
          <cell r="C746" t="str">
            <v/>
          </cell>
          <cell r="D746" t="str">
            <v/>
          </cell>
          <cell r="E746">
            <v>0</v>
          </cell>
        </row>
        <row r="747">
          <cell r="A747" t="str">
            <v>RFM2D38</v>
          </cell>
          <cell r="B747" t="str">
            <v xml:space="preserve"> </v>
          </cell>
          <cell r="C747" t="str">
            <v/>
          </cell>
          <cell r="D747" t="str">
            <v/>
          </cell>
          <cell r="E747">
            <v>0</v>
          </cell>
        </row>
        <row r="748">
          <cell r="A748" t="str">
            <v>RFM2D40</v>
          </cell>
          <cell r="B748" t="str">
            <v xml:space="preserve"> </v>
          </cell>
          <cell r="C748" t="str">
            <v/>
          </cell>
          <cell r="D748" t="str">
            <v/>
          </cell>
          <cell r="E748">
            <v>0</v>
          </cell>
        </row>
        <row r="749">
          <cell r="A749" t="str">
            <v>RFM2D41</v>
          </cell>
          <cell r="B749" t="str">
            <v xml:space="preserve"> </v>
          </cell>
          <cell r="C749" t="str">
            <v/>
          </cell>
          <cell r="D749" t="str">
            <v/>
          </cell>
          <cell r="E749">
            <v>0</v>
          </cell>
        </row>
        <row r="750">
          <cell r="A750" t="str">
            <v>RFM2D42</v>
          </cell>
          <cell r="B750" t="str">
            <v xml:space="preserve"> </v>
          </cell>
          <cell r="C750" t="str">
            <v/>
          </cell>
          <cell r="D750" t="str">
            <v/>
          </cell>
          <cell r="E750">
            <v>0</v>
          </cell>
        </row>
        <row r="751">
          <cell r="A751" t="str">
            <v>RFM2D44</v>
          </cell>
          <cell r="B751" t="str">
            <v xml:space="preserve"> </v>
          </cell>
          <cell r="C751" t="str">
            <v/>
          </cell>
          <cell r="D751" t="str">
            <v/>
          </cell>
          <cell r="E751">
            <v>0</v>
          </cell>
        </row>
        <row r="752">
          <cell r="A752" t="str">
            <v>RFM2D45</v>
          </cell>
          <cell r="B752" t="str">
            <v xml:space="preserve"> </v>
          </cell>
          <cell r="C752" t="str">
            <v/>
          </cell>
          <cell r="D752" t="str">
            <v/>
          </cell>
          <cell r="E752">
            <v>0</v>
          </cell>
        </row>
        <row r="753">
          <cell r="A753" t="str">
            <v>RFM2D46</v>
          </cell>
          <cell r="B753" t="str">
            <v xml:space="preserve"> </v>
          </cell>
          <cell r="C753" t="str">
            <v/>
          </cell>
          <cell r="D753" t="str">
            <v/>
          </cell>
          <cell r="E753">
            <v>0</v>
          </cell>
        </row>
        <row r="754">
          <cell r="A754" t="str">
            <v>RFM2D49</v>
          </cell>
          <cell r="B754" t="str">
            <v xml:space="preserve"> </v>
          </cell>
          <cell r="C754" t="str">
            <v/>
          </cell>
          <cell r="D754" t="str">
            <v/>
          </cell>
          <cell r="E754">
            <v>0</v>
          </cell>
        </row>
        <row r="755">
          <cell r="A755" t="str">
            <v>RFM6H84</v>
          </cell>
          <cell r="B755" t="str">
            <v xml:space="preserve"> </v>
          </cell>
          <cell r="C755" t="str">
            <v/>
          </cell>
          <cell r="D755" t="str">
            <v/>
          </cell>
          <cell r="E755">
            <v>0</v>
          </cell>
        </row>
        <row r="756">
          <cell r="A756" t="str">
            <v>RFM6H91</v>
          </cell>
          <cell r="B756" t="str">
            <v xml:space="preserve"> </v>
          </cell>
          <cell r="C756" t="str">
            <v/>
          </cell>
          <cell r="D756" t="str">
            <v/>
          </cell>
          <cell r="E756">
            <v>0</v>
          </cell>
        </row>
        <row r="757">
          <cell r="A757" t="str">
            <v>RFM6H94</v>
          </cell>
          <cell r="B757" t="str">
            <v xml:space="preserve"> </v>
          </cell>
          <cell r="C757" t="str">
            <v/>
          </cell>
          <cell r="D757" t="str">
            <v/>
          </cell>
          <cell r="E757">
            <v>0</v>
          </cell>
        </row>
        <row r="758">
          <cell r="A758" t="str">
            <v>RFM6H97</v>
          </cell>
          <cell r="B758" t="str">
            <v xml:space="preserve"> </v>
          </cell>
          <cell r="C758" t="str">
            <v/>
          </cell>
          <cell r="D758" t="str">
            <v/>
          </cell>
          <cell r="E758">
            <v>0</v>
          </cell>
        </row>
        <row r="759">
          <cell r="A759" t="str">
            <v>RFM6H98</v>
          </cell>
          <cell r="B759" t="str">
            <v xml:space="preserve"> </v>
          </cell>
          <cell r="C759" t="str">
            <v/>
          </cell>
          <cell r="D759" t="str">
            <v/>
          </cell>
          <cell r="E759">
            <v>0</v>
          </cell>
        </row>
        <row r="760">
          <cell r="A760" t="str">
            <v>RFN1C57</v>
          </cell>
          <cell r="B760" t="str">
            <v xml:space="preserve"> </v>
          </cell>
          <cell r="C760" t="str">
            <v/>
          </cell>
          <cell r="D760" t="str">
            <v/>
          </cell>
          <cell r="E760">
            <v>0</v>
          </cell>
        </row>
        <row r="761">
          <cell r="A761" t="str">
            <v>RFN1C66</v>
          </cell>
          <cell r="B761" t="str">
            <v xml:space="preserve"> </v>
          </cell>
          <cell r="C761" t="str">
            <v/>
          </cell>
          <cell r="D761" t="str">
            <v/>
          </cell>
          <cell r="E761">
            <v>0</v>
          </cell>
        </row>
        <row r="762">
          <cell r="A762" t="str">
            <v>RFN1C67</v>
          </cell>
          <cell r="B762" t="str">
            <v xml:space="preserve"> </v>
          </cell>
          <cell r="C762" t="str">
            <v/>
          </cell>
          <cell r="D762" t="str">
            <v/>
          </cell>
          <cell r="E762">
            <v>0</v>
          </cell>
        </row>
        <row r="763">
          <cell r="A763" t="str">
            <v>RFN1C72</v>
          </cell>
          <cell r="B763" t="str">
            <v xml:space="preserve"> </v>
          </cell>
          <cell r="C763" t="str">
            <v/>
          </cell>
          <cell r="D763" t="str">
            <v/>
          </cell>
          <cell r="E763">
            <v>0</v>
          </cell>
        </row>
        <row r="764">
          <cell r="A764" t="str">
            <v>RFN1C75</v>
          </cell>
          <cell r="B764" t="str">
            <v xml:space="preserve"> </v>
          </cell>
          <cell r="C764" t="str">
            <v/>
          </cell>
          <cell r="D764" t="str">
            <v/>
          </cell>
          <cell r="E764">
            <v>0</v>
          </cell>
        </row>
        <row r="765">
          <cell r="A765" t="str">
            <v>RFN1C78</v>
          </cell>
          <cell r="B765" t="str">
            <v xml:space="preserve"> </v>
          </cell>
          <cell r="C765" t="str">
            <v/>
          </cell>
          <cell r="D765" t="str">
            <v/>
          </cell>
          <cell r="E765">
            <v>0</v>
          </cell>
        </row>
        <row r="766">
          <cell r="A766" t="str">
            <v>RFN1C88</v>
          </cell>
          <cell r="B766" t="str">
            <v xml:space="preserve"> </v>
          </cell>
          <cell r="C766" t="str">
            <v/>
          </cell>
          <cell r="D766" t="str">
            <v/>
          </cell>
          <cell r="E766">
            <v>0</v>
          </cell>
        </row>
        <row r="767">
          <cell r="A767" t="str">
            <v>RFN3F97</v>
          </cell>
          <cell r="B767" t="str">
            <v xml:space="preserve"> </v>
          </cell>
          <cell r="C767" t="str">
            <v/>
          </cell>
          <cell r="D767" t="str">
            <v/>
          </cell>
          <cell r="E767">
            <v>0</v>
          </cell>
        </row>
        <row r="768">
          <cell r="A768" t="str">
            <v>RFN3G29</v>
          </cell>
          <cell r="B768" t="str">
            <v xml:space="preserve"> </v>
          </cell>
          <cell r="C768" t="str">
            <v/>
          </cell>
          <cell r="D768" t="str">
            <v/>
          </cell>
          <cell r="E768">
            <v>0</v>
          </cell>
        </row>
        <row r="769">
          <cell r="A769" t="str">
            <v>RFN6C47</v>
          </cell>
          <cell r="B769" t="str">
            <v xml:space="preserve"> </v>
          </cell>
          <cell r="C769" t="str">
            <v/>
          </cell>
          <cell r="D769" t="str">
            <v/>
          </cell>
          <cell r="E769">
            <v>0</v>
          </cell>
        </row>
        <row r="770">
          <cell r="A770" t="str">
            <v>RFN8D62</v>
          </cell>
          <cell r="B770" t="str">
            <v xml:space="preserve"> </v>
          </cell>
          <cell r="C770" t="str">
            <v/>
          </cell>
          <cell r="D770" t="str">
            <v/>
          </cell>
          <cell r="E770">
            <v>0</v>
          </cell>
        </row>
        <row r="771">
          <cell r="A771" t="str">
            <v>RFN8D63</v>
          </cell>
          <cell r="B771" t="str">
            <v xml:space="preserve"> </v>
          </cell>
          <cell r="C771" t="str">
            <v/>
          </cell>
          <cell r="D771" t="str">
            <v/>
          </cell>
          <cell r="E771">
            <v>0</v>
          </cell>
        </row>
        <row r="772">
          <cell r="A772" t="str">
            <v>RFN8D64</v>
          </cell>
          <cell r="B772" t="str">
            <v xml:space="preserve"> </v>
          </cell>
          <cell r="C772" t="str">
            <v/>
          </cell>
          <cell r="D772" t="str">
            <v/>
          </cell>
          <cell r="E772">
            <v>0</v>
          </cell>
        </row>
        <row r="773">
          <cell r="A773" t="str">
            <v>RFN8D65</v>
          </cell>
          <cell r="B773" t="str">
            <v xml:space="preserve"> </v>
          </cell>
          <cell r="C773" t="str">
            <v/>
          </cell>
          <cell r="D773" t="str">
            <v/>
          </cell>
          <cell r="E773">
            <v>0</v>
          </cell>
        </row>
        <row r="774">
          <cell r="A774" t="str">
            <v>RFN8D67</v>
          </cell>
          <cell r="B774" t="str">
            <v xml:space="preserve"> </v>
          </cell>
          <cell r="C774" t="str">
            <v/>
          </cell>
          <cell r="D774" t="str">
            <v/>
          </cell>
          <cell r="E774">
            <v>0</v>
          </cell>
        </row>
        <row r="775">
          <cell r="A775" t="str">
            <v>RFO1C56</v>
          </cell>
          <cell r="B775" t="str">
            <v xml:space="preserve"> </v>
          </cell>
          <cell r="C775" t="str">
            <v/>
          </cell>
          <cell r="D775" t="str">
            <v/>
          </cell>
          <cell r="E775">
            <v>0</v>
          </cell>
        </row>
        <row r="776">
          <cell r="A776" t="str">
            <v>RFO1C57</v>
          </cell>
          <cell r="B776" t="str">
            <v xml:space="preserve"> </v>
          </cell>
          <cell r="C776" t="str">
            <v/>
          </cell>
          <cell r="D776" t="str">
            <v/>
          </cell>
          <cell r="E776">
            <v>0</v>
          </cell>
        </row>
        <row r="777">
          <cell r="A777" t="str">
            <v>RFO1C59</v>
          </cell>
          <cell r="B777" t="str">
            <v xml:space="preserve"> </v>
          </cell>
          <cell r="C777" t="str">
            <v/>
          </cell>
          <cell r="D777" t="str">
            <v/>
          </cell>
          <cell r="E777">
            <v>0</v>
          </cell>
        </row>
        <row r="778">
          <cell r="A778" t="str">
            <v>RFO1C60</v>
          </cell>
          <cell r="B778" t="str">
            <v xml:space="preserve"> </v>
          </cell>
          <cell r="C778" t="str">
            <v/>
          </cell>
          <cell r="D778" t="str">
            <v/>
          </cell>
          <cell r="E778">
            <v>0</v>
          </cell>
        </row>
        <row r="779">
          <cell r="A779" t="str">
            <v>RFO1C61</v>
          </cell>
          <cell r="B779" t="str">
            <v xml:space="preserve"> </v>
          </cell>
          <cell r="C779" t="str">
            <v/>
          </cell>
          <cell r="D779" t="str">
            <v/>
          </cell>
          <cell r="E779">
            <v>0</v>
          </cell>
        </row>
        <row r="780">
          <cell r="A780" t="str">
            <v>RFO1C62</v>
          </cell>
          <cell r="B780" t="str">
            <v xml:space="preserve"> </v>
          </cell>
          <cell r="C780" t="str">
            <v/>
          </cell>
          <cell r="D780" t="str">
            <v/>
          </cell>
          <cell r="E780">
            <v>0</v>
          </cell>
        </row>
        <row r="781">
          <cell r="A781" t="str">
            <v>RFO1C64</v>
          </cell>
          <cell r="B781" t="str">
            <v xml:space="preserve"> </v>
          </cell>
          <cell r="C781" t="str">
            <v/>
          </cell>
          <cell r="D781" t="str">
            <v/>
          </cell>
          <cell r="E781">
            <v>0</v>
          </cell>
        </row>
        <row r="782">
          <cell r="A782" t="str">
            <v>RFO4H97</v>
          </cell>
          <cell r="B782" t="str">
            <v xml:space="preserve"> </v>
          </cell>
          <cell r="C782" t="str">
            <v/>
          </cell>
          <cell r="D782" t="str">
            <v/>
          </cell>
          <cell r="E782">
            <v>0</v>
          </cell>
        </row>
        <row r="783">
          <cell r="A783" t="str">
            <v>RFO4H98</v>
          </cell>
          <cell r="B783" t="str">
            <v xml:space="preserve"> </v>
          </cell>
          <cell r="C783" t="str">
            <v/>
          </cell>
          <cell r="D783" t="str">
            <v/>
          </cell>
          <cell r="E783">
            <v>0</v>
          </cell>
        </row>
        <row r="784">
          <cell r="A784" t="str">
            <v>RFP7D88</v>
          </cell>
          <cell r="B784" t="str">
            <v xml:space="preserve"> </v>
          </cell>
          <cell r="C784" t="str">
            <v/>
          </cell>
          <cell r="D784" t="str">
            <v/>
          </cell>
          <cell r="E784">
            <v>0</v>
          </cell>
        </row>
        <row r="785">
          <cell r="A785" t="str">
            <v>RFP7D91</v>
          </cell>
          <cell r="B785" t="str">
            <v xml:space="preserve"> </v>
          </cell>
          <cell r="C785" t="str">
            <v/>
          </cell>
          <cell r="D785" t="str">
            <v/>
          </cell>
          <cell r="E785">
            <v>0</v>
          </cell>
        </row>
        <row r="786">
          <cell r="A786" t="str">
            <v>RFP9G64</v>
          </cell>
          <cell r="B786" t="str">
            <v xml:space="preserve"> </v>
          </cell>
          <cell r="C786" t="str">
            <v/>
          </cell>
          <cell r="D786" t="str">
            <v/>
          </cell>
          <cell r="E786">
            <v>0</v>
          </cell>
        </row>
        <row r="787">
          <cell r="A787" t="str">
            <v>RFP9G65</v>
          </cell>
          <cell r="B787" t="str">
            <v xml:space="preserve"> </v>
          </cell>
          <cell r="C787" t="str">
            <v/>
          </cell>
          <cell r="D787" t="str">
            <v/>
          </cell>
          <cell r="E787">
            <v>0</v>
          </cell>
        </row>
        <row r="788">
          <cell r="A788" t="str">
            <v>RFP9G66</v>
          </cell>
          <cell r="B788" t="str">
            <v xml:space="preserve"> </v>
          </cell>
          <cell r="C788" t="str">
            <v/>
          </cell>
          <cell r="D788" t="str">
            <v/>
          </cell>
          <cell r="E788">
            <v>0</v>
          </cell>
        </row>
        <row r="789">
          <cell r="A789" t="str">
            <v>RFP9G69</v>
          </cell>
          <cell r="B789" t="str">
            <v xml:space="preserve"> </v>
          </cell>
          <cell r="C789" t="str">
            <v/>
          </cell>
          <cell r="D789" t="str">
            <v/>
          </cell>
          <cell r="E789">
            <v>0</v>
          </cell>
        </row>
        <row r="790">
          <cell r="A790" t="str">
            <v>RFP9G72</v>
          </cell>
          <cell r="B790" t="str">
            <v xml:space="preserve"> </v>
          </cell>
          <cell r="C790" t="str">
            <v/>
          </cell>
          <cell r="D790" t="str">
            <v/>
          </cell>
          <cell r="E790">
            <v>0</v>
          </cell>
        </row>
        <row r="791">
          <cell r="A791" t="str">
            <v>RFP9G74</v>
          </cell>
          <cell r="B791">
            <v>45932</v>
          </cell>
          <cell r="C791" t="str">
            <v/>
          </cell>
          <cell r="D791" t="str">
            <v/>
          </cell>
          <cell r="E791">
            <v>45932</v>
          </cell>
        </row>
        <row r="792">
          <cell r="A792" t="str">
            <v>RFP9G78</v>
          </cell>
          <cell r="B792" t="str">
            <v xml:space="preserve"> </v>
          </cell>
          <cell r="C792" t="str">
            <v/>
          </cell>
          <cell r="D792" t="str">
            <v/>
          </cell>
          <cell r="E792">
            <v>0</v>
          </cell>
        </row>
        <row r="793">
          <cell r="A793" t="str">
            <v>RFP9G81</v>
          </cell>
          <cell r="B793" t="str">
            <v xml:space="preserve"> </v>
          </cell>
          <cell r="C793" t="str">
            <v/>
          </cell>
          <cell r="D793" t="str">
            <v/>
          </cell>
          <cell r="E793">
            <v>0</v>
          </cell>
        </row>
        <row r="794">
          <cell r="A794" t="str">
            <v>RFP9G82</v>
          </cell>
          <cell r="B794" t="str">
            <v xml:space="preserve"> </v>
          </cell>
          <cell r="C794" t="str">
            <v/>
          </cell>
          <cell r="D794" t="str">
            <v/>
          </cell>
          <cell r="E794">
            <v>0</v>
          </cell>
        </row>
        <row r="795">
          <cell r="A795" t="str">
            <v>RFP9G84</v>
          </cell>
          <cell r="B795" t="str">
            <v xml:space="preserve"> </v>
          </cell>
          <cell r="C795" t="str">
            <v/>
          </cell>
          <cell r="D795" t="str">
            <v/>
          </cell>
          <cell r="E795">
            <v>0</v>
          </cell>
        </row>
        <row r="796">
          <cell r="A796" t="str">
            <v>RFS5H23</v>
          </cell>
          <cell r="B796" t="str">
            <v xml:space="preserve"> </v>
          </cell>
          <cell r="C796" t="str">
            <v/>
          </cell>
          <cell r="D796" t="str">
            <v/>
          </cell>
          <cell r="E796">
            <v>0</v>
          </cell>
        </row>
        <row r="797">
          <cell r="A797" t="str">
            <v>RFS5H25</v>
          </cell>
          <cell r="B797" t="str">
            <v xml:space="preserve"> </v>
          </cell>
          <cell r="C797" t="str">
            <v/>
          </cell>
          <cell r="D797" t="str">
            <v/>
          </cell>
          <cell r="E797">
            <v>0</v>
          </cell>
        </row>
        <row r="798">
          <cell r="A798" t="str">
            <v>RFS5H26</v>
          </cell>
          <cell r="B798" t="str">
            <v xml:space="preserve"> </v>
          </cell>
          <cell r="C798" t="str">
            <v/>
          </cell>
          <cell r="D798" t="str">
            <v/>
          </cell>
          <cell r="E798">
            <v>0</v>
          </cell>
        </row>
        <row r="799">
          <cell r="A799" t="str">
            <v>RFS5H52</v>
          </cell>
          <cell r="B799" t="str">
            <v xml:space="preserve"> </v>
          </cell>
          <cell r="C799" t="str">
            <v/>
          </cell>
          <cell r="D799" t="str">
            <v/>
          </cell>
          <cell r="E799">
            <v>0</v>
          </cell>
        </row>
        <row r="800">
          <cell r="A800" t="str">
            <v>RFS9I79</v>
          </cell>
          <cell r="B800">
            <v>45649</v>
          </cell>
          <cell r="C800" t="str">
            <v/>
          </cell>
          <cell r="D800" t="str">
            <v/>
          </cell>
          <cell r="E800">
            <v>45649</v>
          </cell>
        </row>
        <row r="801">
          <cell r="A801" t="str">
            <v>RFS9I83</v>
          </cell>
          <cell r="B801" t="str">
            <v xml:space="preserve"> </v>
          </cell>
          <cell r="C801" t="str">
            <v/>
          </cell>
          <cell r="D801" t="str">
            <v/>
          </cell>
          <cell r="E801">
            <v>0</v>
          </cell>
        </row>
        <row r="802">
          <cell r="A802" t="str">
            <v>RFS9I85</v>
          </cell>
          <cell r="B802" t="str">
            <v xml:space="preserve"> </v>
          </cell>
          <cell r="C802" t="str">
            <v/>
          </cell>
          <cell r="D802" t="str">
            <v/>
          </cell>
          <cell r="E802">
            <v>0</v>
          </cell>
        </row>
        <row r="803">
          <cell r="A803" t="str">
            <v>RFS9I87</v>
          </cell>
          <cell r="B803" t="str">
            <v xml:space="preserve"> </v>
          </cell>
          <cell r="C803" t="str">
            <v/>
          </cell>
          <cell r="D803" t="str">
            <v/>
          </cell>
          <cell r="E803">
            <v>0</v>
          </cell>
        </row>
        <row r="804">
          <cell r="A804" t="str">
            <v>RFS9I93</v>
          </cell>
          <cell r="B804" t="str">
            <v xml:space="preserve"> </v>
          </cell>
          <cell r="C804" t="str">
            <v/>
          </cell>
          <cell r="D804" t="str">
            <v/>
          </cell>
          <cell r="E804">
            <v>0</v>
          </cell>
        </row>
        <row r="805">
          <cell r="A805" t="str">
            <v>RFS9I94</v>
          </cell>
          <cell r="B805" t="str">
            <v xml:space="preserve"> </v>
          </cell>
          <cell r="C805" t="str">
            <v/>
          </cell>
          <cell r="D805" t="str">
            <v/>
          </cell>
          <cell r="E805">
            <v>0</v>
          </cell>
        </row>
        <row r="806">
          <cell r="A806" t="str">
            <v>RFS9I98</v>
          </cell>
          <cell r="B806" t="str">
            <v xml:space="preserve"> </v>
          </cell>
          <cell r="C806" t="str">
            <v/>
          </cell>
          <cell r="D806" t="str">
            <v/>
          </cell>
          <cell r="E806">
            <v>0</v>
          </cell>
        </row>
        <row r="807">
          <cell r="A807" t="str">
            <v>RFS9J01</v>
          </cell>
          <cell r="B807" t="str">
            <v xml:space="preserve"> </v>
          </cell>
          <cell r="C807" t="str">
            <v/>
          </cell>
          <cell r="D807" t="str">
            <v/>
          </cell>
          <cell r="E807">
            <v>0</v>
          </cell>
        </row>
        <row r="808">
          <cell r="A808" t="str">
            <v>RFS9J04</v>
          </cell>
          <cell r="B808" t="str">
            <v xml:space="preserve"> </v>
          </cell>
          <cell r="C808" t="str">
            <v/>
          </cell>
          <cell r="D808" t="str">
            <v/>
          </cell>
          <cell r="E808">
            <v>0</v>
          </cell>
        </row>
        <row r="809">
          <cell r="A809" t="str">
            <v>RFT7G78</v>
          </cell>
          <cell r="B809">
            <v>45989</v>
          </cell>
          <cell r="C809">
            <v>45989</v>
          </cell>
          <cell r="D809" t="str">
            <v/>
          </cell>
          <cell r="E809">
            <v>45989</v>
          </cell>
        </row>
        <row r="810">
          <cell r="A810" t="str">
            <v>RFT7G83</v>
          </cell>
          <cell r="B810">
            <v>45956</v>
          </cell>
          <cell r="C810" t="str">
            <v/>
          </cell>
          <cell r="D810" t="str">
            <v/>
          </cell>
          <cell r="E810">
            <v>45956</v>
          </cell>
        </row>
        <row r="811">
          <cell r="A811" t="str">
            <v>RFU0D94</v>
          </cell>
          <cell r="B811" t="str">
            <v xml:space="preserve"> </v>
          </cell>
          <cell r="C811" t="str">
            <v/>
          </cell>
          <cell r="D811" t="str">
            <v/>
          </cell>
          <cell r="E811">
            <v>0</v>
          </cell>
        </row>
        <row r="812">
          <cell r="A812" t="str">
            <v>RFU0D95</v>
          </cell>
          <cell r="B812" t="str">
            <v xml:space="preserve"> </v>
          </cell>
          <cell r="C812" t="str">
            <v/>
          </cell>
          <cell r="D812" t="str">
            <v/>
          </cell>
          <cell r="E812">
            <v>0</v>
          </cell>
        </row>
        <row r="813">
          <cell r="A813" t="str">
            <v>RFU0E03</v>
          </cell>
          <cell r="B813" t="str">
            <v xml:space="preserve"> </v>
          </cell>
          <cell r="C813" t="str">
            <v/>
          </cell>
          <cell r="D813" t="str">
            <v/>
          </cell>
          <cell r="E813">
            <v>0</v>
          </cell>
        </row>
        <row r="814">
          <cell r="A814" t="str">
            <v>RFU0E04</v>
          </cell>
          <cell r="B814" t="str">
            <v xml:space="preserve"> </v>
          </cell>
          <cell r="C814" t="str">
            <v/>
          </cell>
          <cell r="D814" t="str">
            <v/>
          </cell>
          <cell r="E814">
            <v>0</v>
          </cell>
        </row>
        <row r="815">
          <cell r="A815" t="str">
            <v>RFU0E05</v>
          </cell>
          <cell r="B815" t="str">
            <v xml:space="preserve"> </v>
          </cell>
          <cell r="C815" t="str">
            <v/>
          </cell>
          <cell r="D815" t="str">
            <v/>
          </cell>
          <cell r="E815">
            <v>0</v>
          </cell>
        </row>
        <row r="816">
          <cell r="A816" t="str">
            <v>RFU0E07</v>
          </cell>
          <cell r="B816" t="str">
            <v xml:space="preserve"> </v>
          </cell>
          <cell r="C816" t="str">
            <v/>
          </cell>
          <cell r="D816" t="str">
            <v/>
          </cell>
          <cell r="E816">
            <v>0</v>
          </cell>
        </row>
        <row r="817">
          <cell r="A817" t="str">
            <v>RFU2E28</v>
          </cell>
          <cell r="B817">
            <v>45902</v>
          </cell>
          <cell r="C817" t="str">
            <v/>
          </cell>
          <cell r="D817" t="str">
            <v/>
          </cell>
          <cell r="E817">
            <v>45902</v>
          </cell>
        </row>
        <row r="818">
          <cell r="A818" t="str">
            <v>RFU2E32</v>
          </cell>
          <cell r="B818">
            <v>45968</v>
          </cell>
          <cell r="C818" t="str">
            <v/>
          </cell>
          <cell r="D818" t="str">
            <v/>
          </cell>
          <cell r="E818">
            <v>45968</v>
          </cell>
        </row>
        <row r="819">
          <cell r="A819" t="str">
            <v>RFU2E35</v>
          </cell>
          <cell r="B819" t="str">
            <v xml:space="preserve"> </v>
          </cell>
          <cell r="C819" t="str">
            <v/>
          </cell>
          <cell r="D819" t="str">
            <v/>
          </cell>
          <cell r="E819">
            <v>0</v>
          </cell>
        </row>
        <row r="820">
          <cell r="A820" t="str">
            <v>RFU2E46</v>
          </cell>
          <cell r="B820">
            <v>45989</v>
          </cell>
          <cell r="C820">
            <v>45989</v>
          </cell>
          <cell r="D820" t="str">
            <v/>
          </cell>
          <cell r="E820">
            <v>45989</v>
          </cell>
        </row>
        <row r="821">
          <cell r="A821" t="str">
            <v>RFU2E60</v>
          </cell>
          <cell r="B821" t="str">
            <v xml:space="preserve"> </v>
          </cell>
          <cell r="C821" t="str">
            <v/>
          </cell>
          <cell r="D821" t="str">
            <v/>
          </cell>
          <cell r="E821">
            <v>0</v>
          </cell>
        </row>
        <row r="822">
          <cell r="A822" t="str">
            <v>RFU2E67</v>
          </cell>
          <cell r="B822" t="str">
            <v xml:space="preserve"> </v>
          </cell>
          <cell r="C822" t="str">
            <v/>
          </cell>
          <cell r="D822" t="str">
            <v/>
          </cell>
          <cell r="E822">
            <v>0</v>
          </cell>
        </row>
        <row r="823">
          <cell r="A823" t="str">
            <v>RFU2E68</v>
          </cell>
          <cell r="B823" t="str">
            <v xml:space="preserve"> </v>
          </cell>
          <cell r="C823" t="str">
            <v/>
          </cell>
          <cell r="D823" t="str">
            <v/>
          </cell>
          <cell r="E823">
            <v>0</v>
          </cell>
        </row>
        <row r="824">
          <cell r="A824" t="str">
            <v>RFU2E69</v>
          </cell>
          <cell r="B824" t="str">
            <v xml:space="preserve"> </v>
          </cell>
          <cell r="C824" t="str">
            <v/>
          </cell>
          <cell r="D824" t="str">
            <v/>
          </cell>
          <cell r="E824">
            <v>0</v>
          </cell>
        </row>
        <row r="825">
          <cell r="A825" t="str">
            <v>RFU2E70</v>
          </cell>
          <cell r="B825" t="str">
            <v xml:space="preserve"> </v>
          </cell>
          <cell r="C825" t="str">
            <v/>
          </cell>
          <cell r="D825" t="str">
            <v/>
          </cell>
          <cell r="E825">
            <v>0</v>
          </cell>
        </row>
        <row r="826">
          <cell r="A826" t="str">
            <v>RFU2E71</v>
          </cell>
          <cell r="B826" t="str">
            <v xml:space="preserve"> </v>
          </cell>
          <cell r="C826" t="str">
            <v/>
          </cell>
          <cell r="D826" t="str">
            <v/>
          </cell>
          <cell r="E826">
            <v>0</v>
          </cell>
        </row>
        <row r="827">
          <cell r="A827" t="str">
            <v>RFU2F03</v>
          </cell>
          <cell r="B827" t="str">
            <v xml:space="preserve"> </v>
          </cell>
          <cell r="C827" t="str">
            <v/>
          </cell>
          <cell r="D827" t="str">
            <v/>
          </cell>
          <cell r="E827">
            <v>0</v>
          </cell>
        </row>
        <row r="828">
          <cell r="A828" t="str">
            <v>RFU2F04</v>
          </cell>
          <cell r="B828" t="str">
            <v xml:space="preserve"> </v>
          </cell>
          <cell r="C828" t="str">
            <v/>
          </cell>
          <cell r="D828" t="str">
            <v/>
          </cell>
          <cell r="E828">
            <v>0</v>
          </cell>
        </row>
        <row r="829">
          <cell r="A829" t="str">
            <v>RFU2F05</v>
          </cell>
          <cell r="B829" t="str">
            <v xml:space="preserve"> </v>
          </cell>
          <cell r="C829" t="str">
            <v/>
          </cell>
          <cell r="D829" t="str">
            <v/>
          </cell>
          <cell r="E829">
            <v>0</v>
          </cell>
        </row>
        <row r="830">
          <cell r="A830" t="str">
            <v>RFU2F06</v>
          </cell>
          <cell r="B830" t="str">
            <v xml:space="preserve"> </v>
          </cell>
          <cell r="C830" t="str">
            <v/>
          </cell>
          <cell r="D830" t="str">
            <v/>
          </cell>
          <cell r="E830">
            <v>0</v>
          </cell>
        </row>
        <row r="831">
          <cell r="A831" t="str">
            <v>RFU2F07</v>
          </cell>
          <cell r="B831" t="str">
            <v xml:space="preserve"> </v>
          </cell>
          <cell r="C831" t="str">
            <v/>
          </cell>
          <cell r="D831" t="str">
            <v/>
          </cell>
          <cell r="E831">
            <v>0</v>
          </cell>
        </row>
        <row r="832">
          <cell r="A832" t="str">
            <v>RFU2F08</v>
          </cell>
          <cell r="B832" t="str">
            <v xml:space="preserve"> </v>
          </cell>
          <cell r="C832" t="str">
            <v/>
          </cell>
          <cell r="D832" t="str">
            <v/>
          </cell>
          <cell r="E832">
            <v>0</v>
          </cell>
        </row>
        <row r="833">
          <cell r="A833" t="str">
            <v>RFU2F21</v>
          </cell>
          <cell r="B833" t="str">
            <v xml:space="preserve"> </v>
          </cell>
          <cell r="C833" t="str">
            <v/>
          </cell>
          <cell r="D833" t="str">
            <v/>
          </cell>
          <cell r="E833">
            <v>0</v>
          </cell>
        </row>
        <row r="834">
          <cell r="A834" t="str">
            <v>RFU7G78</v>
          </cell>
          <cell r="B834" t="str">
            <v xml:space="preserve"> </v>
          </cell>
          <cell r="C834" t="str">
            <v/>
          </cell>
          <cell r="D834" t="str">
            <v/>
          </cell>
          <cell r="E834">
            <v>0</v>
          </cell>
        </row>
        <row r="835">
          <cell r="A835" t="str">
            <v>RFU7G79</v>
          </cell>
          <cell r="B835" t="str">
            <v xml:space="preserve"> </v>
          </cell>
          <cell r="C835" t="str">
            <v/>
          </cell>
          <cell r="D835" t="str">
            <v/>
          </cell>
          <cell r="E835">
            <v>0</v>
          </cell>
        </row>
        <row r="836">
          <cell r="A836" t="str">
            <v>RFU7G81</v>
          </cell>
          <cell r="B836" t="str">
            <v xml:space="preserve"> </v>
          </cell>
          <cell r="C836" t="str">
            <v/>
          </cell>
          <cell r="D836" t="str">
            <v/>
          </cell>
          <cell r="E836">
            <v>0</v>
          </cell>
        </row>
        <row r="837">
          <cell r="A837" t="str">
            <v>RFU7G82</v>
          </cell>
          <cell r="B837" t="str">
            <v xml:space="preserve"> </v>
          </cell>
          <cell r="C837" t="str">
            <v/>
          </cell>
          <cell r="D837" t="str">
            <v/>
          </cell>
          <cell r="E837">
            <v>0</v>
          </cell>
        </row>
        <row r="838">
          <cell r="A838" t="str">
            <v>RFU7G83</v>
          </cell>
          <cell r="B838" t="str">
            <v xml:space="preserve"> </v>
          </cell>
          <cell r="C838" t="str">
            <v/>
          </cell>
          <cell r="D838" t="str">
            <v/>
          </cell>
          <cell r="E838">
            <v>0</v>
          </cell>
        </row>
        <row r="839">
          <cell r="A839" t="str">
            <v>RFU7G84</v>
          </cell>
          <cell r="B839" t="str">
            <v xml:space="preserve"> </v>
          </cell>
          <cell r="C839" t="str">
            <v/>
          </cell>
          <cell r="D839" t="str">
            <v/>
          </cell>
          <cell r="E839">
            <v>0</v>
          </cell>
        </row>
        <row r="840">
          <cell r="A840" t="str">
            <v>RFU7G85</v>
          </cell>
          <cell r="B840" t="str">
            <v xml:space="preserve"> </v>
          </cell>
          <cell r="C840" t="str">
            <v/>
          </cell>
          <cell r="D840" t="str">
            <v/>
          </cell>
          <cell r="E840">
            <v>0</v>
          </cell>
        </row>
        <row r="841">
          <cell r="A841" t="str">
            <v>RFV0C09</v>
          </cell>
          <cell r="B841" t="str">
            <v xml:space="preserve"> </v>
          </cell>
          <cell r="C841" t="str">
            <v/>
          </cell>
          <cell r="D841" t="str">
            <v/>
          </cell>
          <cell r="E841">
            <v>0</v>
          </cell>
        </row>
        <row r="842">
          <cell r="A842" t="str">
            <v>RFV4G61</v>
          </cell>
          <cell r="B842" t="str">
            <v xml:space="preserve"> </v>
          </cell>
          <cell r="C842" t="str">
            <v/>
          </cell>
          <cell r="D842" t="str">
            <v/>
          </cell>
          <cell r="E842">
            <v>0</v>
          </cell>
        </row>
        <row r="843">
          <cell r="A843" t="str">
            <v>RFV4G65</v>
          </cell>
          <cell r="B843" t="str">
            <v xml:space="preserve"> </v>
          </cell>
          <cell r="C843" t="str">
            <v/>
          </cell>
          <cell r="D843" t="str">
            <v/>
          </cell>
          <cell r="E843">
            <v>0</v>
          </cell>
        </row>
        <row r="844">
          <cell r="A844" t="str">
            <v>RFV4G68</v>
          </cell>
          <cell r="B844">
            <v>45540</v>
          </cell>
          <cell r="C844" t="str">
            <v/>
          </cell>
          <cell r="D844" t="str">
            <v/>
          </cell>
          <cell r="E844">
            <v>45540</v>
          </cell>
        </row>
        <row r="845">
          <cell r="A845" t="str">
            <v>RFV4G69</v>
          </cell>
          <cell r="B845" t="str">
            <v xml:space="preserve"> </v>
          </cell>
          <cell r="C845" t="str">
            <v/>
          </cell>
          <cell r="D845" t="str">
            <v/>
          </cell>
          <cell r="E845">
            <v>0</v>
          </cell>
        </row>
        <row r="846">
          <cell r="A846" t="str">
            <v>RFV4G70</v>
          </cell>
          <cell r="B846" t="str">
            <v xml:space="preserve"> </v>
          </cell>
          <cell r="C846" t="str">
            <v/>
          </cell>
          <cell r="D846" t="str">
            <v/>
          </cell>
          <cell r="E846">
            <v>0</v>
          </cell>
        </row>
        <row r="847">
          <cell r="A847" t="str">
            <v>RFV4G75</v>
          </cell>
          <cell r="B847" t="str">
            <v xml:space="preserve"> </v>
          </cell>
          <cell r="C847" t="str">
            <v/>
          </cell>
          <cell r="D847" t="str">
            <v/>
          </cell>
          <cell r="E847">
            <v>0</v>
          </cell>
        </row>
        <row r="848">
          <cell r="A848" t="str">
            <v>RFV4G76</v>
          </cell>
          <cell r="B848" t="str">
            <v xml:space="preserve"> </v>
          </cell>
          <cell r="C848" t="str">
            <v/>
          </cell>
          <cell r="D848" t="str">
            <v/>
          </cell>
          <cell r="E848">
            <v>0</v>
          </cell>
        </row>
        <row r="849">
          <cell r="A849" t="str">
            <v>RFV4G78</v>
          </cell>
          <cell r="B849" t="str">
            <v xml:space="preserve"> </v>
          </cell>
          <cell r="C849" t="str">
            <v/>
          </cell>
          <cell r="D849" t="str">
            <v/>
          </cell>
          <cell r="E849">
            <v>0</v>
          </cell>
        </row>
        <row r="850">
          <cell r="A850" t="str">
            <v>RFV7B77</v>
          </cell>
          <cell r="B850" t="str">
            <v xml:space="preserve"> </v>
          </cell>
          <cell r="C850" t="str">
            <v/>
          </cell>
          <cell r="D850" t="str">
            <v/>
          </cell>
          <cell r="E850">
            <v>0</v>
          </cell>
        </row>
        <row r="851">
          <cell r="A851" t="str">
            <v>RFV7B86</v>
          </cell>
          <cell r="B851" t="str">
            <v xml:space="preserve"> </v>
          </cell>
          <cell r="C851" t="str">
            <v/>
          </cell>
          <cell r="D851" t="str">
            <v/>
          </cell>
          <cell r="E851">
            <v>0</v>
          </cell>
        </row>
        <row r="852">
          <cell r="A852" t="str">
            <v>RFV7B87</v>
          </cell>
          <cell r="B852" t="str">
            <v xml:space="preserve"> </v>
          </cell>
          <cell r="C852" t="str">
            <v/>
          </cell>
          <cell r="D852" t="str">
            <v/>
          </cell>
          <cell r="E852">
            <v>0</v>
          </cell>
        </row>
        <row r="853">
          <cell r="A853" t="str">
            <v>RFV8J46</v>
          </cell>
          <cell r="B853" t="str">
            <v xml:space="preserve"> </v>
          </cell>
          <cell r="C853" t="str">
            <v/>
          </cell>
          <cell r="D853" t="str">
            <v/>
          </cell>
          <cell r="E853">
            <v>0</v>
          </cell>
        </row>
        <row r="854">
          <cell r="A854" t="str">
            <v>RFV8J47</v>
          </cell>
          <cell r="B854" t="str">
            <v xml:space="preserve"> </v>
          </cell>
          <cell r="C854" t="str">
            <v/>
          </cell>
          <cell r="D854" t="str">
            <v/>
          </cell>
          <cell r="E854">
            <v>0</v>
          </cell>
        </row>
        <row r="855">
          <cell r="A855" t="str">
            <v>RFV8J48</v>
          </cell>
          <cell r="B855" t="str">
            <v xml:space="preserve"> </v>
          </cell>
          <cell r="C855" t="str">
            <v/>
          </cell>
          <cell r="D855" t="str">
            <v/>
          </cell>
          <cell r="E855">
            <v>0</v>
          </cell>
        </row>
        <row r="856">
          <cell r="A856" t="str">
            <v>RFV8J49</v>
          </cell>
          <cell r="B856" t="str">
            <v xml:space="preserve"> </v>
          </cell>
          <cell r="C856" t="str">
            <v/>
          </cell>
          <cell r="D856" t="str">
            <v/>
          </cell>
          <cell r="E856">
            <v>0</v>
          </cell>
        </row>
        <row r="857">
          <cell r="A857" t="str">
            <v>RFV8J51</v>
          </cell>
          <cell r="B857" t="str">
            <v xml:space="preserve"> </v>
          </cell>
          <cell r="C857" t="str">
            <v/>
          </cell>
          <cell r="D857" t="str">
            <v/>
          </cell>
          <cell r="E857">
            <v>0</v>
          </cell>
        </row>
        <row r="858">
          <cell r="A858" t="str">
            <v>RFW3J05</v>
          </cell>
          <cell r="B858" t="str">
            <v xml:space="preserve"> </v>
          </cell>
          <cell r="C858" t="str">
            <v/>
          </cell>
          <cell r="D858" t="str">
            <v/>
          </cell>
          <cell r="E858">
            <v>0</v>
          </cell>
        </row>
        <row r="859">
          <cell r="A859" t="str">
            <v>RFW3J10</v>
          </cell>
          <cell r="B859" t="str">
            <v xml:space="preserve"> </v>
          </cell>
          <cell r="C859" t="str">
            <v/>
          </cell>
          <cell r="D859" t="str">
            <v/>
          </cell>
          <cell r="E859">
            <v>0</v>
          </cell>
        </row>
        <row r="860">
          <cell r="A860" t="str">
            <v>RFW3J11</v>
          </cell>
          <cell r="B860" t="str">
            <v xml:space="preserve"> </v>
          </cell>
          <cell r="C860" t="str">
            <v/>
          </cell>
          <cell r="D860" t="str">
            <v/>
          </cell>
          <cell r="E860">
            <v>0</v>
          </cell>
        </row>
        <row r="861">
          <cell r="A861" t="str">
            <v>RFW3J13</v>
          </cell>
          <cell r="B861" t="str">
            <v xml:space="preserve"> </v>
          </cell>
          <cell r="C861" t="str">
            <v/>
          </cell>
          <cell r="D861" t="str">
            <v/>
          </cell>
          <cell r="E861">
            <v>0</v>
          </cell>
        </row>
        <row r="862">
          <cell r="A862" t="str">
            <v>RFW3J15</v>
          </cell>
          <cell r="B862" t="str">
            <v xml:space="preserve"> </v>
          </cell>
          <cell r="C862" t="str">
            <v/>
          </cell>
          <cell r="D862" t="str">
            <v/>
          </cell>
          <cell r="E862">
            <v>0</v>
          </cell>
        </row>
        <row r="863">
          <cell r="A863" t="str">
            <v>RHO5B26</v>
          </cell>
          <cell r="B863">
            <v>45976</v>
          </cell>
          <cell r="C863" t="str">
            <v/>
          </cell>
          <cell r="D863" t="str">
            <v/>
          </cell>
          <cell r="E863">
            <v>45976</v>
          </cell>
        </row>
        <row r="864">
          <cell r="A864" t="str">
            <v>RHU2D62</v>
          </cell>
          <cell r="B864">
            <v>45967</v>
          </cell>
          <cell r="C864" t="str">
            <v/>
          </cell>
          <cell r="D864" t="str">
            <v/>
          </cell>
          <cell r="E864">
            <v>45967</v>
          </cell>
        </row>
        <row r="865">
          <cell r="A865" t="str">
            <v>RHU2D65</v>
          </cell>
          <cell r="B865">
            <v>45989</v>
          </cell>
          <cell r="C865">
            <v>45989</v>
          </cell>
          <cell r="D865" t="str">
            <v/>
          </cell>
          <cell r="E865">
            <v>45989</v>
          </cell>
        </row>
        <row r="866">
          <cell r="A866" t="str">
            <v>RHU2D67</v>
          </cell>
          <cell r="B866">
            <v>45988</v>
          </cell>
          <cell r="C866">
            <v>45989</v>
          </cell>
          <cell r="D866" t="str">
            <v/>
          </cell>
          <cell r="E866">
            <v>45989</v>
          </cell>
        </row>
        <row r="867">
          <cell r="A867" t="str">
            <v>RHU2D75</v>
          </cell>
          <cell r="B867">
            <v>45988</v>
          </cell>
          <cell r="C867">
            <v>45989</v>
          </cell>
          <cell r="D867" t="str">
            <v/>
          </cell>
          <cell r="E867">
            <v>45989</v>
          </cell>
        </row>
        <row r="868">
          <cell r="A868" t="str">
            <v>RHV8D30</v>
          </cell>
          <cell r="B868">
            <v>45989</v>
          </cell>
          <cell r="C868">
            <v>45989</v>
          </cell>
          <cell r="D868" t="str">
            <v/>
          </cell>
          <cell r="E868">
            <v>45989</v>
          </cell>
        </row>
        <row r="869">
          <cell r="A869" t="str">
            <v>RHV8D32</v>
          </cell>
          <cell r="B869">
            <v>45959</v>
          </cell>
          <cell r="C869" t="str">
            <v/>
          </cell>
          <cell r="D869" t="str">
            <v/>
          </cell>
          <cell r="E869">
            <v>45959</v>
          </cell>
        </row>
        <row r="870">
          <cell r="A870" t="str">
            <v>RHV8D36</v>
          </cell>
          <cell r="B870">
            <v>45975</v>
          </cell>
          <cell r="C870" t="str">
            <v/>
          </cell>
          <cell r="D870" t="str">
            <v/>
          </cell>
          <cell r="E870">
            <v>45975</v>
          </cell>
        </row>
        <row r="871">
          <cell r="A871" t="str">
            <v>RHV8D37</v>
          </cell>
          <cell r="B871">
            <v>45989</v>
          </cell>
          <cell r="C871">
            <v>45989</v>
          </cell>
          <cell r="D871" t="str">
            <v/>
          </cell>
          <cell r="E871">
            <v>45989</v>
          </cell>
        </row>
        <row r="872">
          <cell r="A872" t="str">
            <v>RHV8D42</v>
          </cell>
          <cell r="B872">
            <v>45988</v>
          </cell>
          <cell r="C872">
            <v>45989</v>
          </cell>
          <cell r="D872" t="str">
            <v/>
          </cell>
          <cell r="E872">
            <v>45989</v>
          </cell>
        </row>
        <row r="873">
          <cell r="A873" t="str">
            <v>RHW0D37</v>
          </cell>
          <cell r="B873">
            <v>45920</v>
          </cell>
          <cell r="C873" t="str">
            <v/>
          </cell>
          <cell r="D873" t="str">
            <v/>
          </cell>
          <cell r="E873">
            <v>45920</v>
          </cell>
        </row>
        <row r="874">
          <cell r="A874" t="str">
            <v>RHW0D41</v>
          </cell>
          <cell r="B874">
            <v>45988</v>
          </cell>
          <cell r="C874">
            <v>45989</v>
          </cell>
          <cell r="D874" t="str">
            <v/>
          </cell>
          <cell r="E874">
            <v>45989</v>
          </cell>
        </row>
        <row r="875">
          <cell r="A875" t="str">
            <v>RHW0D47</v>
          </cell>
          <cell r="B875">
            <v>45916</v>
          </cell>
          <cell r="C875" t="str">
            <v/>
          </cell>
          <cell r="D875" t="str">
            <v/>
          </cell>
          <cell r="E875">
            <v>45916</v>
          </cell>
        </row>
        <row r="876">
          <cell r="A876" t="str">
            <v>RHW0D54</v>
          </cell>
          <cell r="B876">
            <v>45989</v>
          </cell>
          <cell r="C876">
            <v>45989</v>
          </cell>
          <cell r="D876" t="str">
            <v/>
          </cell>
          <cell r="E876">
            <v>45989</v>
          </cell>
        </row>
        <row r="877">
          <cell r="A877" t="str">
            <v>RHW0D56</v>
          </cell>
          <cell r="B877">
            <v>45989</v>
          </cell>
          <cell r="C877">
            <v>45989</v>
          </cell>
          <cell r="D877" t="str">
            <v/>
          </cell>
          <cell r="E877">
            <v>45989</v>
          </cell>
        </row>
        <row r="878">
          <cell r="A878" t="str">
            <v>RHW0D75</v>
          </cell>
          <cell r="B878">
            <v>45936</v>
          </cell>
          <cell r="C878" t="str">
            <v/>
          </cell>
          <cell r="D878" t="str">
            <v/>
          </cell>
          <cell r="E878">
            <v>45936</v>
          </cell>
        </row>
        <row r="879">
          <cell r="A879" t="str">
            <v>RHW0D76</v>
          </cell>
          <cell r="B879">
            <v>45989</v>
          </cell>
          <cell r="C879">
            <v>45989</v>
          </cell>
          <cell r="D879" t="str">
            <v/>
          </cell>
          <cell r="E879">
            <v>45989</v>
          </cell>
        </row>
        <row r="880">
          <cell r="A880" t="str">
            <v>RHW0D78</v>
          </cell>
          <cell r="B880">
            <v>45974</v>
          </cell>
          <cell r="C880" t="str">
            <v/>
          </cell>
          <cell r="D880" t="str">
            <v/>
          </cell>
          <cell r="E880">
            <v>45974</v>
          </cell>
        </row>
        <row r="881">
          <cell r="A881" t="str">
            <v>RHW0D79</v>
          </cell>
          <cell r="B881">
            <v>45989</v>
          </cell>
          <cell r="C881">
            <v>45989</v>
          </cell>
          <cell r="D881" t="str">
            <v/>
          </cell>
          <cell r="E881">
            <v>45989</v>
          </cell>
        </row>
        <row r="882">
          <cell r="A882" t="str">
            <v>RHW0D80</v>
          </cell>
          <cell r="B882">
            <v>45989</v>
          </cell>
          <cell r="C882">
            <v>45989</v>
          </cell>
          <cell r="D882" t="str">
            <v/>
          </cell>
          <cell r="E882">
            <v>45989</v>
          </cell>
        </row>
        <row r="883">
          <cell r="A883" t="str">
            <v>RHW0D83</v>
          </cell>
          <cell r="B883">
            <v>45971</v>
          </cell>
          <cell r="C883" t="str">
            <v/>
          </cell>
          <cell r="D883" t="str">
            <v/>
          </cell>
          <cell r="E883">
            <v>45971</v>
          </cell>
        </row>
        <row r="884">
          <cell r="A884" t="str">
            <v>RHW0D84</v>
          </cell>
          <cell r="B884">
            <v>45845</v>
          </cell>
          <cell r="C884" t="str">
            <v/>
          </cell>
          <cell r="D884" t="str">
            <v/>
          </cell>
          <cell r="E884">
            <v>45845</v>
          </cell>
        </row>
        <row r="885">
          <cell r="A885" t="str">
            <v>RHW2G07</v>
          </cell>
          <cell r="B885">
            <v>45989</v>
          </cell>
          <cell r="C885">
            <v>45989</v>
          </cell>
          <cell r="D885" t="str">
            <v/>
          </cell>
          <cell r="E885">
            <v>45989</v>
          </cell>
        </row>
        <row r="886">
          <cell r="A886" t="str">
            <v>RHW2G08</v>
          </cell>
          <cell r="B886">
            <v>45989</v>
          </cell>
          <cell r="C886">
            <v>45989</v>
          </cell>
          <cell r="D886" t="str">
            <v/>
          </cell>
          <cell r="E886">
            <v>45989</v>
          </cell>
        </row>
        <row r="887">
          <cell r="A887" t="str">
            <v>RMH5C67</v>
          </cell>
          <cell r="B887" t="str">
            <v xml:space="preserve"> </v>
          </cell>
          <cell r="C887" t="str">
            <v/>
          </cell>
          <cell r="D887" t="str">
            <v/>
          </cell>
          <cell r="E887">
            <v>0</v>
          </cell>
        </row>
        <row r="888">
          <cell r="A888" t="str">
            <v>RMJ6B25</v>
          </cell>
          <cell r="B888" t="str">
            <v xml:space="preserve"> </v>
          </cell>
          <cell r="C888" t="str">
            <v/>
          </cell>
          <cell r="D888" t="str">
            <v/>
          </cell>
          <cell r="E888">
            <v>0</v>
          </cell>
        </row>
        <row r="889">
          <cell r="A889" t="str">
            <v>RMJ6B26</v>
          </cell>
          <cell r="B889" t="str">
            <v xml:space="preserve"> </v>
          </cell>
          <cell r="C889" t="str">
            <v/>
          </cell>
          <cell r="D889" t="str">
            <v/>
          </cell>
          <cell r="E889">
            <v>0</v>
          </cell>
        </row>
        <row r="890">
          <cell r="A890" t="str">
            <v>RMJ6B31</v>
          </cell>
          <cell r="B890" t="str">
            <v xml:space="preserve"> </v>
          </cell>
          <cell r="C890" t="str">
            <v/>
          </cell>
          <cell r="D890" t="str">
            <v/>
          </cell>
          <cell r="E890">
            <v>0</v>
          </cell>
        </row>
        <row r="891">
          <cell r="A891" t="str">
            <v>RMK1E66</v>
          </cell>
          <cell r="B891" t="str">
            <v xml:space="preserve"> </v>
          </cell>
          <cell r="C891" t="str">
            <v/>
          </cell>
          <cell r="D891" t="str">
            <v/>
          </cell>
          <cell r="E891">
            <v>0</v>
          </cell>
        </row>
        <row r="892">
          <cell r="A892" t="str">
            <v>RMK1E71</v>
          </cell>
          <cell r="B892" t="str">
            <v xml:space="preserve"> </v>
          </cell>
          <cell r="C892" t="str">
            <v/>
          </cell>
          <cell r="D892" t="str">
            <v/>
          </cell>
          <cell r="E892">
            <v>0</v>
          </cell>
        </row>
        <row r="893">
          <cell r="A893" t="str">
            <v>RMM9D97</v>
          </cell>
          <cell r="B893" t="str">
            <v xml:space="preserve"> </v>
          </cell>
          <cell r="C893" t="str">
            <v/>
          </cell>
          <cell r="D893" t="str">
            <v/>
          </cell>
          <cell r="E893">
            <v>0</v>
          </cell>
        </row>
        <row r="894">
          <cell r="A894" t="str">
            <v>RMM9D98</v>
          </cell>
          <cell r="B894" t="str">
            <v xml:space="preserve"> </v>
          </cell>
          <cell r="C894" t="str">
            <v/>
          </cell>
          <cell r="D894" t="str">
            <v/>
          </cell>
          <cell r="E894">
            <v>0</v>
          </cell>
        </row>
        <row r="895">
          <cell r="A895" t="str">
            <v>RMM9E00</v>
          </cell>
          <cell r="B895" t="str">
            <v xml:space="preserve"> </v>
          </cell>
          <cell r="C895" t="str">
            <v/>
          </cell>
          <cell r="D895" t="str">
            <v/>
          </cell>
          <cell r="E895">
            <v>0</v>
          </cell>
        </row>
        <row r="896">
          <cell r="A896" t="str">
            <v>RMR5J24</v>
          </cell>
          <cell r="B896">
            <v>45987</v>
          </cell>
          <cell r="C896" t="str">
            <v/>
          </cell>
          <cell r="D896" t="str">
            <v/>
          </cell>
          <cell r="E896">
            <v>45987</v>
          </cell>
        </row>
        <row r="897">
          <cell r="A897" t="str">
            <v>RMR8G82</v>
          </cell>
          <cell r="B897">
            <v>45980</v>
          </cell>
          <cell r="C897" t="str">
            <v/>
          </cell>
          <cell r="D897" t="str">
            <v/>
          </cell>
          <cell r="E897">
            <v>45980</v>
          </cell>
        </row>
        <row r="898">
          <cell r="A898" t="str">
            <v>RMX9D31</v>
          </cell>
          <cell r="B898" t="str">
            <v xml:space="preserve"> </v>
          </cell>
          <cell r="C898" t="str">
            <v/>
          </cell>
          <cell r="D898" t="str">
            <v/>
          </cell>
          <cell r="E898">
            <v>0</v>
          </cell>
        </row>
        <row r="899">
          <cell r="A899" t="str">
            <v>RNB5H97</v>
          </cell>
          <cell r="B899">
            <v>45989</v>
          </cell>
          <cell r="C899">
            <v>45989</v>
          </cell>
          <cell r="D899" t="str">
            <v/>
          </cell>
          <cell r="E899">
            <v>45989</v>
          </cell>
        </row>
        <row r="900">
          <cell r="A900" t="str">
            <v>RNB5I11</v>
          </cell>
          <cell r="B900">
            <v>45982</v>
          </cell>
          <cell r="C900" t="str">
            <v/>
          </cell>
          <cell r="D900" t="str">
            <v/>
          </cell>
          <cell r="E900">
            <v>45982</v>
          </cell>
        </row>
        <row r="901">
          <cell r="A901" t="str">
            <v>RNB5I16</v>
          </cell>
          <cell r="B901">
            <v>45962</v>
          </cell>
          <cell r="C901" t="str">
            <v/>
          </cell>
          <cell r="D901" t="str">
            <v/>
          </cell>
          <cell r="E901">
            <v>45962</v>
          </cell>
        </row>
        <row r="902">
          <cell r="A902" t="str">
            <v>RNB5I19</v>
          </cell>
          <cell r="B902">
            <v>45741</v>
          </cell>
          <cell r="C902" t="str">
            <v/>
          </cell>
          <cell r="D902" t="str">
            <v/>
          </cell>
          <cell r="E902">
            <v>45741</v>
          </cell>
        </row>
        <row r="903">
          <cell r="A903" t="str">
            <v>RNB5I26</v>
          </cell>
          <cell r="B903">
            <v>45919</v>
          </cell>
          <cell r="C903" t="str">
            <v/>
          </cell>
          <cell r="D903" t="str">
            <v/>
          </cell>
          <cell r="E903">
            <v>45919</v>
          </cell>
        </row>
        <row r="904">
          <cell r="A904" t="str">
            <v>RNB5I29</v>
          </cell>
          <cell r="B904">
            <v>45906</v>
          </cell>
          <cell r="C904" t="str">
            <v/>
          </cell>
          <cell r="D904" t="str">
            <v/>
          </cell>
          <cell r="E904">
            <v>45906</v>
          </cell>
        </row>
        <row r="905">
          <cell r="A905" t="str">
            <v>RNB5I33</v>
          </cell>
          <cell r="B905">
            <v>45988</v>
          </cell>
          <cell r="C905" t="str">
            <v/>
          </cell>
          <cell r="D905" t="str">
            <v/>
          </cell>
          <cell r="E905">
            <v>45988</v>
          </cell>
        </row>
        <row r="906">
          <cell r="A906" t="str">
            <v>RNB5I45</v>
          </cell>
          <cell r="B906">
            <v>45875</v>
          </cell>
          <cell r="C906" t="str">
            <v/>
          </cell>
          <cell r="D906" t="str">
            <v/>
          </cell>
          <cell r="E906">
            <v>45875</v>
          </cell>
        </row>
        <row r="907">
          <cell r="A907" t="str">
            <v>RNB5I46</v>
          </cell>
          <cell r="B907">
            <v>45700</v>
          </cell>
          <cell r="C907" t="str">
            <v/>
          </cell>
          <cell r="D907" t="str">
            <v/>
          </cell>
          <cell r="E907">
            <v>45700</v>
          </cell>
        </row>
        <row r="908">
          <cell r="A908" t="str">
            <v>RNB5I49</v>
          </cell>
          <cell r="B908">
            <v>45989</v>
          </cell>
          <cell r="C908">
            <v>45989</v>
          </cell>
          <cell r="D908" t="str">
            <v/>
          </cell>
          <cell r="E908">
            <v>45989</v>
          </cell>
        </row>
        <row r="909">
          <cell r="A909" t="str">
            <v>RNB5I50</v>
          </cell>
          <cell r="B909">
            <v>45921</v>
          </cell>
          <cell r="C909" t="str">
            <v/>
          </cell>
          <cell r="D909" t="str">
            <v/>
          </cell>
          <cell r="E909">
            <v>45921</v>
          </cell>
        </row>
        <row r="910">
          <cell r="A910" t="str">
            <v>RNB5I52</v>
          </cell>
          <cell r="B910" t="str">
            <v xml:space="preserve"> </v>
          </cell>
          <cell r="C910" t="str">
            <v/>
          </cell>
          <cell r="D910" t="str">
            <v/>
          </cell>
          <cell r="E910">
            <v>0</v>
          </cell>
        </row>
        <row r="911">
          <cell r="A911" t="str">
            <v>RNB5I53</v>
          </cell>
          <cell r="B911">
            <v>45988</v>
          </cell>
          <cell r="C911">
            <v>45989</v>
          </cell>
          <cell r="D911" t="str">
            <v/>
          </cell>
          <cell r="E911">
            <v>45989</v>
          </cell>
        </row>
        <row r="912">
          <cell r="A912" t="str">
            <v>RNB5I54</v>
          </cell>
          <cell r="B912">
            <v>45961</v>
          </cell>
          <cell r="C912" t="str">
            <v/>
          </cell>
          <cell r="D912" t="str">
            <v/>
          </cell>
          <cell r="E912">
            <v>45961</v>
          </cell>
        </row>
        <row r="913">
          <cell r="A913" t="str">
            <v>RNB5I56</v>
          </cell>
          <cell r="B913">
            <v>45908</v>
          </cell>
          <cell r="C913" t="str">
            <v/>
          </cell>
          <cell r="D913" t="str">
            <v/>
          </cell>
          <cell r="E913">
            <v>45908</v>
          </cell>
        </row>
        <row r="914">
          <cell r="A914" t="str">
            <v>RNB5I57</v>
          </cell>
          <cell r="B914">
            <v>45988</v>
          </cell>
          <cell r="C914">
            <v>45989</v>
          </cell>
          <cell r="D914" t="str">
            <v/>
          </cell>
          <cell r="E914">
            <v>45989</v>
          </cell>
        </row>
        <row r="915">
          <cell r="A915" t="str">
            <v>RNB5I58</v>
          </cell>
          <cell r="B915">
            <v>45987</v>
          </cell>
          <cell r="C915" t="str">
            <v/>
          </cell>
          <cell r="D915" t="str">
            <v/>
          </cell>
          <cell r="E915">
            <v>45987</v>
          </cell>
        </row>
        <row r="916">
          <cell r="A916" t="str">
            <v>RNB5I64</v>
          </cell>
          <cell r="B916">
            <v>45810</v>
          </cell>
          <cell r="C916" t="str">
            <v/>
          </cell>
          <cell r="D916" t="str">
            <v/>
          </cell>
          <cell r="E916">
            <v>45810</v>
          </cell>
        </row>
        <row r="917">
          <cell r="A917" t="str">
            <v>RNC5H11</v>
          </cell>
          <cell r="B917">
            <v>45962</v>
          </cell>
          <cell r="C917" t="str">
            <v/>
          </cell>
          <cell r="D917" t="str">
            <v/>
          </cell>
          <cell r="E917">
            <v>45962</v>
          </cell>
        </row>
        <row r="918">
          <cell r="A918" t="str">
            <v>RNC5H15</v>
          </cell>
          <cell r="B918">
            <v>45989</v>
          </cell>
          <cell r="C918">
            <v>45989</v>
          </cell>
          <cell r="D918" t="str">
            <v/>
          </cell>
          <cell r="E918">
            <v>45989</v>
          </cell>
        </row>
        <row r="919">
          <cell r="A919" t="str">
            <v>RNC5H19</v>
          </cell>
          <cell r="B919">
            <v>45989</v>
          </cell>
          <cell r="C919">
            <v>45989</v>
          </cell>
          <cell r="D919" t="str">
            <v/>
          </cell>
          <cell r="E919">
            <v>45989</v>
          </cell>
        </row>
        <row r="920">
          <cell r="A920" t="str">
            <v>RNC5H20</v>
          </cell>
          <cell r="B920">
            <v>45989</v>
          </cell>
          <cell r="C920">
            <v>45989</v>
          </cell>
          <cell r="D920" t="str">
            <v/>
          </cell>
          <cell r="E920">
            <v>45989</v>
          </cell>
        </row>
        <row r="921">
          <cell r="A921" t="str">
            <v>RNC5H22</v>
          </cell>
          <cell r="B921">
            <v>45988</v>
          </cell>
          <cell r="C921">
            <v>45989</v>
          </cell>
          <cell r="D921" t="str">
            <v/>
          </cell>
          <cell r="E921">
            <v>45989</v>
          </cell>
        </row>
        <row r="922">
          <cell r="A922" t="str">
            <v>RNC5H23</v>
          </cell>
          <cell r="B922">
            <v>45989</v>
          </cell>
          <cell r="C922">
            <v>45989</v>
          </cell>
          <cell r="D922" t="str">
            <v/>
          </cell>
          <cell r="E922">
            <v>45989</v>
          </cell>
        </row>
        <row r="923">
          <cell r="A923" t="str">
            <v>RNC5H28</v>
          </cell>
          <cell r="B923">
            <v>45989</v>
          </cell>
          <cell r="C923">
            <v>45989</v>
          </cell>
          <cell r="D923" t="str">
            <v/>
          </cell>
          <cell r="E923">
            <v>45989</v>
          </cell>
        </row>
        <row r="924">
          <cell r="A924" t="str">
            <v>RNC9E48</v>
          </cell>
          <cell r="B924">
            <v>45900</v>
          </cell>
          <cell r="C924" t="str">
            <v/>
          </cell>
          <cell r="D924" t="str">
            <v/>
          </cell>
          <cell r="E924">
            <v>45900</v>
          </cell>
        </row>
        <row r="925">
          <cell r="A925" t="str">
            <v>RNC9E50</v>
          </cell>
          <cell r="B925">
            <v>45989</v>
          </cell>
          <cell r="C925">
            <v>45989</v>
          </cell>
          <cell r="D925" t="str">
            <v/>
          </cell>
          <cell r="E925">
            <v>45989</v>
          </cell>
        </row>
        <row r="926">
          <cell r="A926" t="str">
            <v>RNC9E64</v>
          </cell>
          <cell r="B926">
            <v>45576</v>
          </cell>
          <cell r="C926" t="str">
            <v/>
          </cell>
          <cell r="D926" t="str">
            <v/>
          </cell>
          <cell r="E926">
            <v>45576</v>
          </cell>
        </row>
        <row r="927">
          <cell r="A927" t="str">
            <v>RNC9E65</v>
          </cell>
          <cell r="B927" t="str">
            <v xml:space="preserve"> </v>
          </cell>
          <cell r="C927" t="str">
            <v/>
          </cell>
          <cell r="D927" t="str">
            <v/>
          </cell>
          <cell r="E927">
            <v>0</v>
          </cell>
        </row>
        <row r="928">
          <cell r="A928" t="str">
            <v>RNC9E67</v>
          </cell>
          <cell r="B928">
            <v>45989</v>
          </cell>
          <cell r="C928">
            <v>45989</v>
          </cell>
          <cell r="D928" t="str">
            <v/>
          </cell>
          <cell r="E928">
            <v>45989</v>
          </cell>
        </row>
        <row r="929">
          <cell r="A929" t="str">
            <v>RNC9E69</v>
          </cell>
          <cell r="B929">
            <v>45989</v>
          </cell>
          <cell r="C929">
            <v>45989</v>
          </cell>
          <cell r="D929" t="str">
            <v/>
          </cell>
          <cell r="E929">
            <v>45989</v>
          </cell>
        </row>
        <row r="930">
          <cell r="A930" t="str">
            <v>RNC9E73</v>
          </cell>
          <cell r="B930">
            <v>45914</v>
          </cell>
          <cell r="C930" t="str">
            <v/>
          </cell>
          <cell r="D930" t="str">
            <v/>
          </cell>
          <cell r="E930">
            <v>45914</v>
          </cell>
        </row>
        <row r="931">
          <cell r="A931" t="str">
            <v>RNC9E77</v>
          </cell>
          <cell r="B931">
            <v>45989</v>
          </cell>
          <cell r="C931">
            <v>45989</v>
          </cell>
          <cell r="D931" t="str">
            <v/>
          </cell>
          <cell r="E931">
            <v>45989</v>
          </cell>
        </row>
        <row r="932">
          <cell r="A932" t="str">
            <v>RND8C38</v>
          </cell>
          <cell r="B932">
            <v>45989</v>
          </cell>
          <cell r="C932" t="str">
            <v/>
          </cell>
          <cell r="D932" t="str">
            <v/>
          </cell>
          <cell r="E932">
            <v>45989</v>
          </cell>
        </row>
        <row r="933">
          <cell r="A933" t="str">
            <v>RND8C43</v>
          </cell>
          <cell r="B933">
            <v>45981</v>
          </cell>
          <cell r="C933" t="str">
            <v/>
          </cell>
          <cell r="D933" t="str">
            <v/>
          </cell>
          <cell r="E933">
            <v>45981</v>
          </cell>
        </row>
        <row r="934">
          <cell r="A934" t="str">
            <v>RND8C47</v>
          </cell>
          <cell r="B934">
            <v>45989</v>
          </cell>
          <cell r="C934">
            <v>45989</v>
          </cell>
          <cell r="D934" t="str">
            <v/>
          </cell>
          <cell r="E934">
            <v>45989</v>
          </cell>
        </row>
        <row r="935">
          <cell r="A935" t="str">
            <v>RND8C50</v>
          </cell>
          <cell r="B935" t="str">
            <v xml:space="preserve"> </v>
          </cell>
          <cell r="C935" t="str">
            <v/>
          </cell>
          <cell r="D935" t="str">
            <v/>
          </cell>
          <cell r="E935">
            <v>0</v>
          </cell>
        </row>
        <row r="936">
          <cell r="A936" t="str">
            <v>RND8C52</v>
          </cell>
          <cell r="B936">
            <v>45869</v>
          </cell>
          <cell r="C936" t="str">
            <v/>
          </cell>
          <cell r="D936" t="str">
            <v/>
          </cell>
          <cell r="E936">
            <v>45869</v>
          </cell>
        </row>
        <row r="937">
          <cell r="A937" t="str">
            <v>RND8C53</v>
          </cell>
          <cell r="B937">
            <v>45977</v>
          </cell>
          <cell r="C937" t="str">
            <v/>
          </cell>
          <cell r="D937" t="str">
            <v/>
          </cell>
          <cell r="E937">
            <v>45977</v>
          </cell>
        </row>
        <row r="938">
          <cell r="A938" t="str">
            <v>RND8C57</v>
          </cell>
          <cell r="B938">
            <v>45989</v>
          </cell>
          <cell r="C938">
            <v>45989</v>
          </cell>
          <cell r="D938" t="str">
            <v/>
          </cell>
          <cell r="E938">
            <v>45989</v>
          </cell>
        </row>
        <row r="939">
          <cell r="A939" t="str">
            <v>RNE0J05</v>
          </cell>
          <cell r="B939" t="str">
            <v xml:space="preserve"> </v>
          </cell>
          <cell r="C939" t="str">
            <v/>
          </cell>
          <cell r="D939" t="str">
            <v/>
          </cell>
          <cell r="E939">
            <v>0</v>
          </cell>
        </row>
        <row r="940">
          <cell r="A940" t="str">
            <v>RNE0J07</v>
          </cell>
          <cell r="B940">
            <v>45987</v>
          </cell>
          <cell r="C940" t="str">
            <v/>
          </cell>
          <cell r="D940" t="str">
            <v/>
          </cell>
          <cell r="E940">
            <v>45987</v>
          </cell>
        </row>
        <row r="941">
          <cell r="A941" t="str">
            <v>RNE0J17</v>
          </cell>
          <cell r="B941">
            <v>45989</v>
          </cell>
          <cell r="C941">
            <v>45989</v>
          </cell>
          <cell r="D941" t="str">
            <v/>
          </cell>
          <cell r="E941">
            <v>45989</v>
          </cell>
        </row>
        <row r="942">
          <cell r="A942" t="str">
            <v>RNE4J02</v>
          </cell>
          <cell r="B942" t="str">
            <v xml:space="preserve"> </v>
          </cell>
          <cell r="C942" t="str">
            <v/>
          </cell>
          <cell r="D942" t="str">
            <v/>
          </cell>
          <cell r="E942">
            <v>0</v>
          </cell>
        </row>
        <row r="943">
          <cell r="A943" t="str">
            <v>RNE4J04</v>
          </cell>
          <cell r="B943">
            <v>45974</v>
          </cell>
          <cell r="C943" t="str">
            <v/>
          </cell>
          <cell r="D943" t="str">
            <v/>
          </cell>
          <cell r="E943">
            <v>45974</v>
          </cell>
        </row>
        <row r="944">
          <cell r="A944" t="str">
            <v>RNE4J06</v>
          </cell>
          <cell r="B944" t="str">
            <v xml:space="preserve"> </v>
          </cell>
          <cell r="C944" t="str">
            <v/>
          </cell>
          <cell r="D944" t="str">
            <v/>
          </cell>
          <cell r="E944">
            <v>0</v>
          </cell>
        </row>
        <row r="945">
          <cell r="A945" t="str">
            <v>RNE4J09</v>
          </cell>
          <cell r="B945">
            <v>45808</v>
          </cell>
          <cell r="C945" t="str">
            <v/>
          </cell>
          <cell r="D945" t="str">
            <v/>
          </cell>
          <cell r="E945">
            <v>45808</v>
          </cell>
        </row>
        <row r="946">
          <cell r="A946" t="str">
            <v>RNE7C71</v>
          </cell>
          <cell r="B946">
            <v>45989</v>
          </cell>
          <cell r="C946">
            <v>45989</v>
          </cell>
          <cell r="D946" t="str">
            <v/>
          </cell>
          <cell r="E946">
            <v>45989</v>
          </cell>
        </row>
        <row r="947">
          <cell r="A947" t="str">
            <v>RNE7C74</v>
          </cell>
          <cell r="B947">
            <v>45989</v>
          </cell>
          <cell r="C947">
            <v>45989</v>
          </cell>
          <cell r="D947" t="str">
            <v/>
          </cell>
          <cell r="E947">
            <v>45989</v>
          </cell>
        </row>
        <row r="948">
          <cell r="A948" t="str">
            <v>RNE7C77</v>
          </cell>
          <cell r="B948">
            <v>45989</v>
          </cell>
          <cell r="C948" t="str">
            <v/>
          </cell>
          <cell r="D948" t="str">
            <v/>
          </cell>
          <cell r="E948">
            <v>45989</v>
          </cell>
        </row>
        <row r="949">
          <cell r="A949" t="str">
            <v>RNE7C78</v>
          </cell>
          <cell r="B949">
            <v>45723</v>
          </cell>
          <cell r="C949" t="str">
            <v/>
          </cell>
          <cell r="D949" t="str">
            <v/>
          </cell>
          <cell r="E949">
            <v>45723</v>
          </cell>
        </row>
        <row r="950">
          <cell r="A950" t="str">
            <v>RNE7C83</v>
          </cell>
          <cell r="B950">
            <v>45989</v>
          </cell>
          <cell r="C950">
            <v>45989</v>
          </cell>
          <cell r="D950" t="str">
            <v/>
          </cell>
          <cell r="E950">
            <v>45989</v>
          </cell>
        </row>
        <row r="951">
          <cell r="A951" t="str">
            <v>RNF2B68</v>
          </cell>
          <cell r="B951">
            <v>45974</v>
          </cell>
          <cell r="C951" t="str">
            <v/>
          </cell>
          <cell r="D951" t="str">
            <v/>
          </cell>
          <cell r="E951">
            <v>45974</v>
          </cell>
        </row>
        <row r="952">
          <cell r="A952" t="str">
            <v>RNF2B69</v>
          </cell>
          <cell r="B952" t="str">
            <v xml:space="preserve"> </v>
          </cell>
          <cell r="C952" t="str">
            <v/>
          </cell>
          <cell r="D952" t="str">
            <v/>
          </cell>
          <cell r="E952">
            <v>0</v>
          </cell>
        </row>
        <row r="953">
          <cell r="A953" t="str">
            <v>RNF2B74</v>
          </cell>
          <cell r="B953">
            <v>45959</v>
          </cell>
          <cell r="C953" t="str">
            <v/>
          </cell>
          <cell r="D953" t="str">
            <v/>
          </cell>
          <cell r="E953">
            <v>45959</v>
          </cell>
        </row>
        <row r="954">
          <cell r="A954" t="str">
            <v>RNF2B76</v>
          </cell>
          <cell r="B954">
            <v>45989</v>
          </cell>
          <cell r="C954">
            <v>45989</v>
          </cell>
          <cell r="D954" t="str">
            <v/>
          </cell>
          <cell r="E954">
            <v>45989</v>
          </cell>
        </row>
        <row r="955">
          <cell r="A955" t="str">
            <v>RNF2B77</v>
          </cell>
          <cell r="B955">
            <v>45910</v>
          </cell>
          <cell r="C955" t="str">
            <v/>
          </cell>
          <cell r="D955" t="str">
            <v/>
          </cell>
          <cell r="E955">
            <v>45910</v>
          </cell>
        </row>
        <row r="956">
          <cell r="A956" t="str">
            <v>RNF2B88</v>
          </cell>
          <cell r="B956">
            <v>45989</v>
          </cell>
          <cell r="C956">
            <v>45989</v>
          </cell>
          <cell r="D956" t="str">
            <v/>
          </cell>
          <cell r="E956">
            <v>45989</v>
          </cell>
        </row>
        <row r="957">
          <cell r="A957" t="str">
            <v>RNF2B91</v>
          </cell>
          <cell r="B957">
            <v>45897</v>
          </cell>
          <cell r="C957" t="str">
            <v/>
          </cell>
          <cell r="D957" t="str">
            <v/>
          </cell>
          <cell r="E957">
            <v>45897</v>
          </cell>
        </row>
        <row r="958">
          <cell r="A958" t="str">
            <v>RNF2B95</v>
          </cell>
          <cell r="B958">
            <v>45989</v>
          </cell>
          <cell r="C958">
            <v>45989</v>
          </cell>
          <cell r="D958" t="str">
            <v/>
          </cell>
          <cell r="E958">
            <v>45989</v>
          </cell>
        </row>
        <row r="959">
          <cell r="A959" t="str">
            <v>RNF2B98</v>
          </cell>
          <cell r="B959">
            <v>45929</v>
          </cell>
          <cell r="C959" t="str">
            <v/>
          </cell>
          <cell r="D959" t="str">
            <v/>
          </cell>
          <cell r="E959">
            <v>45929</v>
          </cell>
        </row>
        <row r="960">
          <cell r="A960" t="str">
            <v>RNF2B99</v>
          </cell>
          <cell r="B960">
            <v>45983</v>
          </cell>
          <cell r="C960" t="str">
            <v/>
          </cell>
          <cell r="D960" t="str">
            <v/>
          </cell>
          <cell r="E960">
            <v>45983</v>
          </cell>
        </row>
        <row r="961">
          <cell r="A961" t="str">
            <v>RNF2C01</v>
          </cell>
          <cell r="B961">
            <v>45984</v>
          </cell>
          <cell r="C961" t="str">
            <v/>
          </cell>
          <cell r="D961" t="str">
            <v/>
          </cell>
          <cell r="E961">
            <v>45984</v>
          </cell>
        </row>
        <row r="962">
          <cell r="A962" t="str">
            <v>RNF3F34</v>
          </cell>
          <cell r="B962" t="str">
            <v xml:space="preserve"> </v>
          </cell>
          <cell r="C962" t="str">
            <v/>
          </cell>
          <cell r="D962" t="str">
            <v/>
          </cell>
          <cell r="E962">
            <v>0</v>
          </cell>
        </row>
        <row r="963">
          <cell r="A963" t="str">
            <v>RNF6H36</v>
          </cell>
          <cell r="B963">
            <v>45978</v>
          </cell>
          <cell r="C963" t="str">
            <v/>
          </cell>
          <cell r="D963" t="str">
            <v/>
          </cell>
          <cell r="E963">
            <v>45978</v>
          </cell>
        </row>
        <row r="964">
          <cell r="A964" t="str">
            <v>RNF6H38</v>
          </cell>
          <cell r="B964" t="str">
            <v xml:space="preserve"> </v>
          </cell>
          <cell r="C964" t="str">
            <v/>
          </cell>
          <cell r="D964" t="str">
            <v/>
          </cell>
          <cell r="E964">
            <v>0</v>
          </cell>
        </row>
        <row r="965">
          <cell r="A965" t="str">
            <v>RNF6H39</v>
          </cell>
          <cell r="B965">
            <v>45988</v>
          </cell>
          <cell r="C965">
            <v>45989</v>
          </cell>
          <cell r="D965" t="str">
            <v/>
          </cell>
          <cell r="E965">
            <v>45989</v>
          </cell>
        </row>
        <row r="966">
          <cell r="A966" t="str">
            <v>RNF6H47</v>
          </cell>
          <cell r="B966">
            <v>45989</v>
          </cell>
          <cell r="C966">
            <v>45989</v>
          </cell>
          <cell r="D966" t="str">
            <v/>
          </cell>
          <cell r="E966">
            <v>45989</v>
          </cell>
        </row>
        <row r="967">
          <cell r="A967" t="str">
            <v>RNG4F37</v>
          </cell>
          <cell r="B967">
            <v>45782</v>
          </cell>
          <cell r="C967" t="str">
            <v/>
          </cell>
          <cell r="D967" t="str">
            <v/>
          </cell>
          <cell r="E967">
            <v>45782</v>
          </cell>
        </row>
        <row r="968">
          <cell r="A968" t="str">
            <v>RNG4F48</v>
          </cell>
          <cell r="B968">
            <v>45988</v>
          </cell>
          <cell r="C968">
            <v>45989</v>
          </cell>
          <cell r="D968" t="str">
            <v/>
          </cell>
          <cell r="E968">
            <v>45989</v>
          </cell>
        </row>
        <row r="969">
          <cell r="A969" t="str">
            <v>RNG4F49</v>
          </cell>
          <cell r="B969">
            <v>45989</v>
          </cell>
          <cell r="C969">
            <v>45989</v>
          </cell>
          <cell r="D969" t="str">
            <v/>
          </cell>
          <cell r="E969">
            <v>45989</v>
          </cell>
        </row>
        <row r="970">
          <cell r="A970" t="str">
            <v>RNG4F57</v>
          </cell>
          <cell r="B970" t="str">
            <v xml:space="preserve"> </v>
          </cell>
          <cell r="C970" t="str">
            <v/>
          </cell>
          <cell r="D970" t="str">
            <v/>
          </cell>
          <cell r="E970">
            <v>0</v>
          </cell>
        </row>
        <row r="971">
          <cell r="A971" t="str">
            <v>RNG4F63</v>
          </cell>
          <cell r="B971">
            <v>45981</v>
          </cell>
          <cell r="C971" t="str">
            <v/>
          </cell>
          <cell r="D971" t="str">
            <v/>
          </cell>
          <cell r="E971">
            <v>45981</v>
          </cell>
        </row>
        <row r="972">
          <cell r="A972" t="str">
            <v>RNG5A15</v>
          </cell>
          <cell r="B972">
            <v>45735</v>
          </cell>
          <cell r="C972" t="str">
            <v/>
          </cell>
          <cell r="D972" t="str">
            <v/>
          </cell>
          <cell r="E972">
            <v>45735</v>
          </cell>
        </row>
        <row r="973">
          <cell r="A973" t="str">
            <v>RNG5A17</v>
          </cell>
          <cell r="B973">
            <v>45989</v>
          </cell>
          <cell r="C973">
            <v>45989</v>
          </cell>
          <cell r="D973" t="str">
            <v/>
          </cell>
          <cell r="E973">
            <v>45989</v>
          </cell>
        </row>
        <row r="974">
          <cell r="A974" t="str">
            <v>RNG5A18</v>
          </cell>
          <cell r="B974">
            <v>45752</v>
          </cell>
          <cell r="C974" t="str">
            <v/>
          </cell>
          <cell r="D974" t="str">
            <v/>
          </cell>
          <cell r="E974">
            <v>45752</v>
          </cell>
        </row>
        <row r="975">
          <cell r="A975" t="str">
            <v>RNG5A19</v>
          </cell>
          <cell r="B975">
            <v>45988</v>
          </cell>
          <cell r="C975">
            <v>45989</v>
          </cell>
          <cell r="D975" t="str">
            <v/>
          </cell>
          <cell r="E975">
            <v>45989</v>
          </cell>
        </row>
        <row r="976">
          <cell r="A976" t="str">
            <v>RNG5A20</v>
          </cell>
          <cell r="B976">
            <v>45989</v>
          </cell>
          <cell r="C976">
            <v>45989</v>
          </cell>
          <cell r="D976" t="str">
            <v/>
          </cell>
          <cell r="E976">
            <v>45989</v>
          </cell>
        </row>
        <row r="977">
          <cell r="A977" t="str">
            <v>RNH7H58</v>
          </cell>
          <cell r="B977">
            <v>45913</v>
          </cell>
          <cell r="C977">
            <v>45989</v>
          </cell>
          <cell r="D977" t="str">
            <v/>
          </cell>
          <cell r="E977">
            <v>45989</v>
          </cell>
        </row>
        <row r="978">
          <cell r="A978" t="str">
            <v>RNI1I29</v>
          </cell>
          <cell r="B978">
            <v>45857</v>
          </cell>
          <cell r="C978" t="str">
            <v/>
          </cell>
          <cell r="D978" t="str">
            <v/>
          </cell>
          <cell r="E978">
            <v>45857</v>
          </cell>
        </row>
        <row r="979">
          <cell r="A979" t="str">
            <v>RNI1I30</v>
          </cell>
          <cell r="B979">
            <v>45857</v>
          </cell>
          <cell r="C979" t="str">
            <v/>
          </cell>
          <cell r="D979" t="str">
            <v/>
          </cell>
          <cell r="E979">
            <v>45857</v>
          </cell>
        </row>
        <row r="980">
          <cell r="A980" t="str">
            <v>RNI1I31</v>
          </cell>
          <cell r="B980">
            <v>45860</v>
          </cell>
          <cell r="C980" t="str">
            <v/>
          </cell>
          <cell r="D980" t="str">
            <v/>
          </cell>
          <cell r="E980">
            <v>45860</v>
          </cell>
        </row>
        <row r="981">
          <cell r="A981" t="str">
            <v>RNJ9C31</v>
          </cell>
          <cell r="B981">
            <v>45956</v>
          </cell>
          <cell r="C981" t="str">
            <v/>
          </cell>
          <cell r="D981" t="str">
            <v/>
          </cell>
          <cell r="E981">
            <v>45956</v>
          </cell>
        </row>
        <row r="982">
          <cell r="A982" t="str">
            <v>RNJ9C32</v>
          </cell>
          <cell r="B982">
            <v>45988</v>
          </cell>
          <cell r="C982" t="str">
            <v/>
          </cell>
          <cell r="D982" t="str">
            <v/>
          </cell>
          <cell r="E982">
            <v>45988</v>
          </cell>
        </row>
        <row r="983">
          <cell r="A983" t="str">
            <v>RNJ9C33</v>
          </cell>
          <cell r="B983">
            <v>45969</v>
          </cell>
          <cell r="C983" t="str">
            <v/>
          </cell>
          <cell r="D983" t="str">
            <v/>
          </cell>
          <cell r="E983">
            <v>45969</v>
          </cell>
        </row>
        <row r="984">
          <cell r="A984" t="str">
            <v>RNJ9C35</v>
          </cell>
          <cell r="B984">
            <v>45946</v>
          </cell>
          <cell r="C984" t="str">
            <v/>
          </cell>
          <cell r="D984" t="str">
            <v/>
          </cell>
          <cell r="E984">
            <v>45946</v>
          </cell>
        </row>
        <row r="985">
          <cell r="A985" t="str">
            <v>RNJ9C36</v>
          </cell>
          <cell r="B985">
            <v>45987</v>
          </cell>
          <cell r="C985" t="str">
            <v/>
          </cell>
          <cell r="D985" t="str">
            <v/>
          </cell>
          <cell r="E985">
            <v>45987</v>
          </cell>
        </row>
        <row r="986">
          <cell r="A986" t="str">
            <v>RNJ9C37</v>
          </cell>
          <cell r="B986">
            <v>45988</v>
          </cell>
          <cell r="C986" t="str">
            <v/>
          </cell>
          <cell r="D986" t="str">
            <v/>
          </cell>
          <cell r="E986">
            <v>45988</v>
          </cell>
        </row>
        <row r="987">
          <cell r="A987" t="str">
            <v>RNJ9C38</v>
          </cell>
          <cell r="B987">
            <v>45989</v>
          </cell>
          <cell r="C987">
            <v>45989</v>
          </cell>
          <cell r="D987" t="str">
            <v/>
          </cell>
          <cell r="E987">
            <v>45989</v>
          </cell>
        </row>
        <row r="988">
          <cell r="A988" t="str">
            <v>RNJ9C39</v>
          </cell>
          <cell r="B988">
            <v>45948</v>
          </cell>
          <cell r="C988" t="str">
            <v/>
          </cell>
          <cell r="D988" t="str">
            <v/>
          </cell>
          <cell r="E988">
            <v>45948</v>
          </cell>
        </row>
        <row r="989">
          <cell r="A989" t="str">
            <v>RNJ9C48</v>
          </cell>
          <cell r="B989">
            <v>45989</v>
          </cell>
          <cell r="C989">
            <v>45989</v>
          </cell>
          <cell r="D989" t="str">
            <v/>
          </cell>
          <cell r="E989">
            <v>45989</v>
          </cell>
        </row>
        <row r="990">
          <cell r="A990" t="str">
            <v>RNJ9C61</v>
          </cell>
          <cell r="B990">
            <v>45758</v>
          </cell>
          <cell r="C990" t="str">
            <v/>
          </cell>
          <cell r="D990" t="str">
            <v/>
          </cell>
          <cell r="E990">
            <v>45758</v>
          </cell>
        </row>
        <row r="991">
          <cell r="A991" t="str">
            <v>RNJ9C65</v>
          </cell>
          <cell r="B991">
            <v>45988</v>
          </cell>
          <cell r="C991">
            <v>45989</v>
          </cell>
          <cell r="D991" t="str">
            <v/>
          </cell>
          <cell r="E991">
            <v>45989</v>
          </cell>
        </row>
        <row r="992">
          <cell r="A992" t="str">
            <v>RNJ9C66</v>
          </cell>
          <cell r="B992">
            <v>45916</v>
          </cell>
          <cell r="C992" t="str">
            <v/>
          </cell>
          <cell r="D992" t="str">
            <v/>
          </cell>
          <cell r="E992">
            <v>45916</v>
          </cell>
        </row>
        <row r="993">
          <cell r="A993" t="str">
            <v>RNJ9C72</v>
          </cell>
          <cell r="B993">
            <v>45988</v>
          </cell>
          <cell r="C993">
            <v>45989</v>
          </cell>
          <cell r="D993" t="str">
            <v/>
          </cell>
          <cell r="E993">
            <v>45989</v>
          </cell>
        </row>
        <row r="994">
          <cell r="A994" t="str">
            <v>RNJ9C77</v>
          </cell>
          <cell r="B994">
            <v>45989</v>
          </cell>
          <cell r="C994">
            <v>45989</v>
          </cell>
          <cell r="D994" t="str">
            <v/>
          </cell>
          <cell r="E994">
            <v>45989</v>
          </cell>
        </row>
        <row r="995">
          <cell r="A995" t="str">
            <v>RNJ9C78</v>
          </cell>
          <cell r="B995">
            <v>45988</v>
          </cell>
          <cell r="C995">
            <v>45989</v>
          </cell>
          <cell r="D995" t="str">
            <v/>
          </cell>
          <cell r="E995">
            <v>45989</v>
          </cell>
        </row>
        <row r="996">
          <cell r="A996" t="str">
            <v>RNJ9C80</v>
          </cell>
          <cell r="B996">
            <v>45989</v>
          </cell>
          <cell r="C996">
            <v>45989</v>
          </cell>
          <cell r="D996" t="str">
            <v/>
          </cell>
          <cell r="E996">
            <v>45989</v>
          </cell>
        </row>
        <row r="997">
          <cell r="A997" t="str">
            <v>RNJ9C84</v>
          </cell>
          <cell r="B997">
            <v>45778</v>
          </cell>
          <cell r="C997" t="str">
            <v/>
          </cell>
          <cell r="D997" t="str">
            <v/>
          </cell>
          <cell r="E997">
            <v>45778</v>
          </cell>
        </row>
        <row r="998">
          <cell r="A998" t="str">
            <v>RNJ9C85</v>
          </cell>
          <cell r="B998" t="str">
            <v xml:space="preserve"> </v>
          </cell>
          <cell r="C998" t="str">
            <v/>
          </cell>
          <cell r="D998" t="str">
            <v/>
          </cell>
          <cell r="E998">
            <v>0</v>
          </cell>
        </row>
        <row r="999">
          <cell r="A999" t="str">
            <v>RNJ9C86</v>
          </cell>
          <cell r="B999">
            <v>45988</v>
          </cell>
          <cell r="C999">
            <v>45989</v>
          </cell>
          <cell r="D999" t="str">
            <v/>
          </cell>
          <cell r="E999">
            <v>45989</v>
          </cell>
        </row>
        <row r="1000">
          <cell r="A1000" t="str">
            <v>RNJ9C87</v>
          </cell>
          <cell r="B1000">
            <v>45988</v>
          </cell>
          <cell r="C1000">
            <v>45989</v>
          </cell>
          <cell r="D1000" t="str">
            <v/>
          </cell>
          <cell r="E1000">
            <v>45989</v>
          </cell>
        </row>
        <row r="1001">
          <cell r="A1001" t="str">
            <v>RNJ9C88</v>
          </cell>
          <cell r="B1001">
            <v>45985</v>
          </cell>
          <cell r="C1001" t="str">
            <v/>
          </cell>
          <cell r="D1001" t="str">
            <v/>
          </cell>
          <cell r="E1001">
            <v>45985</v>
          </cell>
        </row>
        <row r="1002">
          <cell r="A1002" t="str">
            <v>RNJ9C89</v>
          </cell>
          <cell r="B1002">
            <v>45982</v>
          </cell>
          <cell r="C1002" t="str">
            <v/>
          </cell>
          <cell r="D1002" t="str">
            <v/>
          </cell>
          <cell r="E1002">
            <v>45982</v>
          </cell>
        </row>
        <row r="1003">
          <cell r="A1003" t="str">
            <v>RNJ9C90</v>
          </cell>
          <cell r="B1003">
            <v>45989</v>
          </cell>
          <cell r="C1003">
            <v>45989</v>
          </cell>
          <cell r="D1003" t="str">
            <v/>
          </cell>
          <cell r="E1003">
            <v>45989</v>
          </cell>
        </row>
        <row r="1004">
          <cell r="A1004" t="str">
            <v>RNJ9C91</v>
          </cell>
          <cell r="B1004">
            <v>45989</v>
          </cell>
          <cell r="C1004">
            <v>45989</v>
          </cell>
          <cell r="D1004" t="str">
            <v/>
          </cell>
          <cell r="E1004">
            <v>45989</v>
          </cell>
        </row>
        <row r="1005">
          <cell r="A1005" t="str">
            <v>RNJ9C94</v>
          </cell>
          <cell r="B1005">
            <v>45846</v>
          </cell>
          <cell r="C1005" t="str">
            <v/>
          </cell>
          <cell r="D1005" t="str">
            <v/>
          </cell>
          <cell r="E1005">
            <v>45846</v>
          </cell>
        </row>
        <row r="1006">
          <cell r="A1006" t="str">
            <v>RNJ9C95</v>
          </cell>
          <cell r="B1006">
            <v>45988</v>
          </cell>
          <cell r="C1006">
            <v>45989</v>
          </cell>
          <cell r="D1006" t="str">
            <v/>
          </cell>
          <cell r="E1006">
            <v>45989</v>
          </cell>
        </row>
        <row r="1007">
          <cell r="A1007" t="str">
            <v>RNJ9C96</v>
          </cell>
          <cell r="B1007">
            <v>45989</v>
          </cell>
          <cell r="C1007" t="str">
            <v/>
          </cell>
          <cell r="D1007" t="str">
            <v/>
          </cell>
          <cell r="E1007">
            <v>45989</v>
          </cell>
        </row>
        <row r="1008">
          <cell r="A1008" t="str">
            <v>RNJ9C97</v>
          </cell>
          <cell r="B1008">
            <v>45966</v>
          </cell>
          <cell r="C1008" t="str">
            <v/>
          </cell>
          <cell r="D1008" t="str">
            <v/>
          </cell>
          <cell r="E1008">
            <v>45966</v>
          </cell>
        </row>
        <row r="1009">
          <cell r="A1009" t="str">
            <v>RNJ9D01</v>
          </cell>
          <cell r="B1009">
            <v>45694</v>
          </cell>
          <cell r="C1009" t="str">
            <v/>
          </cell>
          <cell r="D1009" t="str">
            <v/>
          </cell>
          <cell r="E1009">
            <v>45694</v>
          </cell>
        </row>
        <row r="1010">
          <cell r="A1010" t="str">
            <v>RNJ9D02</v>
          </cell>
          <cell r="B1010">
            <v>45842</v>
          </cell>
          <cell r="C1010" t="str">
            <v/>
          </cell>
          <cell r="D1010" t="str">
            <v/>
          </cell>
          <cell r="E1010">
            <v>45842</v>
          </cell>
        </row>
        <row r="1011">
          <cell r="A1011" t="str">
            <v>RNJ9D03</v>
          </cell>
          <cell r="B1011">
            <v>45846</v>
          </cell>
          <cell r="C1011" t="str">
            <v/>
          </cell>
          <cell r="D1011" t="str">
            <v/>
          </cell>
          <cell r="E1011">
            <v>45846</v>
          </cell>
        </row>
        <row r="1012">
          <cell r="A1012" t="str">
            <v>RNJ9D08</v>
          </cell>
          <cell r="B1012">
            <v>45988</v>
          </cell>
          <cell r="C1012">
            <v>45989</v>
          </cell>
          <cell r="D1012" t="str">
            <v/>
          </cell>
          <cell r="E1012">
            <v>45989</v>
          </cell>
        </row>
        <row r="1013">
          <cell r="A1013" t="str">
            <v>RNJ9D10</v>
          </cell>
          <cell r="B1013">
            <v>45989</v>
          </cell>
          <cell r="C1013">
            <v>45989</v>
          </cell>
          <cell r="D1013" t="str">
            <v/>
          </cell>
          <cell r="E1013">
            <v>45989</v>
          </cell>
        </row>
        <row r="1014">
          <cell r="A1014" t="str">
            <v>RNJ9D11</v>
          </cell>
          <cell r="B1014" t="str">
            <v xml:space="preserve"> </v>
          </cell>
          <cell r="C1014" t="str">
            <v/>
          </cell>
          <cell r="D1014" t="str">
            <v/>
          </cell>
          <cell r="E1014">
            <v>0</v>
          </cell>
        </row>
        <row r="1015">
          <cell r="A1015" t="str">
            <v>RNJ9D13</v>
          </cell>
          <cell r="B1015" t="str">
            <v xml:space="preserve"> </v>
          </cell>
          <cell r="C1015" t="str">
            <v/>
          </cell>
          <cell r="D1015" t="str">
            <v/>
          </cell>
          <cell r="E1015">
            <v>0</v>
          </cell>
        </row>
        <row r="1016">
          <cell r="A1016" t="str">
            <v>RNJ9D14</v>
          </cell>
          <cell r="B1016">
            <v>45870</v>
          </cell>
          <cell r="C1016" t="str">
            <v/>
          </cell>
          <cell r="D1016" t="str">
            <v/>
          </cell>
          <cell r="E1016">
            <v>45870</v>
          </cell>
        </row>
        <row r="1017">
          <cell r="A1017" t="str">
            <v>RNJ9D15</v>
          </cell>
          <cell r="B1017">
            <v>45967</v>
          </cell>
          <cell r="C1017" t="str">
            <v/>
          </cell>
          <cell r="D1017" t="str">
            <v/>
          </cell>
          <cell r="E1017">
            <v>45967</v>
          </cell>
        </row>
        <row r="1018">
          <cell r="A1018" t="str">
            <v>RNJ9D16</v>
          </cell>
          <cell r="B1018">
            <v>45988</v>
          </cell>
          <cell r="C1018">
            <v>45989</v>
          </cell>
          <cell r="D1018" t="str">
            <v/>
          </cell>
          <cell r="E1018">
            <v>45989</v>
          </cell>
        </row>
        <row r="1019">
          <cell r="A1019" t="str">
            <v>RNJ9D18</v>
          </cell>
          <cell r="B1019">
            <v>45968</v>
          </cell>
          <cell r="C1019" t="str">
            <v/>
          </cell>
          <cell r="D1019" t="str">
            <v/>
          </cell>
          <cell r="E1019">
            <v>45968</v>
          </cell>
        </row>
        <row r="1020">
          <cell r="A1020" t="str">
            <v>RNJ9D25</v>
          </cell>
          <cell r="B1020">
            <v>45868</v>
          </cell>
          <cell r="C1020" t="str">
            <v/>
          </cell>
          <cell r="D1020" t="str">
            <v/>
          </cell>
          <cell r="E1020">
            <v>45868</v>
          </cell>
        </row>
        <row r="1021">
          <cell r="A1021" t="str">
            <v>RNJ9D30</v>
          </cell>
          <cell r="B1021">
            <v>45989</v>
          </cell>
          <cell r="C1021">
            <v>45989</v>
          </cell>
          <cell r="D1021" t="str">
            <v/>
          </cell>
          <cell r="E1021">
            <v>45989</v>
          </cell>
        </row>
        <row r="1022">
          <cell r="A1022" t="str">
            <v>RNJ9D32</v>
          </cell>
          <cell r="B1022">
            <v>45813</v>
          </cell>
          <cell r="C1022" t="str">
            <v/>
          </cell>
          <cell r="D1022" t="str">
            <v/>
          </cell>
          <cell r="E1022">
            <v>45813</v>
          </cell>
        </row>
        <row r="1023">
          <cell r="A1023" t="str">
            <v>RNJ9D39</v>
          </cell>
          <cell r="B1023">
            <v>45989</v>
          </cell>
          <cell r="C1023">
            <v>45989</v>
          </cell>
          <cell r="D1023" t="str">
            <v/>
          </cell>
          <cell r="E1023">
            <v>45989</v>
          </cell>
        </row>
        <row r="1024">
          <cell r="A1024" t="str">
            <v>RNJ9D40</v>
          </cell>
          <cell r="B1024">
            <v>45989</v>
          </cell>
          <cell r="C1024">
            <v>45989</v>
          </cell>
          <cell r="D1024" t="str">
            <v/>
          </cell>
          <cell r="E1024">
            <v>45989</v>
          </cell>
        </row>
        <row r="1025">
          <cell r="A1025" t="str">
            <v>RNJ9D50</v>
          </cell>
          <cell r="B1025">
            <v>45986</v>
          </cell>
          <cell r="C1025" t="str">
            <v/>
          </cell>
          <cell r="D1025" t="str">
            <v/>
          </cell>
          <cell r="E1025">
            <v>45986</v>
          </cell>
        </row>
        <row r="1026">
          <cell r="A1026" t="str">
            <v>RNJ9D51</v>
          </cell>
          <cell r="B1026">
            <v>45679</v>
          </cell>
          <cell r="C1026" t="str">
            <v/>
          </cell>
          <cell r="D1026" t="str">
            <v/>
          </cell>
          <cell r="E1026">
            <v>45679</v>
          </cell>
        </row>
        <row r="1027">
          <cell r="A1027" t="str">
            <v>RNJ9D53</v>
          </cell>
          <cell r="B1027">
            <v>45923</v>
          </cell>
          <cell r="C1027" t="str">
            <v/>
          </cell>
          <cell r="D1027" t="str">
            <v/>
          </cell>
          <cell r="E1027">
            <v>45923</v>
          </cell>
        </row>
        <row r="1028">
          <cell r="A1028" t="str">
            <v>RNJ9D54</v>
          </cell>
          <cell r="B1028">
            <v>45914</v>
          </cell>
          <cell r="C1028" t="str">
            <v/>
          </cell>
          <cell r="D1028" t="str">
            <v/>
          </cell>
          <cell r="E1028">
            <v>45914</v>
          </cell>
        </row>
        <row r="1029">
          <cell r="A1029" t="str">
            <v>RNJ9D58</v>
          </cell>
          <cell r="B1029">
            <v>45988</v>
          </cell>
          <cell r="C1029">
            <v>45989</v>
          </cell>
          <cell r="D1029" t="str">
            <v/>
          </cell>
          <cell r="E1029">
            <v>45989</v>
          </cell>
        </row>
        <row r="1030">
          <cell r="A1030" t="str">
            <v>RNJ9D62</v>
          </cell>
          <cell r="B1030" t="str">
            <v xml:space="preserve"> </v>
          </cell>
          <cell r="C1030" t="str">
            <v/>
          </cell>
          <cell r="D1030" t="str">
            <v/>
          </cell>
          <cell r="E1030">
            <v>0</v>
          </cell>
        </row>
        <row r="1031">
          <cell r="A1031" t="str">
            <v>RNJ9D65</v>
          </cell>
          <cell r="B1031">
            <v>45939</v>
          </cell>
          <cell r="C1031" t="str">
            <v/>
          </cell>
          <cell r="D1031" t="str">
            <v/>
          </cell>
          <cell r="E1031">
            <v>45939</v>
          </cell>
        </row>
        <row r="1032">
          <cell r="A1032" t="str">
            <v>RNN0C08</v>
          </cell>
          <cell r="B1032">
            <v>45957</v>
          </cell>
          <cell r="C1032" t="str">
            <v/>
          </cell>
          <cell r="D1032" t="str">
            <v/>
          </cell>
          <cell r="E1032">
            <v>45957</v>
          </cell>
        </row>
        <row r="1033">
          <cell r="A1033" t="str">
            <v>RNN0C13</v>
          </cell>
          <cell r="B1033">
            <v>45820</v>
          </cell>
          <cell r="C1033" t="str">
            <v/>
          </cell>
          <cell r="D1033" t="str">
            <v/>
          </cell>
          <cell r="E1033">
            <v>45820</v>
          </cell>
        </row>
        <row r="1034">
          <cell r="A1034" t="str">
            <v>RNN0C18</v>
          </cell>
          <cell r="B1034">
            <v>45955</v>
          </cell>
          <cell r="C1034" t="str">
            <v/>
          </cell>
          <cell r="D1034" t="str">
            <v/>
          </cell>
          <cell r="E1034">
            <v>45955</v>
          </cell>
        </row>
        <row r="1035">
          <cell r="A1035" t="str">
            <v>RNN0C19</v>
          </cell>
          <cell r="B1035">
            <v>45925</v>
          </cell>
          <cell r="C1035" t="str">
            <v/>
          </cell>
          <cell r="D1035" t="str">
            <v/>
          </cell>
          <cell r="E1035">
            <v>45925</v>
          </cell>
        </row>
        <row r="1036">
          <cell r="A1036" t="str">
            <v>RNN0C20</v>
          </cell>
          <cell r="B1036">
            <v>45885</v>
          </cell>
          <cell r="C1036" t="str">
            <v/>
          </cell>
          <cell r="D1036" t="str">
            <v/>
          </cell>
          <cell r="E1036">
            <v>45885</v>
          </cell>
        </row>
        <row r="1037">
          <cell r="A1037" t="str">
            <v>RNN0C21</v>
          </cell>
          <cell r="B1037">
            <v>45901</v>
          </cell>
          <cell r="C1037" t="str">
            <v/>
          </cell>
          <cell r="D1037" t="str">
            <v/>
          </cell>
          <cell r="E1037">
            <v>45901</v>
          </cell>
        </row>
        <row r="1038">
          <cell r="A1038" t="str">
            <v>RNN0C24</v>
          </cell>
          <cell r="B1038">
            <v>45812</v>
          </cell>
          <cell r="C1038" t="str">
            <v/>
          </cell>
          <cell r="D1038" t="str">
            <v/>
          </cell>
          <cell r="E1038">
            <v>45812</v>
          </cell>
        </row>
        <row r="1039">
          <cell r="A1039" t="str">
            <v>RNN0C26</v>
          </cell>
          <cell r="B1039" t="str">
            <v xml:space="preserve"> </v>
          </cell>
          <cell r="C1039" t="str">
            <v/>
          </cell>
          <cell r="D1039" t="str">
            <v/>
          </cell>
          <cell r="E1039">
            <v>0</v>
          </cell>
        </row>
        <row r="1040">
          <cell r="A1040" t="str">
            <v>RNN3G80</v>
          </cell>
          <cell r="B1040">
            <v>45714</v>
          </cell>
          <cell r="C1040" t="str">
            <v/>
          </cell>
          <cell r="D1040" t="str">
            <v/>
          </cell>
          <cell r="E1040">
            <v>45714</v>
          </cell>
        </row>
        <row r="1041">
          <cell r="A1041" t="str">
            <v>RNN5I94</v>
          </cell>
          <cell r="B1041">
            <v>45843</v>
          </cell>
          <cell r="C1041" t="str">
            <v/>
          </cell>
          <cell r="D1041" t="str">
            <v/>
          </cell>
          <cell r="E1041">
            <v>45843</v>
          </cell>
        </row>
        <row r="1042">
          <cell r="A1042" t="str">
            <v>RNN6A68</v>
          </cell>
          <cell r="B1042" t="str">
            <v xml:space="preserve"> </v>
          </cell>
          <cell r="C1042" t="str">
            <v/>
          </cell>
          <cell r="D1042" t="str">
            <v/>
          </cell>
          <cell r="E1042">
            <v>0</v>
          </cell>
        </row>
        <row r="1043">
          <cell r="A1043" t="str">
            <v>RNN6A69</v>
          </cell>
          <cell r="B1043" t="str">
            <v xml:space="preserve"> </v>
          </cell>
          <cell r="C1043" t="str">
            <v/>
          </cell>
          <cell r="D1043" t="str">
            <v/>
          </cell>
          <cell r="E1043">
            <v>0</v>
          </cell>
        </row>
        <row r="1044">
          <cell r="A1044" t="str">
            <v>RNN6A71</v>
          </cell>
          <cell r="B1044">
            <v>45989</v>
          </cell>
          <cell r="C1044" t="str">
            <v/>
          </cell>
          <cell r="D1044" t="str">
            <v/>
          </cell>
          <cell r="E1044">
            <v>45989</v>
          </cell>
        </row>
        <row r="1045">
          <cell r="A1045" t="str">
            <v>RNP5E13</v>
          </cell>
          <cell r="B1045">
            <v>45757</v>
          </cell>
          <cell r="C1045" t="str">
            <v/>
          </cell>
          <cell r="D1045" t="str">
            <v/>
          </cell>
          <cell r="E1045">
            <v>45757</v>
          </cell>
        </row>
        <row r="1046">
          <cell r="A1046" t="str">
            <v>RNP6E41</v>
          </cell>
          <cell r="B1046">
            <v>45953</v>
          </cell>
          <cell r="C1046" t="str">
            <v/>
          </cell>
          <cell r="D1046" t="str">
            <v/>
          </cell>
          <cell r="E1046">
            <v>45953</v>
          </cell>
        </row>
        <row r="1047">
          <cell r="A1047" t="str">
            <v>RNP6E43</v>
          </cell>
          <cell r="B1047">
            <v>45986</v>
          </cell>
          <cell r="C1047" t="str">
            <v/>
          </cell>
          <cell r="D1047" t="str">
            <v/>
          </cell>
          <cell r="E1047">
            <v>45986</v>
          </cell>
        </row>
        <row r="1048">
          <cell r="A1048" t="str">
            <v>RNP6E44</v>
          </cell>
          <cell r="B1048">
            <v>45810</v>
          </cell>
          <cell r="C1048" t="str">
            <v/>
          </cell>
          <cell r="D1048" t="str">
            <v/>
          </cell>
          <cell r="E1048">
            <v>45810</v>
          </cell>
        </row>
        <row r="1049">
          <cell r="A1049" t="str">
            <v>RNP6E45</v>
          </cell>
          <cell r="B1049">
            <v>45818</v>
          </cell>
          <cell r="C1049" t="str">
            <v/>
          </cell>
          <cell r="D1049" t="str">
            <v/>
          </cell>
          <cell r="E1049">
            <v>45818</v>
          </cell>
        </row>
        <row r="1050">
          <cell r="A1050" t="str">
            <v>RNR5C62</v>
          </cell>
          <cell r="B1050">
            <v>45710</v>
          </cell>
          <cell r="C1050" t="str">
            <v/>
          </cell>
          <cell r="D1050" t="str">
            <v/>
          </cell>
          <cell r="E1050">
            <v>45710</v>
          </cell>
        </row>
        <row r="1051">
          <cell r="A1051" t="str">
            <v>RNR5C63</v>
          </cell>
          <cell r="B1051">
            <v>45988</v>
          </cell>
          <cell r="C1051">
            <v>45989</v>
          </cell>
          <cell r="D1051" t="str">
            <v/>
          </cell>
          <cell r="E1051">
            <v>45989</v>
          </cell>
        </row>
        <row r="1052">
          <cell r="A1052" t="str">
            <v>RNR5C64</v>
          </cell>
          <cell r="B1052">
            <v>45813</v>
          </cell>
          <cell r="C1052" t="str">
            <v/>
          </cell>
          <cell r="D1052" t="str">
            <v/>
          </cell>
          <cell r="E1052">
            <v>45813</v>
          </cell>
        </row>
        <row r="1053">
          <cell r="A1053" t="str">
            <v>RNR5C65</v>
          </cell>
          <cell r="B1053">
            <v>45869</v>
          </cell>
          <cell r="C1053" t="str">
            <v/>
          </cell>
          <cell r="D1053" t="str">
            <v/>
          </cell>
          <cell r="E1053">
            <v>45869</v>
          </cell>
        </row>
        <row r="1054">
          <cell r="A1054" t="str">
            <v>RNR5C66</v>
          </cell>
          <cell r="B1054">
            <v>45989</v>
          </cell>
          <cell r="C1054">
            <v>45989</v>
          </cell>
          <cell r="D1054" t="str">
            <v/>
          </cell>
          <cell r="E1054">
            <v>45989</v>
          </cell>
        </row>
        <row r="1055">
          <cell r="A1055" t="str">
            <v>RNU2B89</v>
          </cell>
          <cell r="B1055">
            <v>45874</v>
          </cell>
          <cell r="C1055" t="str">
            <v/>
          </cell>
          <cell r="D1055" t="str">
            <v/>
          </cell>
          <cell r="E1055">
            <v>45874</v>
          </cell>
        </row>
        <row r="1056">
          <cell r="A1056" t="str">
            <v>RNU2C11</v>
          </cell>
          <cell r="B1056">
            <v>45676</v>
          </cell>
          <cell r="C1056" t="str">
            <v/>
          </cell>
          <cell r="D1056" t="str">
            <v/>
          </cell>
          <cell r="E1056">
            <v>45676</v>
          </cell>
        </row>
        <row r="1057">
          <cell r="A1057" t="str">
            <v>RNU2C17</v>
          </cell>
          <cell r="B1057">
            <v>45810</v>
          </cell>
          <cell r="C1057" t="str">
            <v/>
          </cell>
          <cell r="D1057" t="str">
            <v/>
          </cell>
          <cell r="E1057">
            <v>45810</v>
          </cell>
        </row>
        <row r="1058">
          <cell r="A1058" t="str">
            <v>RNU2C25</v>
          </cell>
          <cell r="B1058">
            <v>45846</v>
          </cell>
          <cell r="C1058" t="str">
            <v/>
          </cell>
          <cell r="D1058" t="str">
            <v/>
          </cell>
          <cell r="E1058">
            <v>45846</v>
          </cell>
        </row>
        <row r="1059">
          <cell r="A1059" t="str">
            <v>RNU2C28</v>
          </cell>
          <cell r="B1059">
            <v>45988</v>
          </cell>
          <cell r="C1059">
            <v>45989</v>
          </cell>
          <cell r="D1059" t="str">
            <v/>
          </cell>
          <cell r="E1059">
            <v>45989</v>
          </cell>
        </row>
        <row r="1060">
          <cell r="A1060" t="str">
            <v>RNU2C30</v>
          </cell>
          <cell r="B1060">
            <v>45842</v>
          </cell>
          <cell r="C1060" t="str">
            <v/>
          </cell>
          <cell r="D1060" t="str">
            <v/>
          </cell>
          <cell r="E1060">
            <v>45842</v>
          </cell>
        </row>
        <row r="1061">
          <cell r="A1061" t="str">
            <v>RNU2D18</v>
          </cell>
          <cell r="B1061" t="str">
            <v xml:space="preserve"> </v>
          </cell>
          <cell r="C1061" t="str">
            <v/>
          </cell>
          <cell r="D1061" t="str">
            <v/>
          </cell>
          <cell r="E1061">
            <v>0</v>
          </cell>
        </row>
        <row r="1062">
          <cell r="A1062" t="str">
            <v>RNU2D20</v>
          </cell>
          <cell r="B1062">
            <v>45989</v>
          </cell>
          <cell r="C1062">
            <v>45989</v>
          </cell>
          <cell r="D1062" t="str">
            <v/>
          </cell>
          <cell r="E1062">
            <v>45989</v>
          </cell>
        </row>
        <row r="1063">
          <cell r="A1063" t="str">
            <v>RNU2J50</v>
          </cell>
          <cell r="B1063" t="str">
            <v xml:space="preserve"> </v>
          </cell>
          <cell r="C1063" t="str">
            <v/>
          </cell>
          <cell r="D1063" t="str">
            <v/>
          </cell>
          <cell r="E1063">
            <v>0</v>
          </cell>
        </row>
        <row r="1064">
          <cell r="A1064" t="str">
            <v>RNU2J54</v>
          </cell>
          <cell r="B1064" t="str">
            <v xml:space="preserve"> </v>
          </cell>
          <cell r="C1064" t="str">
            <v/>
          </cell>
          <cell r="D1064" t="str">
            <v/>
          </cell>
          <cell r="E1064">
            <v>0</v>
          </cell>
        </row>
        <row r="1065">
          <cell r="A1065" t="str">
            <v>RNY1A55</v>
          </cell>
          <cell r="B1065" t="str">
            <v xml:space="preserve"> </v>
          </cell>
          <cell r="C1065" t="str">
            <v/>
          </cell>
          <cell r="D1065" t="str">
            <v/>
          </cell>
          <cell r="E1065">
            <v>0</v>
          </cell>
        </row>
        <row r="1066">
          <cell r="A1066" t="str">
            <v>RNZ3H53</v>
          </cell>
          <cell r="B1066">
            <v>45934</v>
          </cell>
          <cell r="C1066" t="str">
            <v/>
          </cell>
          <cell r="D1066" t="str">
            <v/>
          </cell>
          <cell r="E1066">
            <v>45934</v>
          </cell>
        </row>
        <row r="1067">
          <cell r="A1067" t="str">
            <v>RNZ3H55</v>
          </cell>
          <cell r="B1067">
            <v>45940</v>
          </cell>
          <cell r="C1067" t="str">
            <v/>
          </cell>
          <cell r="D1067" t="str">
            <v/>
          </cell>
          <cell r="E1067">
            <v>45940</v>
          </cell>
        </row>
        <row r="1068">
          <cell r="A1068" t="str">
            <v>RNZ3H57</v>
          </cell>
          <cell r="B1068">
            <v>45932</v>
          </cell>
          <cell r="C1068" t="str">
            <v/>
          </cell>
          <cell r="D1068" t="str">
            <v/>
          </cell>
          <cell r="E1068">
            <v>45932</v>
          </cell>
        </row>
        <row r="1069">
          <cell r="A1069" t="str">
            <v>RNZ3H80</v>
          </cell>
          <cell r="B1069">
            <v>45989</v>
          </cell>
          <cell r="C1069">
            <v>45989</v>
          </cell>
          <cell r="D1069" t="str">
            <v/>
          </cell>
          <cell r="E1069">
            <v>45989</v>
          </cell>
        </row>
        <row r="1070">
          <cell r="A1070" t="str">
            <v>RNZ3H84</v>
          </cell>
          <cell r="B1070">
            <v>45982</v>
          </cell>
          <cell r="C1070" t="str">
            <v/>
          </cell>
          <cell r="D1070" t="str">
            <v/>
          </cell>
          <cell r="E1070">
            <v>45982</v>
          </cell>
        </row>
        <row r="1071">
          <cell r="A1071" t="str">
            <v>RNZ3H85</v>
          </cell>
          <cell r="B1071">
            <v>45947</v>
          </cell>
          <cell r="C1071" t="str">
            <v/>
          </cell>
          <cell r="D1071" t="str">
            <v/>
          </cell>
          <cell r="E1071">
            <v>45947</v>
          </cell>
        </row>
        <row r="1072">
          <cell r="A1072" t="str">
            <v>RNZ3H89</v>
          </cell>
          <cell r="B1072">
            <v>45903</v>
          </cell>
          <cell r="C1072" t="str">
            <v/>
          </cell>
          <cell r="D1072" t="str">
            <v/>
          </cell>
          <cell r="E1072">
            <v>45903</v>
          </cell>
        </row>
        <row r="1073">
          <cell r="A1073" t="str">
            <v>RTE0I43</v>
          </cell>
          <cell r="B1073">
            <v>45910</v>
          </cell>
          <cell r="C1073" t="str">
            <v/>
          </cell>
          <cell r="D1073" t="str">
            <v/>
          </cell>
          <cell r="E1073">
            <v>45910</v>
          </cell>
        </row>
        <row r="1074">
          <cell r="A1074" t="str">
            <v>RTE0I44</v>
          </cell>
          <cell r="B1074" t="str">
            <v xml:space="preserve"> </v>
          </cell>
          <cell r="C1074" t="str">
            <v/>
          </cell>
          <cell r="D1074" t="str">
            <v/>
          </cell>
          <cell r="E1074">
            <v>0</v>
          </cell>
        </row>
        <row r="1075">
          <cell r="A1075" t="str">
            <v>RTE0I45</v>
          </cell>
          <cell r="B1075" t="str">
            <v xml:space="preserve"> </v>
          </cell>
          <cell r="C1075" t="str">
            <v/>
          </cell>
          <cell r="D1075" t="str">
            <v/>
          </cell>
          <cell r="E1075">
            <v>0</v>
          </cell>
        </row>
        <row r="1076">
          <cell r="A1076" t="str">
            <v>RTE0I46</v>
          </cell>
          <cell r="B1076">
            <v>45989</v>
          </cell>
          <cell r="C1076">
            <v>45989</v>
          </cell>
          <cell r="D1076" t="str">
            <v/>
          </cell>
          <cell r="E1076">
            <v>45989</v>
          </cell>
        </row>
        <row r="1077">
          <cell r="A1077" t="str">
            <v>RTE0I49</v>
          </cell>
          <cell r="B1077">
            <v>45989</v>
          </cell>
          <cell r="C1077">
            <v>45989</v>
          </cell>
          <cell r="D1077" t="str">
            <v/>
          </cell>
          <cell r="E1077">
            <v>45989</v>
          </cell>
        </row>
        <row r="1078">
          <cell r="A1078" t="str">
            <v>RTF0B76</v>
          </cell>
          <cell r="B1078">
            <v>45988</v>
          </cell>
          <cell r="C1078">
            <v>45989</v>
          </cell>
          <cell r="D1078" t="str">
            <v/>
          </cell>
          <cell r="E1078">
            <v>45989</v>
          </cell>
        </row>
        <row r="1079">
          <cell r="A1079" t="str">
            <v>RTM6B44</v>
          </cell>
          <cell r="B1079">
            <v>45937</v>
          </cell>
          <cell r="C1079" t="str">
            <v/>
          </cell>
          <cell r="D1079" t="str">
            <v/>
          </cell>
          <cell r="E1079">
            <v>45937</v>
          </cell>
        </row>
        <row r="1080">
          <cell r="A1080" t="str">
            <v>RTM6B45</v>
          </cell>
          <cell r="B1080">
            <v>45982</v>
          </cell>
          <cell r="C1080">
            <v>45989</v>
          </cell>
          <cell r="D1080" t="str">
            <v/>
          </cell>
          <cell r="E1080">
            <v>45989</v>
          </cell>
        </row>
        <row r="1081">
          <cell r="A1081" t="str">
            <v>RTM6B47</v>
          </cell>
          <cell r="B1081">
            <v>45988</v>
          </cell>
          <cell r="C1081">
            <v>45989</v>
          </cell>
          <cell r="D1081" t="str">
            <v/>
          </cell>
          <cell r="E1081">
            <v>45989</v>
          </cell>
        </row>
        <row r="1082">
          <cell r="A1082" t="str">
            <v>RTM6B48</v>
          </cell>
          <cell r="B1082">
            <v>45938</v>
          </cell>
          <cell r="C1082" t="str">
            <v/>
          </cell>
          <cell r="D1082" t="str">
            <v/>
          </cell>
          <cell r="E1082">
            <v>45938</v>
          </cell>
        </row>
        <row r="1083">
          <cell r="A1083" t="str">
            <v>RTM6B49</v>
          </cell>
          <cell r="B1083">
            <v>45888</v>
          </cell>
          <cell r="C1083" t="str">
            <v/>
          </cell>
          <cell r="D1083" t="str">
            <v/>
          </cell>
          <cell r="E1083">
            <v>45888</v>
          </cell>
        </row>
        <row r="1084">
          <cell r="A1084" t="str">
            <v>RTM6B50</v>
          </cell>
          <cell r="B1084">
            <v>45929</v>
          </cell>
          <cell r="C1084">
            <v>45989</v>
          </cell>
          <cell r="D1084" t="str">
            <v/>
          </cell>
          <cell r="E1084">
            <v>45989</v>
          </cell>
        </row>
        <row r="1085">
          <cell r="A1085" t="str">
            <v>RTM6B51</v>
          </cell>
          <cell r="B1085">
            <v>45891</v>
          </cell>
          <cell r="C1085" t="str">
            <v/>
          </cell>
          <cell r="D1085" t="str">
            <v/>
          </cell>
          <cell r="E1085">
            <v>45891</v>
          </cell>
        </row>
        <row r="1086">
          <cell r="A1086" t="str">
            <v>RTM6B56</v>
          </cell>
          <cell r="B1086">
            <v>45915</v>
          </cell>
          <cell r="C1086" t="str">
            <v/>
          </cell>
          <cell r="D1086" t="str">
            <v/>
          </cell>
          <cell r="E1086">
            <v>45915</v>
          </cell>
        </row>
        <row r="1087">
          <cell r="A1087" t="str">
            <v>RTM6B57</v>
          </cell>
          <cell r="B1087">
            <v>45748</v>
          </cell>
          <cell r="C1087" t="str">
            <v/>
          </cell>
          <cell r="D1087" t="str">
            <v/>
          </cell>
          <cell r="E1087">
            <v>45748</v>
          </cell>
        </row>
        <row r="1088">
          <cell r="A1088" t="str">
            <v>RTM6B58</v>
          </cell>
          <cell r="B1088">
            <v>45944</v>
          </cell>
          <cell r="C1088" t="str">
            <v/>
          </cell>
          <cell r="D1088" t="str">
            <v/>
          </cell>
          <cell r="E1088">
            <v>45944</v>
          </cell>
        </row>
        <row r="1089">
          <cell r="A1089" t="str">
            <v>RTM6B60</v>
          </cell>
          <cell r="B1089">
            <v>45989</v>
          </cell>
          <cell r="C1089" t="str">
            <v/>
          </cell>
          <cell r="D1089" t="str">
            <v/>
          </cell>
          <cell r="E1089">
            <v>45989</v>
          </cell>
        </row>
        <row r="1090">
          <cell r="A1090" t="str">
            <v>RTM6B61</v>
          </cell>
          <cell r="B1090">
            <v>45636</v>
          </cell>
          <cell r="C1090" t="str">
            <v/>
          </cell>
          <cell r="D1090" t="str">
            <v/>
          </cell>
          <cell r="E1090">
            <v>45636</v>
          </cell>
        </row>
        <row r="1091">
          <cell r="A1091" t="str">
            <v>RTM6B62</v>
          </cell>
          <cell r="B1091">
            <v>45975</v>
          </cell>
          <cell r="C1091" t="str">
            <v/>
          </cell>
          <cell r="D1091" t="str">
            <v/>
          </cell>
          <cell r="E1091">
            <v>45975</v>
          </cell>
        </row>
        <row r="1092">
          <cell r="A1092" t="str">
            <v>RTM6B63</v>
          </cell>
          <cell r="B1092">
            <v>45848</v>
          </cell>
          <cell r="C1092" t="str">
            <v/>
          </cell>
          <cell r="D1092" t="str">
            <v/>
          </cell>
          <cell r="E1092">
            <v>45848</v>
          </cell>
        </row>
        <row r="1093">
          <cell r="A1093" t="str">
            <v>RTM6B65</v>
          </cell>
          <cell r="B1093">
            <v>45986</v>
          </cell>
          <cell r="C1093" t="str">
            <v/>
          </cell>
          <cell r="D1093" t="str">
            <v/>
          </cell>
          <cell r="E1093">
            <v>45986</v>
          </cell>
        </row>
        <row r="1094">
          <cell r="A1094" t="str">
            <v>RTM6B66</v>
          </cell>
          <cell r="B1094">
            <v>45988</v>
          </cell>
          <cell r="C1094">
            <v>45989</v>
          </cell>
          <cell r="D1094" t="str">
            <v/>
          </cell>
          <cell r="E1094">
            <v>45989</v>
          </cell>
        </row>
        <row r="1095">
          <cell r="A1095" t="str">
            <v>RTM6B67</v>
          </cell>
          <cell r="B1095">
            <v>45941</v>
          </cell>
          <cell r="C1095" t="str">
            <v/>
          </cell>
          <cell r="D1095" t="str">
            <v/>
          </cell>
          <cell r="E1095">
            <v>45941</v>
          </cell>
        </row>
        <row r="1096">
          <cell r="A1096" t="str">
            <v>RTM6B70</v>
          </cell>
          <cell r="B1096">
            <v>45845</v>
          </cell>
          <cell r="C1096">
            <v>45989</v>
          </cell>
          <cell r="D1096" t="str">
            <v/>
          </cell>
          <cell r="E1096">
            <v>45989</v>
          </cell>
        </row>
        <row r="1097">
          <cell r="A1097" t="str">
            <v>RTM6B71</v>
          </cell>
          <cell r="B1097">
            <v>45896</v>
          </cell>
          <cell r="C1097">
            <v>45989</v>
          </cell>
          <cell r="D1097" t="str">
            <v/>
          </cell>
          <cell r="E1097">
            <v>45989</v>
          </cell>
        </row>
        <row r="1098">
          <cell r="A1098" t="str">
            <v>RTM6B72</v>
          </cell>
          <cell r="B1098">
            <v>45924</v>
          </cell>
          <cell r="C1098" t="str">
            <v/>
          </cell>
          <cell r="D1098" t="str">
            <v/>
          </cell>
          <cell r="E1098">
            <v>45924</v>
          </cell>
        </row>
        <row r="1099">
          <cell r="A1099" t="str">
            <v>RTO9B12</v>
          </cell>
          <cell r="B1099">
            <v>45820</v>
          </cell>
          <cell r="C1099" t="str">
            <v/>
          </cell>
          <cell r="D1099" t="str">
            <v/>
          </cell>
          <cell r="E1099">
            <v>45820</v>
          </cell>
        </row>
        <row r="1100">
          <cell r="A1100" t="str">
            <v>RTU1J86</v>
          </cell>
          <cell r="B1100" t="str">
            <v xml:space="preserve"> </v>
          </cell>
          <cell r="C1100" t="str">
            <v/>
          </cell>
          <cell r="D1100" t="str">
            <v/>
          </cell>
          <cell r="E1100">
            <v>0</v>
          </cell>
        </row>
        <row r="1101">
          <cell r="A1101" t="str">
            <v>RTU5E56</v>
          </cell>
          <cell r="B1101">
            <v>45988</v>
          </cell>
          <cell r="C1101">
            <v>45989</v>
          </cell>
          <cell r="D1101" t="str">
            <v/>
          </cell>
          <cell r="E1101">
            <v>45989</v>
          </cell>
        </row>
        <row r="1102">
          <cell r="A1102" t="str">
            <v>RUK4H83</v>
          </cell>
          <cell r="B1102" t="str">
            <v xml:space="preserve"> </v>
          </cell>
          <cell r="C1102" t="str">
            <v/>
          </cell>
          <cell r="D1102" t="str">
            <v/>
          </cell>
          <cell r="E1102">
            <v>0</v>
          </cell>
        </row>
        <row r="1103">
          <cell r="A1103" t="str">
            <v>RUK7J37</v>
          </cell>
          <cell r="B1103">
            <v>45828</v>
          </cell>
          <cell r="C1103" t="str">
            <v/>
          </cell>
          <cell r="D1103" t="str">
            <v/>
          </cell>
          <cell r="E1103">
            <v>45828</v>
          </cell>
        </row>
        <row r="1104">
          <cell r="A1104" t="str">
            <v>RUK7J38</v>
          </cell>
          <cell r="B1104">
            <v>45696</v>
          </cell>
          <cell r="C1104" t="str">
            <v/>
          </cell>
          <cell r="D1104" t="str">
            <v/>
          </cell>
          <cell r="E1104">
            <v>45696</v>
          </cell>
        </row>
        <row r="1105">
          <cell r="A1105" t="str">
            <v>RUK7J40</v>
          </cell>
          <cell r="B1105">
            <v>45810</v>
          </cell>
          <cell r="C1105" t="str">
            <v/>
          </cell>
          <cell r="D1105" t="str">
            <v/>
          </cell>
          <cell r="E1105">
            <v>45810</v>
          </cell>
        </row>
        <row r="1106">
          <cell r="A1106" t="str">
            <v>RUK7J83</v>
          </cell>
          <cell r="B1106">
            <v>45824</v>
          </cell>
          <cell r="C1106" t="str">
            <v/>
          </cell>
          <cell r="D1106" t="str">
            <v/>
          </cell>
          <cell r="E1106">
            <v>45824</v>
          </cell>
        </row>
        <row r="1107">
          <cell r="A1107" t="str">
            <v>RUK8B23</v>
          </cell>
          <cell r="B1107">
            <v>45739</v>
          </cell>
          <cell r="C1107" t="str">
            <v/>
          </cell>
          <cell r="D1107" t="str">
            <v/>
          </cell>
          <cell r="E1107">
            <v>45739</v>
          </cell>
        </row>
        <row r="1108">
          <cell r="A1108" t="str">
            <v>RUL7F38</v>
          </cell>
          <cell r="B1108">
            <v>45983</v>
          </cell>
          <cell r="C1108" t="str">
            <v/>
          </cell>
          <cell r="D1108" t="str">
            <v/>
          </cell>
          <cell r="E1108">
            <v>45983</v>
          </cell>
        </row>
        <row r="1109">
          <cell r="A1109" t="str">
            <v>RUL7F41</v>
          </cell>
          <cell r="B1109">
            <v>45911</v>
          </cell>
          <cell r="C1109" t="str">
            <v/>
          </cell>
          <cell r="D1109" t="str">
            <v/>
          </cell>
          <cell r="E1109">
            <v>45911</v>
          </cell>
        </row>
        <row r="1110">
          <cell r="A1110" t="str">
            <v>RUL7F45</v>
          </cell>
          <cell r="B1110">
            <v>45911</v>
          </cell>
          <cell r="C1110" t="str">
            <v/>
          </cell>
          <cell r="D1110" t="str">
            <v/>
          </cell>
          <cell r="E1110">
            <v>45911</v>
          </cell>
        </row>
        <row r="1111">
          <cell r="A1111" t="str">
            <v>RUL7F46</v>
          </cell>
          <cell r="B1111">
            <v>45981</v>
          </cell>
          <cell r="C1111" t="str">
            <v/>
          </cell>
          <cell r="D1111" t="str">
            <v/>
          </cell>
          <cell r="E1111">
            <v>45981</v>
          </cell>
        </row>
        <row r="1112">
          <cell r="A1112" t="str">
            <v>RUL7F47</v>
          </cell>
          <cell r="B1112">
            <v>45988</v>
          </cell>
          <cell r="C1112">
            <v>45989</v>
          </cell>
          <cell r="D1112" t="str">
            <v/>
          </cell>
          <cell r="E1112">
            <v>45989</v>
          </cell>
        </row>
        <row r="1113">
          <cell r="A1113" t="str">
            <v>RUL7F48</v>
          </cell>
          <cell r="B1113">
            <v>45830</v>
          </cell>
          <cell r="C1113" t="str">
            <v/>
          </cell>
          <cell r="D1113" t="str">
            <v/>
          </cell>
          <cell r="E1113">
            <v>45830</v>
          </cell>
        </row>
        <row r="1114">
          <cell r="A1114" t="str">
            <v>RUL7F78</v>
          </cell>
          <cell r="B1114">
            <v>45915</v>
          </cell>
          <cell r="C1114" t="str">
            <v/>
          </cell>
          <cell r="D1114" t="str">
            <v/>
          </cell>
          <cell r="E1114">
            <v>45915</v>
          </cell>
        </row>
        <row r="1115">
          <cell r="A1115" t="str">
            <v>RUL7F87</v>
          </cell>
          <cell r="B1115">
            <v>45936</v>
          </cell>
          <cell r="C1115" t="str">
            <v/>
          </cell>
          <cell r="D1115" t="str">
            <v/>
          </cell>
          <cell r="E1115">
            <v>45936</v>
          </cell>
        </row>
        <row r="1116">
          <cell r="A1116" t="str">
            <v>RUL7G00</v>
          </cell>
          <cell r="B1116">
            <v>45775</v>
          </cell>
          <cell r="C1116" t="str">
            <v/>
          </cell>
          <cell r="D1116" t="str">
            <v/>
          </cell>
          <cell r="E1116">
            <v>45775</v>
          </cell>
        </row>
        <row r="1117">
          <cell r="A1117" t="str">
            <v>RUL8C86</v>
          </cell>
          <cell r="B1117">
            <v>45988</v>
          </cell>
          <cell r="C1117">
            <v>45989</v>
          </cell>
          <cell r="D1117" t="str">
            <v/>
          </cell>
          <cell r="E1117">
            <v>45989</v>
          </cell>
        </row>
        <row r="1118">
          <cell r="A1118" t="str">
            <v>RUL8C91</v>
          </cell>
          <cell r="B1118">
            <v>45839</v>
          </cell>
          <cell r="C1118" t="str">
            <v/>
          </cell>
          <cell r="D1118" t="str">
            <v/>
          </cell>
          <cell r="E1118">
            <v>45839</v>
          </cell>
        </row>
        <row r="1119">
          <cell r="A1119" t="str">
            <v>RUL8C93</v>
          </cell>
          <cell r="B1119">
            <v>45989</v>
          </cell>
          <cell r="C1119">
            <v>45989</v>
          </cell>
          <cell r="D1119" t="str">
            <v/>
          </cell>
          <cell r="E1119">
            <v>45989</v>
          </cell>
        </row>
        <row r="1120">
          <cell r="A1120" t="str">
            <v>RUM2B25</v>
          </cell>
          <cell r="B1120">
            <v>45929</v>
          </cell>
          <cell r="C1120" t="str">
            <v/>
          </cell>
          <cell r="D1120" t="str">
            <v/>
          </cell>
          <cell r="E1120">
            <v>45929</v>
          </cell>
        </row>
        <row r="1121">
          <cell r="A1121" t="str">
            <v>RUM2B32</v>
          </cell>
          <cell r="B1121">
            <v>45915</v>
          </cell>
          <cell r="C1121" t="str">
            <v/>
          </cell>
          <cell r="D1121" t="str">
            <v/>
          </cell>
          <cell r="E1121">
            <v>45915</v>
          </cell>
        </row>
        <row r="1122">
          <cell r="A1122" t="str">
            <v>RUM2B35</v>
          </cell>
          <cell r="B1122">
            <v>45989</v>
          </cell>
          <cell r="C1122">
            <v>45989</v>
          </cell>
          <cell r="D1122" t="str">
            <v/>
          </cell>
          <cell r="E1122">
            <v>45989</v>
          </cell>
        </row>
        <row r="1123">
          <cell r="A1123" t="str">
            <v>RUM2B42</v>
          </cell>
          <cell r="B1123">
            <v>45989</v>
          </cell>
          <cell r="C1123">
            <v>45989</v>
          </cell>
          <cell r="D1123" t="str">
            <v/>
          </cell>
          <cell r="E1123">
            <v>45989</v>
          </cell>
        </row>
        <row r="1124">
          <cell r="A1124" t="str">
            <v>RUM2B43</v>
          </cell>
          <cell r="B1124">
            <v>45936</v>
          </cell>
          <cell r="C1124" t="str">
            <v/>
          </cell>
          <cell r="D1124" t="str">
            <v/>
          </cell>
          <cell r="E1124">
            <v>45936</v>
          </cell>
        </row>
        <row r="1125">
          <cell r="A1125" t="str">
            <v>RUM2B46</v>
          </cell>
          <cell r="B1125">
            <v>45988</v>
          </cell>
          <cell r="C1125">
            <v>45989</v>
          </cell>
          <cell r="D1125" t="str">
            <v/>
          </cell>
          <cell r="E1125">
            <v>45989</v>
          </cell>
        </row>
        <row r="1126">
          <cell r="A1126" t="str">
            <v>RUM2B47</v>
          </cell>
          <cell r="B1126">
            <v>45897</v>
          </cell>
          <cell r="C1126" t="str">
            <v/>
          </cell>
          <cell r="D1126" t="str">
            <v/>
          </cell>
          <cell r="E1126">
            <v>45897</v>
          </cell>
        </row>
        <row r="1127">
          <cell r="A1127" t="str">
            <v>RUM2B48</v>
          </cell>
          <cell r="B1127">
            <v>45812</v>
          </cell>
          <cell r="C1127" t="str">
            <v/>
          </cell>
          <cell r="D1127" t="str">
            <v/>
          </cell>
          <cell r="E1127">
            <v>45812</v>
          </cell>
        </row>
        <row r="1128">
          <cell r="A1128" t="str">
            <v>RUM2B49</v>
          </cell>
          <cell r="B1128">
            <v>45987</v>
          </cell>
          <cell r="C1128" t="str">
            <v/>
          </cell>
          <cell r="D1128" t="str">
            <v/>
          </cell>
          <cell r="E1128">
            <v>45987</v>
          </cell>
        </row>
        <row r="1129">
          <cell r="A1129" t="str">
            <v>RUM2B53</v>
          </cell>
          <cell r="B1129">
            <v>45936</v>
          </cell>
          <cell r="C1129" t="str">
            <v/>
          </cell>
          <cell r="D1129" t="str">
            <v/>
          </cell>
          <cell r="E1129">
            <v>45936</v>
          </cell>
        </row>
        <row r="1130">
          <cell r="A1130" t="str">
            <v>RUM2B54</v>
          </cell>
          <cell r="B1130">
            <v>45949</v>
          </cell>
          <cell r="C1130" t="str">
            <v/>
          </cell>
          <cell r="D1130" t="str">
            <v/>
          </cell>
          <cell r="E1130">
            <v>45949</v>
          </cell>
        </row>
        <row r="1131">
          <cell r="A1131" t="str">
            <v>RUM2B57</v>
          </cell>
          <cell r="B1131">
            <v>45977</v>
          </cell>
          <cell r="C1131" t="str">
            <v/>
          </cell>
          <cell r="D1131" t="str">
            <v/>
          </cell>
          <cell r="E1131">
            <v>45977</v>
          </cell>
        </row>
        <row r="1132">
          <cell r="A1132" t="str">
            <v>RUM2B59</v>
          </cell>
          <cell r="B1132" t="str">
            <v xml:space="preserve"> </v>
          </cell>
          <cell r="C1132" t="str">
            <v/>
          </cell>
          <cell r="D1132" t="str">
            <v/>
          </cell>
          <cell r="E1132">
            <v>0</v>
          </cell>
        </row>
        <row r="1133">
          <cell r="A1133" t="str">
            <v>RUM2B60</v>
          </cell>
          <cell r="B1133">
            <v>45916</v>
          </cell>
          <cell r="C1133" t="str">
            <v/>
          </cell>
          <cell r="D1133" t="str">
            <v/>
          </cell>
          <cell r="E1133">
            <v>45916</v>
          </cell>
        </row>
        <row r="1134">
          <cell r="A1134" t="str">
            <v>RUM2B62</v>
          </cell>
          <cell r="B1134">
            <v>45947</v>
          </cell>
          <cell r="C1134" t="str">
            <v/>
          </cell>
          <cell r="D1134" t="str">
            <v/>
          </cell>
          <cell r="E1134">
            <v>45947</v>
          </cell>
        </row>
        <row r="1135">
          <cell r="A1135" t="str">
            <v>RUM2B63</v>
          </cell>
          <cell r="B1135">
            <v>45937</v>
          </cell>
          <cell r="C1135" t="str">
            <v/>
          </cell>
          <cell r="D1135" t="str">
            <v/>
          </cell>
          <cell r="E1135">
            <v>45937</v>
          </cell>
        </row>
        <row r="1136">
          <cell r="A1136" t="str">
            <v>RUM2B64</v>
          </cell>
          <cell r="B1136">
            <v>45989</v>
          </cell>
          <cell r="C1136">
            <v>45989</v>
          </cell>
          <cell r="D1136" t="str">
            <v/>
          </cell>
          <cell r="E1136">
            <v>45989</v>
          </cell>
        </row>
        <row r="1137">
          <cell r="A1137" t="str">
            <v>RUM2B66</v>
          </cell>
          <cell r="B1137">
            <v>45915</v>
          </cell>
          <cell r="C1137" t="str">
            <v/>
          </cell>
          <cell r="D1137" t="str">
            <v/>
          </cell>
          <cell r="E1137">
            <v>45915</v>
          </cell>
        </row>
        <row r="1138">
          <cell r="A1138" t="str">
            <v>RUM2B67</v>
          </cell>
          <cell r="B1138">
            <v>45988</v>
          </cell>
          <cell r="C1138">
            <v>45989</v>
          </cell>
          <cell r="D1138" t="str">
            <v/>
          </cell>
          <cell r="E1138">
            <v>45989</v>
          </cell>
        </row>
        <row r="1139">
          <cell r="A1139" t="str">
            <v>RUM3C02</v>
          </cell>
          <cell r="B1139">
            <v>45923</v>
          </cell>
          <cell r="C1139" t="str">
            <v/>
          </cell>
          <cell r="D1139" t="str">
            <v/>
          </cell>
          <cell r="E1139">
            <v>45923</v>
          </cell>
        </row>
        <row r="1140">
          <cell r="A1140" t="str">
            <v>RUM3C04</v>
          </cell>
          <cell r="B1140">
            <v>45930</v>
          </cell>
          <cell r="C1140" t="str">
            <v/>
          </cell>
          <cell r="D1140" t="str">
            <v/>
          </cell>
          <cell r="E1140">
            <v>45930</v>
          </cell>
        </row>
        <row r="1141">
          <cell r="A1141" t="str">
            <v>RUM3C07</v>
          </cell>
          <cell r="B1141">
            <v>45926</v>
          </cell>
          <cell r="C1141" t="str">
            <v/>
          </cell>
          <cell r="D1141" t="str">
            <v/>
          </cell>
          <cell r="E1141">
            <v>45926</v>
          </cell>
        </row>
        <row r="1142">
          <cell r="A1142" t="str">
            <v>RUM3C09</v>
          </cell>
          <cell r="B1142">
            <v>45988</v>
          </cell>
          <cell r="C1142">
            <v>45989</v>
          </cell>
          <cell r="D1142" t="str">
            <v/>
          </cell>
          <cell r="E1142">
            <v>45989</v>
          </cell>
        </row>
        <row r="1143">
          <cell r="A1143" t="str">
            <v>RUM3C17</v>
          </cell>
          <cell r="B1143">
            <v>45904</v>
          </cell>
          <cell r="C1143" t="str">
            <v/>
          </cell>
          <cell r="D1143" t="str">
            <v/>
          </cell>
          <cell r="E1143">
            <v>45904</v>
          </cell>
        </row>
        <row r="1144">
          <cell r="A1144" t="str">
            <v>RUM3C18</v>
          </cell>
          <cell r="B1144">
            <v>45988</v>
          </cell>
          <cell r="C1144">
            <v>45989</v>
          </cell>
          <cell r="D1144" t="str">
            <v/>
          </cell>
          <cell r="E1144">
            <v>45989</v>
          </cell>
        </row>
        <row r="1145">
          <cell r="A1145" t="str">
            <v>RUM3C24</v>
          </cell>
          <cell r="B1145">
            <v>45944</v>
          </cell>
          <cell r="C1145" t="str">
            <v/>
          </cell>
          <cell r="D1145" t="str">
            <v/>
          </cell>
          <cell r="E1145">
            <v>45944</v>
          </cell>
        </row>
        <row r="1146">
          <cell r="A1146" t="str">
            <v>RUM3C27</v>
          </cell>
          <cell r="B1146">
            <v>45595</v>
          </cell>
          <cell r="C1146" t="str">
            <v/>
          </cell>
          <cell r="D1146" t="str">
            <v/>
          </cell>
          <cell r="E1146">
            <v>45595</v>
          </cell>
        </row>
        <row r="1147">
          <cell r="A1147" t="str">
            <v>RUM3C31</v>
          </cell>
          <cell r="B1147">
            <v>45987</v>
          </cell>
          <cell r="C1147" t="str">
            <v/>
          </cell>
          <cell r="D1147" t="str">
            <v/>
          </cell>
          <cell r="E1147">
            <v>45987</v>
          </cell>
        </row>
        <row r="1148">
          <cell r="A1148" t="str">
            <v>RUM3C32</v>
          </cell>
          <cell r="B1148">
            <v>45862</v>
          </cell>
          <cell r="C1148" t="str">
            <v/>
          </cell>
          <cell r="D1148" t="str">
            <v/>
          </cell>
          <cell r="E1148">
            <v>45862</v>
          </cell>
        </row>
        <row r="1149">
          <cell r="A1149" t="str">
            <v>RUM3C40</v>
          </cell>
          <cell r="B1149">
            <v>45888</v>
          </cell>
          <cell r="C1149" t="str">
            <v/>
          </cell>
          <cell r="D1149" t="str">
            <v/>
          </cell>
          <cell r="E1149">
            <v>45888</v>
          </cell>
        </row>
        <row r="1150">
          <cell r="A1150" t="str">
            <v>RUM3C41</v>
          </cell>
          <cell r="B1150">
            <v>45936</v>
          </cell>
          <cell r="C1150" t="str">
            <v/>
          </cell>
          <cell r="D1150" t="str">
            <v/>
          </cell>
          <cell r="E1150">
            <v>45936</v>
          </cell>
        </row>
        <row r="1151">
          <cell r="A1151" t="str">
            <v>RUM3C42</v>
          </cell>
          <cell r="B1151">
            <v>45988</v>
          </cell>
          <cell r="C1151">
            <v>45989</v>
          </cell>
          <cell r="D1151" t="str">
            <v/>
          </cell>
          <cell r="E1151">
            <v>45989</v>
          </cell>
        </row>
        <row r="1152">
          <cell r="A1152" t="str">
            <v>RUM3C44</v>
          </cell>
          <cell r="B1152">
            <v>45928</v>
          </cell>
          <cell r="C1152" t="str">
            <v/>
          </cell>
          <cell r="D1152" t="str">
            <v/>
          </cell>
          <cell r="E1152">
            <v>45928</v>
          </cell>
        </row>
        <row r="1153">
          <cell r="A1153" t="str">
            <v>RUN2B12</v>
          </cell>
          <cell r="B1153">
            <v>45988</v>
          </cell>
          <cell r="C1153">
            <v>45989</v>
          </cell>
          <cell r="D1153" t="str">
            <v/>
          </cell>
          <cell r="E1153">
            <v>45989</v>
          </cell>
        </row>
        <row r="1154">
          <cell r="A1154" t="str">
            <v>RUN2B13</v>
          </cell>
          <cell r="B1154">
            <v>45989</v>
          </cell>
          <cell r="C1154">
            <v>45989</v>
          </cell>
          <cell r="D1154" t="str">
            <v/>
          </cell>
          <cell r="E1154">
            <v>45989</v>
          </cell>
        </row>
        <row r="1155">
          <cell r="A1155" t="str">
            <v>RUO6A80</v>
          </cell>
          <cell r="B1155">
            <v>45936</v>
          </cell>
          <cell r="C1155" t="str">
            <v/>
          </cell>
          <cell r="D1155" t="str">
            <v/>
          </cell>
          <cell r="E1155">
            <v>45936</v>
          </cell>
        </row>
        <row r="1156">
          <cell r="A1156" t="str">
            <v>RUO6A81</v>
          </cell>
          <cell r="B1156">
            <v>45936</v>
          </cell>
          <cell r="C1156" t="str">
            <v/>
          </cell>
          <cell r="D1156" t="str">
            <v/>
          </cell>
          <cell r="E1156">
            <v>45936</v>
          </cell>
        </row>
        <row r="1157">
          <cell r="A1157" t="str">
            <v>RUO6A82</v>
          </cell>
          <cell r="B1157">
            <v>45936</v>
          </cell>
          <cell r="C1157" t="str">
            <v/>
          </cell>
          <cell r="D1157" t="str">
            <v/>
          </cell>
          <cell r="E1157">
            <v>45936</v>
          </cell>
        </row>
        <row r="1158">
          <cell r="A1158" t="str">
            <v>RUO6A83</v>
          </cell>
          <cell r="B1158">
            <v>45936</v>
          </cell>
          <cell r="C1158" t="str">
            <v/>
          </cell>
          <cell r="D1158" t="str">
            <v/>
          </cell>
          <cell r="E1158">
            <v>45936</v>
          </cell>
        </row>
        <row r="1159">
          <cell r="A1159" t="str">
            <v>RUO6A92</v>
          </cell>
          <cell r="B1159">
            <v>45989</v>
          </cell>
          <cell r="C1159">
            <v>45989</v>
          </cell>
          <cell r="D1159" t="str">
            <v/>
          </cell>
          <cell r="E1159">
            <v>45989</v>
          </cell>
        </row>
        <row r="1160">
          <cell r="A1160" t="str">
            <v>RUO6A96</v>
          </cell>
          <cell r="B1160">
            <v>45979</v>
          </cell>
          <cell r="C1160" t="str">
            <v/>
          </cell>
          <cell r="D1160" t="str">
            <v/>
          </cell>
          <cell r="E1160">
            <v>45979</v>
          </cell>
        </row>
        <row r="1161">
          <cell r="A1161" t="str">
            <v>RUO6B00</v>
          </cell>
          <cell r="B1161">
            <v>45913</v>
          </cell>
          <cell r="C1161" t="str">
            <v/>
          </cell>
          <cell r="D1161" t="str">
            <v/>
          </cell>
          <cell r="E1161">
            <v>45913</v>
          </cell>
        </row>
        <row r="1162">
          <cell r="A1162" t="str">
            <v>RUO6B01</v>
          </cell>
          <cell r="B1162">
            <v>45915</v>
          </cell>
          <cell r="C1162" t="str">
            <v/>
          </cell>
          <cell r="D1162" t="str">
            <v/>
          </cell>
          <cell r="E1162">
            <v>45915</v>
          </cell>
        </row>
        <row r="1163">
          <cell r="A1163" t="str">
            <v>RUO6B02</v>
          </cell>
          <cell r="B1163">
            <v>45914</v>
          </cell>
          <cell r="C1163" t="str">
            <v/>
          </cell>
          <cell r="D1163" t="str">
            <v/>
          </cell>
          <cell r="E1163">
            <v>45914</v>
          </cell>
        </row>
        <row r="1164">
          <cell r="A1164" t="str">
            <v>RUO6B03</v>
          </cell>
          <cell r="B1164">
            <v>45915</v>
          </cell>
          <cell r="C1164" t="str">
            <v/>
          </cell>
          <cell r="D1164" t="str">
            <v/>
          </cell>
          <cell r="E1164">
            <v>45915</v>
          </cell>
        </row>
        <row r="1165">
          <cell r="A1165" t="str">
            <v>RUO6B04</v>
          </cell>
          <cell r="B1165">
            <v>45885</v>
          </cell>
          <cell r="C1165" t="str">
            <v/>
          </cell>
          <cell r="D1165" t="str">
            <v/>
          </cell>
          <cell r="E1165">
            <v>45885</v>
          </cell>
        </row>
        <row r="1166">
          <cell r="A1166" t="str">
            <v>RUO6B05</v>
          </cell>
          <cell r="B1166">
            <v>45989</v>
          </cell>
          <cell r="C1166">
            <v>45989</v>
          </cell>
          <cell r="D1166" t="str">
            <v/>
          </cell>
          <cell r="E1166">
            <v>45989</v>
          </cell>
        </row>
        <row r="1167">
          <cell r="A1167" t="str">
            <v>RUO6B06</v>
          </cell>
          <cell r="B1167">
            <v>45910</v>
          </cell>
          <cell r="C1167" t="str">
            <v/>
          </cell>
          <cell r="D1167" t="str">
            <v/>
          </cell>
          <cell r="E1167">
            <v>45910</v>
          </cell>
        </row>
        <row r="1168">
          <cell r="A1168" t="str">
            <v>RUO6B07</v>
          </cell>
          <cell r="B1168">
            <v>45817</v>
          </cell>
          <cell r="C1168" t="str">
            <v/>
          </cell>
          <cell r="D1168" t="str">
            <v/>
          </cell>
          <cell r="E1168">
            <v>45817</v>
          </cell>
        </row>
        <row r="1169">
          <cell r="A1169" t="str">
            <v>RUO6B10</v>
          </cell>
          <cell r="B1169">
            <v>45988</v>
          </cell>
          <cell r="C1169">
            <v>45989</v>
          </cell>
          <cell r="D1169" t="str">
            <v/>
          </cell>
          <cell r="E1169">
            <v>45989</v>
          </cell>
        </row>
        <row r="1170">
          <cell r="A1170" t="str">
            <v>RUO6B11</v>
          </cell>
          <cell r="B1170">
            <v>45986</v>
          </cell>
          <cell r="C1170" t="str">
            <v/>
          </cell>
          <cell r="D1170" t="str">
            <v/>
          </cell>
          <cell r="E1170">
            <v>45986</v>
          </cell>
        </row>
        <row r="1171">
          <cell r="A1171" t="str">
            <v>RUO6B20</v>
          </cell>
          <cell r="B1171">
            <v>45950</v>
          </cell>
          <cell r="C1171" t="str">
            <v/>
          </cell>
          <cell r="D1171" t="str">
            <v/>
          </cell>
          <cell r="E1171">
            <v>45950</v>
          </cell>
        </row>
        <row r="1172">
          <cell r="A1172" t="str">
            <v>RUO6B25</v>
          </cell>
          <cell r="B1172">
            <v>45988</v>
          </cell>
          <cell r="C1172">
            <v>45989</v>
          </cell>
          <cell r="D1172" t="str">
            <v/>
          </cell>
          <cell r="E1172">
            <v>45989</v>
          </cell>
        </row>
        <row r="1173">
          <cell r="A1173" t="str">
            <v>RUO6B27</v>
          </cell>
          <cell r="B1173">
            <v>45913</v>
          </cell>
          <cell r="C1173" t="str">
            <v/>
          </cell>
          <cell r="D1173" t="str">
            <v/>
          </cell>
          <cell r="E1173">
            <v>45913</v>
          </cell>
        </row>
        <row r="1174">
          <cell r="A1174" t="str">
            <v>RUO6B37</v>
          </cell>
          <cell r="B1174">
            <v>45854</v>
          </cell>
          <cell r="C1174" t="str">
            <v/>
          </cell>
          <cell r="D1174" t="str">
            <v/>
          </cell>
          <cell r="E1174">
            <v>45854</v>
          </cell>
        </row>
        <row r="1175">
          <cell r="A1175" t="str">
            <v>RUO6B39</v>
          </cell>
          <cell r="B1175">
            <v>45988</v>
          </cell>
          <cell r="C1175">
            <v>45989</v>
          </cell>
          <cell r="D1175" t="str">
            <v/>
          </cell>
          <cell r="E1175">
            <v>45989</v>
          </cell>
        </row>
        <row r="1176">
          <cell r="A1176" t="str">
            <v>RUO6B44</v>
          </cell>
          <cell r="B1176">
            <v>45936</v>
          </cell>
          <cell r="C1176" t="str">
            <v/>
          </cell>
          <cell r="D1176" t="str">
            <v/>
          </cell>
          <cell r="E1176">
            <v>45936</v>
          </cell>
        </row>
        <row r="1177">
          <cell r="A1177" t="str">
            <v>RUO6B50</v>
          </cell>
          <cell r="B1177">
            <v>45877</v>
          </cell>
          <cell r="C1177" t="str">
            <v/>
          </cell>
          <cell r="D1177" t="str">
            <v/>
          </cell>
          <cell r="E1177">
            <v>45877</v>
          </cell>
        </row>
        <row r="1178">
          <cell r="A1178" t="str">
            <v>RUO6B51</v>
          </cell>
          <cell r="B1178">
            <v>45929</v>
          </cell>
          <cell r="C1178" t="str">
            <v/>
          </cell>
          <cell r="D1178" t="str">
            <v/>
          </cell>
          <cell r="E1178">
            <v>45929</v>
          </cell>
        </row>
        <row r="1179">
          <cell r="A1179" t="str">
            <v>RUO6B54</v>
          </cell>
          <cell r="B1179" t="str">
            <v xml:space="preserve"> </v>
          </cell>
          <cell r="C1179" t="str">
            <v/>
          </cell>
          <cell r="D1179" t="str">
            <v/>
          </cell>
          <cell r="E1179">
            <v>0</v>
          </cell>
        </row>
        <row r="1180">
          <cell r="A1180" t="str">
            <v>RUO6B56</v>
          </cell>
          <cell r="B1180" t="str">
            <v xml:space="preserve"> </v>
          </cell>
          <cell r="C1180" t="str">
            <v/>
          </cell>
          <cell r="D1180" t="str">
            <v/>
          </cell>
          <cell r="E1180">
            <v>0</v>
          </cell>
        </row>
        <row r="1181">
          <cell r="A1181" t="str">
            <v>RUO6B58</v>
          </cell>
          <cell r="B1181" t="str">
            <v xml:space="preserve"> </v>
          </cell>
          <cell r="C1181" t="str">
            <v/>
          </cell>
          <cell r="D1181" t="str">
            <v/>
          </cell>
          <cell r="E1181">
            <v>0</v>
          </cell>
        </row>
        <row r="1182">
          <cell r="A1182" t="str">
            <v>RUO6B61</v>
          </cell>
          <cell r="B1182" t="str">
            <v xml:space="preserve"> </v>
          </cell>
          <cell r="C1182" t="str">
            <v/>
          </cell>
          <cell r="D1182" t="str">
            <v/>
          </cell>
          <cell r="E1182">
            <v>0</v>
          </cell>
        </row>
        <row r="1183">
          <cell r="A1183" t="str">
            <v>RUO6B62</v>
          </cell>
          <cell r="B1183" t="str">
            <v xml:space="preserve"> </v>
          </cell>
          <cell r="C1183" t="str">
            <v/>
          </cell>
          <cell r="D1183" t="str">
            <v/>
          </cell>
          <cell r="E1183">
            <v>0</v>
          </cell>
        </row>
        <row r="1184">
          <cell r="A1184" t="str">
            <v>RUO6B63</v>
          </cell>
          <cell r="B1184" t="str">
            <v xml:space="preserve"> </v>
          </cell>
          <cell r="C1184" t="str">
            <v/>
          </cell>
          <cell r="D1184" t="str">
            <v/>
          </cell>
          <cell r="E1184">
            <v>0</v>
          </cell>
        </row>
        <row r="1185">
          <cell r="A1185" t="str">
            <v>RUO6B64</v>
          </cell>
          <cell r="B1185">
            <v>45711</v>
          </cell>
          <cell r="C1185" t="str">
            <v/>
          </cell>
          <cell r="D1185" t="str">
            <v/>
          </cell>
          <cell r="E1185">
            <v>45711</v>
          </cell>
        </row>
        <row r="1186">
          <cell r="A1186" t="str">
            <v>RUO6B65</v>
          </cell>
          <cell r="B1186" t="str">
            <v xml:space="preserve"> </v>
          </cell>
          <cell r="C1186" t="str">
            <v/>
          </cell>
          <cell r="D1186" t="str">
            <v/>
          </cell>
          <cell r="E1186">
            <v>0</v>
          </cell>
        </row>
        <row r="1187">
          <cell r="A1187" t="str">
            <v>RUO6B67</v>
          </cell>
          <cell r="B1187">
            <v>45736</v>
          </cell>
          <cell r="C1187" t="str">
            <v/>
          </cell>
          <cell r="D1187" t="str">
            <v/>
          </cell>
          <cell r="E1187">
            <v>45736</v>
          </cell>
        </row>
        <row r="1188">
          <cell r="A1188" t="str">
            <v>RUO6B70</v>
          </cell>
          <cell r="B1188" t="str">
            <v xml:space="preserve"> </v>
          </cell>
          <cell r="C1188" t="str">
            <v/>
          </cell>
          <cell r="D1188" t="str">
            <v/>
          </cell>
          <cell r="E1188">
            <v>0</v>
          </cell>
        </row>
        <row r="1189">
          <cell r="A1189" t="str">
            <v>RUO6B72</v>
          </cell>
          <cell r="B1189" t="str">
            <v xml:space="preserve"> </v>
          </cell>
          <cell r="C1189" t="str">
            <v/>
          </cell>
          <cell r="D1189" t="str">
            <v/>
          </cell>
          <cell r="E1189">
            <v>0</v>
          </cell>
        </row>
        <row r="1190">
          <cell r="A1190" t="str">
            <v>RUO6B73</v>
          </cell>
          <cell r="B1190">
            <v>45988</v>
          </cell>
          <cell r="C1190">
            <v>45989</v>
          </cell>
          <cell r="D1190" t="str">
            <v/>
          </cell>
          <cell r="E1190">
            <v>45989</v>
          </cell>
        </row>
        <row r="1191">
          <cell r="A1191" t="str">
            <v>RUO9G28</v>
          </cell>
          <cell r="B1191">
            <v>45987</v>
          </cell>
          <cell r="C1191">
            <v>45989</v>
          </cell>
          <cell r="D1191" t="str">
            <v/>
          </cell>
          <cell r="E1191">
            <v>45989</v>
          </cell>
        </row>
        <row r="1192">
          <cell r="A1192" t="str">
            <v>RUO9G29</v>
          </cell>
          <cell r="B1192" t="str">
            <v xml:space="preserve"> </v>
          </cell>
          <cell r="C1192" t="str">
            <v/>
          </cell>
          <cell r="D1192" t="str">
            <v/>
          </cell>
          <cell r="E1192">
            <v>0</v>
          </cell>
        </row>
        <row r="1193">
          <cell r="A1193" t="str">
            <v>RUQ5B51</v>
          </cell>
          <cell r="B1193" t="str">
            <v xml:space="preserve"> </v>
          </cell>
          <cell r="C1193" t="str">
            <v/>
          </cell>
          <cell r="D1193" t="str">
            <v/>
          </cell>
          <cell r="E1193">
            <v>0</v>
          </cell>
        </row>
        <row r="1194">
          <cell r="A1194" t="str">
            <v>RUQ5B53</v>
          </cell>
          <cell r="B1194" t="str">
            <v xml:space="preserve"> </v>
          </cell>
          <cell r="C1194" t="str">
            <v/>
          </cell>
          <cell r="D1194" t="str">
            <v/>
          </cell>
          <cell r="E1194">
            <v>0</v>
          </cell>
        </row>
        <row r="1195">
          <cell r="A1195" t="str">
            <v>RUQ5B54</v>
          </cell>
          <cell r="B1195" t="str">
            <v xml:space="preserve"> </v>
          </cell>
          <cell r="C1195" t="str">
            <v/>
          </cell>
          <cell r="D1195" t="str">
            <v/>
          </cell>
          <cell r="E1195">
            <v>0</v>
          </cell>
        </row>
        <row r="1196">
          <cell r="A1196" t="str">
            <v>RUQ5B56</v>
          </cell>
          <cell r="B1196" t="str">
            <v xml:space="preserve"> </v>
          </cell>
          <cell r="C1196" t="str">
            <v/>
          </cell>
          <cell r="D1196" t="str">
            <v/>
          </cell>
          <cell r="E1196">
            <v>0</v>
          </cell>
        </row>
        <row r="1197">
          <cell r="A1197" t="str">
            <v>RUQ5B61</v>
          </cell>
          <cell r="B1197" t="str">
            <v xml:space="preserve"> </v>
          </cell>
          <cell r="C1197" t="str">
            <v/>
          </cell>
          <cell r="D1197" t="str">
            <v/>
          </cell>
          <cell r="E1197">
            <v>0</v>
          </cell>
        </row>
        <row r="1198">
          <cell r="A1198" t="str">
            <v>RUQ5B68</v>
          </cell>
          <cell r="B1198" t="str">
            <v xml:space="preserve"> </v>
          </cell>
          <cell r="C1198" t="str">
            <v/>
          </cell>
          <cell r="D1198" t="str">
            <v/>
          </cell>
          <cell r="E1198">
            <v>0</v>
          </cell>
        </row>
        <row r="1199">
          <cell r="A1199" t="str">
            <v>RUQ5B70</v>
          </cell>
          <cell r="B1199" t="str">
            <v xml:space="preserve"> </v>
          </cell>
          <cell r="C1199" t="str">
            <v/>
          </cell>
          <cell r="D1199" t="str">
            <v/>
          </cell>
          <cell r="E1199">
            <v>0</v>
          </cell>
        </row>
        <row r="1200">
          <cell r="A1200" t="str">
            <v>RUR5H71</v>
          </cell>
          <cell r="B1200" t="str">
            <v xml:space="preserve"> </v>
          </cell>
          <cell r="C1200" t="str">
            <v/>
          </cell>
          <cell r="D1200" t="str">
            <v/>
          </cell>
          <cell r="E1200">
            <v>0</v>
          </cell>
        </row>
        <row r="1201">
          <cell r="A1201" t="str">
            <v>RUV4G11</v>
          </cell>
          <cell r="B1201">
            <v>45986</v>
          </cell>
          <cell r="C1201">
            <v>45989</v>
          </cell>
          <cell r="D1201" t="str">
            <v/>
          </cell>
          <cell r="E1201">
            <v>45989</v>
          </cell>
        </row>
        <row r="1202">
          <cell r="A1202" t="str">
            <v>RUV4G20</v>
          </cell>
          <cell r="B1202">
            <v>45911</v>
          </cell>
          <cell r="C1202" t="str">
            <v/>
          </cell>
          <cell r="D1202" t="str">
            <v/>
          </cell>
          <cell r="E1202">
            <v>45911</v>
          </cell>
        </row>
        <row r="1203">
          <cell r="A1203" t="str">
            <v>RUV4G23</v>
          </cell>
          <cell r="B1203">
            <v>45974</v>
          </cell>
          <cell r="C1203" t="str">
            <v/>
          </cell>
          <cell r="D1203" t="str">
            <v/>
          </cell>
          <cell r="E1203">
            <v>45974</v>
          </cell>
        </row>
        <row r="1204">
          <cell r="A1204" t="str">
            <v>RUV4G24</v>
          </cell>
          <cell r="B1204">
            <v>45976</v>
          </cell>
          <cell r="C1204" t="str">
            <v/>
          </cell>
          <cell r="D1204" t="str">
            <v/>
          </cell>
          <cell r="E1204">
            <v>45976</v>
          </cell>
        </row>
        <row r="1205">
          <cell r="A1205" t="str">
            <v>RUV4G25</v>
          </cell>
          <cell r="B1205">
            <v>45941</v>
          </cell>
          <cell r="C1205">
            <v>45989</v>
          </cell>
          <cell r="D1205" t="str">
            <v/>
          </cell>
          <cell r="E1205">
            <v>45989</v>
          </cell>
        </row>
        <row r="1206">
          <cell r="A1206" t="str">
            <v>RUV4G26</v>
          </cell>
          <cell r="B1206">
            <v>45983</v>
          </cell>
          <cell r="C1206" t="str">
            <v/>
          </cell>
          <cell r="D1206" t="str">
            <v/>
          </cell>
          <cell r="E1206">
            <v>45983</v>
          </cell>
        </row>
        <row r="1207">
          <cell r="A1207" t="str">
            <v>RUV4G27</v>
          </cell>
          <cell r="B1207">
            <v>45957</v>
          </cell>
          <cell r="C1207" t="str">
            <v/>
          </cell>
          <cell r="D1207" t="str">
            <v/>
          </cell>
          <cell r="E1207">
            <v>45957</v>
          </cell>
        </row>
        <row r="1208">
          <cell r="A1208" t="str">
            <v>RUV4G30</v>
          </cell>
          <cell r="B1208">
            <v>45941</v>
          </cell>
          <cell r="C1208" t="str">
            <v/>
          </cell>
          <cell r="D1208" t="str">
            <v/>
          </cell>
          <cell r="E1208">
            <v>45941</v>
          </cell>
        </row>
        <row r="1209">
          <cell r="A1209" t="str">
            <v>RUV4G31</v>
          </cell>
          <cell r="B1209">
            <v>45973</v>
          </cell>
          <cell r="C1209" t="str">
            <v/>
          </cell>
          <cell r="D1209" t="str">
            <v/>
          </cell>
          <cell r="E1209">
            <v>45973</v>
          </cell>
        </row>
        <row r="1210">
          <cell r="A1210" t="str">
            <v>RUX2B32</v>
          </cell>
          <cell r="B1210">
            <v>45881</v>
          </cell>
          <cell r="C1210" t="str">
            <v/>
          </cell>
          <cell r="D1210" t="str">
            <v/>
          </cell>
          <cell r="E1210">
            <v>45881</v>
          </cell>
        </row>
        <row r="1211">
          <cell r="A1211" t="str">
            <v>RUX2B35</v>
          </cell>
          <cell r="B1211">
            <v>45936</v>
          </cell>
          <cell r="C1211" t="str">
            <v/>
          </cell>
          <cell r="D1211" t="str">
            <v/>
          </cell>
          <cell r="E1211">
            <v>45936</v>
          </cell>
        </row>
        <row r="1212">
          <cell r="A1212" t="str">
            <v>RUX2B45</v>
          </cell>
          <cell r="B1212">
            <v>45881</v>
          </cell>
          <cell r="C1212" t="str">
            <v/>
          </cell>
          <cell r="D1212" t="str">
            <v/>
          </cell>
          <cell r="E1212">
            <v>45881</v>
          </cell>
        </row>
        <row r="1213">
          <cell r="A1213" t="str">
            <v>RUX2B47</v>
          </cell>
          <cell r="B1213">
            <v>45563</v>
          </cell>
          <cell r="C1213" t="str">
            <v/>
          </cell>
          <cell r="D1213" t="str">
            <v/>
          </cell>
          <cell r="E1213">
            <v>45563</v>
          </cell>
        </row>
        <row r="1214">
          <cell r="A1214" t="str">
            <v>RUX2B48</v>
          </cell>
          <cell r="B1214">
            <v>45881</v>
          </cell>
          <cell r="C1214" t="str">
            <v/>
          </cell>
          <cell r="D1214" t="str">
            <v/>
          </cell>
          <cell r="E1214">
            <v>45881</v>
          </cell>
        </row>
        <row r="1215">
          <cell r="A1215" t="str">
            <v>RUX2B49</v>
          </cell>
          <cell r="B1215">
            <v>45879</v>
          </cell>
          <cell r="C1215" t="str">
            <v/>
          </cell>
          <cell r="D1215" t="str">
            <v/>
          </cell>
          <cell r="E1215">
            <v>45879</v>
          </cell>
        </row>
        <row r="1216">
          <cell r="A1216" t="str">
            <v>RUX2B50</v>
          </cell>
          <cell r="B1216">
            <v>45731</v>
          </cell>
          <cell r="C1216" t="str">
            <v/>
          </cell>
          <cell r="D1216" t="str">
            <v/>
          </cell>
          <cell r="E1216">
            <v>45731</v>
          </cell>
        </row>
        <row r="1217">
          <cell r="A1217" t="str">
            <v>RUX2B53</v>
          </cell>
          <cell r="B1217">
            <v>45880</v>
          </cell>
          <cell r="C1217" t="str">
            <v/>
          </cell>
          <cell r="D1217" t="str">
            <v/>
          </cell>
          <cell r="E1217">
            <v>45880</v>
          </cell>
        </row>
        <row r="1218">
          <cell r="A1218" t="str">
            <v>RUX2B54</v>
          </cell>
          <cell r="B1218">
            <v>45703</v>
          </cell>
          <cell r="C1218" t="str">
            <v/>
          </cell>
          <cell r="D1218" t="str">
            <v/>
          </cell>
          <cell r="E1218">
            <v>45703</v>
          </cell>
        </row>
        <row r="1219">
          <cell r="A1219" t="str">
            <v>RUX2B56</v>
          </cell>
          <cell r="B1219">
            <v>45874</v>
          </cell>
          <cell r="C1219" t="str">
            <v/>
          </cell>
          <cell r="D1219" t="str">
            <v/>
          </cell>
          <cell r="E1219">
            <v>45874</v>
          </cell>
        </row>
        <row r="1220">
          <cell r="A1220" t="str">
            <v>RUX2B70</v>
          </cell>
          <cell r="B1220">
            <v>45930</v>
          </cell>
          <cell r="C1220" t="str">
            <v/>
          </cell>
          <cell r="D1220" t="str">
            <v/>
          </cell>
          <cell r="E1220">
            <v>45930</v>
          </cell>
        </row>
        <row r="1221">
          <cell r="A1221" t="str">
            <v>RUX2B82</v>
          </cell>
          <cell r="B1221">
            <v>45936</v>
          </cell>
          <cell r="C1221" t="str">
            <v/>
          </cell>
          <cell r="D1221" t="str">
            <v/>
          </cell>
          <cell r="E1221">
            <v>45936</v>
          </cell>
        </row>
        <row r="1222">
          <cell r="A1222" t="str">
            <v>RUX2B84</v>
          </cell>
          <cell r="B1222">
            <v>45942</v>
          </cell>
          <cell r="C1222" t="str">
            <v/>
          </cell>
          <cell r="D1222" t="str">
            <v/>
          </cell>
          <cell r="E1222">
            <v>45942</v>
          </cell>
        </row>
        <row r="1223">
          <cell r="A1223" t="str">
            <v>RUX2B91</v>
          </cell>
          <cell r="B1223">
            <v>45989</v>
          </cell>
          <cell r="C1223">
            <v>45989</v>
          </cell>
          <cell r="D1223" t="str">
            <v/>
          </cell>
          <cell r="E1223">
            <v>45989</v>
          </cell>
        </row>
        <row r="1224">
          <cell r="A1224" t="str">
            <v>RUX2B92</v>
          </cell>
          <cell r="B1224">
            <v>45926</v>
          </cell>
          <cell r="C1224" t="str">
            <v/>
          </cell>
          <cell r="D1224" t="str">
            <v/>
          </cell>
          <cell r="E1224">
            <v>45926</v>
          </cell>
        </row>
        <row r="1225">
          <cell r="A1225" t="str">
            <v>RUX2B93</v>
          </cell>
          <cell r="B1225">
            <v>45967</v>
          </cell>
          <cell r="C1225" t="str">
            <v/>
          </cell>
          <cell r="D1225" t="str">
            <v/>
          </cell>
          <cell r="E1225">
            <v>45967</v>
          </cell>
        </row>
        <row r="1226">
          <cell r="A1226" t="str">
            <v>RUX2B97</v>
          </cell>
          <cell r="B1226">
            <v>45936</v>
          </cell>
          <cell r="C1226" t="str">
            <v/>
          </cell>
          <cell r="D1226" t="str">
            <v/>
          </cell>
          <cell r="E1226">
            <v>45936</v>
          </cell>
        </row>
        <row r="1227">
          <cell r="A1227" t="str">
            <v>RUX2B99</v>
          </cell>
          <cell r="B1227">
            <v>45989</v>
          </cell>
          <cell r="C1227">
            <v>45989</v>
          </cell>
          <cell r="D1227" t="str">
            <v/>
          </cell>
          <cell r="E1227">
            <v>45989</v>
          </cell>
        </row>
        <row r="1228">
          <cell r="A1228" t="str">
            <v>RUX2C15</v>
          </cell>
          <cell r="B1228">
            <v>45988</v>
          </cell>
          <cell r="C1228">
            <v>45989</v>
          </cell>
          <cell r="D1228" t="str">
            <v/>
          </cell>
          <cell r="E1228">
            <v>45989</v>
          </cell>
        </row>
        <row r="1229">
          <cell r="A1229" t="str">
            <v>RUX2C16</v>
          </cell>
          <cell r="B1229">
            <v>45989</v>
          </cell>
          <cell r="C1229">
            <v>45989</v>
          </cell>
          <cell r="D1229" t="str">
            <v/>
          </cell>
          <cell r="E1229">
            <v>45989</v>
          </cell>
        </row>
        <row r="1230">
          <cell r="A1230" t="str">
            <v>RUX2C17</v>
          </cell>
          <cell r="B1230">
            <v>45989</v>
          </cell>
          <cell r="C1230">
            <v>45989</v>
          </cell>
          <cell r="D1230" t="str">
            <v/>
          </cell>
          <cell r="E1230">
            <v>45989</v>
          </cell>
        </row>
        <row r="1231">
          <cell r="A1231" t="str">
            <v>RUX2C18</v>
          </cell>
          <cell r="B1231">
            <v>45989</v>
          </cell>
          <cell r="C1231">
            <v>45989</v>
          </cell>
          <cell r="D1231" t="str">
            <v/>
          </cell>
          <cell r="E1231">
            <v>45989</v>
          </cell>
        </row>
        <row r="1232">
          <cell r="A1232" t="str">
            <v>RUX2C24</v>
          </cell>
          <cell r="B1232">
            <v>45766</v>
          </cell>
          <cell r="C1232" t="str">
            <v/>
          </cell>
          <cell r="D1232" t="str">
            <v/>
          </cell>
          <cell r="E1232">
            <v>45766</v>
          </cell>
        </row>
        <row r="1233">
          <cell r="A1233" t="str">
            <v>RUX2C27</v>
          </cell>
          <cell r="B1233">
            <v>45941</v>
          </cell>
          <cell r="C1233" t="str">
            <v/>
          </cell>
          <cell r="D1233" t="str">
            <v/>
          </cell>
          <cell r="E1233">
            <v>45941</v>
          </cell>
        </row>
        <row r="1234">
          <cell r="A1234" t="str">
            <v>RUX2C64</v>
          </cell>
          <cell r="B1234">
            <v>45939</v>
          </cell>
          <cell r="C1234" t="str">
            <v/>
          </cell>
          <cell r="D1234" t="str">
            <v/>
          </cell>
          <cell r="E1234">
            <v>45939</v>
          </cell>
        </row>
        <row r="1235">
          <cell r="A1235" t="str">
            <v>RUX2C67</v>
          </cell>
          <cell r="B1235">
            <v>45852</v>
          </cell>
          <cell r="C1235" t="str">
            <v/>
          </cell>
          <cell r="D1235" t="str">
            <v/>
          </cell>
          <cell r="E1235">
            <v>45852</v>
          </cell>
        </row>
        <row r="1236">
          <cell r="A1236" t="str">
            <v>RUX2C70</v>
          </cell>
          <cell r="B1236">
            <v>45988</v>
          </cell>
          <cell r="C1236">
            <v>45989</v>
          </cell>
          <cell r="D1236" t="str">
            <v/>
          </cell>
          <cell r="E1236">
            <v>45989</v>
          </cell>
        </row>
        <row r="1237">
          <cell r="A1237" t="str">
            <v>RUX2C72</v>
          </cell>
          <cell r="B1237">
            <v>45988</v>
          </cell>
          <cell r="C1237">
            <v>45989</v>
          </cell>
          <cell r="D1237" t="str">
            <v/>
          </cell>
          <cell r="E1237">
            <v>45989</v>
          </cell>
        </row>
        <row r="1238">
          <cell r="A1238" t="str">
            <v>RUX2C73</v>
          </cell>
          <cell r="B1238">
            <v>45966</v>
          </cell>
          <cell r="C1238" t="str">
            <v/>
          </cell>
          <cell r="D1238" t="str">
            <v/>
          </cell>
          <cell r="E1238">
            <v>45966</v>
          </cell>
        </row>
        <row r="1239">
          <cell r="A1239" t="str">
            <v>RUX2C76</v>
          </cell>
          <cell r="B1239">
            <v>45985</v>
          </cell>
          <cell r="C1239" t="str">
            <v/>
          </cell>
          <cell r="D1239" t="str">
            <v/>
          </cell>
          <cell r="E1239">
            <v>45985</v>
          </cell>
        </row>
        <row r="1240">
          <cell r="A1240" t="str">
            <v>RUX2C77</v>
          </cell>
          <cell r="B1240">
            <v>45988</v>
          </cell>
          <cell r="C1240">
            <v>45989</v>
          </cell>
          <cell r="D1240" t="str">
            <v/>
          </cell>
          <cell r="E1240">
            <v>45989</v>
          </cell>
        </row>
        <row r="1241">
          <cell r="A1241" t="str">
            <v>RUX2C78</v>
          </cell>
          <cell r="B1241">
            <v>45957</v>
          </cell>
          <cell r="C1241" t="str">
            <v/>
          </cell>
          <cell r="D1241" t="str">
            <v/>
          </cell>
          <cell r="E1241">
            <v>45957</v>
          </cell>
        </row>
        <row r="1242">
          <cell r="A1242" t="str">
            <v>RUX2C79</v>
          </cell>
          <cell r="B1242">
            <v>45938</v>
          </cell>
          <cell r="C1242" t="str">
            <v/>
          </cell>
          <cell r="D1242" t="str">
            <v/>
          </cell>
          <cell r="E1242">
            <v>45938</v>
          </cell>
        </row>
        <row r="1243">
          <cell r="A1243" t="str">
            <v>RUX2C80</v>
          </cell>
          <cell r="B1243">
            <v>45988</v>
          </cell>
          <cell r="C1243">
            <v>45989</v>
          </cell>
          <cell r="D1243" t="str">
            <v/>
          </cell>
          <cell r="E1243">
            <v>45989</v>
          </cell>
        </row>
        <row r="1244">
          <cell r="A1244" t="str">
            <v>RUX2C85</v>
          </cell>
          <cell r="B1244">
            <v>45987</v>
          </cell>
          <cell r="C1244" t="str">
            <v/>
          </cell>
          <cell r="D1244" t="str">
            <v/>
          </cell>
          <cell r="E1244">
            <v>45987</v>
          </cell>
        </row>
        <row r="1245">
          <cell r="A1245" t="str">
            <v>RUX2C87</v>
          </cell>
          <cell r="B1245">
            <v>45988</v>
          </cell>
          <cell r="C1245">
            <v>45989</v>
          </cell>
          <cell r="D1245" t="str">
            <v/>
          </cell>
          <cell r="E1245">
            <v>45989</v>
          </cell>
        </row>
        <row r="1246">
          <cell r="A1246" t="str">
            <v>RUX2D04</v>
          </cell>
          <cell r="B1246">
            <v>45933</v>
          </cell>
          <cell r="C1246" t="str">
            <v/>
          </cell>
          <cell r="D1246" t="str">
            <v/>
          </cell>
          <cell r="E1246">
            <v>45933</v>
          </cell>
        </row>
        <row r="1247">
          <cell r="A1247" t="str">
            <v>RUX2D10</v>
          </cell>
          <cell r="B1247">
            <v>45982</v>
          </cell>
          <cell r="C1247" t="str">
            <v/>
          </cell>
          <cell r="D1247" t="str">
            <v/>
          </cell>
          <cell r="E1247">
            <v>45982</v>
          </cell>
        </row>
        <row r="1248">
          <cell r="A1248" t="str">
            <v>RUX2D15</v>
          </cell>
          <cell r="B1248">
            <v>45932</v>
          </cell>
          <cell r="C1248" t="str">
            <v/>
          </cell>
          <cell r="D1248" t="str">
            <v/>
          </cell>
          <cell r="E1248">
            <v>45932</v>
          </cell>
        </row>
        <row r="1249">
          <cell r="A1249" t="str">
            <v>RUX2D16</v>
          </cell>
          <cell r="B1249">
            <v>45986</v>
          </cell>
          <cell r="C1249" t="str">
            <v/>
          </cell>
          <cell r="D1249" t="str">
            <v/>
          </cell>
          <cell r="E1249">
            <v>45986</v>
          </cell>
        </row>
        <row r="1250">
          <cell r="A1250" t="str">
            <v>RUX2D17</v>
          </cell>
          <cell r="B1250" t="str">
            <v xml:space="preserve"> </v>
          </cell>
          <cell r="C1250" t="str">
            <v/>
          </cell>
          <cell r="D1250" t="str">
            <v/>
          </cell>
          <cell r="E1250">
            <v>0</v>
          </cell>
        </row>
        <row r="1251">
          <cell r="A1251" t="str">
            <v>RUX2D18</v>
          </cell>
          <cell r="B1251">
            <v>45943</v>
          </cell>
          <cell r="C1251" t="str">
            <v/>
          </cell>
          <cell r="D1251" t="str">
            <v/>
          </cell>
          <cell r="E1251">
            <v>45943</v>
          </cell>
        </row>
        <row r="1252">
          <cell r="A1252" t="str">
            <v>RUX2D20</v>
          </cell>
          <cell r="B1252">
            <v>45988</v>
          </cell>
          <cell r="C1252">
            <v>45989</v>
          </cell>
          <cell r="D1252" t="str">
            <v/>
          </cell>
          <cell r="E1252">
            <v>45989</v>
          </cell>
        </row>
        <row r="1253">
          <cell r="A1253" t="str">
            <v>RUX2D23</v>
          </cell>
          <cell r="B1253">
            <v>45943</v>
          </cell>
          <cell r="C1253" t="str">
            <v/>
          </cell>
          <cell r="D1253" t="str">
            <v/>
          </cell>
          <cell r="E1253">
            <v>45943</v>
          </cell>
        </row>
        <row r="1254">
          <cell r="A1254" t="str">
            <v>RUX2J08</v>
          </cell>
          <cell r="B1254">
            <v>45927</v>
          </cell>
          <cell r="C1254" t="str">
            <v/>
          </cell>
          <cell r="D1254" t="str">
            <v/>
          </cell>
          <cell r="E1254">
            <v>45927</v>
          </cell>
        </row>
        <row r="1255">
          <cell r="A1255" t="str">
            <v>RUX2J10</v>
          </cell>
          <cell r="B1255">
            <v>45878</v>
          </cell>
          <cell r="C1255" t="str">
            <v/>
          </cell>
          <cell r="D1255" t="str">
            <v/>
          </cell>
          <cell r="E1255">
            <v>45878</v>
          </cell>
        </row>
        <row r="1256">
          <cell r="A1256" t="str">
            <v>RUX2J11</v>
          </cell>
          <cell r="B1256">
            <v>45780</v>
          </cell>
          <cell r="C1256" t="str">
            <v/>
          </cell>
          <cell r="D1256" t="str">
            <v/>
          </cell>
          <cell r="E1256">
            <v>45780</v>
          </cell>
        </row>
        <row r="1257">
          <cell r="A1257" t="str">
            <v>RUX2J13</v>
          </cell>
          <cell r="B1257">
            <v>45912</v>
          </cell>
          <cell r="C1257" t="str">
            <v/>
          </cell>
          <cell r="D1257" t="str">
            <v/>
          </cell>
          <cell r="E1257">
            <v>45912</v>
          </cell>
        </row>
        <row r="1258">
          <cell r="A1258" t="str">
            <v>RUX2J14</v>
          </cell>
          <cell r="B1258">
            <v>45988</v>
          </cell>
          <cell r="C1258">
            <v>45989</v>
          </cell>
          <cell r="D1258" t="str">
            <v/>
          </cell>
          <cell r="E1258">
            <v>45989</v>
          </cell>
        </row>
        <row r="1259">
          <cell r="A1259" t="str">
            <v>RUX2J16</v>
          </cell>
          <cell r="B1259">
            <v>45929</v>
          </cell>
          <cell r="C1259" t="str">
            <v/>
          </cell>
          <cell r="D1259" t="str">
            <v/>
          </cell>
          <cell r="E1259">
            <v>45929</v>
          </cell>
        </row>
        <row r="1260">
          <cell r="A1260" t="str">
            <v>RUX2J18</v>
          </cell>
          <cell r="B1260">
            <v>45927</v>
          </cell>
          <cell r="C1260" t="str">
            <v/>
          </cell>
          <cell r="D1260" t="str">
            <v/>
          </cell>
          <cell r="E1260">
            <v>45927</v>
          </cell>
        </row>
        <row r="1261">
          <cell r="A1261" t="str">
            <v>RUX2J19</v>
          </cell>
          <cell r="B1261">
            <v>45988</v>
          </cell>
          <cell r="C1261">
            <v>45989</v>
          </cell>
          <cell r="D1261" t="str">
            <v/>
          </cell>
          <cell r="E1261">
            <v>45989</v>
          </cell>
        </row>
        <row r="1262">
          <cell r="A1262" t="str">
            <v>RUX2J35</v>
          </cell>
          <cell r="B1262">
            <v>45983</v>
          </cell>
          <cell r="C1262">
            <v>45989</v>
          </cell>
          <cell r="D1262" t="str">
            <v/>
          </cell>
          <cell r="E1262">
            <v>45989</v>
          </cell>
        </row>
        <row r="1263">
          <cell r="A1263" t="str">
            <v>RUY0I50</v>
          </cell>
          <cell r="B1263">
            <v>45940</v>
          </cell>
          <cell r="C1263" t="str">
            <v/>
          </cell>
          <cell r="D1263" t="str">
            <v/>
          </cell>
          <cell r="E1263">
            <v>45940</v>
          </cell>
        </row>
        <row r="1264">
          <cell r="A1264" t="str">
            <v>RUY0I52</v>
          </cell>
          <cell r="B1264">
            <v>45989</v>
          </cell>
          <cell r="C1264">
            <v>45989</v>
          </cell>
          <cell r="D1264" t="str">
            <v/>
          </cell>
          <cell r="E1264">
            <v>45989</v>
          </cell>
        </row>
        <row r="1265">
          <cell r="A1265" t="str">
            <v>RUY2E07</v>
          </cell>
          <cell r="B1265">
            <v>45989</v>
          </cell>
          <cell r="C1265">
            <v>45989</v>
          </cell>
          <cell r="D1265" t="str">
            <v/>
          </cell>
          <cell r="E1265">
            <v>45989</v>
          </cell>
        </row>
        <row r="1266">
          <cell r="A1266" t="str">
            <v>RUY3D33</v>
          </cell>
          <cell r="B1266">
            <v>45928</v>
          </cell>
          <cell r="C1266" t="str">
            <v/>
          </cell>
          <cell r="D1266" t="str">
            <v/>
          </cell>
          <cell r="E1266">
            <v>45928</v>
          </cell>
        </row>
        <row r="1267">
          <cell r="A1267" t="str">
            <v>RUY3D36</v>
          </cell>
          <cell r="B1267">
            <v>45989</v>
          </cell>
          <cell r="C1267">
            <v>45989</v>
          </cell>
          <cell r="D1267" t="str">
            <v/>
          </cell>
          <cell r="E1267">
            <v>45989</v>
          </cell>
        </row>
        <row r="1268">
          <cell r="A1268" t="str">
            <v>RUZ7J95</v>
          </cell>
          <cell r="B1268">
            <v>45989</v>
          </cell>
          <cell r="C1268" t="str">
            <v/>
          </cell>
          <cell r="D1268" t="str">
            <v/>
          </cell>
          <cell r="E1268">
            <v>45989</v>
          </cell>
        </row>
        <row r="1269">
          <cell r="A1269" t="str">
            <v>RUZ8A12</v>
          </cell>
          <cell r="B1269">
            <v>45989</v>
          </cell>
          <cell r="C1269" t="str">
            <v/>
          </cell>
          <cell r="D1269" t="str">
            <v/>
          </cell>
          <cell r="E1269">
            <v>45989</v>
          </cell>
        </row>
        <row r="1270">
          <cell r="A1270" t="str">
            <v>RUZ8A13</v>
          </cell>
          <cell r="B1270">
            <v>45988</v>
          </cell>
          <cell r="C1270" t="str">
            <v/>
          </cell>
          <cell r="D1270" t="str">
            <v/>
          </cell>
          <cell r="E1270">
            <v>45988</v>
          </cell>
        </row>
        <row r="1271">
          <cell r="A1271" t="str">
            <v>RUZ8A27</v>
          </cell>
          <cell r="B1271">
            <v>45989</v>
          </cell>
          <cell r="C1271" t="str">
            <v/>
          </cell>
          <cell r="D1271" t="str">
            <v/>
          </cell>
          <cell r="E1271">
            <v>45989</v>
          </cell>
        </row>
        <row r="1272">
          <cell r="A1272" t="str">
            <v>RUZ8A32</v>
          </cell>
          <cell r="B1272">
            <v>45961</v>
          </cell>
          <cell r="C1272" t="str">
            <v/>
          </cell>
          <cell r="D1272" t="str">
            <v/>
          </cell>
          <cell r="E1272">
            <v>45961</v>
          </cell>
        </row>
        <row r="1273">
          <cell r="A1273" t="str">
            <v>RUZ8A36</v>
          </cell>
          <cell r="B1273">
            <v>45988</v>
          </cell>
          <cell r="C1273" t="str">
            <v/>
          </cell>
          <cell r="D1273" t="str">
            <v/>
          </cell>
          <cell r="E1273">
            <v>45988</v>
          </cell>
        </row>
        <row r="1274">
          <cell r="A1274" t="str">
            <v>RUZ8A38</v>
          </cell>
          <cell r="B1274">
            <v>45989</v>
          </cell>
          <cell r="C1274" t="str">
            <v/>
          </cell>
          <cell r="D1274" t="str">
            <v/>
          </cell>
          <cell r="E1274">
            <v>45989</v>
          </cell>
        </row>
        <row r="1275">
          <cell r="A1275" t="str">
            <v>RUZ8A39</v>
          </cell>
          <cell r="B1275">
            <v>45875</v>
          </cell>
          <cell r="C1275" t="str">
            <v/>
          </cell>
          <cell r="D1275" t="str">
            <v/>
          </cell>
          <cell r="E1275">
            <v>45875</v>
          </cell>
        </row>
        <row r="1276">
          <cell r="A1276" t="str">
            <v>RUZ8A40</v>
          </cell>
          <cell r="B1276">
            <v>45673</v>
          </cell>
          <cell r="C1276" t="str">
            <v/>
          </cell>
          <cell r="D1276" t="str">
            <v/>
          </cell>
          <cell r="E1276">
            <v>45673</v>
          </cell>
        </row>
        <row r="1277">
          <cell r="A1277" t="str">
            <v>RUZ8A41</v>
          </cell>
          <cell r="B1277">
            <v>45989</v>
          </cell>
          <cell r="C1277" t="str">
            <v/>
          </cell>
          <cell r="D1277" t="str">
            <v/>
          </cell>
          <cell r="E1277">
            <v>45989</v>
          </cell>
        </row>
        <row r="1278">
          <cell r="A1278" t="str">
            <v>RUZ8A43</v>
          </cell>
          <cell r="B1278">
            <v>45987</v>
          </cell>
          <cell r="C1278" t="str">
            <v/>
          </cell>
          <cell r="D1278" t="str">
            <v/>
          </cell>
          <cell r="E1278">
            <v>45987</v>
          </cell>
        </row>
        <row r="1279">
          <cell r="A1279" t="str">
            <v>RUZ8A53</v>
          </cell>
          <cell r="B1279">
            <v>45935</v>
          </cell>
          <cell r="C1279" t="str">
            <v/>
          </cell>
          <cell r="D1279" t="str">
            <v/>
          </cell>
          <cell r="E1279">
            <v>45935</v>
          </cell>
        </row>
        <row r="1280">
          <cell r="A1280" t="str">
            <v>RUZ9B68</v>
          </cell>
          <cell r="B1280">
            <v>45861</v>
          </cell>
          <cell r="C1280" t="str">
            <v/>
          </cell>
          <cell r="D1280" t="str">
            <v/>
          </cell>
          <cell r="E1280">
            <v>45861</v>
          </cell>
        </row>
        <row r="1281">
          <cell r="A1281" t="str">
            <v>RUZ9B72</v>
          </cell>
          <cell r="B1281" t="str">
            <v xml:space="preserve"> </v>
          </cell>
          <cell r="C1281" t="str">
            <v/>
          </cell>
          <cell r="D1281" t="str">
            <v/>
          </cell>
          <cell r="E1281">
            <v>0</v>
          </cell>
        </row>
        <row r="1282">
          <cell r="A1282" t="str">
            <v>RUZ9B73</v>
          </cell>
          <cell r="B1282" t="str">
            <v xml:space="preserve"> </v>
          </cell>
          <cell r="C1282" t="str">
            <v/>
          </cell>
          <cell r="D1282" t="str">
            <v/>
          </cell>
          <cell r="E1282">
            <v>0</v>
          </cell>
        </row>
        <row r="1283">
          <cell r="A1283" t="str">
            <v>RUZ9B74</v>
          </cell>
          <cell r="B1283">
            <v>45848</v>
          </cell>
          <cell r="C1283" t="str">
            <v/>
          </cell>
          <cell r="D1283" t="str">
            <v/>
          </cell>
          <cell r="E1283">
            <v>45848</v>
          </cell>
        </row>
        <row r="1284">
          <cell r="A1284" t="str">
            <v>RUZ9B77</v>
          </cell>
          <cell r="B1284">
            <v>45959</v>
          </cell>
          <cell r="C1284" t="str">
            <v/>
          </cell>
          <cell r="D1284" t="str">
            <v/>
          </cell>
          <cell r="E1284">
            <v>45959</v>
          </cell>
        </row>
        <row r="1285">
          <cell r="A1285" t="str">
            <v>RUZ9B78</v>
          </cell>
          <cell r="B1285">
            <v>45849</v>
          </cell>
          <cell r="C1285" t="str">
            <v/>
          </cell>
          <cell r="D1285" t="str">
            <v/>
          </cell>
          <cell r="E1285">
            <v>45849</v>
          </cell>
        </row>
        <row r="1286">
          <cell r="A1286" t="str">
            <v>RVA2J29</v>
          </cell>
          <cell r="B1286">
            <v>45989</v>
          </cell>
          <cell r="C1286" t="str">
            <v/>
          </cell>
          <cell r="D1286" t="str">
            <v/>
          </cell>
          <cell r="E1286">
            <v>45989</v>
          </cell>
        </row>
        <row r="1287">
          <cell r="A1287" t="str">
            <v>RVA2J33</v>
          </cell>
          <cell r="B1287">
            <v>45900</v>
          </cell>
          <cell r="C1287" t="str">
            <v/>
          </cell>
          <cell r="D1287" t="str">
            <v/>
          </cell>
          <cell r="E1287">
            <v>45900</v>
          </cell>
        </row>
        <row r="1288">
          <cell r="A1288" t="str">
            <v>RVA2J35</v>
          </cell>
          <cell r="B1288">
            <v>45988</v>
          </cell>
          <cell r="C1288" t="str">
            <v/>
          </cell>
          <cell r="D1288" t="str">
            <v/>
          </cell>
          <cell r="E1288">
            <v>45988</v>
          </cell>
        </row>
        <row r="1289">
          <cell r="A1289" t="str">
            <v>RVA2J36</v>
          </cell>
          <cell r="B1289">
            <v>45989</v>
          </cell>
          <cell r="C1289" t="str">
            <v/>
          </cell>
          <cell r="D1289" t="str">
            <v/>
          </cell>
          <cell r="E1289">
            <v>45989</v>
          </cell>
        </row>
        <row r="1290">
          <cell r="A1290" t="str">
            <v>RVA2J45</v>
          </cell>
          <cell r="B1290">
            <v>45908</v>
          </cell>
          <cell r="C1290" t="str">
            <v/>
          </cell>
          <cell r="D1290" t="str">
            <v/>
          </cell>
          <cell r="E1290">
            <v>45908</v>
          </cell>
        </row>
        <row r="1291">
          <cell r="A1291" t="str">
            <v>RVA2J52</v>
          </cell>
          <cell r="B1291">
            <v>45709</v>
          </cell>
          <cell r="C1291" t="str">
            <v/>
          </cell>
          <cell r="D1291" t="str">
            <v/>
          </cell>
          <cell r="E1291">
            <v>45709</v>
          </cell>
        </row>
        <row r="1292">
          <cell r="A1292" t="str">
            <v>RVA2J55</v>
          </cell>
          <cell r="B1292" t="str">
            <v xml:space="preserve"> </v>
          </cell>
          <cell r="C1292" t="str">
            <v/>
          </cell>
          <cell r="D1292" t="str">
            <v/>
          </cell>
          <cell r="E1292">
            <v>0</v>
          </cell>
        </row>
        <row r="1293">
          <cell r="A1293" t="str">
            <v>RVA2J57</v>
          </cell>
          <cell r="B1293">
            <v>45989</v>
          </cell>
          <cell r="C1293">
            <v>45989</v>
          </cell>
          <cell r="D1293" t="str">
            <v/>
          </cell>
          <cell r="E1293">
            <v>45989</v>
          </cell>
        </row>
        <row r="1294">
          <cell r="A1294" t="str">
            <v>RVA2J63</v>
          </cell>
          <cell r="B1294">
            <v>45821</v>
          </cell>
          <cell r="C1294" t="str">
            <v/>
          </cell>
          <cell r="D1294" t="str">
            <v/>
          </cell>
          <cell r="E1294">
            <v>45821</v>
          </cell>
        </row>
        <row r="1295">
          <cell r="A1295" t="str">
            <v>RVA2J99</v>
          </cell>
          <cell r="B1295">
            <v>45989</v>
          </cell>
          <cell r="C1295" t="str">
            <v/>
          </cell>
          <cell r="D1295" t="str">
            <v/>
          </cell>
          <cell r="E1295">
            <v>45989</v>
          </cell>
        </row>
        <row r="1296">
          <cell r="A1296" t="str">
            <v>RVB0J72</v>
          </cell>
          <cell r="B1296">
            <v>45900</v>
          </cell>
          <cell r="C1296" t="str">
            <v/>
          </cell>
          <cell r="D1296" t="str">
            <v/>
          </cell>
          <cell r="E1296">
            <v>45900</v>
          </cell>
        </row>
        <row r="1297">
          <cell r="A1297" t="str">
            <v>RVB0J92</v>
          </cell>
          <cell r="B1297">
            <v>45899</v>
          </cell>
          <cell r="C1297" t="str">
            <v/>
          </cell>
          <cell r="D1297" t="str">
            <v/>
          </cell>
          <cell r="E1297">
            <v>45899</v>
          </cell>
        </row>
        <row r="1298">
          <cell r="A1298" t="str">
            <v>RVB0J97</v>
          </cell>
          <cell r="B1298">
            <v>45922</v>
          </cell>
          <cell r="C1298" t="str">
            <v/>
          </cell>
          <cell r="D1298" t="str">
            <v/>
          </cell>
          <cell r="E1298">
            <v>45922</v>
          </cell>
        </row>
        <row r="1299">
          <cell r="A1299" t="str">
            <v>RVB1A01</v>
          </cell>
          <cell r="B1299">
            <v>45929</v>
          </cell>
          <cell r="C1299" t="str">
            <v/>
          </cell>
          <cell r="D1299" t="str">
            <v/>
          </cell>
          <cell r="E1299">
            <v>45929</v>
          </cell>
        </row>
        <row r="1300">
          <cell r="A1300" t="str">
            <v>RVB1A02</v>
          </cell>
          <cell r="B1300">
            <v>45989</v>
          </cell>
          <cell r="C1300">
            <v>45989</v>
          </cell>
          <cell r="D1300" t="str">
            <v/>
          </cell>
          <cell r="E1300">
            <v>45989</v>
          </cell>
        </row>
        <row r="1301">
          <cell r="A1301" t="str">
            <v>RVB7H42</v>
          </cell>
          <cell r="B1301">
            <v>45737</v>
          </cell>
          <cell r="C1301" t="str">
            <v/>
          </cell>
          <cell r="D1301" t="str">
            <v/>
          </cell>
          <cell r="E1301">
            <v>45737</v>
          </cell>
        </row>
        <row r="1302">
          <cell r="A1302" t="str">
            <v>RVB7H44</v>
          </cell>
          <cell r="B1302">
            <v>45542</v>
          </cell>
          <cell r="C1302" t="str">
            <v/>
          </cell>
          <cell r="D1302" t="str">
            <v/>
          </cell>
          <cell r="E1302">
            <v>45542</v>
          </cell>
        </row>
        <row r="1303">
          <cell r="A1303" t="str">
            <v>RVB7H45</v>
          </cell>
          <cell r="B1303" t="str">
            <v xml:space="preserve"> </v>
          </cell>
          <cell r="C1303" t="str">
            <v/>
          </cell>
          <cell r="D1303" t="str">
            <v/>
          </cell>
          <cell r="E1303">
            <v>0</v>
          </cell>
        </row>
        <row r="1304">
          <cell r="A1304" t="str">
            <v>RVB7H59</v>
          </cell>
          <cell r="B1304">
            <v>45648</v>
          </cell>
          <cell r="C1304" t="str">
            <v/>
          </cell>
          <cell r="D1304" t="str">
            <v/>
          </cell>
          <cell r="E1304">
            <v>45648</v>
          </cell>
        </row>
        <row r="1305">
          <cell r="A1305" t="str">
            <v>RVB7H67</v>
          </cell>
          <cell r="B1305" t="str">
            <v xml:space="preserve"> </v>
          </cell>
          <cell r="C1305" t="str">
            <v/>
          </cell>
          <cell r="D1305" t="str">
            <v/>
          </cell>
          <cell r="E1305">
            <v>0</v>
          </cell>
        </row>
        <row r="1306">
          <cell r="A1306" t="str">
            <v>RVB7H81</v>
          </cell>
          <cell r="B1306">
            <v>45674</v>
          </cell>
          <cell r="C1306" t="str">
            <v/>
          </cell>
          <cell r="D1306" t="str">
            <v/>
          </cell>
          <cell r="E1306">
            <v>45674</v>
          </cell>
        </row>
        <row r="1307">
          <cell r="A1307" t="str">
            <v>RVB7H85</v>
          </cell>
          <cell r="B1307">
            <v>45825</v>
          </cell>
          <cell r="C1307" t="str">
            <v/>
          </cell>
          <cell r="D1307" t="str">
            <v/>
          </cell>
          <cell r="E1307">
            <v>45825</v>
          </cell>
        </row>
        <row r="1308">
          <cell r="A1308" t="str">
            <v>RVB7H99</v>
          </cell>
          <cell r="B1308">
            <v>45656</v>
          </cell>
          <cell r="C1308" t="str">
            <v/>
          </cell>
          <cell r="D1308" t="str">
            <v/>
          </cell>
          <cell r="E1308">
            <v>45656</v>
          </cell>
        </row>
        <row r="1309">
          <cell r="A1309" t="str">
            <v>RVB7I04</v>
          </cell>
          <cell r="B1309">
            <v>45810</v>
          </cell>
          <cell r="C1309" t="str">
            <v/>
          </cell>
          <cell r="D1309" t="str">
            <v/>
          </cell>
          <cell r="E1309">
            <v>45810</v>
          </cell>
        </row>
        <row r="1310">
          <cell r="A1310" t="str">
            <v>RVB7I20</v>
          </cell>
          <cell r="B1310">
            <v>45810</v>
          </cell>
          <cell r="C1310" t="str">
            <v/>
          </cell>
          <cell r="D1310" t="str">
            <v/>
          </cell>
          <cell r="E1310">
            <v>45810</v>
          </cell>
        </row>
        <row r="1311">
          <cell r="A1311" t="str">
            <v>RVB7I22</v>
          </cell>
          <cell r="B1311">
            <v>45643</v>
          </cell>
          <cell r="C1311" t="str">
            <v/>
          </cell>
          <cell r="D1311" t="str">
            <v/>
          </cell>
          <cell r="E1311">
            <v>45643</v>
          </cell>
        </row>
        <row r="1312">
          <cell r="A1312" t="str">
            <v>RVB8A63</v>
          </cell>
          <cell r="B1312">
            <v>45865</v>
          </cell>
          <cell r="C1312" t="str">
            <v/>
          </cell>
          <cell r="D1312" t="str">
            <v/>
          </cell>
          <cell r="E1312">
            <v>45865</v>
          </cell>
        </row>
        <row r="1313">
          <cell r="A1313" t="str">
            <v>RVB8A64</v>
          </cell>
          <cell r="B1313">
            <v>45820</v>
          </cell>
          <cell r="C1313" t="str">
            <v/>
          </cell>
          <cell r="D1313" t="str">
            <v/>
          </cell>
          <cell r="E1313">
            <v>45820</v>
          </cell>
        </row>
        <row r="1314">
          <cell r="A1314" t="str">
            <v>RVB8A67</v>
          </cell>
          <cell r="B1314">
            <v>45865</v>
          </cell>
          <cell r="C1314" t="str">
            <v/>
          </cell>
          <cell r="D1314" t="str">
            <v/>
          </cell>
          <cell r="E1314">
            <v>45865</v>
          </cell>
        </row>
        <row r="1315">
          <cell r="A1315" t="str">
            <v>RVB8A68</v>
          </cell>
          <cell r="B1315">
            <v>45941</v>
          </cell>
          <cell r="C1315" t="str">
            <v/>
          </cell>
          <cell r="D1315" t="str">
            <v/>
          </cell>
          <cell r="E1315">
            <v>45941</v>
          </cell>
        </row>
        <row r="1316">
          <cell r="A1316" t="str">
            <v>RVB8A70</v>
          </cell>
          <cell r="B1316">
            <v>45864</v>
          </cell>
          <cell r="C1316" t="str">
            <v/>
          </cell>
          <cell r="D1316" t="str">
            <v/>
          </cell>
          <cell r="E1316">
            <v>45864</v>
          </cell>
        </row>
        <row r="1317">
          <cell r="A1317" t="str">
            <v>RVB8A71</v>
          </cell>
          <cell r="B1317" t="str">
            <v xml:space="preserve"> </v>
          </cell>
          <cell r="C1317" t="str">
            <v/>
          </cell>
          <cell r="D1317" t="str">
            <v/>
          </cell>
          <cell r="E1317">
            <v>0</v>
          </cell>
        </row>
        <row r="1318">
          <cell r="A1318" t="str">
            <v>RVB8A72</v>
          </cell>
          <cell r="B1318">
            <v>45864</v>
          </cell>
          <cell r="C1318" t="str">
            <v/>
          </cell>
          <cell r="D1318" t="str">
            <v/>
          </cell>
          <cell r="E1318">
            <v>45864</v>
          </cell>
        </row>
        <row r="1319">
          <cell r="A1319" t="str">
            <v>RVB8A73</v>
          </cell>
          <cell r="B1319">
            <v>45941</v>
          </cell>
          <cell r="C1319" t="str">
            <v/>
          </cell>
          <cell r="D1319" t="str">
            <v/>
          </cell>
          <cell r="E1319">
            <v>45941</v>
          </cell>
        </row>
        <row r="1320">
          <cell r="A1320" t="str">
            <v>RVB8A81</v>
          </cell>
          <cell r="B1320">
            <v>45987</v>
          </cell>
          <cell r="C1320" t="str">
            <v/>
          </cell>
          <cell r="D1320" t="str">
            <v/>
          </cell>
          <cell r="E1320">
            <v>45987</v>
          </cell>
        </row>
        <row r="1321">
          <cell r="A1321" t="str">
            <v>RVB8A83</v>
          </cell>
          <cell r="B1321">
            <v>45864</v>
          </cell>
          <cell r="C1321" t="str">
            <v/>
          </cell>
          <cell r="D1321" t="str">
            <v/>
          </cell>
          <cell r="E1321">
            <v>45864</v>
          </cell>
        </row>
        <row r="1322">
          <cell r="A1322" t="str">
            <v>RVB8A89</v>
          </cell>
          <cell r="B1322">
            <v>45936</v>
          </cell>
          <cell r="C1322" t="str">
            <v/>
          </cell>
          <cell r="D1322" t="str">
            <v/>
          </cell>
          <cell r="E1322">
            <v>45936</v>
          </cell>
        </row>
        <row r="1323">
          <cell r="A1323" t="str">
            <v>RVB8B05</v>
          </cell>
          <cell r="B1323">
            <v>45864</v>
          </cell>
          <cell r="C1323" t="str">
            <v/>
          </cell>
          <cell r="D1323" t="str">
            <v/>
          </cell>
          <cell r="E1323">
            <v>45864</v>
          </cell>
        </row>
        <row r="1324">
          <cell r="A1324" t="str">
            <v>RVC0J62</v>
          </cell>
          <cell r="B1324">
            <v>45989</v>
          </cell>
          <cell r="C1324">
            <v>45989</v>
          </cell>
          <cell r="D1324" t="str">
            <v/>
          </cell>
          <cell r="E1324">
            <v>45989</v>
          </cell>
        </row>
        <row r="1325">
          <cell r="A1325" t="str">
            <v>RVC0J66</v>
          </cell>
          <cell r="B1325">
            <v>45989</v>
          </cell>
          <cell r="C1325">
            <v>45989</v>
          </cell>
          <cell r="D1325" t="str">
            <v/>
          </cell>
          <cell r="E1325">
            <v>45989</v>
          </cell>
        </row>
        <row r="1326">
          <cell r="A1326" t="str">
            <v>RVC0J68</v>
          </cell>
          <cell r="B1326">
            <v>45989</v>
          </cell>
          <cell r="C1326">
            <v>45989</v>
          </cell>
          <cell r="D1326" t="str">
            <v/>
          </cell>
          <cell r="E1326">
            <v>45989</v>
          </cell>
        </row>
        <row r="1327">
          <cell r="A1327" t="str">
            <v>RVC0J80</v>
          </cell>
          <cell r="B1327">
            <v>45989</v>
          </cell>
          <cell r="C1327">
            <v>45989</v>
          </cell>
          <cell r="D1327" t="str">
            <v/>
          </cell>
          <cell r="E1327">
            <v>45989</v>
          </cell>
        </row>
        <row r="1328">
          <cell r="A1328" t="str">
            <v>RVC0J81</v>
          </cell>
          <cell r="B1328">
            <v>45944</v>
          </cell>
          <cell r="C1328" t="str">
            <v/>
          </cell>
          <cell r="D1328" t="str">
            <v/>
          </cell>
          <cell r="E1328">
            <v>45944</v>
          </cell>
        </row>
        <row r="1329">
          <cell r="A1329" t="str">
            <v>RVC0J86</v>
          </cell>
          <cell r="B1329">
            <v>45989</v>
          </cell>
          <cell r="C1329">
            <v>45989</v>
          </cell>
          <cell r="D1329" t="str">
            <v/>
          </cell>
          <cell r="E1329">
            <v>45989</v>
          </cell>
        </row>
        <row r="1330">
          <cell r="A1330" t="str">
            <v>RVC0J92</v>
          </cell>
          <cell r="B1330">
            <v>45989</v>
          </cell>
          <cell r="C1330">
            <v>45989</v>
          </cell>
          <cell r="D1330" t="str">
            <v/>
          </cell>
          <cell r="E1330">
            <v>45989</v>
          </cell>
        </row>
        <row r="1331">
          <cell r="A1331" t="str">
            <v>RVD4C67</v>
          </cell>
          <cell r="B1331">
            <v>45989</v>
          </cell>
          <cell r="C1331" t="str">
            <v/>
          </cell>
          <cell r="D1331" t="str">
            <v/>
          </cell>
          <cell r="E1331">
            <v>45989</v>
          </cell>
        </row>
        <row r="1332">
          <cell r="A1332" t="str">
            <v>RVD4C71</v>
          </cell>
          <cell r="B1332">
            <v>45988</v>
          </cell>
          <cell r="C1332">
            <v>45989</v>
          </cell>
          <cell r="D1332" t="str">
            <v/>
          </cell>
          <cell r="E1332">
            <v>45989</v>
          </cell>
        </row>
        <row r="1333">
          <cell r="A1333" t="str">
            <v>RVD4C73</v>
          </cell>
          <cell r="B1333">
            <v>45980</v>
          </cell>
          <cell r="C1333" t="str">
            <v/>
          </cell>
          <cell r="D1333" t="str">
            <v/>
          </cell>
          <cell r="E1333">
            <v>45980</v>
          </cell>
        </row>
        <row r="1334">
          <cell r="A1334" t="str">
            <v>RVD4C76</v>
          </cell>
          <cell r="B1334">
            <v>45989</v>
          </cell>
          <cell r="C1334" t="str">
            <v/>
          </cell>
          <cell r="D1334" t="str">
            <v/>
          </cell>
          <cell r="E1334">
            <v>45989</v>
          </cell>
        </row>
        <row r="1335">
          <cell r="A1335" t="str">
            <v>RVD4C77</v>
          </cell>
          <cell r="B1335">
            <v>45988</v>
          </cell>
          <cell r="C1335">
            <v>45989</v>
          </cell>
          <cell r="D1335" t="str">
            <v/>
          </cell>
          <cell r="E1335">
            <v>45989</v>
          </cell>
        </row>
        <row r="1336">
          <cell r="A1336" t="str">
            <v>RVD4C91</v>
          </cell>
          <cell r="B1336">
            <v>45744</v>
          </cell>
          <cell r="C1336" t="str">
            <v/>
          </cell>
          <cell r="D1336" t="str">
            <v/>
          </cell>
          <cell r="E1336">
            <v>45744</v>
          </cell>
        </row>
        <row r="1337">
          <cell r="A1337" t="str">
            <v>RVD4C92</v>
          </cell>
          <cell r="B1337">
            <v>45989</v>
          </cell>
          <cell r="C1337">
            <v>45989</v>
          </cell>
          <cell r="D1337" t="str">
            <v/>
          </cell>
          <cell r="E1337">
            <v>45989</v>
          </cell>
        </row>
        <row r="1338">
          <cell r="A1338" t="str">
            <v>RVD4C93</v>
          </cell>
          <cell r="B1338">
            <v>45988</v>
          </cell>
          <cell r="C1338">
            <v>45989</v>
          </cell>
          <cell r="D1338" t="str">
            <v/>
          </cell>
          <cell r="E1338">
            <v>45989</v>
          </cell>
        </row>
        <row r="1339">
          <cell r="A1339" t="str">
            <v>RVD4C94</v>
          </cell>
          <cell r="B1339" t="str">
            <v xml:space="preserve"> </v>
          </cell>
          <cell r="C1339" t="str">
            <v/>
          </cell>
          <cell r="D1339" t="str">
            <v/>
          </cell>
          <cell r="E1339">
            <v>0</v>
          </cell>
        </row>
        <row r="1340">
          <cell r="A1340" t="str">
            <v>RVD4D18</v>
          </cell>
          <cell r="B1340">
            <v>45932</v>
          </cell>
          <cell r="C1340" t="str">
            <v/>
          </cell>
          <cell r="D1340" t="str">
            <v/>
          </cell>
          <cell r="E1340">
            <v>45932</v>
          </cell>
        </row>
        <row r="1341">
          <cell r="A1341" t="str">
            <v>RVD4D19</v>
          </cell>
          <cell r="B1341">
            <v>45850</v>
          </cell>
          <cell r="C1341" t="str">
            <v/>
          </cell>
          <cell r="D1341" t="str">
            <v/>
          </cell>
          <cell r="E1341">
            <v>45850</v>
          </cell>
        </row>
        <row r="1342">
          <cell r="A1342" t="str">
            <v>RVD4D20</v>
          </cell>
          <cell r="B1342">
            <v>45945</v>
          </cell>
          <cell r="C1342" t="str">
            <v/>
          </cell>
          <cell r="D1342" t="str">
            <v/>
          </cell>
          <cell r="E1342">
            <v>45945</v>
          </cell>
        </row>
        <row r="1343">
          <cell r="A1343" t="str">
            <v>RVD4D21</v>
          </cell>
          <cell r="B1343">
            <v>45895</v>
          </cell>
          <cell r="C1343" t="str">
            <v/>
          </cell>
          <cell r="D1343" t="str">
            <v/>
          </cell>
          <cell r="E1343">
            <v>45895</v>
          </cell>
        </row>
        <row r="1344">
          <cell r="A1344" t="str">
            <v>RVD4D22</v>
          </cell>
          <cell r="B1344">
            <v>45931</v>
          </cell>
          <cell r="C1344" t="str">
            <v/>
          </cell>
          <cell r="D1344" t="str">
            <v/>
          </cell>
          <cell r="E1344">
            <v>45931</v>
          </cell>
        </row>
        <row r="1345">
          <cell r="A1345" t="str">
            <v>RVD4D24</v>
          </cell>
          <cell r="B1345">
            <v>45946</v>
          </cell>
          <cell r="C1345" t="str">
            <v/>
          </cell>
          <cell r="D1345" t="str">
            <v/>
          </cell>
          <cell r="E1345">
            <v>45946</v>
          </cell>
        </row>
        <row r="1346">
          <cell r="A1346" t="str">
            <v>RVD4D37</v>
          </cell>
          <cell r="B1346">
            <v>45909</v>
          </cell>
          <cell r="C1346" t="str">
            <v/>
          </cell>
          <cell r="D1346" t="str">
            <v/>
          </cell>
          <cell r="E1346">
            <v>45909</v>
          </cell>
        </row>
        <row r="1347">
          <cell r="A1347" t="str">
            <v>RVD4D40</v>
          </cell>
          <cell r="B1347">
            <v>45940</v>
          </cell>
          <cell r="C1347" t="str">
            <v/>
          </cell>
          <cell r="D1347" t="str">
            <v/>
          </cell>
          <cell r="E1347">
            <v>45940</v>
          </cell>
        </row>
        <row r="1348">
          <cell r="A1348" t="str">
            <v>RVD4D41</v>
          </cell>
          <cell r="B1348">
            <v>45988</v>
          </cell>
          <cell r="C1348">
            <v>45989</v>
          </cell>
          <cell r="D1348" t="str">
            <v/>
          </cell>
          <cell r="E1348">
            <v>45989</v>
          </cell>
        </row>
        <row r="1349">
          <cell r="A1349" t="str">
            <v>RVD8F81</v>
          </cell>
          <cell r="B1349">
            <v>45937</v>
          </cell>
          <cell r="C1349" t="str">
            <v/>
          </cell>
          <cell r="D1349" t="str">
            <v/>
          </cell>
          <cell r="E1349">
            <v>45937</v>
          </cell>
        </row>
        <row r="1350">
          <cell r="A1350" t="str">
            <v>RVD8G95</v>
          </cell>
          <cell r="B1350">
            <v>45930</v>
          </cell>
          <cell r="C1350" t="str">
            <v/>
          </cell>
          <cell r="D1350" t="str">
            <v/>
          </cell>
          <cell r="E1350">
            <v>45930</v>
          </cell>
        </row>
        <row r="1351">
          <cell r="A1351" t="str">
            <v>RVD8H33</v>
          </cell>
          <cell r="B1351">
            <v>45938</v>
          </cell>
          <cell r="C1351" t="str">
            <v/>
          </cell>
          <cell r="D1351" t="str">
            <v/>
          </cell>
          <cell r="E1351">
            <v>45938</v>
          </cell>
        </row>
        <row r="1352">
          <cell r="A1352" t="str">
            <v>RVD8H34</v>
          </cell>
          <cell r="B1352">
            <v>45936</v>
          </cell>
          <cell r="C1352" t="str">
            <v/>
          </cell>
          <cell r="D1352" t="str">
            <v/>
          </cell>
          <cell r="E1352">
            <v>45936</v>
          </cell>
        </row>
        <row r="1353">
          <cell r="A1353" t="str">
            <v>RVD8H35</v>
          </cell>
          <cell r="B1353">
            <v>45938</v>
          </cell>
          <cell r="C1353" t="str">
            <v/>
          </cell>
          <cell r="D1353" t="str">
            <v/>
          </cell>
          <cell r="E1353">
            <v>45938</v>
          </cell>
        </row>
        <row r="1354">
          <cell r="A1354" t="str">
            <v>RVD8H36</v>
          </cell>
          <cell r="B1354">
            <v>45936</v>
          </cell>
          <cell r="C1354" t="str">
            <v/>
          </cell>
          <cell r="D1354" t="str">
            <v/>
          </cell>
          <cell r="E1354">
            <v>45936</v>
          </cell>
        </row>
        <row r="1355">
          <cell r="A1355" t="str">
            <v>RVD8H60</v>
          </cell>
          <cell r="B1355">
            <v>45989</v>
          </cell>
          <cell r="C1355">
            <v>45989</v>
          </cell>
          <cell r="D1355" t="str">
            <v/>
          </cell>
          <cell r="E1355">
            <v>45989</v>
          </cell>
        </row>
        <row r="1356">
          <cell r="A1356" t="str">
            <v>RVD8H61</v>
          </cell>
          <cell r="B1356">
            <v>45936</v>
          </cell>
          <cell r="C1356" t="str">
            <v/>
          </cell>
          <cell r="D1356" t="str">
            <v/>
          </cell>
          <cell r="E1356">
            <v>45936</v>
          </cell>
        </row>
        <row r="1357">
          <cell r="A1357" t="str">
            <v>RVD8H69</v>
          </cell>
          <cell r="B1357">
            <v>45938</v>
          </cell>
          <cell r="C1357" t="str">
            <v/>
          </cell>
          <cell r="D1357" t="str">
            <v/>
          </cell>
          <cell r="E1357">
            <v>45938</v>
          </cell>
        </row>
        <row r="1358">
          <cell r="A1358" t="str">
            <v>RVD8H79</v>
          </cell>
          <cell r="B1358">
            <v>45916</v>
          </cell>
          <cell r="C1358" t="str">
            <v/>
          </cell>
          <cell r="D1358" t="str">
            <v/>
          </cell>
          <cell r="E1358">
            <v>45916</v>
          </cell>
        </row>
        <row r="1359">
          <cell r="A1359" t="str">
            <v>RVD9A37</v>
          </cell>
          <cell r="B1359">
            <v>45964</v>
          </cell>
          <cell r="C1359" t="str">
            <v/>
          </cell>
          <cell r="D1359" t="str">
            <v/>
          </cell>
          <cell r="E1359">
            <v>45964</v>
          </cell>
        </row>
        <row r="1360">
          <cell r="A1360" t="str">
            <v>RVD9A39</v>
          </cell>
          <cell r="B1360">
            <v>45989</v>
          </cell>
          <cell r="C1360">
            <v>45989</v>
          </cell>
          <cell r="D1360" t="str">
            <v/>
          </cell>
          <cell r="E1360">
            <v>45989</v>
          </cell>
        </row>
        <row r="1361">
          <cell r="A1361" t="str">
            <v>RVD9A40</v>
          </cell>
          <cell r="B1361">
            <v>45922</v>
          </cell>
          <cell r="C1361" t="str">
            <v/>
          </cell>
          <cell r="D1361" t="str">
            <v/>
          </cell>
          <cell r="E1361">
            <v>45922</v>
          </cell>
        </row>
        <row r="1362">
          <cell r="A1362" t="str">
            <v>RVD9A43</v>
          </cell>
          <cell r="B1362">
            <v>45875</v>
          </cell>
          <cell r="C1362" t="str">
            <v/>
          </cell>
          <cell r="D1362" t="str">
            <v/>
          </cell>
          <cell r="E1362">
            <v>45875</v>
          </cell>
        </row>
        <row r="1363">
          <cell r="A1363" t="str">
            <v>RVD9A44</v>
          </cell>
          <cell r="B1363">
            <v>45988</v>
          </cell>
          <cell r="C1363">
            <v>45989</v>
          </cell>
          <cell r="D1363" t="str">
            <v/>
          </cell>
          <cell r="E1363">
            <v>45989</v>
          </cell>
        </row>
        <row r="1364">
          <cell r="A1364" t="str">
            <v>RVD9A45</v>
          </cell>
          <cell r="B1364">
            <v>45988</v>
          </cell>
          <cell r="C1364">
            <v>45989</v>
          </cell>
          <cell r="D1364" t="str">
            <v/>
          </cell>
          <cell r="E1364">
            <v>45989</v>
          </cell>
        </row>
        <row r="1365">
          <cell r="A1365" t="str">
            <v>RVE1D19</v>
          </cell>
          <cell r="B1365">
            <v>45918</v>
          </cell>
          <cell r="C1365" t="str">
            <v/>
          </cell>
          <cell r="D1365" t="str">
            <v/>
          </cell>
          <cell r="E1365">
            <v>45918</v>
          </cell>
        </row>
        <row r="1366">
          <cell r="A1366" t="str">
            <v>RVE1D20</v>
          </cell>
          <cell r="B1366">
            <v>45935</v>
          </cell>
          <cell r="C1366" t="str">
            <v/>
          </cell>
          <cell r="D1366" t="str">
            <v/>
          </cell>
          <cell r="E1366">
            <v>45935</v>
          </cell>
        </row>
        <row r="1367">
          <cell r="A1367" t="str">
            <v>RVE1D21</v>
          </cell>
          <cell r="B1367" t="str">
            <v xml:space="preserve"> </v>
          </cell>
          <cell r="C1367" t="str">
            <v/>
          </cell>
          <cell r="D1367" t="str">
            <v/>
          </cell>
          <cell r="E1367">
            <v>0</v>
          </cell>
        </row>
        <row r="1368">
          <cell r="A1368" t="str">
            <v>RVE1D42</v>
          </cell>
          <cell r="B1368">
            <v>45987</v>
          </cell>
          <cell r="C1368" t="str">
            <v/>
          </cell>
          <cell r="D1368" t="str">
            <v/>
          </cell>
          <cell r="E1368">
            <v>45987</v>
          </cell>
        </row>
        <row r="1369">
          <cell r="A1369" t="str">
            <v>RVE1D49</v>
          </cell>
          <cell r="B1369">
            <v>45929</v>
          </cell>
          <cell r="C1369" t="str">
            <v/>
          </cell>
          <cell r="D1369" t="str">
            <v/>
          </cell>
          <cell r="E1369">
            <v>45929</v>
          </cell>
        </row>
        <row r="1370">
          <cell r="A1370" t="str">
            <v>RVE1D52</v>
          </cell>
          <cell r="B1370">
            <v>45930</v>
          </cell>
          <cell r="C1370" t="str">
            <v/>
          </cell>
          <cell r="D1370" t="str">
            <v/>
          </cell>
          <cell r="E1370">
            <v>45930</v>
          </cell>
        </row>
        <row r="1371">
          <cell r="A1371" t="str">
            <v>RVE2F23</v>
          </cell>
          <cell r="B1371">
            <v>45864</v>
          </cell>
          <cell r="C1371" t="str">
            <v/>
          </cell>
          <cell r="D1371" t="str">
            <v/>
          </cell>
          <cell r="E1371">
            <v>45864</v>
          </cell>
        </row>
        <row r="1372">
          <cell r="A1372" t="str">
            <v>RVE2F25</v>
          </cell>
          <cell r="B1372">
            <v>45936</v>
          </cell>
          <cell r="C1372" t="str">
            <v/>
          </cell>
          <cell r="D1372" t="str">
            <v/>
          </cell>
          <cell r="E1372">
            <v>45936</v>
          </cell>
        </row>
        <row r="1373">
          <cell r="A1373" t="str">
            <v>RVE2F27</v>
          </cell>
          <cell r="B1373">
            <v>45929</v>
          </cell>
          <cell r="C1373" t="str">
            <v/>
          </cell>
          <cell r="D1373" t="str">
            <v/>
          </cell>
          <cell r="E1373">
            <v>45929</v>
          </cell>
        </row>
        <row r="1374">
          <cell r="A1374" t="str">
            <v>RVE7B95</v>
          </cell>
          <cell r="B1374" t="str">
            <v xml:space="preserve"> </v>
          </cell>
          <cell r="C1374" t="str">
            <v/>
          </cell>
          <cell r="D1374" t="str">
            <v/>
          </cell>
          <cell r="E1374">
            <v>0</v>
          </cell>
        </row>
        <row r="1375">
          <cell r="A1375" t="str">
            <v>RVE7B97</v>
          </cell>
          <cell r="B1375">
            <v>45989</v>
          </cell>
          <cell r="C1375">
            <v>45989</v>
          </cell>
          <cell r="D1375" t="str">
            <v/>
          </cell>
          <cell r="E1375">
            <v>45989</v>
          </cell>
        </row>
        <row r="1376">
          <cell r="A1376" t="str">
            <v>RVE7B98</v>
          </cell>
          <cell r="B1376">
            <v>45908</v>
          </cell>
          <cell r="C1376" t="str">
            <v/>
          </cell>
          <cell r="D1376" t="str">
            <v/>
          </cell>
          <cell r="E1376">
            <v>45908</v>
          </cell>
        </row>
        <row r="1377">
          <cell r="A1377" t="str">
            <v>RVE7C02</v>
          </cell>
          <cell r="B1377">
            <v>45817</v>
          </cell>
          <cell r="C1377" t="str">
            <v/>
          </cell>
          <cell r="D1377" t="str">
            <v/>
          </cell>
          <cell r="E1377">
            <v>45817</v>
          </cell>
        </row>
        <row r="1378">
          <cell r="A1378" t="str">
            <v>RVE7C04</v>
          </cell>
          <cell r="B1378">
            <v>45941</v>
          </cell>
          <cell r="C1378" t="str">
            <v/>
          </cell>
          <cell r="D1378" t="str">
            <v/>
          </cell>
          <cell r="E1378">
            <v>45941</v>
          </cell>
        </row>
        <row r="1379">
          <cell r="A1379" t="str">
            <v>RVE7C05</v>
          </cell>
          <cell r="B1379" t="str">
            <v xml:space="preserve"> </v>
          </cell>
          <cell r="C1379">
            <v>45989</v>
          </cell>
          <cell r="D1379" t="str">
            <v/>
          </cell>
          <cell r="E1379">
            <v>45989</v>
          </cell>
        </row>
        <row r="1380">
          <cell r="A1380" t="str">
            <v>RVE7C06</v>
          </cell>
          <cell r="B1380">
            <v>45970</v>
          </cell>
          <cell r="C1380" t="str">
            <v/>
          </cell>
          <cell r="D1380" t="str">
            <v/>
          </cell>
          <cell r="E1380">
            <v>45970</v>
          </cell>
        </row>
        <row r="1381">
          <cell r="A1381" t="str">
            <v>RVG7D23</v>
          </cell>
          <cell r="B1381" t="str">
            <v xml:space="preserve"> </v>
          </cell>
          <cell r="C1381" t="str">
            <v/>
          </cell>
          <cell r="D1381" t="str">
            <v/>
          </cell>
          <cell r="E1381">
            <v>0</v>
          </cell>
        </row>
        <row r="1382">
          <cell r="A1382" t="str">
            <v>RVG7D29</v>
          </cell>
          <cell r="B1382">
            <v>45988</v>
          </cell>
          <cell r="C1382">
            <v>45989</v>
          </cell>
          <cell r="D1382" t="str">
            <v/>
          </cell>
          <cell r="E1382">
            <v>45989</v>
          </cell>
        </row>
        <row r="1383">
          <cell r="A1383" t="str">
            <v>RVG7D30</v>
          </cell>
          <cell r="B1383">
            <v>45929</v>
          </cell>
          <cell r="C1383" t="str">
            <v/>
          </cell>
          <cell r="D1383" t="str">
            <v/>
          </cell>
          <cell r="E1383">
            <v>45929</v>
          </cell>
        </row>
        <row r="1384">
          <cell r="A1384" t="str">
            <v>RVG7D32</v>
          </cell>
          <cell r="B1384">
            <v>45984</v>
          </cell>
          <cell r="C1384" t="str">
            <v/>
          </cell>
          <cell r="D1384" t="str">
            <v/>
          </cell>
          <cell r="E1384">
            <v>45984</v>
          </cell>
        </row>
        <row r="1385">
          <cell r="A1385" t="str">
            <v>RVI2B95</v>
          </cell>
          <cell r="B1385" t="str">
            <v xml:space="preserve"> </v>
          </cell>
          <cell r="C1385" t="str">
            <v/>
          </cell>
          <cell r="D1385" t="str">
            <v/>
          </cell>
          <cell r="E1385">
            <v>0</v>
          </cell>
        </row>
        <row r="1386">
          <cell r="A1386" t="str">
            <v>RVQ2D50</v>
          </cell>
          <cell r="B1386">
            <v>45989</v>
          </cell>
          <cell r="C1386" t="str">
            <v/>
          </cell>
          <cell r="D1386" t="str">
            <v/>
          </cell>
          <cell r="E1386">
            <v>45989</v>
          </cell>
        </row>
        <row r="1387">
          <cell r="A1387" t="str">
            <v>RVQ2D51</v>
          </cell>
          <cell r="B1387">
            <v>45930</v>
          </cell>
          <cell r="C1387" t="str">
            <v/>
          </cell>
          <cell r="D1387" t="str">
            <v/>
          </cell>
          <cell r="E1387">
            <v>45930</v>
          </cell>
        </row>
        <row r="1388">
          <cell r="A1388" t="str">
            <v>RVQ2D53</v>
          </cell>
          <cell r="B1388">
            <v>45989</v>
          </cell>
          <cell r="C1388" t="str">
            <v/>
          </cell>
          <cell r="D1388" t="str">
            <v/>
          </cell>
          <cell r="E1388">
            <v>45989</v>
          </cell>
        </row>
        <row r="1389">
          <cell r="A1389" t="str">
            <v>RVQ2D56</v>
          </cell>
          <cell r="B1389">
            <v>45891</v>
          </cell>
          <cell r="C1389" t="str">
            <v/>
          </cell>
          <cell r="D1389" t="str">
            <v/>
          </cell>
          <cell r="E1389">
            <v>45891</v>
          </cell>
        </row>
        <row r="1390">
          <cell r="A1390" t="str">
            <v>RVQ2D57</v>
          </cell>
          <cell r="B1390">
            <v>45987</v>
          </cell>
          <cell r="C1390" t="str">
            <v/>
          </cell>
          <cell r="D1390" t="str">
            <v/>
          </cell>
          <cell r="E1390">
            <v>45987</v>
          </cell>
        </row>
        <row r="1391">
          <cell r="A1391" t="str">
            <v>RVQ2D62</v>
          </cell>
          <cell r="B1391">
            <v>45989</v>
          </cell>
          <cell r="C1391">
            <v>45989</v>
          </cell>
          <cell r="D1391" t="str">
            <v/>
          </cell>
          <cell r="E1391">
            <v>45989</v>
          </cell>
        </row>
        <row r="1392">
          <cell r="A1392" t="str">
            <v>RVQ2D64</v>
          </cell>
          <cell r="B1392">
            <v>45938</v>
          </cell>
          <cell r="C1392" t="str">
            <v/>
          </cell>
          <cell r="D1392" t="str">
            <v/>
          </cell>
          <cell r="E1392">
            <v>45938</v>
          </cell>
        </row>
        <row r="1393">
          <cell r="A1393" t="str">
            <v>RVQ2D76</v>
          </cell>
          <cell r="B1393">
            <v>45936</v>
          </cell>
          <cell r="C1393" t="str">
            <v/>
          </cell>
          <cell r="D1393" t="str">
            <v/>
          </cell>
          <cell r="E1393">
            <v>45936</v>
          </cell>
        </row>
        <row r="1394">
          <cell r="A1394" t="str">
            <v>RVQ2D80</v>
          </cell>
          <cell r="B1394">
            <v>45988</v>
          </cell>
          <cell r="C1394" t="str">
            <v/>
          </cell>
          <cell r="D1394" t="str">
            <v/>
          </cell>
          <cell r="E1394">
            <v>45988</v>
          </cell>
        </row>
        <row r="1395">
          <cell r="A1395" t="str">
            <v>RVQ2D81</v>
          </cell>
          <cell r="B1395" t="str">
            <v xml:space="preserve"> </v>
          </cell>
          <cell r="C1395" t="str">
            <v/>
          </cell>
          <cell r="D1395" t="str">
            <v/>
          </cell>
          <cell r="E1395">
            <v>0</v>
          </cell>
        </row>
        <row r="1396">
          <cell r="A1396" t="str">
            <v>RVQ2D86</v>
          </cell>
          <cell r="B1396">
            <v>45677</v>
          </cell>
          <cell r="C1396" t="str">
            <v/>
          </cell>
          <cell r="D1396" t="str">
            <v/>
          </cell>
          <cell r="E1396">
            <v>45677</v>
          </cell>
        </row>
        <row r="1397">
          <cell r="A1397" t="str">
            <v>RVQ8G45</v>
          </cell>
          <cell r="B1397">
            <v>45986</v>
          </cell>
          <cell r="C1397" t="str">
            <v/>
          </cell>
          <cell r="D1397" t="str">
            <v/>
          </cell>
          <cell r="E1397">
            <v>45986</v>
          </cell>
        </row>
        <row r="1398">
          <cell r="A1398" t="str">
            <v>RVR7F66</v>
          </cell>
          <cell r="B1398">
            <v>45988</v>
          </cell>
          <cell r="C1398" t="str">
            <v/>
          </cell>
          <cell r="D1398" t="str">
            <v/>
          </cell>
          <cell r="E1398">
            <v>45988</v>
          </cell>
        </row>
        <row r="1399">
          <cell r="A1399" t="str">
            <v>RVR7F68</v>
          </cell>
          <cell r="B1399">
            <v>45988</v>
          </cell>
          <cell r="C1399" t="str">
            <v/>
          </cell>
          <cell r="D1399" t="str">
            <v/>
          </cell>
          <cell r="E1399">
            <v>45988</v>
          </cell>
        </row>
        <row r="1400">
          <cell r="A1400" t="str">
            <v>RVR9I52</v>
          </cell>
          <cell r="B1400">
            <v>45988</v>
          </cell>
          <cell r="C1400" t="str">
            <v/>
          </cell>
          <cell r="D1400" t="str">
            <v/>
          </cell>
          <cell r="E1400">
            <v>45988</v>
          </cell>
        </row>
        <row r="1401">
          <cell r="A1401" t="str">
            <v>RVR9I53</v>
          </cell>
          <cell r="B1401" t="str">
            <v xml:space="preserve"> </v>
          </cell>
          <cell r="C1401" t="str">
            <v/>
          </cell>
          <cell r="D1401" t="str">
            <v/>
          </cell>
          <cell r="E1401">
            <v>0</v>
          </cell>
        </row>
        <row r="1402">
          <cell r="A1402" t="str">
            <v>RVR9I54</v>
          </cell>
          <cell r="B1402">
            <v>45988</v>
          </cell>
          <cell r="C1402" t="str">
            <v/>
          </cell>
          <cell r="D1402" t="str">
            <v/>
          </cell>
          <cell r="E1402">
            <v>45988</v>
          </cell>
        </row>
        <row r="1403">
          <cell r="A1403" t="str">
            <v>RVS7H47</v>
          </cell>
          <cell r="B1403" t="str">
            <v xml:space="preserve"> </v>
          </cell>
          <cell r="C1403" t="str">
            <v/>
          </cell>
          <cell r="D1403" t="str">
            <v/>
          </cell>
          <cell r="E1403">
            <v>0</v>
          </cell>
        </row>
        <row r="1404">
          <cell r="A1404" t="str">
            <v>RVT4F15</v>
          </cell>
          <cell r="B1404">
            <v>45989</v>
          </cell>
          <cell r="C1404" t="str">
            <v/>
          </cell>
          <cell r="D1404" t="str">
            <v/>
          </cell>
          <cell r="E1404">
            <v>45989</v>
          </cell>
        </row>
        <row r="1405">
          <cell r="A1405" t="str">
            <v>RVT4F17</v>
          </cell>
          <cell r="B1405">
            <v>45848</v>
          </cell>
          <cell r="C1405" t="str">
            <v/>
          </cell>
          <cell r="D1405" t="str">
            <v/>
          </cell>
          <cell r="E1405">
            <v>45848</v>
          </cell>
        </row>
        <row r="1406">
          <cell r="A1406" t="str">
            <v>RVX0F84</v>
          </cell>
          <cell r="B1406" t="str">
            <v xml:space="preserve"> </v>
          </cell>
          <cell r="C1406" t="str">
            <v/>
          </cell>
          <cell r="D1406" t="str">
            <v/>
          </cell>
          <cell r="E1406">
            <v>0</v>
          </cell>
        </row>
        <row r="1407">
          <cell r="A1407" t="str">
            <v>RVX0G14</v>
          </cell>
          <cell r="B1407" t="str">
            <v xml:space="preserve"> </v>
          </cell>
          <cell r="C1407" t="str">
            <v/>
          </cell>
          <cell r="D1407" t="str">
            <v/>
          </cell>
          <cell r="E1407">
            <v>0</v>
          </cell>
        </row>
        <row r="1408">
          <cell r="A1408" t="str">
            <v>RVX0G50</v>
          </cell>
          <cell r="B1408" t="str">
            <v xml:space="preserve"> </v>
          </cell>
          <cell r="C1408" t="str">
            <v/>
          </cell>
          <cell r="D1408" t="str">
            <v/>
          </cell>
          <cell r="E1408">
            <v>0</v>
          </cell>
        </row>
        <row r="1409">
          <cell r="A1409" t="str">
            <v>RVX0G52</v>
          </cell>
          <cell r="B1409">
            <v>45989</v>
          </cell>
          <cell r="C1409">
            <v>45989</v>
          </cell>
          <cell r="D1409" t="str">
            <v/>
          </cell>
          <cell r="E1409">
            <v>45989</v>
          </cell>
        </row>
        <row r="1410">
          <cell r="A1410" t="str">
            <v>RVX0G53</v>
          </cell>
          <cell r="B1410">
            <v>45871</v>
          </cell>
          <cell r="C1410" t="str">
            <v/>
          </cell>
          <cell r="D1410" t="str">
            <v/>
          </cell>
          <cell r="E1410">
            <v>45871</v>
          </cell>
        </row>
        <row r="1411">
          <cell r="A1411" t="str">
            <v>RVX0G57</v>
          </cell>
          <cell r="B1411">
            <v>45742</v>
          </cell>
          <cell r="C1411" t="str">
            <v/>
          </cell>
          <cell r="D1411" t="str">
            <v/>
          </cell>
          <cell r="E1411">
            <v>45742</v>
          </cell>
        </row>
        <row r="1412">
          <cell r="A1412" t="str">
            <v>SDP3F46</v>
          </cell>
          <cell r="B1412">
            <v>45922</v>
          </cell>
          <cell r="C1412" t="str">
            <v/>
          </cell>
          <cell r="D1412" t="str">
            <v/>
          </cell>
          <cell r="E1412">
            <v>45922</v>
          </cell>
        </row>
        <row r="1413">
          <cell r="A1413" t="str">
            <v>SDP9I94</v>
          </cell>
          <cell r="B1413">
            <v>45989</v>
          </cell>
          <cell r="C1413">
            <v>45989</v>
          </cell>
          <cell r="D1413" t="str">
            <v/>
          </cell>
          <cell r="E1413">
            <v>45989</v>
          </cell>
        </row>
        <row r="1414">
          <cell r="A1414" t="str">
            <v>SDP9I95</v>
          </cell>
          <cell r="B1414">
            <v>45989</v>
          </cell>
          <cell r="C1414">
            <v>45989</v>
          </cell>
          <cell r="D1414" t="str">
            <v/>
          </cell>
          <cell r="E1414">
            <v>45989</v>
          </cell>
        </row>
        <row r="1415">
          <cell r="A1415" t="str">
            <v>SDP9I99</v>
          </cell>
          <cell r="B1415">
            <v>45654</v>
          </cell>
          <cell r="C1415" t="str">
            <v/>
          </cell>
          <cell r="D1415" t="str">
            <v/>
          </cell>
          <cell r="E1415">
            <v>45654</v>
          </cell>
        </row>
        <row r="1416">
          <cell r="A1416" t="str">
            <v>SDP9J01</v>
          </cell>
          <cell r="B1416">
            <v>45878</v>
          </cell>
          <cell r="C1416" t="str">
            <v/>
          </cell>
          <cell r="D1416" t="str">
            <v/>
          </cell>
          <cell r="E1416">
            <v>45878</v>
          </cell>
        </row>
        <row r="1417">
          <cell r="A1417" t="str">
            <v>SDP9J03</v>
          </cell>
          <cell r="B1417">
            <v>45982</v>
          </cell>
          <cell r="C1417" t="str">
            <v/>
          </cell>
          <cell r="D1417" t="str">
            <v/>
          </cell>
          <cell r="E1417">
            <v>45982</v>
          </cell>
        </row>
        <row r="1418">
          <cell r="A1418" t="str">
            <v>SDP9J04</v>
          </cell>
          <cell r="B1418">
            <v>45989</v>
          </cell>
          <cell r="C1418">
            <v>45989</v>
          </cell>
          <cell r="D1418" t="str">
            <v/>
          </cell>
          <cell r="E1418">
            <v>45989</v>
          </cell>
        </row>
        <row r="1419">
          <cell r="A1419" t="str">
            <v>SDP9J05</v>
          </cell>
          <cell r="B1419">
            <v>45948</v>
          </cell>
          <cell r="C1419" t="str">
            <v/>
          </cell>
          <cell r="D1419" t="str">
            <v/>
          </cell>
          <cell r="E1419">
            <v>45948</v>
          </cell>
        </row>
        <row r="1420">
          <cell r="A1420" t="str">
            <v>SDP9J07</v>
          </cell>
          <cell r="B1420">
            <v>45989</v>
          </cell>
          <cell r="C1420">
            <v>45989</v>
          </cell>
          <cell r="D1420" t="str">
            <v/>
          </cell>
          <cell r="E1420">
            <v>45989</v>
          </cell>
        </row>
        <row r="1421">
          <cell r="A1421" t="str">
            <v>SDP9J10</v>
          </cell>
          <cell r="B1421">
            <v>45899</v>
          </cell>
          <cell r="C1421" t="str">
            <v/>
          </cell>
          <cell r="D1421" t="str">
            <v/>
          </cell>
          <cell r="E1421">
            <v>45899</v>
          </cell>
        </row>
        <row r="1422">
          <cell r="A1422" t="str">
            <v>SDP9J13</v>
          </cell>
          <cell r="B1422">
            <v>45988</v>
          </cell>
          <cell r="C1422">
            <v>45989</v>
          </cell>
          <cell r="D1422" t="str">
            <v/>
          </cell>
          <cell r="E1422">
            <v>45989</v>
          </cell>
        </row>
        <row r="1423">
          <cell r="A1423" t="str">
            <v>SDP9J14</v>
          </cell>
          <cell r="B1423">
            <v>45988</v>
          </cell>
          <cell r="C1423">
            <v>45989</v>
          </cell>
          <cell r="D1423" t="str">
            <v/>
          </cell>
          <cell r="E1423">
            <v>45989</v>
          </cell>
        </row>
        <row r="1424">
          <cell r="A1424" t="str">
            <v>SDP9J15</v>
          </cell>
          <cell r="B1424">
            <v>45988</v>
          </cell>
          <cell r="C1424">
            <v>45989</v>
          </cell>
          <cell r="D1424" t="str">
            <v/>
          </cell>
          <cell r="E1424">
            <v>45989</v>
          </cell>
        </row>
        <row r="1425">
          <cell r="A1425" t="str">
            <v>SDP9J16</v>
          </cell>
          <cell r="B1425">
            <v>45980</v>
          </cell>
          <cell r="C1425" t="str">
            <v/>
          </cell>
          <cell r="D1425" t="str">
            <v/>
          </cell>
          <cell r="E1425">
            <v>45980</v>
          </cell>
        </row>
        <row r="1426">
          <cell r="A1426" t="str">
            <v>SDQ2A25</v>
          </cell>
          <cell r="B1426">
            <v>45988</v>
          </cell>
          <cell r="C1426">
            <v>45989</v>
          </cell>
          <cell r="D1426" t="str">
            <v/>
          </cell>
          <cell r="E1426">
            <v>45989</v>
          </cell>
        </row>
        <row r="1427">
          <cell r="A1427" t="str">
            <v>SDQ2A26</v>
          </cell>
          <cell r="B1427">
            <v>45981</v>
          </cell>
          <cell r="C1427" t="str">
            <v/>
          </cell>
          <cell r="D1427" t="str">
            <v/>
          </cell>
          <cell r="E1427">
            <v>45981</v>
          </cell>
        </row>
        <row r="1428">
          <cell r="A1428" t="str">
            <v>SDQ2A29</v>
          </cell>
          <cell r="B1428">
            <v>45988</v>
          </cell>
          <cell r="C1428">
            <v>45989</v>
          </cell>
          <cell r="D1428" t="str">
            <v/>
          </cell>
          <cell r="E1428">
            <v>45989</v>
          </cell>
        </row>
        <row r="1429">
          <cell r="A1429" t="str">
            <v>SDQ2A30</v>
          </cell>
          <cell r="B1429">
            <v>45988</v>
          </cell>
          <cell r="C1429">
            <v>45989</v>
          </cell>
          <cell r="D1429" t="str">
            <v/>
          </cell>
          <cell r="E1429">
            <v>45989</v>
          </cell>
        </row>
        <row r="1430">
          <cell r="A1430" t="str">
            <v>SDQ2A37</v>
          </cell>
          <cell r="B1430">
            <v>45987</v>
          </cell>
          <cell r="C1430" t="str">
            <v/>
          </cell>
          <cell r="D1430" t="str">
            <v/>
          </cell>
          <cell r="E1430">
            <v>45987</v>
          </cell>
        </row>
        <row r="1431">
          <cell r="A1431" t="str">
            <v>SDQ2A43</v>
          </cell>
          <cell r="B1431">
            <v>45964</v>
          </cell>
          <cell r="C1431" t="str">
            <v/>
          </cell>
          <cell r="D1431" t="str">
            <v/>
          </cell>
          <cell r="E1431">
            <v>45964</v>
          </cell>
        </row>
        <row r="1432">
          <cell r="A1432" t="str">
            <v>SDQ2A58</v>
          </cell>
          <cell r="B1432">
            <v>45989</v>
          </cell>
          <cell r="C1432">
            <v>45989</v>
          </cell>
          <cell r="D1432" t="str">
            <v/>
          </cell>
          <cell r="E1432">
            <v>45989</v>
          </cell>
        </row>
        <row r="1433">
          <cell r="A1433" t="str">
            <v>SDQ2A59</v>
          </cell>
          <cell r="B1433">
            <v>45989</v>
          </cell>
          <cell r="C1433">
            <v>45989</v>
          </cell>
          <cell r="D1433" t="str">
            <v/>
          </cell>
          <cell r="E1433">
            <v>45989</v>
          </cell>
        </row>
        <row r="1434">
          <cell r="A1434" t="str">
            <v>SDQ2A60</v>
          </cell>
          <cell r="B1434">
            <v>45988</v>
          </cell>
          <cell r="C1434">
            <v>45989</v>
          </cell>
          <cell r="D1434" t="str">
            <v/>
          </cell>
          <cell r="E1434">
            <v>45989</v>
          </cell>
        </row>
        <row r="1435">
          <cell r="A1435" t="str">
            <v>SDQ2A62</v>
          </cell>
          <cell r="B1435">
            <v>45988</v>
          </cell>
          <cell r="C1435">
            <v>45989</v>
          </cell>
          <cell r="D1435" t="str">
            <v/>
          </cell>
          <cell r="E1435">
            <v>45989</v>
          </cell>
        </row>
        <row r="1436">
          <cell r="A1436" t="str">
            <v>SDQ2A64</v>
          </cell>
          <cell r="B1436">
            <v>45988</v>
          </cell>
          <cell r="C1436">
            <v>45989</v>
          </cell>
          <cell r="D1436" t="str">
            <v/>
          </cell>
          <cell r="E1436">
            <v>45989</v>
          </cell>
        </row>
        <row r="1437">
          <cell r="A1437" t="str">
            <v>SDQ2A66</v>
          </cell>
          <cell r="B1437">
            <v>45988</v>
          </cell>
          <cell r="C1437">
            <v>45989</v>
          </cell>
          <cell r="D1437" t="str">
            <v/>
          </cell>
          <cell r="E1437">
            <v>45989</v>
          </cell>
        </row>
        <row r="1438">
          <cell r="A1438" t="str">
            <v>SDQ2A67</v>
          </cell>
          <cell r="B1438">
            <v>45988</v>
          </cell>
          <cell r="C1438">
            <v>45989</v>
          </cell>
          <cell r="D1438" t="str">
            <v/>
          </cell>
          <cell r="E1438">
            <v>45989</v>
          </cell>
        </row>
        <row r="1439">
          <cell r="A1439" t="str">
            <v>SDQ2A70</v>
          </cell>
          <cell r="B1439">
            <v>45987</v>
          </cell>
          <cell r="C1439" t="str">
            <v/>
          </cell>
          <cell r="D1439" t="str">
            <v/>
          </cell>
          <cell r="E1439">
            <v>45987</v>
          </cell>
        </row>
        <row r="1440">
          <cell r="A1440" t="str">
            <v>SDQ2A72</v>
          </cell>
          <cell r="B1440">
            <v>45989</v>
          </cell>
          <cell r="C1440">
            <v>45989</v>
          </cell>
          <cell r="D1440" t="str">
            <v/>
          </cell>
          <cell r="E1440">
            <v>45989</v>
          </cell>
        </row>
        <row r="1441">
          <cell r="A1441" t="str">
            <v>SDQ2A73</v>
          </cell>
          <cell r="B1441">
            <v>45988</v>
          </cell>
          <cell r="C1441">
            <v>45989</v>
          </cell>
          <cell r="D1441" t="str">
            <v/>
          </cell>
          <cell r="E1441">
            <v>45989</v>
          </cell>
        </row>
        <row r="1442">
          <cell r="A1442" t="str">
            <v>SDQ2A74</v>
          </cell>
          <cell r="B1442">
            <v>45988</v>
          </cell>
          <cell r="C1442">
            <v>45989</v>
          </cell>
          <cell r="D1442" t="str">
            <v/>
          </cell>
          <cell r="E1442">
            <v>45989</v>
          </cell>
        </row>
        <row r="1443">
          <cell r="A1443" t="str">
            <v>SDQ2A75</v>
          </cell>
          <cell r="B1443">
            <v>45988</v>
          </cell>
          <cell r="C1443">
            <v>45989</v>
          </cell>
          <cell r="D1443" t="str">
            <v/>
          </cell>
          <cell r="E1443">
            <v>45989</v>
          </cell>
        </row>
        <row r="1444">
          <cell r="A1444" t="str">
            <v>SDQ2A76</v>
          </cell>
          <cell r="B1444">
            <v>45989</v>
          </cell>
          <cell r="C1444">
            <v>45989</v>
          </cell>
          <cell r="D1444" t="str">
            <v/>
          </cell>
          <cell r="E1444">
            <v>45989</v>
          </cell>
        </row>
        <row r="1445">
          <cell r="A1445" t="str">
            <v>SDQ2A78</v>
          </cell>
          <cell r="B1445">
            <v>45989</v>
          </cell>
          <cell r="C1445">
            <v>45989</v>
          </cell>
          <cell r="D1445" t="str">
            <v/>
          </cell>
          <cell r="E1445">
            <v>45989</v>
          </cell>
        </row>
        <row r="1446">
          <cell r="A1446" t="str">
            <v>SDQ2A82</v>
          </cell>
          <cell r="B1446">
            <v>45989</v>
          </cell>
          <cell r="C1446" t="str">
            <v/>
          </cell>
          <cell r="D1446" t="str">
            <v/>
          </cell>
          <cell r="E1446">
            <v>45989</v>
          </cell>
        </row>
        <row r="1447">
          <cell r="A1447" t="str">
            <v>SDQ2A84</v>
          </cell>
          <cell r="B1447">
            <v>45989</v>
          </cell>
          <cell r="C1447">
            <v>45989</v>
          </cell>
          <cell r="D1447" t="str">
            <v/>
          </cell>
          <cell r="E1447">
            <v>45989</v>
          </cell>
        </row>
        <row r="1448">
          <cell r="A1448" t="str">
            <v>SDQ2A90</v>
          </cell>
          <cell r="B1448">
            <v>45989</v>
          </cell>
          <cell r="C1448">
            <v>45989</v>
          </cell>
          <cell r="D1448" t="str">
            <v/>
          </cell>
          <cell r="E1448">
            <v>45989</v>
          </cell>
        </row>
        <row r="1449">
          <cell r="A1449" t="str">
            <v>SDQ2A97</v>
          </cell>
          <cell r="B1449">
            <v>45985</v>
          </cell>
          <cell r="C1449" t="str">
            <v/>
          </cell>
          <cell r="D1449" t="str">
            <v/>
          </cell>
          <cell r="E1449">
            <v>45985</v>
          </cell>
        </row>
        <row r="1450">
          <cell r="A1450" t="str">
            <v>SDQ2A99</v>
          </cell>
          <cell r="B1450">
            <v>45931</v>
          </cell>
          <cell r="C1450" t="str">
            <v/>
          </cell>
          <cell r="D1450" t="str">
            <v/>
          </cell>
          <cell r="E1450">
            <v>45931</v>
          </cell>
        </row>
        <row r="1451">
          <cell r="A1451" t="str">
            <v>SDQ2B05</v>
          </cell>
          <cell r="B1451">
            <v>45987</v>
          </cell>
          <cell r="C1451" t="str">
            <v/>
          </cell>
          <cell r="D1451" t="str">
            <v/>
          </cell>
          <cell r="E1451">
            <v>45987</v>
          </cell>
        </row>
        <row r="1452">
          <cell r="A1452" t="str">
            <v>SDQ2B42</v>
          </cell>
          <cell r="B1452">
            <v>45988</v>
          </cell>
          <cell r="C1452">
            <v>45989</v>
          </cell>
          <cell r="D1452" t="str">
            <v/>
          </cell>
          <cell r="E1452">
            <v>45989</v>
          </cell>
        </row>
        <row r="1453">
          <cell r="A1453" t="str">
            <v>SDQ2B45</v>
          </cell>
          <cell r="B1453">
            <v>45988</v>
          </cell>
          <cell r="C1453">
            <v>45989</v>
          </cell>
          <cell r="D1453" t="str">
            <v/>
          </cell>
          <cell r="E1453">
            <v>45989</v>
          </cell>
        </row>
        <row r="1454">
          <cell r="A1454" t="str">
            <v>SDQ2B51</v>
          </cell>
          <cell r="B1454">
            <v>45981</v>
          </cell>
          <cell r="C1454" t="str">
            <v/>
          </cell>
          <cell r="D1454" t="str">
            <v/>
          </cell>
          <cell r="E1454">
            <v>45981</v>
          </cell>
        </row>
        <row r="1455">
          <cell r="A1455" t="str">
            <v>SDQ2B52</v>
          </cell>
          <cell r="B1455">
            <v>45989</v>
          </cell>
          <cell r="C1455">
            <v>45989</v>
          </cell>
          <cell r="D1455" t="str">
            <v/>
          </cell>
          <cell r="E1455">
            <v>45989</v>
          </cell>
        </row>
        <row r="1456">
          <cell r="A1456" t="str">
            <v>SDQ2B53</v>
          </cell>
          <cell r="B1456">
            <v>45988</v>
          </cell>
          <cell r="C1456">
            <v>45989</v>
          </cell>
          <cell r="D1456" t="str">
            <v/>
          </cell>
          <cell r="E1456">
            <v>45989</v>
          </cell>
        </row>
        <row r="1457">
          <cell r="A1457" t="str">
            <v>SDQ2B54</v>
          </cell>
          <cell r="B1457">
            <v>45989</v>
          </cell>
          <cell r="C1457">
            <v>45989</v>
          </cell>
          <cell r="D1457" t="str">
            <v/>
          </cell>
          <cell r="E1457">
            <v>45989</v>
          </cell>
        </row>
        <row r="1458">
          <cell r="A1458" t="str">
            <v>SDQ2B55</v>
          </cell>
          <cell r="B1458">
            <v>45988</v>
          </cell>
          <cell r="C1458">
            <v>45989</v>
          </cell>
          <cell r="D1458" t="str">
            <v/>
          </cell>
          <cell r="E1458">
            <v>45989</v>
          </cell>
        </row>
        <row r="1459">
          <cell r="A1459" t="str">
            <v>SDQ2B60</v>
          </cell>
          <cell r="B1459">
            <v>45988</v>
          </cell>
          <cell r="C1459">
            <v>45989</v>
          </cell>
          <cell r="D1459" t="str">
            <v/>
          </cell>
          <cell r="E1459">
            <v>45989</v>
          </cell>
        </row>
        <row r="1460">
          <cell r="A1460" t="str">
            <v>SDQ2B62</v>
          </cell>
          <cell r="B1460">
            <v>45988</v>
          </cell>
          <cell r="C1460">
            <v>45989</v>
          </cell>
          <cell r="D1460" t="str">
            <v/>
          </cell>
          <cell r="E1460">
            <v>45989</v>
          </cell>
        </row>
        <row r="1461">
          <cell r="A1461" t="str">
            <v>SDQ2B63</v>
          </cell>
          <cell r="B1461">
            <v>45987</v>
          </cell>
          <cell r="C1461" t="str">
            <v/>
          </cell>
          <cell r="D1461" t="str">
            <v/>
          </cell>
          <cell r="E1461">
            <v>45987</v>
          </cell>
        </row>
        <row r="1462">
          <cell r="A1462" t="str">
            <v>SDQ2B97</v>
          </cell>
          <cell r="B1462">
            <v>45986</v>
          </cell>
          <cell r="C1462" t="str">
            <v/>
          </cell>
          <cell r="D1462" t="str">
            <v/>
          </cell>
          <cell r="E1462">
            <v>45986</v>
          </cell>
        </row>
        <row r="1463">
          <cell r="A1463" t="str">
            <v>SDQ2B98</v>
          </cell>
          <cell r="B1463">
            <v>45987</v>
          </cell>
          <cell r="C1463" t="str">
            <v/>
          </cell>
          <cell r="D1463" t="str">
            <v/>
          </cell>
          <cell r="E1463">
            <v>45987</v>
          </cell>
        </row>
        <row r="1464">
          <cell r="A1464" t="str">
            <v>SDQ2C01</v>
          </cell>
          <cell r="B1464">
            <v>45989</v>
          </cell>
          <cell r="C1464">
            <v>45989</v>
          </cell>
          <cell r="D1464" t="str">
            <v/>
          </cell>
          <cell r="E1464">
            <v>45989</v>
          </cell>
        </row>
        <row r="1465">
          <cell r="A1465" t="str">
            <v>SDQ2C02</v>
          </cell>
          <cell r="B1465">
            <v>45986</v>
          </cell>
          <cell r="C1465" t="str">
            <v/>
          </cell>
          <cell r="D1465" t="str">
            <v/>
          </cell>
          <cell r="E1465">
            <v>45986</v>
          </cell>
        </row>
        <row r="1466">
          <cell r="A1466" t="str">
            <v>SDQ2C03</v>
          </cell>
          <cell r="B1466">
            <v>45988</v>
          </cell>
          <cell r="C1466">
            <v>45989</v>
          </cell>
          <cell r="D1466" t="str">
            <v/>
          </cell>
          <cell r="E1466">
            <v>45989</v>
          </cell>
        </row>
        <row r="1467">
          <cell r="A1467" t="str">
            <v>SDQ2E05</v>
          </cell>
          <cell r="B1467">
            <v>45987</v>
          </cell>
          <cell r="C1467" t="str">
            <v/>
          </cell>
          <cell r="D1467" t="str">
            <v/>
          </cell>
          <cell r="E1467">
            <v>45987</v>
          </cell>
        </row>
        <row r="1468">
          <cell r="A1468" t="str">
            <v>SDQ2H83</v>
          </cell>
          <cell r="B1468">
            <v>45987</v>
          </cell>
          <cell r="C1468" t="str">
            <v/>
          </cell>
          <cell r="D1468" t="str">
            <v/>
          </cell>
          <cell r="E1468">
            <v>45987</v>
          </cell>
        </row>
        <row r="1469">
          <cell r="A1469" t="str">
            <v>SDQ2J17</v>
          </cell>
          <cell r="B1469">
            <v>45989</v>
          </cell>
          <cell r="C1469">
            <v>45989</v>
          </cell>
          <cell r="D1469" t="str">
            <v/>
          </cell>
          <cell r="E1469">
            <v>45989</v>
          </cell>
        </row>
        <row r="1470">
          <cell r="A1470" t="str">
            <v>SDQ2J19</v>
          </cell>
          <cell r="B1470">
            <v>45988</v>
          </cell>
          <cell r="C1470">
            <v>45989</v>
          </cell>
          <cell r="D1470" t="str">
            <v/>
          </cell>
          <cell r="E1470">
            <v>45989</v>
          </cell>
        </row>
        <row r="1471">
          <cell r="A1471" t="str">
            <v>SDQ2J20</v>
          </cell>
          <cell r="B1471">
            <v>45989</v>
          </cell>
          <cell r="C1471">
            <v>45989</v>
          </cell>
          <cell r="D1471" t="str">
            <v/>
          </cell>
          <cell r="E1471">
            <v>45989</v>
          </cell>
        </row>
        <row r="1472">
          <cell r="A1472" t="str">
            <v>SDQ2J22</v>
          </cell>
          <cell r="B1472" t="str">
            <v xml:space="preserve"> </v>
          </cell>
          <cell r="C1472">
            <v>45989</v>
          </cell>
          <cell r="D1472" t="str">
            <v/>
          </cell>
          <cell r="E1472">
            <v>45989</v>
          </cell>
        </row>
        <row r="1473">
          <cell r="A1473" t="str">
            <v>SDQ2J23</v>
          </cell>
          <cell r="B1473">
            <v>45989</v>
          </cell>
          <cell r="C1473">
            <v>45989</v>
          </cell>
          <cell r="D1473" t="str">
            <v/>
          </cell>
          <cell r="E1473">
            <v>45989</v>
          </cell>
        </row>
        <row r="1474">
          <cell r="A1474" t="str">
            <v>SDQ2J37</v>
          </cell>
          <cell r="B1474">
            <v>45989</v>
          </cell>
          <cell r="C1474">
            <v>45989</v>
          </cell>
          <cell r="D1474" t="str">
            <v/>
          </cell>
          <cell r="E1474">
            <v>45989</v>
          </cell>
        </row>
        <row r="1475">
          <cell r="A1475" t="str">
            <v>SDQ2J50</v>
          </cell>
          <cell r="B1475">
            <v>45989</v>
          </cell>
          <cell r="C1475" t="str">
            <v/>
          </cell>
          <cell r="D1475" t="str">
            <v/>
          </cell>
          <cell r="E1475">
            <v>45989</v>
          </cell>
        </row>
        <row r="1476">
          <cell r="A1476" t="str">
            <v>SDQ2J76</v>
          </cell>
          <cell r="B1476">
            <v>45989</v>
          </cell>
          <cell r="C1476">
            <v>45989</v>
          </cell>
          <cell r="D1476" t="str">
            <v/>
          </cell>
          <cell r="E1476">
            <v>45989</v>
          </cell>
        </row>
        <row r="1477">
          <cell r="A1477" t="str">
            <v>SDQ2J85</v>
          </cell>
          <cell r="B1477">
            <v>45975</v>
          </cell>
          <cell r="C1477" t="str">
            <v/>
          </cell>
          <cell r="D1477" t="str">
            <v/>
          </cell>
          <cell r="E1477">
            <v>45975</v>
          </cell>
        </row>
        <row r="1478">
          <cell r="A1478" t="str">
            <v>SDQ2J86</v>
          </cell>
          <cell r="B1478">
            <v>45988</v>
          </cell>
          <cell r="C1478">
            <v>45989</v>
          </cell>
          <cell r="D1478" t="str">
            <v/>
          </cell>
          <cell r="E1478">
            <v>45989</v>
          </cell>
        </row>
        <row r="1479">
          <cell r="A1479" t="str">
            <v>SDQ2J88</v>
          </cell>
          <cell r="B1479">
            <v>45988</v>
          </cell>
          <cell r="C1479">
            <v>45989</v>
          </cell>
          <cell r="D1479" t="str">
            <v/>
          </cell>
          <cell r="E1479">
            <v>45989</v>
          </cell>
        </row>
        <row r="1480">
          <cell r="A1480" t="str">
            <v>SDQ3A10</v>
          </cell>
          <cell r="B1480">
            <v>45988</v>
          </cell>
          <cell r="C1480">
            <v>45989</v>
          </cell>
          <cell r="D1480" t="str">
            <v/>
          </cell>
          <cell r="E1480">
            <v>45989</v>
          </cell>
        </row>
        <row r="1481">
          <cell r="A1481" t="str">
            <v>SDQ3A25</v>
          </cell>
          <cell r="B1481">
            <v>45988</v>
          </cell>
          <cell r="C1481">
            <v>45989</v>
          </cell>
          <cell r="D1481" t="str">
            <v/>
          </cell>
          <cell r="E1481">
            <v>45989</v>
          </cell>
        </row>
        <row r="1482">
          <cell r="A1482" t="str">
            <v>SDQ3A27</v>
          </cell>
          <cell r="B1482">
            <v>45988</v>
          </cell>
          <cell r="C1482">
            <v>45989</v>
          </cell>
          <cell r="D1482" t="str">
            <v/>
          </cell>
          <cell r="E1482">
            <v>45989</v>
          </cell>
        </row>
        <row r="1483">
          <cell r="A1483" t="str">
            <v>SDQ3A28</v>
          </cell>
          <cell r="B1483">
            <v>45988</v>
          </cell>
          <cell r="C1483">
            <v>45989</v>
          </cell>
          <cell r="D1483" t="str">
            <v/>
          </cell>
          <cell r="E1483">
            <v>45989</v>
          </cell>
        </row>
        <row r="1484">
          <cell r="A1484" t="str">
            <v>SDQ3A32</v>
          </cell>
          <cell r="B1484">
            <v>45957</v>
          </cell>
          <cell r="C1484" t="str">
            <v/>
          </cell>
          <cell r="D1484" t="str">
            <v/>
          </cell>
          <cell r="E1484">
            <v>45957</v>
          </cell>
        </row>
        <row r="1485">
          <cell r="A1485" t="str">
            <v>SDQ3A33</v>
          </cell>
          <cell r="B1485">
            <v>45988</v>
          </cell>
          <cell r="C1485">
            <v>45989</v>
          </cell>
          <cell r="D1485" t="str">
            <v/>
          </cell>
          <cell r="E1485">
            <v>45989</v>
          </cell>
        </row>
        <row r="1486">
          <cell r="A1486" t="str">
            <v>SDQ3A37</v>
          </cell>
          <cell r="B1486">
            <v>45988</v>
          </cell>
          <cell r="C1486">
            <v>45989</v>
          </cell>
          <cell r="D1486" t="str">
            <v/>
          </cell>
          <cell r="E1486">
            <v>45989</v>
          </cell>
        </row>
        <row r="1487">
          <cell r="A1487" t="str">
            <v>SDQ3A53</v>
          </cell>
          <cell r="B1487">
            <v>45981</v>
          </cell>
          <cell r="C1487" t="str">
            <v/>
          </cell>
          <cell r="D1487" t="str">
            <v/>
          </cell>
          <cell r="E1487">
            <v>45981</v>
          </cell>
        </row>
        <row r="1488">
          <cell r="A1488" t="str">
            <v>SDQ3A54</v>
          </cell>
          <cell r="B1488">
            <v>45989</v>
          </cell>
          <cell r="C1488">
            <v>45989</v>
          </cell>
          <cell r="D1488" t="str">
            <v/>
          </cell>
          <cell r="E1488">
            <v>45989</v>
          </cell>
        </row>
        <row r="1489">
          <cell r="A1489" t="str">
            <v>SDQ3A65</v>
          </cell>
          <cell r="B1489">
            <v>45989</v>
          </cell>
          <cell r="C1489">
            <v>45989</v>
          </cell>
          <cell r="D1489" t="str">
            <v/>
          </cell>
          <cell r="E1489">
            <v>45989</v>
          </cell>
        </row>
        <row r="1490">
          <cell r="A1490" t="str">
            <v>SDQ3A66</v>
          </cell>
          <cell r="B1490">
            <v>45989</v>
          </cell>
          <cell r="C1490">
            <v>45989</v>
          </cell>
          <cell r="D1490" t="str">
            <v/>
          </cell>
          <cell r="E1490">
            <v>45989</v>
          </cell>
        </row>
        <row r="1491">
          <cell r="A1491" t="str">
            <v>SDQ3A67</v>
          </cell>
          <cell r="B1491">
            <v>45987</v>
          </cell>
          <cell r="C1491" t="str">
            <v/>
          </cell>
          <cell r="D1491" t="str">
            <v/>
          </cell>
          <cell r="E1491">
            <v>45987</v>
          </cell>
        </row>
        <row r="1492">
          <cell r="A1492" t="str">
            <v>SDQ3G17</v>
          </cell>
          <cell r="B1492">
            <v>45988</v>
          </cell>
          <cell r="C1492">
            <v>45989</v>
          </cell>
          <cell r="D1492" t="str">
            <v/>
          </cell>
          <cell r="E1492">
            <v>45989</v>
          </cell>
        </row>
        <row r="1493">
          <cell r="A1493" t="str">
            <v>SDQ3G20</v>
          </cell>
          <cell r="B1493">
            <v>45988</v>
          </cell>
          <cell r="C1493">
            <v>45989</v>
          </cell>
          <cell r="D1493" t="str">
            <v/>
          </cell>
          <cell r="E1493">
            <v>45989</v>
          </cell>
        </row>
        <row r="1494">
          <cell r="A1494" t="str">
            <v>SDQ3G22</v>
          </cell>
          <cell r="B1494">
            <v>45988</v>
          </cell>
          <cell r="C1494">
            <v>45989</v>
          </cell>
          <cell r="D1494" t="str">
            <v/>
          </cell>
          <cell r="E1494">
            <v>45989</v>
          </cell>
        </row>
        <row r="1495">
          <cell r="A1495" t="str">
            <v>SDQ3G23</v>
          </cell>
          <cell r="B1495">
            <v>45988</v>
          </cell>
          <cell r="C1495">
            <v>45989</v>
          </cell>
          <cell r="D1495" t="str">
            <v/>
          </cell>
          <cell r="E1495">
            <v>45989</v>
          </cell>
        </row>
        <row r="1496">
          <cell r="A1496" t="str">
            <v>SDQ3G33</v>
          </cell>
          <cell r="B1496">
            <v>45988</v>
          </cell>
          <cell r="C1496">
            <v>45989</v>
          </cell>
          <cell r="D1496" t="str">
            <v/>
          </cell>
          <cell r="E1496">
            <v>45989</v>
          </cell>
        </row>
        <row r="1497">
          <cell r="A1497" t="str">
            <v>SDQ3H13</v>
          </cell>
          <cell r="B1497">
            <v>45989</v>
          </cell>
          <cell r="C1497">
            <v>45989</v>
          </cell>
          <cell r="D1497" t="str">
            <v/>
          </cell>
          <cell r="E1497">
            <v>45989</v>
          </cell>
        </row>
        <row r="1498">
          <cell r="A1498" t="str">
            <v>SDQ3H14</v>
          </cell>
          <cell r="B1498">
            <v>45975</v>
          </cell>
          <cell r="C1498" t="str">
            <v/>
          </cell>
          <cell r="D1498" t="str">
            <v/>
          </cell>
          <cell r="E1498">
            <v>45975</v>
          </cell>
        </row>
        <row r="1499">
          <cell r="A1499" t="str">
            <v>SDQ3H16</v>
          </cell>
          <cell r="B1499">
            <v>45989</v>
          </cell>
          <cell r="C1499">
            <v>45989</v>
          </cell>
          <cell r="D1499" t="str">
            <v/>
          </cell>
          <cell r="E1499">
            <v>45989</v>
          </cell>
        </row>
        <row r="1500">
          <cell r="A1500" t="str">
            <v>SDQ3H17</v>
          </cell>
          <cell r="B1500" t="str">
            <v xml:space="preserve"> </v>
          </cell>
          <cell r="C1500">
            <v>45989</v>
          </cell>
          <cell r="D1500" t="str">
            <v/>
          </cell>
          <cell r="E1500">
            <v>45989</v>
          </cell>
        </row>
        <row r="1501">
          <cell r="A1501" t="str">
            <v>SDQ3I65</v>
          </cell>
          <cell r="B1501">
            <v>45988</v>
          </cell>
          <cell r="C1501">
            <v>45989</v>
          </cell>
          <cell r="D1501" t="str">
            <v/>
          </cell>
          <cell r="E1501">
            <v>45989</v>
          </cell>
        </row>
        <row r="1502">
          <cell r="A1502" t="str">
            <v>SDQ3J53</v>
          </cell>
          <cell r="B1502">
            <v>45988</v>
          </cell>
          <cell r="C1502">
            <v>45989</v>
          </cell>
          <cell r="D1502" t="str">
            <v/>
          </cell>
          <cell r="E1502">
            <v>45989</v>
          </cell>
        </row>
        <row r="1503">
          <cell r="A1503" t="str">
            <v>SDQ3J57</v>
          </cell>
          <cell r="B1503">
            <v>45466</v>
          </cell>
          <cell r="C1503" t="str">
            <v/>
          </cell>
          <cell r="D1503" t="str">
            <v/>
          </cell>
          <cell r="E1503">
            <v>45466</v>
          </cell>
        </row>
        <row r="1504">
          <cell r="A1504" t="str">
            <v>SDQ3J66</v>
          </cell>
          <cell r="B1504">
            <v>45988</v>
          </cell>
          <cell r="C1504">
            <v>45989</v>
          </cell>
          <cell r="D1504" t="str">
            <v/>
          </cell>
          <cell r="E1504">
            <v>45989</v>
          </cell>
        </row>
        <row r="1505">
          <cell r="A1505" t="str">
            <v>SDQ3J67</v>
          </cell>
          <cell r="B1505">
            <v>45988</v>
          </cell>
          <cell r="C1505">
            <v>45989</v>
          </cell>
          <cell r="D1505" t="str">
            <v/>
          </cell>
          <cell r="E1505">
            <v>45989</v>
          </cell>
        </row>
        <row r="1506">
          <cell r="A1506" t="str">
            <v>SDQ3J74</v>
          </cell>
          <cell r="B1506">
            <v>45986</v>
          </cell>
          <cell r="C1506" t="str">
            <v/>
          </cell>
          <cell r="D1506" t="str">
            <v/>
          </cell>
          <cell r="E1506">
            <v>45986</v>
          </cell>
        </row>
        <row r="1507">
          <cell r="A1507" t="str">
            <v>SDQ3J95</v>
          </cell>
          <cell r="B1507">
            <v>45989</v>
          </cell>
          <cell r="C1507">
            <v>45989</v>
          </cell>
          <cell r="D1507" t="str">
            <v/>
          </cell>
          <cell r="E1507">
            <v>45989</v>
          </cell>
        </row>
        <row r="1508">
          <cell r="A1508" t="str">
            <v>SDQ4A10</v>
          </cell>
          <cell r="B1508">
            <v>45988</v>
          </cell>
          <cell r="C1508">
            <v>45989</v>
          </cell>
          <cell r="D1508" t="str">
            <v/>
          </cell>
          <cell r="E1508">
            <v>45989</v>
          </cell>
        </row>
        <row r="1509">
          <cell r="A1509" t="str">
            <v>SDQ4A14</v>
          </cell>
          <cell r="B1509">
            <v>45988</v>
          </cell>
          <cell r="C1509">
            <v>45989</v>
          </cell>
          <cell r="D1509" t="str">
            <v/>
          </cell>
          <cell r="E1509">
            <v>45989</v>
          </cell>
        </row>
        <row r="1510">
          <cell r="A1510" t="str">
            <v>SDQ4A17</v>
          </cell>
          <cell r="B1510">
            <v>45988</v>
          </cell>
          <cell r="C1510">
            <v>45989</v>
          </cell>
          <cell r="D1510" t="str">
            <v/>
          </cell>
          <cell r="E1510">
            <v>45989</v>
          </cell>
        </row>
        <row r="1511">
          <cell r="A1511" t="str">
            <v>SDQ4A18</v>
          </cell>
          <cell r="B1511">
            <v>45988</v>
          </cell>
          <cell r="C1511">
            <v>45989</v>
          </cell>
          <cell r="D1511" t="str">
            <v/>
          </cell>
          <cell r="E1511">
            <v>45989</v>
          </cell>
        </row>
        <row r="1512">
          <cell r="A1512" t="str">
            <v>SDQ4A29</v>
          </cell>
          <cell r="B1512">
            <v>45979</v>
          </cell>
          <cell r="C1512" t="str">
            <v/>
          </cell>
          <cell r="D1512" t="str">
            <v/>
          </cell>
          <cell r="E1512">
            <v>45979</v>
          </cell>
        </row>
        <row r="1513">
          <cell r="A1513" t="str">
            <v>SDQ4A78</v>
          </cell>
          <cell r="B1513">
            <v>45989</v>
          </cell>
          <cell r="C1513">
            <v>45989</v>
          </cell>
          <cell r="D1513" t="str">
            <v/>
          </cell>
          <cell r="E1513">
            <v>45989</v>
          </cell>
        </row>
        <row r="1514">
          <cell r="A1514" t="str">
            <v>SDQ4B93</v>
          </cell>
          <cell r="B1514">
            <v>45988</v>
          </cell>
          <cell r="C1514">
            <v>45989</v>
          </cell>
          <cell r="D1514" t="str">
            <v/>
          </cell>
          <cell r="E1514">
            <v>45989</v>
          </cell>
        </row>
        <row r="1515">
          <cell r="A1515" t="str">
            <v>SDQ4E39</v>
          </cell>
          <cell r="B1515">
            <v>45989</v>
          </cell>
          <cell r="C1515">
            <v>45989</v>
          </cell>
          <cell r="D1515" t="str">
            <v/>
          </cell>
          <cell r="E1515">
            <v>45989</v>
          </cell>
        </row>
        <row r="1516">
          <cell r="A1516" t="str">
            <v>SDQ4G20</v>
          </cell>
          <cell r="B1516">
            <v>45988</v>
          </cell>
          <cell r="C1516">
            <v>45989</v>
          </cell>
          <cell r="D1516" t="str">
            <v/>
          </cell>
          <cell r="E1516">
            <v>45989</v>
          </cell>
        </row>
        <row r="1517">
          <cell r="A1517" t="str">
            <v>SDT9E93</v>
          </cell>
          <cell r="B1517">
            <v>45988</v>
          </cell>
          <cell r="C1517">
            <v>45989</v>
          </cell>
          <cell r="D1517" t="str">
            <v/>
          </cell>
          <cell r="E1517">
            <v>45989</v>
          </cell>
        </row>
        <row r="1518">
          <cell r="A1518" t="str">
            <v>SDT9E95</v>
          </cell>
          <cell r="B1518">
            <v>45988</v>
          </cell>
          <cell r="C1518">
            <v>45989</v>
          </cell>
          <cell r="D1518" t="str">
            <v/>
          </cell>
          <cell r="E1518">
            <v>45989</v>
          </cell>
        </row>
        <row r="1519">
          <cell r="A1519" t="str">
            <v>SDT9E96</v>
          </cell>
          <cell r="B1519">
            <v>45986</v>
          </cell>
          <cell r="C1519" t="str">
            <v/>
          </cell>
          <cell r="D1519" t="str">
            <v/>
          </cell>
          <cell r="E1519">
            <v>45986</v>
          </cell>
        </row>
        <row r="1520">
          <cell r="A1520" t="str">
            <v>SDT9E97</v>
          </cell>
          <cell r="B1520">
            <v>45751</v>
          </cell>
          <cell r="C1520" t="str">
            <v/>
          </cell>
          <cell r="D1520" t="str">
            <v/>
          </cell>
          <cell r="E1520">
            <v>45751</v>
          </cell>
        </row>
        <row r="1521">
          <cell r="A1521" t="str">
            <v>SDT9E98</v>
          </cell>
          <cell r="B1521">
            <v>45988</v>
          </cell>
          <cell r="C1521">
            <v>45989</v>
          </cell>
          <cell r="D1521" t="str">
            <v/>
          </cell>
          <cell r="E1521">
            <v>45989</v>
          </cell>
        </row>
        <row r="1522">
          <cell r="A1522" t="str">
            <v>SDT9F06</v>
          </cell>
          <cell r="B1522">
            <v>45989</v>
          </cell>
          <cell r="C1522">
            <v>45989</v>
          </cell>
          <cell r="D1522" t="str">
            <v/>
          </cell>
          <cell r="E1522">
            <v>45989</v>
          </cell>
        </row>
        <row r="1523">
          <cell r="A1523" t="str">
            <v>SDT9F07</v>
          </cell>
          <cell r="B1523">
            <v>45982</v>
          </cell>
          <cell r="C1523" t="str">
            <v/>
          </cell>
          <cell r="D1523" t="str">
            <v/>
          </cell>
          <cell r="E1523">
            <v>45982</v>
          </cell>
        </row>
        <row r="1524">
          <cell r="A1524" t="str">
            <v>SDT9F08</v>
          </cell>
          <cell r="B1524">
            <v>45982</v>
          </cell>
          <cell r="C1524" t="str">
            <v/>
          </cell>
          <cell r="D1524" t="str">
            <v/>
          </cell>
          <cell r="E1524">
            <v>45982</v>
          </cell>
        </row>
        <row r="1525">
          <cell r="A1525" t="str">
            <v>SDT9F36</v>
          </cell>
          <cell r="B1525">
            <v>45989</v>
          </cell>
          <cell r="C1525">
            <v>45989</v>
          </cell>
          <cell r="D1525" t="str">
            <v/>
          </cell>
          <cell r="E1525">
            <v>45989</v>
          </cell>
        </row>
        <row r="1526">
          <cell r="A1526" t="str">
            <v>SDT9F40</v>
          </cell>
          <cell r="B1526">
            <v>45973</v>
          </cell>
          <cell r="C1526" t="str">
            <v/>
          </cell>
          <cell r="D1526" t="str">
            <v/>
          </cell>
          <cell r="E1526">
            <v>45973</v>
          </cell>
        </row>
        <row r="1527">
          <cell r="A1527" t="str">
            <v>SDT9F42</v>
          </cell>
          <cell r="B1527" t="str">
            <v xml:space="preserve"> </v>
          </cell>
          <cell r="C1527" t="str">
            <v/>
          </cell>
          <cell r="D1527" t="str">
            <v/>
          </cell>
          <cell r="E1527">
            <v>0</v>
          </cell>
        </row>
        <row r="1528">
          <cell r="A1528" t="str">
            <v>SDT9F44</v>
          </cell>
          <cell r="B1528">
            <v>45988</v>
          </cell>
          <cell r="C1528">
            <v>45989</v>
          </cell>
          <cell r="D1528" t="str">
            <v/>
          </cell>
          <cell r="E1528">
            <v>45989</v>
          </cell>
        </row>
        <row r="1529">
          <cell r="A1529" t="str">
            <v>SDT9F50</v>
          </cell>
          <cell r="B1529">
            <v>45989</v>
          </cell>
          <cell r="C1529">
            <v>45989</v>
          </cell>
          <cell r="D1529" t="str">
            <v/>
          </cell>
          <cell r="E1529">
            <v>45989</v>
          </cell>
        </row>
        <row r="1530">
          <cell r="A1530" t="str">
            <v>SDT9F52</v>
          </cell>
          <cell r="B1530">
            <v>45989</v>
          </cell>
          <cell r="C1530">
            <v>45989</v>
          </cell>
          <cell r="D1530" t="str">
            <v/>
          </cell>
          <cell r="E1530">
            <v>45989</v>
          </cell>
        </row>
        <row r="1531">
          <cell r="A1531" t="str">
            <v>SDT9F57</v>
          </cell>
          <cell r="B1531">
            <v>45988</v>
          </cell>
          <cell r="C1531">
            <v>45989</v>
          </cell>
          <cell r="D1531" t="str">
            <v/>
          </cell>
          <cell r="E1531">
            <v>45989</v>
          </cell>
        </row>
        <row r="1532">
          <cell r="A1532" t="str">
            <v>SDT9F58</v>
          </cell>
          <cell r="B1532">
            <v>45988</v>
          </cell>
          <cell r="C1532">
            <v>45989</v>
          </cell>
          <cell r="D1532" t="str">
            <v/>
          </cell>
          <cell r="E1532">
            <v>45989</v>
          </cell>
        </row>
        <row r="1533">
          <cell r="A1533" t="str">
            <v>SDT9F60</v>
          </cell>
          <cell r="B1533">
            <v>45989</v>
          </cell>
          <cell r="C1533">
            <v>45989</v>
          </cell>
          <cell r="D1533" t="str">
            <v/>
          </cell>
          <cell r="E1533">
            <v>45989</v>
          </cell>
        </row>
        <row r="1534">
          <cell r="A1534" t="str">
            <v>SDT9F61</v>
          </cell>
          <cell r="B1534">
            <v>45987</v>
          </cell>
          <cell r="C1534" t="str">
            <v/>
          </cell>
          <cell r="D1534" t="str">
            <v/>
          </cell>
          <cell r="E1534">
            <v>45987</v>
          </cell>
        </row>
        <row r="1535">
          <cell r="A1535" t="str">
            <v>SDT9F62</v>
          </cell>
          <cell r="B1535">
            <v>45989</v>
          </cell>
          <cell r="C1535">
            <v>45989</v>
          </cell>
          <cell r="D1535" t="str">
            <v/>
          </cell>
          <cell r="E1535">
            <v>45989</v>
          </cell>
        </row>
        <row r="1536">
          <cell r="A1536" t="str">
            <v>SDT9F64</v>
          </cell>
          <cell r="B1536">
            <v>45989</v>
          </cell>
          <cell r="C1536">
            <v>45989</v>
          </cell>
          <cell r="D1536" t="str">
            <v/>
          </cell>
          <cell r="E1536">
            <v>45989</v>
          </cell>
        </row>
        <row r="1537">
          <cell r="A1537" t="str">
            <v>SDT9F65</v>
          </cell>
          <cell r="B1537">
            <v>45989</v>
          </cell>
          <cell r="C1537">
            <v>45989</v>
          </cell>
          <cell r="D1537" t="str">
            <v/>
          </cell>
          <cell r="E1537">
            <v>45989</v>
          </cell>
        </row>
        <row r="1538">
          <cell r="A1538" t="str">
            <v>SDT9F66</v>
          </cell>
          <cell r="B1538">
            <v>45989</v>
          </cell>
          <cell r="C1538">
            <v>45989</v>
          </cell>
          <cell r="D1538" t="str">
            <v/>
          </cell>
          <cell r="E1538">
            <v>45989</v>
          </cell>
        </row>
        <row r="1539">
          <cell r="A1539" t="str">
            <v>SDT9F67</v>
          </cell>
          <cell r="B1539">
            <v>45989</v>
          </cell>
          <cell r="C1539" t="str">
            <v/>
          </cell>
          <cell r="D1539" t="str">
            <v/>
          </cell>
          <cell r="E1539">
            <v>45989</v>
          </cell>
        </row>
        <row r="1540">
          <cell r="A1540" t="str">
            <v>SDT9F68</v>
          </cell>
          <cell r="B1540">
            <v>45989</v>
          </cell>
          <cell r="C1540">
            <v>45989</v>
          </cell>
          <cell r="D1540" t="str">
            <v/>
          </cell>
          <cell r="E1540">
            <v>45989</v>
          </cell>
        </row>
        <row r="1541">
          <cell r="A1541" t="str">
            <v>SDT9F89</v>
          </cell>
          <cell r="B1541">
            <v>45986</v>
          </cell>
          <cell r="C1541" t="str">
            <v/>
          </cell>
          <cell r="D1541" t="str">
            <v/>
          </cell>
          <cell r="E1541">
            <v>45986</v>
          </cell>
        </row>
        <row r="1542">
          <cell r="A1542" t="str">
            <v>SDT9F97</v>
          </cell>
          <cell r="B1542">
            <v>45937</v>
          </cell>
          <cell r="C1542" t="str">
            <v/>
          </cell>
          <cell r="D1542" t="str">
            <v/>
          </cell>
          <cell r="E1542">
            <v>45937</v>
          </cell>
        </row>
        <row r="1543">
          <cell r="A1543" t="str">
            <v>SDT9F98</v>
          </cell>
          <cell r="B1543">
            <v>45988</v>
          </cell>
          <cell r="C1543">
            <v>45989</v>
          </cell>
          <cell r="D1543" t="str">
            <v/>
          </cell>
          <cell r="E1543">
            <v>45989</v>
          </cell>
        </row>
        <row r="1544">
          <cell r="A1544" t="str">
            <v>SDT9F99</v>
          </cell>
          <cell r="B1544">
            <v>45989</v>
          </cell>
          <cell r="C1544">
            <v>45989</v>
          </cell>
          <cell r="D1544" t="str">
            <v/>
          </cell>
          <cell r="E1544">
            <v>45989</v>
          </cell>
        </row>
        <row r="1545">
          <cell r="A1545" t="str">
            <v>SDT9G01</v>
          </cell>
          <cell r="B1545" t="str">
            <v xml:space="preserve"> </v>
          </cell>
          <cell r="C1545" t="str">
            <v/>
          </cell>
          <cell r="D1545" t="str">
            <v/>
          </cell>
          <cell r="E1545">
            <v>0</v>
          </cell>
        </row>
        <row r="1546">
          <cell r="A1546" t="str">
            <v>SDT9G02</v>
          </cell>
          <cell r="B1546">
            <v>45988</v>
          </cell>
          <cell r="C1546">
            <v>45989</v>
          </cell>
          <cell r="D1546" t="str">
            <v/>
          </cell>
          <cell r="E1546">
            <v>45989</v>
          </cell>
        </row>
        <row r="1547">
          <cell r="A1547" t="str">
            <v>SDT9G04</v>
          </cell>
          <cell r="B1547">
            <v>45735</v>
          </cell>
          <cell r="C1547" t="str">
            <v/>
          </cell>
          <cell r="D1547" t="str">
            <v/>
          </cell>
          <cell r="E1547">
            <v>45735</v>
          </cell>
        </row>
        <row r="1548">
          <cell r="A1548" t="str">
            <v>SDT9G08</v>
          </cell>
          <cell r="B1548">
            <v>45986</v>
          </cell>
          <cell r="C1548" t="str">
            <v/>
          </cell>
          <cell r="D1548" t="str">
            <v/>
          </cell>
          <cell r="E1548">
            <v>45986</v>
          </cell>
        </row>
        <row r="1549">
          <cell r="A1549" t="str">
            <v>SDT9G14</v>
          </cell>
          <cell r="B1549">
            <v>45988</v>
          </cell>
          <cell r="C1549">
            <v>45989</v>
          </cell>
          <cell r="D1549" t="str">
            <v/>
          </cell>
          <cell r="E1549">
            <v>45989</v>
          </cell>
        </row>
        <row r="1550">
          <cell r="A1550" t="str">
            <v>SDT9G17</v>
          </cell>
          <cell r="B1550">
            <v>45988</v>
          </cell>
          <cell r="C1550">
            <v>45989</v>
          </cell>
          <cell r="D1550" t="str">
            <v/>
          </cell>
          <cell r="E1550">
            <v>45989</v>
          </cell>
        </row>
        <row r="1551">
          <cell r="A1551" t="str">
            <v>SDT9G19</v>
          </cell>
          <cell r="B1551">
            <v>45989</v>
          </cell>
          <cell r="C1551">
            <v>45989</v>
          </cell>
          <cell r="D1551" t="str">
            <v/>
          </cell>
          <cell r="E1551">
            <v>45989</v>
          </cell>
        </row>
        <row r="1552">
          <cell r="A1552" t="str">
            <v>SDT9G52</v>
          </cell>
          <cell r="B1552">
            <v>45988</v>
          </cell>
          <cell r="C1552">
            <v>45989</v>
          </cell>
          <cell r="D1552" t="str">
            <v/>
          </cell>
          <cell r="E1552">
            <v>45989</v>
          </cell>
        </row>
        <row r="1553">
          <cell r="A1553" t="str">
            <v>SDT9G58</v>
          </cell>
          <cell r="B1553">
            <v>45988</v>
          </cell>
          <cell r="C1553">
            <v>45989</v>
          </cell>
          <cell r="D1553" t="str">
            <v/>
          </cell>
          <cell r="E1553">
            <v>45989</v>
          </cell>
        </row>
        <row r="1554">
          <cell r="A1554" t="str">
            <v>SDT9G65</v>
          </cell>
          <cell r="B1554">
            <v>45989</v>
          </cell>
          <cell r="C1554">
            <v>45989</v>
          </cell>
          <cell r="D1554" t="str">
            <v/>
          </cell>
          <cell r="E1554">
            <v>45989</v>
          </cell>
        </row>
        <row r="1555">
          <cell r="A1555" t="str">
            <v>SDT9G71</v>
          </cell>
          <cell r="B1555">
            <v>45988</v>
          </cell>
          <cell r="C1555">
            <v>45989</v>
          </cell>
          <cell r="D1555" t="str">
            <v/>
          </cell>
          <cell r="E1555">
            <v>45989</v>
          </cell>
        </row>
        <row r="1556">
          <cell r="A1556" t="str">
            <v>SDT9G84</v>
          </cell>
          <cell r="B1556">
            <v>45985</v>
          </cell>
          <cell r="C1556" t="str">
            <v/>
          </cell>
          <cell r="D1556" t="str">
            <v/>
          </cell>
          <cell r="E1556">
            <v>45985</v>
          </cell>
        </row>
        <row r="1557">
          <cell r="A1557" t="str">
            <v>SDT9G91</v>
          </cell>
          <cell r="B1557">
            <v>45988</v>
          </cell>
          <cell r="C1557">
            <v>45989</v>
          </cell>
          <cell r="D1557" t="str">
            <v/>
          </cell>
          <cell r="E1557">
            <v>45989</v>
          </cell>
        </row>
        <row r="1558">
          <cell r="A1558" t="str">
            <v>SDT9G93</v>
          </cell>
          <cell r="B1558">
            <v>45967</v>
          </cell>
          <cell r="C1558" t="str">
            <v/>
          </cell>
          <cell r="D1558" t="str">
            <v/>
          </cell>
          <cell r="E1558">
            <v>45967</v>
          </cell>
        </row>
        <row r="1559">
          <cell r="A1559" t="str">
            <v>SDT9G94</v>
          </cell>
          <cell r="B1559">
            <v>45989</v>
          </cell>
          <cell r="C1559">
            <v>45989</v>
          </cell>
          <cell r="D1559" t="str">
            <v/>
          </cell>
          <cell r="E1559">
            <v>45989</v>
          </cell>
        </row>
        <row r="1560">
          <cell r="A1560" t="str">
            <v>SDT9G95</v>
          </cell>
          <cell r="B1560">
            <v>45988</v>
          </cell>
          <cell r="C1560">
            <v>45989</v>
          </cell>
          <cell r="D1560" t="str">
            <v/>
          </cell>
          <cell r="E1560">
            <v>45989</v>
          </cell>
        </row>
        <row r="1561">
          <cell r="A1561" t="str">
            <v>SDT9H12</v>
          </cell>
          <cell r="B1561">
            <v>45989</v>
          </cell>
          <cell r="C1561">
            <v>45989</v>
          </cell>
          <cell r="D1561" t="str">
            <v/>
          </cell>
          <cell r="E1561">
            <v>45989</v>
          </cell>
        </row>
        <row r="1562">
          <cell r="A1562" t="str">
            <v>SDT9H16</v>
          </cell>
          <cell r="B1562">
            <v>45982</v>
          </cell>
          <cell r="C1562" t="str">
            <v/>
          </cell>
          <cell r="D1562" t="str">
            <v/>
          </cell>
          <cell r="E1562">
            <v>45982</v>
          </cell>
        </row>
        <row r="1563">
          <cell r="A1563" t="str">
            <v>SDU0F52</v>
          </cell>
          <cell r="B1563">
            <v>45988</v>
          </cell>
          <cell r="C1563">
            <v>45989</v>
          </cell>
          <cell r="D1563" t="str">
            <v/>
          </cell>
          <cell r="E1563">
            <v>45989</v>
          </cell>
        </row>
        <row r="1564">
          <cell r="A1564" t="str">
            <v>SDU2C97</v>
          </cell>
          <cell r="B1564">
            <v>45989</v>
          </cell>
          <cell r="C1564">
            <v>45989</v>
          </cell>
          <cell r="D1564" t="str">
            <v/>
          </cell>
          <cell r="E1564">
            <v>45989</v>
          </cell>
        </row>
        <row r="1565">
          <cell r="A1565" t="str">
            <v>SDU2C98</v>
          </cell>
          <cell r="B1565">
            <v>45988</v>
          </cell>
          <cell r="C1565">
            <v>45989</v>
          </cell>
          <cell r="D1565" t="str">
            <v/>
          </cell>
          <cell r="E1565">
            <v>45989</v>
          </cell>
        </row>
        <row r="1566">
          <cell r="A1566" t="str">
            <v>SDU2C99</v>
          </cell>
          <cell r="B1566">
            <v>45989</v>
          </cell>
          <cell r="C1566">
            <v>45989</v>
          </cell>
          <cell r="D1566" t="str">
            <v/>
          </cell>
          <cell r="E1566">
            <v>45989</v>
          </cell>
        </row>
        <row r="1567">
          <cell r="A1567" t="str">
            <v>SDU2D01</v>
          </cell>
          <cell r="B1567">
            <v>45989</v>
          </cell>
          <cell r="C1567">
            <v>45989</v>
          </cell>
          <cell r="D1567" t="str">
            <v/>
          </cell>
          <cell r="E1567">
            <v>45989</v>
          </cell>
        </row>
        <row r="1568">
          <cell r="A1568" t="str">
            <v>SDU2D02</v>
          </cell>
          <cell r="B1568">
            <v>45989</v>
          </cell>
          <cell r="C1568">
            <v>45989</v>
          </cell>
          <cell r="D1568" t="str">
            <v/>
          </cell>
          <cell r="E1568">
            <v>45989</v>
          </cell>
        </row>
        <row r="1569">
          <cell r="A1569" t="str">
            <v>SDU2D03</v>
          </cell>
          <cell r="B1569">
            <v>45989</v>
          </cell>
          <cell r="C1569" t="str">
            <v/>
          </cell>
          <cell r="D1569" t="str">
            <v/>
          </cell>
          <cell r="E1569">
            <v>45989</v>
          </cell>
        </row>
        <row r="1570">
          <cell r="A1570" t="str">
            <v>SDU2D05</v>
          </cell>
          <cell r="B1570">
            <v>45989</v>
          </cell>
          <cell r="C1570" t="str">
            <v/>
          </cell>
          <cell r="D1570" t="str">
            <v/>
          </cell>
          <cell r="E1570">
            <v>45989</v>
          </cell>
        </row>
        <row r="1571">
          <cell r="A1571" t="str">
            <v>SDU2D17</v>
          </cell>
          <cell r="B1571">
            <v>45988</v>
          </cell>
          <cell r="C1571">
            <v>45989</v>
          </cell>
          <cell r="D1571" t="str">
            <v/>
          </cell>
          <cell r="E1571">
            <v>45989</v>
          </cell>
        </row>
        <row r="1572">
          <cell r="A1572" t="str">
            <v>SDU2D18</v>
          </cell>
          <cell r="B1572">
            <v>45989</v>
          </cell>
          <cell r="C1572">
            <v>45989</v>
          </cell>
          <cell r="D1572" t="str">
            <v/>
          </cell>
          <cell r="E1572">
            <v>45989</v>
          </cell>
        </row>
        <row r="1573">
          <cell r="A1573" t="str">
            <v>SDU2D19</v>
          </cell>
          <cell r="B1573">
            <v>45988</v>
          </cell>
          <cell r="C1573">
            <v>45989</v>
          </cell>
          <cell r="D1573" t="str">
            <v/>
          </cell>
          <cell r="E1573">
            <v>45989</v>
          </cell>
        </row>
        <row r="1574">
          <cell r="A1574" t="str">
            <v>SDU2D20</v>
          </cell>
          <cell r="B1574">
            <v>45988</v>
          </cell>
          <cell r="C1574">
            <v>45989</v>
          </cell>
          <cell r="D1574" t="str">
            <v/>
          </cell>
          <cell r="E1574">
            <v>45989</v>
          </cell>
        </row>
        <row r="1575">
          <cell r="A1575" t="str">
            <v>SDU2D21</v>
          </cell>
          <cell r="B1575">
            <v>45972</v>
          </cell>
          <cell r="C1575" t="str">
            <v/>
          </cell>
          <cell r="D1575" t="str">
            <v/>
          </cell>
          <cell r="E1575">
            <v>45972</v>
          </cell>
        </row>
        <row r="1576">
          <cell r="A1576" t="str">
            <v>SDU2D24</v>
          </cell>
          <cell r="B1576">
            <v>45989</v>
          </cell>
          <cell r="C1576">
            <v>45989</v>
          </cell>
          <cell r="D1576" t="str">
            <v/>
          </cell>
          <cell r="E1576">
            <v>45989</v>
          </cell>
        </row>
        <row r="1577">
          <cell r="A1577" t="str">
            <v>SDU2D25</v>
          </cell>
          <cell r="B1577">
            <v>45989</v>
          </cell>
          <cell r="C1577">
            <v>45989</v>
          </cell>
          <cell r="D1577" t="str">
            <v/>
          </cell>
          <cell r="E1577">
            <v>45989</v>
          </cell>
        </row>
        <row r="1578">
          <cell r="A1578" t="str">
            <v>SDU2D26</v>
          </cell>
          <cell r="B1578">
            <v>45988</v>
          </cell>
          <cell r="C1578">
            <v>45989</v>
          </cell>
          <cell r="D1578" t="str">
            <v/>
          </cell>
          <cell r="E1578">
            <v>45989</v>
          </cell>
        </row>
        <row r="1579">
          <cell r="A1579" t="str">
            <v>SDU2D27</v>
          </cell>
          <cell r="B1579">
            <v>45989</v>
          </cell>
          <cell r="C1579">
            <v>45989</v>
          </cell>
          <cell r="D1579" t="str">
            <v/>
          </cell>
          <cell r="E1579">
            <v>45989</v>
          </cell>
        </row>
        <row r="1580">
          <cell r="A1580" t="str">
            <v>SDU2D28</v>
          </cell>
          <cell r="B1580">
            <v>45989</v>
          </cell>
          <cell r="C1580">
            <v>45989</v>
          </cell>
          <cell r="D1580" t="str">
            <v/>
          </cell>
          <cell r="E1580">
            <v>45989</v>
          </cell>
        </row>
        <row r="1581">
          <cell r="A1581" t="str">
            <v>SDU2D29</v>
          </cell>
          <cell r="B1581">
            <v>45988</v>
          </cell>
          <cell r="C1581">
            <v>45989</v>
          </cell>
          <cell r="D1581" t="str">
            <v/>
          </cell>
          <cell r="E1581">
            <v>45989</v>
          </cell>
        </row>
        <row r="1582">
          <cell r="A1582" t="str">
            <v>SDU2D30</v>
          </cell>
          <cell r="B1582" t="str">
            <v xml:space="preserve"> </v>
          </cell>
          <cell r="C1582" t="str">
            <v/>
          </cell>
          <cell r="D1582" t="str">
            <v/>
          </cell>
          <cell r="E1582">
            <v>0</v>
          </cell>
        </row>
        <row r="1583">
          <cell r="A1583" t="str">
            <v>SDU2D31</v>
          </cell>
          <cell r="B1583">
            <v>45989</v>
          </cell>
          <cell r="C1583">
            <v>45989</v>
          </cell>
          <cell r="D1583" t="str">
            <v/>
          </cell>
          <cell r="E1583">
            <v>45989</v>
          </cell>
        </row>
        <row r="1584">
          <cell r="A1584" t="str">
            <v>SEF1C57</v>
          </cell>
          <cell r="B1584">
            <v>45986</v>
          </cell>
          <cell r="C1584" t="str">
            <v/>
          </cell>
          <cell r="D1584" t="str">
            <v/>
          </cell>
          <cell r="E1584">
            <v>45986</v>
          </cell>
        </row>
        <row r="1585">
          <cell r="A1585" t="str">
            <v>SEF1C58</v>
          </cell>
          <cell r="B1585">
            <v>45989</v>
          </cell>
          <cell r="C1585">
            <v>45989</v>
          </cell>
          <cell r="D1585" t="str">
            <v/>
          </cell>
          <cell r="E1585">
            <v>45989</v>
          </cell>
        </row>
        <row r="1586">
          <cell r="A1586" t="str">
            <v>SEF1C60</v>
          </cell>
          <cell r="B1586">
            <v>45989</v>
          </cell>
          <cell r="C1586">
            <v>45989</v>
          </cell>
          <cell r="D1586" t="str">
            <v/>
          </cell>
          <cell r="E1586">
            <v>45989</v>
          </cell>
        </row>
        <row r="1587">
          <cell r="A1587" t="str">
            <v>SEF1C61</v>
          </cell>
          <cell r="B1587">
            <v>45989</v>
          </cell>
          <cell r="C1587">
            <v>45989</v>
          </cell>
          <cell r="D1587" t="str">
            <v/>
          </cell>
          <cell r="E1587">
            <v>45989</v>
          </cell>
        </row>
        <row r="1588">
          <cell r="A1588" t="str">
            <v>SEF1D68</v>
          </cell>
          <cell r="B1588">
            <v>45989</v>
          </cell>
          <cell r="C1588">
            <v>45989</v>
          </cell>
          <cell r="D1588" t="str">
            <v/>
          </cell>
          <cell r="E1588">
            <v>45989</v>
          </cell>
        </row>
        <row r="1589">
          <cell r="A1589" t="str">
            <v>SEF1D69</v>
          </cell>
          <cell r="B1589">
            <v>45989</v>
          </cell>
          <cell r="C1589">
            <v>45989</v>
          </cell>
          <cell r="D1589" t="str">
            <v/>
          </cell>
          <cell r="E1589">
            <v>45989</v>
          </cell>
        </row>
        <row r="1590">
          <cell r="A1590" t="str">
            <v>SEF1D70</v>
          </cell>
          <cell r="B1590">
            <v>45988</v>
          </cell>
          <cell r="C1590">
            <v>45989</v>
          </cell>
          <cell r="D1590" t="str">
            <v/>
          </cell>
          <cell r="E1590">
            <v>45989</v>
          </cell>
        </row>
        <row r="1591">
          <cell r="A1591" t="str">
            <v>SEF1D71</v>
          </cell>
          <cell r="B1591">
            <v>45989</v>
          </cell>
          <cell r="C1591">
            <v>45989</v>
          </cell>
          <cell r="D1591" t="str">
            <v/>
          </cell>
          <cell r="E1591">
            <v>45989</v>
          </cell>
        </row>
        <row r="1592">
          <cell r="A1592" t="str">
            <v>SEF1D72</v>
          </cell>
          <cell r="B1592">
            <v>45989</v>
          </cell>
          <cell r="C1592">
            <v>45989</v>
          </cell>
          <cell r="D1592" t="str">
            <v/>
          </cell>
          <cell r="E1592">
            <v>45989</v>
          </cell>
        </row>
        <row r="1593">
          <cell r="A1593" t="str">
            <v>SEF1D74</v>
          </cell>
          <cell r="B1593">
            <v>45989</v>
          </cell>
          <cell r="C1593">
            <v>45989</v>
          </cell>
          <cell r="D1593" t="str">
            <v/>
          </cell>
          <cell r="E1593">
            <v>45989</v>
          </cell>
        </row>
        <row r="1594">
          <cell r="A1594" t="str">
            <v>SEF1D91</v>
          </cell>
          <cell r="B1594">
            <v>45988</v>
          </cell>
          <cell r="C1594">
            <v>45989</v>
          </cell>
          <cell r="D1594" t="str">
            <v/>
          </cell>
          <cell r="E1594">
            <v>45989</v>
          </cell>
        </row>
        <row r="1595">
          <cell r="A1595" t="str">
            <v>SEF1D92</v>
          </cell>
          <cell r="B1595">
            <v>45982</v>
          </cell>
          <cell r="C1595" t="str">
            <v/>
          </cell>
          <cell r="D1595" t="str">
            <v/>
          </cell>
          <cell r="E1595">
            <v>45982</v>
          </cell>
        </row>
        <row r="1596">
          <cell r="A1596" t="str">
            <v>SEF1D94</v>
          </cell>
          <cell r="B1596">
            <v>45980</v>
          </cell>
          <cell r="C1596" t="str">
            <v/>
          </cell>
          <cell r="D1596" t="str">
            <v/>
          </cell>
          <cell r="E1596">
            <v>45980</v>
          </cell>
        </row>
        <row r="1597">
          <cell r="A1597" t="str">
            <v>SEF1D95</v>
          </cell>
          <cell r="B1597">
            <v>45983</v>
          </cell>
          <cell r="C1597" t="str">
            <v/>
          </cell>
          <cell r="D1597" t="str">
            <v/>
          </cell>
          <cell r="E1597">
            <v>45983</v>
          </cell>
        </row>
        <row r="1598">
          <cell r="A1598" t="str">
            <v>SEF1D96</v>
          </cell>
          <cell r="B1598">
            <v>45988</v>
          </cell>
          <cell r="C1598">
            <v>45989</v>
          </cell>
          <cell r="D1598" t="str">
            <v/>
          </cell>
          <cell r="E1598">
            <v>45989</v>
          </cell>
        </row>
        <row r="1599">
          <cell r="A1599" t="str">
            <v>SHI6I70</v>
          </cell>
          <cell r="B1599">
            <v>45987</v>
          </cell>
          <cell r="C1599" t="str">
            <v/>
          </cell>
          <cell r="D1599" t="str">
            <v/>
          </cell>
          <cell r="E1599">
            <v>45987</v>
          </cell>
        </row>
        <row r="1600">
          <cell r="A1600" t="str">
            <v>GBJ3J26</v>
          </cell>
          <cell r="B1600" t="str">
            <v xml:space="preserve"> </v>
          </cell>
          <cell r="C1600" t="str">
            <v/>
          </cell>
          <cell r="D1600" t="str">
            <v/>
          </cell>
          <cell r="E1600">
            <v>0</v>
          </cell>
        </row>
        <row r="1601">
          <cell r="A1601" t="str">
            <v>GDK8I26</v>
          </cell>
          <cell r="B1601" t="str">
            <v xml:space="preserve"> </v>
          </cell>
          <cell r="C1601" t="str">
            <v/>
          </cell>
          <cell r="D1601" t="str">
            <v/>
          </cell>
          <cell r="E1601">
            <v>0</v>
          </cell>
        </row>
        <row r="1602">
          <cell r="A1602" t="str">
            <v>EHC3930</v>
          </cell>
          <cell r="B1602" t="str">
            <v xml:space="preserve"> </v>
          </cell>
          <cell r="C1602" t="str">
            <v/>
          </cell>
          <cell r="D1602" t="str">
            <v/>
          </cell>
          <cell r="E1602">
            <v>0</v>
          </cell>
        </row>
        <row r="1603">
          <cell r="A1603" t="str">
            <v>GDl9E85</v>
          </cell>
          <cell r="B1603" t="str">
            <v xml:space="preserve"> </v>
          </cell>
          <cell r="C1603">
            <v>45989</v>
          </cell>
          <cell r="D1603" t="str">
            <v/>
          </cell>
          <cell r="E1603">
            <v>45989</v>
          </cell>
        </row>
        <row r="1604">
          <cell r="A1604" t="str">
            <v>GDS2B64</v>
          </cell>
          <cell r="B1604" t="str">
            <v xml:space="preserve"> </v>
          </cell>
          <cell r="C1604">
            <v>45989</v>
          </cell>
          <cell r="D1604" t="str">
            <v/>
          </cell>
          <cell r="E1604">
            <v>45989</v>
          </cell>
        </row>
        <row r="1605">
          <cell r="A1605" t="str">
            <v>GCJ0H47</v>
          </cell>
          <cell r="B1605" t="str">
            <v xml:space="preserve"> </v>
          </cell>
          <cell r="C1605" t="str">
            <v/>
          </cell>
          <cell r="D1605" t="str">
            <v/>
          </cell>
          <cell r="E1605">
            <v>0</v>
          </cell>
        </row>
        <row r="1606">
          <cell r="A1606" t="str">
            <v>GJL3J28</v>
          </cell>
          <cell r="B1606" t="str">
            <v xml:space="preserve"> </v>
          </cell>
          <cell r="C1606">
            <v>45989</v>
          </cell>
          <cell r="D1606" t="str">
            <v/>
          </cell>
          <cell r="E1606">
            <v>45989</v>
          </cell>
        </row>
        <row r="1607">
          <cell r="A1607" t="str">
            <v>GHR3C76</v>
          </cell>
          <cell r="B1607" t="str">
            <v xml:space="preserve"> </v>
          </cell>
          <cell r="C1607" t="str">
            <v/>
          </cell>
          <cell r="D1607" t="str">
            <v/>
          </cell>
          <cell r="E1607">
            <v>0</v>
          </cell>
        </row>
        <row r="1608">
          <cell r="A1608" t="str">
            <v>SWC3A30</v>
          </cell>
          <cell r="B1608">
            <v>45989</v>
          </cell>
          <cell r="C1608">
            <v>45989</v>
          </cell>
          <cell r="D1608" t="str">
            <v/>
          </cell>
          <cell r="E1608">
            <v>45989</v>
          </cell>
        </row>
        <row r="1609">
          <cell r="A1609" t="str">
            <v>FHE4895</v>
          </cell>
          <cell r="B1609" t="str">
            <v xml:space="preserve"> </v>
          </cell>
          <cell r="C1609" t="str">
            <v/>
          </cell>
          <cell r="D1609" t="str">
            <v/>
          </cell>
          <cell r="E1609">
            <v>0</v>
          </cell>
        </row>
        <row r="1610">
          <cell r="A1610" t="str">
            <v>GEW1I64</v>
          </cell>
          <cell r="B1610" t="str">
            <v xml:space="preserve"> </v>
          </cell>
          <cell r="C1610" t="str">
            <v/>
          </cell>
          <cell r="D1610" t="str">
            <v/>
          </cell>
          <cell r="E1610">
            <v>0</v>
          </cell>
        </row>
        <row r="1611">
          <cell r="A1611" t="str">
            <v>GFE0J36</v>
          </cell>
          <cell r="B1611" t="str">
            <v xml:space="preserve"> </v>
          </cell>
          <cell r="C1611">
            <v>45989</v>
          </cell>
          <cell r="D1611" t="str">
            <v/>
          </cell>
          <cell r="E1611">
            <v>45989</v>
          </cell>
        </row>
        <row r="1612">
          <cell r="A1612" t="str">
            <v>GFR0H26</v>
          </cell>
          <cell r="B1612" t="str">
            <v xml:space="preserve"> </v>
          </cell>
          <cell r="C1612">
            <v>45989</v>
          </cell>
          <cell r="D1612" t="str">
            <v/>
          </cell>
          <cell r="E1612">
            <v>45989</v>
          </cell>
        </row>
        <row r="1613">
          <cell r="A1613" t="str">
            <v>RUX9F74</v>
          </cell>
          <cell r="B1613" t="str">
            <v xml:space="preserve"> </v>
          </cell>
          <cell r="C1613">
            <v>45989</v>
          </cell>
          <cell r="D1613" t="str">
            <v/>
          </cell>
          <cell r="E1613">
            <v>45989</v>
          </cell>
        </row>
        <row r="1614">
          <cell r="A1614" t="str">
            <v>RUX9F98</v>
          </cell>
          <cell r="B1614" t="str">
            <v xml:space="preserve"> </v>
          </cell>
          <cell r="C1614">
            <v>45989</v>
          </cell>
          <cell r="D1614" t="str">
            <v/>
          </cell>
          <cell r="E1614">
            <v>45989</v>
          </cell>
        </row>
        <row r="1615">
          <cell r="A1615" t="str">
            <v>RUX9G83</v>
          </cell>
          <cell r="B1615" t="str">
            <v xml:space="preserve"> </v>
          </cell>
          <cell r="C1615">
            <v>45989</v>
          </cell>
          <cell r="D1615" t="str">
            <v/>
          </cell>
          <cell r="E1615">
            <v>45989</v>
          </cell>
        </row>
        <row r="1616">
          <cell r="A1616" t="str">
            <v>RUX9G54</v>
          </cell>
          <cell r="B1616" t="str">
            <v xml:space="preserve"> </v>
          </cell>
          <cell r="C1616">
            <v>45989</v>
          </cell>
          <cell r="D1616" t="str">
            <v/>
          </cell>
          <cell r="E1616">
            <v>45989</v>
          </cell>
        </row>
        <row r="1617">
          <cell r="A1617" t="str">
            <v>EYH4A21</v>
          </cell>
          <cell r="B1617" t="str">
            <v xml:space="preserve"> </v>
          </cell>
          <cell r="C1617" t="str">
            <v/>
          </cell>
          <cell r="D1617" t="str">
            <v/>
          </cell>
          <cell r="E1617">
            <v>0</v>
          </cell>
        </row>
        <row r="1618">
          <cell r="A1618" t="str">
            <v>RUX9G19</v>
          </cell>
          <cell r="B1618" t="str">
            <v xml:space="preserve"> </v>
          </cell>
          <cell r="C1618">
            <v>45989</v>
          </cell>
          <cell r="D1618" t="str">
            <v/>
          </cell>
          <cell r="E1618">
            <v>45989</v>
          </cell>
        </row>
        <row r="1619">
          <cell r="A1619" t="str">
            <v>RUX9H12</v>
          </cell>
          <cell r="B1619" t="str">
            <v xml:space="preserve"> </v>
          </cell>
          <cell r="C1619" t="str">
            <v/>
          </cell>
          <cell r="D1619" t="str">
            <v/>
          </cell>
          <cell r="E1619">
            <v>0</v>
          </cell>
        </row>
        <row r="1620">
          <cell r="A1620" t="str">
            <v>QUX1B83</v>
          </cell>
          <cell r="B1620" t="str">
            <v xml:space="preserve"> </v>
          </cell>
          <cell r="C1620" t="str">
            <v/>
          </cell>
          <cell r="D1620" t="str">
            <v/>
          </cell>
          <cell r="E1620">
            <v>0</v>
          </cell>
        </row>
        <row r="1621">
          <cell r="A1621" t="str">
            <v>RNU2J58</v>
          </cell>
          <cell r="B1621" t="str">
            <v xml:space="preserve"> </v>
          </cell>
          <cell r="C1621">
            <v>45989</v>
          </cell>
          <cell r="D1621" t="str">
            <v/>
          </cell>
          <cell r="E1621">
            <v>45989</v>
          </cell>
        </row>
        <row r="1622">
          <cell r="A1622" t="str">
            <v>RTP4B83</v>
          </cell>
          <cell r="B1622" t="str">
            <v xml:space="preserve"> </v>
          </cell>
          <cell r="C1622" t="str">
            <v/>
          </cell>
          <cell r="D1622" t="str">
            <v/>
          </cell>
          <cell r="E1622">
            <v>0</v>
          </cell>
        </row>
        <row r="1623">
          <cell r="A1623" t="str">
            <v>GIY0J57</v>
          </cell>
          <cell r="B1623" t="str">
            <v xml:space="preserve"> </v>
          </cell>
          <cell r="C1623">
            <v>45989</v>
          </cell>
          <cell r="D1623" t="str">
            <v/>
          </cell>
          <cell r="E1623">
            <v>45989</v>
          </cell>
        </row>
        <row r="1624">
          <cell r="A1624" t="str">
            <v>GKA9329</v>
          </cell>
          <cell r="B1624" t="str">
            <v xml:space="preserve"> </v>
          </cell>
          <cell r="C1624">
            <v>45989</v>
          </cell>
          <cell r="D1624" t="str">
            <v/>
          </cell>
          <cell r="E1624">
            <v>45989</v>
          </cell>
        </row>
        <row r="1625">
          <cell r="A1625" t="str">
            <v>RUX9H16</v>
          </cell>
          <cell r="B1625" t="str">
            <v xml:space="preserve"> </v>
          </cell>
          <cell r="C1625">
            <v>45989</v>
          </cell>
          <cell r="D1625" t="str">
            <v/>
          </cell>
          <cell r="E1625">
            <v>45989</v>
          </cell>
        </row>
        <row r="1626">
          <cell r="A1626" t="str">
            <v>RUX9H55 </v>
          </cell>
          <cell r="B1626" t="str">
            <v xml:space="preserve"> </v>
          </cell>
          <cell r="C1626" t="str">
            <v/>
          </cell>
          <cell r="D1626" t="str">
            <v/>
          </cell>
          <cell r="E1626">
            <v>0</v>
          </cell>
        </row>
        <row r="1627">
          <cell r="A1627" t="str">
            <v>RUX9H55</v>
          </cell>
          <cell r="B1627" t="str">
            <v xml:space="preserve"> </v>
          </cell>
          <cell r="C1627" t="str">
            <v/>
          </cell>
          <cell r="D1627" t="str">
            <v/>
          </cell>
          <cell r="E1627">
            <v>0</v>
          </cell>
        </row>
        <row r="1628">
          <cell r="A1628" t="str">
            <v>RUX9G13</v>
          </cell>
          <cell r="B1628" t="str">
            <v xml:space="preserve"> </v>
          </cell>
          <cell r="C1628" t="str">
            <v/>
          </cell>
          <cell r="D1628" t="str">
            <v/>
          </cell>
          <cell r="E1628">
            <v>0</v>
          </cell>
        </row>
        <row r="1629">
          <cell r="A1629" t="str">
            <v>RUX9H13</v>
          </cell>
          <cell r="B1629" t="str">
            <v xml:space="preserve"> </v>
          </cell>
          <cell r="C1629" t="str">
            <v/>
          </cell>
          <cell r="D1629" t="str">
            <v/>
          </cell>
          <cell r="E1629">
            <v>0</v>
          </cell>
        </row>
        <row r="1630">
          <cell r="A1630" t="str">
            <v>RUX9H14</v>
          </cell>
          <cell r="B1630" t="str">
            <v xml:space="preserve"> </v>
          </cell>
          <cell r="C1630">
            <v>45989</v>
          </cell>
          <cell r="D1630" t="str">
            <v/>
          </cell>
          <cell r="E1630">
            <v>45989</v>
          </cell>
        </row>
        <row r="1631">
          <cell r="A1631" t="str">
            <v>RUX9H22</v>
          </cell>
          <cell r="B1631" t="str">
            <v xml:space="preserve"> </v>
          </cell>
          <cell r="C1631" t="str">
            <v/>
          </cell>
          <cell r="D1631" t="str">
            <v/>
          </cell>
          <cell r="E1631">
            <v>0</v>
          </cell>
        </row>
        <row r="1632">
          <cell r="A1632" t="str">
            <v>QUF6H32</v>
          </cell>
          <cell r="B1632" t="str">
            <v xml:space="preserve"> </v>
          </cell>
          <cell r="C1632" t="str">
            <v/>
          </cell>
          <cell r="D1632" t="str">
            <v/>
          </cell>
          <cell r="E1632">
            <v>0</v>
          </cell>
        </row>
        <row r="1633">
          <cell r="A1633" t="str">
            <v>GDV1E06</v>
          </cell>
          <cell r="B1633" t="str">
            <v xml:space="preserve"> </v>
          </cell>
          <cell r="C1633" t="str">
            <v/>
          </cell>
          <cell r="D1633" t="str">
            <v/>
          </cell>
          <cell r="E1633">
            <v>0</v>
          </cell>
        </row>
        <row r="1634">
          <cell r="A1634" t="str">
            <v>SYB4F19</v>
          </cell>
          <cell r="B1634" t="str">
            <v xml:space="preserve"> </v>
          </cell>
          <cell r="C1634" t="str">
            <v/>
          </cell>
          <cell r="D1634" t="str">
            <v/>
          </cell>
          <cell r="E1634">
            <v>0</v>
          </cell>
        </row>
        <row r="1635">
          <cell r="A1635" t="str">
            <v>GJX9H56</v>
          </cell>
          <cell r="B1635" t="str">
            <v xml:space="preserve"> </v>
          </cell>
          <cell r="C1635">
            <v>45989</v>
          </cell>
          <cell r="D1635" t="str">
            <v/>
          </cell>
          <cell r="E1635">
            <v>45989</v>
          </cell>
        </row>
        <row r="1636">
          <cell r="A1636" t="str">
            <v>FOM3F69</v>
          </cell>
          <cell r="B1636" t="str">
            <v xml:space="preserve"> </v>
          </cell>
          <cell r="C1636">
            <v>45989</v>
          </cell>
          <cell r="D1636" t="str">
            <v/>
          </cell>
          <cell r="E1636">
            <v>45989</v>
          </cell>
        </row>
        <row r="1637">
          <cell r="A1637" t="str">
            <v>FXU5535</v>
          </cell>
          <cell r="B1637" t="str">
            <v xml:space="preserve"> </v>
          </cell>
          <cell r="C1637" t="str">
            <v/>
          </cell>
          <cell r="D1637" t="str">
            <v/>
          </cell>
          <cell r="E1637">
            <v>0</v>
          </cell>
        </row>
        <row r="1638">
          <cell r="A1638" t="str">
            <v>RFP5B11</v>
          </cell>
          <cell r="B1638" t="str">
            <v xml:space="preserve"> </v>
          </cell>
          <cell r="C1638" t="str">
            <v/>
          </cell>
          <cell r="D1638" t="str">
            <v/>
          </cell>
          <cell r="E1638">
            <v>0</v>
          </cell>
        </row>
        <row r="1639">
          <cell r="A1639" t="str">
            <v>SUT9A00</v>
          </cell>
          <cell r="B1639">
            <v>45988</v>
          </cell>
          <cell r="C1639">
            <v>45989</v>
          </cell>
          <cell r="D1639" t="str">
            <v/>
          </cell>
          <cell r="E1639">
            <v>45989</v>
          </cell>
        </row>
        <row r="1640">
          <cell r="A1640" t="str">
            <v>QPC5I34</v>
          </cell>
          <cell r="B1640" t="str">
            <v xml:space="preserve"> </v>
          </cell>
          <cell r="C1640" t="str">
            <v/>
          </cell>
          <cell r="D1640" t="str">
            <v/>
          </cell>
          <cell r="E1640">
            <v>0</v>
          </cell>
        </row>
        <row r="1641">
          <cell r="A1641" t="str">
            <v>STB2G28</v>
          </cell>
          <cell r="B1641" t="str">
            <v xml:space="preserve"> </v>
          </cell>
          <cell r="C1641">
            <v>45989</v>
          </cell>
          <cell r="D1641" t="str">
            <v/>
          </cell>
          <cell r="E1641">
            <v>45989</v>
          </cell>
        </row>
        <row r="1642">
          <cell r="A1642" t="str">
            <v>SVR7G02</v>
          </cell>
          <cell r="B1642">
            <v>45988</v>
          </cell>
          <cell r="C1642">
            <v>45989</v>
          </cell>
          <cell r="D1642" t="str">
            <v/>
          </cell>
          <cell r="E1642">
            <v>45989</v>
          </cell>
        </row>
        <row r="1643">
          <cell r="A1643" t="str">
            <v>QPC0J28</v>
          </cell>
          <cell r="B1643" t="str">
            <v xml:space="preserve"> </v>
          </cell>
          <cell r="C1643" t="str">
            <v/>
          </cell>
          <cell r="D1643" t="str">
            <v/>
          </cell>
          <cell r="E1643">
            <v>0</v>
          </cell>
        </row>
        <row r="1644">
          <cell r="A1644" t="str">
            <v>RNQ8D22</v>
          </cell>
          <cell r="B1644" t="str">
            <v xml:space="preserve"> </v>
          </cell>
          <cell r="C1644" t="str">
            <v/>
          </cell>
          <cell r="D1644" t="str">
            <v/>
          </cell>
          <cell r="E1644">
            <v>0</v>
          </cell>
        </row>
        <row r="1645">
          <cell r="A1645" t="str">
            <v>QPC0J27</v>
          </cell>
          <cell r="B1645" t="str">
            <v xml:space="preserve"> </v>
          </cell>
          <cell r="C1645" t="str">
            <v/>
          </cell>
          <cell r="D1645" t="str">
            <v/>
          </cell>
          <cell r="E1645">
            <v>0</v>
          </cell>
        </row>
        <row r="1646">
          <cell r="A1646" t="str">
            <v>PXN4729</v>
          </cell>
          <cell r="B1646" t="str">
            <v xml:space="preserve"> </v>
          </cell>
          <cell r="C1646" t="str">
            <v/>
          </cell>
          <cell r="D1646" t="str">
            <v/>
          </cell>
          <cell r="E1646">
            <v>0</v>
          </cell>
        </row>
        <row r="1647">
          <cell r="A1647" t="str">
            <v>RTD7E51</v>
          </cell>
          <cell r="B1647" t="str">
            <v xml:space="preserve"> </v>
          </cell>
          <cell r="C1647" t="str">
            <v/>
          </cell>
          <cell r="D1647" t="str">
            <v/>
          </cell>
          <cell r="E1647">
            <v>0</v>
          </cell>
        </row>
        <row r="1648">
          <cell r="A1648" t="str">
            <v>RTP4B89</v>
          </cell>
          <cell r="B1648" t="str">
            <v xml:space="preserve"> </v>
          </cell>
          <cell r="C1648" t="str">
            <v/>
          </cell>
          <cell r="D1648" t="str">
            <v/>
          </cell>
          <cell r="E1648">
            <v>0</v>
          </cell>
        </row>
        <row r="1649">
          <cell r="A1649" t="str">
            <v>RTP4B90</v>
          </cell>
          <cell r="B1649" t="str">
            <v xml:space="preserve"> </v>
          </cell>
          <cell r="C1649" t="str">
            <v/>
          </cell>
          <cell r="D1649" t="str">
            <v/>
          </cell>
          <cell r="E1649">
            <v>0</v>
          </cell>
        </row>
        <row r="1650">
          <cell r="A1650" t="str">
            <v>RTP4B92</v>
          </cell>
          <cell r="B1650" t="str">
            <v xml:space="preserve"> </v>
          </cell>
          <cell r="C1650">
            <v>45989</v>
          </cell>
          <cell r="D1650" t="str">
            <v/>
          </cell>
          <cell r="E1650">
            <v>45989</v>
          </cell>
        </row>
        <row r="1651">
          <cell r="A1651" t="str">
            <v>RUG7E81</v>
          </cell>
          <cell r="B1651" t="str">
            <v xml:space="preserve"> </v>
          </cell>
          <cell r="C1651">
            <v>45989</v>
          </cell>
          <cell r="D1651" t="str">
            <v/>
          </cell>
          <cell r="E1651">
            <v>45989</v>
          </cell>
        </row>
        <row r="1652">
          <cell r="A1652" t="str">
            <v>RUX9G21</v>
          </cell>
          <cell r="B1652" t="str">
            <v xml:space="preserve"> </v>
          </cell>
          <cell r="C1652">
            <v>45989</v>
          </cell>
          <cell r="D1652" t="str">
            <v/>
          </cell>
          <cell r="E1652">
            <v>45989</v>
          </cell>
        </row>
        <row r="1653">
          <cell r="A1653" t="str">
            <v>SSR6G39</v>
          </cell>
          <cell r="B1653" t="str">
            <v xml:space="preserve"> </v>
          </cell>
          <cell r="C1653">
            <v>45989</v>
          </cell>
          <cell r="D1653" t="str">
            <v/>
          </cell>
          <cell r="E1653">
            <v>45989</v>
          </cell>
        </row>
        <row r="1654">
          <cell r="A1654" t="str">
            <v>SSV2H07</v>
          </cell>
          <cell r="B1654">
            <v>45989</v>
          </cell>
          <cell r="C1654" t="str">
            <v/>
          </cell>
          <cell r="D1654" t="str">
            <v/>
          </cell>
          <cell r="E1654">
            <v>45989</v>
          </cell>
        </row>
        <row r="1655">
          <cell r="A1655" t="str">
            <v>DKK9232</v>
          </cell>
          <cell r="B1655" t="str">
            <v xml:space="preserve"> </v>
          </cell>
          <cell r="C1655" t="str">
            <v/>
          </cell>
          <cell r="D1655" t="str">
            <v/>
          </cell>
          <cell r="E1655">
            <v>0</v>
          </cell>
        </row>
        <row r="1656">
          <cell r="A1656" t="str">
            <v>RTZ4C60</v>
          </cell>
          <cell r="B1656" t="str">
            <v xml:space="preserve"> </v>
          </cell>
          <cell r="C1656" t="str">
            <v/>
          </cell>
          <cell r="D1656" t="str">
            <v/>
          </cell>
          <cell r="E1656">
            <v>0</v>
          </cell>
        </row>
        <row r="1657">
          <cell r="A1657" t="str">
            <v>RTZ7C02</v>
          </cell>
          <cell r="B1657" t="str">
            <v xml:space="preserve"> </v>
          </cell>
          <cell r="C1657" t="str">
            <v/>
          </cell>
          <cell r="D1657" t="str">
            <v/>
          </cell>
          <cell r="E1657">
            <v>0</v>
          </cell>
        </row>
        <row r="1658">
          <cell r="A1658" t="str">
            <v>RUC7I42</v>
          </cell>
          <cell r="B1658" t="str">
            <v xml:space="preserve"> </v>
          </cell>
          <cell r="C1658" t="str">
            <v/>
          </cell>
          <cell r="D1658" t="str">
            <v/>
          </cell>
          <cell r="E1658">
            <v>0</v>
          </cell>
        </row>
        <row r="1659">
          <cell r="A1659" t="str">
            <v>RUF9E69</v>
          </cell>
          <cell r="B1659" t="str">
            <v xml:space="preserve"> </v>
          </cell>
          <cell r="C1659" t="str">
            <v/>
          </cell>
          <cell r="D1659" t="str">
            <v/>
          </cell>
          <cell r="E1659">
            <v>0</v>
          </cell>
        </row>
        <row r="1660">
          <cell r="A1660" t="str">
            <v>RUM1E11</v>
          </cell>
          <cell r="B1660" t="str">
            <v xml:space="preserve"> </v>
          </cell>
          <cell r="C1660" t="str">
            <v/>
          </cell>
          <cell r="D1660" t="str">
            <v/>
          </cell>
          <cell r="E1660">
            <v>0</v>
          </cell>
        </row>
        <row r="1661">
          <cell r="A1661" t="str">
            <v>RVP4C43</v>
          </cell>
          <cell r="B1661" t="str">
            <v xml:space="preserve"> </v>
          </cell>
          <cell r="C1661" t="str">
            <v/>
          </cell>
          <cell r="D1661" t="str">
            <v/>
          </cell>
          <cell r="E1661">
            <v>0</v>
          </cell>
        </row>
        <row r="1662">
          <cell r="A1662" t="str">
            <v>RTW0D26</v>
          </cell>
          <cell r="B1662" t="str">
            <v xml:space="preserve"> </v>
          </cell>
          <cell r="C1662" t="str">
            <v/>
          </cell>
          <cell r="D1662" t="str">
            <v/>
          </cell>
          <cell r="E1662">
            <v>0</v>
          </cell>
        </row>
        <row r="1663">
          <cell r="A1663" t="str">
            <v>SYG0A90</v>
          </cell>
          <cell r="B1663" t="str">
            <v xml:space="preserve"> </v>
          </cell>
          <cell r="C1663" t="str">
            <v/>
          </cell>
          <cell r="D1663" t="str">
            <v/>
          </cell>
          <cell r="E1663">
            <v>0</v>
          </cell>
        </row>
        <row r="1664">
          <cell r="A1664" t="str">
            <v>RTZ4B75</v>
          </cell>
          <cell r="B1664" t="str">
            <v xml:space="preserve"> </v>
          </cell>
          <cell r="C1664" t="str">
            <v/>
          </cell>
          <cell r="D1664" t="str">
            <v/>
          </cell>
          <cell r="E1664">
            <v>0</v>
          </cell>
        </row>
        <row r="1665">
          <cell r="A1665" t="str">
            <v>SIZ5B04</v>
          </cell>
          <cell r="B1665" t="str">
            <v xml:space="preserve"> </v>
          </cell>
          <cell r="C1665" t="str">
            <v/>
          </cell>
          <cell r="D1665" t="str">
            <v/>
          </cell>
          <cell r="E1665">
            <v>0</v>
          </cell>
        </row>
        <row r="1666">
          <cell r="A1666" t="str">
            <v>RTT0C73</v>
          </cell>
          <cell r="B1666" t="str">
            <v xml:space="preserve"> </v>
          </cell>
          <cell r="C1666" t="str">
            <v/>
          </cell>
          <cell r="D1666" t="str">
            <v/>
          </cell>
          <cell r="E1666">
            <v>0</v>
          </cell>
        </row>
        <row r="1667">
          <cell r="A1667" t="str">
            <v>RNQ1E98</v>
          </cell>
          <cell r="B1667" t="str">
            <v xml:space="preserve"> </v>
          </cell>
          <cell r="C1667" t="str">
            <v/>
          </cell>
          <cell r="D1667" t="str">
            <v/>
          </cell>
          <cell r="E1667">
            <v>0</v>
          </cell>
        </row>
        <row r="1668">
          <cell r="A1668" t="str">
            <v>SYD1J97</v>
          </cell>
          <cell r="B1668" t="str">
            <v xml:space="preserve"> </v>
          </cell>
          <cell r="C1668" t="str">
            <v/>
          </cell>
          <cell r="D1668" t="str">
            <v/>
          </cell>
          <cell r="E1668">
            <v>0</v>
          </cell>
        </row>
        <row r="1669">
          <cell r="A1669" t="str">
            <v>RVE6I93</v>
          </cell>
          <cell r="B1669" t="str">
            <v xml:space="preserve"> </v>
          </cell>
          <cell r="C1669" t="str">
            <v/>
          </cell>
          <cell r="D1669" t="str">
            <v/>
          </cell>
          <cell r="E1669">
            <v>0</v>
          </cell>
        </row>
        <row r="1670">
          <cell r="A1670" t="str">
            <v>RTZ4C52</v>
          </cell>
          <cell r="B1670" t="str">
            <v xml:space="preserve"> </v>
          </cell>
          <cell r="C1670" t="str">
            <v/>
          </cell>
          <cell r="D1670" t="str">
            <v/>
          </cell>
          <cell r="E1670">
            <v>0</v>
          </cell>
        </row>
        <row r="1671">
          <cell r="A1671" t="str">
            <v>SYF0C90</v>
          </cell>
          <cell r="B1671" t="str">
            <v xml:space="preserve"> </v>
          </cell>
          <cell r="C1671" t="str">
            <v/>
          </cell>
          <cell r="D1671" t="str">
            <v/>
          </cell>
          <cell r="E1671">
            <v>0</v>
          </cell>
        </row>
        <row r="1672">
          <cell r="A1672" t="str">
            <v>RVI3G64</v>
          </cell>
          <cell r="B1672" t="str">
            <v xml:space="preserve"> </v>
          </cell>
          <cell r="C1672" t="str">
            <v/>
          </cell>
          <cell r="D1672" t="str">
            <v/>
          </cell>
          <cell r="E1672">
            <v>0</v>
          </cell>
        </row>
        <row r="1673">
          <cell r="A1673" t="str">
            <v>RTD3C44</v>
          </cell>
          <cell r="B1673" t="str">
            <v xml:space="preserve"> </v>
          </cell>
          <cell r="C1673" t="str">
            <v/>
          </cell>
          <cell r="D1673" t="str">
            <v/>
          </cell>
          <cell r="E1673">
            <v>0</v>
          </cell>
        </row>
        <row r="1674">
          <cell r="A1674" t="str">
            <v>RTJ0J21</v>
          </cell>
          <cell r="B1674" t="str">
            <v xml:space="preserve"> </v>
          </cell>
          <cell r="C1674" t="str">
            <v/>
          </cell>
          <cell r="D1674" t="str">
            <v/>
          </cell>
          <cell r="E1674">
            <v>0</v>
          </cell>
        </row>
        <row r="1675">
          <cell r="A1675" t="str">
            <v>RTF5H83</v>
          </cell>
          <cell r="B1675" t="str">
            <v xml:space="preserve"> </v>
          </cell>
          <cell r="C1675" t="str">
            <v/>
          </cell>
          <cell r="D1675" t="str">
            <v/>
          </cell>
          <cell r="E1675">
            <v>0</v>
          </cell>
        </row>
        <row r="1676">
          <cell r="A1676" t="str">
            <v>RUF3D82</v>
          </cell>
          <cell r="B1676" t="str">
            <v xml:space="preserve"> </v>
          </cell>
          <cell r="C1676" t="str">
            <v/>
          </cell>
          <cell r="D1676" t="str">
            <v/>
          </cell>
          <cell r="E1676">
            <v>0</v>
          </cell>
        </row>
        <row r="1677">
          <cell r="A1677" t="str">
            <v>RUS1G52</v>
          </cell>
          <cell r="B1677" t="str">
            <v xml:space="preserve"> </v>
          </cell>
          <cell r="C1677" t="str">
            <v/>
          </cell>
          <cell r="D1677" t="str">
            <v/>
          </cell>
          <cell r="E1677">
            <v>0</v>
          </cell>
        </row>
        <row r="1678">
          <cell r="A1678" t="str">
            <v>SJE9F84</v>
          </cell>
          <cell r="B1678" t="str">
            <v xml:space="preserve"> </v>
          </cell>
          <cell r="C1678" t="str">
            <v/>
          </cell>
          <cell r="D1678" t="str">
            <v/>
          </cell>
          <cell r="E1678">
            <v>0</v>
          </cell>
        </row>
        <row r="1679">
          <cell r="A1679" t="str">
            <v>SIZ5B11</v>
          </cell>
          <cell r="B1679" t="str">
            <v xml:space="preserve"> </v>
          </cell>
          <cell r="C1679" t="str">
            <v/>
          </cell>
          <cell r="D1679" t="str">
            <v/>
          </cell>
          <cell r="E1679">
            <v>0</v>
          </cell>
        </row>
        <row r="1680">
          <cell r="A1680" t="str">
            <v>RUD7B56</v>
          </cell>
          <cell r="B1680" t="str">
            <v xml:space="preserve"> </v>
          </cell>
          <cell r="C1680" t="str">
            <v/>
          </cell>
          <cell r="D1680" t="str">
            <v/>
          </cell>
          <cell r="E1680">
            <v>0</v>
          </cell>
        </row>
        <row r="1681">
          <cell r="A1681" t="str">
            <v>SDP9J17</v>
          </cell>
          <cell r="B1681" t="str">
            <v xml:space="preserve"> </v>
          </cell>
          <cell r="C1681">
            <v>45989</v>
          </cell>
          <cell r="D1681" t="str">
            <v/>
          </cell>
          <cell r="E1681">
            <v>45989</v>
          </cell>
        </row>
        <row r="1682">
          <cell r="A1682" t="str">
            <v>SDP9J20</v>
          </cell>
          <cell r="B1682" t="str">
            <v xml:space="preserve"> </v>
          </cell>
          <cell r="C1682" t="str">
            <v/>
          </cell>
          <cell r="D1682" t="str">
            <v/>
          </cell>
          <cell r="E1682">
            <v>0</v>
          </cell>
        </row>
        <row r="1683">
          <cell r="A1683" t="str">
            <v>SDP9I93</v>
          </cell>
          <cell r="B1683" t="str">
            <v xml:space="preserve"> </v>
          </cell>
          <cell r="C1683" t="str">
            <v/>
          </cell>
          <cell r="D1683" t="str">
            <v/>
          </cell>
          <cell r="E1683">
            <v>0</v>
          </cell>
        </row>
        <row r="1684">
          <cell r="A1684" t="str">
            <v>RHW0D24</v>
          </cell>
          <cell r="B1684" t="str">
            <v xml:space="preserve"> </v>
          </cell>
          <cell r="C1684">
            <v>45989</v>
          </cell>
          <cell r="D1684" t="str">
            <v/>
          </cell>
          <cell r="E1684">
            <v>45989</v>
          </cell>
        </row>
        <row r="1685">
          <cell r="A1685" t="str">
            <v>RHW0D25</v>
          </cell>
          <cell r="B1685" t="str">
            <v xml:space="preserve"> </v>
          </cell>
          <cell r="C1685">
            <v>45989</v>
          </cell>
          <cell r="D1685" t="str">
            <v/>
          </cell>
          <cell r="E1685">
            <v>45989</v>
          </cell>
        </row>
        <row r="1686">
          <cell r="A1686" t="str">
            <v>RHW0D28</v>
          </cell>
          <cell r="B1686" t="str">
            <v xml:space="preserve"> </v>
          </cell>
          <cell r="C1686">
            <v>45989</v>
          </cell>
          <cell r="D1686" t="str">
            <v/>
          </cell>
          <cell r="E1686">
            <v>45989</v>
          </cell>
        </row>
        <row r="1687">
          <cell r="A1687" t="str">
            <v>RHW0D34</v>
          </cell>
          <cell r="B1687" t="str">
            <v xml:space="preserve"> </v>
          </cell>
          <cell r="C1687">
            <v>45989</v>
          </cell>
          <cell r="D1687" t="str">
            <v/>
          </cell>
          <cell r="E1687">
            <v>45989</v>
          </cell>
        </row>
        <row r="1688">
          <cell r="A1688" t="str">
            <v>RHW0D35</v>
          </cell>
          <cell r="B1688" t="str">
            <v xml:space="preserve"> </v>
          </cell>
          <cell r="C1688" t="str">
            <v/>
          </cell>
          <cell r="D1688" t="str">
            <v/>
          </cell>
          <cell r="E1688">
            <v>0</v>
          </cell>
        </row>
        <row r="1689">
          <cell r="A1689" t="str">
            <v>RHW0D44</v>
          </cell>
          <cell r="B1689">
            <v>45989</v>
          </cell>
          <cell r="C1689">
            <v>45989</v>
          </cell>
          <cell r="D1689" t="str">
            <v/>
          </cell>
          <cell r="E1689">
            <v>45989</v>
          </cell>
        </row>
        <row r="1690">
          <cell r="A1690" t="str">
            <v>RHW0D51</v>
          </cell>
          <cell r="B1690" t="str">
            <v xml:space="preserve"> </v>
          </cell>
          <cell r="C1690">
            <v>45989</v>
          </cell>
          <cell r="D1690" t="str">
            <v/>
          </cell>
          <cell r="E1690">
            <v>45989</v>
          </cell>
        </row>
        <row r="1691">
          <cell r="A1691" t="str">
            <v>RHW0D53</v>
          </cell>
          <cell r="B1691" t="str">
            <v xml:space="preserve"> </v>
          </cell>
          <cell r="C1691" t="str">
            <v/>
          </cell>
          <cell r="D1691" t="str">
            <v/>
          </cell>
          <cell r="E1691">
            <v>0</v>
          </cell>
        </row>
        <row r="1692">
          <cell r="A1692" t="str">
            <v>RHW0D57</v>
          </cell>
          <cell r="B1692">
            <v>45947</v>
          </cell>
          <cell r="C1692" t="str">
            <v/>
          </cell>
          <cell r="D1692" t="str">
            <v/>
          </cell>
          <cell r="E1692">
            <v>45947</v>
          </cell>
        </row>
        <row r="1693">
          <cell r="A1693" t="str">
            <v>RHW0D58</v>
          </cell>
          <cell r="B1693">
            <v>45989</v>
          </cell>
          <cell r="C1693">
            <v>45989</v>
          </cell>
          <cell r="D1693" t="str">
            <v/>
          </cell>
          <cell r="E1693">
            <v>45989</v>
          </cell>
        </row>
        <row r="1694">
          <cell r="A1694" t="str">
            <v>RHW0D59</v>
          </cell>
          <cell r="B1694" t="str">
            <v xml:space="preserve"> </v>
          </cell>
          <cell r="C1694" t="str">
            <v/>
          </cell>
          <cell r="D1694" t="str">
            <v/>
          </cell>
          <cell r="E1694">
            <v>0</v>
          </cell>
        </row>
        <row r="1695">
          <cell r="A1695" t="str">
            <v>RFV4G66</v>
          </cell>
          <cell r="B1695" t="str">
            <v xml:space="preserve"> </v>
          </cell>
          <cell r="C1695" t="str">
            <v/>
          </cell>
          <cell r="D1695" t="str">
            <v/>
          </cell>
          <cell r="E1695">
            <v>0</v>
          </cell>
        </row>
        <row r="1696">
          <cell r="A1696" t="str">
            <v>RVD4C61</v>
          </cell>
          <cell r="B1696" t="str">
            <v xml:space="preserve"> </v>
          </cell>
          <cell r="C1696" t="str">
            <v/>
          </cell>
          <cell r="D1696" t="str">
            <v/>
          </cell>
          <cell r="E1696">
            <v>0</v>
          </cell>
        </row>
        <row r="1697">
          <cell r="A1697" t="str">
            <v>RVF9J99</v>
          </cell>
          <cell r="B1697">
            <v>45988</v>
          </cell>
          <cell r="C1697">
            <v>45989</v>
          </cell>
          <cell r="D1697" t="str">
            <v/>
          </cell>
          <cell r="E1697">
            <v>45989</v>
          </cell>
        </row>
        <row r="1698">
          <cell r="A1698" t="str">
            <v>RVQ2D85</v>
          </cell>
          <cell r="B1698">
            <v>45865</v>
          </cell>
          <cell r="C1698" t="str">
            <v/>
          </cell>
          <cell r="D1698" t="str">
            <v/>
          </cell>
          <cell r="E1698">
            <v>45865</v>
          </cell>
        </row>
        <row r="1699">
          <cell r="A1699" t="str">
            <v>RVQ2D54</v>
          </cell>
          <cell r="B1699">
            <v>45989</v>
          </cell>
          <cell r="C1699" t="str">
            <v/>
          </cell>
          <cell r="D1699" t="str">
            <v/>
          </cell>
          <cell r="E1699">
            <v>45989</v>
          </cell>
        </row>
        <row r="1700">
          <cell r="A1700" t="str">
            <v>RFU2E56</v>
          </cell>
          <cell r="B1700" t="str">
            <v xml:space="preserve"> </v>
          </cell>
          <cell r="C1700" t="str">
            <v/>
          </cell>
          <cell r="D1700" t="str">
            <v/>
          </cell>
          <cell r="E1700">
            <v>0</v>
          </cell>
        </row>
        <row r="1701">
          <cell r="A1701" t="str">
            <v>RNE0J15</v>
          </cell>
          <cell r="B1701">
            <v>45981</v>
          </cell>
          <cell r="C1701" t="str">
            <v/>
          </cell>
          <cell r="D1701" t="str">
            <v/>
          </cell>
          <cell r="E1701">
            <v>45981</v>
          </cell>
        </row>
        <row r="1702">
          <cell r="A1702" t="str">
            <v>RNE0J08</v>
          </cell>
          <cell r="B1702">
            <v>45989</v>
          </cell>
          <cell r="C1702" t="str">
            <v/>
          </cell>
          <cell r="D1702" t="str">
            <v/>
          </cell>
          <cell r="E1702">
            <v>45989</v>
          </cell>
        </row>
        <row r="1703">
          <cell r="A1703" t="str">
            <v>RFB8J74</v>
          </cell>
          <cell r="B1703" t="str">
            <v xml:space="preserve"> </v>
          </cell>
          <cell r="C1703" t="str">
            <v/>
          </cell>
          <cell r="D1703" t="str">
            <v/>
          </cell>
          <cell r="E1703">
            <v>0</v>
          </cell>
        </row>
        <row r="1704">
          <cell r="A1704" t="str">
            <v>RFM2D48</v>
          </cell>
          <cell r="B1704" t="str">
            <v xml:space="preserve"> </v>
          </cell>
          <cell r="C1704" t="str">
            <v/>
          </cell>
          <cell r="D1704" t="str">
            <v/>
          </cell>
          <cell r="E1704">
            <v>0</v>
          </cell>
        </row>
        <row r="1705">
          <cell r="A1705" t="str">
            <v>RNH7H50</v>
          </cell>
          <cell r="B1705" t="str">
            <v xml:space="preserve"> </v>
          </cell>
          <cell r="C1705" t="str">
            <v/>
          </cell>
          <cell r="D1705" t="str">
            <v/>
          </cell>
          <cell r="E1705">
            <v>0</v>
          </cell>
        </row>
        <row r="1706">
          <cell r="A1706" t="str">
            <v>RNH7H38</v>
          </cell>
          <cell r="B1706" t="str">
            <v xml:space="preserve"> </v>
          </cell>
          <cell r="C1706" t="str">
            <v/>
          </cell>
          <cell r="D1706" t="str">
            <v/>
          </cell>
          <cell r="E1706">
            <v>0</v>
          </cell>
        </row>
        <row r="1707">
          <cell r="A1707" t="str">
            <v>RTM7G82</v>
          </cell>
          <cell r="B1707" t="str">
            <v xml:space="preserve"> </v>
          </cell>
          <cell r="C1707" t="str">
            <v/>
          </cell>
          <cell r="D1707" t="str">
            <v/>
          </cell>
          <cell r="E1707">
            <v>0</v>
          </cell>
        </row>
        <row r="1708">
          <cell r="A1708" t="str">
            <v>RTM7G83</v>
          </cell>
          <cell r="B1708" t="str">
            <v xml:space="preserve"> </v>
          </cell>
          <cell r="C1708">
            <v>45989</v>
          </cell>
          <cell r="D1708" t="str">
            <v/>
          </cell>
          <cell r="E1708">
            <v>45989</v>
          </cell>
        </row>
        <row r="1709">
          <cell r="A1709" t="str">
            <v>RTB7E47</v>
          </cell>
          <cell r="B1709" t="str">
            <v xml:space="preserve"> </v>
          </cell>
          <cell r="C1709">
            <v>45989</v>
          </cell>
          <cell r="D1709" t="str">
            <v/>
          </cell>
          <cell r="E1709">
            <v>45989</v>
          </cell>
        </row>
        <row r="1710">
          <cell r="A1710" t="str">
            <v>RTB7E24</v>
          </cell>
          <cell r="B1710" t="str">
            <v xml:space="preserve"> </v>
          </cell>
          <cell r="C1710" t="str">
            <v/>
          </cell>
          <cell r="D1710" t="str">
            <v/>
          </cell>
          <cell r="E1710">
            <v>0</v>
          </cell>
        </row>
        <row r="1711">
          <cell r="A1711" t="str">
            <v>RTM7G79</v>
          </cell>
          <cell r="B1711" t="str">
            <v xml:space="preserve"> </v>
          </cell>
          <cell r="C1711" t="str">
            <v/>
          </cell>
          <cell r="D1711" t="str">
            <v/>
          </cell>
          <cell r="E1711">
            <v>0</v>
          </cell>
        </row>
        <row r="1712">
          <cell r="A1712" t="str">
            <v>RTB7E31</v>
          </cell>
          <cell r="B1712" t="str">
            <v xml:space="preserve"> </v>
          </cell>
          <cell r="C1712">
            <v>45989</v>
          </cell>
          <cell r="D1712" t="str">
            <v/>
          </cell>
          <cell r="E1712">
            <v>45989</v>
          </cell>
        </row>
        <row r="1713">
          <cell r="A1713" t="str">
            <v>RTB7E32</v>
          </cell>
          <cell r="B1713" t="str">
            <v xml:space="preserve"> </v>
          </cell>
          <cell r="C1713" t="str">
            <v/>
          </cell>
          <cell r="D1713" t="str">
            <v/>
          </cell>
          <cell r="E1713">
            <v>0</v>
          </cell>
        </row>
        <row r="1714">
          <cell r="A1714" t="str">
            <v>RTB7E33</v>
          </cell>
          <cell r="B1714" t="str">
            <v xml:space="preserve"> </v>
          </cell>
          <cell r="C1714">
            <v>45989</v>
          </cell>
          <cell r="D1714" t="str">
            <v/>
          </cell>
          <cell r="E1714">
            <v>45989</v>
          </cell>
        </row>
        <row r="1715">
          <cell r="A1715" t="str">
            <v>RTM7G80</v>
          </cell>
          <cell r="B1715" t="str">
            <v xml:space="preserve"> </v>
          </cell>
          <cell r="C1715">
            <v>45989</v>
          </cell>
          <cell r="D1715" t="str">
            <v/>
          </cell>
          <cell r="E1715">
            <v>45989</v>
          </cell>
        </row>
        <row r="1716">
          <cell r="A1716" t="str">
            <v>RTM9F09</v>
          </cell>
          <cell r="B1716" t="str">
            <v xml:space="preserve"> </v>
          </cell>
          <cell r="C1716">
            <v>45989</v>
          </cell>
          <cell r="D1716" t="str">
            <v/>
          </cell>
          <cell r="E1716">
            <v>45989</v>
          </cell>
        </row>
        <row r="1717">
          <cell r="A1717" t="str">
            <v>SGK7D83</v>
          </cell>
          <cell r="B1717">
            <v>45978</v>
          </cell>
          <cell r="C1717" t="str">
            <v/>
          </cell>
          <cell r="D1717" t="str">
            <v/>
          </cell>
          <cell r="E1717">
            <v>45978</v>
          </cell>
        </row>
        <row r="1718">
          <cell r="A1718" t="str">
            <v>RFM2C38</v>
          </cell>
          <cell r="B1718" t="str">
            <v xml:space="preserve"> </v>
          </cell>
          <cell r="C1718" t="str">
            <v/>
          </cell>
          <cell r="D1718" t="str">
            <v/>
          </cell>
          <cell r="E1718">
            <v>0</v>
          </cell>
        </row>
        <row r="1719">
          <cell r="A1719" t="str">
            <v>RVR9I55</v>
          </cell>
          <cell r="B1719">
            <v>45982</v>
          </cell>
          <cell r="C1719" t="str">
            <v/>
          </cell>
          <cell r="D1719" t="str">
            <v/>
          </cell>
          <cell r="E1719">
            <v>45982</v>
          </cell>
        </row>
        <row r="1720">
          <cell r="A1720" t="str">
            <v>SGF9A00</v>
          </cell>
          <cell r="B1720">
            <v>45960</v>
          </cell>
          <cell r="C1720" t="str">
            <v/>
          </cell>
          <cell r="D1720" t="str">
            <v/>
          </cell>
          <cell r="E1720">
            <v>45960</v>
          </cell>
        </row>
        <row r="1721">
          <cell r="A1721" t="str">
            <v>SDT9G63</v>
          </cell>
          <cell r="B1721">
            <v>45989</v>
          </cell>
          <cell r="C1721">
            <v>45989</v>
          </cell>
          <cell r="D1721" t="str">
            <v/>
          </cell>
          <cell r="E1721">
            <v>45989</v>
          </cell>
        </row>
        <row r="1722">
          <cell r="A1722" t="str">
            <v>SJU0J06</v>
          </cell>
          <cell r="B1722" t="str">
            <v xml:space="preserve"> </v>
          </cell>
          <cell r="C1722">
            <v>45989</v>
          </cell>
          <cell r="D1722" t="str">
            <v/>
          </cell>
          <cell r="E1722">
            <v>45989</v>
          </cell>
        </row>
        <row r="1723">
          <cell r="A1723" t="str">
            <v>SGH7J44</v>
          </cell>
          <cell r="B1723">
            <v>45988</v>
          </cell>
          <cell r="C1723">
            <v>45989</v>
          </cell>
          <cell r="D1723" t="str">
            <v/>
          </cell>
          <cell r="E1723">
            <v>45989</v>
          </cell>
        </row>
        <row r="1724">
          <cell r="A1724" t="str">
            <v>TAO5A38</v>
          </cell>
          <cell r="B1724">
            <v>45988</v>
          </cell>
          <cell r="C1724">
            <v>45989</v>
          </cell>
          <cell r="D1724" t="str">
            <v/>
          </cell>
          <cell r="E1724">
            <v>45989</v>
          </cell>
        </row>
        <row r="1725">
          <cell r="A1725" t="str">
            <v>RBE0I12</v>
          </cell>
          <cell r="B1725" t="str">
            <v xml:space="preserve"> </v>
          </cell>
          <cell r="C1725" t="str">
            <v/>
          </cell>
          <cell r="D1725" t="str">
            <v/>
          </cell>
          <cell r="E1725">
            <v>0</v>
          </cell>
        </row>
        <row r="1726">
          <cell r="A1726" t="str">
            <v>RXK1F70</v>
          </cell>
          <cell r="B1726" t="str">
            <v xml:space="preserve"> </v>
          </cell>
          <cell r="C1726" t="str">
            <v/>
          </cell>
          <cell r="D1726" t="str">
            <v/>
          </cell>
          <cell r="E1726">
            <v>0</v>
          </cell>
        </row>
        <row r="1727">
          <cell r="A1727" t="str">
            <v>RBB2B76</v>
          </cell>
          <cell r="B1727" t="str">
            <v xml:space="preserve"> </v>
          </cell>
          <cell r="C1727" t="str">
            <v/>
          </cell>
          <cell r="D1727" t="str">
            <v/>
          </cell>
          <cell r="E1727">
            <v>0</v>
          </cell>
        </row>
        <row r="1728">
          <cell r="A1728" t="str">
            <v>RBA0G09</v>
          </cell>
          <cell r="B1728" t="str">
            <v xml:space="preserve"> </v>
          </cell>
          <cell r="C1728" t="str">
            <v/>
          </cell>
          <cell r="D1728" t="str">
            <v/>
          </cell>
          <cell r="E1728">
            <v>0</v>
          </cell>
        </row>
        <row r="1729">
          <cell r="A1729" t="str">
            <v>FCM8B62</v>
          </cell>
          <cell r="B1729" t="str">
            <v xml:space="preserve"> </v>
          </cell>
          <cell r="C1729" t="str">
            <v/>
          </cell>
          <cell r="D1729" t="str">
            <v/>
          </cell>
          <cell r="E1729">
            <v>0</v>
          </cell>
        </row>
        <row r="1730">
          <cell r="A1730" t="str">
            <v>GBH5G53</v>
          </cell>
          <cell r="B1730" t="str">
            <v xml:space="preserve"> </v>
          </cell>
          <cell r="C1730" t="str">
            <v/>
          </cell>
          <cell r="D1730" t="str">
            <v/>
          </cell>
          <cell r="E1730">
            <v>0</v>
          </cell>
        </row>
        <row r="1731">
          <cell r="A1731" t="str">
            <v>FZB6G45</v>
          </cell>
          <cell r="B1731" t="str">
            <v xml:space="preserve"> </v>
          </cell>
          <cell r="C1731" t="str">
            <v/>
          </cell>
          <cell r="D1731" t="str">
            <v/>
          </cell>
          <cell r="E1731">
            <v>0</v>
          </cell>
        </row>
        <row r="1732">
          <cell r="A1732" t="str">
            <v>FID5J93</v>
          </cell>
          <cell r="B1732" t="str">
            <v xml:space="preserve"> </v>
          </cell>
          <cell r="C1732" t="str">
            <v/>
          </cell>
          <cell r="D1732" t="str">
            <v/>
          </cell>
          <cell r="E1732">
            <v>0</v>
          </cell>
        </row>
        <row r="1733">
          <cell r="A1733" t="str">
            <v>RBB2B81</v>
          </cell>
          <cell r="B1733" t="str">
            <v xml:space="preserve"> </v>
          </cell>
          <cell r="C1733" t="str">
            <v/>
          </cell>
          <cell r="D1733" t="str">
            <v/>
          </cell>
          <cell r="E1733">
            <v>0</v>
          </cell>
        </row>
        <row r="1734">
          <cell r="A1734" t="str">
            <v>RBD1F58</v>
          </cell>
          <cell r="B1734" t="str">
            <v xml:space="preserve"> </v>
          </cell>
          <cell r="C1734" t="str">
            <v/>
          </cell>
          <cell r="D1734" t="str">
            <v/>
          </cell>
          <cell r="E1734">
            <v>0</v>
          </cell>
        </row>
        <row r="1735">
          <cell r="A1735" t="str">
            <v>GBX1009</v>
          </cell>
          <cell r="B1735" t="str">
            <v xml:space="preserve"> </v>
          </cell>
          <cell r="C1735" t="str">
            <v/>
          </cell>
          <cell r="D1735" t="str">
            <v/>
          </cell>
          <cell r="E1735">
            <v>0</v>
          </cell>
        </row>
        <row r="1736">
          <cell r="A1736" t="str">
            <v>FXE2B95</v>
          </cell>
          <cell r="B1736" t="str">
            <v xml:space="preserve"> </v>
          </cell>
          <cell r="C1736" t="str">
            <v/>
          </cell>
          <cell r="D1736" t="str">
            <v/>
          </cell>
          <cell r="E1736">
            <v>0</v>
          </cell>
        </row>
        <row r="1737">
          <cell r="A1737" t="str">
            <v>RBE5F24</v>
          </cell>
          <cell r="B1737" t="str">
            <v xml:space="preserve"> </v>
          </cell>
          <cell r="C1737" t="str">
            <v/>
          </cell>
          <cell r="D1737" t="str">
            <v/>
          </cell>
          <cell r="E1737">
            <v>0</v>
          </cell>
        </row>
        <row r="1738">
          <cell r="A1738" t="str">
            <v>RBE5F18</v>
          </cell>
          <cell r="B1738" t="str">
            <v xml:space="preserve"> </v>
          </cell>
          <cell r="C1738" t="str">
            <v/>
          </cell>
          <cell r="D1738" t="str">
            <v/>
          </cell>
          <cell r="E1738">
            <v>0</v>
          </cell>
        </row>
        <row r="1739">
          <cell r="A1739" t="str">
            <v>RXK7I60</v>
          </cell>
          <cell r="B1739" t="str">
            <v xml:space="preserve"> </v>
          </cell>
          <cell r="C1739" t="str">
            <v/>
          </cell>
          <cell r="D1739" t="str">
            <v/>
          </cell>
          <cell r="E1739">
            <v>0</v>
          </cell>
        </row>
        <row r="1740">
          <cell r="A1740" t="str">
            <v>RXK6D30</v>
          </cell>
          <cell r="B1740" t="str">
            <v xml:space="preserve"> </v>
          </cell>
          <cell r="C1740" t="str">
            <v/>
          </cell>
          <cell r="D1740" t="str">
            <v/>
          </cell>
          <cell r="E1740">
            <v>0</v>
          </cell>
        </row>
        <row r="1741">
          <cell r="A1741" t="str">
            <v>FQV3G01</v>
          </cell>
          <cell r="B1741" t="str">
            <v xml:space="preserve"> </v>
          </cell>
          <cell r="C1741" t="str">
            <v/>
          </cell>
          <cell r="D1741" t="str">
            <v/>
          </cell>
          <cell r="E1741">
            <v>0</v>
          </cell>
        </row>
        <row r="1742">
          <cell r="A1742" t="str">
            <v>RXL7I59</v>
          </cell>
          <cell r="B1742" t="str">
            <v xml:space="preserve"> </v>
          </cell>
          <cell r="C1742" t="str">
            <v/>
          </cell>
          <cell r="D1742" t="str">
            <v/>
          </cell>
          <cell r="E1742">
            <v>0</v>
          </cell>
        </row>
        <row r="1743">
          <cell r="A1743" t="str">
            <v>GBX4F42</v>
          </cell>
          <cell r="B1743" t="str">
            <v xml:space="preserve"> </v>
          </cell>
          <cell r="C1743" t="str">
            <v/>
          </cell>
          <cell r="D1743" t="str">
            <v/>
          </cell>
          <cell r="E1743">
            <v>0</v>
          </cell>
        </row>
        <row r="1744">
          <cell r="A1744" t="str">
            <v>RXK2F90</v>
          </cell>
          <cell r="B1744" t="str">
            <v xml:space="preserve"> </v>
          </cell>
          <cell r="C1744" t="str">
            <v/>
          </cell>
          <cell r="D1744" t="str">
            <v/>
          </cell>
          <cell r="E1744">
            <v>0</v>
          </cell>
        </row>
        <row r="1745">
          <cell r="A1745" t="str">
            <v>FTZ4B35</v>
          </cell>
          <cell r="B1745" t="str">
            <v xml:space="preserve"> </v>
          </cell>
          <cell r="C1745" t="str">
            <v/>
          </cell>
          <cell r="D1745" t="str">
            <v/>
          </cell>
          <cell r="E1745">
            <v>0</v>
          </cell>
        </row>
        <row r="1746">
          <cell r="A1746" t="str">
            <v>FXO3A21</v>
          </cell>
          <cell r="B1746" t="str">
            <v xml:space="preserve"> </v>
          </cell>
          <cell r="C1746" t="str">
            <v/>
          </cell>
          <cell r="D1746" t="str">
            <v/>
          </cell>
          <cell r="E1746">
            <v>0</v>
          </cell>
        </row>
        <row r="1747">
          <cell r="A1747" t="str">
            <v>EGH1H81</v>
          </cell>
          <cell r="B1747" t="str">
            <v xml:space="preserve"> </v>
          </cell>
          <cell r="C1747" t="str">
            <v/>
          </cell>
          <cell r="D1747" t="str">
            <v/>
          </cell>
          <cell r="E1747">
            <v>0</v>
          </cell>
        </row>
        <row r="1748">
          <cell r="A1748" t="str">
            <v>GIV9F94</v>
          </cell>
          <cell r="B1748" t="str">
            <v xml:space="preserve"> </v>
          </cell>
          <cell r="C1748" t="str">
            <v/>
          </cell>
          <cell r="D1748" t="str">
            <v/>
          </cell>
          <cell r="E1748">
            <v>0</v>
          </cell>
        </row>
        <row r="1749">
          <cell r="A1749" t="str">
            <v>FXQ6J12</v>
          </cell>
          <cell r="B1749" t="str">
            <v xml:space="preserve"> </v>
          </cell>
          <cell r="C1749" t="str">
            <v/>
          </cell>
          <cell r="D1749" t="str">
            <v/>
          </cell>
          <cell r="E1749">
            <v>0</v>
          </cell>
        </row>
        <row r="1750">
          <cell r="A1750" t="str">
            <v>FCR2E04</v>
          </cell>
          <cell r="B1750" t="str">
            <v xml:space="preserve"> </v>
          </cell>
          <cell r="C1750" t="str">
            <v/>
          </cell>
          <cell r="D1750" t="str">
            <v/>
          </cell>
          <cell r="E1750">
            <v>0</v>
          </cell>
        </row>
        <row r="1751">
          <cell r="A1751" t="str">
            <v>FXG4H42</v>
          </cell>
          <cell r="B1751" t="str">
            <v xml:space="preserve"> </v>
          </cell>
          <cell r="C1751" t="str">
            <v/>
          </cell>
          <cell r="D1751" t="str">
            <v/>
          </cell>
          <cell r="E1751">
            <v>0</v>
          </cell>
        </row>
        <row r="1752">
          <cell r="A1752" t="str">
            <v>RBB2B91</v>
          </cell>
          <cell r="B1752" t="str">
            <v xml:space="preserve"> </v>
          </cell>
          <cell r="C1752" t="str">
            <v/>
          </cell>
          <cell r="D1752" t="str">
            <v/>
          </cell>
          <cell r="E1752">
            <v>0</v>
          </cell>
        </row>
        <row r="1753">
          <cell r="A1753" t="str">
            <v>RXL8B09</v>
          </cell>
          <cell r="B1753" t="str">
            <v xml:space="preserve"> </v>
          </cell>
          <cell r="C1753" t="str">
            <v/>
          </cell>
          <cell r="D1753" t="str">
            <v/>
          </cell>
          <cell r="E1753">
            <v>0</v>
          </cell>
        </row>
        <row r="1754">
          <cell r="A1754" t="str">
            <v>RXM3H49</v>
          </cell>
          <cell r="B1754" t="str">
            <v xml:space="preserve"> </v>
          </cell>
          <cell r="C1754" t="str">
            <v/>
          </cell>
          <cell r="D1754" t="str">
            <v/>
          </cell>
          <cell r="E1754">
            <v>0</v>
          </cell>
        </row>
        <row r="1755">
          <cell r="A1755" t="str">
            <v>RBC5B90</v>
          </cell>
          <cell r="B1755" t="str">
            <v xml:space="preserve"> </v>
          </cell>
          <cell r="C1755" t="str">
            <v/>
          </cell>
          <cell r="D1755" t="str">
            <v/>
          </cell>
          <cell r="E1755">
            <v>0</v>
          </cell>
        </row>
        <row r="1756">
          <cell r="A1756" t="str">
            <v>FQF9G84</v>
          </cell>
          <cell r="B1756" t="str">
            <v xml:space="preserve"> </v>
          </cell>
          <cell r="C1756" t="str">
            <v/>
          </cell>
          <cell r="D1756" t="str">
            <v/>
          </cell>
          <cell r="E1756">
            <v>0</v>
          </cell>
        </row>
        <row r="1757">
          <cell r="A1757" t="str">
            <v>GDQ0A52</v>
          </cell>
          <cell r="B1757" t="str">
            <v xml:space="preserve"> </v>
          </cell>
          <cell r="C1757" t="str">
            <v/>
          </cell>
          <cell r="D1757" t="str">
            <v/>
          </cell>
          <cell r="E1757">
            <v>0</v>
          </cell>
        </row>
        <row r="1758">
          <cell r="A1758" t="str">
            <v>GCF8G31</v>
          </cell>
          <cell r="B1758" t="str">
            <v xml:space="preserve"> </v>
          </cell>
          <cell r="C1758" t="str">
            <v/>
          </cell>
          <cell r="D1758" t="str">
            <v/>
          </cell>
          <cell r="E1758">
            <v>0</v>
          </cell>
        </row>
        <row r="1759">
          <cell r="A1759" t="str">
            <v>GHU3H12</v>
          </cell>
          <cell r="B1759" t="str">
            <v xml:space="preserve"> </v>
          </cell>
          <cell r="C1759" t="str">
            <v/>
          </cell>
          <cell r="D1759" t="str">
            <v/>
          </cell>
          <cell r="E1759">
            <v>0</v>
          </cell>
        </row>
        <row r="1760">
          <cell r="A1760" t="str">
            <v>SUX7J97</v>
          </cell>
          <cell r="B1760" t="str">
            <v xml:space="preserve"> </v>
          </cell>
          <cell r="C1760" t="str">
            <v/>
          </cell>
          <cell r="D1760" t="str">
            <v/>
          </cell>
          <cell r="E1760">
            <v>0</v>
          </cell>
        </row>
        <row r="1761">
          <cell r="A1761" t="str">
            <v>SWG3J97</v>
          </cell>
          <cell r="B1761" t="str">
            <v xml:space="preserve"> </v>
          </cell>
          <cell r="C1761" t="str">
            <v/>
          </cell>
          <cell r="D1761" t="str">
            <v/>
          </cell>
          <cell r="E1761">
            <v>0</v>
          </cell>
        </row>
        <row r="1762">
          <cell r="A1762" t="str">
            <v>SUP0C31</v>
          </cell>
          <cell r="B1762" t="str">
            <v xml:space="preserve"> </v>
          </cell>
          <cell r="C1762" t="str">
            <v/>
          </cell>
          <cell r="D1762" t="str">
            <v/>
          </cell>
          <cell r="E1762">
            <v>0</v>
          </cell>
        </row>
        <row r="1763">
          <cell r="A1763" t="str">
            <v>SWB1H35</v>
          </cell>
          <cell r="B1763" t="str">
            <v xml:space="preserve"> </v>
          </cell>
          <cell r="C1763" t="str">
            <v/>
          </cell>
          <cell r="D1763" t="str">
            <v/>
          </cell>
          <cell r="E1763">
            <v>0</v>
          </cell>
        </row>
        <row r="1764">
          <cell r="A1764" t="str">
            <v>SWP5D92</v>
          </cell>
          <cell r="B1764" t="str">
            <v xml:space="preserve"> </v>
          </cell>
          <cell r="C1764" t="str">
            <v/>
          </cell>
          <cell r="D1764" t="str">
            <v/>
          </cell>
          <cell r="E1764">
            <v>0</v>
          </cell>
        </row>
        <row r="1765">
          <cell r="A1765" t="str">
            <v>STW1J68</v>
          </cell>
          <cell r="B1765" t="str">
            <v xml:space="preserve"> </v>
          </cell>
          <cell r="C1765" t="str">
            <v/>
          </cell>
          <cell r="D1765" t="str">
            <v/>
          </cell>
          <cell r="E1765">
            <v>0</v>
          </cell>
        </row>
        <row r="1766">
          <cell r="A1766" t="str">
            <v>SVN1E68</v>
          </cell>
          <cell r="B1766" t="str">
            <v xml:space="preserve"> </v>
          </cell>
          <cell r="C1766" t="str">
            <v/>
          </cell>
          <cell r="D1766" t="str">
            <v/>
          </cell>
          <cell r="E1766">
            <v>0</v>
          </cell>
        </row>
        <row r="1767">
          <cell r="A1767" t="str">
            <v>STH1E13</v>
          </cell>
          <cell r="B1767" t="str">
            <v xml:space="preserve"> </v>
          </cell>
          <cell r="C1767" t="str">
            <v/>
          </cell>
          <cell r="D1767" t="str">
            <v/>
          </cell>
          <cell r="E1767">
            <v>0</v>
          </cell>
        </row>
        <row r="1768">
          <cell r="A1768" t="str">
            <v>STT6A13</v>
          </cell>
          <cell r="B1768" t="str">
            <v xml:space="preserve"> </v>
          </cell>
          <cell r="C1768" t="str">
            <v/>
          </cell>
          <cell r="D1768" t="str">
            <v/>
          </cell>
          <cell r="E1768">
            <v>0</v>
          </cell>
        </row>
        <row r="1769">
          <cell r="A1769" t="str">
            <v>SWF8B24</v>
          </cell>
          <cell r="B1769" t="str">
            <v xml:space="preserve"> </v>
          </cell>
          <cell r="C1769" t="str">
            <v/>
          </cell>
          <cell r="D1769" t="str">
            <v/>
          </cell>
          <cell r="E1769">
            <v>0</v>
          </cell>
        </row>
        <row r="1770">
          <cell r="A1770" t="str">
            <v>SWW6E22</v>
          </cell>
          <cell r="B1770" t="str">
            <v xml:space="preserve"> </v>
          </cell>
          <cell r="C1770" t="str">
            <v/>
          </cell>
          <cell r="D1770" t="str">
            <v/>
          </cell>
          <cell r="E1770">
            <v>0</v>
          </cell>
        </row>
        <row r="1771">
          <cell r="A1771" t="str">
            <v>SWR0F47</v>
          </cell>
          <cell r="B1771" t="str">
            <v xml:space="preserve"> </v>
          </cell>
          <cell r="C1771" t="str">
            <v/>
          </cell>
          <cell r="D1771" t="str">
            <v/>
          </cell>
          <cell r="E1771">
            <v>0</v>
          </cell>
        </row>
        <row r="1772">
          <cell r="A1772" t="str">
            <v>STN3J57</v>
          </cell>
          <cell r="B1772" t="str">
            <v xml:space="preserve"> </v>
          </cell>
          <cell r="C1772" t="str">
            <v/>
          </cell>
          <cell r="D1772" t="str">
            <v/>
          </cell>
          <cell r="E1772">
            <v>0</v>
          </cell>
        </row>
        <row r="1773">
          <cell r="A1773" t="str">
            <v>STG3I56</v>
          </cell>
          <cell r="B1773" t="str">
            <v xml:space="preserve"> </v>
          </cell>
          <cell r="C1773" t="str">
            <v/>
          </cell>
          <cell r="D1773" t="str">
            <v/>
          </cell>
          <cell r="E1773">
            <v>0</v>
          </cell>
        </row>
        <row r="1774">
          <cell r="A1774" t="str">
            <v>SUC4B73</v>
          </cell>
          <cell r="B1774" t="str">
            <v xml:space="preserve"> </v>
          </cell>
          <cell r="C1774" t="str">
            <v/>
          </cell>
          <cell r="D1774" t="str">
            <v/>
          </cell>
          <cell r="E1774">
            <v>0</v>
          </cell>
        </row>
        <row r="1775">
          <cell r="A1775" t="str">
            <v>SUK7D45</v>
          </cell>
          <cell r="B1775" t="str">
            <v xml:space="preserve"> </v>
          </cell>
          <cell r="C1775" t="str">
            <v/>
          </cell>
          <cell r="D1775" t="str">
            <v/>
          </cell>
          <cell r="E1775">
            <v>0</v>
          </cell>
        </row>
        <row r="1776">
          <cell r="A1776" t="str">
            <v>SVG9I28</v>
          </cell>
          <cell r="B1776" t="str">
            <v xml:space="preserve"> </v>
          </cell>
          <cell r="C1776" t="str">
            <v/>
          </cell>
          <cell r="D1776" t="str">
            <v/>
          </cell>
          <cell r="E1776">
            <v>0</v>
          </cell>
        </row>
        <row r="1777">
          <cell r="A1777" t="str">
            <v>SWG3F74</v>
          </cell>
          <cell r="B1777" t="str">
            <v xml:space="preserve"> </v>
          </cell>
          <cell r="C1777" t="str">
            <v/>
          </cell>
          <cell r="D1777" t="str">
            <v/>
          </cell>
          <cell r="E1777">
            <v>0</v>
          </cell>
        </row>
        <row r="1778">
          <cell r="A1778" t="str">
            <v>SWV4F52</v>
          </cell>
          <cell r="B1778" t="str">
            <v xml:space="preserve"> </v>
          </cell>
          <cell r="C1778" t="str">
            <v/>
          </cell>
          <cell r="D1778" t="str">
            <v/>
          </cell>
          <cell r="E1778">
            <v>0</v>
          </cell>
        </row>
        <row r="1779">
          <cell r="A1779" t="str">
            <v>SWO1G45</v>
          </cell>
          <cell r="B1779" t="str">
            <v xml:space="preserve"> </v>
          </cell>
          <cell r="C1779" t="str">
            <v/>
          </cell>
          <cell r="D1779" t="str">
            <v/>
          </cell>
          <cell r="E1779">
            <v>0</v>
          </cell>
        </row>
        <row r="1780">
          <cell r="A1780" t="str">
            <v>GEB1H86</v>
          </cell>
          <cell r="B1780" t="str">
            <v xml:space="preserve"> </v>
          </cell>
          <cell r="C1780" t="str">
            <v/>
          </cell>
          <cell r="D1780" t="str">
            <v/>
          </cell>
          <cell r="E1780">
            <v>0</v>
          </cell>
        </row>
        <row r="1781">
          <cell r="A1781" t="str">
            <v>FNY2B06</v>
          </cell>
          <cell r="B1781" t="str">
            <v xml:space="preserve"> </v>
          </cell>
          <cell r="C1781" t="str">
            <v/>
          </cell>
          <cell r="D1781" t="str">
            <v/>
          </cell>
          <cell r="E1781">
            <v>0</v>
          </cell>
        </row>
        <row r="1782">
          <cell r="A1782" t="str">
            <v>FKB6C94</v>
          </cell>
          <cell r="B1782" t="str">
            <v xml:space="preserve"> </v>
          </cell>
          <cell r="C1782" t="str">
            <v/>
          </cell>
          <cell r="D1782" t="str">
            <v/>
          </cell>
          <cell r="E1782">
            <v>0</v>
          </cell>
        </row>
        <row r="1783">
          <cell r="A1783" t="str">
            <v>FMZ8A65</v>
          </cell>
          <cell r="B1783" t="str">
            <v xml:space="preserve"> </v>
          </cell>
          <cell r="C1783" t="str">
            <v/>
          </cell>
          <cell r="D1783" t="str">
            <v/>
          </cell>
          <cell r="E1783">
            <v>0</v>
          </cell>
        </row>
        <row r="1784">
          <cell r="A1784" t="str">
            <v>FRM4I25</v>
          </cell>
          <cell r="B1784" t="str">
            <v xml:space="preserve"> </v>
          </cell>
          <cell r="C1784" t="str">
            <v/>
          </cell>
          <cell r="D1784" t="str">
            <v/>
          </cell>
          <cell r="E1784">
            <v>0</v>
          </cell>
        </row>
        <row r="1785">
          <cell r="A1785" t="str">
            <v>FJL5B71</v>
          </cell>
          <cell r="B1785" t="str">
            <v xml:space="preserve"> </v>
          </cell>
          <cell r="C1785" t="str">
            <v/>
          </cell>
          <cell r="D1785" t="str">
            <v/>
          </cell>
          <cell r="E1785">
            <v>0</v>
          </cell>
        </row>
        <row r="1786">
          <cell r="A1786" t="str">
            <v>FGU5I81</v>
          </cell>
          <cell r="B1786" t="str">
            <v xml:space="preserve"> </v>
          </cell>
          <cell r="C1786" t="str">
            <v/>
          </cell>
          <cell r="D1786" t="str">
            <v/>
          </cell>
          <cell r="E1786">
            <v>0</v>
          </cell>
        </row>
        <row r="1787">
          <cell r="A1787" t="str">
            <v>GKC1A36</v>
          </cell>
          <cell r="B1787" t="str">
            <v xml:space="preserve"> </v>
          </cell>
          <cell r="C1787" t="str">
            <v/>
          </cell>
          <cell r="D1787" t="str">
            <v/>
          </cell>
          <cell r="E1787">
            <v>0</v>
          </cell>
        </row>
        <row r="1788">
          <cell r="A1788" t="str">
            <v>FSS7C51</v>
          </cell>
          <cell r="B1788" t="str">
            <v xml:space="preserve"> </v>
          </cell>
          <cell r="C1788" t="str">
            <v/>
          </cell>
          <cell r="D1788" t="str">
            <v/>
          </cell>
          <cell r="E1788">
            <v>0</v>
          </cell>
        </row>
        <row r="1789">
          <cell r="A1789" t="str">
            <v>FNU3B54</v>
          </cell>
          <cell r="B1789" t="str">
            <v xml:space="preserve"> </v>
          </cell>
          <cell r="C1789" t="str">
            <v/>
          </cell>
          <cell r="D1789" t="str">
            <v/>
          </cell>
          <cell r="E1789">
            <v>0</v>
          </cell>
        </row>
        <row r="1790">
          <cell r="A1790" t="str">
            <v>GKE0G54</v>
          </cell>
          <cell r="B1790" t="str">
            <v xml:space="preserve"> </v>
          </cell>
          <cell r="C1790" t="str">
            <v/>
          </cell>
          <cell r="D1790" t="str">
            <v/>
          </cell>
          <cell r="E1790">
            <v>0</v>
          </cell>
        </row>
        <row r="1791">
          <cell r="A1791" t="str">
            <v>FCK2I74</v>
          </cell>
          <cell r="B1791" t="str">
            <v xml:space="preserve"> </v>
          </cell>
          <cell r="C1791" t="str">
            <v/>
          </cell>
          <cell r="D1791" t="str">
            <v/>
          </cell>
          <cell r="E1791">
            <v>0</v>
          </cell>
        </row>
        <row r="1792">
          <cell r="A1792" t="str">
            <v>FJK3B27</v>
          </cell>
          <cell r="B1792" t="str">
            <v xml:space="preserve"> </v>
          </cell>
          <cell r="C1792" t="str">
            <v/>
          </cell>
          <cell r="D1792" t="str">
            <v/>
          </cell>
          <cell r="E1792">
            <v>0</v>
          </cell>
        </row>
        <row r="1793">
          <cell r="A1793" t="str">
            <v>FCP9C64</v>
          </cell>
          <cell r="B1793" t="str">
            <v xml:space="preserve"> </v>
          </cell>
          <cell r="C1793" t="str">
            <v/>
          </cell>
          <cell r="D1793" t="str">
            <v/>
          </cell>
          <cell r="E1793">
            <v>0</v>
          </cell>
        </row>
        <row r="1794">
          <cell r="A1794" t="str">
            <v>FSW4I21</v>
          </cell>
          <cell r="B1794" t="str">
            <v xml:space="preserve"> </v>
          </cell>
          <cell r="C1794" t="str">
            <v/>
          </cell>
          <cell r="D1794" t="str">
            <v/>
          </cell>
          <cell r="E1794">
            <v>0</v>
          </cell>
        </row>
        <row r="1795">
          <cell r="A1795" t="str">
            <v>FJI1H82</v>
          </cell>
          <cell r="B1795" t="str">
            <v xml:space="preserve"> </v>
          </cell>
          <cell r="C1795" t="str">
            <v/>
          </cell>
          <cell r="D1795" t="str">
            <v/>
          </cell>
          <cell r="E1795">
            <v>0</v>
          </cell>
        </row>
        <row r="1796">
          <cell r="A1796" t="str">
            <v>FXB3C61</v>
          </cell>
          <cell r="B1796" t="str">
            <v xml:space="preserve"> </v>
          </cell>
          <cell r="C1796" t="str">
            <v/>
          </cell>
          <cell r="D1796" t="str">
            <v/>
          </cell>
          <cell r="E1796">
            <v>0</v>
          </cell>
        </row>
        <row r="1797">
          <cell r="A1797" t="str">
            <v>FZF3E46</v>
          </cell>
          <cell r="B1797" t="str">
            <v xml:space="preserve"> </v>
          </cell>
          <cell r="C1797" t="str">
            <v/>
          </cell>
          <cell r="D1797" t="str">
            <v/>
          </cell>
          <cell r="E1797">
            <v>0</v>
          </cell>
        </row>
        <row r="1798">
          <cell r="A1798" t="str">
            <v>FWE9D62</v>
          </cell>
          <cell r="B1798" t="str">
            <v xml:space="preserve"> </v>
          </cell>
          <cell r="C1798" t="str">
            <v/>
          </cell>
          <cell r="D1798" t="str">
            <v/>
          </cell>
          <cell r="E1798">
            <v>0</v>
          </cell>
        </row>
        <row r="1799">
          <cell r="A1799" t="str">
            <v>FCD0G15</v>
          </cell>
          <cell r="B1799" t="str">
            <v xml:space="preserve"> </v>
          </cell>
          <cell r="C1799" t="str">
            <v/>
          </cell>
          <cell r="D1799" t="str">
            <v/>
          </cell>
          <cell r="E1799">
            <v>0</v>
          </cell>
        </row>
        <row r="1800">
          <cell r="A1800" t="str">
            <v>FZF0J72</v>
          </cell>
          <cell r="B1800" t="str">
            <v xml:space="preserve"> </v>
          </cell>
          <cell r="C1800" t="str">
            <v/>
          </cell>
          <cell r="D1800" t="str">
            <v/>
          </cell>
          <cell r="E1800">
            <v>0</v>
          </cell>
        </row>
        <row r="1801">
          <cell r="A1801" t="str">
            <v>FVV1B52</v>
          </cell>
          <cell r="B1801" t="str">
            <v xml:space="preserve"> </v>
          </cell>
          <cell r="C1801" t="str">
            <v/>
          </cell>
          <cell r="D1801" t="str">
            <v/>
          </cell>
          <cell r="E1801">
            <v>0</v>
          </cell>
        </row>
        <row r="1802">
          <cell r="A1802" t="str">
            <v>SGL2C05</v>
          </cell>
          <cell r="B1802" t="str">
            <v xml:space="preserve"> </v>
          </cell>
          <cell r="C1802">
            <v>45989</v>
          </cell>
          <cell r="D1802" t="str">
            <v/>
          </cell>
          <cell r="E1802">
            <v>45989</v>
          </cell>
        </row>
        <row r="1803">
          <cell r="A1803" t="str">
            <v>SGL2D27</v>
          </cell>
          <cell r="B1803" t="str">
            <v xml:space="preserve"> </v>
          </cell>
          <cell r="C1803" t="str">
            <v/>
          </cell>
          <cell r="D1803" t="str">
            <v/>
          </cell>
          <cell r="E1803">
            <v>0</v>
          </cell>
        </row>
        <row r="1804">
          <cell r="A1804" t="str">
            <v>SGL2C65</v>
          </cell>
          <cell r="B1804" t="str">
            <v xml:space="preserve"> </v>
          </cell>
          <cell r="C1804">
            <v>45989</v>
          </cell>
          <cell r="D1804" t="str">
            <v/>
          </cell>
          <cell r="E1804">
            <v>45989</v>
          </cell>
        </row>
        <row r="1805">
          <cell r="A1805" t="str">
            <v>SGL1J08</v>
          </cell>
          <cell r="B1805" t="str">
            <v xml:space="preserve"> </v>
          </cell>
          <cell r="C1805" t="str">
            <v/>
          </cell>
          <cell r="D1805" t="str">
            <v/>
          </cell>
          <cell r="E1805">
            <v>0</v>
          </cell>
        </row>
        <row r="1806">
          <cell r="A1806" t="str">
            <v>SGL2D16</v>
          </cell>
          <cell r="B1806" t="str">
            <v xml:space="preserve"> </v>
          </cell>
          <cell r="C1806">
            <v>45989</v>
          </cell>
          <cell r="D1806" t="str">
            <v/>
          </cell>
          <cell r="E1806">
            <v>45989</v>
          </cell>
        </row>
        <row r="1807">
          <cell r="A1807" t="str">
            <v>EPT6120</v>
          </cell>
          <cell r="B1807" t="str">
            <v xml:space="preserve"> </v>
          </cell>
          <cell r="C1807">
            <v>45989</v>
          </cell>
          <cell r="D1807" t="str">
            <v/>
          </cell>
          <cell r="E1807">
            <v>45989</v>
          </cell>
        </row>
        <row r="1808">
          <cell r="A1808" t="str">
            <v>SGF8J08</v>
          </cell>
          <cell r="B1808">
            <v>45988</v>
          </cell>
          <cell r="C1808">
            <v>45989</v>
          </cell>
          <cell r="D1808" t="str">
            <v/>
          </cell>
          <cell r="E1808">
            <v>45989</v>
          </cell>
        </row>
        <row r="1809">
          <cell r="A1809" t="str">
            <v>SGF8J96</v>
          </cell>
          <cell r="B1809">
            <v>45988</v>
          </cell>
          <cell r="C1809">
            <v>45989</v>
          </cell>
          <cell r="D1809" t="str">
            <v/>
          </cell>
          <cell r="E1809">
            <v>45989</v>
          </cell>
        </row>
        <row r="1810">
          <cell r="A1810" t="str">
            <v>SGF8I96</v>
          </cell>
          <cell r="B1810" t="str">
            <v xml:space="preserve"> </v>
          </cell>
          <cell r="C1810" t="str">
            <v/>
          </cell>
          <cell r="D1810" t="str">
            <v/>
          </cell>
          <cell r="E1810">
            <v>0</v>
          </cell>
        </row>
        <row r="1811">
          <cell r="A1811" t="str">
            <v>SGF8I77</v>
          </cell>
          <cell r="B1811" t="str">
            <v xml:space="preserve"> </v>
          </cell>
          <cell r="C1811" t="str">
            <v/>
          </cell>
          <cell r="D1811" t="str">
            <v/>
          </cell>
          <cell r="E1811">
            <v>0</v>
          </cell>
        </row>
        <row r="1812">
          <cell r="A1812" t="str">
            <v>SGF9C25</v>
          </cell>
          <cell r="B1812" t="str">
            <v xml:space="preserve"> </v>
          </cell>
          <cell r="C1812">
            <v>45989</v>
          </cell>
          <cell r="D1812" t="str">
            <v/>
          </cell>
          <cell r="E1812">
            <v>45989</v>
          </cell>
        </row>
        <row r="1813">
          <cell r="A1813" t="str">
            <v>SXA5C78</v>
          </cell>
          <cell r="B1813" t="str">
            <v xml:space="preserve"> </v>
          </cell>
          <cell r="C1813">
            <v>45989</v>
          </cell>
          <cell r="D1813" t="str">
            <v/>
          </cell>
          <cell r="E1813">
            <v>45989</v>
          </cell>
        </row>
        <row r="1814">
          <cell r="A1814" t="str">
            <v>SXA5D38</v>
          </cell>
          <cell r="B1814" t="str">
            <v xml:space="preserve"> </v>
          </cell>
          <cell r="C1814">
            <v>45989</v>
          </cell>
          <cell r="D1814" t="str">
            <v/>
          </cell>
          <cell r="E1814">
            <v>45989</v>
          </cell>
        </row>
        <row r="1815">
          <cell r="A1815" t="str">
            <v>SXA5D58</v>
          </cell>
          <cell r="B1815" t="str">
            <v xml:space="preserve"> </v>
          </cell>
          <cell r="C1815">
            <v>45989</v>
          </cell>
          <cell r="D1815" t="str">
            <v/>
          </cell>
          <cell r="E1815">
            <v>45989</v>
          </cell>
        </row>
        <row r="1816">
          <cell r="A1816" t="str">
            <v>SJU4I99</v>
          </cell>
          <cell r="B1816">
            <v>45989</v>
          </cell>
          <cell r="C1816">
            <v>45989</v>
          </cell>
          <cell r="D1816" t="str">
            <v/>
          </cell>
          <cell r="E1816">
            <v>45989</v>
          </cell>
        </row>
        <row r="1817">
          <cell r="A1817" t="str">
            <v>SGF8I64</v>
          </cell>
          <cell r="B1817" t="str">
            <v xml:space="preserve"> </v>
          </cell>
          <cell r="C1817">
            <v>45989</v>
          </cell>
          <cell r="D1817" t="str">
            <v/>
          </cell>
          <cell r="E1817">
            <v>45989</v>
          </cell>
        </row>
        <row r="1818">
          <cell r="A1818" t="str">
            <v>SGL2C19</v>
          </cell>
          <cell r="B1818">
            <v>45989</v>
          </cell>
          <cell r="C1818">
            <v>45989</v>
          </cell>
          <cell r="D1818" t="str">
            <v/>
          </cell>
          <cell r="E1818">
            <v>45989</v>
          </cell>
        </row>
        <row r="1819">
          <cell r="A1819" t="str">
            <v>SGL2B63</v>
          </cell>
          <cell r="B1819">
            <v>45989</v>
          </cell>
          <cell r="C1819">
            <v>45989</v>
          </cell>
          <cell r="D1819" t="str">
            <v/>
          </cell>
          <cell r="E1819">
            <v>45989</v>
          </cell>
        </row>
        <row r="1820">
          <cell r="A1820" t="str">
            <v>DKH9232</v>
          </cell>
          <cell r="B1820" t="str">
            <v xml:space="preserve"> </v>
          </cell>
          <cell r="C1820">
            <v>45989</v>
          </cell>
          <cell r="D1820" t="str">
            <v/>
          </cell>
          <cell r="E1820">
            <v>45989</v>
          </cell>
        </row>
        <row r="1821">
          <cell r="A1821" t="str">
            <v>SGF8J05</v>
          </cell>
          <cell r="B1821">
            <v>45988</v>
          </cell>
          <cell r="C1821">
            <v>45989</v>
          </cell>
          <cell r="D1821" t="str">
            <v/>
          </cell>
          <cell r="E1821">
            <v>45989</v>
          </cell>
        </row>
        <row r="1822">
          <cell r="A1822" t="str">
            <v>SGF9B44</v>
          </cell>
          <cell r="B1822">
            <v>45986</v>
          </cell>
          <cell r="C1822" t="str">
            <v/>
          </cell>
          <cell r="D1822" t="str">
            <v/>
          </cell>
          <cell r="E1822">
            <v>45986</v>
          </cell>
        </row>
        <row r="1823">
          <cell r="A1823" t="str">
            <v>FGL7F74</v>
          </cell>
          <cell r="B1823" t="str">
            <v xml:space="preserve"> </v>
          </cell>
          <cell r="C1823" t="str">
            <v/>
          </cell>
          <cell r="D1823" t="str">
            <v/>
          </cell>
          <cell r="E1823">
            <v>0</v>
          </cell>
        </row>
        <row r="1824">
          <cell r="A1824" t="str">
            <v>TAO0D65</v>
          </cell>
          <cell r="B1824">
            <v>45989</v>
          </cell>
          <cell r="C1824">
            <v>45989</v>
          </cell>
          <cell r="D1824" t="str">
            <v/>
          </cell>
          <cell r="E1824">
            <v>45989</v>
          </cell>
        </row>
        <row r="1825">
          <cell r="A1825" t="str">
            <v>TAO3J35</v>
          </cell>
          <cell r="B1825">
            <v>45989</v>
          </cell>
          <cell r="C1825">
            <v>45989</v>
          </cell>
          <cell r="D1825" t="str">
            <v/>
          </cell>
          <cell r="E1825">
            <v>45989</v>
          </cell>
        </row>
        <row r="1826">
          <cell r="A1826" t="str">
            <v>TAO3J41</v>
          </cell>
          <cell r="B1826">
            <v>45989</v>
          </cell>
          <cell r="C1826">
            <v>45989</v>
          </cell>
          <cell r="D1826" t="str">
            <v/>
          </cell>
          <cell r="E1826">
            <v>45989</v>
          </cell>
        </row>
        <row r="1827">
          <cell r="A1827" t="str">
            <v>TAO3J34</v>
          </cell>
          <cell r="B1827">
            <v>45988</v>
          </cell>
          <cell r="C1827">
            <v>45989</v>
          </cell>
          <cell r="D1827" t="str">
            <v/>
          </cell>
          <cell r="E1827">
            <v>45989</v>
          </cell>
        </row>
        <row r="1828">
          <cell r="A1828" t="str">
            <v>TAO3J92</v>
          </cell>
          <cell r="B1828">
            <v>45988</v>
          </cell>
          <cell r="C1828" t="str">
            <v/>
          </cell>
          <cell r="D1828" t="str">
            <v/>
          </cell>
          <cell r="E1828">
            <v>45988</v>
          </cell>
        </row>
        <row r="1829">
          <cell r="A1829" t="str">
            <v>TAO4A31</v>
          </cell>
          <cell r="B1829">
            <v>45989</v>
          </cell>
          <cell r="C1829" t="str">
            <v/>
          </cell>
          <cell r="D1829" t="str">
            <v/>
          </cell>
          <cell r="E1829">
            <v>45989</v>
          </cell>
        </row>
        <row r="1830">
          <cell r="A1830" t="str">
            <v>TAO5A35</v>
          </cell>
          <cell r="B1830">
            <v>45989</v>
          </cell>
          <cell r="C1830">
            <v>45989</v>
          </cell>
          <cell r="D1830" t="str">
            <v/>
          </cell>
          <cell r="E1830">
            <v>45989</v>
          </cell>
        </row>
        <row r="1831">
          <cell r="A1831" t="str">
            <v>TAO9D16</v>
          </cell>
          <cell r="B1831">
            <v>45987</v>
          </cell>
          <cell r="C1831" t="str">
            <v/>
          </cell>
          <cell r="D1831" t="str">
            <v/>
          </cell>
          <cell r="E1831">
            <v>45987</v>
          </cell>
        </row>
        <row r="1832">
          <cell r="A1832" t="str">
            <v>TAP3F30</v>
          </cell>
          <cell r="B1832">
            <v>45989</v>
          </cell>
          <cell r="C1832">
            <v>45989</v>
          </cell>
          <cell r="D1832" t="str">
            <v/>
          </cell>
          <cell r="E1832">
            <v>45989</v>
          </cell>
        </row>
        <row r="1833">
          <cell r="A1833" t="str">
            <v>SGK7D53</v>
          </cell>
          <cell r="B1833">
            <v>45967</v>
          </cell>
          <cell r="C1833" t="str">
            <v/>
          </cell>
          <cell r="D1833" t="str">
            <v/>
          </cell>
          <cell r="E1833">
            <v>45967</v>
          </cell>
        </row>
        <row r="1834">
          <cell r="A1834" t="str">
            <v>SGK7A66</v>
          </cell>
          <cell r="B1834">
            <v>45967</v>
          </cell>
          <cell r="C1834" t="str">
            <v/>
          </cell>
          <cell r="D1834" t="str">
            <v/>
          </cell>
          <cell r="E1834">
            <v>45967</v>
          </cell>
        </row>
        <row r="1835">
          <cell r="A1835" t="str">
            <v>SGF9B10</v>
          </cell>
          <cell r="B1835">
            <v>45975</v>
          </cell>
          <cell r="C1835" t="str">
            <v/>
          </cell>
          <cell r="D1835" t="str">
            <v/>
          </cell>
          <cell r="E1835">
            <v>45975</v>
          </cell>
        </row>
        <row r="1836">
          <cell r="A1836" t="str">
            <v>SGF9B74</v>
          </cell>
          <cell r="B1836" t="str">
            <v xml:space="preserve"> </v>
          </cell>
          <cell r="C1836">
            <v>45989</v>
          </cell>
          <cell r="D1836" t="str">
            <v/>
          </cell>
          <cell r="E1836">
            <v>45989</v>
          </cell>
        </row>
        <row r="1837">
          <cell r="A1837" t="str">
            <v>SGF9B13</v>
          </cell>
          <cell r="B1837">
            <v>45988</v>
          </cell>
          <cell r="C1837">
            <v>45989</v>
          </cell>
          <cell r="D1837" t="str">
            <v/>
          </cell>
          <cell r="E1837">
            <v>45989</v>
          </cell>
        </row>
        <row r="1838">
          <cell r="A1838" t="str">
            <v>SGK7D80</v>
          </cell>
          <cell r="B1838">
            <v>45988</v>
          </cell>
          <cell r="C1838">
            <v>45989</v>
          </cell>
          <cell r="D1838" t="str">
            <v/>
          </cell>
          <cell r="E1838">
            <v>45989</v>
          </cell>
        </row>
        <row r="1839">
          <cell r="A1839" t="str">
            <v>SGK7D62</v>
          </cell>
          <cell r="B1839">
            <v>45986</v>
          </cell>
          <cell r="C1839" t="str">
            <v/>
          </cell>
          <cell r="D1839" t="str">
            <v/>
          </cell>
          <cell r="E1839">
            <v>45986</v>
          </cell>
        </row>
        <row r="1840">
          <cell r="A1840" t="str">
            <v>SGK7E17</v>
          </cell>
          <cell r="B1840" t="str">
            <v xml:space="preserve"> </v>
          </cell>
          <cell r="C1840">
            <v>45989</v>
          </cell>
          <cell r="D1840" t="str">
            <v/>
          </cell>
          <cell r="E1840">
            <v>45989</v>
          </cell>
        </row>
        <row r="1841">
          <cell r="A1841" t="str">
            <v>SGK7E01</v>
          </cell>
          <cell r="B1841">
            <v>45974</v>
          </cell>
          <cell r="C1841" t="str">
            <v/>
          </cell>
          <cell r="D1841" t="str">
            <v/>
          </cell>
          <cell r="E1841">
            <v>45974</v>
          </cell>
        </row>
        <row r="1842">
          <cell r="A1842" t="str">
            <v>SGK7D94</v>
          </cell>
          <cell r="B1842">
            <v>45988</v>
          </cell>
          <cell r="C1842">
            <v>45989</v>
          </cell>
          <cell r="D1842" t="str">
            <v/>
          </cell>
          <cell r="E1842">
            <v>45989</v>
          </cell>
        </row>
        <row r="1843">
          <cell r="A1843" t="str">
            <v>SGK7D92</v>
          </cell>
          <cell r="B1843">
            <v>45988</v>
          </cell>
          <cell r="C1843">
            <v>45989</v>
          </cell>
          <cell r="D1843" t="str">
            <v/>
          </cell>
          <cell r="E1843">
            <v>45989</v>
          </cell>
        </row>
        <row r="1844">
          <cell r="A1844" t="str">
            <v>SGK7D88</v>
          </cell>
          <cell r="B1844">
            <v>45988</v>
          </cell>
          <cell r="C1844">
            <v>45989</v>
          </cell>
          <cell r="D1844" t="str">
            <v/>
          </cell>
          <cell r="E1844">
            <v>45989</v>
          </cell>
        </row>
        <row r="1845">
          <cell r="A1845" t="str">
            <v>SGK7D52</v>
          </cell>
          <cell r="B1845">
            <v>45988</v>
          </cell>
          <cell r="C1845">
            <v>45989</v>
          </cell>
          <cell r="D1845" t="str">
            <v/>
          </cell>
          <cell r="E1845">
            <v>45989</v>
          </cell>
        </row>
        <row r="1846">
          <cell r="A1846" t="str">
            <v>SGK7B80</v>
          </cell>
          <cell r="B1846">
            <v>45988</v>
          </cell>
          <cell r="C1846">
            <v>45989</v>
          </cell>
          <cell r="D1846" t="str">
            <v/>
          </cell>
          <cell r="E1846">
            <v>45989</v>
          </cell>
        </row>
        <row r="1847">
          <cell r="A1847" t="str">
            <v>SJU0F78</v>
          </cell>
          <cell r="B1847">
            <v>45989</v>
          </cell>
          <cell r="C1847">
            <v>45989</v>
          </cell>
          <cell r="D1847" t="str">
            <v/>
          </cell>
          <cell r="E1847">
            <v>45989</v>
          </cell>
        </row>
        <row r="1848">
          <cell r="A1848" t="str">
            <v>SGF8I73</v>
          </cell>
          <cell r="B1848">
            <v>45988</v>
          </cell>
          <cell r="C1848">
            <v>45989</v>
          </cell>
          <cell r="D1848" t="str">
            <v/>
          </cell>
          <cell r="E1848">
            <v>45989</v>
          </cell>
        </row>
        <row r="1849">
          <cell r="A1849" t="str">
            <v xml:space="preserve">SGF8I80	</v>
          </cell>
          <cell r="B1849" t="str">
            <v xml:space="preserve"> </v>
          </cell>
          <cell r="C1849" t="str">
            <v/>
          </cell>
          <cell r="D1849" t="str">
            <v/>
          </cell>
          <cell r="E1849">
            <v>0</v>
          </cell>
        </row>
        <row r="1850">
          <cell r="A1850" t="str">
            <v>SGF8J29</v>
          </cell>
          <cell r="B1850">
            <v>45979</v>
          </cell>
          <cell r="C1850" t="str">
            <v/>
          </cell>
          <cell r="D1850" t="str">
            <v/>
          </cell>
          <cell r="E1850">
            <v>45979</v>
          </cell>
        </row>
        <row r="1851">
          <cell r="A1851" t="str">
            <v>SGF9A28</v>
          </cell>
          <cell r="B1851">
            <v>45989</v>
          </cell>
          <cell r="C1851">
            <v>45989</v>
          </cell>
          <cell r="D1851" t="str">
            <v/>
          </cell>
          <cell r="E1851">
            <v>45989</v>
          </cell>
        </row>
        <row r="1852">
          <cell r="A1852" t="str">
            <v>SGF9A48</v>
          </cell>
          <cell r="B1852">
            <v>45989</v>
          </cell>
          <cell r="C1852">
            <v>45989</v>
          </cell>
          <cell r="D1852" t="str">
            <v/>
          </cell>
          <cell r="E1852">
            <v>45989</v>
          </cell>
        </row>
        <row r="1853">
          <cell r="A1853" t="str">
            <v>SGF8I80</v>
          </cell>
          <cell r="B1853">
            <v>45989</v>
          </cell>
          <cell r="C1853">
            <v>45989</v>
          </cell>
          <cell r="D1853" t="str">
            <v/>
          </cell>
          <cell r="E1853">
            <v>45989</v>
          </cell>
        </row>
        <row r="1854">
          <cell r="A1854" t="str">
            <v>FUX5F35</v>
          </cell>
          <cell r="B1854" t="str">
            <v xml:space="preserve"> </v>
          </cell>
          <cell r="C1854" t="str">
            <v/>
          </cell>
          <cell r="D1854" t="str">
            <v/>
          </cell>
          <cell r="E1854">
            <v>0</v>
          </cell>
        </row>
        <row r="1855">
          <cell r="A1855" t="str">
            <v>SGF8J56</v>
          </cell>
          <cell r="B1855" t="str">
            <v xml:space="preserve"> </v>
          </cell>
          <cell r="C1855" t="str">
            <v/>
          </cell>
          <cell r="D1855" t="str">
            <v/>
          </cell>
          <cell r="E1855">
            <v>0</v>
          </cell>
        </row>
        <row r="1856">
          <cell r="A1856" t="str">
            <v>SGF9B41</v>
          </cell>
          <cell r="B1856">
            <v>45989</v>
          </cell>
          <cell r="C1856">
            <v>45989</v>
          </cell>
          <cell r="D1856" t="str">
            <v/>
          </cell>
          <cell r="E1856">
            <v>45989</v>
          </cell>
        </row>
        <row r="1857">
          <cell r="A1857" t="str">
            <v>SGF9C11</v>
          </cell>
          <cell r="B1857" t="str">
            <v xml:space="preserve"> </v>
          </cell>
          <cell r="C1857" t="str">
            <v/>
          </cell>
          <cell r="D1857" t="str">
            <v/>
          </cell>
          <cell r="E1857">
            <v>0</v>
          </cell>
        </row>
        <row r="1858">
          <cell r="A1858" t="str">
            <v>SGH7F79</v>
          </cell>
          <cell r="B1858">
            <v>45989</v>
          </cell>
          <cell r="C1858">
            <v>45989</v>
          </cell>
          <cell r="D1858" t="str">
            <v/>
          </cell>
          <cell r="E1858">
            <v>45989</v>
          </cell>
        </row>
        <row r="1859">
          <cell r="A1859" t="str">
            <v>SGH8H60</v>
          </cell>
          <cell r="B1859">
            <v>45989</v>
          </cell>
          <cell r="C1859" t="str">
            <v/>
          </cell>
          <cell r="D1859" t="str">
            <v/>
          </cell>
          <cell r="E1859">
            <v>45989</v>
          </cell>
        </row>
        <row r="1860">
          <cell r="A1860" t="str">
            <v>SGF9B96</v>
          </cell>
          <cell r="B1860" t="str">
            <v xml:space="preserve"> </v>
          </cell>
          <cell r="C1860" t="str">
            <v/>
          </cell>
          <cell r="D1860" t="str">
            <v/>
          </cell>
          <cell r="E1860">
            <v>0</v>
          </cell>
        </row>
        <row r="1861">
          <cell r="A1861" t="str">
            <v>SGF9A55</v>
          </cell>
          <cell r="B1861" t="str">
            <v xml:space="preserve"> </v>
          </cell>
          <cell r="C1861">
            <v>45989</v>
          </cell>
          <cell r="D1861" t="str">
            <v/>
          </cell>
          <cell r="E1861">
            <v>45989</v>
          </cell>
        </row>
        <row r="1862">
          <cell r="A1862" t="str">
            <v>SGF9B31</v>
          </cell>
          <cell r="B1862" t="str">
            <v xml:space="preserve"> </v>
          </cell>
          <cell r="C1862">
            <v>45989</v>
          </cell>
          <cell r="D1862" t="str">
            <v/>
          </cell>
          <cell r="E1862">
            <v>45989</v>
          </cell>
        </row>
        <row r="1863">
          <cell r="A1863" t="str">
            <v>SGF9B85</v>
          </cell>
          <cell r="B1863">
            <v>45989</v>
          </cell>
          <cell r="C1863" t="str">
            <v/>
          </cell>
          <cell r="D1863" t="str">
            <v/>
          </cell>
          <cell r="E1863">
            <v>45989</v>
          </cell>
        </row>
        <row r="1864">
          <cell r="A1864" t="str">
            <v>SGF8J34</v>
          </cell>
          <cell r="B1864" t="str">
            <v xml:space="preserve"> </v>
          </cell>
          <cell r="C1864" t="str">
            <v/>
          </cell>
          <cell r="D1864" t="str">
            <v/>
          </cell>
          <cell r="E1864">
            <v>0</v>
          </cell>
        </row>
        <row r="1865">
          <cell r="A1865" t="str">
            <v>SGF9B39</v>
          </cell>
          <cell r="B1865" t="str">
            <v xml:space="preserve"> </v>
          </cell>
          <cell r="C1865" t="str">
            <v/>
          </cell>
          <cell r="D1865" t="str">
            <v/>
          </cell>
          <cell r="E1865">
            <v>0</v>
          </cell>
        </row>
        <row r="1866">
          <cell r="A1866" t="str">
            <v>SGF9I64</v>
          </cell>
          <cell r="B1866" t="str">
            <v xml:space="preserve"> </v>
          </cell>
          <cell r="C1866" t="str">
            <v/>
          </cell>
          <cell r="D1866" t="str">
            <v/>
          </cell>
          <cell r="E1866">
            <v>0</v>
          </cell>
        </row>
        <row r="1867">
          <cell r="A1867" t="str">
            <v>SGF9A56</v>
          </cell>
          <cell r="B1867" t="str">
            <v xml:space="preserve"> </v>
          </cell>
          <cell r="C1867" t="str">
            <v/>
          </cell>
          <cell r="D1867" t="str">
            <v/>
          </cell>
          <cell r="E1867">
            <v>0</v>
          </cell>
        </row>
        <row r="1868">
          <cell r="A1868" t="str">
            <v>SGF9B40</v>
          </cell>
          <cell r="B1868" t="str">
            <v xml:space="preserve"> </v>
          </cell>
          <cell r="C1868" t="str">
            <v/>
          </cell>
          <cell r="D1868" t="str">
            <v/>
          </cell>
          <cell r="E1868">
            <v>0</v>
          </cell>
        </row>
        <row r="1869">
          <cell r="A1869" t="str">
            <v>SGF9B45</v>
          </cell>
          <cell r="B1869" t="str">
            <v xml:space="preserve"> </v>
          </cell>
          <cell r="C1869">
            <v>45989</v>
          </cell>
          <cell r="D1869" t="str">
            <v/>
          </cell>
          <cell r="E1869">
            <v>45989</v>
          </cell>
        </row>
        <row r="1870">
          <cell r="A1870" t="str">
            <v>SGK7E38</v>
          </cell>
          <cell r="B1870">
            <v>45988</v>
          </cell>
          <cell r="C1870">
            <v>45989</v>
          </cell>
          <cell r="D1870" t="str">
            <v/>
          </cell>
          <cell r="E1870">
            <v>45989</v>
          </cell>
        </row>
        <row r="1871">
          <cell r="A1871" t="str">
            <v>SGK7E30</v>
          </cell>
          <cell r="B1871">
            <v>45988</v>
          </cell>
          <cell r="C1871">
            <v>45989</v>
          </cell>
          <cell r="D1871" t="str">
            <v/>
          </cell>
          <cell r="E1871">
            <v>45989</v>
          </cell>
        </row>
        <row r="1872">
          <cell r="A1872" t="str">
            <v>SGK7E24</v>
          </cell>
          <cell r="B1872">
            <v>45981</v>
          </cell>
          <cell r="C1872" t="str">
            <v/>
          </cell>
          <cell r="D1872" t="str">
            <v/>
          </cell>
          <cell r="E1872">
            <v>45981</v>
          </cell>
        </row>
        <row r="1873">
          <cell r="A1873" t="str">
            <v>SGK7E21</v>
          </cell>
          <cell r="B1873">
            <v>45953</v>
          </cell>
          <cell r="C1873" t="str">
            <v/>
          </cell>
          <cell r="D1873" t="str">
            <v/>
          </cell>
          <cell r="E1873">
            <v>45953</v>
          </cell>
        </row>
        <row r="1874">
          <cell r="A1874" t="str">
            <v>SGF8I55</v>
          </cell>
          <cell r="B1874" t="str">
            <v xml:space="preserve"> </v>
          </cell>
          <cell r="C1874" t="str">
            <v/>
          </cell>
          <cell r="D1874" t="str">
            <v/>
          </cell>
          <cell r="E1874">
            <v>0</v>
          </cell>
        </row>
        <row r="1875">
          <cell r="A1875" t="str">
            <v>SGF8J27</v>
          </cell>
          <cell r="B1875">
            <v>45988</v>
          </cell>
          <cell r="C1875">
            <v>45989</v>
          </cell>
          <cell r="D1875" t="str">
            <v/>
          </cell>
          <cell r="E1875">
            <v>45989</v>
          </cell>
        </row>
        <row r="1876">
          <cell r="A1876" t="str">
            <v>SGF8J97</v>
          </cell>
          <cell r="B1876" t="str">
            <v xml:space="preserve"> </v>
          </cell>
          <cell r="C1876" t="str">
            <v/>
          </cell>
          <cell r="D1876" t="str">
            <v/>
          </cell>
          <cell r="E1876">
            <v>0</v>
          </cell>
        </row>
        <row r="1877">
          <cell r="A1877" t="str">
            <v>SGF9B68</v>
          </cell>
          <cell r="B1877">
            <v>45989</v>
          </cell>
          <cell r="C1877">
            <v>45989</v>
          </cell>
          <cell r="D1877" t="str">
            <v/>
          </cell>
          <cell r="E1877">
            <v>45989</v>
          </cell>
        </row>
        <row r="1878">
          <cell r="A1878" t="str">
            <v>SGF8J33</v>
          </cell>
          <cell r="B1878">
            <v>45884</v>
          </cell>
          <cell r="C1878" t="str">
            <v/>
          </cell>
          <cell r="D1878" t="str">
            <v/>
          </cell>
          <cell r="E1878">
            <v>45884</v>
          </cell>
        </row>
        <row r="1879">
          <cell r="A1879" t="str">
            <v>SGF9B03</v>
          </cell>
          <cell r="B1879" t="str">
            <v xml:space="preserve"> </v>
          </cell>
          <cell r="C1879">
            <v>45989</v>
          </cell>
          <cell r="D1879" t="str">
            <v/>
          </cell>
          <cell r="E1879">
            <v>45989</v>
          </cell>
        </row>
        <row r="1880">
          <cell r="A1880" t="str">
            <v>SGF9B78</v>
          </cell>
          <cell r="B1880" t="str">
            <v xml:space="preserve"> </v>
          </cell>
          <cell r="C1880">
            <v>45989</v>
          </cell>
          <cell r="D1880" t="str">
            <v/>
          </cell>
          <cell r="E1880">
            <v>45989</v>
          </cell>
        </row>
        <row r="1881">
          <cell r="A1881" t="str">
            <v>SGF9A36</v>
          </cell>
          <cell r="B1881">
            <v>45988</v>
          </cell>
          <cell r="C1881">
            <v>45989</v>
          </cell>
          <cell r="D1881" t="str">
            <v/>
          </cell>
          <cell r="E1881">
            <v>45989</v>
          </cell>
        </row>
        <row r="1882">
          <cell r="A1882" t="str">
            <v>SGK7D85</v>
          </cell>
          <cell r="B1882">
            <v>45989</v>
          </cell>
          <cell r="C1882">
            <v>45989</v>
          </cell>
          <cell r="D1882" t="str">
            <v/>
          </cell>
          <cell r="E1882">
            <v>45989</v>
          </cell>
        </row>
        <row r="1883">
          <cell r="A1883" t="str">
            <v>SGK7D77</v>
          </cell>
          <cell r="B1883">
            <v>45988</v>
          </cell>
          <cell r="C1883">
            <v>45989</v>
          </cell>
          <cell r="D1883" t="str">
            <v/>
          </cell>
          <cell r="E1883">
            <v>45989</v>
          </cell>
        </row>
        <row r="1884">
          <cell r="A1884" t="str">
            <v>SGK7D74</v>
          </cell>
          <cell r="B1884">
            <v>45989</v>
          </cell>
          <cell r="C1884" t="str">
            <v/>
          </cell>
          <cell r="D1884" t="str">
            <v/>
          </cell>
          <cell r="E1884">
            <v>45989</v>
          </cell>
        </row>
        <row r="1885">
          <cell r="A1885" t="str">
            <v>SGK7D70</v>
          </cell>
          <cell r="B1885">
            <v>45708</v>
          </cell>
          <cell r="C1885" t="str">
            <v/>
          </cell>
          <cell r="D1885" t="str">
            <v/>
          </cell>
          <cell r="E1885">
            <v>45708</v>
          </cell>
        </row>
        <row r="1886">
          <cell r="A1886" t="str">
            <v>SGK7D65</v>
          </cell>
          <cell r="B1886">
            <v>45966</v>
          </cell>
          <cell r="C1886" t="str">
            <v/>
          </cell>
          <cell r="D1886" t="str">
            <v/>
          </cell>
          <cell r="E1886">
            <v>45966</v>
          </cell>
        </row>
        <row r="1887">
          <cell r="A1887" t="str">
            <v>SGL2C62</v>
          </cell>
          <cell r="B1887" t="str">
            <v xml:space="preserve"> </v>
          </cell>
          <cell r="C1887">
            <v>45989</v>
          </cell>
          <cell r="D1887" t="str">
            <v/>
          </cell>
          <cell r="E1887">
            <v>45989</v>
          </cell>
        </row>
        <row r="1888">
          <cell r="A1888" t="str">
            <v>SGL2D19</v>
          </cell>
          <cell r="B1888" t="str">
            <v xml:space="preserve"> </v>
          </cell>
          <cell r="C1888">
            <v>45989</v>
          </cell>
          <cell r="D1888" t="str">
            <v/>
          </cell>
          <cell r="E1888">
            <v>45989</v>
          </cell>
        </row>
        <row r="1889">
          <cell r="A1889" t="str">
            <v>SGL2C74</v>
          </cell>
          <cell r="B1889" t="str">
            <v xml:space="preserve"> </v>
          </cell>
          <cell r="C1889">
            <v>45989</v>
          </cell>
          <cell r="D1889" t="str">
            <v/>
          </cell>
          <cell r="E1889">
            <v>45989</v>
          </cell>
        </row>
        <row r="1890">
          <cell r="A1890" t="str">
            <v>SGL1I61</v>
          </cell>
          <cell r="B1890" t="str">
            <v xml:space="preserve"> </v>
          </cell>
          <cell r="C1890">
            <v>45989</v>
          </cell>
          <cell r="D1890" t="str">
            <v/>
          </cell>
          <cell r="E1890">
            <v>45989</v>
          </cell>
        </row>
        <row r="1891">
          <cell r="A1891" t="str">
            <v>SGL2D23</v>
          </cell>
          <cell r="B1891">
            <v>45989</v>
          </cell>
          <cell r="C1891">
            <v>45989</v>
          </cell>
          <cell r="D1891" t="str">
            <v/>
          </cell>
          <cell r="E1891">
            <v>45989</v>
          </cell>
        </row>
        <row r="1892">
          <cell r="A1892" t="str">
            <v>SGF9B05</v>
          </cell>
          <cell r="B1892">
            <v>45915</v>
          </cell>
          <cell r="C1892" t="str">
            <v/>
          </cell>
          <cell r="D1892" t="str">
            <v/>
          </cell>
          <cell r="E1892">
            <v>45915</v>
          </cell>
        </row>
        <row r="1893">
          <cell r="A1893" t="str">
            <v>SGF9A21</v>
          </cell>
          <cell r="B1893">
            <v>45838</v>
          </cell>
          <cell r="C1893" t="str">
            <v/>
          </cell>
          <cell r="D1893" t="str">
            <v/>
          </cell>
          <cell r="E1893">
            <v>45838</v>
          </cell>
        </row>
        <row r="1894">
          <cell r="A1894" t="str">
            <v>SGF9C03</v>
          </cell>
          <cell r="B1894">
            <v>45943</v>
          </cell>
          <cell r="C1894" t="str">
            <v/>
          </cell>
          <cell r="D1894" t="str">
            <v/>
          </cell>
          <cell r="E1894">
            <v>45943</v>
          </cell>
        </row>
        <row r="1895">
          <cell r="A1895" t="str">
            <v>SGF8I65</v>
          </cell>
          <cell r="B1895">
            <v>45978</v>
          </cell>
          <cell r="C1895" t="str">
            <v/>
          </cell>
          <cell r="D1895" t="str">
            <v/>
          </cell>
          <cell r="E1895">
            <v>45978</v>
          </cell>
        </row>
        <row r="1896">
          <cell r="A1896" t="str">
            <v>SGF9B06</v>
          </cell>
          <cell r="B1896">
            <v>45988</v>
          </cell>
          <cell r="C1896">
            <v>45989</v>
          </cell>
          <cell r="D1896" t="str">
            <v/>
          </cell>
          <cell r="E1896">
            <v>45989</v>
          </cell>
        </row>
        <row r="1897">
          <cell r="A1897" t="str">
            <v>SGF9A02</v>
          </cell>
          <cell r="B1897">
            <v>45988</v>
          </cell>
          <cell r="C1897">
            <v>45989</v>
          </cell>
          <cell r="D1897" t="str">
            <v/>
          </cell>
          <cell r="E1897">
            <v>45989</v>
          </cell>
        </row>
        <row r="1898">
          <cell r="A1898" t="str">
            <v>SGF8J53</v>
          </cell>
          <cell r="B1898">
            <v>45988</v>
          </cell>
          <cell r="C1898">
            <v>45989</v>
          </cell>
          <cell r="D1898" t="str">
            <v/>
          </cell>
          <cell r="E1898">
            <v>45989</v>
          </cell>
        </row>
        <row r="1899">
          <cell r="A1899" t="str">
            <v>SGF8I94</v>
          </cell>
          <cell r="B1899" t="str">
            <v xml:space="preserve"> </v>
          </cell>
          <cell r="C1899" t="str">
            <v/>
          </cell>
          <cell r="D1899" t="str">
            <v/>
          </cell>
          <cell r="E1899">
            <v>0</v>
          </cell>
        </row>
        <row r="1900">
          <cell r="A1900" t="str">
            <v>SGF9B76</v>
          </cell>
          <cell r="B1900">
            <v>45989</v>
          </cell>
          <cell r="C1900">
            <v>45989</v>
          </cell>
          <cell r="D1900" t="str">
            <v/>
          </cell>
          <cell r="E1900">
            <v>45989</v>
          </cell>
        </row>
        <row r="1901">
          <cell r="A1901" t="str">
            <v>TMD8B98</v>
          </cell>
          <cell r="B1901" t="str">
            <v xml:space="preserve"> </v>
          </cell>
          <cell r="C1901" t="str">
            <v/>
          </cell>
          <cell r="D1901" t="str">
            <v/>
          </cell>
          <cell r="E1901">
            <v>0</v>
          </cell>
        </row>
        <row r="1902">
          <cell r="A1902" t="str">
            <v>TIR5C88</v>
          </cell>
          <cell r="B1902" t="str">
            <v xml:space="preserve"> </v>
          </cell>
          <cell r="C1902" t="str">
            <v/>
          </cell>
          <cell r="D1902" t="str">
            <v/>
          </cell>
          <cell r="E1902">
            <v>0</v>
          </cell>
        </row>
        <row r="1903">
          <cell r="A1903" t="str">
            <v>TIT5E08</v>
          </cell>
          <cell r="B1903" t="str">
            <v xml:space="preserve"> </v>
          </cell>
          <cell r="C1903" t="str">
            <v/>
          </cell>
          <cell r="D1903" t="str">
            <v/>
          </cell>
          <cell r="E1903">
            <v>0</v>
          </cell>
        </row>
        <row r="1904">
          <cell r="A1904" t="str">
            <v>TIV4J00</v>
          </cell>
          <cell r="B1904" t="str">
            <v xml:space="preserve"> </v>
          </cell>
          <cell r="C1904" t="str">
            <v/>
          </cell>
          <cell r="D1904" t="str">
            <v/>
          </cell>
          <cell r="E1904">
            <v>0</v>
          </cell>
        </row>
        <row r="1905">
          <cell r="A1905" t="str">
            <v>TJB7A67</v>
          </cell>
          <cell r="B1905" t="str">
            <v xml:space="preserve"> </v>
          </cell>
          <cell r="C1905" t="str">
            <v/>
          </cell>
          <cell r="D1905" t="str">
            <v/>
          </cell>
          <cell r="E1905">
            <v>0</v>
          </cell>
        </row>
        <row r="1906">
          <cell r="A1906" t="str">
            <v>TKC0E37</v>
          </cell>
          <cell r="B1906" t="str">
            <v xml:space="preserve"> </v>
          </cell>
          <cell r="C1906" t="str">
            <v/>
          </cell>
          <cell r="D1906" t="str">
            <v/>
          </cell>
          <cell r="E1906">
            <v>0</v>
          </cell>
        </row>
        <row r="1907">
          <cell r="A1907" t="str">
            <v>TKK9J38</v>
          </cell>
          <cell r="B1907" t="str">
            <v xml:space="preserve"> </v>
          </cell>
          <cell r="C1907" t="str">
            <v/>
          </cell>
          <cell r="D1907" t="str">
            <v/>
          </cell>
          <cell r="E1907">
            <v>0</v>
          </cell>
        </row>
        <row r="1908">
          <cell r="A1908" t="str">
            <v>TKS9E99</v>
          </cell>
          <cell r="B1908" t="str">
            <v xml:space="preserve"> </v>
          </cell>
          <cell r="C1908" t="str">
            <v/>
          </cell>
          <cell r="D1908" t="str">
            <v/>
          </cell>
          <cell r="E1908">
            <v>0</v>
          </cell>
        </row>
        <row r="1909">
          <cell r="A1909" t="str">
            <v>TLM3C68</v>
          </cell>
          <cell r="B1909" t="str">
            <v xml:space="preserve"> </v>
          </cell>
          <cell r="C1909" t="str">
            <v/>
          </cell>
          <cell r="D1909" t="str">
            <v/>
          </cell>
          <cell r="E1909">
            <v>0</v>
          </cell>
        </row>
        <row r="1910">
          <cell r="A1910" t="str">
            <v>TLO9H58</v>
          </cell>
          <cell r="B1910" t="str">
            <v xml:space="preserve"> </v>
          </cell>
          <cell r="C1910" t="str">
            <v/>
          </cell>
          <cell r="D1910" t="str">
            <v/>
          </cell>
          <cell r="E1910">
            <v>0</v>
          </cell>
        </row>
        <row r="1911">
          <cell r="A1911" t="str">
            <v>TLQ6C88</v>
          </cell>
          <cell r="B1911" t="str">
            <v xml:space="preserve"> </v>
          </cell>
          <cell r="C1911" t="str">
            <v/>
          </cell>
          <cell r="D1911" t="str">
            <v/>
          </cell>
          <cell r="E1911">
            <v>0</v>
          </cell>
        </row>
        <row r="1912">
          <cell r="A1912" t="str">
            <v>TKA0J88</v>
          </cell>
          <cell r="B1912" t="str">
            <v xml:space="preserve"> </v>
          </cell>
          <cell r="C1912" t="str">
            <v/>
          </cell>
          <cell r="D1912" t="str">
            <v/>
          </cell>
          <cell r="E1912">
            <v>0</v>
          </cell>
        </row>
        <row r="1913">
          <cell r="A1913" t="str">
            <v>TLA2J30</v>
          </cell>
          <cell r="B1913" t="str">
            <v xml:space="preserve"> </v>
          </cell>
          <cell r="C1913" t="str">
            <v/>
          </cell>
          <cell r="D1913" t="str">
            <v/>
          </cell>
          <cell r="E1913">
            <v>0</v>
          </cell>
        </row>
        <row r="1914">
          <cell r="A1914" t="str">
            <v>TLL9D68</v>
          </cell>
          <cell r="B1914" t="str">
            <v xml:space="preserve"> </v>
          </cell>
          <cell r="C1914" t="str">
            <v/>
          </cell>
          <cell r="D1914" t="str">
            <v/>
          </cell>
          <cell r="E1914">
            <v>0</v>
          </cell>
        </row>
        <row r="1915">
          <cell r="A1915" t="str">
            <v>TKC8H49</v>
          </cell>
          <cell r="B1915" t="str">
            <v xml:space="preserve"> </v>
          </cell>
          <cell r="C1915" t="str">
            <v/>
          </cell>
          <cell r="D1915" t="str">
            <v/>
          </cell>
          <cell r="E1915">
            <v>0</v>
          </cell>
        </row>
        <row r="1916">
          <cell r="A1916" t="str">
            <v>TJG5J58</v>
          </cell>
          <cell r="B1916" t="str">
            <v xml:space="preserve"> </v>
          </cell>
          <cell r="C1916" t="str">
            <v/>
          </cell>
          <cell r="D1916" t="str">
            <v/>
          </cell>
          <cell r="E1916">
            <v>0</v>
          </cell>
        </row>
        <row r="1917">
          <cell r="A1917" t="str">
            <v>TJQ7H28</v>
          </cell>
          <cell r="B1917" t="str">
            <v xml:space="preserve"> </v>
          </cell>
          <cell r="C1917" t="str">
            <v/>
          </cell>
          <cell r="D1917" t="str">
            <v/>
          </cell>
          <cell r="E1917">
            <v>0</v>
          </cell>
        </row>
        <row r="1918">
          <cell r="A1918" t="str">
            <v>TKB9I09</v>
          </cell>
          <cell r="B1918" t="str">
            <v xml:space="preserve"> </v>
          </cell>
          <cell r="C1918" t="str">
            <v/>
          </cell>
          <cell r="D1918" t="str">
            <v/>
          </cell>
          <cell r="E1918">
            <v>0</v>
          </cell>
        </row>
        <row r="1919">
          <cell r="A1919" t="str">
            <v>TLU3G50</v>
          </cell>
          <cell r="B1919" t="str">
            <v xml:space="preserve"> </v>
          </cell>
          <cell r="C1919" t="str">
            <v/>
          </cell>
          <cell r="D1919" t="str">
            <v/>
          </cell>
          <cell r="E1919">
            <v>0</v>
          </cell>
        </row>
        <row r="1920">
          <cell r="A1920" t="str">
            <v>TMD2F59</v>
          </cell>
          <cell r="B1920" t="str">
            <v xml:space="preserve"> </v>
          </cell>
          <cell r="C1920" t="str">
            <v/>
          </cell>
          <cell r="D1920" t="str">
            <v/>
          </cell>
          <cell r="E1920">
            <v>0</v>
          </cell>
        </row>
        <row r="1921">
          <cell r="A1921" t="str">
            <v>TIT2G70</v>
          </cell>
          <cell r="B1921" t="str">
            <v xml:space="preserve"> </v>
          </cell>
          <cell r="C1921" t="str">
            <v/>
          </cell>
          <cell r="D1921" t="str">
            <v/>
          </cell>
          <cell r="E1921">
            <v>0</v>
          </cell>
        </row>
        <row r="1922">
          <cell r="A1922" t="str">
            <v>TLX2F67</v>
          </cell>
          <cell r="B1922" t="str">
            <v xml:space="preserve"> </v>
          </cell>
          <cell r="C1922" t="str">
            <v/>
          </cell>
          <cell r="D1922" t="str">
            <v/>
          </cell>
          <cell r="E1922">
            <v>0</v>
          </cell>
        </row>
        <row r="1923">
          <cell r="A1923" t="str">
            <v>TLT2E38</v>
          </cell>
          <cell r="B1923" t="str">
            <v xml:space="preserve"> </v>
          </cell>
          <cell r="C1923" t="str">
            <v/>
          </cell>
          <cell r="D1923" t="str">
            <v/>
          </cell>
          <cell r="E1923">
            <v>0</v>
          </cell>
        </row>
        <row r="1924">
          <cell r="A1924" t="str">
            <v>TLA0E99</v>
          </cell>
          <cell r="B1924" t="str">
            <v xml:space="preserve"> </v>
          </cell>
          <cell r="C1924" t="str">
            <v/>
          </cell>
          <cell r="D1924" t="str">
            <v/>
          </cell>
          <cell r="E1924">
            <v>0</v>
          </cell>
        </row>
        <row r="1925">
          <cell r="A1925" t="str">
            <v>TJW9G60</v>
          </cell>
          <cell r="B1925" t="str">
            <v xml:space="preserve"> </v>
          </cell>
          <cell r="C1925" t="str">
            <v/>
          </cell>
          <cell r="D1925" t="str">
            <v/>
          </cell>
          <cell r="E1925">
            <v>0</v>
          </cell>
        </row>
        <row r="1926">
          <cell r="A1926" t="str">
            <v>TKM8C40</v>
          </cell>
          <cell r="B1926" t="str">
            <v xml:space="preserve"> </v>
          </cell>
          <cell r="C1926" t="str">
            <v/>
          </cell>
          <cell r="D1926" t="str">
            <v/>
          </cell>
          <cell r="E1926">
            <v>0</v>
          </cell>
        </row>
        <row r="1927">
          <cell r="A1927" t="str">
            <v>TLJ9H08</v>
          </cell>
          <cell r="B1927" t="str">
            <v xml:space="preserve"> </v>
          </cell>
          <cell r="C1927" t="str">
            <v/>
          </cell>
          <cell r="D1927" t="str">
            <v/>
          </cell>
          <cell r="E1927">
            <v>0</v>
          </cell>
        </row>
        <row r="1928">
          <cell r="A1928" t="str">
            <v>TLS7I19</v>
          </cell>
          <cell r="B1928" t="str">
            <v xml:space="preserve"> </v>
          </cell>
          <cell r="C1928" t="str">
            <v/>
          </cell>
          <cell r="D1928" t="str">
            <v/>
          </cell>
          <cell r="E1928">
            <v>0</v>
          </cell>
        </row>
        <row r="1929">
          <cell r="A1929" t="str">
            <v>TIS2I08</v>
          </cell>
          <cell r="B1929" t="str">
            <v xml:space="preserve"> </v>
          </cell>
          <cell r="C1929" t="str">
            <v/>
          </cell>
          <cell r="D1929" t="str">
            <v/>
          </cell>
          <cell r="E1929">
            <v>0</v>
          </cell>
        </row>
        <row r="1930">
          <cell r="A1930" t="str">
            <v>TKF8H88</v>
          </cell>
          <cell r="B1930" t="str">
            <v xml:space="preserve"> </v>
          </cell>
          <cell r="C1930" t="str">
            <v/>
          </cell>
          <cell r="D1930" t="str">
            <v/>
          </cell>
          <cell r="E1930">
            <v>0</v>
          </cell>
        </row>
        <row r="1931">
          <cell r="A1931" t="str">
            <v>TLW7J19</v>
          </cell>
          <cell r="B1931" t="str">
            <v xml:space="preserve"> </v>
          </cell>
          <cell r="C1931" t="str">
            <v/>
          </cell>
          <cell r="D1931" t="str">
            <v/>
          </cell>
          <cell r="E1931">
            <v>0</v>
          </cell>
        </row>
        <row r="1932">
          <cell r="A1932" t="str">
            <v>FLN0H65</v>
          </cell>
          <cell r="B1932" t="str">
            <v xml:space="preserve"> </v>
          </cell>
          <cell r="C1932" t="str">
            <v/>
          </cell>
          <cell r="D1932" t="str">
            <v/>
          </cell>
          <cell r="E1932">
            <v>0</v>
          </cell>
        </row>
        <row r="1933">
          <cell r="A1933" t="str">
            <v>FNU0D51</v>
          </cell>
          <cell r="B1933" t="str">
            <v xml:space="preserve"> </v>
          </cell>
          <cell r="C1933" t="str">
            <v/>
          </cell>
          <cell r="D1933" t="str">
            <v/>
          </cell>
          <cell r="E1933">
            <v>0</v>
          </cell>
        </row>
        <row r="1934">
          <cell r="A1934" t="str">
            <v>FCA3E37</v>
          </cell>
          <cell r="B1934" t="str">
            <v xml:space="preserve"> </v>
          </cell>
          <cell r="C1934" t="str">
            <v/>
          </cell>
          <cell r="D1934" t="str">
            <v/>
          </cell>
          <cell r="E1934">
            <v>0</v>
          </cell>
        </row>
        <row r="1935">
          <cell r="A1935" t="str">
            <v>SXV5C98</v>
          </cell>
          <cell r="B1935" t="str">
            <v xml:space="preserve"> </v>
          </cell>
          <cell r="C1935" t="str">
            <v/>
          </cell>
          <cell r="D1935" t="str">
            <v/>
          </cell>
          <cell r="E1935">
            <v>0</v>
          </cell>
        </row>
        <row r="1936">
          <cell r="A1936" t="str">
            <v>SXV0C78</v>
          </cell>
          <cell r="B1936" t="str">
            <v xml:space="preserve"> </v>
          </cell>
          <cell r="C1936" t="str">
            <v/>
          </cell>
          <cell r="D1936" t="str">
            <v/>
          </cell>
          <cell r="E1936">
            <v>0</v>
          </cell>
        </row>
        <row r="1937">
          <cell r="A1937" t="str">
            <v>SXV5D58</v>
          </cell>
          <cell r="B1937" t="str">
            <v xml:space="preserve"> </v>
          </cell>
          <cell r="C1937" t="str">
            <v/>
          </cell>
          <cell r="D1937" t="str">
            <v/>
          </cell>
          <cell r="E1937">
            <v>0</v>
          </cell>
        </row>
        <row r="1938">
          <cell r="A1938" t="str">
            <v>SXV4J18</v>
          </cell>
          <cell r="B1938" t="str">
            <v xml:space="preserve"> </v>
          </cell>
          <cell r="C1938" t="str">
            <v/>
          </cell>
          <cell r="D1938" t="str">
            <v/>
          </cell>
          <cell r="E1938">
            <v>0</v>
          </cell>
        </row>
        <row r="1939">
          <cell r="A1939" t="str">
            <v>SXV5A28</v>
          </cell>
          <cell r="B1939" t="str">
            <v xml:space="preserve"> </v>
          </cell>
          <cell r="C1939" t="str">
            <v/>
          </cell>
          <cell r="D1939" t="str">
            <v/>
          </cell>
          <cell r="E1939">
            <v>0</v>
          </cell>
        </row>
        <row r="1940">
          <cell r="A1940" t="str">
            <v>SXV4I98</v>
          </cell>
          <cell r="B1940" t="str">
            <v xml:space="preserve"> </v>
          </cell>
          <cell r="C1940" t="str">
            <v/>
          </cell>
          <cell r="D1940" t="str">
            <v/>
          </cell>
          <cell r="E1940">
            <v>0</v>
          </cell>
        </row>
        <row r="1941">
          <cell r="A1941" t="str">
            <v>SXV5A78</v>
          </cell>
          <cell r="B1941" t="str">
            <v xml:space="preserve"> </v>
          </cell>
          <cell r="C1941" t="str">
            <v/>
          </cell>
          <cell r="D1941" t="str">
            <v/>
          </cell>
          <cell r="E1941">
            <v>0</v>
          </cell>
        </row>
        <row r="1942">
          <cell r="A1942" t="str">
            <v>SXV5E68</v>
          </cell>
          <cell r="B1942" t="str">
            <v xml:space="preserve"> </v>
          </cell>
          <cell r="C1942" t="str">
            <v/>
          </cell>
          <cell r="D1942" t="str">
            <v/>
          </cell>
          <cell r="E1942">
            <v>0</v>
          </cell>
        </row>
        <row r="1943">
          <cell r="A1943" t="str">
            <v>SXV4J58</v>
          </cell>
          <cell r="B1943" t="str">
            <v xml:space="preserve"> </v>
          </cell>
          <cell r="C1943" t="str">
            <v/>
          </cell>
          <cell r="D1943" t="str">
            <v/>
          </cell>
          <cell r="E1943">
            <v>0</v>
          </cell>
        </row>
        <row r="1944">
          <cell r="A1944" t="str">
            <v>SXU6B48</v>
          </cell>
          <cell r="B1944" t="str">
            <v xml:space="preserve"> </v>
          </cell>
          <cell r="C1944" t="str">
            <v/>
          </cell>
          <cell r="D1944" t="str">
            <v/>
          </cell>
          <cell r="E1944">
            <v>0</v>
          </cell>
        </row>
        <row r="1945">
          <cell r="A1945" t="str">
            <v>SXV4F98</v>
          </cell>
          <cell r="B1945" t="str">
            <v xml:space="preserve"> </v>
          </cell>
          <cell r="C1945" t="str">
            <v/>
          </cell>
          <cell r="D1945" t="str">
            <v/>
          </cell>
          <cell r="E1945">
            <v>0</v>
          </cell>
        </row>
        <row r="1946">
          <cell r="A1946" t="str">
            <v>SXU6B28</v>
          </cell>
          <cell r="B1946" t="str">
            <v xml:space="preserve"> </v>
          </cell>
          <cell r="C1946" t="str">
            <v/>
          </cell>
          <cell r="D1946" t="str">
            <v/>
          </cell>
          <cell r="E1946">
            <v>0</v>
          </cell>
        </row>
        <row r="1947">
          <cell r="A1947" t="str">
            <v>SXV5D78</v>
          </cell>
          <cell r="B1947" t="str">
            <v xml:space="preserve"> </v>
          </cell>
          <cell r="C1947" t="str">
            <v/>
          </cell>
          <cell r="D1947" t="str">
            <v/>
          </cell>
          <cell r="E1947">
            <v>0</v>
          </cell>
        </row>
        <row r="1948">
          <cell r="A1948" t="str">
            <v>SXV4J78</v>
          </cell>
          <cell r="B1948" t="str">
            <v xml:space="preserve"> </v>
          </cell>
          <cell r="C1948" t="str">
            <v/>
          </cell>
          <cell r="D1948" t="str">
            <v/>
          </cell>
          <cell r="E1948">
            <v>0</v>
          </cell>
        </row>
        <row r="1949">
          <cell r="A1949" t="str">
            <v>SXV5E28</v>
          </cell>
          <cell r="B1949" t="str">
            <v xml:space="preserve"> </v>
          </cell>
          <cell r="C1949" t="str">
            <v/>
          </cell>
          <cell r="D1949" t="str">
            <v/>
          </cell>
          <cell r="E1949">
            <v>0</v>
          </cell>
        </row>
        <row r="1950">
          <cell r="A1950" t="str">
            <v>SXB0F88</v>
          </cell>
          <cell r="B1950" t="str">
            <v xml:space="preserve"> </v>
          </cell>
          <cell r="C1950">
            <v>45989</v>
          </cell>
          <cell r="D1950" t="str">
            <v/>
          </cell>
          <cell r="E1950">
            <v>45989</v>
          </cell>
        </row>
        <row r="1951">
          <cell r="A1951" t="str">
            <v>SXA5C88</v>
          </cell>
          <cell r="B1951" t="str">
            <v xml:space="preserve"> </v>
          </cell>
          <cell r="C1951">
            <v>45989</v>
          </cell>
          <cell r="D1951" t="str">
            <v/>
          </cell>
          <cell r="E1951">
            <v>45989</v>
          </cell>
        </row>
        <row r="1952">
          <cell r="A1952" t="str">
            <v>STS7H95</v>
          </cell>
          <cell r="B1952" t="str">
            <v xml:space="preserve"> </v>
          </cell>
          <cell r="C1952" t="str">
            <v/>
          </cell>
          <cell r="D1952" t="str">
            <v/>
          </cell>
          <cell r="E1952">
            <v>0</v>
          </cell>
        </row>
        <row r="1953">
          <cell r="A1953" t="str">
            <v>STY3A64</v>
          </cell>
          <cell r="B1953" t="str">
            <v xml:space="preserve"> </v>
          </cell>
          <cell r="C1953" t="str">
            <v/>
          </cell>
          <cell r="D1953" t="str">
            <v/>
          </cell>
          <cell r="E1953">
            <v>0</v>
          </cell>
        </row>
        <row r="1954">
          <cell r="A1954" t="str">
            <v>BQP1A71</v>
          </cell>
          <cell r="B1954" t="str">
            <v xml:space="preserve"> </v>
          </cell>
          <cell r="C1954" t="str">
            <v/>
          </cell>
          <cell r="D1954" t="str">
            <v/>
          </cell>
          <cell r="E1954">
            <v>0</v>
          </cell>
        </row>
        <row r="1955">
          <cell r="A1955" t="str">
            <v>FJR8I54</v>
          </cell>
          <cell r="B1955" t="str">
            <v xml:space="preserve"> </v>
          </cell>
          <cell r="C1955" t="str">
            <v/>
          </cell>
          <cell r="D1955" t="str">
            <v/>
          </cell>
          <cell r="E1955">
            <v>0</v>
          </cell>
        </row>
        <row r="1956">
          <cell r="A1956" t="str">
            <v>FGJ9H71</v>
          </cell>
          <cell r="B1956" t="str">
            <v xml:space="preserve"> </v>
          </cell>
          <cell r="C1956" t="str">
            <v/>
          </cell>
          <cell r="D1956" t="str">
            <v/>
          </cell>
          <cell r="E1956">
            <v>0</v>
          </cell>
        </row>
        <row r="1957">
          <cell r="A1957" t="str">
            <v>SGL1J17</v>
          </cell>
          <cell r="B1957">
            <v>45989</v>
          </cell>
          <cell r="C1957">
            <v>45989</v>
          </cell>
          <cell r="D1957" t="str">
            <v/>
          </cell>
          <cell r="E1957">
            <v>45989</v>
          </cell>
        </row>
        <row r="1958">
          <cell r="A1958" t="str">
            <v>SGL2B84</v>
          </cell>
          <cell r="B1958">
            <v>45988</v>
          </cell>
          <cell r="C1958">
            <v>45989</v>
          </cell>
          <cell r="D1958" t="str">
            <v/>
          </cell>
          <cell r="E1958">
            <v>45989</v>
          </cell>
        </row>
        <row r="1959">
          <cell r="A1959" t="str">
            <v>SGL2D34</v>
          </cell>
          <cell r="B1959">
            <v>45988</v>
          </cell>
          <cell r="C1959">
            <v>45989</v>
          </cell>
          <cell r="D1959" t="str">
            <v/>
          </cell>
          <cell r="E1959">
            <v>45989</v>
          </cell>
        </row>
        <row r="1960">
          <cell r="A1960" t="str">
            <v>SGL2D11</v>
          </cell>
          <cell r="B1960">
            <v>45989</v>
          </cell>
          <cell r="C1960">
            <v>45989</v>
          </cell>
          <cell r="D1960" t="str">
            <v/>
          </cell>
          <cell r="E1960">
            <v>45989</v>
          </cell>
        </row>
        <row r="1961">
          <cell r="A1961" t="str">
            <v>SGL2B92</v>
          </cell>
          <cell r="B1961">
            <v>45988</v>
          </cell>
          <cell r="C1961">
            <v>45989</v>
          </cell>
          <cell r="D1961" t="str">
            <v/>
          </cell>
          <cell r="E1961">
            <v>45989</v>
          </cell>
        </row>
        <row r="1962">
          <cell r="A1962" t="str">
            <v>SGL2B42</v>
          </cell>
          <cell r="B1962">
            <v>45989</v>
          </cell>
          <cell r="C1962">
            <v>45989</v>
          </cell>
          <cell r="D1962" t="str">
            <v/>
          </cell>
          <cell r="E1962">
            <v>45989</v>
          </cell>
        </row>
        <row r="1963">
          <cell r="A1963" t="str">
            <v>SGL1J04</v>
          </cell>
          <cell r="B1963">
            <v>45989</v>
          </cell>
          <cell r="C1963">
            <v>45989</v>
          </cell>
          <cell r="D1963" t="str">
            <v/>
          </cell>
          <cell r="E1963">
            <v>45989</v>
          </cell>
        </row>
        <row r="1964">
          <cell r="A1964" t="str">
            <v>SGL2D04</v>
          </cell>
          <cell r="B1964">
            <v>45988</v>
          </cell>
          <cell r="C1964">
            <v>45989</v>
          </cell>
          <cell r="D1964" t="str">
            <v/>
          </cell>
          <cell r="E1964">
            <v>45989</v>
          </cell>
        </row>
        <row r="1965">
          <cell r="A1965" t="str">
            <v>SGL2D25</v>
          </cell>
          <cell r="B1965">
            <v>45989</v>
          </cell>
          <cell r="C1965">
            <v>45989</v>
          </cell>
          <cell r="D1965" t="str">
            <v/>
          </cell>
          <cell r="E1965">
            <v>45989</v>
          </cell>
        </row>
        <row r="1966">
          <cell r="A1966" t="str">
            <v>SGL2D31</v>
          </cell>
          <cell r="B1966">
            <v>45989</v>
          </cell>
          <cell r="C1966">
            <v>45989</v>
          </cell>
          <cell r="D1966" t="str">
            <v/>
          </cell>
          <cell r="E1966">
            <v>45989</v>
          </cell>
        </row>
        <row r="1967">
          <cell r="A1967" t="str">
            <v>SGL2C08</v>
          </cell>
          <cell r="B1967">
            <v>45989</v>
          </cell>
          <cell r="C1967">
            <v>45989</v>
          </cell>
          <cell r="D1967" t="str">
            <v/>
          </cell>
          <cell r="E1967">
            <v>45989</v>
          </cell>
        </row>
        <row r="1968">
          <cell r="A1968" t="str">
            <v>SGL1J19</v>
          </cell>
          <cell r="B1968">
            <v>45989</v>
          </cell>
          <cell r="C1968">
            <v>45989</v>
          </cell>
          <cell r="D1968" t="str">
            <v/>
          </cell>
          <cell r="E1968">
            <v>45989</v>
          </cell>
        </row>
        <row r="1969">
          <cell r="A1969" t="str">
            <v>SGL2D51</v>
          </cell>
          <cell r="B1969" t="str">
            <v xml:space="preserve"> </v>
          </cell>
          <cell r="C1969">
            <v>45989</v>
          </cell>
          <cell r="D1969" t="str">
            <v/>
          </cell>
          <cell r="E1969">
            <v>45989</v>
          </cell>
        </row>
        <row r="1970">
          <cell r="A1970" t="str">
            <v>SGK7E11</v>
          </cell>
          <cell r="B1970" t="str">
            <v xml:space="preserve"> </v>
          </cell>
          <cell r="C1970">
            <v>45989</v>
          </cell>
          <cell r="D1970" t="str">
            <v/>
          </cell>
          <cell r="E1970">
            <v>45989</v>
          </cell>
        </row>
        <row r="1971">
          <cell r="A1971" t="str">
            <v>SGL2C88</v>
          </cell>
          <cell r="B1971" t="str">
            <v xml:space="preserve"> </v>
          </cell>
          <cell r="C1971">
            <v>45989</v>
          </cell>
          <cell r="D1971" t="str">
            <v/>
          </cell>
          <cell r="E1971">
            <v>45989</v>
          </cell>
        </row>
        <row r="1972">
          <cell r="A1972" t="str">
            <v>SGL2D47</v>
          </cell>
          <cell r="B1972">
            <v>45988</v>
          </cell>
          <cell r="C1972">
            <v>45989</v>
          </cell>
          <cell r="D1972" t="str">
            <v/>
          </cell>
          <cell r="E1972">
            <v>45989</v>
          </cell>
        </row>
        <row r="1973">
          <cell r="A1973" t="str">
            <v>SGL1J16</v>
          </cell>
          <cell r="B1973" t="str">
            <v xml:space="preserve"> </v>
          </cell>
          <cell r="C1973">
            <v>45989</v>
          </cell>
          <cell r="D1973" t="str">
            <v/>
          </cell>
          <cell r="E1973">
            <v>45989</v>
          </cell>
        </row>
        <row r="1974">
          <cell r="A1974" t="str">
            <v>SGL2C26</v>
          </cell>
          <cell r="B1974" t="str">
            <v xml:space="preserve"> </v>
          </cell>
          <cell r="C1974">
            <v>45989</v>
          </cell>
          <cell r="D1974" t="str">
            <v/>
          </cell>
          <cell r="E1974">
            <v>45989</v>
          </cell>
        </row>
        <row r="1975">
          <cell r="A1975" t="str">
            <v>SGL2C56</v>
          </cell>
          <cell r="B1975" t="str">
            <v xml:space="preserve"> </v>
          </cell>
          <cell r="C1975">
            <v>45989</v>
          </cell>
          <cell r="D1975" t="str">
            <v/>
          </cell>
          <cell r="E1975">
            <v>45989</v>
          </cell>
        </row>
        <row r="1976">
          <cell r="A1976" t="str">
            <v>SGL2C80</v>
          </cell>
          <cell r="B1976" t="str">
            <v xml:space="preserve"> </v>
          </cell>
          <cell r="C1976" t="str">
            <v/>
          </cell>
          <cell r="D1976" t="str">
            <v/>
          </cell>
          <cell r="E1976">
            <v>0</v>
          </cell>
        </row>
        <row r="1977">
          <cell r="A1977" t="str">
            <v>SGL4D25</v>
          </cell>
          <cell r="B1977" t="str">
            <v xml:space="preserve"> </v>
          </cell>
          <cell r="C1977">
            <v>45989</v>
          </cell>
          <cell r="D1977" t="str">
            <v/>
          </cell>
          <cell r="E1977">
            <v>45989</v>
          </cell>
        </row>
        <row r="1978">
          <cell r="A1978" t="str">
            <v>SGL2D21</v>
          </cell>
          <cell r="B1978" t="str">
            <v xml:space="preserve"> </v>
          </cell>
          <cell r="C1978" t="str">
            <v/>
          </cell>
          <cell r="D1978" t="str">
            <v/>
          </cell>
          <cell r="E1978">
            <v>0</v>
          </cell>
        </row>
        <row r="1979">
          <cell r="A1979" t="str">
            <v>SGL4D23</v>
          </cell>
          <cell r="B1979" t="str">
            <v xml:space="preserve"> </v>
          </cell>
          <cell r="C1979">
            <v>45989</v>
          </cell>
          <cell r="D1979" t="str">
            <v/>
          </cell>
          <cell r="E1979">
            <v>45989</v>
          </cell>
        </row>
        <row r="1980">
          <cell r="A1980" t="str">
            <v>SGL4D24</v>
          </cell>
          <cell r="B1980" t="str">
            <v xml:space="preserve"> </v>
          </cell>
          <cell r="C1980">
            <v>45989</v>
          </cell>
          <cell r="D1980" t="str">
            <v/>
          </cell>
          <cell r="E1980">
            <v>45989</v>
          </cell>
        </row>
        <row r="1981">
          <cell r="A1981" t="str">
            <v>SGL2B72</v>
          </cell>
          <cell r="B1981" t="str">
            <v xml:space="preserve"> </v>
          </cell>
          <cell r="C1981">
            <v>45989</v>
          </cell>
          <cell r="D1981" t="str">
            <v/>
          </cell>
          <cell r="E1981">
            <v>45989</v>
          </cell>
        </row>
        <row r="1982">
          <cell r="A1982" t="str">
            <v>SGL2C38</v>
          </cell>
          <cell r="B1982" t="str">
            <v xml:space="preserve"> </v>
          </cell>
          <cell r="C1982" t="str">
            <v/>
          </cell>
          <cell r="D1982" t="str">
            <v/>
          </cell>
          <cell r="E1982">
            <v>0</v>
          </cell>
        </row>
        <row r="1983">
          <cell r="A1983" t="str">
            <v>SGL2B79</v>
          </cell>
          <cell r="B1983" t="str">
            <v xml:space="preserve"> </v>
          </cell>
          <cell r="C1983">
            <v>45989</v>
          </cell>
          <cell r="D1983" t="str">
            <v/>
          </cell>
          <cell r="E1983">
            <v>45989</v>
          </cell>
        </row>
        <row r="1984">
          <cell r="A1984" t="str">
            <v>SGL1H87</v>
          </cell>
          <cell r="B1984" t="str">
            <v xml:space="preserve"> </v>
          </cell>
          <cell r="C1984">
            <v>45989</v>
          </cell>
          <cell r="D1984" t="str">
            <v/>
          </cell>
          <cell r="E1984">
            <v>45989</v>
          </cell>
        </row>
        <row r="1985">
          <cell r="A1985" t="str">
            <v>SGL1J06</v>
          </cell>
          <cell r="B1985" t="str">
            <v xml:space="preserve"> </v>
          </cell>
          <cell r="C1985">
            <v>45989</v>
          </cell>
          <cell r="D1985" t="str">
            <v/>
          </cell>
          <cell r="E1985">
            <v>45989</v>
          </cell>
        </row>
        <row r="1986">
          <cell r="A1986" t="str">
            <v>SGL2C69</v>
          </cell>
          <cell r="B1986" t="str">
            <v xml:space="preserve"> </v>
          </cell>
          <cell r="C1986">
            <v>45989</v>
          </cell>
          <cell r="D1986" t="str">
            <v/>
          </cell>
          <cell r="E1986">
            <v>45989</v>
          </cell>
        </row>
        <row r="1987">
          <cell r="A1987" t="str">
            <v>SGL2D39</v>
          </cell>
          <cell r="B1987">
            <v>45988</v>
          </cell>
          <cell r="C1987">
            <v>45989</v>
          </cell>
          <cell r="D1987" t="str">
            <v/>
          </cell>
          <cell r="E1987">
            <v>45989</v>
          </cell>
        </row>
        <row r="1988">
          <cell r="A1988" t="str">
            <v>SGL1J13</v>
          </cell>
          <cell r="B1988" t="str">
            <v xml:space="preserve"> </v>
          </cell>
          <cell r="C1988">
            <v>45989</v>
          </cell>
          <cell r="D1988" t="str">
            <v/>
          </cell>
          <cell r="E1988">
            <v>45989</v>
          </cell>
        </row>
        <row r="1989">
          <cell r="A1989" t="str">
            <v>SGL2C94</v>
          </cell>
          <cell r="B1989" t="str">
            <v xml:space="preserve"> </v>
          </cell>
          <cell r="C1989">
            <v>45989</v>
          </cell>
          <cell r="D1989" t="str">
            <v/>
          </cell>
          <cell r="E1989">
            <v>45989</v>
          </cell>
        </row>
        <row r="1990">
          <cell r="A1990" t="str">
            <v>SGL2C89</v>
          </cell>
          <cell r="B1990" t="str">
            <v xml:space="preserve"> </v>
          </cell>
          <cell r="C1990">
            <v>45989</v>
          </cell>
          <cell r="D1990" t="str">
            <v/>
          </cell>
          <cell r="E1990">
            <v>45989</v>
          </cell>
        </row>
        <row r="1991">
          <cell r="A1991" t="str">
            <v>SGL2D40</v>
          </cell>
          <cell r="B1991" t="str">
            <v xml:space="preserve"> </v>
          </cell>
          <cell r="C1991">
            <v>45989</v>
          </cell>
          <cell r="D1991" t="str">
            <v/>
          </cell>
          <cell r="E1991">
            <v>45989</v>
          </cell>
        </row>
        <row r="1992">
          <cell r="A1992" t="str">
            <v>SGL1I56</v>
          </cell>
          <cell r="B1992" t="str">
            <v xml:space="preserve"> </v>
          </cell>
          <cell r="C1992">
            <v>45989</v>
          </cell>
          <cell r="D1992" t="str">
            <v/>
          </cell>
          <cell r="E1992">
            <v>45989</v>
          </cell>
        </row>
        <row r="1993">
          <cell r="A1993" t="str">
            <v>SGL2C77</v>
          </cell>
          <cell r="B1993" t="str">
            <v xml:space="preserve"> </v>
          </cell>
          <cell r="C1993">
            <v>45989</v>
          </cell>
          <cell r="D1993" t="str">
            <v/>
          </cell>
          <cell r="E1993">
            <v>45989</v>
          </cell>
        </row>
        <row r="1994">
          <cell r="A1994" t="str">
            <v>SGL4D21</v>
          </cell>
          <cell r="B1994" t="str">
            <v xml:space="preserve"> </v>
          </cell>
          <cell r="C1994">
            <v>45989</v>
          </cell>
          <cell r="D1994" t="str">
            <v/>
          </cell>
          <cell r="E1994">
            <v>45989</v>
          </cell>
        </row>
        <row r="1995">
          <cell r="A1995" t="str">
            <v>SGL1I25</v>
          </cell>
          <cell r="B1995" t="str">
            <v xml:space="preserve"> </v>
          </cell>
          <cell r="C1995" t="str">
            <v/>
          </cell>
          <cell r="D1995" t="str">
            <v/>
          </cell>
          <cell r="E1995">
            <v>0</v>
          </cell>
        </row>
        <row r="1996">
          <cell r="A1996" t="str">
            <v>SGL2C02</v>
          </cell>
          <cell r="B1996">
            <v>45988</v>
          </cell>
          <cell r="C1996">
            <v>45989</v>
          </cell>
          <cell r="D1996" t="str">
            <v/>
          </cell>
          <cell r="E1996">
            <v>45989</v>
          </cell>
        </row>
        <row r="1997">
          <cell r="A1997" t="str">
            <v>SGL2C21</v>
          </cell>
          <cell r="B1997" t="str">
            <v xml:space="preserve"> </v>
          </cell>
          <cell r="C1997">
            <v>45989</v>
          </cell>
          <cell r="D1997" t="str">
            <v/>
          </cell>
          <cell r="E1997">
            <v>45989</v>
          </cell>
        </row>
        <row r="1998">
          <cell r="A1998" t="str">
            <v>SGL2C95</v>
          </cell>
          <cell r="B1998" t="str">
            <v xml:space="preserve"> </v>
          </cell>
          <cell r="C1998">
            <v>45989</v>
          </cell>
          <cell r="D1998" t="str">
            <v/>
          </cell>
          <cell r="E1998">
            <v>45989</v>
          </cell>
        </row>
        <row r="1999">
          <cell r="A1999" t="str">
            <v>SGL2D44</v>
          </cell>
          <cell r="B1999">
            <v>45979</v>
          </cell>
          <cell r="C1999" t="str">
            <v/>
          </cell>
          <cell r="D1999" t="str">
            <v/>
          </cell>
          <cell r="E1999">
            <v>45979</v>
          </cell>
        </row>
        <row r="2000">
          <cell r="A2000" t="str">
            <v>SGL2D15</v>
          </cell>
          <cell r="B2000" t="str">
            <v xml:space="preserve"> </v>
          </cell>
          <cell r="C2000">
            <v>45989</v>
          </cell>
          <cell r="D2000" t="str">
            <v/>
          </cell>
          <cell r="E2000">
            <v>45989</v>
          </cell>
        </row>
        <row r="2001">
          <cell r="A2001" t="str">
            <v>SGL4D18</v>
          </cell>
          <cell r="B2001" t="str">
            <v xml:space="preserve"> </v>
          </cell>
          <cell r="C2001">
            <v>45989</v>
          </cell>
          <cell r="D2001" t="str">
            <v/>
          </cell>
          <cell r="E2001">
            <v>45989</v>
          </cell>
        </row>
        <row r="2002">
          <cell r="A2002" t="str">
            <v>SGL4D19</v>
          </cell>
          <cell r="B2002" t="str">
            <v xml:space="preserve"> </v>
          </cell>
          <cell r="C2002">
            <v>45989</v>
          </cell>
          <cell r="D2002" t="str">
            <v/>
          </cell>
          <cell r="E2002">
            <v>45989</v>
          </cell>
        </row>
        <row r="2003">
          <cell r="A2003" t="str">
            <v>SGL4C74</v>
          </cell>
          <cell r="B2003" t="str">
            <v xml:space="preserve"> </v>
          </cell>
          <cell r="C2003" t="str">
            <v/>
          </cell>
          <cell r="D2003" t="str">
            <v/>
          </cell>
          <cell r="E2003">
            <v>0</v>
          </cell>
        </row>
        <row r="2004">
          <cell r="A2004" t="str">
            <v>SGL4D26</v>
          </cell>
          <cell r="B2004" t="str">
            <v xml:space="preserve"> </v>
          </cell>
          <cell r="C2004" t="str">
            <v/>
          </cell>
          <cell r="D2004" t="str">
            <v/>
          </cell>
          <cell r="E2004">
            <v>0</v>
          </cell>
        </row>
        <row r="2005">
          <cell r="A2005" t="str">
            <v>SGL4C82</v>
          </cell>
          <cell r="B2005" t="str">
            <v xml:space="preserve"> </v>
          </cell>
          <cell r="C2005" t="str">
            <v/>
          </cell>
          <cell r="D2005" t="str">
            <v/>
          </cell>
          <cell r="E2005">
            <v>0</v>
          </cell>
        </row>
        <row r="2006">
          <cell r="A2006" t="str">
            <v>SGL4D20</v>
          </cell>
          <cell r="B2006" t="str">
            <v xml:space="preserve"> </v>
          </cell>
          <cell r="C2006">
            <v>45989</v>
          </cell>
          <cell r="D2006" t="str">
            <v/>
          </cell>
          <cell r="E2006">
            <v>45989</v>
          </cell>
        </row>
        <row r="2007">
          <cell r="A2007" t="str">
            <v>TOE7D00</v>
          </cell>
          <cell r="B2007" t="str">
            <v xml:space="preserve"> </v>
          </cell>
          <cell r="C2007">
            <v>45989</v>
          </cell>
          <cell r="D2007" t="str">
            <v/>
          </cell>
          <cell r="E2007">
            <v>45989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Placa</v>
          </cell>
          <cell r="C1" t="str">
            <v>Status</v>
          </cell>
        </row>
        <row r="2">
          <cell r="B2" t="str">
            <v>000AUDI</v>
          </cell>
          <cell r="C2" t="str">
            <v> </v>
          </cell>
        </row>
        <row r="3">
          <cell r="B3" t="str">
            <v>00G2H22</v>
          </cell>
          <cell r="C3" t="str">
            <v> </v>
          </cell>
        </row>
        <row r="4">
          <cell r="B4" t="str">
            <v>0XA2F22</v>
          </cell>
          <cell r="C4" t="str">
            <v> </v>
          </cell>
        </row>
        <row r="5">
          <cell r="B5" t="str">
            <v>2H19LKH</v>
          </cell>
          <cell r="C5" t="str">
            <v> </v>
          </cell>
        </row>
        <row r="6">
          <cell r="B6" t="str">
            <v>AAA3G77</v>
          </cell>
          <cell r="C6" t="str">
            <v> </v>
          </cell>
        </row>
        <row r="7">
          <cell r="B7" t="str">
            <v>ABG1F72</v>
          </cell>
          <cell r="C7" t="str">
            <v>Operando</v>
          </cell>
        </row>
        <row r="8">
          <cell r="B8" t="str">
            <v>ABJ4A26</v>
          </cell>
          <cell r="C8" t="str">
            <v> </v>
          </cell>
        </row>
        <row r="9">
          <cell r="B9" t="str">
            <v>ABL5B92</v>
          </cell>
          <cell r="C9" t="str">
            <v> </v>
          </cell>
        </row>
        <row r="10">
          <cell r="B10" t="str">
            <v>ABM3E46</v>
          </cell>
          <cell r="C10" t="str">
            <v>Operando</v>
          </cell>
        </row>
        <row r="11">
          <cell r="B11" t="str">
            <v>ACS6D10</v>
          </cell>
          <cell r="C11" t="str">
            <v>Operando</v>
          </cell>
        </row>
        <row r="12">
          <cell r="B12" t="str">
            <v>AFR3A65</v>
          </cell>
          <cell r="C12" t="str">
            <v> </v>
          </cell>
        </row>
        <row r="13">
          <cell r="B13" t="str">
            <v>AFR6054</v>
          </cell>
          <cell r="C13" t="str">
            <v> </v>
          </cell>
        </row>
        <row r="14">
          <cell r="B14" t="str">
            <v>AFR6I47</v>
          </cell>
          <cell r="C14" t="str">
            <v> </v>
          </cell>
        </row>
        <row r="15">
          <cell r="B15" t="str">
            <v>AGH2C66</v>
          </cell>
          <cell r="C15" t="str">
            <v> </v>
          </cell>
        </row>
        <row r="16">
          <cell r="B16" t="str">
            <v>AGN0A97</v>
          </cell>
          <cell r="C16" t="str">
            <v>Operando</v>
          </cell>
        </row>
        <row r="17">
          <cell r="B17" t="str">
            <v>AGO6C22</v>
          </cell>
          <cell r="C17" t="str">
            <v> </v>
          </cell>
        </row>
        <row r="18">
          <cell r="B18" t="str">
            <v>AGZ8088</v>
          </cell>
          <cell r="C18" t="str">
            <v> </v>
          </cell>
        </row>
        <row r="19">
          <cell r="B19" t="str">
            <v>AHR9A05</v>
          </cell>
          <cell r="C19" t="str">
            <v>Operando</v>
          </cell>
        </row>
        <row r="20">
          <cell r="B20" t="str">
            <v>AHR9A13</v>
          </cell>
          <cell r="C20" t="str">
            <v> </v>
          </cell>
        </row>
        <row r="21">
          <cell r="B21" t="str">
            <v>AHZ4B00</v>
          </cell>
          <cell r="C21" t="str">
            <v> </v>
          </cell>
        </row>
        <row r="22">
          <cell r="B22" t="str">
            <v>AIM1H76</v>
          </cell>
          <cell r="C22" t="str">
            <v> </v>
          </cell>
        </row>
        <row r="23">
          <cell r="B23" t="str">
            <v>AIO8D33</v>
          </cell>
          <cell r="C23" t="str">
            <v> </v>
          </cell>
        </row>
        <row r="24">
          <cell r="B24" t="str">
            <v>AIR8718</v>
          </cell>
          <cell r="C24" t="str">
            <v> </v>
          </cell>
        </row>
        <row r="25">
          <cell r="B25" t="str">
            <v>AIT2E44</v>
          </cell>
          <cell r="C25" t="str">
            <v> </v>
          </cell>
        </row>
        <row r="26">
          <cell r="B26" t="str">
            <v>AJK0515</v>
          </cell>
          <cell r="C26" t="str">
            <v> </v>
          </cell>
        </row>
        <row r="27">
          <cell r="B27" t="str">
            <v>AJL3408</v>
          </cell>
          <cell r="C27" t="str">
            <v> </v>
          </cell>
        </row>
        <row r="28">
          <cell r="B28" t="str">
            <v>AJO2I40</v>
          </cell>
          <cell r="C28" t="str">
            <v> </v>
          </cell>
        </row>
        <row r="29">
          <cell r="B29" t="str">
            <v>AJS7E13</v>
          </cell>
          <cell r="C29" t="str">
            <v> </v>
          </cell>
        </row>
        <row r="30">
          <cell r="B30" t="str">
            <v>AJUDANT</v>
          </cell>
          <cell r="C30" t="str">
            <v> </v>
          </cell>
        </row>
        <row r="31">
          <cell r="B31" t="str">
            <v>AJUDANT</v>
          </cell>
          <cell r="C31" t="str">
            <v> </v>
          </cell>
        </row>
        <row r="32">
          <cell r="B32" t="str">
            <v>AJUDANT</v>
          </cell>
          <cell r="C32" t="str">
            <v> </v>
          </cell>
        </row>
        <row r="33">
          <cell r="B33" t="str">
            <v>AJUDANT</v>
          </cell>
          <cell r="C33" t="str">
            <v> </v>
          </cell>
        </row>
        <row r="34">
          <cell r="B34" t="str">
            <v>AJUDANT</v>
          </cell>
          <cell r="C34" t="str">
            <v> </v>
          </cell>
        </row>
        <row r="35">
          <cell r="B35" t="str">
            <v>AJY5D33</v>
          </cell>
          <cell r="C35" t="str">
            <v> </v>
          </cell>
        </row>
        <row r="36">
          <cell r="B36" t="str">
            <v>AKG1595</v>
          </cell>
          <cell r="C36" t="str">
            <v> </v>
          </cell>
        </row>
        <row r="37">
          <cell r="B37" t="str">
            <v>AKH2397</v>
          </cell>
          <cell r="C37" t="str">
            <v> </v>
          </cell>
        </row>
        <row r="38">
          <cell r="B38" t="str">
            <v>AKV1C88</v>
          </cell>
          <cell r="C38" t="str">
            <v> </v>
          </cell>
        </row>
        <row r="39">
          <cell r="B39" t="str">
            <v>AKY1886</v>
          </cell>
          <cell r="C39" t="str">
            <v> </v>
          </cell>
        </row>
        <row r="40">
          <cell r="B40" t="str">
            <v>AKZ3F56</v>
          </cell>
          <cell r="C40" t="str">
            <v>Operando</v>
          </cell>
        </row>
        <row r="41">
          <cell r="B41" t="str">
            <v>AKZ4B11</v>
          </cell>
          <cell r="C41" t="str">
            <v> </v>
          </cell>
        </row>
        <row r="42">
          <cell r="B42" t="str">
            <v>AKZ5E33</v>
          </cell>
          <cell r="C42" t="str">
            <v> </v>
          </cell>
        </row>
        <row r="43">
          <cell r="B43" t="str">
            <v>AKZ5E53</v>
          </cell>
          <cell r="C43" t="str">
            <v> </v>
          </cell>
        </row>
        <row r="44">
          <cell r="B44" t="str">
            <v>AKZ6C00</v>
          </cell>
          <cell r="C44" t="str">
            <v> </v>
          </cell>
        </row>
        <row r="45">
          <cell r="B45" t="str">
            <v>ALE2837</v>
          </cell>
          <cell r="C45" t="str">
            <v> </v>
          </cell>
        </row>
        <row r="46">
          <cell r="B46" t="str">
            <v>ALF2956</v>
          </cell>
          <cell r="C46" t="str">
            <v> </v>
          </cell>
        </row>
        <row r="47">
          <cell r="B47" t="str">
            <v>ALM8H44</v>
          </cell>
          <cell r="C47" t="str">
            <v> </v>
          </cell>
        </row>
        <row r="48">
          <cell r="B48" t="str">
            <v>ALU6592</v>
          </cell>
          <cell r="C48" t="str">
            <v> </v>
          </cell>
        </row>
        <row r="49">
          <cell r="B49" t="str">
            <v>AMQ0D25</v>
          </cell>
          <cell r="C49" t="str">
            <v> </v>
          </cell>
        </row>
        <row r="50">
          <cell r="B50" t="str">
            <v>AMZ3A24</v>
          </cell>
          <cell r="C50" t="str">
            <v> </v>
          </cell>
        </row>
        <row r="51">
          <cell r="B51" t="str">
            <v>AND3E37</v>
          </cell>
          <cell r="C51" t="str">
            <v> </v>
          </cell>
        </row>
        <row r="52">
          <cell r="B52" t="str">
            <v>ANI1H69</v>
          </cell>
          <cell r="C52" t="str">
            <v> </v>
          </cell>
        </row>
        <row r="53">
          <cell r="B53" t="str">
            <v>ANN0344</v>
          </cell>
          <cell r="C53" t="str">
            <v> </v>
          </cell>
        </row>
        <row r="54">
          <cell r="B54" t="str">
            <v>ANP5J20</v>
          </cell>
          <cell r="C54" t="str">
            <v> </v>
          </cell>
        </row>
        <row r="55">
          <cell r="B55" t="str">
            <v>ANT1H58</v>
          </cell>
          <cell r="C55" t="str">
            <v> </v>
          </cell>
        </row>
        <row r="56">
          <cell r="B56" t="str">
            <v>ANY8B54</v>
          </cell>
          <cell r="C56" t="str">
            <v> </v>
          </cell>
        </row>
        <row r="57">
          <cell r="B57" t="str">
            <v>ANY8G83</v>
          </cell>
          <cell r="C57" t="str">
            <v> </v>
          </cell>
        </row>
        <row r="58">
          <cell r="B58" t="str">
            <v>AOD4953</v>
          </cell>
          <cell r="C58" t="str">
            <v> </v>
          </cell>
        </row>
        <row r="59">
          <cell r="B59" t="str">
            <v>AOG0C55</v>
          </cell>
          <cell r="C59" t="str">
            <v> </v>
          </cell>
        </row>
        <row r="60">
          <cell r="B60" t="str">
            <v>AOH3H87</v>
          </cell>
          <cell r="C60" t="str">
            <v> </v>
          </cell>
        </row>
        <row r="61">
          <cell r="B61" t="str">
            <v>AOI5967</v>
          </cell>
          <cell r="C61" t="str">
            <v> </v>
          </cell>
        </row>
        <row r="62">
          <cell r="B62" t="str">
            <v>AON6D35</v>
          </cell>
          <cell r="C62" t="str">
            <v> </v>
          </cell>
        </row>
        <row r="63">
          <cell r="B63" t="str">
            <v>AOO4I74</v>
          </cell>
          <cell r="C63" t="str">
            <v> </v>
          </cell>
        </row>
        <row r="64">
          <cell r="B64" t="str">
            <v>AOT6988</v>
          </cell>
          <cell r="C64" t="str">
            <v>Operando</v>
          </cell>
        </row>
        <row r="65">
          <cell r="B65" t="str">
            <v>AOV0A42</v>
          </cell>
          <cell r="C65" t="str">
            <v>Operando</v>
          </cell>
        </row>
        <row r="66">
          <cell r="B66" t="str">
            <v>AOV6B12</v>
          </cell>
          <cell r="C66" t="str">
            <v> </v>
          </cell>
        </row>
        <row r="67">
          <cell r="B67" t="str">
            <v>APD7C66</v>
          </cell>
          <cell r="C67" t="str">
            <v>Agregado</v>
          </cell>
        </row>
        <row r="68">
          <cell r="B68" t="str">
            <v>APF4A61</v>
          </cell>
          <cell r="C68" t="str">
            <v> </v>
          </cell>
        </row>
        <row r="69">
          <cell r="B69" t="str">
            <v>API0216</v>
          </cell>
          <cell r="C69" t="str">
            <v> </v>
          </cell>
        </row>
        <row r="70">
          <cell r="B70" t="str">
            <v>APJ3C25</v>
          </cell>
          <cell r="C70" t="str">
            <v> </v>
          </cell>
        </row>
        <row r="71">
          <cell r="B71" t="str">
            <v>APQ6I53</v>
          </cell>
          <cell r="C71" t="str">
            <v> </v>
          </cell>
        </row>
        <row r="72">
          <cell r="B72" t="str">
            <v>APX2D22</v>
          </cell>
          <cell r="C72" t="str">
            <v>Operando</v>
          </cell>
        </row>
        <row r="73">
          <cell r="B73" t="str">
            <v>APX3496</v>
          </cell>
          <cell r="C73" t="str">
            <v> </v>
          </cell>
        </row>
        <row r="74">
          <cell r="B74" t="str">
            <v>APX5J60</v>
          </cell>
          <cell r="C74" t="str">
            <v> </v>
          </cell>
        </row>
        <row r="75">
          <cell r="B75" t="str">
            <v>AQB1I21</v>
          </cell>
          <cell r="C75" t="str">
            <v>Operando</v>
          </cell>
        </row>
        <row r="76">
          <cell r="B76" t="str">
            <v>AQD4I99</v>
          </cell>
          <cell r="C76" t="str">
            <v>Operando</v>
          </cell>
        </row>
        <row r="77">
          <cell r="B77" t="str">
            <v>AQE6G33</v>
          </cell>
          <cell r="C77" t="str">
            <v> </v>
          </cell>
        </row>
        <row r="78">
          <cell r="B78" t="str">
            <v>AQE8G75</v>
          </cell>
          <cell r="C78" t="str">
            <v>Operando</v>
          </cell>
        </row>
        <row r="79">
          <cell r="B79" t="str">
            <v>AQN5489</v>
          </cell>
          <cell r="C79" t="str">
            <v> </v>
          </cell>
        </row>
        <row r="80">
          <cell r="B80" t="str">
            <v>AQP7J52</v>
          </cell>
          <cell r="C80" t="str">
            <v> </v>
          </cell>
        </row>
        <row r="81">
          <cell r="B81" t="str">
            <v>AQR3G58</v>
          </cell>
          <cell r="C81" t="str">
            <v> </v>
          </cell>
        </row>
        <row r="82">
          <cell r="B82" t="str">
            <v>AQS8I81</v>
          </cell>
          <cell r="C82" t="str">
            <v> </v>
          </cell>
        </row>
        <row r="83">
          <cell r="B83" t="str">
            <v>AQW4D90</v>
          </cell>
          <cell r="C83" t="str">
            <v> </v>
          </cell>
        </row>
        <row r="84">
          <cell r="B84" t="str">
            <v>AQY4734</v>
          </cell>
          <cell r="C84" t="str">
            <v>Operando</v>
          </cell>
        </row>
        <row r="85">
          <cell r="B85" t="str">
            <v>ARA3I73</v>
          </cell>
          <cell r="C85" t="str">
            <v>Operando</v>
          </cell>
        </row>
        <row r="86">
          <cell r="B86" t="str">
            <v>ARH9H93</v>
          </cell>
          <cell r="C86" t="str">
            <v> </v>
          </cell>
        </row>
        <row r="87">
          <cell r="B87" t="str">
            <v>ARK6H54</v>
          </cell>
          <cell r="C87" t="str">
            <v> </v>
          </cell>
        </row>
        <row r="88">
          <cell r="B88" t="str">
            <v>ARM2E66</v>
          </cell>
          <cell r="C88" t="str">
            <v>Operando</v>
          </cell>
        </row>
        <row r="89">
          <cell r="B89" t="str">
            <v>ARM3F25</v>
          </cell>
          <cell r="C89" t="str">
            <v> </v>
          </cell>
        </row>
        <row r="90">
          <cell r="B90" t="str">
            <v>ARR5G38</v>
          </cell>
          <cell r="C90" t="str">
            <v> </v>
          </cell>
        </row>
        <row r="91">
          <cell r="B91" t="str">
            <v>ART8J02</v>
          </cell>
          <cell r="C91" t="str">
            <v>Operando</v>
          </cell>
        </row>
        <row r="92">
          <cell r="B92" t="str">
            <v>ARV2E88</v>
          </cell>
          <cell r="C92" t="str">
            <v> </v>
          </cell>
        </row>
        <row r="93">
          <cell r="B93" t="str">
            <v>ARX1A92</v>
          </cell>
          <cell r="C93" t="str">
            <v>Operando</v>
          </cell>
        </row>
        <row r="94">
          <cell r="B94" t="str">
            <v>ARZ3E05</v>
          </cell>
          <cell r="C94" t="str">
            <v>Operando</v>
          </cell>
        </row>
        <row r="95">
          <cell r="B95" t="str">
            <v>ASA8540</v>
          </cell>
          <cell r="C95" t="str">
            <v> </v>
          </cell>
        </row>
        <row r="96">
          <cell r="B96" t="str">
            <v>ASB6G78</v>
          </cell>
          <cell r="C96" t="str">
            <v> </v>
          </cell>
        </row>
        <row r="97">
          <cell r="B97" t="str">
            <v>ASC4B64</v>
          </cell>
          <cell r="C97" t="str">
            <v>Operando</v>
          </cell>
        </row>
        <row r="98">
          <cell r="B98" t="str">
            <v>ASE0882</v>
          </cell>
          <cell r="C98" t="str">
            <v> </v>
          </cell>
        </row>
        <row r="99">
          <cell r="B99" t="str">
            <v>ASJ7B06</v>
          </cell>
          <cell r="C99" t="str">
            <v> </v>
          </cell>
        </row>
        <row r="100">
          <cell r="B100" t="str">
            <v>ASK7G87</v>
          </cell>
          <cell r="C100" t="str">
            <v>Operando</v>
          </cell>
        </row>
        <row r="101">
          <cell r="B101" t="str">
            <v>ASL0C42</v>
          </cell>
          <cell r="C101" t="str">
            <v> </v>
          </cell>
        </row>
        <row r="102">
          <cell r="B102" t="str">
            <v>ASM4160</v>
          </cell>
          <cell r="C102" t="str">
            <v> </v>
          </cell>
        </row>
        <row r="103">
          <cell r="B103" t="str">
            <v>ASQ5A56</v>
          </cell>
          <cell r="C103" t="str">
            <v> </v>
          </cell>
        </row>
        <row r="104">
          <cell r="B104" t="str">
            <v>ASU6I42</v>
          </cell>
          <cell r="C104" t="str">
            <v>Operando</v>
          </cell>
        </row>
        <row r="105">
          <cell r="B105" t="str">
            <v>ASX3D90</v>
          </cell>
          <cell r="C105" t="str">
            <v> </v>
          </cell>
        </row>
        <row r="106">
          <cell r="B106" t="str">
            <v>ASZ6H55</v>
          </cell>
          <cell r="C106" t="str">
            <v> </v>
          </cell>
        </row>
        <row r="107">
          <cell r="B107" t="str">
            <v>ATA9B67</v>
          </cell>
          <cell r="C107" t="str">
            <v>Operando</v>
          </cell>
        </row>
        <row r="108">
          <cell r="B108" t="str">
            <v>ATB9D79</v>
          </cell>
          <cell r="C108" t="str">
            <v> </v>
          </cell>
        </row>
        <row r="109">
          <cell r="B109" t="str">
            <v>ATD2D14</v>
          </cell>
          <cell r="C109" t="str">
            <v> </v>
          </cell>
        </row>
        <row r="110">
          <cell r="B110" t="str">
            <v>ATG5444</v>
          </cell>
          <cell r="C110" t="str">
            <v> </v>
          </cell>
        </row>
        <row r="111">
          <cell r="B111" t="str">
            <v>ATG5I36</v>
          </cell>
          <cell r="C111" t="str">
            <v> </v>
          </cell>
        </row>
        <row r="112">
          <cell r="B112" t="str">
            <v>ATH7D32</v>
          </cell>
          <cell r="C112" t="str">
            <v> </v>
          </cell>
        </row>
        <row r="113">
          <cell r="B113" t="str">
            <v>ATK9C67</v>
          </cell>
          <cell r="C113" t="str">
            <v> </v>
          </cell>
        </row>
        <row r="114">
          <cell r="B114" t="str">
            <v>ATL6815</v>
          </cell>
          <cell r="C114" t="str">
            <v>Operando</v>
          </cell>
        </row>
        <row r="115">
          <cell r="B115" t="str">
            <v>ATM2F28</v>
          </cell>
          <cell r="C115" t="str">
            <v> </v>
          </cell>
        </row>
        <row r="116">
          <cell r="B116" t="str">
            <v>ATN4C04</v>
          </cell>
          <cell r="C116" t="str">
            <v> </v>
          </cell>
        </row>
        <row r="117">
          <cell r="B117" t="str">
            <v>ATN7C15</v>
          </cell>
          <cell r="C117" t="str">
            <v> </v>
          </cell>
        </row>
        <row r="118">
          <cell r="B118" t="str">
            <v>ATP5B69</v>
          </cell>
          <cell r="C118" t="str">
            <v> </v>
          </cell>
        </row>
        <row r="119">
          <cell r="B119" t="str">
            <v>ATP7H84</v>
          </cell>
          <cell r="C119" t="str">
            <v> </v>
          </cell>
        </row>
        <row r="120">
          <cell r="B120" t="str">
            <v>ATP9E30</v>
          </cell>
          <cell r="C120" t="str">
            <v> </v>
          </cell>
        </row>
        <row r="121">
          <cell r="B121" t="str">
            <v>ATQ2H53</v>
          </cell>
          <cell r="C121" t="str">
            <v> </v>
          </cell>
        </row>
        <row r="122">
          <cell r="B122" t="str">
            <v>ATQ9868</v>
          </cell>
          <cell r="C122" t="str">
            <v>Operando</v>
          </cell>
        </row>
        <row r="123">
          <cell r="B123" t="str">
            <v>ATR1E49</v>
          </cell>
          <cell r="C123" t="str">
            <v> </v>
          </cell>
        </row>
        <row r="124">
          <cell r="B124" t="str">
            <v>ATR6B51</v>
          </cell>
          <cell r="C124" t="str">
            <v> </v>
          </cell>
        </row>
        <row r="125">
          <cell r="B125" t="str">
            <v>ATU5B99</v>
          </cell>
          <cell r="C125" t="str">
            <v>Operando</v>
          </cell>
        </row>
        <row r="126">
          <cell r="B126" t="str">
            <v>ATU6E37</v>
          </cell>
          <cell r="C126" t="str">
            <v>Operando</v>
          </cell>
        </row>
        <row r="127">
          <cell r="B127" t="str">
            <v>ATX4J59</v>
          </cell>
          <cell r="C127" t="str">
            <v> </v>
          </cell>
        </row>
        <row r="128">
          <cell r="B128" t="str">
            <v>ATX9D73</v>
          </cell>
          <cell r="C128" t="str">
            <v> </v>
          </cell>
        </row>
        <row r="129">
          <cell r="B129" t="str">
            <v>ATY7C42</v>
          </cell>
          <cell r="C129" t="str">
            <v> </v>
          </cell>
        </row>
        <row r="130">
          <cell r="B130" t="str">
            <v>ATY7H40</v>
          </cell>
          <cell r="C130" t="str">
            <v>Operando</v>
          </cell>
        </row>
        <row r="131">
          <cell r="B131" t="str">
            <v>AUA9B77</v>
          </cell>
          <cell r="C131" t="str">
            <v>Operando</v>
          </cell>
        </row>
        <row r="132">
          <cell r="B132" t="str">
            <v>AUA9I94</v>
          </cell>
          <cell r="C132" t="str">
            <v> </v>
          </cell>
        </row>
        <row r="133">
          <cell r="B133" t="str">
            <v>AUC6I12</v>
          </cell>
          <cell r="C133" t="str">
            <v>Operando</v>
          </cell>
        </row>
        <row r="134">
          <cell r="B134" t="str">
            <v>AUD2E87</v>
          </cell>
          <cell r="C134" t="str">
            <v> </v>
          </cell>
        </row>
        <row r="135">
          <cell r="B135" t="str">
            <v>AUD8A53</v>
          </cell>
          <cell r="C135" t="str">
            <v>Operando</v>
          </cell>
        </row>
        <row r="136">
          <cell r="B136" t="str">
            <v>AUD8C41</v>
          </cell>
          <cell r="C136" t="str">
            <v> </v>
          </cell>
        </row>
        <row r="137">
          <cell r="B137" t="str">
            <v>AUF0144</v>
          </cell>
          <cell r="C137" t="str">
            <v> </v>
          </cell>
        </row>
        <row r="138">
          <cell r="B138" t="str">
            <v>AUF2G63</v>
          </cell>
          <cell r="C138" t="str">
            <v>Operando</v>
          </cell>
        </row>
        <row r="139">
          <cell r="B139" t="str">
            <v>AUF3F92</v>
          </cell>
          <cell r="C139" t="str">
            <v>Carregado</v>
          </cell>
        </row>
        <row r="140">
          <cell r="B140" t="str">
            <v>AUF9J58</v>
          </cell>
          <cell r="C140" t="str">
            <v> </v>
          </cell>
        </row>
        <row r="141">
          <cell r="B141" t="str">
            <v>AUI0I34</v>
          </cell>
          <cell r="C141" t="str">
            <v>Operando</v>
          </cell>
        </row>
        <row r="142">
          <cell r="B142" t="str">
            <v>AUI9127</v>
          </cell>
          <cell r="C142" t="str">
            <v>Operando</v>
          </cell>
        </row>
        <row r="143">
          <cell r="B143" t="str">
            <v>AUK2E81</v>
          </cell>
          <cell r="C143" t="str">
            <v> </v>
          </cell>
        </row>
        <row r="144">
          <cell r="B144" t="str">
            <v>AUL8239</v>
          </cell>
          <cell r="C144" t="str">
            <v>Operando</v>
          </cell>
        </row>
        <row r="145">
          <cell r="B145" t="str">
            <v>AUM4B78</v>
          </cell>
          <cell r="C145" t="str">
            <v>Operando</v>
          </cell>
        </row>
        <row r="146">
          <cell r="B146" t="str">
            <v>AUN3145</v>
          </cell>
          <cell r="C146" t="str">
            <v>Operando</v>
          </cell>
        </row>
        <row r="147">
          <cell r="B147" t="str">
            <v>AUQ3J68</v>
          </cell>
          <cell r="C147" t="str">
            <v>Operando</v>
          </cell>
        </row>
        <row r="148">
          <cell r="B148" t="str">
            <v>AUS5B05</v>
          </cell>
          <cell r="C148" t="str">
            <v>Operando</v>
          </cell>
        </row>
        <row r="149">
          <cell r="B149" t="str">
            <v>AUV9H78</v>
          </cell>
          <cell r="C149" t="str">
            <v>Operando</v>
          </cell>
        </row>
        <row r="150">
          <cell r="B150" t="str">
            <v>AUW1E86</v>
          </cell>
          <cell r="C150" t="str">
            <v>Operando</v>
          </cell>
        </row>
        <row r="151">
          <cell r="B151" t="str">
            <v>AUW5C89</v>
          </cell>
          <cell r="C151" t="str">
            <v> </v>
          </cell>
        </row>
        <row r="152">
          <cell r="B152" t="str">
            <v>AUW5J30</v>
          </cell>
          <cell r="C152" t="str">
            <v>Operando</v>
          </cell>
        </row>
        <row r="153">
          <cell r="B153" t="str">
            <v>AUY6I98</v>
          </cell>
          <cell r="C153" t="str">
            <v> </v>
          </cell>
        </row>
        <row r="154">
          <cell r="B154" t="str">
            <v>AVB8178</v>
          </cell>
          <cell r="C154" t="str">
            <v> </v>
          </cell>
        </row>
        <row r="155">
          <cell r="B155" t="str">
            <v>AVC9C67</v>
          </cell>
          <cell r="C155" t="str">
            <v> </v>
          </cell>
        </row>
        <row r="156">
          <cell r="B156" t="str">
            <v>AVD0B44</v>
          </cell>
          <cell r="C156" t="str">
            <v> </v>
          </cell>
        </row>
        <row r="157">
          <cell r="B157" t="str">
            <v>AVF8C33</v>
          </cell>
          <cell r="C157" t="str">
            <v> </v>
          </cell>
        </row>
        <row r="158">
          <cell r="B158" t="str">
            <v>AVG1I93</v>
          </cell>
          <cell r="C158" t="str">
            <v>Operando</v>
          </cell>
        </row>
        <row r="159">
          <cell r="B159" t="str">
            <v>AVH0H39</v>
          </cell>
          <cell r="C159" t="str">
            <v> </v>
          </cell>
        </row>
        <row r="160">
          <cell r="B160" t="str">
            <v>AVH7D34</v>
          </cell>
          <cell r="C160" t="str">
            <v>Operando</v>
          </cell>
        </row>
        <row r="161">
          <cell r="B161" t="str">
            <v>AVI6D06</v>
          </cell>
          <cell r="C161" t="str">
            <v>Operando</v>
          </cell>
        </row>
        <row r="162">
          <cell r="B162" t="str">
            <v>AVJ3I41</v>
          </cell>
          <cell r="C162" t="str">
            <v> </v>
          </cell>
        </row>
        <row r="163">
          <cell r="B163" t="str">
            <v>AVM4F49</v>
          </cell>
          <cell r="C163" t="str">
            <v> </v>
          </cell>
        </row>
        <row r="164">
          <cell r="B164" t="str">
            <v>AVO0J95</v>
          </cell>
          <cell r="C164" t="str">
            <v> </v>
          </cell>
        </row>
        <row r="165">
          <cell r="B165" t="str">
            <v>AVP2G05</v>
          </cell>
          <cell r="C165" t="str">
            <v> </v>
          </cell>
        </row>
        <row r="166">
          <cell r="B166" t="str">
            <v>AVP3C29</v>
          </cell>
          <cell r="C166" t="str">
            <v> </v>
          </cell>
        </row>
        <row r="167">
          <cell r="B167" t="str">
            <v>AVP5B37</v>
          </cell>
          <cell r="C167" t="str">
            <v> </v>
          </cell>
        </row>
        <row r="168">
          <cell r="B168" t="str">
            <v>AVU6B26</v>
          </cell>
          <cell r="C168" t="str">
            <v> </v>
          </cell>
        </row>
        <row r="169">
          <cell r="B169" t="str">
            <v>AVU9C58</v>
          </cell>
          <cell r="C169" t="str">
            <v>Operando</v>
          </cell>
        </row>
        <row r="170">
          <cell r="B170" t="str">
            <v>AVX0G24</v>
          </cell>
          <cell r="C170" t="str">
            <v> </v>
          </cell>
        </row>
        <row r="171">
          <cell r="B171" t="str">
            <v>AVX9E01</v>
          </cell>
          <cell r="C171" t="str">
            <v> </v>
          </cell>
        </row>
        <row r="172">
          <cell r="B172" t="str">
            <v>AVY7E29</v>
          </cell>
          <cell r="C172" t="str">
            <v>Operando</v>
          </cell>
        </row>
        <row r="173">
          <cell r="B173" t="str">
            <v>AVZ3H83</v>
          </cell>
          <cell r="C173" t="str">
            <v> </v>
          </cell>
        </row>
        <row r="174">
          <cell r="B174" t="str">
            <v>AWB6H59</v>
          </cell>
          <cell r="C174" t="str">
            <v>Operando</v>
          </cell>
        </row>
        <row r="175">
          <cell r="B175" t="str">
            <v>AWC8C23</v>
          </cell>
          <cell r="C175" t="str">
            <v>Operando</v>
          </cell>
        </row>
        <row r="176">
          <cell r="B176" t="str">
            <v>AWE9C27</v>
          </cell>
          <cell r="C176" t="str">
            <v> </v>
          </cell>
        </row>
        <row r="177">
          <cell r="B177" t="str">
            <v>AWF9J72</v>
          </cell>
          <cell r="C177" t="str">
            <v>Operando</v>
          </cell>
        </row>
        <row r="178">
          <cell r="B178" t="str">
            <v>AWG6I31</v>
          </cell>
          <cell r="C178" t="str">
            <v> </v>
          </cell>
        </row>
        <row r="179">
          <cell r="B179" t="str">
            <v>AWG9A97</v>
          </cell>
          <cell r="C179" t="str">
            <v> </v>
          </cell>
        </row>
        <row r="180">
          <cell r="B180" t="str">
            <v>AWH6304</v>
          </cell>
          <cell r="C180" t="str">
            <v>Operando</v>
          </cell>
        </row>
        <row r="181">
          <cell r="B181" t="str">
            <v>AWK7I63</v>
          </cell>
          <cell r="C181" t="str">
            <v> </v>
          </cell>
        </row>
        <row r="182">
          <cell r="B182" t="str">
            <v>AWN8609</v>
          </cell>
          <cell r="C182" t="str">
            <v> </v>
          </cell>
        </row>
        <row r="183">
          <cell r="B183" t="str">
            <v>AWP8F69</v>
          </cell>
          <cell r="C183" t="str">
            <v>Operando</v>
          </cell>
        </row>
        <row r="184">
          <cell r="B184" t="str">
            <v>AWR6786</v>
          </cell>
          <cell r="C184" t="str">
            <v>Carregado</v>
          </cell>
        </row>
        <row r="185">
          <cell r="B185" t="str">
            <v>AWS6F42</v>
          </cell>
          <cell r="C185" t="str">
            <v> </v>
          </cell>
        </row>
        <row r="186">
          <cell r="B186" t="str">
            <v>AWT4E65</v>
          </cell>
          <cell r="C186" t="str">
            <v> </v>
          </cell>
        </row>
        <row r="187">
          <cell r="B187" t="str">
            <v>AWU0G67</v>
          </cell>
          <cell r="C187" t="str">
            <v>Operando</v>
          </cell>
        </row>
        <row r="188">
          <cell r="B188" t="str">
            <v>AWU3C39</v>
          </cell>
          <cell r="C188" t="str">
            <v> </v>
          </cell>
        </row>
        <row r="189">
          <cell r="B189" t="str">
            <v>AWU5J18</v>
          </cell>
          <cell r="C189" t="str">
            <v> </v>
          </cell>
        </row>
        <row r="190">
          <cell r="B190" t="str">
            <v>AWU6E74</v>
          </cell>
          <cell r="C190" t="str">
            <v> </v>
          </cell>
        </row>
        <row r="191">
          <cell r="B191" t="str">
            <v>AWU8D86</v>
          </cell>
          <cell r="C191" t="str">
            <v> </v>
          </cell>
        </row>
        <row r="192">
          <cell r="B192" t="str">
            <v>AWV0554</v>
          </cell>
          <cell r="C192" t="str">
            <v> </v>
          </cell>
        </row>
        <row r="193">
          <cell r="B193" t="str">
            <v>AWW1H91</v>
          </cell>
          <cell r="C193" t="str">
            <v> </v>
          </cell>
        </row>
        <row r="194">
          <cell r="B194" t="str">
            <v>AWY9A66</v>
          </cell>
          <cell r="C194" t="str">
            <v> </v>
          </cell>
        </row>
        <row r="195">
          <cell r="B195" t="str">
            <v>AXA8066</v>
          </cell>
          <cell r="C195" t="str">
            <v> </v>
          </cell>
        </row>
        <row r="196">
          <cell r="B196" t="str">
            <v>AXB0B97</v>
          </cell>
          <cell r="C196" t="str">
            <v> </v>
          </cell>
        </row>
        <row r="197">
          <cell r="B197" t="str">
            <v>AXB3038</v>
          </cell>
          <cell r="C197" t="str">
            <v>Operando</v>
          </cell>
        </row>
        <row r="198">
          <cell r="B198" t="str">
            <v>AXC1D22</v>
          </cell>
          <cell r="C198" t="str">
            <v> </v>
          </cell>
        </row>
        <row r="199">
          <cell r="B199" t="str">
            <v>AXC4B04</v>
          </cell>
          <cell r="C199" t="str">
            <v>Operando</v>
          </cell>
        </row>
        <row r="200">
          <cell r="B200" t="str">
            <v>AXH9D10</v>
          </cell>
          <cell r="C200" t="str">
            <v> </v>
          </cell>
        </row>
        <row r="201">
          <cell r="B201" t="str">
            <v>AXI0E57</v>
          </cell>
          <cell r="C201" t="str">
            <v> </v>
          </cell>
        </row>
        <row r="202">
          <cell r="B202" t="str">
            <v>AXI6J51</v>
          </cell>
          <cell r="C202" t="str">
            <v> </v>
          </cell>
        </row>
        <row r="203">
          <cell r="B203" t="str">
            <v>AXJ9506</v>
          </cell>
          <cell r="C203" t="str">
            <v> </v>
          </cell>
        </row>
        <row r="204">
          <cell r="B204" t="str">
            <v>AXL0D71</v>
          </cell>
          <cell r="C204" t="str">
            <v>Operando</v>
          </cell>
        </row>
        <row r="205">
          <cell r="B205" t="str">
            <v>AXO3C08</v>
          </cell>
          <cell r="C205" t="str">
            <v>Operando</v>
          </cell>
        </row>
        <row r="206">
          <cell r="B206" t="str">
            <v>AXR6B86</v>
          </cell>
          <cell r="C206" t="str">
            <v>Operando</v>
          </cell>
        </row>
        <row r="207">
          <cell r="B207" t="str">
            <v>AXR6H40</v>
          </cell>
          <cell r="C207" t="str">
            <v>Operando</v>
          </cell>
        </row>
        <row r="208">
          <cell r="B208" t="str">
            <v>AXS3C58</v>
          </cell>
          <cell r="C208" t="str">
            <v>Operando</v>
          </cell>
        </row>
        <row r="209">
          <cell r="B209" t="str">
            <v>AXV1F38</v>
          </cell>
          <cell r="C209" t="str">
            <v>Operando</v>
          </cell>
        </row>
        <row r="210">
          <cell r="B210" t="str">
            <v>AXW0D82</v>
          </cell>
          <cell r="C210" t="str">
            <v> </v>
          </cell>
        </row>
        <row r="211">
          <cell r="B211" t="str">
            <v>AXX9580</v>
          </cell>
          <cell r="C211" t="str">
            <v>Operando</v>
          </cell>
        </row>
        <row r="212">
          <cell r="B212" t="str">
            <v>AXY2H67</v>
          </cell>
          <cell r="C212" t="str">
            <v> </v>
          </cell>
        </row>
        <row r="213">
          <cell r="B213" t="str">
            <v>AXY7554</v>
          </cell>
          <cell r="C213" t="str">
            <v> </v>
          </cell>
        </row>
        <row r="214">
          <cell r="B214" t="str">
            <v>AXZ5G26</v>
          </cell>
          <cell r="C214" t="str">
            <v>Operando</v>
          </cell>
        </row>
        <row r="215">
          <cell r="B215" t="str">
            <v>AYA4D26</v>
          </cell>
          <cell r="C215" t="str">
            <v> </v>
          </cell>
        </row>
        <row r="216">
          <cell r="B216" t="str">
            <v>AYA8579</v>
          </cell>
          <cell r="C216" t="str">
            <v>Operando</v>
          </cell>
        </row>
        <row r="217">
          <cell r="B217" t="str">
            <v>AYB1D77</v>
          </cell>
          <cell r="C217" t="str">
            <v>Operando</v>
          </cell>
        </row>
        <row r="218">
          <cell r="B218" t="str">
            <v>AYC1I68</v>
          </cell>
          <cell r="C218" t="str">
            <v> </v>
          </cell>
        </row>
        <row r="219">
          <cell r="B219" t="str">
            <v>AYC8B64</v>
          </cell>
          <cell r="C219" t="str">
            <v> </v>
          </cell>
        </row>
        <row r="220">
          <cell r="B220" t="str">
            <v>AYD6B67</v>
          </cell>
          <cell r="C220" t="str">
            <v> </v>
          </cell>
        </row>
        <row r="221">
          <cell r="B221" t="str">
            <v>AYE8A96</v>
          </cell>
          <cell r="C221" t="str">
            <v> </v>
          </cell>
        </row>
        <row r="222">
          <cell r="B222" t="str">
            <v>AYF4026</v>
          </cell>
          <cell r="C222" t="str">
            <v> </v>
          </cell>
        </row>
        <row r="223">
          <cell r="B223" t="str">
            <v>AYF4E35</v>
          </cell>
          <cell r="C223" t="str">
            <v> </v>
          </cell>
        </row>
        <row r="224">
          <cell r="B224" t="str">
            <v>AYI0E22</v>
          </cell>
          <cell r="C224" t="str">
            <v> </v>
          </cell>
        </row>
        <row r="225">
          <cell r="B225" t="str">
            <v>AYI3H28</v>
          </cell>
          <cell r="C225" t="str">
            <v> </v>
          </cell>
        </row>
        <row r="226">
          <cell r="B226" t="str">
            <v>AYI4C58</v>
          </cell>
          <cell r="C226" t="str">
            <v> </v>
          </cell>
        </row>
        <row r="227">
          <cell r="B227" t="str">
            <v>AYI7G20</v>
          </cell>
          <cell r="C227" t="str">
            <v> </v>
          </cell>
        </row>
        <row r="228">
          <cell r="B228" t="str">
            <v>AYJ2817</v>
          </cell>
          <cell r="C228" t="str">
            <v> </v>
          </cell>
        </row>
        <row r="229">
          <cell r="B229" t="str">
            <v>AYJ4B48</v>
          </cell>
          <cell r="C229" t="str">
            <v>Agregado</v>
          </cell>
        </row>
        <row r="230">
          <cell r="B230" t="str">
            <v>AYJ7E49</v>
          </cell>
          <cell r="C230" t="str">
            <v> </v>
          </cell>
        </row>
        <row r="231">
          <cell r="B231" t="str">
            <v>AYK6F70</v>
          </cell>
          <cell r="C231" t="str">
            <v> </v>
          </cell>
        </row>
        <row r="232">
          <cell r="B232" t="str">
            <v>AYL6G50</v>
          </cell>
          <cell r="C232" t="str">
            <v> </v>
          </cell>
        </row>
        <row r="233">
          <cell r="B233" t="str">
            <v>AYM1I66</v>
          </cell>
          <cell r="C233" t="str">
            <v> </v>
          </cell>
        </row>
        <row r="234">
          <cell r="B234" t="str">
            <v>AYM9C18</v>
          </cell>
          <cell r="C234" t="str">
            <v> </v>
          </cell>
        </row>
        <row r="235">
          <cell r="B235" t="str">
            <v>AYN6F39</v>
          </cell>
          <cell r="C235" t="str">
            <v> </v>
          </cell>
        </row>
        <row r="236">
          <cell r="B236" t="str">
            <v>AYO1J17</v>
          </cell>
          <cell r="C236" t="str">
            <v>Operando</v>
          </cell>
        </row>
        <row r="237">
          <cell r="B237" t="str">
            <v>AYO2A38</v>
          </cell>
          <cell r="C237" t="str">
            <v> </v>
          </cell>
        </row>
        <row r="238">
          <cell r="B238" t="str">
            <v>AYO3692</v>
          </cell>
          <cell r="C238" t="str">
            <v>Operando</v>
          </cell>
        </row>
        <row r="239">
          <cell r="B239" t="str">
            <v>AYP1H47</v>
          </cell>
          <cell r="C239" t="str">
            <v> </v>
          </cell>
        </row>
        <row r="240">
          <cell r="B240" t="str">
            <v>AYP3C97</v>
          </cell>
          <cell r="C240" t="str">
            <v> </v>
          </cell>
        </row>
        <row r="241">
          <cell r="B241" t="str">
            <v>AYP7A12</v>
          </cell>
          <cell r="C241" t="str">
            <v> </v>
          </cell>
        </row>
        <row r="242">
          <cell r="B242" t="str">
            <v>AYP9D98</v>
          </cell>
          <cell r="C242" t="str">
            <v>Operando</v>
          </cell>
        </row>
        <row r="243">
          <cell r="B243" t="str">
            <v>AYQ0I46</v>
          </cell>
          <cell r="C243" t="str">
            <v> </v>
          </cell>
        </row>
        <row r="244">
          <cell r="B244" t="str">
            <v>AYQ5D09</v>
          </cell>
          <cell r="C244" t="str">
            <v> </v>
          </cell>
        </row>
        <row r="245">
          <cell r="B245" t="str">
            <v>AYS2H54</v>
          </cell>
          <cell r="C245" t="str">
            <v> </v>
          </cell>
        </row>
        <row r="246">
          <cell r="B246" t="str">
            <v>AYS4G38</v>
          </cell>
          <cell r="C246" t="str">
            <v>Operando</v>
          </cell>
        </row>
        <row r="247">
          <cell r="B247" t="str">
            <v>AYS7D67</v>
          </cell>
          <cell r="C247" t="str">
            <v> </v>
          </cell>
        </row>
        <row r="248">
          <cell r="B248" t="str">
            <v>AYT8G56</v>
          </cell>
          <cell r="C248" t="str">
            <v>Operando</v>
          </cell>
        </row>
        <row r="249">
          <cell r="B249" t="str">
            <v>AYW3537</v>
          </cell>
          <cell r="C249" t="str">
            <v> </v>
          </cell>
        </row>
        <row r="250">
          <cell r="B250" t="str">
            <v>AYW3F37</v>
          </cell>
          <cell r="C250" t="str">
            <v> </v>
          </cell>
        </row>
        <row r="251">
          <cell r="B251" t="str">
            <v>AYW5D92</v>
          </cell>
          <cell r="C251" t="str">
            <v> </v>
          </cell>
        </row>
        <row r="252">
          <cell r="B252" t="str">
            <v>AYX2J24</v>
          </cell>
          <cell r="C252" t="str">
            <v> </v>
          </cell>
        </row>
        <row r="253">
          <cell r="B253" t="str">
            <v>AYY5G67</v>
          </cell>
          <cell r="C253" t="str">
            <v> </v>
          </cell>
        </row>
        <row r="254">
          <cell r="B254" t="str">
            <v>AYZ1F74</v>
          </cell>
          <cell r="C254" t="str">
            <v> </v>
          </cell>
        </row>
        <row r="255">
          <cell r="B255" t="str">
            <v>AYZ8A94</v>
          </cell>
          <cell r="C255" t="str">
            <v> </v>
          </cell>
        </row>
        <row r="256">
          <cell r="B256" t="str">
            <v>AZA6J11</v>
          </cell>
          <cell r="C256" t="str">
            <v> </v>
          </cell>
        </row>
        <row r="257">
          <cell r="B257" t="str">
            <v>AZB0433</v>
          </cell>
          <cell r="C257" t="str">
            <v>Operando</v>
          </cell>
        </row>
        <row r="258">
          <cell r="B258" t="str">
            <v>AZB0F32</v>
          </cell>
          <cell r="C258" t="str">
            <v> </v>
          </cell>
        </row>
        <row r="259">
          <cell r="B259" t="str">
            <v>AZB0F72</v>
          </cell>
          <cell r="C259" t="str">
            <v> </v>
          </cell>
        </row>
        <row r="260">
          <cell r="B260" t="str">
            <v>AZC2H91</v>
          </cell>
          <cell r="C260" t="str">
            <v> </v>
          </cell>
        </row>
        <row r="261">
          <cell r="B261" t="str">
            <v>AZD3J58</v>
          </cell>
          <cell r="C261" t="str">
            <v>Operando</v>
          </cell>
        </row>
        <row r="262">
          <cell r="B262" t="str">
            <v>AZD4103</v>
          </cell>
          <cell r="C262" t="str">
            <v>Operando</v>
          </cell>
        </row>
        <row r="263">
          <cell r="B263" t="str">
            <v>AZE4917</v>
          </cell>
          <cell r="C263" t="str">
            <v>Operando</v>
          </cell>
        </row>
        <row r="264">
          <cell r="B264" t="str">
            <v>AZE7C87</v>
          </cell>
          <cell r="C264" t="str">
            <v>Operando</v>
          </cell>
        </row>
        <row r="265">
          <cell r="B265" t="str">
            <v>AZG1E86</v>
          </cell>
          <cell r="C265" t="str">
            <v> </v>
          </cell>
        </row>
        <row r="266">
          <cell r="B266" t="str">
            <v>AZI0540</v>
          </cell>
          <cell r="C266" t="str">
            <v> </v>
          </cell>
        </row>
        <row r="267">
          <cell r="B267" t="str">
            <v>AZI8B10</v>
          </cell>
          <cell r="C267" t="str">
            <v> </v>
          </cell>
        </row>
        <row r="268">
          <cell r="B268" t="str">
            <v>AZJ9531</v>
          </cell>
          <cell r="C268" t="str">
            <v> </v>
          </cell>
        </row>
        <row r="269">
          <cell r="B269" t="str">
            <v>AZK0D74</v>
          </cell>
          <cell r="C269" t="str">
            <v> </v>
          </cell>
        </row>
        <row r="270">
          <cell r="B270" t="str">
            <v>AZK7B11</v>
          </cell>
          <cell r="C270" t="str">
            <v> </v>
          </cell>
        </row>
        <row r="271">
          <cell r="B271" t="str">
            <v>AZN2F45</v>
          </cell>
          <cell r="C271" t="str">
            <v> </v>
          </cell>
        </row>
        <row r="272">
          <cell r="B272" t="str">
            <v>AZO0H34</v>
          </cell>
          <cell r="C272" t="str">
            <v> </v>
          </cell>
        </row>
        <row r="273">
          <cell r="B273" t="str">
            <v>AZO6F61</v>
          </cell>
          <cell r="C273" t="str">
            <v> </v>
          </cell>
        </row>
        <row r="274">
          <cell r="B274" t="str">
            <v>AZR1F40</v>
          </cell>
          <cell r="C274" t="str">
            <v> </v>
          </cell>
        </row>
        <row r="275">
          <cell r="B275" t="str">
            <v>AZU5A68</v>
          </cell>
          <cell r="C275" t="str">
            <v> </v>
          </cell>
        </row>
        <row r="276">
          <cell r="B276" t="str">
            <v>AZU9E31</v>
          </cell>
          <cell r="C276" t="str">
            <v>Operando</v>
          </cell>
        </row>
        <row r="277">
          <cell r="B277" t="str">
            <v>AZV1647</v>
          </cell>
          <cell r="C277" t="str">
            <v> </v>
          </cell>
        </row>
        <row r="278">
          <cell r="B278" t="str">
            <v>AZV7C84</v>
          </cell>
          <cell r="C278" t="str">
            <v>Operando</v>
          </cell>
        </row>
        <row r="279">
          <cell r="B279" t="str">
            <v>AZX1D79</v>
          </cell>
          <cell r="C279" t="str">
            <v> </v>
          </cell>
        </row>
        <row r="280">
          <cell r="B280" t="str">
            <v>AZY7H15</v>
          </cell>
          <cell r="C280" t="str">
            <v> </v>
          </cell>
        </row>
        <row r="281">
          <cell r="B281" t="str">
            <v>AZZ8576</v>
          </cell>
          <cell r="C281" t="str">
            <v> </v>
          </cell>
        </row>
        <row r="282">
          <cell r="B282" t="str">
            <v>BAA8H11</v>
          </cell>
          <cell r="C282" t="str">
            <v>Operando</v>
          </cell>
        </row>
        <row r="283">
          <cell r="B283" t="str">
            <v>BAB6F03</v>
          </cell>
          <cell r="C283" t="str">
            <v> </v>
          </cell>
        </row>
        <row r="284">
          <cell r="B284" t="str">
            <v>BAC6H96</v>
          </cell>
          <cell r="C284" t="str">
            <v> </v>
          </cell>
        </row>
        <row r="285">
          <cell r="B285" t="str">
            <v>BAE8D58</v>
          </cell>
          <cell r="C285" t="str">
            <v> </v>
          </cell>
        </row>
        <row r="286">
          <cell r="B286" t="str">
            <v>BAH0B85</v>
          </cell>
          <cell r="C286" t="str">
            <v>Operando</v>
          </cell>
        </row>
        <row r="287">
          <cell r="B287" t="str">
            <v>BAH4J87</v>
          </cell>
          <cell r="C287" t="str">
            <v> </v>
          </cell>
        </row>
        <row r="288">
          <cell r="B288" t="str">
            <v>BAJ4H63</v>
          </cell>
          <cell r="C288" t="str">
            <v> </v>
          </cell>
        </row>
        <row r="289">
          <cell r="B289" t="str">
            <v>BAJ9B68</v>
          </cell>
          <cell r="C289" t="str">
            <v> </v>
          </cell>
        </row>
        <row r="290">
          <cell r="B290" t="str">
            <v>BAK3B56</v>
          </cell>
          <cell r="C290" t="str">
            <v>Agregado</v>
          </cell>
        </row>
        <row r="291">
          <cell r="B291" t="str">
            <v>BAM2G82</v>
          </cell>
          <cell r="C291" t="str">
            <v> </v>
          </cell>
        </row>
        <row r="292">
          <cell r="B292" t="str">
            <v>BAN6F98</v>
          </cell>
          <cell r="C292" t="str">
            <v>Operando</v>
          </cell>
        </row>
        <row r="293">
          <cell r="B293" t="str">
            <v>BAQ6335</v>
          </cell>
          <cell r="C293" t="str">
            <v> </v>
          </cell>
        </row>
        <row r="294">
          <cell r="B294" t="str">
            <v>BAR5G74</v>
          </cell>
          <cell r="C294" t="str">
            <v>Operando</v>
          </cell>
        </row>
        <row r="295">
          <cell r="B295" t="str">
            <v>BAS2F85</v>
          </cell>
          <cell r="C295" t="str">
            <v> </v>
          </cell>
        </row>
        <row r="296">
          <cell r="B296" t="str">
            <v>BAU8B55</v>
          </cell>
          <cell r="C296" t="str">
            <v>Operando</v>
          </cell>
        </row>
        <row r="297">
          <cell r="B297" t="str">
            <v>BAX2C99</v>
          </cell>
          <cell r="C297" t="str">
            <v>Operando</v>
          </cell>
        </row>
        <row r="298">
          <cell r="B298" t="str">
            <v>BAY9765</v>
          </cell>
          <cell r="C298" t="str">
            <v> </v>
          </cell>
        </row>
        <row r="299">
          <cell r="B299" t="str">
            <v>BBA5A43</v>
          </cell>
          <cell r="C299" t="str">
            <v>Operando</v>
          </cell>
        </row>
        <row r="300">
          <cell r="B300" t="str">
            <v>BBA5D16</v>
          </cell>
          <cell r="C300" t="str">
            <v> </v>
          </cell>
        </row>
        <row r="301">
          <cell r="B301" t="str">
            <v>BBA5E38</v>
          </cell>
          <cell r="C301" t="str">
            <v> </v>
          </cell>
        </row>
        <row r="302">
          <cell r="B302" t="str">
            <v>BBB5F61</v>
          </cell>
          <cell r="C302" t="str">
            <v> </v>
          </cell>
        </row>
        <row r="303">
          <cell r="B303" t="str">
            <v>BBD1J43</v>
          </cell>
          <cell r="C303" t="str">
            <v>Operando</v>
          </cell>
        </row>
        <row r="304">
          <cell r="B304" t="str">
            <v>BBD6A29</v>
          </cell>
          <cell r="C304" t="str">
            <v> </v>
          </cell>
        </row>
        <row r="305">
          <cell r="B305" t="str">
            <v>BBE6G97</v>
          </cell>
          <cell r="C305" t="str">
            <v> </v>
          </cell>
        </row>
        <row r="306">
          <cell r="B306" t="str">
            <v>BBF7596</v>
          </cell>
          <cell r="C306" t="str">
            <v> </v>
          </cell>
        </row>
        <row r="307">
          <cell r="B307" t="str">
            <v>BBK6D57</v>
          </cell>
          <cell r="C307" t="str">
            <v> </v>
          </cell>
        </row>
        <row r="308">
          <cell r="B308" t="str">
            <v>BBL9E62</v>
          </cell>
          <cell r="C308" t="str">
            <v>Operando</v>
          </cell>
        </row>
        <row r="309">
          <cell r="B309" t="str">
            <v>BBM6A59</v>
          </cell>
          <cell r="C309" t="str">
            <v> </v>
          </cell>
        </row>
        <row r="310">
          <cell r="B310" t="str">
            <v>BBN2E93</v>
          </cell>
          <cell r="C310" t="str">
            <v> </v>
          </cell>
        </row>
        <row r="311">
          <cell r="B311" t="str">
            <v>BBO9J36</v>
          </cell>
          <cell r="C311" t="str">
            <v> </v>
          </cell>
        </row>
        <row r="312">
          <cell r="B312" t="str">
            <v>BBP0792</v>
          </cell>
          <cell r="C312" t="str">
            <v> </v>
          </cell>
        </row>
        <row r="313">
          <cell r="B313" t="str">
            <v>BBP0B67</v>
          </cell>
          <cell r="C313" t="str">
            <v>Operando</v>
          </cell>
        </row>
        <row r="314">
          <cell r="B314" t="str">
            <v>BBR2I67</v>
          </cell>
          <cell r="C314" t="str">
            <v>Operando</v>
          </cell>
        </row>
        <row r="315">
          <cell r="B315" t="str">
            <v>BBS7926</v>
          </cell>
          <cell r="C315" t="str">
            <v> </v>
          </cell>
        </row>
        <row r="316">
          <cell r="B316" t="str">
            <v>BBT4472</v>
          </cell>
          <cell r="C316" t="str">
            <v> </v>
          </cell>
        </row>
        <row r="317">
          <cell r="B317" t="str">
            <v>BBU5J38</v>
          </cell>
          <cell r="C317" t="str">
            <v> </v>
          </cell>
        </row>
        <row r="318">
          <cell r="B318" t="str">
            <v>BBW5A90</v>
          </cell>
          <cell r="C318" t="str">
            <v> </v>
          </cell>
        </row>
        <row r="319">
          <cell r="B319" t="str">
            <v>BCA2C31</v>
          </cell>
          <cell r="C319" t="str">
            <v> </v>
          </cell>
        </row>
        <row r="320">
          <cell r="B320" t="str">
            <v>BCA6A53</v>
          </cell>
          <cell r="C320" t="str">
            <v>Operando</v>
          </cell>
        </row>
        <row r="321">
          <cell r="B321" t="str">
            <v>BCA9G90</v>
          </cell>
          <cell r="C321" t="str">
            <v>Operando</v>
          </cell>
        </row>
        <row r="322">
          <cell r="B322" t="str">
            <v>BCB6I31</v>
          </cell>
          <cell r="C322" t="str">
            <v>Operando</v>
          </cell>
        </row>
        <row r="323">
          <cell r="B323" t="str">
            <v>BCC4E82</v>
          </cell>
          <cell r="C323" t="str">
            <v> </v>
          </cell>
        </row>
        <row r="324">
          <cell r="B324" t="str">
            <v>BCF0B22</v>
          </cell>
          <cell r="C324" t="str">
            <v> </v>
          </cell>
        </row>
        <row r="325">
          <cell r="B325" t="str">
            <v>BCF9C57</v>
          </cell>
          <cell r="C325" t="str">
            <v> </v>
          </cell>
        </row>
        <row r="326">
          <cell r="B326" t="str">
            <v>BCJ6C33</v>
          </cell>
          <cell r="C326" t="str">
            <v> </v>
          </cell>
        </row>
        <row r="327">
          <cell r="B327" t="str">
            <v>BCK6E74</v>
          </cell>
          <cell r="C327" t="str">
            <v>Operando</v>
          </cell>
        </row>
        <row r="328">
          <cell r="B328" t="str">
            <v>BCS8D11</v>
          </cell>
          <cell r="C328" t="str">
            <v> </v>
          </cell>
        </row>
        <row r="329">
          <cell r="B329" t="str">
            <v>BCT2B35</v>
          </cell>
          <cell r="C329" t="str">
            <v> </v>
          </cell>
        </row>
        <row r="330">
          <cell r="B330" t="str">
            <v>BCY3E70</v>
          </cell>
          <cell r="C330" t="str">
            <v> </v>
          </cell>
        </row>
        <row r="331">
          <cell r="B331" t="str">
            <v>BCY3G51</v>
          </cell>
          <cell r="C331" t="str">
            <v>Operando</v>
          </cell>
        </row>
        <row r="332">
          <cell r="B332" t="str">
            <v>BCY9G28</v>
          </cell>
          <cell r="C332" t="str">
            <v> </v>
          </cell>
        </row>
        <row r="333">
          <cell r="B333" t="str">
            <v>BDB6B41</v>
          </cell>
          <cell r="C333" t="str">
            <v>Operando</v>
          </cell>
        </row>
        <row r="334">
          <cell r="B334" t="str">
            <v>BDB6H03</v>
          </cell>
          <cell r="C334" t="str">
            <v> </v>
          </cell>
        </row>
        <row r="335">
          <cell r="B335" t="str">
            <v>BDB6J46</v>
          </cell>
          <cell r="C335" t="str">
            <v> </v>
          </cell>
        </row>
        <row r="336">
          <cell r="B336" t="str">
            <v>BDI1G19</v>
          </cell>
          <cell r="C336" t="str">
            <v> </v>
          </cell>
        </row>
        <row r="337">
          <cell r="B337" t="str">
            <v>BDI1G98</v>
          </cell>
          <cell r="C337" t="str">
            <v>Operando</v>
          </cell>
        </row>
        <row r="338">
          <cell r="B338" t="str">
            <v>BDJ9C19</v>
          </cell>
          <cell r="C338" t="str">
            <v> </v>
          </cell>
        </row>
        <row r="339">
          <cell r="B339" t="str">
            <v>BDN7J78</v>
          </cell>
          <cell r="C339" t="str">
            <v> </v>
          </cell>
        </row>
        <row r="340">
          <cell r="B340" t="str">
            <v>BDP2E62</v>
          </cell>
          <cell r="C340" t="str">
            <v> </v>
          </cell>
        </row>
        <row r="341">
          <cell r="B341" t="str">
            <v>BDP6G47</v>
          </cell>
          <cell r="C341" t="str">
            <v> </v>
          </cell>
        </row>
        <row r="342">
          <cell r="B342" t="str">
            <v>BDR8B80</v>
          </cell>
          <cell r="C342" t="str">
            <v>Operando</v>
          </cell>
        </row>
        <row r="343">
          <cell r="B343" t="str">
            <v>BDR9D94</v>
          </cell>
          <cell r="C343" t="str">
            <v> </v>
          </cell>
        </row>
        <row r="344">
          <cell r="B344" t="str">
            <v>BDX0B68</v>
          </cell>
          <cell r="C344" t="str">
            <v> </v>
          </cell>
        </row>
        <row r="345">
          <cell r="B345" t="str">
            <v>BDY2H67</v>
          </cell>
          <cell r="C345" t="str">
            <v> </v>
          </cell>
        </row>
        <row r="346">
          <cell r="B346" t="str">
            <v>BEF7F83</v>
          </cell>
          <cell r="C346" t="str">
            <v> </v>
          </cell>
        </row>
        <row r="347">
          <cell r="B347" t="str">
            <v>BEG8F22</v>
          </cell>
          <cell r="C347" t="str">
            <v> </v>
          </cell>
        </row>
        <row r="348">
          <cell r="B348" t="str">
            <v>BEN9A49</v>
          </cell>
          <cell r="C348" t="str">
            <v>Operando</v>
          </cell>
        </row>
        <row r="349">
          <cell r="B349" t="str">
            <v>BEX0B85</v>
          </cell>
          <cell r="C349" t="str">
            <v>Operando</v>
          </cell>
        </row>
        <row r="350">
          <cell r="B350" t="str">
            <v>BEX5H02</v>
          </cell>
          <cell r="C350" t="str">
            <v>Operando</v>
          </cell>
        </row>
        <row r="351">
          <cell r="B351" t="str">
            <v>BKU4F47</v>
          </cell>
          <cell r="C351" t="str">
            <v> </v>
          </cell>
        </row>
        <row r="352">
          <cell r="B352" t="str">
            <v>BMR7I26</v>
          </cell>
          <cell r="C352" t="str">
            <v> </v>
          </cell>
        </row>
        <row r="353">
          <cell r="B353" t="str">
            <v>BRB4345</v>
          </cell>
          <cell r="C353" t="str">
            <v> </v>
          </cell>
        </row>
        <row r="354">
          <cell r="B354" t="str">
            <v>BRY3D05</v>
          </cell>
          <cell r="C354" t="str">
            <v> </v>
          </cell>
        </row>
        <row r="355">
          <cell r="B355" t="str">
            <v>BSJ6H59</v>
          </cell>
          <cell r="C355" t="str">
            <v> </v>
          </cell>
        </row>
        <row r="356">
          <cell r="B356" t="str">
            <v>BSX0827</v>
          </cell>
          <cell r="C356" t="str">
            <v> </v>
          </cell>
        </row>
        <row r="357">
          <cell r="B357" t="str">
            <v>BSX5E32</v>
          </cell>
          <cell r="C357" t="str">
            <v>Carregado</v>
          </cell>
        </row>
        <row r="358">
          <cell r="B358" t="str">
            <v>BWZ0D09</v>
          </cell>
          <cell r="C358" t="str">
            <v> </v>
          </cell>
        </row>
        <row r="359">
          <cell r="B359" t="str">
            <v>BXR8F38</v>
          </cell>
          <cell r="C359" t="str">
            <v> </v>
          </cell>
        </row>
        <row r="360">
          <cell r="B360" t="str">
            <v>BYQ8479</v>
          </cell>
          <cell r="C360" t="str">
            <v> </v>
          </cell>
        </row>
        <row r="361">
          <cell r="B361" t="str">
            <v>BYQ8D55</v>
          </cell>
          <cell r="C361" t="str">
            <v>Carregado</v>
          </cell>
        </row>
        <row r="362">
          <cell r="B362" t="str">
            <v>BYW8B25</v>
          </cell>
          <cell r="C362" t="str">
            <v> </v>
          </cell>
        </row>
        <row r="363">
          <cell r="B363" t="str">
            <v>BZQ2J79</v>
          </cell>
          <cell r="C363" t="str">
            <v> </v>
          </cell>
        </row>
        <row r="364">
          <cell r="B364" t="str">
            <v>CAH9E08</v>
          </cell>
          <cell r="C364" t="str">
            <v> </v>
          </cell>
        </row>
        <row r="365">
          <cell r="B365" t="str">
            <v>CBV7E33</v>
          </cell>
          <cell r="C365" t="str">
            <v> </v>
          </cell>
        </row>
        <row r="366">
          <cell r="B366" t="str">
            <v>CCU0D68</v>
          </cell>
          <cell r="C366" t="str">
            <v> </v>
          </cell>
        </row>
        <row r="367">
          <cell r="B367" t="str">
            <v>CCU3A94</v>
          </cell>
          <cell r="C367" t="str">
            <v> </v>
          </cell>
        </row>
        <row r="368">
          <cell r="B368" t="str">
            <v>CDC1510</v>
          </cell>
          <cell r="C368" t="str">
            <v> </v>
          </cell>
        </row>
        <row r="369">
          <cell r="B369" t="str">
            <v>CDR5A41</v>
          </cell>
          <cell r="C369" t="str">
            <v>Operando</v>
          </cell>
        </row>
        <row r="370">
          <cell r="B370" t="str">
            <v>CFK5B43</v>
          </cell>
          <cell r="C370" t="str">
            <v> </v>
          </cell>
        </row>
        <row r="371">
          <cell r="B371" t="str">
            <v>CFY5A96</v>
          </cell>
          <cell r="C371" t="str">
            <v>Carregado</v>
          </cell>
        </row>
        <row r="372">
          <cell r="B372" t="str">
            <v>CFZ3D55</v>
          </cell>
          <cell r="C372" t="str">
            <v> </v>
          </cell>
        </row>
        <row r="373">
          <cell r="B373" t="str">
            <v>CGS8I18</v>
          </cell>
          <cell r="C373" t="str">
            <v> </v>
          </cell>
        </row>
        <row r="374">
          <cell r="B374" t="str">
            <v>CKQ1690</v>
          </cell>
          <cell r="C374" t="str">
            <v> </v>
          </cell>
        </row>
        <row r="375">
          <cell r="B375" t="str">
            <v>CKU1E65</v>
          </cell>
          <cell r="C375" t="str">
            <v> </v>
          </cell>
        </row>
        <row r="376">
          <cell r="B376" t="str">
            <v>CLU3258</v>
          </cell>
          <cell r="C376" t="str">
            <v> </v>
          </cell>
        </row>
        <row r="377">
          <cell r="B377" t="str">
            <v>CMQ7C89</v>
          </cell>
          <cell r="C377" t="str">
            <v>Agregado</v>
          </cell>
        </row>
        <row r="378">
          <cell r="B378" t="str">
            <v>CNI1H21</v>
          </cell>
          <cell r="C378" t="str">
            <v> </v>
          </cell>
        </row>
        <row r="379">
          <cell r="B379" t="str">
            <v>CPE1G72</v>
          </cell>
          <cell r="C379" t="str">
            <v> </v>
          </cell>
        </row>
        <row r="380">
          <cell r="B380" t="str">
            <v>CTB7C79</v>
          </cell>
          <cell r="C380" t="str">
            <v> </v>
          </cell>
        </row>
        <row r="381">
          <cell r="B381" t="str">
            <v>CUA6277</v>
          </cell>
          <cell r="C381" t="str">
            <v> </v>
          </cell>
        </row>
        <row r="382">
          <cell r="B382" t="str">
            <v>CUB9H31</v>
          </cell>
          <cell r="C382" t="str">
            <v>Agregado</v>
          </cell>
        </row>
        <row r="383">
          <cell r="B383" t="str">
            <v>CUE2C53</v>
          </cell>
          <cell r="C383" t="str">
            <v>Operando</v>
          </cell>
        </row>
        <row r="384">
          <cell r="B384" t="str">
            <v>CUE5B29</v>
          </cell>
          <cell r="C384" t="str">
            <v> </v>
          </cell>
        </row>
        <row r="385">
          <cell r="B385" t="str">
            <v>CUF6I59</v>
          </cell>
          <cell r="C385" t="str">
            <v> </v>
          </cell>
        </row>
        <row r="386">
          <cell r="B386" t="str">
            <v>CUM6J26</v>
          </cell>
          <cell r="C386" t="str">
            <v> </v>
          </cell>
        </row>
        <row r="387">
          <cell r="B387" t="str">
            <v>CUV9I00</v>
          </cell>
          <cell r="C387" t="str">
            <v>Operando</v>
          </cell>
        </row>
        <row r="388">
          <cell r="B388" t="str">
            <v>CUZ9D29</v>
          </cell>
          <cell r="C388" t="str">
            <v>Agregado</v>
          </cell>
        </row>
        <row r="389">
          <cell r="B389" t="str">
            <v>CVM9C08</v>
          </cell>
          <cell r="C389" t="str">
            <v> </v>
          </cell>
        </row>
        <row r="390">
          <cell r="B390" t="str">
            <v>CVN9B81</v>
          </cell>
          <cell r="C390" t="str">
            <v> </v>
          </cell>
        </row>
        <row r="391">
          <cell r="B391" t="str">
            <v>CVN9F12</v>
          </cell>
          <cell r="C391" t="str">
            <v> </v>
          </cell>
        </row>
        <row r="392">
          <cell r="B392" t="str">
            <v>CVP9409</v>
          </cell>
          <cell r="C392" t="str">
            <v> </v>
          </cell>
        </row>
        <row r="393">
          <cell r="B393" t="str">
            <v>CWQ7J92</v>
          </cell>
          <cell r="C393" t="str">
            <v> </v>
          </cell>
        </row>
        <row r="394">
          <cell r="B394" t="str">
            <v>CXM0D15</v>
          </cell>
          <cell r="C394" t="str">
            <v> </v>
          </cell>
        </row>
        <row r="395">
          <cell r="B395" t="str">
            <v>CYN3J28</v>
          </cell>
          <cell r="C395" t="str">
            <v> </v>
          </cell>
        </row>
        <row r="396">
          <cell r="B396" t="str">
            <v>CZG5E02</v>
          </cell>
          <cell r="C396" t="str">
            <v> </v>
          </cell>
        </row>
        <row r="397">
          <cell r="B397" t="str">
            <v>DAJ4I08</v>
          </cell>
          <cell r="C397" t="str">
            <v> </v>
          </cell>
        </row>
        <row r="398">
          <cell r="B398" t="str">
            <v>DBB6C88</v>
          </cell>
          <cell r="C398" t="str">
            <v> </v>
          </cell>
        </row>
        <row r="399">
          <cell r="B399" t="str">
            <v>DBL1B16</v>
          </cell>
          <cell r="C399" t="str">
            <v> </v>
          </cell>
        </row>
        <row r="400">
          <cell r="B400" t="str">
            <v>DBS9E10</v>
          </cell>
          <cell r="C400" t="str">
            <v>Operando</v>
          </cell>
        </row>
        <row r="401">
          <cell r="B401" t="str">
            <v>DCU3680</v>
          </cell>
          <cell r="C401" t="str">
            <v> </v>
          </cell>
        </row>
        <row r="402">
          <cell r="B402" t="str">
            <v>DDA7G49</v>
          </cell>
          <cell r="C402" t="str">
            <v> </v>
          </cell>
        </row>
        <row r="403">
          <cell r="B403" t="str">
            <v>DDF1B20</v>
          </cell>
          <cell r="C403" t="str">
            <v> </v>
          </cell>
        </row>
        <row r="404">
          <cell r="B404" t="str">
            <v>DDF6J50</v>
          </cell>
          <cell r="C404" t="str">
            <v>Agregado</v>
          </cell>
        </row>
        <row r="405">
          <cell r="B405" t="str">
            <v>DDN0J81</v>
          </cell>
          <cell r="C405" t="str">
            <v> </v>
          </cell>
        </row>
        <row r="406">
          <cell r="B406" t="str">
            <v>DEB2I79</v>
          </cell>
          <cell r="C406" t="str">
            <v>Operando</v>
          </cell>
        </row>
        <row r="407">
          <cell r="B407" t="str">
            <v>DEB4109</v>
          </cell>
          <cell r="C407" t="str">
            <v>Operando</v>
          </cell>
        </row>
        <row r="408">
          <cell r="B408" t="str">
            <v>DEE0G01</v>
          </cell>
          <cell r="C408" t="str">
            <v> </v>
          </cell>
        </row>
        <row r="409">
          <cell r="B409" t="str">
            <v>DEU4635</v>
          </cell>
          <cell r="C409" t="str">
            <v> </v>
          </cell>
        </row>
        <row r="410">
          <cell r="B410" t="str">
            <v>DFT8B00</v>
          </cell>
          <cell r="C410" t="str">
            <v>Agregado</v>
          </cell>
        </row>
        <row r="411">
          <cell r="B411" t="str">
            <v>DFV1938</v>
          </cell>
          <cell r="C411" t="str">
            <v>Operando</v>
          </cell>
        </row>
        <row r="412">
          <cell r="B412" t="str">
            <v>DGB3J29</v>
          </cell>
          <cell r="C412" t="str">
            <v>Carregado</v>
          </cell>
        </row>
        <row r="413">
          <cell r="B413" t="str">
            <v>DGG1A50</v>
          </cell>
          <cell r="C413" t="str">
            <v> </v>
          </cell>
        </row>
        <row r="414">
          <cell r="B414" t="str">
            <v>DIG4G60</v>
          </cell>
          <cell r="C414" t="str">
            <v>Operando</v>
          </cell>
        </row>
        <row r="415">
          <cell r="B415" t="str">
            <v>DIT8I59</v>
          </cell>
          <cell r="C415" t="str">
            <v> </v>
          </cell>
        </row>
        <row r="416">
          <cell r="B416" t="str">
            <v>DJL7B72</v>
          </cell>
          <cell r="C416" t="str">
            <v>Operando</v>
          </cell>
        </row>
        <row r="417">
          <cell r="B417" t="str">
            <v>DJP9H71</v>
          </cell>
          <cell r="C417" t="str">
            <v> </v>
          </cell>
        </row>
        <row r="418">
          <cell r="B418" t="str">
            <v>DKG3B31</v>
          </cell>
          <cell r="C418" t="str">
            <v>Operando</v>
          </cell>
        </row>
        <row r="419">
          <cell r="B419" t="str">
            <v>DKH9232</v>
          </cell>
          <cell r="C419" t="str">
            <v>Operando</v>
          </cell>
        </row>
        <row r="420">
          <cell r="B420" t="str">
            <v>DKK0615</v>
          </cell>
          <cell r="C420" t="str">
            <v> </v>
          </cell>
        </row>
        <row r="421">
          <cell r="B421" t="str">
            <v>DKR0E74</v>
          </cell>
          <cell r="C421" t="str">
            <v>Agregado</v>
          </cell>
        </row>
        <row r="422">
          <cell r="B422" t="str">
            <v>DKS1J38</v>
          </cell>
          <cell r="C422" t="str">
            <v> </v>
          </cell>
        </row>
        <row r="423">
          <cell r="B423" t="str">
            <v>DKU9C73</v>
          </cell>
          <cell r="C423" t="str">
            <v>Operando</v>
          </cell>
        </row>
        <row r="424">
          <cell r="B424" t="str">
            <v>DLL0A71</v>
          </cell>
          <cell r="C424" t="str">
            <v> </v>
          </cell>
        </row>
        <row r="425">
          <cell r="B425" t="str">
            <v>DMB5F65</v>
          </cell>
          <cell r="C425" t="str">
            <v> </v>
          </cell>
        </row>
        <row r="426">
          <cell r="B426" t="str">
            <v>DMN8I07</v>
          </cell>
          <cell r="C426" t="str">
            <v>Operando</v>
          </cell>
        </row>
        <row r="427">
          <cell r="B427" t="str">
            <v>DMO3D44</v>
          </cell>
          <cell r="C427" t="str">
            <v>Carregado</v>
          </cell>
        </row>
        <row r="428">
          <cell r="B428" t="str">
            <v>DMS7B63</v>
          </cell>
          <cell r="C428" t="str">
            <v>Agregado</v>
          </cell>
        </row>
        <row r="429">
          <cell r="B429" t="str">
            <v>DNA1D49</v>
          </cell>
          <cell r="C429" t="str">
            <v> </v>
          </cell>
        </row>
        <row r="430">
          <cell r="B430" t="str">
            <v>DNA5I12</v>
          </cell>
          <cell r="C430" t="str">
            <v>Operando</v>
          </cell>
        </row>
        <row r="431">
          <cell r="B431" t="str">
            <v>DNO4I23</v>
          </cell>
          <cell r="C431" t="str">
            <v>Agregado</v>
          </cell>
        </row>
        <row r="432">
          <cell r="B432" t="str">
            <v>DOL7862</v>
          </cell>
          <cell r="C432" t="str">
            <v>Operando</v>
          </cell>
        </row>
        <row r="433">
          <cell r="B433" t="str">
            <v>DON5D61</v>
          </cell>
          <cell r="C433" t="str">
            <v> </v>
          </cell>
        </row>
        <row r="434">
          <cell r="B434" t="str">
            <v>DPB6I37</v>
          </cell>
          <cell r="C434" t="str">
            <v> </v>
          </cell>
        </row>
        <row r="435">
          <cell r="B435" t="str">
            <v>DPC2D47</v>
          </cell>
          <cell r="C435" t="str">
            <v> </v>
          </cell>
        </row>
        <row r="436">
          <cell r="B436" t="str">
            <v>DPL9G24</v>
          </cell>
          <cell r="C436" t="str">
            <v> </v>
          </cell>
        </row>
        <row r="437">
          <cell r="B437" t="str">
            <v>DQA3I27</v>
          </cell>
          <cell r="C437" t="str">
            <v> </v>
          </cell>
        </row>
        <row r="438">
          <cell r="B438" t="str">
            <v>DQH8E45</v>
          </cell>
          <cell r="C438" t="str">
            <v>Operando</v>
          </cell>
        </row>
        <row r="439">
          <cell r="B439" t="str">
            <v>DQR4I51</v>
          </cell>
          <cell r="C439" t="str">
            <v> </v>
          </cell>
        </row>
        <row r="440">
          <cell r="B440" t="str">
            <v>DQW4I17</v>
          </cell>
          <cell r="C440" t="str">
            <v> </v>
          </cell>
        </row>
        <row r="441">
          <cell r="B441" t="str">
            <v>DRJ2H32</v>
          </cell>
          <cell r="C441" t="str">
            <v> </v>
          </cell>
        </row>
        <row r="442">
          <cell r="B442" t="str">
            <v>DRK7F14</v>
          </cell>
          <cell r="C442" t="str">
            <v> </v>
          </cell>
        </row>
        <row r="443">
          <cell r="B443" t="str">
            <v>DRP2H89</v>
          </cell>
          <cell r="C443" t="str">
            <v>Operando</v>
          </cell>
        </row>
        <row r="444">
          <cell r="B444" t="str">
            <v>DRQ9190</v>
          </cell>
          <cell r="C444" t="str">
            <v> </v>
          </cell>
        </row>
        <row r="445">
          <cell r="B445" t="str">
            <v>DRR2E91</v>
          </cell>
          <cell r="C445" t="str">
            <v> </v>
          </cell>
        </row>
        <row r="446">
          <cell r="B446" t="str">
            <v>DRS2A63</v>
          </cell>
          <cell r="C446" t="str">
            <v> </v>
          </cell>
        </row>
        <row r="447">
          <cell r="B447" t="str">
            <v>DSA7A81</v>
          </cell>
          <cell r="C447" t="str">
            <v> </v>
          </cell>
        </row>
        <row r="448">
          <cell r="B448" t="str">
            <v>DSF7917</v>
          </cell>
          <cell r="C448" t="str">
            <v> </v>
          </cell>
        </row>
        <row r="449">
          <cell r="B449" t="str">
            <v>DSG7J37</v>
          </cell>
          <cell r="C449" t="str">
            <v>Operando</v>
          </cell>
        </row>
        <row r="450">
          <cell r="B450" t="str">
            <v>DSL5A98</v>
          </cell>
          <cell r="C450" t="str">
            <v> </v>
          </cell>
        </row>
        <row r="451">
          <cell r="B451" t="str">
            <v>DSN2E66</v>
          </cell>
          <cell r="C451" t="str">
            <v> </v>
          </cell>
        </row>
        <row r="452">
          <cell r="B452" t="str">
            <v>DSW5A43</v>
          </cell>
          <cell r="C452" t="str">
            <v> </v>
          </cell>
        </row>
        <row r="453">
          <cell r="B453" t="str">
            <v>DSX9G18</v>
          </cell>
          <cell r="C453" t="str">
            <v> </v>
          </cell>
        </row>
        <row r="454">
          <cell r="B454" t="str">
            <v>DTB1G20</v>
          </cell>
          <cell r="C454" t="str">
            <v>Operando</v>
          </cell>
        </row>
        <row r="455">
          <cell r="B455" t="str">
            <v>DTC7026</v>
          </cell>
          <cell r="C455" t="str">
            <v> </v>
          </cell>
        </row>
        <row r="456">
          <cell r="B456" t="str">
            <v>DTD3F21</v>
          </cell>
          <cell r="C456" t="str">
            <v> </v>
          </cell>
        </row>
        <row r="457">
          <cell r="B457" t="str">
            <v>DTD5279</v>
          </cell>
          <cell r="C457" t="str">
            <v> </v>
          </cell>
        </row>
        <row r="458">
          <cell r="B458" t="str">
            <v>DTE6772</v>
          </cell>
          <cell r="C458" t="str">
            <v> </v>
          </cell>
        </row>
        <row r="459">
          <cell r="B459" t="str">
            <v>DTS8907</v>
          </cell>
          <cell r="C459" t="str">
            <v>Operando</v>
          </cell>
        </row>
        <row r="460">
          <cell r="B460" t="str">
            <v>DTT0659</v>
          </cell>
          <cell r="C460" t="str">
            <v> </v>
          </cell>
        </row>
        <row r="461">
          <cell r="B461" t="str">
            <v>DTT8J78</v>
          </cell>
          <cell r="C461" t="str">
            <v>Carregado</v>
          </cell>
        </row>
        <row r="462">
          <cell r="B462" t="str">
            <v>DUI9638</v>
          </cell>
          <cell r="C462" t="str">
            <v>Operando</v>
          </cell>
        </row>
        <row r="463">
          <cell r="B463" t="str">
            <v>DUK4C06</v>
          </cell>
          <cell r="C463" t="str">
            <v> </v>
          </cell>
        </row>
        <row r="464">
          <cell r="B464" t="str">
            <v>DUL7J60</v>
          </cell>
          <cell r="C464" t="str">
            <v> </v>
          </cell>
        </row>
        <row r="465">
          <cell r="B465" t="str">
            <v>DUN2A66</v>
          </cell>
          <cell r="C465" t="str">
            <v>Agregado</v>
          </cell>
        </row>
        <row r="466">
          <cell r="B466" t="str">
            <v>DUR7481</v>
          </cell>
          <cell r="C466" t="str">
            <v> </v>
          </cell>
        </row>
        <row r="467">
          <cell r="B467" t="str">
            <v>DUR8C09</v>
          </cell>
          <cell r="C467" t="str">
            <v>Operando</v>
          </cell>
        </row>
        <row r="468">
          <cell r="B468" t="str">
            <v>DVI4H79</v>
          </cell>
          <cell r="C468" t="str">
            <v> </v>
          </cell>
        </row>
        <row r="469">
          <cell r="B469" t="str">
            <v>DVK0E24</v>
          </cell>
          <cell r="C469" t="str">
            <v> </v>
          </cell>
        </row>
        <row r="470">
          <cell r="B470" t="str">
            <v>DVK8H88</v>
          </cell>
          <cell r="C470" t="str">
            <v> </v>
          </cell>
        </row>
        <row r="471">
          <cell r="B471" t="str">
            <v>DVS4C43</v>
          </cell>
          <cell r="C471" t="str">
            <v> </v>
          </cell>
        </row>
        <row r="472">
          <cell r="B472" t="str">
            <v>DVT1H40</v>
          </cell>
          <cell r="C472" t="str">
            <v> </v>
          </cell>
        </row>
        <row r="473">
          <cell r="B473" t="str">
            <v>DWF0J16</v>
          </cell>
          <cell r="C473" t="str">
            <v>Agregado</v>
          </cell>
        </row>
        <row r="474">
          <cell r="B474" t="str">
            <v>DWG7F67</v>
          </cell>
          <cell r="C474" t="str">
            <v>Operando</v>
          </cell>
        </row>
        <row r="475">
          <cell r="B475" t="str">
            <v>DWH7128</v>
          </cell>
          <cell r="C475" t="str">
            <v> </v>
          </cell>
        </row>
        <row r="476">
          <cell r="B476" t="str">
            <v>DWI4J39</v>
          </cell>
          <cell r="C476" t="str">
            <v> </v>
          </cell>
        </row>
        <row r="477">
          <cell r="B477" t="str">
            <v>DWL8I89</v>
          </cell>
          <cell r="C477" t="str">
            <v>Carregado</v>
          </cell>
        </row>
        <row r="478">
          <cell r="B478" t="str">
            <v>DWM2823</v>
          </cell>
          <cell r="C478" t="str">
            <v>Operando</v>
          </cell>
        </row>
        <row r="479">
          <cell r="B479" t="str">
            <v>DWN8204</v>
          </cell>
          <cell r="C479" t="str">
            <v>Operando</v>
          </cell>
        </row>
        <row r="480">
          <cell r="B480" t="str">
            <v>DWT9F87</v>
          </cell>
          <cell r="C480" t="str">
            <v>Operando</v>
          </cell>
        </row>
        <row r="481">
          <cell r="B481" t="str">
            <v>DXA7G22</v>
          </cell>
          <cell r="C481" t="str">
            <v> </v>
          </cell>
        </row>
        <row r="482">
          <cell r="B482" t="str">
            <v>DXP1J41</v>
          </cell>
          <cell r="C482" t="str">
            <v> </v>
          </cell>
        </row>
        <row r="483">
          <cell r="B483" t="str">
            <v>DXR4H39</v>
          </cell>
          <cell r="C483" t="str">
            <v>Agregado</v>
          </cell>
        </row>
        <row r="484">
          <cell r="B484" t="str">
            <v>DXW6G34</v>
          </cell>
          <cell r="C484" t="str">
            <v> </v>
          </cell>
        </row>
        <row r="485">
          <cell r="B485" t="str">
            <v>DXW7H26</v>
          </cell>
          <cell r="C485" t="str">
            <v> </v>
          </cell>
        </row>
        <row r="486">
          <cell r="B486" t="str">
            <v>DYH2B52</v>
          </cell>
          <cell r="C486" t="str">
            <v>Carregado</v>
          </cell>
        </row>
        <row r="487">
          <cell r="B487" t="str">
            <v>DYI6F84</v>
          </cell>
          <cell r="C487" t="str">
            <v> </v>
          </cell>
        </row>
        <row r="488">
          <cell r="B488" t="str">
            <v>DYJ8B26</v>
          </cell>
          <cell r="C488" t="str">
            <v> </v>
          </cell>
        </row>
        <row r="489">
          <cell r="B489" t="str">
            <v>DYT1H49</v>
          </cell>
          <cell r="C489" t="str">
            <v> </v>
          </cell>
        </row>
        <row r="490">
          <cell r="B490" t="str">
            <v>DZD3579</v>
          </cell>
          <cell r="C490" t="str">
            <v> </v>
          </cell>
        </row>
        <row r="491">
          <cell r="B491" t="str">
            <v>DZD8D58</v>
          </cell>
          <cell r="C491" t="str">
            <v>Carregado</v>
          </cell>
        </row>
        <row r="492">
          <cell r="B492" t="str">
            <v>DZF3A39</v>
          </cell>
          <cell r="C492" t="str">
            <v> </v>
          </cell>
        </row>
        <row r="493">
          <cell r="B493" t="str">
            <v>DZI0884</v>
          </cell>
          <cell r="C493" t="str">
            <v>Operando</v>
          </cell>
        </row>
        <row r="494">
          <cell r="B494" t="str">
            <v>DZJ7H99</v>
          </cell>
          <cell r="C494" t="str">
            <v> </v>
          </cell>
        </row>
        <row r="495">
          <cell r="B495" t="str">
            <v>DZX0587</v>
          </cell>
          <cell r="C495" t="str">
            <v> </v>
          </cell>
        </row>
        <row r="496">
          <cell r="B496" t="str">
            <v>DZZ4I08</v>
          </cell>
          <cell r="C496" t="str">
            <v>Operando</v>
          </cell>
        </row>
        <row r="497">
          <cell r="B497" t="str">
            <v>EAE2G98</v>
          </cell>
          <cell r="C497" t="str">
            <v>Agregado</v>
          </cell>
        </row>
        <row r="498">
          <cell r="B498" t="str">
            <v>EAE6C68</v>
          </cell>
          <cell r="C498" t="str">
            <v> </v>
          </cell>
        </row>
        <row r="499">
          <cell r="B499" t="str">
            <v>EAH9B72</v>
          </cell>
          <cell r="C499" t="str">
            <v> </v>
          </cell>
        </row>
        <row r="500">
          <cell r="B500" t="str">
            <v>EAI9550</v>
          </cell>
          <cell r="C500" t="str">
            <v> </v>
          </cell>
        </row>
        <row r="501">
          <cell r="B501" t="str">
            <v>EAM9I06</v>
          </cell>
          <cell r="C501" t="str">
            <v> </v>
          </cell>
        </row>
        <row r="502">
          <cell r="B502" t="str">
            <v>EAN2J75</v>
          </cell>
          <cell r="C502" t="str">
            <v>Agregado</v>
          </cell>
        </row>
        <row r="503">
          <cell r="B503" t="str">
            <v>EAS7778</v>
          </cell>
          <cell r="C503" t="str">
            <v>Manutenção</v>
          </cell>
        </row>
        <row r="504">
          <cell r="B504" t="str">
            <v>EAS8A06</v>
          </cell>
          <cell r="C504" t="str">
            <v> </v>
          </cell>
        </row>
        <row r="505">
          <cell r="B505" t="str">
            <v>EAW7C41</v>
          </cell>
          <cell r="C505" t="str">
            <v>Operando</v>
          </cell>
        </row>
        <row r="506">
          <cell r="B506" t="str">
            <v>EAZ5E68</v>
          </cell>
          <cell r="C506" t="str">
            <v>Operando</v>
          </cell>
        </row>
        <row r="507">
          <cell r="B507" t="str">
            <v>EBF8I34</v>
          </cell>
          <cell r="C507" t="str">
            <v> </v>
          </cell>
        </row>
        <row r="508">
          <cell r="B508" t="str">
            <v>EBG5E10</v>
          </cell>
          <cell r="C508" t="str">
            <v> </v>
          </cell>
        </row>
        <row r="509">
          <cell r="B509" t="str">
            <v>EBK4015</v>
          </cell>
          <cell r="C509" t="str">
            <v> </v>
          </cell>
        </row>
        <row r="510">
          <cell r="B510" t="str">
            <v>EBM9362</v>
          </cell>
          <cell r="C510" t="str">
            <v>Operando</v>
          </cell>
        </row>
        <row r="511">
          <cell r="B511" t="str">
            <v>EBN0G29</v>
          </cell>
          <cell r="C511" t="str">
            <v> </v>
          </cell>
        </row>
        <row r="512">
          <cell r="B512" t="str">
            <v>EBU9F76</v>
          </cell>
          <cell r="C512" t="str">
            <v> </v>
          </cell>
        </row>
        <row r="513">
          <cell r="B513" t="str">
            <v>EBW8F76</v>
          </cell>
          <cell r="C513" t="str">
            <v>Operando</v>
          </cell>
        </row>
        <row r="514">
          <cell r="B514" t="str">
            <v>ECB1J36</v>
          </cell>
          <cell r="C514" t="str">
            <v> </v>
          </cell>
        </row>
        <row r="515">
          <cell r="B515" t="str">
            <v>ECG9F78</v>
          </cell>
          <cell r="C515" t="str">
            <v> </v>
          </cell>
        </row>
        <row r="516">
          <cell r="B516" t="str">
            <v>ECM0J20</v>
          </cell>
          <cell r="C516" t="str">
            <v> </v>
          </cell>
        </row>
        <row r="517">
          <cell r="B517" t="str">
            <v>ECO5B20</v>
          </cell>
          <cell r="C517" t="str">
            <v>Operando</v>
          </cell>
        </row>
        <row r="518">
          <cell r="B518" t="str">
            <v>ECO8D72</v>
          </cell>
          <cell r="C518" t="str">
            <v> </v>
          </cell>
        </row>
        <row r="519">
          <cell r="B519" t="str">
            <v>ECR3G15</v>
          </cell>
          <cell r="C519" t="str">
            <v> </v>
          </cell>
        </row>
        <row r="520">
          <cell r="B520" t="str">
            <v>ECT1D62</v>
          </cell>
          <cell r="C520" t="str">
            <v>Operando</v>
          </cell>
        </row>
        <row r="521">
          <cell r="B521" t="str">
            <v>ECT6C56</v>
          </cell>
          <cell r="C521" t="str">
            <v> </v>
          </cell>
        </row>
        <row r="522">
          <cell r="B522" t="str">
            <v>EDA8H58</v>
          </cell>
          <cell r="C522" t="str">
            <v>Carregado</v>
          </cell>
        </row>
        <row r="523">
          <cell r="B523" t="str">
            <v>EDD4H08</v>
          </cell>
          <cell r="C523" t="str">
            <v> </v>
          </cell>
        </row>
        <row r="524">
          <cell r="B524" t="str">
            <v>EDF5H68</v>
          </cell>
          <cell r="C524" t="str">
            <v> </v>
          </cell>
        </row>
        <row r="525">
          <cell r="B525" t="str">
            <v>EDH3J18</v>
          </cell>
          <cell r="C525" t="str">
            <v> </v>
          </cell>
        </row>
        <row r="526">
          <cell r="B526" t="str">
            <v>EDJ8I40</v>
          </cell>
          <cell r="C526" t="str">
            <v>Operando</v>
          </cell>
        </row>
        <row r="527">
          <cell r="B527" t="str">
            <v>EDQ5B71</v>
          </cell>
          <cell r="C527" t="str">
            <v>Operando</v>
          </cell>
        </row>
        <row r="528">
          <cell r="B528" t="str">
            <v>EDR0J77</v>
          </cell>
          <cell r="C528" t="str">
            <v>Operando</v>
          </cell>
        </row>
        <row r="529">
          <cell r="B529" t="str">
            <v>EDR8921</v>
          </cell>
          <cell r="C529" t="str">
            <v> </v>
          </cell>
        </row>
        <row r="530">
          <cell r="B530" t="str">
            <v>EDT9H57</v>
          </cell>
          <cell r="C530" t="str">
            <v>Sem operação</v>
          </cell>
        </row>
        <row r="531">
          <cell r="B531" t="str">
            <v>EDV3G95</v>
          </cell>
          <cell r="C531" t="str">
            <v>Agregado</v>
          </cell>
        </row>
        <row r="532">
          <cell r="B532" t="str">
            <v>EDV8C74</v>
          </cell>
          <cell r="C532" t="str">
            <v> </v>
          </cell>
        </row>
        <row r="533">
          <cell r="B533" t="str">
            <v>EEE9E08</v>
          </cell>
          <cell r="C533" t="str">
            <v>Carregado</v>
          </cell>
        </row>
        <row r="534">
          <cell r="B534" t="str">
            <v>EEF2D48</v>
          </cell>
          <cell r="C534" t="str">
            <v> </v>
          </cell>
        </row>
        <row r="535">
          <cell r="B535" t="str">
            <v>EEJ4686</v>
          </cell>
          <cell r="C535" t="str">
            <v> </v>
          </cell>
        </row>
        <row r="536">
          <cell r="B536" t="str">
            <v>EEJ6D15</v>
          </cell>
          <cell r="C536" t="str">
            <v>Operando</v>
          </cell>
        </row>
        <row r="537">
          <cell r="B537" t="str">
            <v>EEL7J72</v>
          </cell>
          <cell r="C537" t="str">
            <v>Carregado</v>
          </cell>
        </row>
        <row r="538">
          <cell r="B538" t="str">
            <v>EEL8A87</v>
          </cell>
          <cell r="C538" t="str">
            <v> </v>
          </cell>
        </row>
        <row r="539">
          <cell r="B539" t="str">
            <v>EEM4H99</v>
          </cell>
          <cell r="C539" t="str">
            <v> </v>
          </cell>
        </row>
        <row r="540">
          <cell r="B540" t="str">
            <v>EET0720</v>
          </cell>
          <cell r="C540" t="str">
            <v> </v>
          </cell>
        </row>
        <row r="541">
          <cell r="B541" t="str">
            <v>EEU1G25</v>
          </cell>
          <cell r="C541" t="str">
            <v>Operando</v>
          </cell>
        </row>
        <row r="542">
          <cell r="B542" t="str">
            <v>EEY5I08</v>
          </cell>
          <cell r="C542" t="str">
            <v>Operando</v>
          </cell>
        </row>
        <row r="543">
          <cell r="B543" t="str">
            <v>EEZ7F96</v>
          </cell>
          <cell r="C543" t="str">
            <v> </v>
          </cell>
        </row>
        <row r="544">
          <cell r="B544" t="str">
            <v>EFA2E99</v>
          </cell>
          <cell r="C544" t="str">
            <v> </v>
          </cell>
        </row>
        <row r="545">
          <cell r="B545" t="str">
            <v>EFO3039</v>
          </cell>
          <cell r="C545" t="str">
            <v> </v>
          </cell>
        </row>
        <row r="546">
          <cell r="B546" t="str">
            <v>EFT0A97</v>
          </cell>
          <cell r="C546" t="str">
            <v>Operando</v>
          </cell>
        </row>
        <row r="547">
          <cell r="B547" t="str">
            <v>EFT5312</v>
          </cell>
          <cell r="C547" t="str">
            <v> </v>
          </cell>
        </row>
        <row r="548">
          <cell r="B548" t="str">
            <v>EFU2C75</v>
          </cell>
          <cell r="C548" t="str">
            <v> </v>
          </cell>
        </row>
        <row r="549">
          <cell r="B549" t="str">
            <v>EFU9D57</v>
          </cell>
          <cell r="C549" t="str">
            <v> </v>
          </cell>
        </row>
        <row r="550">
          <cell r="B550" t="str">
            <v>EFU9I16</v>
          </cell>
          <cell r="C550" t="str">
            <v> </v>
          </cell>
        </row>
        <row r="551">
          <cell r="B551" t="str">
            <v>EFV4F34</v>
          </cell>
          <cell r="C551" t="str">
            <v>Operando</v>
          </cell>
        </row>
        <row r="552">
          <cell r="B552" t="str">
            <v>EFV6G97</v>
          </cell>
          <cell r="C552" t="str">
            <v> </v>
          </cell>
        </row>
        <row r="553">
          <cell r="B553" t="str">
            <v>EFW8D91</v>
          </cell>
          <cell r="C553" t="str">
            <v>Operando</v>
          </cell>
        </row>
        <row r="554">
          <cell r="B554" t="str">
            <v>EFZ0B39</v>
          </cell>
          <cell r="C554" t="str">
            <v>Carregado</v>
          </cell>
        </row>
        <row r="555">
          <cell r="B555" t="str">
            <v>EFZ8199</v>
          </cell>
          <cell r="C555" t="str">
            <v> </v>
          </cell>
        </row>
        <row r="556">
          <cell r="B556" t="str">
            <v>EGA5B73</v>
          </cell>
          <cell r="C556" t="str">
            <v> </v>
          </cell>
        </row>
        <row r="557">
          <cell r="B557" t="str">
            <v>EGA8B59</v>
          </cell>
          <cell r="C557" t="str">
            <v> </v>
          </cell>
        </row>
        <row r="558">
          <cell r="B558" t="str">
            <v>EGG2798</v>
          </cell>
          <cell r="C558" t="str">
            <v> </v>
          </cell>
        </row>
        <row r="559">
          <cell r="B559" t="str">
            <v>EGH1F11</v>
          </cell>
          <cell r="C559" t="str">
            <v>Agregado</v>
          </cell>
        </row>
        <row r="560">
          <cell r="B560" t="str">
            <v>EGJ4A06</v>
          </cell>
          <cell r="C560" t="str">
            <v> </v>
          </cell>
        </row>
        <row r="561">
          <cell r="B561" t="str">
            <v>EGK3G33</v>
          </cell>
          <cell r="C561" t="str">
            <v>Agregado</v>
          </cell>
        </row>
        <row r="562">
          <cell r="B562" t="str">
            <v>EGQ6A37</v>
          </cell>
          <cell r="C562" t="str">
            <v>Sem operação</v>
          </cell>
        </row>
        <row r="563">
          <cell r="B563" t="str">
            <v>EGR9D05</v>
          </cell>
          <cell r="C563" t="str">
            <v>Operando</v>
          </cell>
        </row>
        <row r="564">
          <cell r="B564" t="str">
            <v>EGU4F99</v>
          </cell>
          <cell r="C564" t="str">
            <v>Operando</v>
          </cell>
        </row>
        <row r="565">
          <cell r="B565" t="str">
            <v>EGW2D90</v>
          </cell>
          <cell r="C565" t="str">
            <v> </v>
          </cell>
        </row>
        <row r="566">
          <cell r="B566" t="str">
            <v>EHC3J30</v>
          </cell>
          <cell r="C566" t="str">
            <v> </v>
          </cell>
        </row>
        <row r="567">
          <cell r="B567" t="str">
            <v>EHD8I20</v>
          </cell>
          <cell r="C567" t="str">
            <v> </v>
          </cell>
        </row>
        <row r="568">
          <cell r="B568" t="str">
            <v>EHE5F63</v>
          </cell>
          <cell r="C568" t="str">
            <v> </v>
          </cell>
        </row>
        <row r="569">
          <cell r="B569" t="str">
            <v>EHO5B88</v>
          </cell>
          <cell r="C569" t="str">
            <v> </v>
          </cell>
        </row>
        <row r="570">
          <cell r="B570" t="str">
            <v>EHR4131</v>
          </cell>
          <cell r="C570" t="str">
            <v> </v>
          </cell>
        </row>
        <row r="571">
          <cell r="B571" t="str">
            <v>EIA5479</v>
          </cell>
          <cell r="C571" t="str">
            <v> </v>
          </cell>
        </row>
        <row r="572">
          <cell r="B572" t="str">
            <v>EIC6I93</v>
          </cell>
          <cell r="C572" t="str">
            <v> </v>
          </cell>
        </row>
        <row r="573">
          <cell r="B573" t="str">
            <v>EID2H05</v>
          </cell>
          <cell r="C573" t="str">
            <v>Agregado</v>
          </cell>
        </row>
        <row r="574">
          <cell r="B574" t="str">
            <v>EIL8C59</v>
          </cell>
          <cell r="C574" t="str">
            <v>Operando</v>
          </cell>
        </row>
        <row r="575">
          <cell r="B575" t="str">
            <v>EIN2418</v>
          </cell>
          <cell r="C575" t="str">
            <v>Agregado</v>
          </cell>
        </row>
        <row r="576">
          <cell r="B576" t="str">
            <v>EIN2851</v>
          </cell>
          <cell r="C576" t="str">
            <v>Operando</v>
          </cell>
        </row>
        <row r="577">
          <cell r="B577" t="str">
            <v>EIN2E18</v>
          </cell>
          <cell r="C577" t="str">
            <v>Operando</v>
          </cell>
        </row>
        <row r="578">
          <cell r="B578" t="str">
            <v>EIN3G92</v>
          </cell>
          <cell r="C578" t="str">
            <v>Agregado</v>
          </cell>
        </row>
        <row r="579">
          <cell r="B579" t="str">
            <v>EIN9306</v>
          </cell>
          <cell r="C579" t="str">
            <v> </v>
          </cell>
        </row>
        <row r="580">
          <cell r="B580" t="str">
            <v>EIN9D06</v>
          </cell>
          <cell r="C580" t="str">
            <v> </v>
          </cell>
        </row>
        <row r="581">
          <cell r="B581" t="str">
            <v>EIO6H69</v>
          </cell>
          <cell r="C581" t="str">
            <v> </v>
          </cell>
        </row>
        <row r="582">
          <cell r="B582" t="str">
            <v>EIS8G57</v>
          </cell>
          <cell r="C582" t="str">
            <v> </v>
          </cell>
        </row>
        <row r="583">
          <cell r="B583" t="str">
            <v>EIW4001</v>
          </cell>
          <cell r="C583" t="str">
            <v>Operando</v>
          </cell>
        </row>
        <row r="584">
          <cell r="B584" t="str">
            <v>EIW9150</v>
          </cell>
          <cell r="C584" t="str">
            <v> </v>
          </cell>
        </row>
        <row r="585">
          <cell r="B585" t="str">
            <v>EJA3G75</v>
          </cell>
          <cell r="C585" t="str">
            <v> </v>
          </cell>
        </row>
        <row r="586">
          <cell r="B586" t="str">
            <v>EJA5J30</v>
          </cell>
          <cell r="C586" t="str">
            <v> </v>
          </cell>
        </row>
        <row r="587">
          <cell r="B587" t="str">
            <v>EJE4149</v>
          </cell>
          <cell r="C587" t="str">
            <v> </v>
          </cell>
        </row>
        <row r="588">
          <cell r="B588" t="str">
            <v>EJG6005</v>
          </cell>
          <cell r="C588" t="str">
            <v>Operando</v>
          </cell>
        </row>
        <row r="589">
          <cell r="B589" t="str">
            <v>EJI7283</v>
          </cell>
          <cell r="C589" t="str">
            <v>Carregado</v>
          </cell>
        </row>
        <row r="590">
          <cell r="B590" t="str">
            <v>EJJ0A49</v>
          </cell>
          <cell r="C590" t="str">
            <v> </v>
          </cell>
        </row>
        <row r="591">
          <cell r="B591" t="str">
            <v>EJN7A26</v>
          </cell>
          <cell r="C591" t="str">
            <v> </v>
          </cell>
        </row>
        <row r="592">
          <cell r="B592" t="str">
            <v>EJT9B13</v>
          </cell>
          <cell r="C592" t="str">
            <v>Operando</v>
          </cell>
        </row>
        <row r="593">
          <cell r="B593" t="str">
            <v>EJU9C51</v>
          </cell>
          <cell r="C593" t="str">
            <v>Operando</v>
          </cell>
        </row>
        <row r="594">
          <cell r="B594" t="str">
            <v>EJV8104</v>
          </cell>
          <cell r="C594" t="str">
            <v> </v>
          </cell>
        </row>
        <row r="595">
          <cell r="B595" t="str">
            <v>EJW9631</v>
          </cell>
          <cell r="C595" t="str">
            <v> </v>
          </cell>
        </row>
        <row r="596">
          <cell r="B596" t="str">
            <v>EJX4F45</v>
          </cell>
          <cell r="C596" t="str">
            <v> </v>
          </cell>
        </row>
        <row r="597">
          <cell r="B597" t="str">
            <v>EJY0648</v>
          </cell>
          <cell r="C597" t="str">
            <v> </v>
          </cell>
        </row>
        <row r="598">
          <cell r="B598" t="str">
            <v>EJY3A12</v>
          </cell>
          <cell r="C598" t="str">
            <v> </v>
          </cell>
        </row>
        <row r="599">
          <cell r="B599" t="str">
            <v>EKD5G42</v>
          </cell>
          <cell r="C599" t="str">
            <v> </v>
          </cell>
        </row>
        <row r="600">
          <cell r="B600" t="str">
            <v>EKM2D92</v>
          </cell>
          <cell r="C600" t="str">
            <v> </v>
          </cell>
        </row>
        <row r="601">
          <cell r="B601" t="str">
            <v>EKM6I40</v>
          </cell>
          <cell r="C601" t="str">
            <v> </v>
          </cell>
        </row>
        <row r="602">
          <cell r="B602" t="str">
            <v>EKO0E37</v>
          </cell>
          <cell r="C602" t="str">
            <v> </v>
          </cell>
        </row>
        <row r="603">
          <cell r="B603" t="str">
            <v>EKO5400</v>
          </cell>
          <cell r="C603" t="str">
            <v> </v>
          </cell>
        </row>
        <row r="604">
          <cell r="B604" t="str">
            <v>EKQ2F93</v>
          </cell>
          <cell r="C604" t="str">
            <v> </v>
          </cell>
        </row>
        <row r="605">
          <cell r="B605" t="str">
            <v>EKQ3J63</v>
          </cell>
          <cell r="C605" t="str">
            <v> </v>
          </cell>
        </row>
        <row r="606">
          <cell r="B606" t="str">
            <v>EKV7E12</v>
          </cell>
          <cell r="C606" t="str">
            <v>Operando</v>
          </cell>
        </row>
        <row r="607">
          <cell r="B607" t="str">
            <v>EKV8G58</v>
          </cell>
          <cell r="C607" t="str">
            <v> </v>
          </cell>
        </row>
        <row r="608">
          <cell r="B608" t="str">
            <v>EKW9247</v>
          </cell>
          <cell r="C608" t="str">
            <v>Operando</v>
          </cell>
        </row>
        <row r="609">
          <cell r="B609" t="str">
            <v>EKW9G81</v>
          </cell>
          <cell r="C609" t="str">
            <v>Operando</v>
          </cell>
        </row>
        <row r="610">
          <cell r="B610" t="str">
            <v>ELC6G04</v>
          </cell>
          <cell r="C610" t="str">
            <v> </v>
          </cell>
        </row>
        <row r="611">
          <cell r="B611" t="str">
            <v>ELC6G72</v>
          </cell>
          <cell r="C611" t="str">
            <v> </v>
          </cell>
        </row>
        <row r="612">
          <cell r="B612" t="str">
            <v>ELI2F67</v>
          </cell>
          <cell r="C612" t="str">
            <v> </v>
          </cell>
        </row>
        <row r="613">
          <cell r="B613" t="str">
            <v>ELK5669</v>
          </cell>
          <cell r="C613" t="str">
            <v> </v>
          </cell>
        </row>
        <row r="614">
          <cell r="B614" t="str">
            <v>ELM6B06</v>
          </cell>
          <cell r="C614" t="str">
            <v>Operando</v>
          </cell>
        </row>
        <row r="615">
          <cell r="B615" t="str">
            <v>ELN1D90</v>
          </cell>
          <cell r="C615" t="str">
            <v> </v>
          </cell>
        </row>
        <row r="616">
          <cell r="B616" t="str">
            <v>ELN7E36</v>
          </cell>
          <cell r="C616" t="str">
            <v> </v>
          </cell>
        </row>
        <row r="617">
          <cell r="B617" t="str">
            <v>ELO2556</v>
          </cell>
          <cell r="C617" t="str">
            <v> </v>
          </cell>
        </row>
        <row r="618">
          <cell r="B618" t="str">
            <v>ELQ2F63</v>
          </cell>
          <cell r="C618" t="str">
            <v> </v>
          </cell>
        </row>
        <row r="619">
          <cell r="B619" t="str">
            <v>ELQ6A77</v>
          </cell>
          <cell r="C619" t="str">
            <v>Operando</v>
          </cell>
        </row>
        <row r="620">
          <cell r="B620" t="str">
            <v>ELT4356</v>
          </cell>
          <cell r="C620" t="str">
            <v>Operando</v>
          </cell>
        </row>
        <row r="621">
          <cell r="B621" t="str">
            <v>ELT4B29</v>
          </cell>
          <cell r="C621" t="str">
            <v>Operando</v>
          </cell>
        </row>
        <row r="622">
          <cell r="B622" t="str">
            <v>ELU6402</v>
          </cell>
          <cell r="C622" t="str">
            <v> </v>
          </cell>
        </row>
        <row r="623">
          <cell r="B623" t="str">
            <v>ELV3H23</v>
          </cell>
          <cell r="C623" t="str">
            <v> </v>
          </cell>
        </row>
        <row r="624">
          <cell r="B624" t="str">
            <v>ELV7206</v>
          </cell>
          <cell r="C624" t="str">
            <v> </v>
          </cell>
        </row>
        <row r="625">
          <cell r="B625" t="str">
            <v>ELW0I32</v>
          </cell>
          <cell r="C625" t="str">
            <v> </v>
          </cell>
        </row>
        <row r="626">
          <cell r="B626" t="str">
            <v>ELW3I25</v>
          </cell>
          <cell r="C626" t="str">
            <v>Agregado</v>
          </cell>
        </row>
        <row r="627">
          <cell r="B627" t="str">
            <v>ELW5381</v>
          </cell>
          <cell r="C627" t="str">
            <v>Operando</v>
          </cell>
        </row>
        <row r="628">
          <cell r="B628" t="str">
            <v>ELW8A13</v>
          </cell>
          <cell r="C628" t="str">
            <v> </v>
          </cell>
        </row>
        <row r="629">
          <cell r="B629" t="str">
            <v>ELX0D72</v>
          </cell>
          <cell r="C629" t="str">
            <v> </v>
          </cell>
        </row>
        <row r="630">
          <cell r="B630" t="str">
            <v>ELY3D12</v>
          </cell>
          <cell r="C630" t="str">
            <v> </v>
          </cell>
        </row>
        <row r="631">
          <cell r="B631" t="str">
            <v>EMA3H33</v>
          </cell>
          <cell r="C631" t="str">
            <v> </v>
          </cell>
        </row>
        <row r="632">
          <cell r="B632" t="str">
            <v>EMA3H73</v>
          </cell>
          <cell r="C632" t="str">
            <v> </v>
          </cell>
        </row>
        <row r="633">
          <cell r="B633" t="str">
            <v>EMA7952</v>
          </cell>
          <cell r="C633" t="str">
            <v> </v>
          </cell>
        </row>
        <row r="634">
          <cell r="B634" t="str">
            <v>EME0I31</v>
          </cell>
          <cell r="C634" t="str">
            <v> </v>
          </cell>
        </row>
        <row r="635">
          <cell r="B635" t="str">
            <v>EME4I71</v>
          </cell>
          <cell r="C635" t="str">
            <v> </v>
          </cell>
        </row>
        <row r="636">
          <cell r="B636" t="str">
            <v>EMF9J26</v>
          </cell>
          <cell r="C636" t="str">
            <v> </v>
          </cell>
        </row>
        <row r="637">
          <cell r="B637" t="str">
            <v>EMG2445</v>
          </cell>
          <cell r="C637" t="str">
            <v> </v>
          </cell>
        </row>
        <row r="638">
          <cell r="B638" t="str">
            <v>EMJ6G42</v>
          </cell>
          <cell r="C638" t="str">
            <v> </v>
          </cell>
        </row>
        <row r="639">
          <cell r="B639" t="str">
            <v>EMJ7183</v>
          </cell>
          <cell r="C639" t="str">
            <v> </v>
          </cell>
        </row>
        <row r="640">
          <cell r="B640" t="str">
            <v>EMM3A19</v>
          </cell>
          <cell r="C640" t="str">
            <v> </v>
          </cell>
        </row>
        <row r="641">
          <cell r="B641" t="str">
            <v>EMM8G20</v>
          </cell>
          <cell r="C641" t="str">
            <v> </v>
          </cell>
        </row>
        <row r="642">
          <cell r="B642" t="str">
            <v>EMN6E85</v>
          </cell>
          <cell r="C642" t="str">
            <v> </v>
          </cell>
        </row>
        <row r="643">
          <cell r="B643" t="str">
            <v>EMQ2C92</v>
          </cell>
          <cell r="C643" t="str">
            <v> </v>
          </cell>
        </row>
        <row r="644">
          <cell r="B644" t="str">
            <v>EMQ4E01</v>
          </cell>
          <cell r="C644" t="str">
            <v> </v>
          </cell>
        </row>
        <row r="645">
          <cell r="B645" t="str">
            <v>EMQ5C03</v>
          </cell>
          <cell r="C645" t="str">
            <v>Operando</v>
          </cell>
        </row>
        <row r="646">
          <cell r="B646" t="str">
            <v>EMR9A93</v>
          </cell>
          <cell r="C646" t="str">
            <v>Operando</v>
          </cell>
        </row>
        <row r="647">
          <cell r="B647" t="str">
            <v>EMU1D12</v>
          </cell>
          <cell r="C647" t="str">
            <v> </v>
          </cell>
        </row>
        <row r="648">
          <cell r="B648" t="str">
            <v>EMU3F24</v>
          </cell>
          <cell r="C648" t="str">
            <v> </v>
          </cell>
        </row>
        <row r="649">
          <cell r="B649" t="str">
            <v>EMU9227</v>
          </cell>
          <cell r="C649" t="str">
            <v> </v>
          </cell>
        </row>
        <row r="650">
          <cell r="B650" t="str">
            <v>EMX2647</v>
          </cell>
          <cell r="C650" t="str">
            <v> </v>
          </cell>
        </row>
        <row r="651">
          <cell r="B651" t="str">
            <v>EMX4C26</v>
          </cell>
          <cell r="C651" t="str">
            <v> </v>
          </cell>
        </row>
        <row r="652">
          <cell r="B652" t="str">
            <v>EMY7819</v>
          </cell>
          <cell r="C652" t="str">
            <v> </v>
          </cell>
        </row>
        <row r="653">
          <cell r="B653" t="str">
            <v>ENB8I18</v>
          </cell>
          <cell r="C653" t="str">
            <v>Operando</v>
          </cell>
        </row>
        <row r="654">
          <cell r="B654" t="str">
            <v>ENC5J16</v>
          </cell>
          <cell r="C654" t="str">
            <v>Operando</v>
          </cell>
        </row>
        <row r="655">
          <cell r="B655" t="str">
            <v>ENF5196</v>
          </cell>
          <cell r="C655" t="str">
            <v> </v>
          </cell>
        </row>
        <row r="656">
          <cell r="B656" t="str">
            <v>ENI7503</v>
          </cell>
          <cell r="C656" t="str">
            <v> </v>
          </cell>
        </row>
        <row r="657">
          <cell r="B657" t="str">
            <v>ENI7F03</v>
          </cell>
          <cell r="C657" t="str">
            <v> </v>
          </cell>
        </row>
        <row r="658">
          <cell r="B658" t="str">
            <v>ENJ8J36</v>
          </cell>
          <cell r="C658" t="str">
            <v> </v>
          </cell>
        </row>
        <row r="659">
          <cell r="B659" t="str">
            <v>ENO8A62</v>
          </cell>
          <cell r="C659" t="str">
            <v> </v>
          </cell>
        </row>
        <row r="660">
          <cell r="B660" t="str">
            <v>ENS8C78</v>
          </cell>
          <cell r="C660" t="str">
            <v> </v>
          </cell>
        </row>
        <row r="661">
          <cell r="B661" t="str">
            <v>ENU0F40</v>
          </cell>
          <cell r="C661" t="str">
            <v> </v>
          </cell>
        </row>
        <row r="662">
          <cell r="B662" t="str">
            <v>ENU2J14</v>
          </cell>
          <cell r="C662" t="str">
            <v> </v>
          </cell>
        </row>
        <row r="663">
          <cell r="B663" t="str">
            <v>ENV3202</v>
          </cell>
          <cell r="C663" t="str">
            <v> </v>
          </cell>
        </row>
        <row r="664">
          <cell r="B664" t="str">
            <v>ENY7G64</v>
          </cell>
          <cell r="C664" t="str">
            <v>Operando</v>
          </cell>
        </row>
        <row r="665">
          <cell r="B665" t="str">
            <v>EOA8G93</v>
          </cell>
          <cell r="C665" t="str">
            <v> </v>
          </cell>
        </row>
        <row r="666">
          <cell r="B666" t="str">
            <v>EOM8170</v>
          </cell>
          <cell r="C666" t="str">
            <v> </v>
          </cell>
        </row>
        <row r="667">
          <cell r="B667" t="str">
            <v>EPB2051</v>
          </cell>
          <cell r="C667" t="str">
            <v> </v>
          </cell>
        </row>
        <row r="668">
          <cell r="B668" t="str">
            <v>EPD1E03</v>
          </cell>
          <cell r="C668" t="str">
            <v> </v>
          </cell>
        </row>
        <row r="669">
          <cell r="B669" t="str">
            <v>EPE4034</v>
          </cell>
          <cell r="C669" t="str">
            <v>Operando</v>
          </cell>
        </row>
        <row r="670">
          <cell r="B670" t="str">
            <v>EPG3D85</v>
          </cell>
          <cell r="C670" t="str">
            <v> </v>
          </cell>
        </row>
        <row r="671">
          <cell r="B671" t="str">
            <v>EPG7G49</v>
          </cell>
          <cell r="C671" t="str">
            <v> </v>
          </cell>
        </row>
        <row r="672">
          <cell r="B672" t="str">
            <v>EPI1C85</v>
          </cell>
          <cell r="C672" t="str">
            <v> </v>
          </cell>
        </row>
        <row r="673">
          <cell r="B673" t="str">
            <v>EPJ0E68</v>
          </cell>
          <cell r="C673" t="str">
            <v>Agregado</v>
          </cell>
        </row>
        <row r="674">
          <cell r="B674" t="str">
            <v>EPJ379A</v>
          </cell>
          <cell r="C674" t="str">
            <v> </v>
          </cell>
        </row>
        <row r="675">
          <cell r="B675" t="str">
            <v>EPJ3A79</v>
          </cell>
          <cell r="C675" t="str">
            <v> </v>
          </cell>
        </row>
        <row r="676">
          <cell r="B676" t="str">
            <v>EPK4694</v>
          </cell>
          <cell r="C676" t="str">
            <v> </v>
          </cell>
        </row>
        <row r="677">
          <cell r="B677" t="str">
            <v>EPQ3D68</v>
          </cell>
          <cell r="C677" t="str">
            <v> </v>
          </cell>
        </row>
        <row r="678">
          <cell r="B678" t="str">
            <v>EPR8A95</v>
          </cell>
          <cell r="C678" t="str">
            <v> </v>
          </cell>
        </row>
        <row r="679">
          <cell r="B679" t="str">
            <v>EPR9E71</v>
          </cell>
          <cell r="C679" t="str">
            <v>Operando</v>
          </cell>
        </row>
        <row r="680">
          <cell r="B680" t="str">
            <v>EPS0F61</v>
          </cell>
          <cell r="C680" t="str">
            <v> </v>
          </cell>
        </row>
        <row r="681">
          <cell r="B681" t="str">
            <v>EPT4D67</v>
          </cell>
          <cell r="C681" t="str">
            <v> </v>
          </cell>
        </row>
        <row r="682">
          <cell r="B682" t="str">
            <v>EPT6120</v>
          </cell>
          <cell r="C682" t="str">
            <v>Operando</v>
          </cell>
        </row>
        <row r="683">
          <cell r="B683" t="str">
            <v>EPU1F14</v>
          </cell>
          <cell r="C683" t="str">
            <v>Operando</v>
          </cell>
        </row>
        <row r="684">
          <cell r="B684" t="str">
            <v>EPU7H08</v>
          </cell>
          <cell r="C684" t="str">
            <v> </v>
          </cell>
        </row>
        <row r="685">
          <cell r="B685" t="str">
            <v>EPU7J68</v>
          </cell>
          <cell r="C685" t="str">
            <v> </v>
          </cell>
        </row>
        <row r="686">
          <cell r="B686" t="str">
            <v>EPW6J86</v>
          </cell>
          <cell r="C686" t="str">
            <v> </v>
          </cell>
        </row>
        <row r="687">
          <cell r="B687" t="str">
            <v>EPW7C57</v>
          </cell>
          <cell r="C687" t="str">
            <v>Operando</v>
          </cell>
        </row>
        <row r="688">
          <cell r="B688" t="str">
            <v>EPZ0949</v>
          </cell>
          <cell r="C688" t="str">
            <v>Operando</v>
          </cell>
        </row>
        <row r="689">
          <cell r="B689" t="str">
            <v>EQA5212</v>
          </cell>
          <cell r="C689" t="str">
            <v> </v>
          </cell>
        </row>
        <row r="690">
          <cell r="B690" t="str">
            <v>EQB7H89</v>
          </cell>
          <cell r="C690" t="str">
            <v> </v>
          </cell>
        </row>
        <row r="691">
          <cell r="B691" t="str">
            <v>EQG4C85</v>
          </cell>
          <cell r="C691" t="str">
            <v> </v>
          </cell>
        </row>
        <row r="692">
          <cell r="B692" t="str">
            <v>EQH9812</v>
          </cell>
          <cell r="C692" t="str">
            <v>Carregado</v>
          </cell>
        </row>
        <row r="693">
          <cell r="B693" t="str">
            <v>EQJ0I72</v>
          </cell>
          <cell r="C693" t="str">
            <v> </v>
          </cell>
        </row>
        <row r="694">
          <cell r="B694" t="str">
            <v>EQJ9815</v>
          </cell>
          <cell r="C694" t="str">
            <v>Carregado</v>
          </cell>
        </row>
        <row r="695">
          <cell r="B695" t="str">
            <v>EQL3B81</v>
          </cell>
          <cell r="C695" t="str">
            <v> </v>
          </cell>
        </row>
        <row r="696">
          <cell r="B696" t="str">
            <v>EQL4D80</v>
          </cell>
          <cell r="C696" t="str">
            <v> </v>
          </cell>
        </row>
        <row r="697">
          <cell r="B697" t="str">
            <v>EQM2103</v>
          </cell>
          <cell r="C697" t="str">
            <v>Operando</v>
          </cell>
        </row>
        <row r="698">
          <cell r="B698" t="str">
            <v>EQM2E22</v>
          </cell>
          <cell r="C698" t="str">
            <v> </v>
          </cell>
        </row>
        <row r="699">
          <cell r="B699" t="str">
            <v>EQM3868</v>
          </cell>
          <cell r="C699" t="str">
            <v> </v>
          </cell>
        </row>
        <row r="700">
          <cell r="B700" t="str">
            <v>EQN8G09</v>
          </cell>
          <cell r="C700" t="str">
            <v> </v>
          </cell>
        </row>
        <row r="701">
          <cell r="B701" t="str">
            <v>EQQ5I35</v>
          </cell>
          <cell r="C701" t="str">
            <v>Operando</v>
          </cell>
        </row>
        <row r="702">
          <cell r="B702" t="str">
            <v>EQV9G96</v>
          </cell>
          <cell r="C702" t="str">
            <v>Agregado</v>
          </cell>
        </row>
        <row r="703">
          <cell r="B703" t="str">
            <v>EQW3I58</v>
          </cell>
          <cell r="C703" t="str">
            <v> </v>
          </cell>
        </row>
        <row r="704">
          <cell r="B704" t="str">
            <v>EQZ2C15</v>
          </cell>
          <cell r="C704" t="str">
            <v> </v>
          </cell>
        </row>
        <row r="705">
          <cell r="B705" t="str">
            <v>EQZ8D06</v>
          </cell>
          <cell r="C705" t="str">
            <v> </v>
          </cell>
        </row>
        <row r="706">
          <cell r="B706" t="str">
            <v>ERA0H36</v>
          </cell>
          <cell r="C706" t="str">
            <v> </v>
          </cell>
        </row>
        <row r="707">
          <cell r="B707" t="str">
            <v>ERA4676</v>
          </cell>
          <cell r="C707" t="str">
            <v> </v>
          </cell>
        </row>
        <row r="708">
          <cell r="B708" t="str">
            <v>ERE9523</v>
          </cell>
          <cell r="C708" t="str">
            <v> </v>
          </cell>
        </row>
        <row r="709">
          <cell r="B709" t="str">
            <v>ERI0D61</v>
          </cell>
          <cell r="C709" t="str">
            <v> </v>
          </cell>
        </row>
        <row r="710">
          <cell r="B710" t="str">
            <v>ERI5G80</v>
          </cell>
          <cell r="C710" t="str">
            <v>Operando</v>
          </cell>
        </row>
        <row r="711">
          <cell r="B711" t="str">
            <v>ERJ6907</v>
          </cell>
          <cell r="C711" t="str">
            <v> </v>
          </cell>
        </row>
        <row r="712">
          <cell r="B712" t="str">
            <v>ERJ7131</v>
          </cell>
          <cell r="C712" t="str">
            <v>Agregado</v>
          </cell>
        </row>
        <row r="713">
          <cell r="B713" t="str">
            <v>ERK4F22</v>
          </cell>
          <cell r="C713" t="str">
            <v> </v>
          </cell>
        </row>
        <row r="714">
          <cell r="B714" t="str">
            <v>ERN6G56</v>
          </cell>
          <cell r="C714" t="str">
            <v> </v>
          </cell>
        </row>
        <row r="715">
          <cell r="B715" t="str">
            <v>ERN8A37</v>
          </cell>
          <cell r="C715" t="str">
            <v> </v>
          </cell>
        </row>
        <row r="716">
          <cell r="B716" t="str">
            <v>ERP0G70</v>
          </cell>
          <cell r="C716" t="str">
            <v>Agregado</v>
          </cell>
        </row>
        <row r="717">
          <cell r="B717" t="str">
            <v>ERR7D16</v>
          </cell>
          <cell r="C717" t="str">
            <v>Operando</v>
          </cell>
        </row>
        <row r="718">
          <cell r="B718" t="str">
            <v>ERT3D38</v>
          </cell>
          <cell r="C718" t="str">
            <v>Operando</v>
          </cell>
        </row>
        <row r="719">
          <cell r="B719" t="str">
            <v>ERT3G19</v>
          </cell>
          <cell r="C719" t="str">
            <v> </v>
          </cell>
        </row>
        <row r="720">
          <cell r="B720" t="str">
            <v>ERT6J70</v>
          </cell>
          <cell r="C720" t="str">
            <v> </v>
          </cell>
        </row>
        <row r="721">
          <cell r="B721" t="str">
            <v>ERU8J45</v>
          </cell>
          <cell r="C721" t="str">
            <v>Carregado</v>
          </cell>
        </row>
        <row r="722">
          <cell r="B722" t="str">
            <v>ERW0763</v>
          </cell>
          <cell r="C722" t="str">
            <v> </v>
          </cell>
        </row>
        <row r="723">
          <cell r="B723" t="str">
            <v>ERX3A63</v>
          </cell>
          <cell r="C723" t="str">
            <v> </v>
          </cell>
        </row>
        <row r="724">
          <cell r="B724" t="str">
            <v>ERY6F81</v>
          </cell>
          <cell r="C724" t="str">
            <v> </v>
          </cell>
        </row>
        <row r="725">
          <cell r="B725" t="str">
            <v>ESA7I37</v>
          </cell>
          <cell r="C725" t="str">
            <v>Operando</v>
          </cell>
        </row>
        <row r="726">
          <cell r="B726" t="str">
            <v>ESB0H12</v>
          </cell>
          <cell r="C726" t="str">
            <v>Operando</v>
          </cell>
        </row>
        <row r="727">
          <cell r="B727" t="str">
            <v>ESE3G47</v>
          </cell>
          <cell r="C727" t="str">
            <v> </v>
          </cell>
        </row>
        <row r="728">
          <cell r="B728" t="str">
            <v>ESF1D40</v>
          </cell>
          <cell r="C728" t="str">
            <v> </v>
          </cell>
        </row>
        <row r="729">
          <cell r="B729" t="str">
            <v>EST1G84</v>
          </cell>
          <cell r="C729" t="str">
            <v>Operando</v>
          </cell>
        </row>
        <row r="730">
          <cell r="B730" t="str">
            <v>ETB0G34</v>
          </cell>
          <cell r="C730" t="str">
            <v>Operando</v>
          </cell>
        </row>
        <row r="731">
          <cell r="B731" t="str">
            <v>ETB3B45</v>
          </cell>
          <cell r="C731" t="str">
            <v>Operando</v>
          </cell>
        </row>
        <row r="732">
          <cell r="B732" t="str">
            <v>ETE8C34</v>
          </cell>
          <cell r="C732" t="str">
            <v> </v>
          </cell>
        </row>
        <row r="733">
          <cell r="B733" t="str">
            <v>ETE9A34</v>
          </cell>
          <cell r="C733" t="str">
            <v>Agregado</v>
          </cell>
        </row>
        <row r="734">
          <cell r="B734" t="str">
            <v>ETL3065</v>
          </cell>
          <cell r="C734" t="str">
            <v> </v>
          </cell>
        </row>
        <row r="735">
          <cell r="B735" t="str">
            <v>ETO7J89</v>
          </cell>
          <cell r="C735" t="str">
            <v> </v>
          </cell>
        </row>
        <row r="736">
          <cell r="B736" t="str">
            <v>ETP6472</v>
          </cell>
          <cell r="C736" t="str">
            <v> </v>
          </cell>
        </row>
        <row r="737">
          <cell r="B737" t="str">
            <v>ETQ4A99</v>
          </cell>
          <cell r="C737" t="str">
            <v>Operando</v>
          </cell>
        </row>
        <row r="738">
          <cell r="B738" t="str">
            <v>ETR9F65</v>
          </cell>
          <cell r="C738" t="str">
            <v> </v>
          </cell>
        </row>
        <row r="739">
          <cell r="B739" t="str">
            <v>ETS3E18</v>
          </cell>
          <cell r="C739" t="str">
            <v>Carregado</v>
          </cell>
        </row>
        <row r="740">
          <cell r="B740" t="str">
            <v>ETT6E87</v>
          </cell>
          <cell r="C740" t="str">
            <v> </v>
          </cell>
        </row>
        <row r="741">
          <cell r="B741" t="str">
            <v>ETT7H01</v>
          </cell>
          <cell r="C741" t="str">
            <v>Operando</v>
          </cell>
        </row>
        <row r="742">
          <cell r="B742" t="str">
            <v>ETU3A71</v>
          </cell>
          <cell r="C742" t="str">
            <v> </v>
          </cell>
        </row>
        <row r="743">
          <cell r="B743" t="str">
            <v>ETU8289</v>
          </cell>
          <cell r="C743" t="str">
            <v>Operando</v>
          </cell>
        </row>
        <row r="744">
          <cell r="B744" t="str">
            <v>ETV6375</v>
          </cell>
          <cell r="C744" t="str">
            <v>Operando</v>
          </cell>
        </row>
        <row r="745">
          <cell r="B745" t="str">
            <v>ETV8F90</v>
          </cell>
          <cell r="C745" t="str">
            <v>Sem operação</v>
          </cell>
        </row>
        <row r="746">
          <cell r="B746" t="str">
            <v>ETW1831</v>
          </cell>
          <cell r="C746" t="str">
            <v>Operando</v>
          </cell>
        </row>
        <row r="747">
          <cell r="B747" t="str">
            <v>ETY1D89</v>
          </cell>
          <cell r="C747" t="str">
            <v> </v>
          </cell>
        </row>
        <row r="748">
          <cell r="B748" t="str">
            <v>EUA6I86</v>
          </cell>
          <cell r="C748" t="str">
            <v> </v>
          </cell>
        </row>
        <row r="749">
          <cell r="B749" t="str">
            <v>EUD2A25</v>
          </cell>
          <cell r="C749" t="str">
            <v> </v>
          </cell>
        </row>
        <row r="750">
          <cell r="B750" t="str">
            <v>EUD6E37</v>
          </cell>
          <cell r="C750" t="str">
            <v>Operando</v>
          </cell>
        </row>
        <row r="751">
          <cell r="B751" t="str">
            <v>EUD8J36</v>
          </cell>
          <cell r="C751" t="str">
            <v> </v>
          </cell>
        </row>
        <row r="752">
          <cell r="B752" t="str">
            <v>EUF6A55</v>
          </cell>
          <cell r="C752" t="str">
            <v> </v>
          </cell>
        </row>
        <row r="753">
          <cell r="B753" t="str">
            <v>EUG6H87</v>
          </cell>
          <cell r="C753" t="str">
            <v>Operando</v>
          </cell>
        </row>
        <row r="754">
          <cell r="B754" t="str">
            <v>EUK0C47</v>
          </cell>
          <cell r="C754" t="str">
            <v> </v>
          </cell>
        </row>
        <row r="755">
          <cell r="B755" t="str">
            <v>EUL3F94</v>
          </cell>
          <cell r="C755" t="str">
            <v>Operando</v>
          </cell>
        </row>
        <row r="756">
          <cell r="B756" t="str">
            <v>EUL4666</v>
          </cell>
          <cell r="C756" t="str">
            <v> </v>
          </cell>
        </row>
        <row r="757">
          <cell r="B757" t="str">
            <v>EUM8C39</v>
          </cell>
          <cell r="C757" t="str">
            <v>Operando</v>
          </cell>
        </row>
        <row r="758">
          <cell r="B758" t="str">
            <v>EUN4H61</v>
          </cell>
          <cell r="C758" t="str">
            <v> </v>
          </cell>
        </row>
        <row r="759">
          <cell r="B759" t="str">
            <v>EUP1G23</v>
          </cell>
          <cell r="C759" t="str">
            <v> </v>
          </cell>
        </row>
        <row r="760">
          <cell r="B760" t="str">
            <v>EUP2E57</v>
          </cell>
          <cell r="C760" t="str">
            <v>Operando</v>
          </cell>
        </row>
        <row r="761">
          <cell r="B761" t="str">
            <v>EUP6J56</v>
          </cell>
          <cell r="C761" t="str">
            <v>Operando</v>
          </cell>
        </row>
        <row r="762">
          <cell r="B762" t="str">
            <v>EUQ2J80</v>
          </cell>
          <cell r="C762" t="str">
            <v> </v>
          </cell>
        </row>
        <row r="763">
          <cell r="B763" t="str">
            <v>EUR4560</v>
          </cell>
          <cell r="C763" t="str">
            <v>Operando</v>
          </cell>
        </row>
        <row r="764">
          <cell r="B764" t="str">
            <v>EUT4D85</v>
          </cell>
          <cell r="C764" t="str">
            <v>Operando</v>
          </cell>
        </row>
        <row r="765">
          <cell r="B765" t="str">
            <v>EUV8F94</v>
          </cell>
          <cell r="C765" t="str">
            <v> </v>
          </cell>
        </row>
        <row r="766">
          <cell r="B766" t="str">
            <v>EUX4D13</v>
          </cell>
          <cell r="C766" t="str">
            <v> </v>
          </cell>
        </row>
        <row r="767">
          <cell r="B767" t="str">
            <v>EUX7F35</v>
          </cell>
          <cell r="C767" t="str">
            <v>Operando</v>
          </cell>
        </row>
        <row r="768">
          <cell r="B768" t="str">
            <v>EUY3D43</v>
          </cell>
          <cell r="C768" t="str">
            <v>Agregado</v>
          </cell>
        </row>
        <row r="769">
          <cell r="B769" t="str">
            <v>EUZ2F36</v>
          </cell>
          <cell r="C769" t="str">
            <v> </v>
          </cell>
        </row>
        <row r="770">
          <cell r="B770" t="str">
            <v>EVA3F37</v>
          </cell>
          <cell r="C770" t="str">
            <v> </v>
          </cell>
        </row>
        <row r="771">
          <cell r="B771" t="str">
            <v>EVB9A22</v>
          </cell>
          <cell r="C771" t="str">
            <v> </v>
          </cell>
        </row>
        <row r="772">
          <cell r="B772" t="str">
            <v>EVC1G39</v>
          </cell>
          <cell r="C772" t="str">
            <v>Agregado</v>
          </cell>
        </row>
        <row r="773">
          <cell r="B773" t="str">
            <v>EVC2890</v>
          </cell>
          <cell r="C773" t="str">
            <v> </v>
          </cell>
        </row>
        <row r="774">
          <cell r="B774" t="str">
            <v>EVE1C23</v>
          </cell>
          <cell r="C774" t="str">
            <v>Operando</v>
          </cell>
        </row>
        <row r="775">
          <cell r="B775" t="str">
            <v>EVE6B28</v>
          </cell>
          <cell r="C775" t="str">
            <v> </v>
          </cell>
        </row>
        <row r="776">
          <cell r="B776" t="str">
            <v>EVF2J61</v>
          </cell>
          <cell r="C776" t="str">
            <v> </v>
          </cell>
        </row>
        <row r="777">
          <cell r="B777" t="str">
            <v>EVF4927</v>
          </cell>
          <cell r="C777" t="str">
            <v>Operando</v>
          </cell>
        </row>
        <row r="778">
          <cell r="B778" t="str">
            <v>EVG7D43</v>
          </cell>
          <cell r="C778" t="str">
            <v>Operando</v>
          </cell>
        </row>
        <row r="779">
          <cell r="B779" t="str">
            <v>EVI0I25</v>
          </cell>
          <cell r="C779" t="str">
            <v> </v>
          </cell>
        </row>
        <row r="780">
          <cell r="B780" t="str">
            <v>EVI3I29</v>
          </cell>
          <cell r="C780" t="str">
            <v> </v>
          </cell>
        </row>
        <row r="781">
          <cell r="B781" t="str">
            <v>EVJ5B23</v>
          </cell>
          <cell r="C781" t="str">
            <v> </v>
          </cell>
        </row>
        <row r="782">
          <cell r="B782" t="str">
            <v>EVK8G91</v>
          </cell>
          <cell r="C782" t="str">
            <v>Operando</v>
          </cell>
        </row>
        <row r="783">
          <cell r="B783" t="str">
            <v>EVP5A97</v>
          </cell>
          <cell r="C783" t="str">
            <v>Operando</v>
          </cell>
        </row>
        <row r="784">
          <cell r="B784" t="str">
            <v>EVQ3E73</v>
          </cell>
          <cell r="C784" t="str">
            <v>Operando</v>
          </cell>
        </row>
        <row r="785">
          <cell r="B785" t="str">
            <v>EVQ7H92</v>
          </cell>
          <cell r="C785" t="str">
            <v> </v>
          </cell>
        </row>
        <row r="786">
          <cell r="B786" t="str">
            <v>EVR8F16</v>
          </cell>
          <cell r="C786" t="str">
            <v> </v>
          </cell>
        </row>
        <row r="787">
          <cell r="B787" t="str">
            <v>EVU6J75</v>
          </cell>
          <cell r="C787" t="str">
            <v> </v>
          </cell>
        </row>
        <row r="788">
          <cell r="B788" t="str">
            <v>EVV3I46</v>
          </cell>
          <cell r="C788" t="str">
            <v>Carregado</v>
          </cell>
        </row>
        <row r="789">
          <cell r="B789" t="str">
            <v>EVX6C96</v>
          </cell>
          <cell r="C789" t="str">
            <v> </v>
          </cell>
        </row>
        <row r="790">
          <cell r="B790" t="str">
            <v>EVY2J70</v>
          </cell>
          <cell r="C790" t="str">
            <v> </v>
          </cell>
        </row>
        <row r="791">
          <cell r="B791" t="str">
            <v>EWK8H44</v>
          </cell>
          <cell r="C791" t="str">
            <v> </v>
          </cell>
        </row>
        <row r="792">
          <cell r="B792" t="str">
            <v>EWN0375</v>
          </cell>
          <cell r="C792" t="str">
            <v> </v>
          </cell>
        </row>
        <row r="793">
          <cell r="B793" t="str">
            <v>EWO4I03</v>
          </cell>
          <cell r="C793" t="str">
            <v> </v>
          </cell>
        </row>
        <row r="794">
          <cell r="B794" t="str">
            <v>EWU3H30</v>
          </cell>
          <cell r="C794" t="str">
            <v> </v>
          </cell>
        </row>
        <row r="795">
          <cell r="B795" t="str">
            <v>EWU4C86</v>
          </cell>
          <cell r="C795" t="str">
            <v> </v>
          </cell>
        </row>
        <row r="796">
          <cell r="B796" t="str">
            <v>EWU7A64</v>
          </cell>
          <cell r="C796" t="str">
            <v> </v>
          </cell>
        </row>
        <row r="797">
          <cell r="B797" t="str">
            <v>EWV8I27</v>
          </cell>
          <cell r="C797" t="str">
            <v>Agregado</v>
          </cell>
        </row>
        <row r="798">
          <cell r="B798" t="str">
            <v>EWX2692</v>
          </cell>
          <cell r="C798" t="str">
            <v>Agregado</v>
          </cell>
        </row>
        <row r="799">
          <cell r="B799" t="str">
            <v>EXI8C38</v>
          </cell>
          <cell r="C799" t="str">
            <v>Operando</v>
          </cell>
        </row>
        <row r="800">
          <cell r="B800" t="str">
            <v>EXK4H91</v>
          </cell>
          <cell r="C800" t="str">
            <v> </v>
          </cell>
        </row>
        <row r="801">
          <cell r="B801" t="str">
            <v>EXM2213</v>
          </cell>
          <cell r="C801" t="str">
            <v> </v>
          </cell>
        </row>
        <row r="802">
          <cell r="B802" t="str">
            <v>EXM7869</v>
          </cell>
          <cell r="C802" t="str">
            <v> </v>
          </cell>
        </row>
        <row r="803">
          <cell r="B803" t="str">
            <v>EXM8F08</v>
          </cell>
          <cell r="C803" t="str">
            <v> </v>
          </cell>
        </row>
        <row r="804">
          <cell r="B804" t="str">
            <v>EXM9A71</v>
          </cell>
          <cell r="C804" t="str">
            <v> </v>
          </cell>
        </row>
        <row r="805">
          <cell r="B805" t="str">
            <v>EXN8E45</v>
          </cell>
          <cell r="C805" t="str">
            <v> </v>
          </cell>
        </row>
        <row r="806">
          <cell r="B806" t="str">
            <v>EXR8A98</v>
          </cell>
          <cell r="C806" t="str">
            <v> </v>
          </cell>
        </row>
        <row r="807">
          <cell r="B807" t="str">
            <v>EXS5D83</v>
          </cell>
          <cell r="C807" t="str">
            <v>Operando</v>
          </cell>
        </row>
        <row r="808">
          <cell r="B808" t="str">
            <v>EXS7892</v>
          </cell>
          <cell r="C808" t="str">
            <v>Carregado</v>
          </cell>
        </row>
        <row r="809">
          <cell r="B809" t="str">
            <v>EXU6A75</v>
          </cell>
          <cell r="C809" t="str">
            <v> </v>
          </cell>
        </row>
        <row r="810">
          <cell r="B810" t="str">
            <v>EXX0C44</v>
          </cell>
          <cell r="C810" t="str">
            <v>Carregado</v>
          </cell>
        </row>
        <row r="811">
          <cell r="B811" t="str">
            <v>EXX8C83</v>
          </cell>
          <cell r="C811" t="str">
            <v>Operando</v>
          </cell>
        </row>
        <row r="812">
          <cell r="B812" t="str">
            <v>EXY7H28</v>
          </cell>
          <cell r="C812" t="str">
            <v>Operando</v>
          </cell>
        </row>
        <row r="813">
          <cell r="B813" t="str">
            <v>EXY9C78</v>
          </cell>
          <cell r="C813" t="str">
            <v> </v>
          </cell>
        </row>
        <row r="814">
          <cell r="B814" t="str">
            <v>EXZ2D23</v>
          </cell>
          <cell r="C814" t="str">
            <v> </v>
          </cell>
        </row>
        <row r="815">
          <cell r="B815" t="str">
            <v>EXZ4032</v>
          </cell>
          <cell r="C815" t="str">
            <v>Carregado</v>
          </cell>
        </row>
        <row r="816">
          <cell r="B816" t="str">
            <v>EYA6B29</v>
          </cell>
          <cell r="C816" t="str">
            <v> </v>
          </cell>
        </row>
        <row r="817">
          <cell r="B817" t="str">
            <v>EYB9G49</v>
          </cell>
          <cell r="C817" t="str">
            <v>Carregado</v>
          </cell>
        </row>
        <row r="818">
          <cell r="B818" t="str">
            <v>EYC1046</v>
          </cell>
          <cell r="C818" t="str">
            <v> </v>
          </cell>
        </row>
        <row r="819">
          <cell r="B819" t="str">
            <v>EYD1F01</v>
          </cell>
          <cell r="C819" t="str">
            <v> </v>
          </cell>
        </row>
        <row r="820">
          <cell r="B820" t="str">
            <v>EYD5D95</v>
          </cell>
          <cell r="C820" t="str">
            <v>Operando</v>
          </cell>
        </row>
        <row r="821">
          <cell r="B821" t="str">
            <v>EYH2G00</v>
          </cell>
          <cell r="C821" t="str">
            <v>Operando</v>
          </cell>
        </row>
        <row r="822">
          <cell r="B822" t="str">
            <v>EYH2G47</v>
          </cell>
          <cell r="C822" t="str">
            <v> </v>
          </cell>
        </row>
        <row r="823">
          <cell r="B823" t="str">
            <v>EYH4A21</v>
          </cell>
          <cell r="C823" t="str">
            <v> </v>
          </cell>
        </row>
        <row r="824">
          <cell r="B824" t="str">
            <v>EYH7C33</v>
          </cell>
          <cell r="C824" t="str">
            <v> </v>
          </cell>
        </row>
        <row r="825">
          <cell r="B825" t="str">
            <v>EYI3F69</v>
          </cell>
          <cell r="C825" t="str">
            <v> </v>
          </cell>
        </row>
        <row r="826">
          <cell r="B826" t="str">
            <v>EYK2628</v>
          </cell>
          <cell r="C826" t="str">
            <v> </v>
          </cell>
        </row>
        <row r="827">
          <cell r="B827" t="str">
            <v>EYK6D59</v>
          </cell>
          <cell r="C827" t="str">
            <v> </v>
          </cell>
        </row>
        <row r="828">
          <cell r="B828" t="str">
            <v>EYL1382</v>
          </cell>
          <cell r="C828" t="str">
            <v> </v>
          </cell>
        </row>
        <row r="829">
          <cell r="B829" t="str">
            <v>EYL6A37</v>
          </cell>
          <cell r="C829" t="str">
            <v> </v>
          </cell>
        </row>
        <row r="830">
          <cell r="B830" t="str">
            <v>EYM1H54</v>
          </cell>
          <cell r="C830" t="str">
            <v>Operando</v>
          </cell>
        </row>
        <row r="831">
          <cell r="B831" t="str">
            <v>EYM7D97</v>
          </cell>
          <cell r="C831" t="str">
            <v> </v>
          </cell>
        </row>
        <row r="832">
          <cell r="B832" t="str">
            <v>EYM8H27</v>
          </cell>
          <cell r="C832" t="str">
            <v>Operando</v>
          </cell>
        </row>
        <row r="833">
          <cell r="B833" t="str">
            <v>EYN1H52</v>
          </cell>
          <cell r="C833" t="str">
            <v>Operando</v>
          </cell>
        </row>
        <row r="834">
          <cell r="B834" t="str">
            <v>EYN1J05</v>
          </cell>
          <cell r="C834" t="str">
            <v> </v>
          </cell>
        </row>
        <row r="835">
          <cell r="B835" t="str">
            <v>EYN5F02</v>
          </cell>
          <cell r="C835" t="str">
            <v> </v>
          </cell>
        </row>
        <row r="836">
          <cell r="B836" t="str">
            <v>EYO5C25</v>
          </cell>
          <cell r="C836" t="str">
            <v> </v>
          </cell>
        </row>
        <row r="837">
          <cell r="B837" t="str">
            <v>EYP6I47</v>
          </cell>
          <cell r="C837" t="str">
            <v> </v>
          </cell>
        </row>
        <row r="838">
          <cell r="B838" t="str">
            <v>EYS3739</v>
          </cell>
          <cell r="C838" t="str">
            <v> </v>
          </cell>
        </row>
        <row r="839">
          <cell r="B839" t="str">
            <v>EYT4D14</v>
          </cell>
          <cell r="C839" t="str">
            <v> </v>
          </cell>
        </row>
        <row r="840">
          <cell r="B840" t="str">
            <v>EYT9F01</v>
          </cell>
          <cell r="C840" t="str">
            <v> </v>
          </cell>
        </row>
        <row r="841">
          <cell r="B841" t="str">
            <v>EYU1B16</v>
          </cell>
          <cell r="C841" t="str">
            <v> </v>
          </cell>
        </row>
        <row r="842">
          <cell r="B842" t="str">
            <v>EYW8A99</v>
          </cell>
          <cell r="C842" t="str">
            <v>Operando</v>
          </cell>
        </row>
        <row r="843">
          <cell r="B843" t="str">
            <v>EZA9503</v>
          </cell>
          <cell r="C843" t="str">
            <v>Operando</v>
          </cell>
        </row>
        <row r="844">
          <cell r="B844" t="str">
            <v>EZB1H89</v>
          </cell>
          <cell r="C844" t="str">
            <v> </v>
          </cell>
        </row>
        <row r="845">
          <cell r="B845" t="str">
            <v>EZB4668</v>
          </cell>
          <cell r="C845" t="str">
            <v>Operando</v>
          </cell>
        </row>
        <row r="846">
          <cell r="B846" t="str">
            <v>EZB4I38</v>
          </cell>
          <cell r="C846" t="str">
            <v> </v>
          </cell>
        </row>
        <row r="847">
          <cell r="B847" t="str">
            <v>EZC1174</v>
          </cell>
          <cell r="C847" t="str">
            <v>Operando</v>
          </cell>
        </row>
        <row r="848">
          <cell r="B848" t="str">
            <v>EZD8G05</v>
          </cell>
          <cell r="C848" t="str">
            <v>Operando</v>
          </cell>
        </row>
        <row r="849">
          <cell r="B849" t="str">
            <v>EZF9B28</v>
          </cell>
          <cell r="C849" t="str">
            <v> </v>
          </cell>
        </row>
        <row r="850">
          <cell r="B850" t="str">
            <v>EZI2D43</v>
          </cell>
          <cell r="C850" t="str">
            <v> </v>
          </cell>
        </row>
        <row r="851">
          <cell r="B851" t="str">
            <v>EZI2I26</v>
          </cell>
          <cell r="C851" t="str">
            <v>Agregado</v>
          </cell>
        </row>
        <row r="852">
          <cell r="B852" t="str">
            <v>EZI5040</v>
          </cell>
          <cell r="C852" t="str">
            <v>Dispensado sem carga</v>
          </cell>
        </row>
        <row r="853">
          <cell r="B853" t="str">
            <v>EZI5A40</v>
          </cell>
          <cell r="C853" t="str">
            <v> </v>
          </cell>
        </row>
        <row r="854">
          <cell r="B854" t="str">
            <v>EZK0730</v>
          </cell>
          <cell r="C854" t="str">
            <v> </v>
          </cell>
        </row>
        <row r="855">
          <cell r="B855" t="str">
            <v>EZL2C09</v>
          </cell>
          <cell r="C855" t="str">
            <v> </v>
          </cell>
        </row>
        <row r="856">
          <cell r="B856" t="str">
            <v>EZM0710</v>
          </cell>
          <cell r="C856" t="str">
            <v>Operando</v>
          </cell>
        </row>
        <row r="857">
          <cell r="B857" t="str">
            <v>EZM6A65</v>
          </cell>
          <cell r="C857" t="str">
            <v> </v>
          </cell>
        </row>
        <row r="858">
          <cell r="B858" t="str">
            <v>EZO4C61</v>
          </cell>
          <cell r="C858" t="str">
            <v> </v>
          </cell>
        </row>
        <row r="859">
          <cell r="B859" t="str">
            <v>EZU1D83</v>
          </cell>
          <cell r="C859" t="str">
            <v> </v>
          </cell>
        </row>
        <row r="860">
          <cell r="B860" t="str">
            <v>EZU6G29</v>
          </cell>
          <cell r="C860" t="str">
            <v> </v>
          </cell>
        </row>
        <row r="861">
          <cell r="B861" t="str">
            <v>EZU9729</v>
          </cell>
          <cell r="C861" t="str">
            <v> </v>
          </cell>
        </row>
        <row r="862">
          <cell r="B862" t="str">
            <v>EZU9730</v>
          </cell>
          <cell r="C862" t="str">
            <v> </v>
          </cell>
        </row>
        <row r="863">
          <cell r="B863" t="str">
            <v>EZV3H28</v>
          </cell>
          <cell r="C863" t="str">
            <v>Agregado</v>
          </cell>
        </row>
        <row r="864">
          <cell r="B864" t="str">
            <v>EZW8011</v>
          </cell>
          <cell r="C864" t="str">
            <v>Carregado</v>
          </cell>
        </row>
        <row r="865">
          <cell r="B865" t="str">
            <v>EZW8O11</v>
          </cell>
          <cell r="C865" t="str">
            <v> </v>
          </cell>
        </row>
        <row r="866">
          <cell r="B866" t="str">
            <v>EZY3125</v>
          </cell>
          <cell r="C866" t="str">
            <v> </v>
          </cell>
        </row>
        <row r="867">
          <cell r="B867" t="str">
            <v>EZY7902</v>
          </cell>
          <cell r="C867" t="str">
            <v> </v>
          </cell>
        </row>
        <row r="868">
          <cell r="B868" t="str">
            <v>FAI5B08</v>
          </cell>
          <cell r="C868" t="str">
            <v> </v>
          </cell>
        </row>
        <row r="869">
          <cell r="B869" t="str">
            <v>FAJ4H21</v>
          </cell>
          <cell r="C869" t="str">
            <v> </v>
          </cell>
        </row>
        <row r="870">
          <cell r="B870" t="str">
            <v>FAK3J66</v>
          </cell>
          <cell r="C870" t="str">
            <v> </v>
          </cell>
        </row>
        <row r="871">
          <cell r="B871" t="str">
            <v>FAM8F50</v>
          </cell>
          <cell r="C871" t="str">
            <v> </v>
          </cell>
        </row>
        <row r="872">
          <cell r="B872" t="str">
            <v>FAO5G84</v>
          </cell>
          <cell r="C872" t="str">
            <v>Operando</v>
          </cell>
        </row>
        <row r="873">
          <cell r="B873" t="str">
            <v>FAO6C52</v>
          </cell>
          <cell r="C873" t="str">
            <v> </v>
          </cell>
        </row>
        <row r="874">
          <cell r="B874" t="str">
            <v>FAO7B14</v>
          </cell>
          <cell r="C874" t="str">
            <v>Operando</v>
          </cell>
        </row>
        <row r="875">
          <cell r="B875" t="str">
            <v>FAR5I15</v>
          </cell>
          <cell r="C875" t="str">
            <v>Carregado</v>
          </cell>
        </row>
        <row r="876">
          <cell r="B876" t="str">
            <v>FAS6F30</v>
          </cell>
          <cell r="C876" t="str">
            <v> </v>
          </cell>
        </row>
        <row r="877">
          <cell r="B877" t="str">
            <v>FAU1A89</v>
          </cell>
          <cell r="C877" t="str">
            <v> </v>
          </cell>
        </row>
        <row r="878">
          <cell r="B878" t="str">
            <v>FAX1B90</v>
          </cell>
          <cell r="C878" t="str">
            <v> </v>
          </cell>
        </row>
        <row r="879">
          <cell r="B879" t="str">
            <v>FAX6C80</v>
          </cell>
          <cell r="C879" t="str">
            <v> </v>
          </cell>
        </row>
        <row r="880">
          <cell r="B880" t="str">
            <v>FBA8B21</v>
          </cell>
          <cell r="C880" t="str">
            <v> </v>
          </cell>
        </row>
        <row r="881">
          <cell r="B881" t="str">
            <v>FBC6F51</v>
          </cell>
          <cell r="C881" t="str">
            <v> </v>
          </cell>
        </row>
        <row r="882">
          <cell r="B882" t="str">
            <v>FBD2H69</v>
          </cell>
          <cell r="C882" t="str">
            <v> </v>
          </cell>
        </row>
        <row r="883">
          <cell r="B883" t="str">
            <v>FBE1B15</v>
          </cell>
          <cell r="C883" t="str">
            <v> </v>
          </cell>
        </row>
        <row r="884">
          <cell r="B884" t="str">
            <v>FBG2805</v>
          </cell>
          <cell r="C884" t="str">
            <v> </v>
          </cell>
        </row>
        <row r="885">
          <cell r="B885" t="str">
            <v>FBH3A03</v>
          </cell>
          <cell r="C885" t="str">
            <v>Operando</v>
          </cell>
        </row>
        <row r="886">
          <cell r="B886" t="str">
            <v>FBL6D22</v>
          </cell>
          <cell r="C886" t="str">
            <v> </v>
          </cell>
        </row>
        <row r="887">
          <cell r="B887" t="str">
            <v>FBO5644</v>
          </cell>
          <cell r="C887" t="str">
            <v>Operando</v>
          </cell>
        </row>
        <row r="888">
          <cell r="B888" t="str">
            <v>FBO8459</v>
          </cell>
          <cell r="C888" t="str">
            <v> </v>
          </cell>
        </row>
        <row r="889">
          <cell r="B889" t="str">
            <v>FBP8H30</v>
          </cell>
          <cell r="C889" t="str">
            <v> </v>
          </cell>
        </row>
        <row r="890">
          <cell r="B890" t="str">
            <v>FBQ0H24</v>
          </cell>
          <cell r="C890" t="str">
            <v>Operando</v>
          </cell>
        </row>
        <row r="891">
          <cell r="B891" t="str">
            <v>FBQ2481</v>
          </cell>
          <cell r="C891" t="str">
            <v> </v>
          </cell>
        </row>
        <row r="892">
          <cell r="B892" t="str">
            <v>FBQ5C07</v>
          </cell>
          <cell r="C892" t="str">
            <v>Operando</v>
          </cell>
        </row>
        <row r="893">
          <cell r="B893" t="str">
            <v>FBQ8C65</v>
          </cell>
          <cell r="C893" t="str">
            <v>Operando</v>
          </cell>
        </row>
        <row r="894">
          <cell r="B894" t="str">
            <v>FBS0953</v>
          </cell>
          <cell r="C894" t="str">
            <v> </v>
          </cell>
        </row>
        <row r="895">
          <cell r="B895" t="str">
            <v>FBV7I76</v>
          </cell>
          <cell r="C895" t="str">
            <v> </v>
          </cell>
        </row>
        <row r="896">
          <cell r="B896" t="str">
            <v>FBW3E78</v>
          </cell>
          <cell r="C896" t="str">
            <v> </v>
          </cell>
        </row>
        <row r="897">
          <cell r="B897" t="str">
            <v>FBZ9B79</v>
          </cell>
          <cell r="C897" t="str">
            <v>Operando</v>
          </cell>
        </row>
        <row r="898">
          <cell r="B898" t="str">
            <v>FCB2J33</v>
          </cell>
          <cell r="C898" t="str">
            <v> </v>
          </cell>
        </row>
        <row r="899">
          <cell r="B899" t="str">
            <v>FCB6F51</v>
          </cell>
          <cell r="C899" t="str">
            <v>Operando</v>
          </cell>
        </row>
        <row r="900">
          <cell r="B900" t="str">
            <v>FCC9I06</v>
          </cell>
          <cell r="C900" t="str">
            <v> </v>
          </cell>
        </row>
        <row r="901">
          <cell r="B901" t="str">
            <v>FCD8H01</v>
          </cell>
          <cell r="C901" t="str">
            <v>Operando</v>
          </cell>
        </row>
        <row r="902">
          <cell r="B902" t="str">
            <v>FCE0C20</v>
          </cell>
          <cell r="C902" t="str">
            <v> </v>
          </cell>
        </row>
        <row r="903">
          <cell r="B903" t="str">
            <v>FCF4J75</v>
          </cell>
          <cell r="C903" t="str">
            <v>Operando</v>
          </cell>
        </row>
        <row r="904">
          <cell r="B904" t="str">
            <v>FCG4A40</v>
          </cell>
          <cell r="C904" t="str">
            <v> </v>
          </cell>
        </row>
        <row r="905">
          <cell r="B905" t="str">
            <v>FCK2I74</v>
          </cell>
          <cell r="C905" t="str">
            <v> </v>
          </cell>
        </row>
        <row r="906">
          <cell r="B906" t="str">
            <v>FCK4D07</v>
          </cell>
          <cell r="C906" t="str">
            <v>Operando</v>
          </cell>
        </row>
        <row r="907">
          <cell r="B907" t="str">
            <v>FCK5D33</v>
          </cell>
          <cell r="C907" t="str">
            <v>Operando</v>
          </cell>
        </row>
        <row r="908">
          <cell r="B908" t="str">
            <v>FCM2122</v>
          </cell>
          <cell r="C908" t="str">
            <v> </v>
          </cell>
        </row>
        <row r="909">
          <cell r="B909" t="str">
            <v>FCN9F84</v>
          </cell>
          <cell r="C909" t="str">
            <v>Carregado</v>
          </cell>
        </row>
        <row r="910">
          <cell r="B910" t="str">
            <v>FCP9C64</v>
          </cell>
          <cell r="C910" t="str">
            <v> </v>
          </cell>
        </row>
        <row r="911">
          <cell r="B911" t="str">
            <v>FCR7695</v>
          </cell>
          <cell r="C911" t="str">
            <v> </v>
          </cell>
        </row>
        <row r="912">
          <cell r="B912" t="str">
            <v>FCS3034</v>
          </cell>
          <cell r="C912" t="str">
            <v> </v>
          </cell>
        </row>
        <row r="913">
          <cell r="B913" t="str">
            <v>FCT5E91</v>
          </cell>
          <cell r="C913" t="str">
            <v>Carregado</v>
          </cell>
        </row>
        <row r="914">
          <cell r="B914" t="str">
            <v>FCX4F62</v>
          </cell>
          <cell r="C914" t="str">
            <v> </v>
          </cell>
        </row>
        <row r="915">
          <cell r="B915" t="str">
            <v>FCZ0D48</v>
          </cell>
          <cell r="C915" t="str">
            <v> </v>
          </cell>
        </row>
        <row r="916">
          <cell r="B916" t="str">
            <v>FDC4J91</v>
          </cell>
          <cell r="C916" t="str">
            <v> </v>
          </cell>
        </row>
        <row r="917">
          <cell r="B917" t="str">
            <v>FDG8E09</v>
          </cell>
          <cell r="C917" t="str">
            <v> </v>
          </cell>
        </row>
        <row r="918">
          <cell r="B918" t="str">
            <v>FDH4A67</v>
          </cell>
          <cell r="C918" t="str">
            <v> </v>
          </cell>
        </row>
        <row r="919">
          <cell r="B919" t="str">
            <v>FDI1491</v>
          </cell>
          <cell r="C919" t="str">
            <v> </v>
          </cell>
        </row>
        <row r="920">
          <cell r="B920" t="str">
            <v>FDI2E70</v>
          </cell>
          <cell r="C920" t="str">
            <v> </v>
          </cell>
        </row>
        <row r="921">
          <cell r="B921" t="str">
            <v>FDI4B51</v>
          </cell>
          <cell r="C921" t="str">
            <v> </v>
          </cell>
        </row>
        <row r="922">
          <cell r="B922" t="str">
            <v>FDI9F86</v>
          </cell>
          <cell r="C922" t="str">
            <v> </v>
          </cell>
        </row>
        <row r="923">
          <cell r="B923" t="str">
            <v>FDJ9H84</v>
          </cell>
          <cell r="C923" t="str">
            <v> </v>
          </cell>
        </row>
        <row r="924">
          <cell r="B924" t="str">
            <v>FDK0C25</v>
          </cell>
          <cell r="C924" t="str">
            <v>Operando</v>
          </cell>
        </row>
        <row r="925">
          <cell r="B925" t="str">
            <v>FDK2C94</v>
          </cell>
          <cell r="C925" t="str">
            <v> </v>
          </cell>
        </row>
        <row r="926">
          <cell r="B926" t="str">
            <v>FDL9C88</v>
          </cell>
          <cell r="C926" t="str">
            <v> </v>
          </cell>
        </row>
        <row r="927">
          <cell r="B927" t="str">
            <v>FDM0317</v>
          </cell>
          <cell r="C927" t="str">
            <v> </v>
          </cell>
        </row>
        <row r="928">
          <cell r="B928" t="str">
            <v>FDN9J90</v>
          </cell>
          <cell r="C928" t="str">
            <v>Operando</v>
          </cell>
        </row>
        <row r="929">
          <cell r="B929" t="str">
            <v>FDO4I82</v>
          </cell>
          <cell r="C929" t="str">
            <v> </v>
          </cell>
        </row>
        <row r="930">
          <cell r="B930" t="str">
            <v>FDO8G06</v>
          </cell>
          <cell r="C930" t="str">
            <v> </v>
          </cell>
        </row>
        <row r="931">
          <cell r="B931" t="str">
            <v>FDR0J36</v>
          </cell>
          <cell r="C931" t="str">
            <v> </v>
          </cell>
        </row>
        <row r="932">
          <cell r="B932" t="str">
            <v>FDR1E30</v>
          </cell>
          <cell r="C932" t="str">
            <v>Operando</v>
          </cell>
        </row>
        <row r="933">
          <cell r="B933" t="str">
            <v>FDR8H40</v>
          </cell>
          <cell r="C933" t="str">
            <v>Operando</v>
          </cell>
        </row>
        <row r="934">
          <cell r="B934" t="str">
            <v>FDS2A79</v>
          </cell>
          <cell r="C934" t="str">
            <v>Sem operação</v>
          </cell>
        </row>
        <row r="935">
          <cell r="B935" t="str">
            <v>FDT2G32</v>
          </cell>
          <cell r="C935" t="str">
            <v>Operando</v>
          </cell>
        </row>
        <row r="936">
          <cell r="B936" t="str">
            <v>FDW4E81</v>
          </cell>
          <cell r="C936" t="str">
            <v> </v>
          </cell>
        </row>
        <row r="937">
          <cell r="B937" t="str">
            <v>FDX3G43</v>
          </cell>
          <cell r="C937" t="str">
            <v> </v>
          </cell>
        </row>
        <row r="938">
          <cell r="B938" t="str">
            <v>FEA5H13</v>
          </cell>
          <cell r="C938" t="str">
            <v>Operando</v>
          </cell>
        </row>
        <row r="939">
          <cell r="B939" t="str">
            <v>FEE7G81</v>
          </cell>
          <cell r="C939" t="str">
            <v>Operando</v>
          </cell>
        </row>
        <row r="940">
          <cell r="B940" t="str">
            <v>FEG2B96</v>
          </cell>
          <cell r="C940" t="str">
            <v>Operando</v>
          </cell>
        </row>
        <row r="941">
          <cell r="B941" t="str">
            <v>FEG2G22</v>
          </cell>
          <cell r="C941" t="str">
            <v>Agregado</v>
          </cell>
        </row>
        <row r="942">
          <cell r="B942" t="str">
            <v>FEH7A20</v>
          </cell>
          <cell r="C942" t="str">
            <v> </v>
          </cell>
        </row>
        <row r="943">
          <cell r="B943" t="str">
            <v>FEI5A44</v>
          </cell>
          <cell r="C943" t="str">
            <v> </v>
          </cell>
        </row>
        <row r="944">
          <cell r="B944" t="str">
            <v>FEK6B29</v>
          </cell>
          <cell r="C944" t="str">
            <v> </v>
          </cell>
        </row>
        <row r="945">
          <cell r="B945" t="str">
            <v>FEK8G23</v>
          </cell>
          <cell r="C945" t="str">
            <v> </v>
          </cell>
        </row>
        <row r="946">
          <cell r="B946" t="str">
            <v>FEL4B74</v>
          </cell>
          <cell r="C946" t="str">
            <v> </v>
          </cell>
        </row>
        <row r="947">
          <cell r="B947" t="str">
            <v>FEM2401</v>
          </cell>
          <cell r="C947" t="str">
            <v> </v>
          </cell>
        </row>
        <row r="948">
          <cell r="B948" t="str">
            <v>FER8H48</v>
          </cell>
          <cell r="C948" t="str">
            <v> </v>
          </cell>
        </row>
        <row r="949">
          <cell r="B949" t="str">
            <v>FEU0B27</v>
          </cell>
          <cell r="C949" t="str">
            <v> </v>
          </cell>
        </row>
        <row r="950">
          <cell r="B950" t="str">
            <v>FEY3706</v>
          </cell>
          <cell r="C950" t="str">
            <v> </v>
          </cell>
        </row>
        <row r="951">
          <cell r="B951" t="str">
            <v>FEY3H06</v>
          </cell>
          <cell r="C951" t="str">
            <v> </v>
          </cell>
        </row>
        <row r="952">
          <cell r="B952" t="str">
            <v>FEZ9B62</v>
          </cell>
          <cell r="C952" t="str">
            <v> </v>
          </cell>
        </row>
        <row r="953">
          <cell r="B953" t="str">
            <v>FF06E63</v>
          </cell>
          <cell r="C953" t="str">
            <v> </v>
          </cell>
        </row>
        <row r="954">
          <cell r="B954" t="str">
            <v>FFB1F36</v>
          </cell>
          <cell r="C954" t="str">
            <v> </v>
          </cell>
        </row>
        <row r="955">
          <cell r="B955" t="str">
            <v>FFB2362</v>
          </cell>
          <cell r="C955" t="str">
            <v> </v>
          </cell>
        </row>
        <row r="956">
          <cell r="B956" t="str">
            <v>FFD2A66</v>
          </cell>
          <cell r="C956" t="str">
            <v> </v>
          </cell>
        </row>
        <row r="957">
          <cell r="B957" t="str">
            <v>FFD6B48</v>
          </cell>
          <cell r="C957" t="str">
            <v>Operando</v>
          </cell>
        </row>
        <row r="958">
          <cell r="B958" t="str">
            <v>FFE3J40</v>
          </cell>
          <cell r="C958" t="str">
            <v> </v>
          </cell>
        </row>
        <row r="959">
          <cell r="B959" t="str">
            <v>FFE3J94</v>
          </cell>
          <cell r="C959" t="str">
            <v> </v>
          </cell>
        </row>
        <row r="960">
          <cell r="B960" t="str">
            <v>FFG2A99</v>
          </cell>
          <cell r="C960" t="str">
            <v>Agregado</v>
          </cell>
        </row>
        <row r="961">
          <cell r="B961" t="str">
            <v>FFG8554</v>
          </cell>
          <cell r="C961" t="str">
            <v>Operando</v>
          </cell>
        </row>
        <row r="962">
          <cell r="B962" t="str">
            <v>FFH6A47</v>
          </cell>
          <cell r="C962" t="str">
            <v>Operando</v>
          </cell>
        </row>
        <row r="963">
          <cell r="B963" t="str">
            <v>FFH6E59</v>
          </cell>
          <cell r="C963" t="str">
            <v>Operando</v>
          </cell>
        </row>
        <row r="964">
          <cell r="B964" t="str">
            <v>FFI4A34</v>
          </cell>
          <cell r="C964" t="str">
            <v> </v>
          </cell>
        </row>
        <row r="965">
          <cell r="B965" t="str">
            <v>FFL9A33</v>
          </cell>
          <cell r="C965" t="str">
            <v> </v>
          </cell>
        </row>
        <row r="966">
          <cell r="B966" t="str">
            <v>FFN0E39</v>
          </cell>
          <cell r="C966" t="str">
            <v>Operando</v>
          </cell>
        </row>
        <row r="967">
          <cell r="B967" t="str">
            <v>FFN1573</v>
          </cell>
          <cell r="C967" t="str">
            <v>Operando</v>
          </cell>
        </row>
        <row r="968">
          <cell r="B968" t="str">
            <v>FFP3E54</v>
          </cell>
          <cell r="C968" t="str">
            <v>Agregado</v>
          </cell>
        </row>
        <row r="969">
          <cell r="B969" t="str">
            <v>FFP8767</v>
          </cell>
          <cell r="C969" t="str">
            <v> </v>
          </cell>
        </row>
        <row r="970">
          <cell r="B970" t="str">
            <v>FFU0G55</v>
          </cell>
          <cell r="C970" t="str">
            <v> </v>
          </cell>
        </row>
        <row r="971">
          <cell r="B971" t="str">
            <v>FFU6I02</v>
          </cell>
          <cell r="C971" t="str">
            <v> </v>
          </cell>
        </row>
        <row r="972">
          <cell r="B972" t="str">
            <v>FFV9J94</v>
          </cell>
          <cell r="C972" t="str">
            <v> </v>
          </cell>
        </row>
        <row r="973">
          <cell r="B973" t="str">
            <v>FFW3832</v>
          </cell>
          <cell r="C973" t="str">
            <v> </v>
          </cell>
        </row>
        <row r="974">
          <cell r="B974" t="str">
            <v>FFX2534</v>
          </cell>
          <cell r="C974" t="str">
            <v> </v>
          </cell>
        </row>
        <row r="975">
          <cell r="B975" t="str">
            <v>FFX9C68</v>
          </cell>
          <cell r="C975" t="str">
            <v>Carregado</v>
          </cell>
        </row>
        <row r="976">
          <cell r="B976" t="str">
            <v>FFZ4G78</v>
          </cell>
          <cell r="C976" t="str">
            <v> </v>
          </cell>
        </row>
        <row r="977">
          <cell r="B977" t="str">
            <v>FFZ7J11</v>
          </cell>
          <cell r="C977" t="str">
            <v> </v>
          </cell>
        </row>
        <row r="978">
          <cell r="B978" t="str">
            <v>FFZ8E68</v>
          </cell>
          <cell r="C978" t="str">
            <v> </v>
          </cell>
        </row>
        <row r="979">
          <cell r="B979" t="str">
            <v>FGF1I50</v>
          </cell>
          <cell r="C979" t="str">
            <v> </v>
          </cell>
        </row>
        <row r="980">
          <cell r="B980" t="str">
            <v>FGG2G00</v>
          </cell>
          <cell r="C980" t="str">
            <v> </v>
          </cell>
        </row>
        <row r="981">
          <cell r="B981" t="str">
            <v>FGK4339</v>
          </cell>
          <cell r="C981" t="str">
            <v>Operando</v>
          </cell>
        </row>
        <row r="982">
          <cell r="B982" t="str">
            <v>FGL7F74</v>
          </cell>
          <cell r="C982" t="str">
            <v>Manutenção</v>
          </cell>
        </row>
        <row r="983">
          <cell r="B983" t="str">
            <v>FGN2G22</v>
          </cell>
          <cell r="C983" t="str">
            <v>Operando</v>
          </cell>
        </row>
        <row r="984">
          <cell r="B984" t="str">
            <v>FGP5B94</v>
          </cell>
          <cell r="C984" t="str">
            <v>Carregado</v>
          </cell>
        </row>
        <row r="985">
          <cell r="B985" t="str">
            <v>FGQ4E87</v>
          </cell>
          <cell r="C985" t="str">
            <v>Agregado</v>
          </cell>
        </row>
        <row r="986">
          <cell r="B986" t="str">
            <v>FGU5844</v>
          </cell>
          <cell r="C986" t="str">
            <v> </v>
          </cell>
        </row>
        <row r="987">
          <cell r="B987" t="str">
            <v>FGY1J85</v>
          </cell>
          <cell r="C987" t="str">
            <v> </v>
          </cell>
        </row>
        <row r="988">
          <cell r="B988" t="str">
            <v>FHA0I96</v>
          </cell>
          <cell r="C988" t="str">
            <v> </v>
          </cell>
        </row>
        <row r="989">
          <cell r="B989" t="str">
            <v>FHB0A65</v>
          </cell>
          <cell r="C989" t="str">
            <v>Operando</v>
          </cell>
        </row>
        <row r="990">
          <cell r="B990" t="str">
            <v>FHC2380</v>
          </cell>
          <cell r="C990" t="str">
            <v>Agregado</v>
          </cell>
        </row>
        <row r="991">
          <cell r="B991" t="str">
            <v>FHE4I95</v>
          </cell>
          <cell r="C991" t="str">
            <v> </v>
          </cell>
        </row>
        <row r="992">
          <cell r="B992" t="str">
            <v>FHF7D63</v>
          </cell>
          <cell r="C992" t="str">
            <v> </v>
          </cell>
        </row>
        <row r="993">
          <cell r="B993" t="str">
            <v>FHF8I31</v>
          </cell>
          <cell r="C993" t="str">
            <v>Operando</v>
          </cell>
        </row>
        <row r="994">
          <cell r="B994" t="str">
            <v>FHH7F55</v>
          </cell>
          <cell r="C994" t="str">
            <v> </v>
          </cell>
        </row>
        <row r="995">
          <cell r="B995" t="str">
            <v>FHJ3F41</v>
          </cell>
          <cell r="C995" t="str">
            <v> </v>
          </cell>
        </row>
        <row r="996">
          <cell r="B996" t="str">
            <v>FHJ7C24</v>
          </cell>
          <cell r="C996" t="str">
            <v> </v>
          </cell>
        </row>
        <row r="997">
          <cell r="B997" t="str">
            <v>FHK5J85</v>
          </cell>
          <cell r="C997" t="str">
            <v>Operando</v>
          </cell>
        </row>
        <row r="998">
          <cell r="B998" t="str">
            <v>FHL5615</v>
          </cell>
          <cell r="C998" t="str">
            <v>Operando</v>
          </cell>
        </row>
        <row r="999">
          <cell r="B999" t="str">
            <v>FHP8E13</v>
          </cell>
          <cell r="C999" t="str">
            <v> </v>
          </cell>
        </row>
        <row r="1000">
          <cell r="B1000" t="str">
            <v>FHQ0683</v>
          </cell>
          <cell r="C1000" t="str">
            <v> </v>
          </cell>
        </row>
        <row r="1001">
          <cell r="B1001" t="str">
            <v>FHT1G92</v>
          </cell>
          <cell r="C1001" t="str">
            <v> </v>
          </cell>
        </row>
        <row r="1002">
          <cell r="B1002" t="str">
            <v>FHV6A44</v>
          </cell>
          <cell r="C1002" t="str">
            <v>Agregado</v>
          </cell>
        </row>
        <row r="1003">
          <cell r="B1003" t="str">
            <v>FHZ0E69</v>
          </cell>
          <cell r="C1003" t="str">
            <v>Agregado</v>
          </cell>
        </row>
        <row r="1004">
          <cell r="B1004" t="str">
            <v>FIG3B93</v>
          </cell>
          <cell r="C1004" t="str">
            <v> </v>
          </cell>
        </row>
        <row r="1005">
          <cell r="B1005" t="str">
            <v>FII5C47</v>
          </cell>
          <cell r="C1005" t="str">
            <v> </v>
          </cell>
        </row>
        <row r="1006">
          <cell r="B1006" t="str">
            <v>FIJ7D23</v>
          </cell>
          <cell r="C1006" t="str">
            <v> </v>
          </cell>
        </row>
        <row r="1007">
          <cell r="B1007" t="str">
            <v>FIJ9A45</v>
          </cell>
          <cell r="C1007" t="str">
            <v> </v>
          </cell>
        </row>
        <row r="1008">
          <cell r="B1008" t="str">
            <v>FIJ9I83</v>
          </cell>
          <cell r="C1008" t="str">
            <v> </v>
          </cell>
        </row>
        <row r="1009">
          <cell r="B1009" t="str">
            <v>FIK6947</v>
          </cell>
          <cell r="C1009" t="str">
            <v>Carregado</v>
          </cell>
        </row>
        <row r="1010">
          <cell r="B1010" t="str">
            <v>FIL0E99</v>
          </cell>
          <cell r="C1010" t="str">
            <v> </v>
          </cell>
        </row>
        <row r="1011">
          <cell r="B1011" t="str">
            <v>FIO6C33</v>
          </cell>
          <cell r="C1011" t="str">
            <v> </v>
          </cell>
        </row>
        <row r="1012">
          <cell r="B1012" t="str">
            <v>FIO7A39</v>
          </cell>
          <cell r="C1012" t="str">
            <v> </v>
          </cell>
        </row>
        <row r="1013">
          <cell r="B1013" t="str">
            <v>FIP9I71</v>
          </cell>
          <cell r="C1013" t="str">
            <v> </v>
          </cell>
        </row>
        <row r="1014">
          <cell r="B1014" t="str">
            <v>FIQ0E16</v>
          </cell>
          <cell r="C1014" t="str">
            <v> </v>
          </cell>
        </row>
        <row r="1015">
          <cell r="B1015" t="str">
            <v>FIQ2G74</v>
          </cell>
          <cell r="C1015" t="str">
            <v> </v>
          </cell>
        </row>
        <row r="1016">
          <cell r="B1016" t="str">
            <v>FIS1577</v>
          </cell>
          <cell r="C1016" t="str">
            <v> </v>
          </cell>
        </row>
        <row r="1017">
          <cell r="B1017" t="str">
            <v>FIS5H87</v>
          </cell>
          <cell r="C1017" t="str">
            <v>Operando</v>
          </cell>
        </row>
        <row r="1018">
          <cell r="B1018" t="str">
            <v>FIS6020</v>
          </cell>
          <cell r="C1018" t="str">
            <v> </v>
          </cell>
        </row>
        <row r="1019">
          <cell r="B1019" t="str">
            <v>FIS6A93</v>
          </cell>
          <cell r="C1019" t="str">
            <v>Carregado</v>
          </cell>
        </row>
        <row r="1020">
          <cell r="B1020" t="str">
            <v>FIS7I06</v>
          </cell>
          <cell r="C1020" t="str">
            <v>Operando</v>
          </cell>
        </row>
        <row r="1021">
          <cell r="B1021" t="str">
            <v>FIS8G69</v>
          </cell>
          <cell r="C1021" t="str">
            <v> </v>
          </cell>
        </row>
        <row r="1022">
          <cell r="B1022" t="str">
            <v>FIU7G52</v>
          </cell>
          <cell r="C1022" t="str">
            <v>Agregado</v>
          </cell>
        </row>
        <row r="1023">
          <cell r="B1023" t="str">
            <v>FIW9F79</v>
          </cell>
          <cell r="C1023" t="str">
            <v> </v>
          </cell>
        </row>
        <row r="1024">
          <cell r="B1024" t="str">
            <v>FJB2D57</v>
          </cell>
          <cell r="C1024" t="str">
            <v> </v>
          </cell>
        </row>
        <row r="1025">
          <cell r="B1025" t="str">
            <v>FJG5F03</v>
          </cell>
          <cell r="C1025" t="str">
            <v> </v>
          </cell>
        </row>
        <row r="1026">
          <cell r="B1026" t="str">
            <v>FJH5J87</v>
          </cell>
          <cell r="C1026" t="str">
            <v>Operando</v>
          </cell>
        </row>
        <row r="1027">
          <cell r="B1027" t="str">
            <v>FJI1H82</v>
          </cell>
          <cell r="C1027" t="str">
            <v> </v>
          </cell>
        </row>
        <row r="1028">
          <cell r="B1028" t="str">
            <v>FJJ2H58</v>
          </cell>
          <cell r="C1028" t="str">
            <v> </v>
          </cell>
        </row>
        <row r="1029">
          <cell r="B1029" t="str">
            <v>FJK3B27</v>
          </cell>
          <cell r="C1029" t="str">
            <v> </v>
          </cell>
        </row>
        <row r="1030">
          <cell r="B1030" t="str">
            <v>FJL5B71</v>
          </cell>
          <cell r="C1030" t="str">
            <v> </v>
          </cell>
        </row>
        <row r="1031">
          <cell r="B1031" t="str">
            <v>FJN0I72</v>
          </cell>
          <cell r="C1031" t="str">
            <v>Operando</v>
          </cell>
        </row>
        <row r="1032">
          <cell r="B1032" t="str">
            <v>FJN2J06</v>
          </cell>
          <cell r="C1032" t="str">
            <v> </v>
          </cell>
        </row>
        <row r="1033">
          <cell r="B1033" t="str">
            <v>FJO4F02</v>
          </cell>
          <cell r="C1033" t="str">
            <v> </v>
          </cell>
        </row>
        <row r="1034">
          <cell r="B1034" t="str">
            <v>FJT2J46</v>
          </cell>
          <cell r="C1034" t="str">
            <v> </v>
          </cell>
        </row>
        <row r="1035">
          <cell r="B1035" t="str">
            <v>FJT4E00</v>
          </cell>
          <cell r="C1035" t="str">
            <v> </v>
          </cell>
        </row>
        <row r="1036">
          <cell r="B1036" t="str">
            <v>FJV1F24</v>
          </cell>
          <cell r="C1036" t="str">
            <v>Agregado</v>
          </cell>
        </row>
        <row r="1037">
          <cell r="B1037" t="str">
            <v>FJW5E21</v>
          </cell>
          <cell r="C1037" t="str">
            <v> </v>
          </cell>
        </row>
        <row r="1038">
          <cell r="B1038" t="str">
            <v>FJW7C14</v>
          </cell>
          <cell r="C1038" t="str">
            <v>Operando</v>
          </cell>
        </row>
        <row r="1039">
          <cell r="B1039" t="str">
            <v>FJZ6B33</v>
          </cell>
          <cell r="C1039" t="str">
            <v> </v>
          </cell>
        </row>
        <row r="1040">
          <cell r="B1040" t="str">
            <v>FKA6C97</v>
          </cell>
          <cell r="C1040" t="str">
            <v> </v>
          </cell>
        </row>
        <row r="1041">
          <cell r="B1041" t="str">
            <v>FKA9D41</v>
          </cell>
          <cell r="C1041" t="str">
            <v>Operando</v>
          </cell>
        </row>
        <row r="1042">
          <cell r="B1042" t="str">
            <v>FKB6C94</v>
          </cell>
          <cell r="C1042" t="str">
            <v> </v>
          </cell>
        </row>
        <row r="1043">
          <cell r="B1043" t="str">
            <v>FKC5F99</v>
          </cell>
          <cell r="C1043" t="str">
            <v> </v>
          </cell>
        </row>
        <row r="1044">
          <cell r="B1044" t="str">
            <v>FKC6I38</v>
          </cell>
          <cell r="C1044" t="str">
            <v>Operando</v>
          </cell>
        </row>
        <row r="1045">
          <cell r="B1045" t="str">
            <v>FKD6J74</v>
          </cell>
          <cell r="C1045" t="str">
            <v> </v>
          </cell>
        </row>
        <row r="1046">
          <cell r="B1046" t="str">
            <v>FKE6168</v>
          </cell>
          <cell r="C1046" t="str">
            <v> </v>
          </cell>
        </row>
        <row r="1047">
          <cell r="B1047" t="str">
            <v>FKG6G88</v>
          </cell>
          <cell r="C1047" t="str">
            <v> </v>
          </cell>
        </row>
        <row r="1048">
          <cell r="B1048" t="str">
            <v>FKH3F94</v>
          </cell>
          <cell r="C1048" t="str">
            <v>Operando</v>
          </cell>
        </row>
        <row r="1049">
          <cell r="B1049" t="str">
            <v>FKL4I56</v>
          </cell>
          <cell r="C1049" t="str">
            <v> </v>
          </cell>
        </row>
        <row r="1050">
          <cell r="B1050" t="str">
            <v>FKN6A55</v>
          </cell>
          <cell r="C1050" t="str">
            <v> </v>
          </cell>
        </row>
        <row r="1051">
          <cell r="B1051" t="str">
            <v>FKN9G81</v>
          </cell>
          <cell r="C1051" t="str">
            <v> </v>
          </cell>
        </row>
        <row r="1052">
          <cell r="B1052" t="str">
            <v>FKQ3I57</v>
          </cell>
          <cell r="C1052" t="str">
            <v> </v>
          </cell>
        </row>
        <row r="1053">
          <cell r="B1053" t="str">
            <v>FKT2757</v>
          </cell>
          <cell r="C1053" t="str">
            <v>Agregado</v>
          </cell>
        </row>
        <row r="1054">
          <cell r="B1054" t="str">
            <v>FKT2B74</v>
          </cell>
          <cell r="C1054" t="str">
            <v> </v>
          </cell>
        </row>
        <row r="1055">
          <cell r="B1055" t="str">
            <v>FKX7D63</v>
          </cell>
          <cell r="C1055" t="str">
            <v> </v>
          </cell>
        </row>
        <row r="1056">
          <cell r="B1056" t="str">
            <v>FKY1A42</v>
          </cell>
          <cell r="C1056" t="str">
            <v> </v>
          </cell>
        </row>
        <row r="1057">
          <cell r="B1057" t="str">
            <v>FKY3G37</v>
          </cell>
          <cell r="C1057" t="str">
            <v>Carregado</v>
          </cell>
        </row>
        <row r="1058">
          <cell r="B1058" t="str">
            <v>FKY8J12</v>
          </cell>
          <cell r="C1058" t="str">
            <v>Operando</v>
          </cell>
        </row>
        <row r="1059">
          <cell r="B1059" t="str">
            <v>FKZ0J61</v>
          </cell>
          <cell r="C1059" t="str">
            <v> </v>
          </cell>
        </row>
        <row r="1060">
          <cell r="B1060" t="str">
            <v>FKZ3D00</v>
          </cell>
          <cell r="C1060" t="str">
            <v> </v>
          </cell>
        </row>
        <row r="1061">
          <cell r="B1061" t="str">
            <v>FKZ5F96</v>
          </cell>
          <cell r="C1061" t="str">
            <v> </v>
          </cell>
        </row>
        <row r="1062">
          <cell r="B1062" t="str">
            <v>FLB8G36</v>
          </cell>
          <cell r="C1062" t="str">
            <v>Operando</v>
          </cell>
        </row>
        <row r="1063">
          <cell r="B1063" t="str">
            <v>FLE0788</v>
          </cell>
          <cell r="C1063" t="str">
            <v> </v>
          </cell>
        </row>
        <row r="1064">
          <cell r="B1064" t="str">
            <v>FLE4E62</v>
          </cell>
          <cell r="C1064" t="str">
            <v> </v>
          </cell>
        </row>
        <row r="1065">
          <cell r="B1065" t="str">
            <v>FLE6I68</v>
          </cell>
          <cell r="C1065" t="str">
            <v>Sem operação</v>
          </cell>
        </row>
        <row r="1066">
          <cell r="B1066" t="str">
            <v>FLF3C85</v>
          </cell>
          <cell r="C1066" t="str">
            <v>Carregado</v>
          </cell>
        </row>
        <row r="1067">
          <cell r="B1067" t="str">
            <v>FLF5268</v>
          </cell>
          <cell r="C1067" t="str">
            <v>Operando</v>
          </cell>
        </row>
        <row r="1068">
          <cell r="B1068" t="str">
            <v>FLF8H42</v>
          </cell>
          <cell r="C1068" t="str">
            <v>Agregado</v>
          </cell>
        </row>
        <row r="1069">
          <cell r="B1069" t="str">
            <v>FLF9A59</v>
          </cell>
          <cell r="C1069" t="str">
            <v> </v>
          </cell>
        </row>
        <row r="1070">
          <cell r="B1070" t="str">
            <v>FLG3809</v>
          </cell>
          <cell r="C1070" t="str">
            <v>Operando</v>
          </cell>
        </row>
        <row r="1071">
          <cell r="B1071" t="str">
            <v>FLH9J59</v>
          </cell>
          <cell r="C1071" t="str">
            <v>Operando</v>
          </cell>
        </row>
        <row r="1072">
          <cell r="B1072" t="str">
            <v>FLI6F35</v>
          </cell>
          <cell r="C1072" t="str">
            <v> </v>
          </cell>
        </row>
        <row r="1073">
          <cell r="B1073" t="str">
            <v>FLJ9H02</v>
          </cell>
          <cell r="C1073" t="str">
            <v> </v>
          </cell>
        </row>
        <row r="1074">
          <cell r="B1074" t="str">
            <v>FLN0H65</v>
          </cell>
          <cell r="C1074" t="str">
            <v> </v>
          </cell>
        </row>
        <row r="1075">
          <cell r="B1075" t="str">
            <v>FLN8H42</v>
          </cell>
          <cell r="C1075" t="str">
            <v> </v>
          </cell>
        </row>
        <row r="1076">
          <cell r="B1076" t="str">
            <v>FLO3H54</v>
          </cell>
          <cell r="C1076" t="str">
            <v> </v>
          </cell>
        </row>
        <row r="1077">
          <cell r="B1077" t="str">
            <v>FLO7A83</v>
          </cell>
          <cell r="C1077" t="str">
            <v>Operando</v>
          </cell>
        </row>
        <row r="1078">
          <cell r="B1078" t="str">
            <v>FLR5G23</v>
          </cell>
          <cell r="C1078" t="str">
            <v>Operando</v>
          </cell>
        </row>
        <row r="1079">
          <cell r="B1079" t="str">
            <v>FLR5J12</v>
          </cell>
          <cell r="C1079" t="str">
            <v>Operando</v>
          </cell>
        </row>
        <row r="1080">
          <cell r="B1080" t="str">
            <v>FLS1G99</v>
          </cell>
          <cell r="C1080" t="str">
            <v> </v>
          </cell>
        </row>
        <row r="1081">
          <cell r="B1081" t="str">
            <v>FLS1J14</v>
          </cell>
          <cell r="C1081" t="str">
            <v>Operando</v>
          </cell>
        </row>
        <row r="1082">
          <cell r="B1082" t="str">
            <v>FLV6I65</v>
          </cell>
          <cell r="C1082" t="str">
            <v> </v>
          </cell>
        </row>
        <row r="1083">
          <cell r="B1083" t="str">
            <v>FLW8J46</v>
          </cell>
          <cell r="C1083" t="str">
            <v> </v>
          </cell>
        </row>
        <row r="1084">
          <cell r="B1084" t="str">
            <v>FLX3A62</v>
          </cell>
          <cell r="C1084" t="str">
            <v> </v>
          </cell>
        </row>
        <row r="1085">
          <cell r="B1085" t="str">
            <v>FLX3H74</v>
          </cell>
          <cell r="C1085" t="str">
            <v> </v>
          </cell>
        </row>
        <row r="1086">
          <cell r="B1086" t="str">
            <v>FLX7G43</v>
          </cell>
          <cell r="C1086" t="str">
            <v>Operando</v>
          </cell>
        </row>
        <row r="1087">
          <cell r="B1087" t="str">
            <v>FLY1A94</v>
          </cell>
          <cell r="C1087" t="str">
            <v> </v>
          </cell>
        </row>
        <row r="1088">
          <cell r="B1088" t="str">
            <v>FMA2E77</v>
          </cell>
          <cell r="C1088" t="str">
            <v> </v>
          </cell>
        </row>
        <row r="1089">
          <cell r="B1089" t="str">
            <v>FMC6I01</v>
          </cell>
          <cell r="C1089" t="str">
            <v>Operando</v>
          </cell>
        </row>
        <row r="1090">
          <cell r="B1090" t="str">
            <v>FMD3I97</v>
          </cell>
          <cell r="C1090" t="str">
            <v> </v>
          </cell>
        </row>
        <row r="1091">
          <cell r="B1091" t="str">
            <v>FME1298</v>
          </cell>
          <cell r="C1091" t="str">
            <v>Agregado</v>
          </cell>
        </row>
        <row r="1092">
          <cell r="B1092" t="str">
            <v>FMG0F58</v>
          </cell>
          <cell r="C1092" t="str">
            <v> </v>
          </cell>
        </row>
        <row r="1093">
          <cell r="B1093" t="str">
            <v>FMG8C69</v>
          </cell>
          <cell r="C1093" t="str">
            <v> </v>
          </cell>
        </row>
        <row r="1094">
          <cell r="B1094" t="str">
            <v>FMJ6F60</v>
          </cell>
          <cell r="C1094" t="str">
            <v> </v>
          </cell>
        </row>
        <row r="1095">
          <cell r="B1095" t="str">
            <v>FMO4H08</v>
          </cell>
          <cell r="C1095" t="str">
            <v> </v>
          </cell>
        </row>
        <row r="1096">
          <cell r="B1096" t="str">
            <v>FMO8E22</v>
          </cell>
          <cell r="C1096" t="str">
            <v> </v>
          </cell>
        </row>
        <row r="1097">
          <cell r="B1097" t="str">
            <v>FMP0H33</v>
          </cell>
          <cell r="C1097" t="str">
            <v>Operando</v>
          </cell>
        </row>
        <row r="1098">
          <cell r="B1098" t="str">
            <v>FMS0C58</v>
          </cell>
          <cell r="C1098" t="str">
            <v>Sem operação</v>
          </cell>
        </row>
        <row r="1099">
          <cell r="B1099" t="str">
            <v>FMT7B75</v>
          </cell>
          <cell r="C1099" t="str">
            <v> </v>
          </cell>
        </row>
        <row r="1100">
          <cell r="B1100" t="str">
            <v>FMU8I70</v>
          </cell>
          <cell r="C1100" t="str">
            <v>Sem operação</v>
          </cell>
        </row>
        <row r="1101">
          <cell r="B1101" t="str">
            <v>FMV2832</v>
          </cell>
          <cell r="C1101" t="str">
            <v>Operando</v>
          </cell>
        </row>
        <row r="1102">
          <cell r="B1102" t="str">
            <v>FMW7A46</v>
          </cell>
          <cell r="C1102" t="str">
            <v> </v>
          </cell>
        </row>
        <row r="1103">
          <cell r="B1103" t="str">
            <v>FMY4D21</v>
          </cell>
          <cell r="C1103" t="str">
            <v> </v>
          </cell>
        </row>
        <row r="1104">
          <cell r="B1104" t="str">
            <v>FND3E68</v>
          </cell>
          <cell r="C1104" t="str">
            <v>Agregado</v>
          </cell>
        </row>
        <row r="1105">
          <cell r="B1105" t="str">
            <v>FND9317</v>
          </cell>
          <cell r="C1105" t="str">
            <v>Operando</v>
          </cell>
        </row>
        <row r="1106">
          <cell r="B1106" t="str">
            <v>FNF3158</v>
          </cell>
          <cell r="C1106" t="str">
            <v>Operando</v>
          </cell>
        </row>
        <row r="1107">
          <cell r="B1107" t="str">
            <v>FNG2B94</v>
          </cell>
          <cell r="C1107" t="str">
            <v>Carregado</v>
          </cell>
        </row>
        <row r="1108">
          <cell r="B1108" t="str">
            <v>FNI3F91</v>
          </cell>
          <cell r="C1108" t="str">
            <v>Manutenção</v>
          </cell>
        </row>
        <row r="1109">
          <cell r="B1109" t="str">
            <v>FNN5921</v>
          </cell>
          <cell r="C1109" t="str">
            <v>Operando</v>
          </cell>
        </row>
        <row r="1110">
          <cell r="B1110" t="str">
            <v>FNP2G28</v>
          </cell>
          <cell r="C1110" t="str">
            <v> </v>
          </cell>
        </row>
        <row r="1111">
          <cell r="B1111" t="str">
            <v>FNR5542</v>
          </cell>
          <cell r="C1111" t="str">
            <v> </v>
          </cell>
        </row>
        <row r="1112">
          <cell r="B1112" t="str">
            <v>FNR7C93</v>
          </cell>
          <cell r="C1112" t="str">
            <v>Sem operação</v>
          </cell>
        </row>
        <row r="1113">
          <cell r="B1113" t="str">
            <v>FNS3H90</v>
          </cell>
          <cell r="C1113" t="str">
            <v>Agregado</v>
          </cell>
        </row>
        <row r="1114">
          <cell r="B1114" t="str">
            <v>FNU4B73</v>
          </cell>
          <cell r="C1114" t="str">
            <v> </v>
          </cell>
        </row>
        <row r="1115">
          <cell r="B1115" t="str">
            <v>FNY2B06</v>
          </cell>
          <cell r="C1115" t="str">
            <v> </v>
          </cell>
        </row>
        <row r="1116">
          <cell r="B1116" t="str">
            <v>FOC0D48</v>
          </cell>
          <cell r="C1116" t="str">
            <v> </v>
          </cell>
        </row>
        <row r="1117">
          <cell r="B1117" t="str">
            <v>FOC4F71</v>
          </cell>
          <cell r="C1117" t="str">
            <v> </v>
          </cell>
        </row>
        <row r="1118">
          <cell r="B1118" t="str">
            <v>FOC5828</v>
          </cell>
          <cell r="C1118" t="str">
            <v>Operando</v>
          </cell>
        </row>
        <row r="1119">
          <cell r="B1119" t="str">
            <v>FOE6I44</v>
          </cell>
          <cell r="C1119" t="str">
            <v>Agregado</v>
          </cell>
        </row>
        <row r="1120">
          <cell r="B1120" t="str">
            <v>FOG3J07</v>
          </cell>
          <cell r="C1120" t="str">
            <v>Agregado</v>
          </cell>
        </row>
        <row r="1121">
          <cell r="B1121" t="str">
            <v>FOJ3F33</v>
          </cell>
          <cell r="C1121" t="str">
            <v> </v>
          </cell>
        </row>
        <row r="1122">
          <cell r="B1122" t="str">
            <v>FOK7A40</v>
          </cell>
          <cell r="C1122" t="str">
            <v> </v>
          </cell>
        </row>
        <row r="1123">
          <cell r="B1123" t="str">
            <v>FOK7D89</v>
          </cell>
          <cell r="C1123" t="str">
            <v> </v>
          </cell>
        </row>
        <row r="1124">
          <cell r="B1124" t="str">
            <v>FOM3F69</v>
          </cell>
          <cell r="C1124" t="str">
            <v>Operando</v>
          </cell>
        </row>
        <row r="1125">
          <cell r="B1125" t="str">
            <v>FOS0H79</v>
          </cell>
          <cell r="C1125" t="str">
            <v> </v>
          </cell>
        </row>
        <row r="1126">
          <cell r="B1126" t="str">
            <v>FOS2F00</v>
          </cell>
          <cell r="C1126" t="str">
            <v>Operando</v>
          </cell>
        </row>
        <row r="1127">
          <cell r="B1127" t="str">
            <v>FOU7233</v>
          </cell>
          <cell r="C1127" t="str">
            <v> </v>
          </cell>
        </row>
        <row r="1128">
          <cell r="B1128" t="str">
            <v>FOU8E30</v>
          </cell>
          <cell r="C1128" t="str">
            <v> </v>
          </cell>
        </row>
        <row r="1129">
          <cell r="B1129" t="str">
            <v>FOZ1H80</v>
          </cell>
          <cell r="C1129" t="str">
            <v> </v>
          </cell>
        </row>
        <row r="1130">
          <cell r="B1130" t="str">
            <v>FOZ9A51</v>
          </cell>
          <cell r="C1130" t="str">
            <v> </v>
          </cell>
        </row>
        <row r="1131">
          <cell r="B1131" t="str">
            <v>FPG5870</v>
          </cell>
          <cell r="C1131" t="str">
            <v> </v>
          </cell>
        </row>
        <row r="1132">
          <cell r="B1132" t="str">
            <v>FPJ1H98</v>
          </cell>
          <cell r="C1132" t="str">
            <v> </v>
          </cell>
        </row>
        <row r="1133">
          <cell r="B1133" t="str">
            <v>FPM8D95</v>
          </cell>
          <cell r="C1133" t="str">
            <v> </v>
          </cell>
        </row>
        <row r="1134">
          <cell r="B1134" t="str">
            <v>FPN2I75</v>
          </cell>
          <cell r="C1134" t="str">
            <v>Agregado</v>
          </cell>
        </row>
        <row r="1135">
          <cell r="B1135" t="str">
            <v>FPP3C59</v>
          </cell>
          <cell r="C1135" t="str">
            <v>Carregado</v>
          </cell>
        </row>
        <row r="1136">
          <cell r="B1136" t="str">
            <v>FPS1I65</v>
          </cell>
          <cell r="C1136" t="str">
            <v>Sem operação</v>
          </cell>
        </row>
        <row r="1137">
          <cell r="B1137" t="str">
            <v>FPS6347</v>
          </cell>
          <cell r="C1137" t="str">
            <v> </v>
          </cell>
        </row>
        <row r="1138">
          <cell r="B1138" t="str">
            <v>FPT3J43</v>
          </cell>
          <cell r="C1138" t="str">
            <v> </v>
          </cell>
        </row>
        <row r="1139">
          <cell r="B1139" t="str">
            <v>FPU0F50</v>
          </cell>
          <cell r="C1139" t="str">
            <v> </v>
          </cell>
        </row>
        <row r="1140">
          <cell r="B1140" t="str">
            <v>FPU5E13</v>
          </cell>
          <cell r="C1140" t="str">
            <v> </v>
          </cell>
        </row>
        <row r="1141">
          <cell r="B1141" t="str">
            <v>FPX4H90</v>
          </cell>
          <cell r="C1141" t="str">
            <v>Operando</v>
          </cell>
        </row>
        <row r="1142">
          <cell r="B1142" t="str">
            <v>FQA4250</v>
          </cell>
          <cell r="C1142" t="str">
            <v>Operando</v>
          </cell>
        </row>
        <row r="1143">
          <cell r="B1143" t="str">
            <v>FQC0D29</v>
          </cell>
          <cell r="C1143" t="str">
            <v> </v>
          </cell>
        </row>
        <row r="1144">
          <cell r="B1144" t="str">
            <v>FQD2I72</v>
          </cell>
          <cell r="C1144" t="str">
            <v> </v>
          </cell>
        </row>
        <row r="1145">
          <cell r="B1145" t="str">
            <v>FQE3D62</v>
          </cell>
          <cell r="C1145" t="str">
            <v> </v>
          </cell>
        </row>
        <row r="1146">
          <cell r="B1146" t="str">
            <v>FQI8H04</v>
          </cell>
          <cell r="C1146" t="str">
            <v> </v>
          </cell>
        </row>
        <row r="1147">
          <cell r="B1147" t="str">
            <v>FQJ9G98</v>
          </cell>
          <cell r="C1147" t="str">
            <v> </v>
          </cell>
        </row>
        <row r="1148">
          <cell r="B1148" t="str">
            <v>FQL9057</v>
          </cell>
          <cell r="C1148" t="str">
            <v> </v>
          </cell>
        </row>
        <row r="1149">
          <cell r="B1149" t="str">
            <v>FQM1J83</v>
          </cell>
          <cell r="C1149" t="str">
            <v> </v>
          </cell>
        </row>
        <row r="1150">
          <cell r="B1150" t="str">
            <v>FQM7D47</v>
          </cell>
          <cell r="C1150" t="str">
            <v> </v>
          </cell>
        </row>
        <row r="1151">
          <cell r="B1151" t="str">
            <v>FQR1A66</v>
          </cell>
          <cell r="C1151" t="str">
            <v> </v>
          </cell>
        </row>
        <row r="1152">
          <cell r="B1152" t="str">
            <v>FQU0J31</v>
          </cell>
          <cell r="C1152" t="str">
            <v>Operando</v>
          </cell>
        </row>
        <row r="1153">
          <cell r="B1153" t="str">
            <v>FQU1B24</v>
          </cell>
          <cell r="C1153" t="str">
            <v> </v>
          </cell>
        </row>
        <row r="1154">
          <cell r="B1154" t="str">
            <v>FQU4E79</v>
          </cell>
          <cell r="C1154" t="str">
            <v>Operando</v>
          </cell>
        </row>
        <row r="1155">
          <cell r="B1155" t="str">
            <v>FQV1A63</v>
          </cell>
          <cell r="C1155" t="str">
            <v> </v>
          </cell>
        </row>
        <row r="1156">
          <cell r="B1156" t="str">
            <v>FQW9C40</v>
          </cell>
          <cell r="C1156" t="str">
            <v> </v>
          </cell>
        </row>
        <row r="1157">
          <cell r="B1157" t="str">
            <v>FQX0C27</v>
          </cell>
          <cell r="C1157" t="str">
            <v>Agregado</v>
          </cell>
        </row>
        <row r="1158">
          <cell r="B1158" t="str">
            <v>FQX8J13</v>
          </cell>
          <cell r="C1158" t="str">
            <v>Operando</v>
          </cell>
        </row>
        <row r="1159">
          <cell r="B1159" t="str">
            <v>FRB8A78</v>
          </cell>
          <cell r="C1159" t="str">
            <v>Operando</v>
          </cell>
        </row>
        <row r="1160">
          <cell r="B1160" t="str">
            <v>FRD4914</v>
          </cell>
          <cell r="C1160" t="str">
            <v> </v>
          </cell>
        </row>
        <row r="1161">
          <cell r="B1161" t="str">
            <v>FRD6J26</v>
          </cell>
          <cell r="C1161" t="str">
            <v> </v>
          </cell>
        </row>
        <row r="1162">
          <cell r="B1162" t="str">
            <v>FRE7B62</v>
          </cell>
          <cell r="C1162" t="str">
            <v> </v>
          </cell>
        </row>
        <row r="1163">
          <cell r="B1163" t="str">
            <v>FRH5A18</v>
          </cell>
          <cell r="C1163" t="str">
            <v>Operando</v>
          </cell>
        </row>
        <row r="1164">
          <cell r="B1164" t="str">
            <v>FRJ2B94</v>
          </cell>
          <cell r="C1164" t="str">
            <v> </v>
          </cell>
        </row>
        <row r="1165">
          <cell r="B1165" t="str">
            <v>FRM4I25</v>
          </cell>
          <cell r="C1165" t="str">
            <v> </v>
          </cell>
        </row>
        <row r="1166">
          <cell r="B1166" t="str">
            <v>FRN7D24</v>
          </cell>
          <cell r="C1166" t="str">
            <v> </v>
          </cell>
        </row>
        <row r="1167">
          <cell r="B1167" t="str">
            <v>FRP7F43</v>
          </cell>
          <cell r="C1167" t="str">
            <v> </v>
          </cell>
        </row>
        <row r="1168">
          <cell r="B1168" t="str">
            <v>FRR0J79</v>
          </cell>
          <cell r="C1168" t="str">
            <v> </v>
          </cell>
        </row>
        <row r="1169">
          <cell r="B1169" t="str">
            <v>FRR9712</v>
          </cell>
          <cell r="C1169" t="str">
            <v> </v>
          </cell>
        </row>
        <row r="1170">
          <cell r="B1170" t="str">
            <v>FRT1A84</v>
          </cell>
          <cell r="C1170" t="str">
            <v> </v>
          </cell>
        </row>
        <row r="1171">
          <cell r="B1171" t="str">
            <v>FRY6I14</v>
          </cell>
          <cell r="C1171" t="str">
            <v> </v>
          </cell>
        </row>
        <row r="1172">
          <cell r="B1172" t="str">
            <v>FSC1A39</v>
          </cell>
          <cell r="C1172" t="str">
            <v>Carregado</v>
          </cell>
        </row>
        <row r="1173">
          <cell r="B1173" t="str">
            <v>FSD6F91</v>
          </cell>
          <cell r="C1173" t="str">
            <v> </v>
          </cell>
        </row>
        <row r="1174">
          <cell r="B1174" t="str">
            <v>FSD9E41</v>
          </cell>
          <cell r="C1174" t="str">
            <v> </v>
          </cell>
        </row>
        <row r="1175">
          <cell r="B1175" t="str">
            <v>FSG4D27</v>
          </cell>
          <cell r="C1175" t="str">
            <v> </v>
          </cell>
        </row>
        <row r="1176">
          <cell r="B1176" t="str">
            <v>FSI7H50</v>
          </cell>
          <cell r="C1176" t="str">
            <v>Agregado</v>
          </cell>
        </row>
        <row r="1177">
          <cell r="B1177" t="str">
            <v>FSI9B53</v>
          </cell>
          <cell r="C1177" t="str">
            <v>Operando</v>
          </cell>
        </row>
        <row r="1178">
          <cell r="B1178" t="str">
            <v>FSL8F47</v>
          </cell>
          <cell r="C1178" t="str">
            <v> </v>
          </cell>
        </row>
        <row r="1179">
          <cell r="B1179" t="str">
            <v>FSQ0G30</v>
          </cell>
          <cell r="C1179" t="str">
            <v> </v>
          </cell>
        </row>
        <row r="1180">
          <cell r="B1180" t="str">
            <v>FSR1J22</v>
          </cell>
          <cell r="C1180" t="str">
            <v> </v>
          </cell>
        </row>
        <row r="1181">
          <cell r="B1181" t="str">
            <v>FSR7D25</v>
          </cell>
          <cell r="C1181" t="str">
            <v> </v>
          </cell>
        </row>
        <row r="1182">
          <cell r="B1182" t="str">
            <v>FSS4G15</v>
          </cell>
          <cell r="C1182" t="str">
            <v> </v>
          </cell>
        </row>
        <row r="1183">
          <cell r="B1183" t="str">
            <v>FST3C41</v>
          </cell>
          <cell r="C1183" t="str">
            <v>Operando</v>
          </cell>
        </row>
        <row r="1184">
          <cell r="B1184" t="str">
            <v>FSU3D84</v>
          </cell>
          <cell r="C1184" t="str">
            <v>Agregado</v>
          </cell>
        </row>
        <row r="1185">
          <cell r="B1185" t="str">
            <v>FSU4E26</v>
          </cell>
          <cell r="C1185" t="str">
            <v> </v>
          </cell>
        </row>
        <row r="1186">
          <cell r="B1186" t="str">
            <v>FSU7A59</v>
          </cell>
          <cell r="C1186" t="str">
            <v> </v>
          </cell>
        </row>
        <row r="1187">
          <cell r="B1187" t="str">
            <v>FSW1H80</v>
          </cell>
          <cell r="C1187" t="str">
            <v> </v>
          </cell>
        </row>
        <row r="1188">
          <cell r="B1188" t="str">
            <v>FSW4I21</v>
          </cell>
          <cell r="C1188" t="str">
            <v> </v>
          </cell>
        </row>
        <row r="1189">
          <cell r="B1189" t="str">
            <v>FTF9E75</v>
          </cell>
          <cell r="C1189" t="str">
            <v>Agregado</v>
          </cell>
        </row>
        <row r="1190">
          <cell r="B1190" t="str">
            <v>FTG9D34</v>
          </cell>
          <cell r="C1190" t="str">
            <v> </v>
          </cell>
        </row>
        <row r="1191">
          <cell r="B1191" t="str">
            <v>FTH0F61</v>
          </cell>
          <cell r="C1191" t="str">
            <v>Operando</v>
          </cell>
        </row>
        <row r="1192">
          <cell r="B1192" t="str">
            <v>FTJ5D25</v>
          </cell>
          <cell r="C1192" t="str">
            <v> </v>
          </cell>
        </row>
        <row r="1193">
          <cell r="B1193" t="str">
            <v>FTJ9G91</v>
          </cell>
          <cell r="C1193" t="str">
            <v>Carregado</v>
          </cell>
        </row>
        <row r="1194">
          <cell r="B1194" t="str">
            <v>FTK3491</v>
          </cell>
          <cell r="C1194" t="str">
            <v> </v>
          </cell>
        </row>
        <row r="1195">
          <cell r="B1195" t="str">
            <v>FTM3C43</v>
          </cell>
          <cell r="C1195" t="str">
            <v>Operando</v>
          </cell>
        </row>
        <row r="1196">
          <cell r="B1196" t="str">
            <v>FTM7J93</v>
          </cell>
          <cell r="C1196" t="str">
            <v>Operando</v>
          </cell>
        </row>
        <row r="1197">
          <cell r="B1197" t="str">
            <v>FTN2F20</v>
          </cell>
          <cell r="C1197" t="str">
            <v>Operando</v>
          </cell>
        </row>
        <row r="1198">
          <cell r="B1198" t="str">
            <v>FTN7D99</v>
          </cell>
          <cell r="C1198" t="str">
            <v>Agregado</v>
          </cell>
        </row>
        <row r="1199">
          <cell r="B1199" t="str">
            <v>FTR4G01</v>
          </cell>
          <cell r="C1199" t="str">
            <v>Operando</v>
          </cell>
        </row>
        <row r="1200">
          <cell r="B1200" t="str">
            <v>FTT6C24</v>
          </cell>
          <cell r="C1200" t="str">
            <v> </v>
          </cell>
        </row>
        <row r="1201">
          <cell r="B1201" t="str">
            <v>FTT8186</v>
          </cell>
          <cell r="C1201" t="str">
            <v> </v>
          </cell>
        </row>
        <row r="1202">
          <cell r="B1202" t="str">
            <v>FTV1H09</v>
          </cell>
          <cell r="C1202" t="str">
            <v> </v>
          </cell>
        </row>
        <row r="1203">
          <cell r="B1203" t="str">
            <v>FTW8E25</v>
          </cell>
          <cell r="C1203" t="str">
            <v>Operando</v>
          </cell>
        </row>
        <row r="1204">
          <cell r="B1204" t="str">
            <v>FTY3573</v>
          </cell>
          <cell r="C1204" t="str">
            <v> </v>
          </cell>
        </row>
        <row r="1205">
          <cell r="B1205" t="str">
            <v>FTZ3463</v>
          </cell>
          <cell r="C1205" t="str">
            <v> </v>
          </cell>
        </row>
        <row r="1206">
          <cell r="B1206" t="str">
            <v>FUB1F47</v>
          </cell>
          <cell r="C1206" t="str">
            <v> </v>
          </cell>
        </row>
        <row r="1207">
          <cell r="B1207" t="str">
            <v>FUB6G40</v>
          </cell>
          <cell r="C1207" t="str">
            <v>Operando</v>
          </cell>
        </row>
        <row r="1208">
          <cell r="B1208" t="str">
            <v>FUB8C99</v>
          </cell>
          <cell r="C1208" t="str">
            <v> </v>
          </cell>
        </row>
        <row r="1209">
          <cell r="B1209" t="str">
            <v>FUC0B54</v>
          </cell>
          <cell r="C1209" t="str">
            <v> </v>
          </cell>
        </row>
        <row r="1210">
          <cell r="B1210" t="str">
            <v>FUC8H19</v>
          </cell>
          <cell r="C1210" t="str">
            <v>Operando</v>
          </cell>
        </row>
        <row r="1211">
          <cell r="B1211" t="str">
            <v>FUD5979</v>
          </cell>
          <cell r="C1211" t="str">
            <v> </v>
          </cell>
        </row>
        <row r="1212">
          <cell r="B1212" t="str">
            <v>FUG8I23</v>
          </cell>
          <cell r="C1212" t="str">
            <v> </v>
          </cell>
        </row>
        <row r="1213">
          <cell r="B1213" t="str">
            <v>FUG9A34</v>
          </cell>
          <cell r="C1213" t="str">
            <v> </v>
          </cell>
        </row>
        <row r="1214">
          <cell r="B1214" t="str">
            <v>FUI1I10</v>
          </cell>
          <cell r="C1214" t="str">
            <v>Carregado</v>
          </cell>
        </row>
        <row r="1215">
          <cell r="B1215" t="str">
            <v>FUI3H15</v>
          </cell>
          <cell r="C1215" t="str">
            <v> </v>
          </cell>
        </row>
        <row r="1216">
          <cell r="B1216" t="str">
            <v>FUI4B69</v>
          </cell>
          <cell r="C1216" t="str">
            <v> </v>
          </cell>
        </row>
        <row r="1217">
          <cell r="B1217" t="str">
            <v>FUP1A85</v>
          </cell>
          <cell r="C1217" t="str">
            <v> </v>
          </cell>
        </row>
        <row r="1218">
          <cell r="B1218" t="str">
            <v>FUP7C71</v>
          </cell>
          <cell r="C1218" t="str">
            <v> </v>
          </cell>
        </row>
        <row r="1219">
          <cell r="B1219" t="str">
            <v>FUS4I40</v>
          </cell>
          <cell r="C1219" t="str">
            <v> </v>
          </cell>
        </row>
        <row r="1220">
          <cell r="B1220" t="str">
            <v>FUU0E50</v>
          </cell>
          <cell r="C1220" t="str">
            <v>Operando</v>
          </cell>
        </row>
        <row r="1221">
          <cell r="B1221" t="str">
            <v>FUU2G71</v>
          </cell>
          <cell r="C1221" t="str">
            <v> </v>
          </cell>
        </row>
        <row r="1222">
          <cell r="B1222" t="str">
            <v>FUV4C86</v>
          </cell>
          <cell r="C1222" t="str">
            <v> </v>
          </cell>
        </row>
        <row r="1223">
          <cell r="B1223" t="str">
            <v>FUZ0I43</v>
          </cell>
          <cell r="C1223" t="str">
            <v> </v>
          </cell>
        </row>
        <row r="1224">
          <cell r="B1224" t="str">
            <v>FUZ8B67</v>
          </cell>
          <cell r="C1224" t="str">
            <v> </v>
          </cell>
        </row>
        <row r="1225">
          <cell r="B1225" t="str">
            <v>FUZ9H85</v>
          </cell>
          <cell r="C1225" t="str">
            <v> </v>
          </cell>
        </row>
        <row r="1226">
          <cell r="B1226" t="str">
            <v>FVE2H22</v>
          </cell>
          <cell r="C1226" t="str">
            <v> </v>
          </cell>
        </row>
        <row r="1227">
          <cell r="B1227" t="str">
            <v>FVE4E64</v>
          </cell>
          <cell r="C1227" t="str">
            <v>Operando</v>
          </cell>
        </row>
        <row r="1228">
          <cell r="B1228" t="str">
            <v>FVG1H06</v>
          </cell>
          <cell r="C1228" t="str">
            <v> </v>
          </cell>
        </row>
        <row r="1229">
          <cell r="B1229" t="str">
            <v>FVG6143</v>
          </cell>
          <cell r="C1229" t="str">
            <v>Operando</v>
          </cell>
        </row>
        <row r="1230">
          <cell r="B1230" t="str">
            <v>FVJ0J78</v>
          </cell>
          <cell r="C1230" t="str">
            <v>Operando</v>
          </cell>
        </row>
        <row r="1231">
          <cell r="B1231" t="str">
            <v>FVK7G40</v>
          </cell>
          <cell r="C1231" t="str">
            <v>Operando</v>
          </cell>
        </row>
        <row r="1232">
          <cell r="B1232" t="str">
            <v>FVL5H96</v>
          </cell>
          <cell r="C1232" t="str">
            <v> </v>
          </cell>
        </row>
        <row r="1233">
          <cell r="B1233" t="str">
            <v>FVM5D11</v>
          </cell>
          <cell r="C1233" t="str">
            <v> </v>
          </cell>
        </row>
        <row r="1234">
          <cell r="B1234" t="str">
            <v>FVP5D30</v>
          </cell>
          <cell r="C1234" t="str">
            <v>Agregado</v>
          </cell>
        </row>
        <row r="1235">
          <cell r="B1235" t="str">
            <v>FVQ2210</v>
          </cell>
          <cell r="C1235" t="str">
            <v> </v>
          </cell>
        </row>
        <row r="1236">
          <cell r="B1236" t="str">
            <v>FVT4H43</v>
          </cell>
          <cell r="C1236" t="str">
            <v>Agregado</v>
          </cell>
        </row>
        <row r="1237">
          <cell r="B1237" t="str">
            <v>FVV1B52</v>
          </cell>
          <cell r="C1237" t="str">
            <v> </v>
          </cell>
        </row>
        <row r="1238">
          <cell r="B1238" t="str">
            <v>FVW6E42</v>
          </cell>
          <cell r="C1238" t="str">
            <v> </v>
          </cell>
        </row>
        <row r="1239">
          <cell r="B1239" t="str">
            <v>FVW9D54</v>
          </cell>
          <cell r="C1239" t="str">
            <v> </v>
          </cell>
        </row>
        <row r="1240">
          <cell r="B1240" t="str">
            <v>FWE9D62</v>
          </cell>
          <cell r="C1240" t="str">
            <v> </v>
          </cell>
        </row>
        <row r="1241">
          <cell r="B1241" t="str">
            <v>FWF1H04</v>
          </cell>
          <cell r="C1241" t="str">
            <v>Operando</v>
          </cell>
        </row>
        <row r="1242">
          <cell r="B1242" t="str">
            <v>FWF2F91</v>
          </cell>
          <cell r="C1242" t="str">
            <v> </v>
          </cell>
        </row>
        <row r="1243">
          <cell r="B1243" t="str">
            <v>FWG6I88</v>
          </cell>
          <cell r="C1243" t="str">
            <v> </v>
          </cell>
        </row>
        <row r="1244">
          <cell r="B1244" t="str">
            <v>FWH1E58</v>
          </cell>
          <cell r="C1244" t="str">
            <v> </v>
          </cell>
        </row>
        <row r="1245">
          <cell r="B1245" t="str">
            <v>FWI4E80</v>
          </cell>
          <cell r="C1245" t="str">
            <v>Operando</v>
          </cell>
        </row>
        <row r="1246">
          <cell r="B1246" t="str">
            <v>FWI9B57</v>
          </cell>
          <cell r="C1246" t="str">
            <v> </v>
          </cell>
        </row>
        <row r="1247">
          <cell r="B1247" t="str">
            <v>FWL5G19</v>
          </cell>
          <cell r="C1247" t="str">
            <v>Sem operação</v>
          </cell>
        </row>
        <row r="1248">
          <cell r="B1248" t="str">
            <v>FWR6F43</v>
          </cell>
          <cell r="C1248" t="str">
            <v>Operando</v>
          </cell>
        </row>
        <row r="1249">
          <cell r="B1249" t="str">
            <v>FWR7A09</v>
          </cell>
          <cell r="C1249" t="str">
            <v> </v>
          </cell>
        </row>
        <row r="1250">
          <cell r="B1250" t="str">
            <v>FWS0G69</v>
          </cell>
          <cell r="C1250" t="str">
            <v> </v>
          </cell>
        </row>
        <row r="1251">
          <cell r="B1251" t="str">
            <v>FWU3I25</v>
          </cell>
          <cell r="C1251" t="str">
            <v> </v>
          </cell>
        </row>
        <row r="1252">
          <cell r="B1252" t="str">
            <v>FWY5C49</v>
          </cell>
          <cell r="C1252" t="str">
            <v> </v>
          </cell>
        </row>
        <row r="1253">
          <cell r="B1253" t="str">
            <v>FXA4G66</v>
          </cell>
          <cell r="C1253" t="str">
            <v>Agregado</v>
          </cell>
        </row>
        <row r="1254">
          <cell r="B1254" t="str">
            <v>FXA5I44</v>
          </cell>
          <cell r="C1254" t="str">
            <v> </v>
          </cell>
        </row>
        <row r="1255">
          <cell r="B1255" t="str">
            <v>FXB3C61</v>
          </cell>
          <cell r="C1255" t="str">
            <v> </v>
          </cell>
        </row>
        <row r="1256">
          <cell r="B1256" t="str">
            <v>FXD3E10</v>
          </cell>
          <cell r="C1256" t="str">
            <v>Operando</v>
          </cell>
        </row>
        <row r="1257">
          <cell r="B1257" t="str">
            <v>FXF4F92</v>
          </cell>
          <cell r="C1257" t="str">
            <v> </v>
          </cell>
        </row>
        <row r="1258">
          <cell r="B1258" t="str">
            <v>FXF6H42</v>
          </cell>
          <cell r="C1258" t="str">
            <v> </v>
          </cell>
        </row>
        <row r="1259">
          <cell r="B1259" t="str">
            <v>FXL0D04</v>
          </cell>
          <cell r="C1259" t="str">
            <v> </v>
          </cell>
        </row>
        <row r="1260">
          <cell r="B1260" t="str">
            <v>FXP0C08</v>
          </cell>
          <cell r="C1260" t="str">
            <v> </v>
          </cell>
        </row>
        <row r="1261">
          <cell r="B1261" t="str">
            <v>FXP0I03</v>
          </cell>
          <cell r="C1261" t="str">
            <v> </v>
          </cell>
        </row>
        <row r="1262">
          <cell r="B1262" t="str">
            <v>FXR6909</v>
          </cell>
          <cell r="C1262" t="str">
            <v> </v>
          </cell>
        </row>
        <row r="1263">
          <cell r="B1263" t="str">
            <v>FXT9H66</v>
          </cell>
          <cell r="C1263" t="str">
            <v>Operando</v>
          </cell>
        </row>
        <row r="1264">
          <cell r="B1264" t="str">
            <v>FXU0F34</v>
          </cell>
          <cell r="C1264" t="str">
            <v>Agregado</v>
          </cell>
        </row>
        <row r="1265">
          <cell r="B1265" t="str">
            <v>FXU0J99</v>
          </cell>
          <cell r="C1265" t="str">
            <v>Agregado</v>
          </cell>
        </row>
        <row r="1266">
          <cell r="B1266" t="str">
            <v>FXU5F35</v>
          </cell>
          <cell r="C1266" t="str">
            <v>Operando</v>
          </cell>
        </row>
        <row r="1267">
          <cell r="B1267" t="str">
            <v>FXV3742</v>
          </cell>
          <cell r="C1267" t="str">
            <v> </v>
          </cell>
        </row>
        <row r="1268">
          <cell r="B1268" t="str">
            <v>FXV8B45</v>
          </cell>
          <cell r="C1268" t="str">
            <v> </v>
          </cell>
        </row>
        <row r="1269">
          <cell r="B1269" t="str">
            <v>FXX5H10</v>
          </cell>
          <cell r="C1269" t="str">
            <v> </v>
          </cell>
        </row>
        <row r="1270">
          <cell r="B1270" t="str">
            <v>FXX6B96</v>
          </cell>
          <cell r="C1270" t="str">
            <v>Operando</v>
          </cell>
        </row>
        <row r="1271">
          <cell r="B1271" t="str">
            <v>FXY9D65</v>
          </cell>
          <cell r="C1271" t="str">
            <v> </v>
          </cell>
        </row>
        <row r="1272">
          <cell r="B1272" t="str">
            <v>FYA7F09</v>
          </cell>
          <cell r="C1272" t="str">
            <v>Agregado</v>
          </cell>
        </row>
        <row r="1273">
          <cell r="B1273" t="str">
            <v>FYB3F31</v>
          </cell>
          <cell r="C1273" t="str">
            <v>Operando</v>
          </cell>
        </row>
        <row r="1274">
          <cell r="B1274" t="str">
            <v>FYE0A48</v>
          </cell>
          <cell r="C1274" t="str">
            <v> </v>
          </cell>
        </row>
        <row r="1275">
          <cell r="B1275" t="str">
            <v>FYJ3G68</v>
          </cell>
          <cell r="C1275" t="str">
            <v> </v>
          </cell>
        </row>
        <row r="1276">
          <cell r="B1276" t="str">
            <v>FYN6B45</v>
          </cell>
          <cell r="C1276" t="str">
            <v>Operando</v>
          </cell>
        </row>
        <row r="1277">
          <cell r="B1277" t="str">
            <v>FYO7308</v>
          </cell>
          <cell r="C1277" t="str">
            <v> </v>
          </cell>
        </row>
        <row r="1278">
          <cell r="B1278" t="str">
            <v>FYQ4B32</v>
          </cell>
          <cell r="C1278" t="str">
            <v> </v>
          </cell>
        </row>
        <row r="1279">
          <cell r="B1279" t="str">
            <v>FYS0E25</v>
          </cell>
          <cell r="C1279" t="str">
            <v> </v>
          </cell>
        </row>
        <row r="1280">
          <cell r="B1280" t="str">
            <v>FYT9J22</v>
          </cell>
          <cell r="C1280" t="str">
            <v>Carregado</v>
          </cell>
        </row>
        <row r="1281">
          <cell r="B1281" t="str">
            <v>FYZ5D79</v>
          </cell>
          <cell r="C1281" t="str">
            <v> </v>
          </cell>
        </row>
        <row r="1282">
          <cell r="B1282" t="str">
            <v>FZA2G70</v>
          </cell>
          <cell r="C1282" t="str">
            <v>Sem operação</v>
          </cell>
        </row>
        <row r="1283">
          <cell r="B1283" t="str">
            <v>FZA2H31</v>
          </cell>
          <cell r="C1283" t="str">
            <v> </v>
          </cell>
        </row>
        <row r="1284">
          <cell r="B1284" t="str">
            <v>FZB1A46</v>
          </cell>
          <cell r="C1284" t="str">
            <v> </v>
          </cell>
        </row>
        <row r="1285">
          <cell r="B1285" t="str">
            <v>FZC6I44</v>
          </cell>
          <cell r="C1285" t="str">
            <v> </v>
          </cell>
        </row>
        <row r="1286">
          <cell r="B1286" t="str">
            <v>FZE1H01</v>
          </cell>
          <cell r="C1286" t="str">
            <v> </v>
          </cell>
        </row>
        <row r="1287">
          <cell r="B1287" t="str">
            <v>FZE2F51</v>
          </cell>
          <cell r="C1287" t="str">
            <v> </v>
          </cell>
        </row>
        <row r="1288">
          <cell r="B1288" t="str">
            <v>FZF0J72</v>
          </cell>
          <cell r="C1288" t="str">
            <v> </v>
          </cell>
        </row>
        <row r="1289">
          <cell r="B1289" t="str">
            <v>FZF3E46</v>
          </cell>
          <cell r="C1289" t="str">
            <v> </v>
          </cell>
        </row>
        <row r="1290">
          <cell r="B1290" t="str">
            <v>FZF8H15</v>
          </cell>
          <cell r="C1290" t="str">
            <v> </v>
          </cell>
        </row>
        <row r="1291">
          <cell r="B1291" t="str">
            <v>FZG9A55</v>
          </cell>
          <cell r="C1291" t="str">
            <v> </v>
          </cell>
        </row>
        <row r="1292">
          <cell r="B1292" t="str">
            <v>FZK7J22</v>
          </cell>
          <cell r="C1292" t="str">
            <v> </v>
          </cell>
        </row>
        <row r="1293">
          <cell r="B1293" t="str">
            <v>FZK8I37</v>
          </cell>
          <cell r="C1293" t="str">
            <v> </v>
          </cell>
        </row>
        <row r="1294">
          <cell r="B1294" t="str">
            <v>FZL8E64</v>
          </cell>
          <cell r="C1294" t="str">
            <v>Carregado</v>
          </cell>
        </row>
        <row r="1295">
          <cell r="B1295" t="str">
            <v>FZM6G99</v>
          </cell>
          <cell r="C1295" t="str">
            <v> </v>
          </cell>
        </row>
        <row r="1296">
          <cell r="B1296" t="str">
            <v>FZN7J68</v>
          </cell>
          <cell r="C1296" t="str">
            <v> </v>
          </cell>
        </row>
        <row r="1297">
          <cell r="B1297" t="str">
            <v>FZQ1191</v>
          </cell>
          <cell r="C1297" t="str">
            <v> </v>
          </cell>
        </row>
        <row r="1298">
          <cell r="B1298" t="str">
            <v>FZR7B56</v>
          </cell>
          <cell r="C1298" t="str">
            <v>Operando</v>
          </cell>
        </row>
        <row r="1299">
          <cell r="B1299" t="str">
            <v>FZS3E83</v>
          </cell>
          <cell r="C1299" t="str">
            <v> </v>
          </cell>
        </row>
        <row r="1300">
          <cell r="B1300" t="str">
            <v>FZT7I15</v>
          </cell>
          <cell r="C1300" t="str">
            <v> </v>
          </cell>
        </row>
        <row r="1301">
          <cell r="B1301" t="str">
            <v>GAB5B09</v>
          </cell>
          <cell r="C1301" t="str">
            <v> </v>
          </cell>
        </row>
        <row r="1302">
          <cell r="B1302" t="str">
            <v>GAC0G44</v>
          </cell>
          <cell r="C1302" t="str">
            <v> </v>
          </cell>
        </row>
        <row r="1303">
          <cell r="B1303" t="str">
            <v>GAC8H65</v>
          </cell>
          <cell r="C1303" t="str">
            <v>Carregado</v>
          </cell>
        </row>
        <row r="1304">
          <cell r="B1304" t="str">
            <v>GAD3G12</v>
          </cell>
          <cell r="C1304" t="str">
            <v> </v>
          </cell>
        </row>
        <row r="1305">
          <cell r="B1305" t="str">
            <v>GAE1G05</v>
          </cell>
          <cell r="C1305" t="str">
            <v> </v>
          </cell>
        </row>
        <row r="1306">
          <cell r="B1306" t="str">
            <v>GAE8H54</v>
          </cell>
          <cell r="C1306" t="str">
            <v>Operando</v>
          </cell>
        </row>
        <row r="1307">
          <cell r="B1307" t="str">
            <v>GAF3902</v>
          </cell>
          <cell r="C1307" t="str">
            <v> </v>
          </cell>
        </row>
        <row r="1308">
          <cell r="B1308" t="str">
            <v>GAG4E38</v>
          </cell>
          <cell r="C1308" t="str">
            <v> </v>
          </cell>
        </row>
        <row r="1309">
          <cell r="B1309" t="str">
            <v>GAH3H88</v>
          </cell>
          <cell r="C1309" t="str">
            <v> </v>
          </cell>
        </row>
        <row r="1310">
          <cell r="B1310" t="str">
            <v>GAI0B48</v>
          </cell>
          <cell r="C1310" t="str">
            <v> </v>
          </cell>
        </row>
        <row r="1311">
          <cell r="B1311" t="str">
            <v>GAK3I24</v>
          </cell>
          <cell r="C1311" t="str">
            <v>Sem operação</v>
          </cell>
        </row>
        <row r="1312">
          <cell r="B1312" t="str">
            <v>GAK6C83</v>
          </cell>
          <cell r="C1312" t="str">
            <v>Operando</v>
          </cell>
        </row>
        <row r="1313">
          <cell r="B1313" t="str">
            <v>GAK9B77</v>
          </cell>
          <cell r="C1313" t="str">
            <v> </v>
          </cell>
        </row>
        <row r="1314">
          <cell r="B1314" t="str">
            <v>GAL2G87</v>
          </cell>
          <cell r="C1314" t="str">
            <v> </v>
          </cell>
        </row>
        <row r="1315">
          <cell r="B1315" t="str">
            <v>GAL3G14</v>
          </cell>
          <cell r="C1315" t="str">
            <v> </v>
          </cell>
        </row>
        <row r="1316">
          <cell r="B1316" t="str">
            <v>GAL7C13</v>
          </cell>
          <cell r="C1316" t="str">
            <v> </v>
          </cell>
        </row>
        <row r="1317">
          <cell r="B1317" t="str">
            <v>GAL9A35</v>
          </cell>
          <cell r="C1317" t="str">
            <v>Operando</v>
          </cell>
        </row>
        <row r="1318">
          <cell r="B1318" t="str">
            <v>GAP2D57</v>
          </cell>
          <cell r="C1318" t="str">
            <v> </v>
          </cell>
        </row>
        <row r="1319">
          <cell r="B1319" t="str">
            <v>GAQ4C37</v>
          </cell>
          <cell r="C1319" t="str">
            <v> </v>
          </cell>
        </row>
        <row r="1320">
          <cell r="B1320" t="str">
            <v>GAQ6B25</v>
          </cell>
          <cell r="C1320" t="str">
            <v> </v>
          </cell>
        </row>
        <row r="1321">
          <cell r="B1321" t="str">
            <v>GAQ6E84</v>
          </cell>
          <cell r="C1321" t="str">
            <v>Carregado</v>
          </cell>
        </row>
        <row r="1322">
          <cell r="B1322" t="str">
            <v>GAQ8J07</v>
          </cell>
          <cell r="C1322" t="str">
            <v> </v>
          </cell>
        </row>
        <row r="1323">
          <cell r="B1323" t="str">
            <v>GAR5J15</v>
          </cell>
          <cell r="C1323" t="str">
            <v> </v>
          </cell>
        </row>
        <row r="1324">
          <cell r="B1324" t="str">
            <v>GAR9I01</v>
          </cell>
          <cell r="C1324" t="str">
            <v> </v>
          </cell>
        </row>
        <row r="1325">
          <cell r="B1325" t="str">
            <v>GAT5D87</v>
          </cell>
          <cell r="C1325" t="str">
            <v> </v>
          </cell>
        </row>
        <row r="1326">
          <cell r="B1326" t="str">
            <v>GAT6B27</v>
          </cell>
          <cell r="C1326" t="str">
            <v> </v>
          </cell>
        </row>
        <row r="1327">
          <cell r="B1327" t="str">
            <v>GAW3J83</v>
          </cell>
          <cell r="C1327" t="str">
            <v> </v>
          </cell>
        </row>
        <row r="1328">
          <cell r="B1328" t="str">
            <v>GAW6B24</v>
          </cell>
          <cell r="C1328" t="str">
            <v> </v>
          </cell>
        </row>
        <row r="1329">
          <cell r="B1329" t="str">
            <v>GAW7842</v>
          </cell>
          <cell r="C1329" t="str">
            <v> </v>
          </cell>
        </row>
        <row r="1330">
          <cell r="B1330" t="str">
            <v>GAW7I42</v>
          </cell>
          <cell r="C1330" t="str">
            <v>Operando</v>
          </cell>
        </row>
        <row r="1331">
          <cell r="B1331" t="str">
            <v>GAX5J68</v>
          </cell>
          <cell r="C1331" t="str">
            <v> </v>
          </cell>
        </row>
        <row r="1332">
          <cell r="B1332" t="str">
            <v>GAX9F44</v>
          </cell>
          <cell r="C1332" t="str">
            <v>Carregado</v>
          </cell>
        </row>
        <row r="1333">
          <cell r="B1333" t="str">
            <v>GAZ5D98</v>
          </cell>
          <cell r="C1333" t="str">
            <v> </v>
          </cell>
        </row>
        <row r="1334">
          <cell r="B1334" t="str">
            <v>GBB8I63</v>
          </cell>
          <cell r="C1334" t="str">
            <v> </v>
          </cell>
        </row>
        <row r="1335">
          <cell r="B1335" t="str">
            <v>GBC1A05</v>
          </cell>
          <cell r="C1335" t="str">
            <v> </v>
          </cell>
        </row>
        <row r="1336">
          <cell r="B1336" t="str">
            <v>GBG2385</v>
          </cell>
          <cell r="C1336" t="str">
            <v> </v>
          </cell>
        </row>
        <row r="1337">
          <cell r="B1337" t="str">
            <v>GBG9B24</v>
          </cell>
          <cell r="C1337" t="str">
            <v> </v>
          </cell>
        </row>
        <row r="1338">
          <cell r="B1338" t="str">
            <v>GBI1F95</v>
          </cell>
          <cell r="C1338" t="str">
            <v> </v>
          </cell>
        </row>
        <row r="1339">
          <cell r="B1339" t="str">
            <v>GBI9698</v>
          </cell>
          <cell r="C1339" t="str">
            <v>Operando</v>
          </cell>
        </row>
        <row r="1340">
          <cell r="B1340" t="str">
            <v>GBJ3A92</v>
          </cell>
          <cell r="C1340" t="str">
            <v>Operando</v>
          </cell>
        </row>
        <row r="1341">
          <cell r="B1341" t="str">
            <v>GBJ5G34</v>
          </cell>
          <cell r="C1341" t="str">
            <v>Operando</v>
          </cell>
        </row>
        <row r="1342">
          <cell r="B1342" t="str">
            <v>GBK2E14</v>
          </cell>
          <cell r="C1342" t="str">
            <v> </v>
          </cell>
        </row>
        <row r="1343">
          <cell r="B1343" t="str">
            <v>GBK6I84</v>
          </cell>
          <cell r="C1343" t="str">
            <v>Carregado</v>
          </cell>
        </row>
        <row r="1344">
          <cell r="B1344" t="str">
            <v>GBL3E31</v>
          </cell>
          <cell r="C1344" t="str">
            <v> </v>
          </cell>
        </row>
        <row r="1345">
          <cell r="B1345" t="str">
            <v>GBL5E47</v>
          </cell>
          <cell r="C1345" t="str">
            <v> </v>
          </cell>
        </row>
        <row r="1346">
          <cell r="B1346" t="str">
            <v>GBL7H86</v>
          </cell>
          <cell r="C1346" t="str">
            <v> </v>
          </cell>
        </row>
        <row r="1347">
          <cell r="B1347" t="str">
            <v>GBN1D08</v>
          </cell>
          <cell r="C1347" t="str">
            <v> </v>
          </cell>
        </row>
        <row r="1348">
          <cell r="B1348" t="str">
            <v>GBP2G66</v>
          </cell>
          <cell r="C1348" t="str">
            <v> </v>
          </cell>
        </row>
        <row r="1349">
          <cell r="B1349" t="str">
            <v>GBP9B18</v>
          </cell>
          <cell r="C1349" t="str">
            <v> </v>
          </cell>
        </row>
        <row r="1350">
          <cell r="B1350" t="str">
            <v>GBQ6007</v>
          </cell>
          <cell r="C1350" t="str">
            <v> </v>
          </cell>
        </row>
        <row r="1351">
          <cell r="B1351" t="str">
            <v>GBQ6E23</v>
          </cell>
          <cell r="C1351" t="str">
            <v> </v>
          </cell>
        </row>
        <row r="1352">
          <cell r="B1352" t="str">
            <v>GBR4B78</v>
          </cell>
          <cell r="C1352" t="str">
            <v> </v>
          </cell>
        </row>
        <row r="1353">
          <cell r="B1353" t="str">
            <v>GBT2D95</v>
          </cell>
          <cell r="C1353" t="str">
            <v> </v>
          </cell>
        </row>
        <row r="1354">
          <cell r="B1354" t="str">
            <v>GBV0E36</v>
          </cell>
          <cell r="C1354" t="str">
            <v> </v>
          </cell>
        </row>
        <row r="1355">
          <cell r="B1355" t="str">
            <v>GBV9I35</v>
          </cell>
          <cell r="C1355" t="str">
            <v>Carregado</v>
          </cell>
        </row>
        <row r="1356">
          <cell r="B1356" t="str">
            <v>GBX3J90</v>
          </cell>
          <cell r="C1356" t="str">
            <v> </v>
          </cell>
        </row>
        <row r="1357">
          <cell r="B1357" t="str">
            <v>GBX5I14</v>
          </cell>
          <cell r="C1357" t="str">
            <v> </v>
          </cell>
        </row>
        <row r="1358">
          <cell r="B1358" t="str">
            <v>GBY8727</v>
          </cell>
          <cell r="C1358" t="str">
            <v> </v>
          </cell>
        </row>
        <row r="1359">
          <cell r="B1359" t="str">
            <v>GBY9A46</v>
          </cell>
          <cell r="C1359" t="str">
            <v> </v>
          </cell>
        </row>
        <row r="1360">
          <cell r="B1360" t="str">
            <v>GBZ4B11</v>
          </cell>
          <cell r="C1360" t="str">
            <v> </v>
          </cell>
        </row>
        <row r="1361">
          <cell r="B1361" t="str">
            <v>GCB3A87</v>
          </cell>
          <cell r="C1361" t="str">
            <v> </v>
          </cell>
        </row>
        <row r="1362">
          <cell r="B1362" t="str">
            <v>GCB7J72</v>
          </cell>
          <cell r="C1362" t="str">
            <v> </v>
          </cell>
        </row>
        <row r="1363">
          <cell r="B1363" t="str">
            <v>GCC4H36</v>
          </cell>
          <cell r="C1363" t="str">
            <v> </v>
          </cell>
        </row>
        <row r="1364">
          <cell r="B1364" t="str">
            <v>GCC4H42</v>
          </cell>
          <cell r="C1364" t="str">
            <v> </v>
          </cell>
        </row>
        <row r="1365">
          <cell r="B1365" t="str">
            <v>GCG6J06</v>
          </cell>
          <cell r="C1365" t="str">
            <v>Carregado</v>
          </cell>
        </row>
        <row r="1366">
          <cell r="B1366" t="str">
            <v>GCH8F13</v>
          </cell>
          <cell r="C1366" t="str">
            <v> </v>
          </cell>
        </row>
        <row r="1367">
          <cell r="B1367" t="str">
            <v>GCH9C73</v>
          </cell>
          <cell r="C1367" t="str">
            <v> </v>
          </cell>
        </row>
        <row r="1368">
          <cell r="B1368" t="str">
            <v>GCH9I85</v>
          </cell>
          <cell r="C1368" t="str">
            <v>Operando</v>
          </cell>
        </row>
        <row r="1369">
          <cell r="B1369" t="str">
            <v>GCI0A64</v>
          </cell>
          <cell r="C1369" t="str">
            <v>Carregado</v>
          </cell>
        </row>
        <row r="1370">
          <cell r="B1370" t="str">
            <v>GCI0D51</v>
          </cell>
          <cell r="C1370" t="str">
            <v> </v>
          </cell>
        </row>
        <row r="1371">
          <cell r="B1371" t="str">
            <v>GCJ0H47</v>
          </cell>
          <cell r="C1371" t="str">
            <v> </v>
          </cell>
        </row>
        <row r="1372">
          <cell r="B1372" t="str">
            <v>GCJ6B05</v>
          </cell>
          <cell r="C1372" t="str">
            <v> </v>
          </cell>
        </row>
        <row r="1373">
          <cell r="B1373" t="str">
            <v>GCL2D74</v>
          </cell>
          <cell r="C1373" t="str">
            <v> </v>
          </cell>
        </row>
        <row r="1374">
          <cell r="B1374" t="str">
            <v>GCM8A54</v>
          </cell>
          <cell r="C1374" t="str">
            <v> </v>
          </cell>
        </row>
        <row r="1375">
          <cell r="B1375" t="str">
            <v>GCP5D34</v>
          </cell>
          <cell r="C1375" t="str">
            <v> </v>
          </cell>
        </row>
        <row r="1376">
          <cell r="B1376" t="str">
            <v>GCP8H77</v>
          </cell>
          <cell r="C1376" t="str">
            <v> </v>
          </cell>
        </row>
        <row r="1377">
          <cell r="B1377" t="str">
            <v>GCQ2I17</v>
          </cell>
          <cell r="C1377" t="str">
            <v> </v>
          </cell>
        </row>
        <row r="1378">
          <cell r="B1378" t="str">
            <v>GCR1H38</v>
          </cell>
          <cell r="C1378" t="str">
            <v> </v>
          </cell>
        </row>
        <row r="1379">
          <cell r="B1379" t="str">
            <v>GCT0D85</v>
          </cell>
          <cell r="C1379" t="str">
            <v> </v>
          </cell>
        </row>
        <row r="1380">
          <cell r="B1380" t="str">
            <v>GCT3H83</v>
          </cell>
          <cell r="C1380" t="str">
            <v> </v>
          </cell>
        </row>
        <row r="1381">
          <cell r="B1381" t="str">
            <v>GCT8F23</v>
          </cell>
          <cell r="C1381" t="str">
            <v>Operando</v>
          </cell>
        </row>
        <row r="1382">
          <cell r="B1382" t="str">
            <v>GCX1J03</v>
          </cell>
          <cell r="C1382" t="str">
            <v> </v>
          </cell>
        </row>
        <row r="1383">
          <cell r="B1383" t="str">
            <v>GCX2D35</v>
          </cell>
          <cell r="C1383" t="str">
            <v>Manutenção</v>
          </cell>
        </row>
        <row r="1384">
          <cell r="B1384" t="str">
            <v>GCX9G65</v>
          </cell>
          <cell r="C1384" t="str">
            <v> </v>
          </cell>
        </row>
        <row r="1385">
          <cell r="B1385" t="str">
            <v>GDA3F62</v>
          </cell>
          <cell r="C1385" t="str">
            <v>Operando</v>
          </cell>
        </row>
        <row r="1386">
          <cell r="B1386" t="str">
            <v>GDC7I69</v>
          </cell>
          <cell r="C1386" t="str">
            <v> </v>
          </cell>
        </row>
        <row r="1387">
          <cell r="B1387" t="str">
            <v>GDC9H54</v>
          </cell>
          <cell r="C1387" t="str">
            <v> </v>
          </cell>
        </row>
        <row r="1388">
          <cell r="B1388" t="str">
            <v>GDD8C74</v>
          </cell>
          <cell r="C1388" t="str">
            <v> </v>
          </cell>
        </row>
        <row r="1389">
          <cell r="B1389" t="str">
            <v>GDE5J27</v>
          </cell>
          <cell r="C1389" t="str">
            <v> </v>
          </cell>
        </row>
        <row r="1390">
          <cell r="B1390" t="str">
            <v>GDF8I21</v>
          </cell>
          <cell r="C1390" t="str">
            <v> </v>
          </cell>
        </row>
        <row r="1391">
          <cell r="B1391" t="str">
            <v>GDG2A45</v>
          </cell>
          <cell r="C1391" t="str">
            <v> </v>
          </cell>
        </row>
        <row r="1392">
          <cell r="B1392" t="str">
            <v>GDG4G95</v>
          </cell>
          <cell r="C1392" t="str">
            <v> </v>
          </cell>
        </row>
        <row r="1393">
          <cell r="B1393" t="str">
            <v>GDG4H45</v>
          </cell>
          <cell r="C1393" t="str">
            <v> </v>
          </cell>
        </row>
        <row r="1394">
          <cell r="B1394" t="str">
            <v>GDG6C93</v>
          </cell>
          <cell r="C1394" t="str">
            <v>Carregado</v>
          </cell>
        </row>
        <row r="1395">
          <cell r="B1395" t="str">
            <v>GDH0B83</v>
          </cell>
          <cell r="C1395" t="str">
            <v> </v>
          </cell>
        </row>
        <row r="1396">
          <cell r="B1396" t="str">
            <v>GDH0H65</v>
          </cell>
          <cell r="C1396" t="str">
            <v> </v>
          </cell>
        </row>
        <row r="1397">
          <cell r="B1397" t="str">
            <v>GDI9C34</v>
          </cell>
          <cell r="C1397" t="str">
            <v> </v>
          </cell>
        </row>
        <row r="1398">
          <cell r="B1398" t="str">
            <v>GDJ1E15</v>
          </cell>
          <cell r="C1398" t="str">
            <v> </v>
          </cell>
        </row>
        <row r="1399">
          <cell r="B1399" t="str">
            <v>GDK4G70</v>
          </cell>
          <cell r="C1399" t="str">
            <v>Operando</v>
          </cell>
        </row>
        <row r="1400">
          <cell r="B1400" t="str">
            <v>GDK8I26</v>
          </cell>
          <cell r="C1400" t="str">
            <v> </v>
          </cell>
        </row>
        <row r="1401">
          <cell r="B1401" t="str">
            <v>GDL1B28</v>
          </cell>
          <cell r="C1401" t="str">
            <v> </v>
          </cell>
        </row>
        <row r="1402">
          <cell r="B1402" t="str">
            <v>GDL9E85</v>
          </cell>
          <cell r="C1402" t="str">
            <v>Carregado</v>
          </cell>
        </row>
        <row r="1403">
          <cell r="B1403" t="str">
            <v>GDM4G44</v>
          </cell>
          <cell r="C1403" t="str">
            <v>Manutenção</v>
          </cell>
        </row>
        <row r="1404">
          <cell r="B1404" t="str">
            <v>GDM7C94</v>
          </cell>
          <cell r="C1404" t="str">
            <v> </v>
          </cell>
        </row>
        <row r="1405">
          <cell r="B1405" t="str">
            <v>GDM9A22</v>
          </cell>
          <cell r="C1405" t="str">
            <v>Manutenção</v>
          </cell>
        </row>
        <row r="1406">
          <cell r="B1406" t="str">
            <v>GDM9D26</v>
          </cell>
          <cell r="C1406" t="str">
            <v>Sem operação</v>
          </cell>
        </row>
        <row r="1407">
          <cell r="B1407" t="str">
            <v>GDN9G38</v>
          </cell>
          <cell r="C1407" t="str">
            <v> </v>
          </cell>
        </row>
        <row r="1408">
          <cell r="B1408" t="str">
            <v>GDN9I61</v>
          </cell>
          <cell r="C1408" t="str">
            <v>Operando</v>
          </cell>
        </row>
        <row r="1409">
          <cell r="B1409" t="str">
            <v>GDO0B74</v>
          </cell>
          <cell r="C1409" t="str">
            <v> </v>
          </cell>
        </row>
        <row r="1410">
          <cell r="B1410" t="str">
            <v>GDO4D06</v>
          </cell>
          <cell r="C1410" t="str">
            <v> </v>
          </cell>
        </row>
        <row r="1411">
          <cell r="B1411" t="str">
            <v>GDO6D67</v>
          </cell>
          <cell r="C1411" t="str">
            <v>Dispensado sem carga</v>
          </cell>
        </row>
        <row r="1412">
          <cell r="B1412" t="str">
            <v>GDO8F91</v>
          </cell>
          <cell r="C1412" t="str">
            <v> </v>
          </cell>
        </row>
        <row r="1413">
          <cell r="B1413" t="str">
            <v>GDQ3H45</v>
          </cell>
          <cell r="C1413" t="str">
            <v> </v>
          </cell>
        </row>
        <row r="1414">
          <cell r="B1414" t="str">
            <v>GDS2B64</v>
          </cell>
          <cell r="C1414" t="str">
            <v>Operando</v>
          </cell>
        </row>
        <row r="1415">
          <cell r="B1415" t="str">
            <v>GDS7E32</v>
          </cell>
          <cell r="C1415" t="str">
            <v> </v>
          </cell>
        </row>
        <row r="1416">
          <cell r="B1416" t="str">
            <v>GDT2F04</v>
          </cell>
          <cell r="C1416" t="str">
            <v> </v>
          </cell>
        </row>
        <row r="1417">
          <cell r="B1417" t="str">
            <v>GDU6D43</v>
          </cell>
          <cell r="C1417" t="str">
            <v> </v>
          </cell>
        </row>
        <row r="1418">
          <cell r="B1418" t="str">
            <v>GDU8E83</v>
          </cell>
          <cell r="C1418" t="str">
            <v> </v>
          </cell>
        </row>
        <row r="1419">
          <cell r="B1419" t="str">
            <v>GDV1E06</v>
          </cell>
          <cell r="C1419" t="str">
            <v> </v>
          </cell>
        </row>
        <row r="1420">
          <cell r="B1420" t="str">
            <v>GDY3271</v>
          </cell>
          <cell r="C1420" t="str">
            <v> </v>
          </cell>
        </row>
        <row r="1421">
          <cell r="B1421" t="str">
            <v>GDY7B23</v>
          </cell>
          <cell r="C1421" t="str">
            <v> </v>
          </cell>
        </row>
        <row r="1422">
          <cell r="B1422" t="str">
            <v>GDZ9G21</v>
          </cell>
          <cell r="C1422" t="str">
            <v> </v>
          </cell>
        </row>
        <row r="1423">
          <cell r="B1423" t="str">
            <v>GEA3F58</v>
          </cell>
          <cell r="C1423" t="str">
            <v> </v>
          </cell>
        </row>
        <row r="1424">
          <cell r="B1424" t="str">
            <v>GEA8B99</v>
          </cell>
          <cell r="C1424" t="str">
            <v>Operando</v>
          </cell>
        </row>
        <row r="1425">
          <cell r="B1425" t="str">
            <v>GEB0E43</v>
          </cell>
          <cell r="C1425" t="str">
            <v>Carregado</v>
          </cell>
        </row>
        <row r="1426">
          <cell r="B1426" t="str">
            <v>GEB1H86</v>
          </cell>
          <cell r="C1426" t="str">
            <v> </v>
          </cell>
        </row>
        <row r="1427">
          <cell r="B1427" t="str">
            <v>GEB4B42</v>
          </cell>
          <cell r="C1427" t="str">
            <v>Operando</v>
          </cell>
        </row>
        <row r="1428">
          <cell r="B1428" t="str">
            <v>GEB8E73</v>
          </cell>
          <cell r="C1428" t="str">
            <v> </v>
          </cell>
        </row>
        <row r="1429">
          <cell r="B1429" t="str">
            <v>GED0I53</v>
          </cell>
          <cell r="C1429" t="str">
            <v> </v>
          </cell>
        </row>
        <row r="1430">
          <cell r="B1430" t="str">
            <v>GED2J13</v>
          </cell>
          <cell r="C1430" t="str">
            <v> </v>
          </cell>
        </row>
        <row r="1431">
          <cell r="B1431" t="str">
            <v>GEF0A16</v>
          </cell>
          <cell r="C1431" t="str">
            <v> </v>
          </cell>
        </row>
        <row r="1432">
          <cell r="B1432" t="str">
            <v>GEF2C97</v>
          </cell>
          <cell r="C1432" t="str">
            <v> </v>
          </cell>
        </row>
        <row r="1433">
          <cell r="B1433" t="str">
            <v>GEF8A05</v>
          </cell>
          <cell r="C1433" t="str">
            <v> </v>
          </cell>
        </row>
        <row r="1434">
          <cell r="B1434" t="str">
            <v>GEF8B74</v>
          </cell>
          <cell r="C1434" t="str">
            <v> </v>
          </cell>
        </row>
        <row r="1435">
          <cell r="B1435" t="str">
            <v>GEG2F43</v>
          </cell>
          <cell r="C1435" t="str">
            <v>Manutenção</v>
          </cell>
        </row>
        <row r="1436">
          <cell r="B1436" t="str">
            <v>GEG6F19</v>
          </cell>
          <cell r="C1436" t="str">
            <v> </v>
          </cell>
        </row>
        <row r="1437">
          <cell r="B1437" t="str">
            <v>GEH0D55</v>
          </cell>
          <cell r="C1437" t="str">
            <v> </v>
          </cell>
        </row>
        <row r="1438">
          <cell r="B1438" t="str">
            <v>GEH5B65</v>
          </cell>
          <cell r="C1438" t="str">
            <v> </v>
          </cell>
        </row>
        <row r="1439">
          <cell r="B1439" t="str">
            <v>GEI6C33</v>
          </cell>
          <cell r="C1439" t="str">
            <v>Carregado</v>
          </cell>
        </row>
        <row r="1440">
          <cell r="B1440" t="str">
            <v>GEI6D47</v>
          </cell>
          <cell r="C1440" t="str">
            <v>Operando</v>
          </cell>
        </row>
        <row r="1441">
          <cell r="B1441" t="str">
            <v>GEI7B15</v>
          </cell>
          <cell r="C1441" t="str">
            <v> </v>
          </cell>
        </row>
        <row r="1442">
          <cell r="B1442" t="str">
            <v>GEI7B37</v>
          </cell>
          <cell r="C1442" t="str">
            <v> </v>
          </cell>
        </row>
        <row r="1443">
          <cell r="B1443" t="str">
            <v>GEL1H63</v>
          </cell>
          <cell r="C1443" t="str">
            <v> </v>
          </cell>
        </row>
        <row r="1444">
          <cell r="B1444" t="str">
            <v>GEN8H43</v>
          </cell>
          <cell r="C1444" t="str">
            <v> </v>
          </cell>
        </row>
        <row r="1445">
          <cell r="B1445" t="str">
            <v>GEO0I05</v>
          </cell>
          <cell r="C1445" t="str">
            <v>Operando</v>
          </cell>
        </row>
        <row r="1446">
          <cell r="B1446" t="str">
            <v>GEO9D73</v>
          </cell>
          <cell r="C1446" t="str">
            <v> </v>
          </cell>
        </row>
        <row r="1447">
          <cell r="B1447" t="str">
            <v>GEP2D64</v>
          </cell>
          <cell r="C1447" t="str">
            <v> </v>
          </cell>
        </row>
        <row r="1448">
          <cell r="B1448" t="str">
            <v>GEQ0J14</v>
          </cell>
          <cell r="C1448" t="str">
            <v>Carregado</v>
          </cell>
        </row>
        <row r="1449">
          <cell r="B1449" t="str">
            <v>GES2A97</v>
          </cell>
          <cell r="C1449" t="str">
            <v> </v>
          </cell>
        </row>
        <row r="1450">
          <cell r="B1450" t="str">
            <v>GES8A28</v>
          </cell>
          <cell r="C1450" t="str">
            <v> </v>
          </cell>
        </row>
        <row r="1451">
          <cell r="B1451" t="str">
            <v>GES9780</v>
          </cell>
          <cell r="C1451" t="str">
            <v> </v>
          </cell>
        </row>
        <row r="1452">
          <cell r="B1452" t="str">
            <v>GEU3C57</v>
          </cell>
          <cell r="C1452" t="str">
            <v> </v>
          </cell>
        </row>
        <row r="1453">
          <cell r="B1453" t="str">
            <v>GEU3J82</v>
          </cell>
          <cell r="C1453" t="str">
            <v> </v>
          </cell>
        </row>
        <row r="1454">
          <cell r="B1454" t="str">
            <v>GEV0I07</v>
          </cell>
          <cell r="C1454" t="str">
            <v> </v>
          </cell>
        </row>
        <row r="1455">
          <cell r="B1455" t="str">
            <v>GEV8B15</v>
          </cell>
          <cell r="C1455" t="str">
            <v> </v>
          </cell>
        </row>
        <row r="1456">
          <cell r="B1456" t="str">
            <v>GEW1I64</v>
          </cell>
          <cell r="C1456" t="str">
            <v> </v>
          </cell>
        </row>
        <row r="1457">
          <cell r="B1457" t="str">
            <v>GEX0E39</v>
          </cell>
          <cell r="C1457" t="str">
            <v>Agregado</v>
          </cell>
        </row>
        <row r="1458">
          <cell r="B1458" t="str">
            <v>GEX7H23</v>
          </cell>
          <cell r="C1458" t="str">
            <v> </v>
          </cell>
        </row>
        <row r="1459">
          <cell r="B1459" t="str">
            <v>GEY3B75</v>
          </cell>
          <cell r="C1459" t="str">
            <v> </v>
          </cell>
        </row>
        <row r="1460">
          <cell r="B1460" t="str">
            <v>GEY9C46</v>
          </cell>
          <cell r="C1460" t="str">
            <v>Carregado</v>
          </cell>
        </row>
        <row r="1461">
          <cell r="B1461" t="str">
            <v>GEY9H07</v>
          </cell>
          <cell r="C1461" t="str">
            <v>Carregado</v>
          </cell>
        </row>
        <row r="1462">
          <cell r="B1462" t="str">
            <v>GEZ5H13</v>
          </cell>
          <cell r="C1462" t="str">
            <v>Carregado</v>
          </cell>
        </row>
        <row r="1463">
          <cell r="B1463" t="str">
            <v>GEZ7B46</v>
          </cell>
          <cell r="C1463" t="str">
            <v>Carregado</v>
          </cell>
        </row>
        <row r="1464">
          <cell r="B1464" t="str">
            <v>GFB8H14</v>
          </cell>
          <cell r="C1464" t="str">
            <v>Carregado</v>
          </cell>
        </row>
        <row r="1465">
          <cell r="B1465" t="str">
            <v>GFC2I97</v>
          </cell>
          <cell r="C1465" t="str">
            <v> </v>
          </cell>
        </row>
        <row r="1466">
          <cell r="B1466" t="str">
            <v>GFC6I35</v>
          </cell>
          <cell r="C1466" t="str">
            <v> </v>
          </cell>
        </row>
        <row r="1467">
          <cell r="B1467" t="str">
            <v>GFC7H16</v>
          </cell>
          <cell r="C1467" t="str">
            <v> </v>
          </cell>
        </row>
        <row r="1468">
          <cell r="B1468" t="str">
            <v>GFD5J05</v>
          </cell>
          <cell r="C1468" t="str">
            <v> </v>
          </cell>
        </row>
        <row r="1469">
          <cell r="B1469" t="str">
            <v>GFE0J36</v>
          </cell>
          <cell r="C1469" t="str">
            <v>Operando</v>
          </cell>
        </row>
        <row r="1470">
          <cell r="B1470" t="str">
            <v>GFE0J36</v>
          </cell>
          <cell r="C1470" t="str">
            <v>Operando</v>
          </cell>
        </row>
        <row r="1471">
          <cell r="B1471" t="str">
            <v>GFG2E45</v>
          </cell>
          <cell r="C1471" t="str">
            <v> </v>
          </cell>
        </row>
        <row r="1472">
          <cell r="B1472" t="str">
            <v>GFH0249</v>
          </cell>
          <cell r="C1472" t="str">
            <v> </v>
          </cell>
        </row>
        <row r="1473">
          <cell r="B1473" t="str">
            <v>GFH4F77</v>
          </cell>
          <cell r="C1473" t="str">
            <v>Operando</v>
          </cell>
        </row>
        <row r="1474">
          <cell r="B1474" t="str">
            <v>GFI2F88</v>
          </cell>
          <cell r="C1474" t="str">
            <v>Operando</v>
          </cell>
        </row>
        <row r="1475">
          <cell r="B1475" t="str">
            <v>GFI7C15</v>
          </cell>
          <cell r="C1475" t="str">
            <v> </v>
          </cell>
        </row>
        <row r="1476">
          <cell r="B1476" t="str">
            <v>GFJ3H03</v>
          </cell>
          <cell r="C1476" t="str">
            <v> </v>
          </cell>
        </row>
        <row r="1477">
          <cell r="B1477" t="str">
            <v>GFJ5J16</v>
          </cell>
          <cell r="C1477" t="str">
            <v>Carregado</v>
          </cell>
        </row>
        <row r="1478">
          <cell r="B1478" t="str">
            <v>GFN5I84</v>
          </cell>
          <cell r="C1478" t="str">
            <v>Carregado</v>
          </cell>
        </row>
        <row r="1479">
          <cell r="B1479" t="str">
            <v>GFQ0A53</v>
          </cell>
          <cell r="C1479" t="str">
            <v> </v>
          </cell>
        </row>
        <row r="1480">
          <cell r="B1480" t="str">
            <v>GFQ4C04</v>
          </cell>
          <cell r="C1480" t="str">
            <v> </v>
          </cell>
        </row>
        <row r="1481">
          <cell r="B1481" t="str">
            <v>GFR0H26</v>
          </cell>
          <cell r="C1481" t="str">
            <v>Operando</v>
          </cell>
        </row>
        <row r="1482">
          <cell r="B1482" t="str">
            <v>GFR7C64</v>
          </cell>
          <cell r="C1482" t="str">
            <v>Carregado</v>
          </cell>
        </row>
        <row r="1483">
          <cell r="B1483" t="str">
            <v>GFS6J84</v>
          </cell>
          <cell r="C1483" t="str">
            <v>Carregado</v>
          </cell>
        </row>
        <row r="1484">
          <cell r="B1484" t="str">
            <v>GFS7F11</v>
          </cell>
          <cell r="C1484" t="str">
            <v>Operando</v>
          </cell>
        </row>
        <row r="1485">
          <cell r="B1485" t="str">
            <v>GFV1C44</v>
          </cell>
          <cell r="C1485" t="str">
            <v>Manutenção</v>
          </cell>
        </row>
        <row r="1486">
          <cell r="B1486" t="str">
            <v>GFV3D65</v>
          </cell>
          <cell r="C1486" t="str">
            <v> </v>
          </cell>
        </row>
        <row r="1487">
          <cell r="B1487" t="str">
            <v>GFX3I74</v>
          </cell>
          <cell r="C1487" t="str">
            <v>Operando</v>
          </cell>
        </row>
        <row r="1488">
          <cell r="B1488" t="str">
            <v>GFX6D91</v>
          </cell>
          <cell r="C1488" t="str">
            <v> </v>
          </cell>
        </row>
        <row r="1489">
          <cell r="B1489" t="str">
            <v>GFY3C85</v>
          </cell>
          <cell r="C1489" t="str">
            <v> </v>
          </cell>
        </row>
        <row r="1490">
          <cell r="B1490" t="str">
            <v>GGA3C84</v>
          </cell>
          <cell r="C1490" t="str">
            <v> </v>
          </cell>
        </row>
        <row r="1491">
          <cell r="B1491" t="str">
            <v>GGA6D77</v>
          </cell>
          <cell r="C1491" t="str">
            <v> </v>
          </cell>
        </row>
        <row r="1492">
          <cell r="B1492" t="str">
            <v>GGB0C66</v>
          </cell>
          <cell r="C1492" t="str">
            <v> </v>
          </cell>
        </row>
        <row r="1493">
          <cell r="B1493" t="str">
            <v>GGC1J04</v>
          </cell>
          <cell r="C1493" t="str">
            <v> </v>
          </cell>
        </row>
        <row r="1494">
          <cell r="B1494" t="str">
            <v>GGC2A51</v>
          </cell>
          <cell r="C1494" t="str">
            <v> </v>
          </cell>
        </row>
        <row r="1495">
          <cell r="B1495" t="str">
            <v>GGD5G63</v>
          </cell>
          <cell r="C1495" t="str">
            <v>Manutenção</v>
          </cell>
        </row>
        <row r="1496">
          <cell r="B1496" t="str">
            <v>GGD8G91</v>
          </cell>
          <cell r="C1496" t="str">
            <v>Operando</v>
          </cell>
        </row>
        <row r="1497">
          <cell r="B1497" t="str">
            <v>GGF8H51</v>
          </cell>
          <cell r="C1497" t="str">
            <v>Manutenção</v>
          </cell>
        </row>
        <row r="1498">
          <cell r="B1498" t="str">
            <v>GGH5H38</v>
          </cell>
          <cell r="C1498" t="str">
            <v> </v>
          </cell>
        </row>
        <row r="1499">
          <cell r="B1499" t="str">
            <v>GGI5A63</v>
          </cell>
          <cell r="C1499" t="str">
            <v> </v>
          </cell>
        </row>
        <row r="1500">
          <cell r="B1500" t="str">
            <v>GGJ1A94</v>
          </cell>
          <cell r="C1500" t="str">
            <v>Carregado</v>
          </cell>
        </row>
        <row r="1501">
          <cell r="B1501" t="str">
            <v>GGJ3B46</v>
          </cell>
          <cell r="C1501" t="str">
            <v> </v>
          </cell>
        </row>
        <row r="1502">
          <cell r="B1502" t="str">
            <v>GGJ7E76</v>
          </cell>
          <cell r="C1502" t="str">
            <v> </v>
          </cell>
        </row>
        <row r="1503">
          <cell r="B1503" t="str">
            <v>GGK0B04</v>
          </cell>
          <cell r="C1503" t="str">
            <v> </v>
          </cell>
        </row>
        <row r="1504">
          <cell r="B1504" t="str">
            <v>GGL8F93</v>
          </cell>
          <cell r="C1504" t="str">
            <v> </v>
          </cell>
        </row>
        <row r="1505">
          <cell r="B1505" t="str">
            <v>GGM5G71</v>
          </cell>
          <cell r="C1505" t="str">
            <v>Carregado</v>
          </cell>
        </row>
        <row r="1506">
          <cell r="B1506" t="str">
            <v>GGN8H92</v>
          </cell>
          <cell r="C1506" t="str">
            <v>Carregado</v>
          </cell>
        </row>
        <row r="1507">
          <cell r="B1507" t="str">
            <v>GGQ5I13</v>
          </cell>
          <cell r="C1507" t="str">
            <v>Manutenção</v>
          </cell>
        </row>
        <row r="1508">
          <cell r="B1508" t="str">
            <v>GGQ9J34</v>
          </cell>
          <cell r="C1508" t="str">
            <v> </v>
          </cell>
        </row>
        <row r="1509">
          <cell r="B1509" t="str">
            <v>GGS7F96</v>
          </cell>
          <cell r="C1509" t="str">
            <v> </v>
          </cell>
        </row>
        <row r="1510">
          <cell r="B1510" t="str">
            <v>GGU0F77</v>
          </cell>
          <cell r="C1510" t="str">
            <v> </v>
          </cell>
        </row>
        <row r="1511">
          <cell r="B1511" t="str">
            <v>GGU4C38</v>
          </cell>
          <cell r="C1511" t="str">
            <v> </v>
          </cell>
        </row>
        <row r="1512">
          <cell r="B1512" t="str">
            <v>GGU8E70</v>
          </cell>
          <cell r="C1512" t="str">
            <v> </v>
          </cell>
        </row>
        <row r="1513">
          <cell r="B1513" t="str">
            <v>GGV1A34</v>
          </cell>
          <cell r="C1513" t="str">
            <v>Manutenção</v>
          </cell>
        </row>
        <row r="1514">
          <cell r="B1514" t="str">
            <v>GGV6A92</v>
          </cell>
          <cell r="C1514" t="str">
            <v>Operando</v>
          </cell>
        </row>
        <row r="1515">
          <cell r="B1515" t="str">
            <v>GGY5F84</v>
          </cell>
          <cell r="C1515" t="str">
            <v> </v>
          </cell>
        </row>
        <row r="1516">
          <cell r="B1516" t="str">
            <v>GGZ1C57</v>
          </cell>
          <cell r="C1516" t="str">
            <v> </v>
          </cell>
        </row>
        <row r="1517">
          <cell r="B1517" t="str">
            <v>GGZ1F34</v>
          </cell>
          <cell r="C1517" t="str">
            <v>Carregado</v>
          </cell>
        </row>
        <row r="1518">
          <cell r="B1518" t="str">
            <v>GGZ6A99</v>
          </cell>
          <cell r="C1518" t="str">
            <v>Operando</v>
          </cell>
        </row>
        <row r="1519">
          <cell r="B1519" t="str">
            <v>GHA2J64</v>
          </cell>
          <cell r="C1519" t="str">
            <v>Operando</v>
          </cell>
        </row>
        <row r="1520">
          <cell r="B1520" t="str">
            <v>GHA6I87</v>
          </cell>
          <cell r="C1520" t="str">
            <v>Operando</v>
          </cell>
        </row>
        <row r="1521">
          <cell r="B1521" t="str">
            <v>GHA9I68</v>
          </cell>
          <cell r="C1521" t="str">
            <v> </v>
          </cell>
        </row>
        <row r="1522">
          <cell r="B1522" t="str">
            <v>GHD7D14</v>
          </cell>
          <cell r="C1522" t="str">
            <v> </v>
          </cell>
        </row>
        <row r="1523">
          <cell r="B1523" t="str">
            <v>GHF6G36</v>
          </cell>
          <cell r="C1523" t="str">
            <v>Agregado</v>
          </cell>
        </row>
        <row r="1524">
          <cell r="B1524" t="str">
            <v>GHG9006</v>
          </cell>
          <cell r="C1524" t="str">
            <v> </v>
          </cell>
        </row>
        <row r="1525">
          <cell r="B1525" t="str">
            <v>GHK1I67</v>
          </cell>
          <cell r="C1525" t="str">
            <v> </v>
          </cell>
        </row>
        <row r="1526">
          <cell r="B1526" t="str">
            <v>GHK1J44</v>
          </cell>
          <cell r="C1526" t="str">
            <v> </v>
          </cell>
        </row>
        <row r="1527">
          <cell r="B1527" t="str">
            <v>GHM9C04</v>
          </cell>
          <cell r="C1527" t="str">
            <v>Manutenção</v>
          </cell>
        </row>
        <row r="1528">
          <cell r="B1528" t="str">
            <v>GHO2G54</v>
          </cell>
          <cell r="C1528" t="str">
            <v>Carregado</v>
          </cell>
        </row>
        <row r="1529">
          <cell r="B1529" t="str">
            <v>GHO9A47</v>
          </cell>
          <cell r="C1529" t="str">
            <v> </v>
          </cell>
        </row>
        <row r="1530">
          <cell r="B1530" t="str">
            <v>GHR3C76</v>
          </cell>
          <cell r="C1530" t="str">
            <v> </v>
          </cell>
        </row>
        <row r="1531">
          <cell r="B1531" t="str">
            <v>GHS3H03</v>
          </cell>
          <cell r="C1531" t="str">
            <v>Carregado</v>
          </cell>
        </row>
        <row r="1532">
          <cell r="B1532" t="str">
            <v>GHT8B12</v>
          </cell>
          <cell r="C1532" t="str">
            <v> </v>
          </cell>
        </row>
        <row r="1533">
          <cell r="B1533" t="str">
            <v>GHW1G44</v>
          </cell>
          <cell r="C1533" t="str">
            <v>Manutenção</v>
          </cell>
        </row>
        <row r="1534">
          <cell r="B1534" t="str">
            <v>GHW4C93</v>
          </cell>
          <cell r="C1534" t="str">
            <v>Carregado</v>
          </cell>
        </row>
        <row r="1535">
          <cell r="B1535" t="str">
            <v>GHY7J06</v>
          </cell>
          <cell r="C1535" t="str">
            <v> </v>
          </cell>
        </row>
        <row r="1536">
          <cell r="B1536" t="str">
            <v>GHZ3B64</v>
          </cell>
          <cell r="C1536" t="str">
            <v> </v>
          </cell>
        </row>
        <row r="1537">
          <cell r="B1537" t="str">
            <v>GIA1D38</v>
          </cell>
          <cell r="C1537" t="str">
            <v> </v>
          </cell>
        </row>
        <row r="1538">
          <cell r="B1538" t="str">
            <v>GIA3E48</v>
          </cell>
          <cell r="C1538" t="str">
            <v> </v>
          </cell>
        </row>
        <row r="1539">
          <cell r="B1539" t="str">
            <v>GIB4E82</v>
          </cell>
          <cell r="C1539" t="str">
            <v>Carregado</v>
          </cell>
        </row>
        <row r="1540">
          <cell r="B1540" t="str">
            <v>GIC6G27</v>
          </cell>
          <cell r="C1540" t="str">
            <v> </v>
          </cell>
        </row>
        <row r="1541">
          <cell r="B1541" t="str">
            <v>GIC8A95</v>
          </cell>
          <cell r="C1541" t="str">
            <v>Operando</v>
          </cell>
        </row>
        <row r="1542">
          <cell r="B1542" t="str">
            <v>GIC9A66</v>
          </cell>
          <cell r="C1542" t="str">
            <v>Operando</v>
          </cell>
        </row>
        <row r="1543">
          <cell r="B1543" t="str">
            <v>GID6J64</v>
          </cell>
          <cell r="C1543" t="str">
            <v> </v>
          </cell>
        </row>
        <row r="1544">
          <cell r="B1544" t="str">
            <v>GIG2J16</v>
          </cell>
          <cell r="C1544" t="str">
            <v> </v>
          </cell>
        </row>
        <row r="1545">
          <cell r="B1545" t="str">
            <v>GIG3B72</v>
          </cell>
          <cell r="C1545" t="str">
            <v> </v>
          </cell>
        </row>
        <row r="1546">
          <cell r="B1546" t="str">
            <v>GIG4F93</v>
          </cell>
          <cell r="C1546" t="str">
            <v>Carregado</v>
          </cell>
        </row>
        <row r="1547">
          <cell r="B1547" t="str">
            <v>GIH2D10</v>
          </cell>
          <cell r="C1547" t="str">
            <v> </v>
          </cell>
        </row>
        <row r="1548">
          <cell r="B1548" t="str">
            <v>GIH6033</v>
          </cell>
          <cell r="C1548" t="str">
            <v>Agregado</v>
          </cell>
        </row>
        <row r="1549">
          <cell r="B1549" t="str">
            <v>GII1D53</v>
          </cell>
          <cell r="C1549" t="str">
            <v> </v>
          </cell>
        </row>
        <row r="1550">
          <cell r="B1550" t="str">
            <v>GIL0C59</v>
          </cell>
          <cell r="C1550" t="str">
            <v> </v>
          </cell>
        </row>
        <row r="1551">
          <cell r="B1551" t="str">
            <v>GIL2H66</v>
          </cell>
          <cell r="C1551" t="str">
            <v> </v>
          </cell>
        </row>
        <row r="1552">
          <cell r="B1552" t="str">
            <v>GIM1D81</v>
          </cell>
          <cell r="C1552" t="str">
            <v> </v>
          </cell>
        </row>
        <row r="1553">
          <cell r="B1553" t="str">
            <v>GIQ2E94</v>
          </cell>
          <cell r="C1553" t="str">
            <v> </v>
          </cell>
        </row>
        <row r="1554">
          <cell r="B1554" t="str">
            <v>GIQ4498</v>
          </cell>
          <cell r="C1554" t="str">
            <v> </v>
          </cell>
        </row>
        <row r="1555">
          <cell r="B1555" t="str">
            <v>GIQ7D18</v>
          </cell>
          <cell r="C1555" t="str">
            <v>Operando</v>
          </cell>
        </row>
        <row r="1556">
          <cell r="B1556" t="str">
            <v>GIR3E75</v>
          </cell>
          <cell r="C1556" t="str">
            <v> </v>
          </cell>
        </row>
        <row r="1557">
          <cell r="B1557" t="str">
            <v>GIT5H02</v>
          </cell>
          <cell r="C1557" t="str">
            <v>Carregado</v>
          </cell>
        </row>
        <row r="1558">
          <cell r="B1558" t="str">
            <v>GIT6D04</v>
          </cell>
          <cell r="C1558" t="str">
            <v> </v>
          </cell>
        </row>
        <row r="1559">
          <cell r="B1559" t="str">
            <v>GIT6G04</v>
          </cell>
          <cell r="C1559" t="str">
            <v> </v>
          </cell>
        </row>
        <row r="1560">
          <cell r="B1560" t="str">
            <v>GIU4I37</v>
          </cell>
          <cell r="C1560" t="str">
            <v> </v>
          </cell>
        </row>
        <row r="1561">
          <cell r="B1561" t="str">
            <v>GIV0D75</v>
          </cell>
          <cell r="C1561" t="str">
            <v> </v>
          </cell>
        </row>
        <row r="1562">
          <cell r="B1562" t="str">
            <v>GIW6A15</v>
          </cell>
          <cell r="C1562" t="str">
            <v> </v>
          </cell>
        </row>
        <row r="1563">
          <cell r="B1563" t="str">
            <v>GIW6I25</v>
          </cell>
          <cell r="C1563" t="str">
            <v>Manutenção</v>
          </cell>
        </row>
        <row r="1564">
          <cell r="B1564" t="str">
            <v>GIX6H45</v>
          </cell>
          <cell r="C1564" t="str">
            <v>Operando</v>
          </cell>
        </row>
        <row r="1565">
          <cell r="B1565" t="str">
            <v>GIX7076</v>
          </cell>
          <cell r="C1565" t="str">
            <v> </v>
          </cell>
        </row>
        <row r="1566">
          <cell r="B1566" t="str">
            <v>GIX7E72</v>
          </cell>
          <cell r="C1566" t="str">
            <v>Operando</v>
          </cell>
        </row>
        <row r="1567">
          <cell r="B1567" t="str">
            <v>GIY0J57</v>
          </cell>
          <cell r="C1567" t="str">
            <v>Operando</v>
          </cell>
        </row>
        <row r="1568">
          <cell r="B1568" t="str">
            <v>GIZ5B06</v>
          </cell>
          <cell r="C1568" t="str">
            <v> </v>
          </cell>
        </row>
        <row r="1569">
          <cell r="B1569" t="str">
            <v>GJB0I47</v>
          </cell>
          <cell r="C1569" t="str">
            <v>Sem operação</v>
          </cell>
        </row>
        <row r="1570">
          <cell r="B1570" t="str">
            <v>GJE0D54</v>
          </cell>
          <cell r="C1570" t="str">
            <v>Manutenção</v>
          </cell>
        </row>
        <row r="1571">
          <cell r="B1571" t="str">
            <v>GJG8C81</v>
          </cell>
          <cell r="C1571" t="str">
            <v> </v>
          </cell>
        </row>
        <row r="1572">
          <cell r="B1572" t="str">
            <v>GJL3J28</v>
          </cell>
          <cell r="C1572" t="str">
            <v>Operando</v>
          </cell>
        </row>
        <row r="1573">
          <cell r="B1573" t="str">
            <v>GJN5C35</v>
          </cell>
          <cell r="C1573" t="str">
            <v> </v>
          </cell>
        </row>
        <row r="1574">
          <cell r="B1574" t="str">
            <v>GJN6D04</v>
          </cell>
          <cell r="C1574" t="str">
            <v> </v>
          </cell>
        </row>
        <row r="1575">
          <cell r="B1575" t="str">
            <v>GJN9E64</v>
          </cell>
          <cell r="C1575" t="str">
            <v> </v>
          </cell>
        </row>
        <row r="1576">
          <cell r="B1576" t="str">
            <v>GJP1052</v>
          </cell>
          <cell r="C1576" t="str">
            <v> </v>
          </cell>
        </row>
        <row r="1577">
          <cell r="B1577" t="str">
            <v>GJQ6J28</v>
          </cell>
          <cell r="C1577" t="str">
            <v> </v>
          </cell>
        </row>
        <row r="1578">
          <cell r="B1578" t="str">
            <v>GJS5D26</v>
          </cell>
          <cell r="C1578" t="str">
            <v> </v>
          </cell>
        </row>
        <row r="1579">
          <cell r="B1579" t="str">
            <v>GJU6I85</v>
          </cell>
          <cell r="C1579" t="str">
            <v> </v>
          </cell>
        </row>
        <row r="1580">
          <cell r="B1580" t="str">
            <v>GJV4I78</v>
          </cell>
          <cell r="C1580" t="str">
            <v> </v>
          </cell>
        </row>
        <row r="1581">
          <cell r="B1581" t="str">
            <v>GJVAI78</v>
          </cell>
          <cell r="C1581" t="str">
            <v> </v>
          </cell>
        </row>
        <row r="1582">
          <cell r="B1582" t="str">
            <v>GJW9B09</v>
          </cell>
          <cell r="C1582" t="str">
            <v>Operando</v>
          </cell>
        </row>
        <row r="1583">
          <cell r="B1583" t="str">
            <v>GJX6E73</v>
          </cell>
          <cell r="C1583" t="str">
            <v> </v>
          </cell>
        </row>
        <row r="1584">
          <cell r="B1584" t="str">
            <v>GJX7I06</v>
          </cell>
          <cell r="C1584" t="str">
            <v> </v>
          </cell>
        </row>
        <row r="1585">
          <cell r="B1585" t="str">
            <v>GJX8C12</v>
          </cell>
          <cell r="C1585" t="str">
            <v> </v>
          </cell>
        </row>
        <row r="1586">
          <cell r="B1586" t="str">
            <v>GJX9H56</v>
          </cell>
          <cell r="C1586" t="str">
            <v>Carregado</v>
          </cell>
        </row>
        <row r="1587">
          <cell r="B1587" t="str">
            <v>GJZ7I35</v>
          </cell>
          <cell r="C1587" t="str">
            <v> </v>
          </cell>
        </row>
        <row r="1588">
          <cell r="B1588" t="str">
            <v>GKA3B04</v>
          </cell>
          <cell r="C1588" t="str">
            <v> </v>
          </cell>
        </row>
        <row r="1589">
          <cell r="B1589" t="str">
            <v>GKA9329</v>
          </cell>
          <cell r="C1589" t="str">
            <v>Operando</v>
          </cell>
        </row>
        <row r="1590">
          <cell r="B1590" t="str">
            <v>GKB2A73</v>
          </cell>
          <cell r="C1590" t="str">
            <v> </v>
          </cell>
        </row>
        <row r="1591">
          <cell r="B1591" t="str">
            <v>GKB4E54</v>
          </cell>
          <cell r="C1591" t="str">
            <v> </v>
          </cell>
        </row>
        <row r="1592">
          <cell r="B1592" t="str">
            <v>GKC1A36</v>
          </cell>
          <cell r="C1592" t="str">
            <v> </v>
          </cell>
        </row>
        <row r="1593">
          <cell r="B1593" t="str">
            <v>GKC9I56</v>
          </cell>
          <cell r="C1593" t="str">
            <v> </v>
          </cell>
        </row>
        <row r="1594">
          <cell r="B1594" t="str">
            <v>GKE0G54</v>
          </cell>
          <cell r="C1594" t="str">
            <v> </v>
          </cell>
        </row>
        <row r="1595">
          <cell r="B1595" t="str">
            <v>GKF8A19</v>
          </cell>
          <cell r="C1595" t="str">
            <v>Operando</v>
          </cell>
        </row>
        <row r="1596">
          <cell r="B1596" t="str">
            <v>GKG6D57</v>
          </cell>
          <cell r="C1596" t="str">
            <v> </v>
          </cell>
        </row>
        <row r="1597">
          <cell r="B1597" t="str">
            <v>GKH0I15</v>
          </cell>
          <cell r="C1597" t="str">
            <v> </v>
          </cell>
        </row>
        <row r="1598">
          <cell r="B1598" t="str">
            <v>GKH4D61</v>
          </cell>
          <cell r="C1598" t="str">
            <v> </v>
          </cell>
        </row>
        <row r="1599">
          <cell r="B1599" t="str">
            <v>GKI9H48</v>
          </cell>
          <cell r="C1599" t="str">
            <v> </v>
          </cell>
        </row>
        <row r="1600">
          <cell r="B1600" t="str">
            <v>GNQ1J55</v>
          </cell>
          <cell r="C1600" t="str">
            <v> </v>
          </cell>
        </row>
        <row r="1601">
          <cell r="B1601" t="str">
            <v>GON6E15</v>
          </cell>
          <cell r="C1601" t="str">
            <v>Operando</v>
          </cell>
        </row>
        <row r="1602">
          <cell r="B1602" t="str">
            <v>GSB5D94</v>
          </cell>
          <cell r="C1602" t="str">
            <v> </v>
          </cell>
        </row>
        <row r="1603">
          <cell r="B1603" t="str">
            <v>GTK5234</v>
          </cell>
          <cell r="C1603" t="str">
            <v> </v>
          </cell>
        </row>
        <row r="1604">
          <cell r="B1604" t="str">
            <v>GTM7I85</v>
          </cell>
          <cell r="C1604" t="str">
            <v> </v>
          </cell>
        </row>
        <row r="1605">
          <cell r="B1605" t="str">
            <v>GVQ5253</v>
          </cell>
          <cell r="C1605" t="str">
            <v> </v>
          </cell>
        </row>
        <row r="1606">
          <cell r="B1606" t="str">
            <v>GVU4390</v>
          </cell>
          <cell r="C1606" t="str">
            <v> </v>
          </cell>
        </row>
        <row r="1607">
          <cell r="B1607" t="str">
            <v>GYF9F24</v>
          </cell>
          <cell r="C1607" t="str">
            <v> </v>
          </cell>
        </row>
        <row r="1608">
          <cell r="B1608" t="str">
            <v>GYG1C43</v>
          </cell>
          <cell r="C1608" t="str">
            <v> </v>
          </cell>
        </row>
        <row r="1609">
          <cell r="B1609" t="str">
            <v>GYI7H99</v>
          </cell>
          <cell r="C1609" t="str">
            <v>Operando</v>
          </cell>
        </row>
        <row r="1610">
          <cell r="B1610" t="str">
            <v>GYI8B31</v>
          </cell>
          <cell r="C1610" t="str">
            <v>Operando</v>
          </cell>
        </row>
        <row r="1611">
          <cell r="B1611" t="str">
            <v>GYS5942</v>
          </cell>
          <cell r="C1611" t="str">
            <v> </v>
          </cell>
        </row>
        <row r="1612">
          <cell r="B1612" t="str">
            <v>GYV9658</v>
          </cell>
          <cell r="C1612" t="str">
            <v>Carregado</v>
          </cell>
        </row>
        <row r="1613">
          <cell r="B1613" t="str">
            <v>GYW2D92</v>
          </cell>
          <cell r="C1613" t="str">
            <v>Operando</v>
          </cell>
        </row>
        <row r="1614">
          <cell r="B1614" t="str">
            <v>HAA0235</v>
          </cell>
          <cell r="C1614" t="str">
            <v> </v>
          </cell>
        </row>
        <row r="1615">
          <cell r="B1615" t="str">
            <v>HAD2204</v>
          </cell>
          <cell r="C1615" t="str">
            <v> </v>
          </cell>
        </row>
        <row r="1616">
          <cell r="B1616" t="str">
            <v>HAF4G42</v>
          </cell>
          <cell r="C1616" t="str">
            <v>Carregado</v>
          </cell>
        </row>
        <row r="1617">
          <cell r="B1617" t="str">
            <v>HAV3439</v>
          </cell>
          <cell r="C1617" t="str">
            <v> </v>
          </cell>
        </row>
        <row r="1618">
          <cell r="B1618" t="str">
            <v>HBD8986</v>
          </cell>
          <cell r="C1618" t="str">
            <v>Operando</v>
          </cell>
        </row>
        <row r="1619">
          <cell r="B1619" t="str">
            <v>HBE0825</v>
          </cell>
          <cell r="C1619" t="str">
            <v>Operando</v>
          </cell>
        </row>
        <row r="1620">
          <cell r="B1620" t="str">
            <v>HBM7882</v>
          </cell>
          <cell r="C1620" t="str">
            <v> </v>
          </cell>
        </row>
        <row r="1621">
          <cell r="B1621" t="str">
            <v>HBQ1F31</v>
          </cell>
          <cell r="C1621" t="str">
            <v> </v>
          </cell>
        </row>
        <row r="1622">
          <cell r="B1622" t="str">
            <v>HBQ4103</v>
          </cell>
          <cell r="C1622" t="str">
            <v>Operando</v>
          </cell>
        </row>
        <row r="1623">
          <cell r="B1623" t="str">
            <v>HBW4683</v>
          </cell>
          <cell r="C1623" t="str">
            <v> </v>
          </cell>
        </row>
        <row r="1624">
          <cell r="B1624" t="str">
            <v>HBZ5565</v>
          </cell>
          <cell r="C1624" t="str">
            <v> </v>
          </cell>
        </row>
        <row r="1625">
          <cell r="B1625" t="str">
            <v>HBZ5J69</v>
          </cell>
          <cell r="C1625" t="str">
            <v> </v>
          </cell>
        </row>
        <row r="1626">
          <cell r="B1626" t="str">
            <v>HBZ6D72</v>
          </cell>
          <cell r="C1626" t="str">
            <v>Operando</v>
          </cell>
        </row>
        <row r="1627">
          <cell r="B1627" t="str">
            <v>HBZ8C79</v>
          </cell>
          <cell r="C1627" t="str">
            <v> </v>
          </cell>
        </row>
        <row r="1628">
          <cell r="B1628" t="str">
            <v>HCH2C22</v>
          </cell>
          <cell r="C1628" t="str">
            <v> </v>
          </cell>
        </row>
        <row r="1629">
          <cell r="B1629" t="str">
            <v>HDH2F81</v>
          </cell>
          <cell r="C1629" t="str">
            <v> </v>
          </cell>
        </row>
        <row r="1630">
          <cell r="B1630" t="str">
            <v>HDJ2052</v>
          </cell>
          <cell r="C1630" t="str">
            <v> </v>
          </cell>
        </row>
        <row r="1631">
          <cell r="B1631" t="str">
            <v>HDK7I68</v>
          </cell>
          <cell r="C1631" t="str">
            <v> </v>
          </cell>
        </row>
        <row r="1632">
          <cell r="B1632" t="str">
            <v>HDN3H03</v>
          </cell>
          <cell r="C1632" t="str">
            <v> </v>
          </cell>
        </row>
        <row r="1633">
          <cell r="B1633" t="str">
            <v>HDQ2G61</v>
          </cell>
          <cell r="C1633" t="str">
            <v> </v>
          </cell>
        </row>
        <row r="1634">
          <cell r="B1634" t="str">
            <v>HDW3762</v>
          </cell>
          <cell r="C1634" t="str">
            <v> </v>
          </cell>
        </row>
        <row r="1635">
          <cell r="B1635" t="str">
            <v>HES7J03</v>
          </cell>
          <cell r="C1635" t="str">
            <v>Operando</v>
          </cell>
        </row>
        <row r="1636">
          <cell r="B1636" t="str">
            <v>HEU1H56</v>
          </cell>
          <cell r="C1636" t="str">
            <v> </v>
          </cell>
        </row>
        <row r="1637">
          <cell r="B1637" t="str">
            <v>HEX6F31</v>
          </cell>
          <cell r="C1637" t="str">
            <v> </v>
          </cell>
        </row>
        <row r="1638">
          <cell r="B1638" t="str">
            <v>HFN8644</v>
          </cell>
          <cell r="C1638" t="str">
            <v> </v>
          </cell>
        </row>
        <row r="1639">
          <cell r="B1639" t="str">
            <v>HFU3535</v>
          </cell>
          <cell r="C1639" t="str">
            <v> </v>
          </cell>
        </row>
        <row r="1640">
          <cell r="B1640" t="str">
            <v>HGG6G34</v>
          </cell>
          <cell r="C1640" t="str">
            <v> </v>
          </cell>
        </row>
        <row r="1641">
          <cell r="B1641" t="str">
            <v>HGH4F59</v>
          </cell>
          <cell r="C1641" t="str">
            <v> </v>
          </cell>
        </row>
        <row r="1642">
          <cell r="B1642" t="str">
            <v>HGW0100</v>
          </cell>
          <cell r="C1642" t="str">
            <v> </v>
          </cell>
        </row>
        <row r="1643">
          <cell r="B1643" t="str">
            <v>HHG0B58</v>
          </cell>
          <cell r="C1643" t="str">
            <v> </v>
          </cell>
        </row>
        <row r="1644">
          <cell r="B1644" t="str">
            <v>HHR2H91</v>
          </cell>
          <cell r="C1644" t="str">
            <v> </v>
          </cell>
        </row>
        <row r="1645">
          <cell r="B1645" t="str">
            <v>HHT0C08</v>
          </cell>
          <cell r="C1645" t="str">
            <v> </v>
          </cell>
        </row>
        <row r="1646">
          <cell r="B1646" t="str">
            <v>HIB1224</v>
          </cell>
          <cell r="C1646" t="str">
            <v>Operando</v>
          </cell>
        </row>
        <row r="1647">
          <cell r="B1647" t="str">
            <v>HIC4E79</v>
          </cell>
          <cell r="C1647" t="str">
            <v>Operando</v>
          </cell>
        </row>
        <row r="1648">
          <cell r="B1648" t="str">
            <v>HIE4F52</v>
          </cell>
          <cell r="C1648" t="str">
            <v>Operando</v>
          </cell>
        </row>
        <row r="1649">
          <cell r="B1649" t="str">
            <v>HIE8D96</v>
          </cell>
          <cell r="C1649" t="str">
            <v> </v>
          </cell>
        </row>
        <row r="1650">
          <cell r="B1650" t="str">
            <v>HIJ8C25</v>
          </cell>
          <cell r="C1650" t="str">
            <v>Operando</v>
          </cell>
        </row>
        <row r="1651">
          <cell r="B1651" t="str">
            <v>HIM9A12</v>
          </cell>
          <cell r="C1651" t="str">
            <v> </v>
          </cell>
        </row>
        <row r="1652">
          <cell r="B1652" t="str">
            <v>HIP5J05</v>
          </cell>
          <cell r="C1652" t="str">
            <v> </v>
          </cell>
        </row>
        <row r="1653">
          <cell r="B1653" t="str">
            <v>HIU1H99</v>
          </cell>
          <cell r="C1653" t="str">
            <v> </v>
          </cell>
        </row>
        <row r="1654">
          <cell r="B1654" t="str">
            <v>HJA0791</v>
          </cell>
          <cell r="C1654" t="str">
            <v>Operando</v>
          </cell>
        </row>
        <row r="1655">
          <cell r="B1655" t="str">
            <v>HJG2A21</v>
          </cell>
          <cell r="C1655" t="str">
            <v> </v>
          </cell>
        </row>
        <row r="1656">
          <cell r="B1656" t="str">
            <v>HJG3786</v>
          </cell>
          <cell r="C1656" t="str">
            <v> </v>
          </cell>
        </row>
        <row r="1657">
          <cell r="B1657" t="str">
            <v>HJI9331</v>
          </cell>
          <cell r="C1657" t="str">
            <v> </v>
          </cell>
        </row>
        <row r="1658">
          <cell r="B1658" t="str">
            <v>HJK0J80</v>
          </cell>
          <cell r="C1658" t="str">
            <v> </v>
          </cell>
        </row>
        <row r="1659">
          <cell r="B1659" t="str">
            <v>HJL5J89</v>
          </cell>
          <cell r="C1659" t="str">
            <v>Operando</v>
          </cell>
        </row>
        <row r="1660">
          <cell r="B1660" t="str">
            <v>HJL6I51</v>
          </cell>
          <cell r="C1660" t="str">
            <v>Agregado</v>
          </cell>
        </row>
        <row r="1661">
          <cell r="B1661" t="str">
            <v>HJP2E75</v>
          </cell>
          <cell r="C1661" t="str">
            <v> </v>
          </cell>
        </row>
        <row r="1662">
          <cell r="B1662" t="str">
            <v>HJR7C32</v>
          </cell>
          <cell r="C1662" t="str">
            <v>Operando</v>
          </cell>
        </row>
        <row r="1663">
          <cell r="B1663" t="str">
            <v>HJR9J49</v>
          </cell>
          <cell r="C1663" t="str">
            <v>Operando</v>
          </cell>
        </row>
        <row r="1664">
          <cell r="B1664" t="str">
            <v>HJZ3316</v>
          </cell>
          <cell r="C1664" t="str">
            <v> </v>
          </cell>
        </row>
        <row r="1665">
          <cell r="B1665" t="str">
            <v>HJZ5B67</v>
          </cell>
          <cell r="C1665" t="str">
            <v> </v>
          </cell>
        </row>
        <row r="1666">
          <cell r="B1666" t="str">
            <v>HKC9G53</v>
          </cell>
          <cell r="C1666" t="str">
            <v>Operando</v>
          </cell>
        </row>
        <row r="1667">
          <cell r="B1667" t="str">
            <v>HKH1942</v>
          </cell>
          <cell r="C1667" t="str">
            <v>Operando</v>
          </cell>
        </row>
        <row r="1668">
          <cell r="B1668" t="str">
            <v>HKI8919</v>
          </cell>
          <cell r="C1668" t="str">
            <v>Operando</v>
          </cell>
        </row>
        <row r="1669">
          <cell r="B1669" t="str">
            <v>HKW5G04</v>
          </cell>
          <cell r="C1669" t="str">
            <v> </v>
          </cell>
        </row>
        <row r="1670">
          <cell r="B1670" t="str">
            <v>HKZ9269</v>
          </cell>
          <cell r="C1670" t="str">
            <v> </v>
          </cell>
        </row>
        <row r="1671">
          <cell r="B1671" t="str">
            <v>HLC0B96</v>
          </cell>
          <cell r="C1671" t="str">
            <v> </v>
          </cell>
        </row>
        <row r="1672">
          <cell r="B1672" t="str">
            <v>HLC1740</v>
          </cell>
          <cell r="C1672" t="str">
            <v> </v>
          </cell>
        </row>
        <row r="1673">
          <cell r="B1673" t="str">
            <v>HLD0611</v>
          </cell>
          <cell r="C1673" t="str">
            <v> </v>
          </cell>
        </row>
        <row r="1674">
          <cell r="B1674" t="str">
            <v>HLF1501</v>
          </cell>
          <cell r="C1674" t="str">
            <v>Operando</v>
          </cell>
        </row>
        <row r="1675">
          <cell r="B1675" t="str">
            <v>HLG8J65</v>
          </cell>
          <cell r="C1675" t="str">
            <v> </v>
          </cell>
        </row>
        <row r="1676">
          <cell r="B1676" t="str">
            <v>HLH8B52</v>
          </cell>
          <cell r="C1676" t="str">
            <v> </v>
          </cell>
        </row>
        <row r="1677">
          <cell r="B1677" t="str">
            <v>HLL3A48</v>
          </cell>
          <cell r="C1677" t="str">
            <v> </v>
          </cell>
        </row>
        <row r="1678">
          <cell r="B1678" t="str">
            <v>HLR0E19</v>
          </cell>
          <cell r="C1678" t="str">
            <v>Operando</v>
          </cell>
        </row>
        <row r="1679">
          <cell r="B1679" t="str">
            <v>HLR5013</v>
          </cell>
          <cell r="C1679" t="str">
            <v> </v>
          </cell>
        </row>
        <row r="1680">
          <cell r="B1680" t="str">
            <v>HLV1683</v>
          </cell>
          <cell r="C1680" t="str">
            <v> </v>
          </cell>
        </row>
        <row r="1681">
          <cell r="B1681" t="str">
            <v>HLX1I94</v>
          </cell>
          <cell r="C1681" t="str">
            <v>Operando</v>
          </cell>
        </row>
        <row r="1682">
          <cell r="B1682" t="str">
            <v>HMC0J49</v>
          </cell>
          <cell r="C1682" t="str">
            <v> </v>
          </cell>
        </row>
        <row r="1683">
          <cell r="B1683" t="str">
            <v>HMD8085</v>
          </cell>
          <cell r="C1683" t="str">
            <v> </v>
          </cell>
        </row>
        <row r="1684">
          <cell r="B1684" t="str">
            <v>HMF0C50</v>
          </cell>
          <cell r="C1684" t="str">
            <v> </v>
          </cell>
        </row>
        <row r="1685">
          <cell r="B1685" t="str">
            <v>HMH7J46</v>
          </cell>
          <cell r="C1685" t="str">
            <v>Operando</v>
          </cell>
        </row>
        <row r="1686">
          <cell r="B1686" t="str">
            <v>HMK3E74</v>
          </cell>
          <cell r="C1686" t="str">
            <v> </v>
          </cell>
        </row>
        <row r="1687">
          <cell r="B1687" t="str">
            <v>HML1855</v>
          </cell>
          <cell r="C1687" t="str">
            <v> </v>
          </cell>
        </row>
        <row r="1688">
          <cell r="B1688" t="str">
            <v>HML1I55</v>
          </cell>
          <cell r="C1688" t="str">
            <v>Operando</v>
          </cell>
        </row>
        <row r="1689">
          <cell r="B1689" t="str">
            <v>HMN9G30</v>
          </cell>
          <cell r="C1689" t="str">
            <v>Operando</v>
          </cell>
        </row>
        <row r="1690">
          <cell r="B1690" t="str">
            <v>HMQ4106</v>
          </cell>
          <cell r="C1690" t="str">
            <v>Operando</v>
          </cell>
        </row>
        <row r="1691">
          <cell r="B1691" t="str">
            <v>HMR2D28</v>
          </cell>
          <cell r="C1691" t="str">
            <v> </v>
          </cell>
        </row>
        <row r="1692">
          <cell r="B1692" t="str">
            <v>HMT6J64</v>
          </cell>
          <cell r="C1692" t="str">
            <v>Operando</v>
          </cell>
        </row>
        <row r="1693">
          <cell r="B1693" t="str">
            <v>HMV9A02</v>
          </cell>
          <cell r="C1693" t="str">
            <v>Operando</v>
          </cell>
        </row>
        <row r="1694">
          <cell r="B1694" t="str">
            <v>HMW1I14</v>
          </cell>
          <cell r="C1694" t="str">
            <v> </v>
          </cell>
        </row>
        <row r="1695">
          <cell r="B1695" t="str">
            <v>HMY3134</v>
          </cell>
          <cell r="C1695" t="str">
            <v>Operando</v>
          </cell>
        </row>
        <row r="1696">
          <cell r="B1696" t="str">
            <v>HNB4103</v>
          </cell>
          <cell r="C1696" t="str">
            <v> </v>
          </cell>
        </row>
        <row r="1697">
          <cell r="B1697" t="str">
            <v>HNH1G69</v>
          </cell>
          <cell r="C1697" t="str">
            <v> </v>
          </cell>
        </row>
        <row r="1698">
          <cell r="B1698" t="str">
            <v>HNH8097</v>
          </cell>
          <cell r="C1698" t="str">
            <v> </v>
          </cell>
        </row>
        <row r="1699">
          <cell r="B1699" t="str">
            <v>HNI1H13</v>
          </cell>
          <cell r="C1699" t="str">
            <v> </v>
          </cell>
        </row>
        <row r="1700">
          <cell r="B1700" t="str">
            <v>HNI5C20</v>
          </cell>
          <cell r="C1700" t="str">
            <v> </v>
          </cell>
        </row>
        <row r="1701">
          <cell r="B1701" t="str">
            <v>HNM8F90</v>
          </cell>
          <cell r="C1701" t="str">
            <v>Operando</v>
          </cell>
        </row>
        <row r="1702">
          <cell r="B1702" t="str">
            <v>HNT1D08</v>
          </cell>
          <cell r="C1702" t="str">
            <v> </v>
          </cell>
        </row>
        <row r="1703">
          <cell r="B1703" t="str">
            <v>HNT9I81</v>
          </cell>
          <cell r="C1703" t="str">
            <v> </v>
          </cell>
        </row>
        <row r="1704">
          <cell r="B1704" t="str">
            <v>HNU0B97</v>
          </cell>
          <cell r="C1704" t="str">
            <v>Operando</v>
          </cell>
        </row>
        <row r="1705">
          <cell r="B1705" t="str">
            <v>HNU3177</v>
          </cell>
          <cell r="C1705" t="str">
            <v>Operando</v>
          </cell>
        </row>
        <row r="1706">
          <cell r="B1706" t="str">
            <v>HNU5E60</v>
          </cell>
          <cell r="C1706" t="str">
            <v>Operando</v>
          </cell>
        </row>
        <row r="1707">
          <cell r="B1707" t="str">
            <v>HNV6629</v>
          </cell>
          <cell r="C1707" t="str">
            <v>Operando</v>
          </cell>
        </row>
        <row r="1708">
          <cell r="B1708" t="str">
            <v>HNY1063</v>
          </cell>
          <cell r="C1708" t="str">
            <v> </v>
          </cell>
        </row>
        <row r="1709">
          <cell r="B1709" t="str">
            <v>HNZ1F20</v>
          </cell>
          <cell r="C1709" t="str">
            <v>Manutenção</v>
          </cell>
        </row>
        <row r="1710">
          <cell r="B1710" t="str">
            <v>HOB6579</v>
          </cell>
          <cell r="C1710" t="str">
            <v> </v>
          </cell>
        </row>
        <row r="1711">
          <cell r="B1711" t="str">
            <v>HOD8C82</v>
          </cell>
          <cell r="C1711" t="str">
            <v> </v>
          </cell>
        </row>
        <row r="1712">
          <cell r="B1712" t="str">
            <v>HOD8D21</v>
          </cell>
          <cell r="C1712" t="str">
            <v>Operando</v>
          </cell>
        </row>
        <row r="1713">
          <cell r="B1713" t="str">
            <v>HOE9168</v>
          </cell>
          <cell r="C1713" t="str">
            <v> </v>
          </cell>
        </row>
        <row r="1714">
          <cell r="B1714" t="str">
            <v>HOF1010</v>
          </cell>
          <cell r="C1714" t="str">
            <v>Operando</v>
          </cell>
        </row>
        <row r="1715">
          <cell r="B1715" t="str">
            <v>HOJ7G72</v>
          </cell>
          <cell r="C1715" t="str">
            <v> </v>
          </cell>
        </row>
        <row r="1716">
          <cell r="B1716" t="str">
            <v>HOJ9I42</v>
          </cell>
          <cell r="C1716" t="str">
            <v> </v>
          </cell>
        </row>
        <row r="1717">
          <cell r="B1717" t="str">
            <v>HOK4I90</v>
          </cell>
          <cell r="C1717" t="str">
            <v> </v>
          </cell>
        </row>
        <row r="1718">
          <cell r="B1718" t="str">
            <v>HPO9430</v>
          </cell>
          <cell r="C1718" t="str">
            <v> </v>
          </cell>
        </row>
        <row r="1719">
          <cell r="B1719" t="str">
            <v>HSY8J36</v>
          </cell>
          <cell r="C1719" t="str">
            <v> </v>
          </cell>
        </row>
        <row r="1720">
          <cell r="B1720" t="str">
            <v>HTF9093</v>
          </cell>
          <cell r="C1720" t="str">
            <v> </v>
          </cell>
        </row>
        <row r="1721">
          <cell r="B1721" t="str">
            <v>HTP9E03</v>
          </cell>
          <cell r="C1721" t="str">
            <v> </v>
          </cell>
        </row>
        <row r="1722">
          <cell r="B1722" t="str">
            <v>HTT6572</v>
          </cell>
          <cell r="C1722" t="str">
            <v> </v>
          </cell>
        </row>
        <row r="1723">
          <cell r="B1723" t="str">
            <v>HTV1089</v>
          </cell>
          <cell r="C1723" t="str">
            <v> </v>
          </cell>
        </row>
        <row r="1724">
          <cell r="B1724" t="str">
            <v>HWQ9949</v>
          </cell>
          <cell r="C1724" t="str">
            <v> </v>
          </cell>
        </row>
        <row r="1725">
          <cell r="B1725" t="str">
            <v>HYC9J44</v>
          </cell>
          <cell r="C1725" t="str">
            <v>Operando</v>
          </cell>
        </row>
        <row r="1726">
          <cell r="B1726" t="str">
            <v>HYN3B57</v>
          </cell>
          <cell r="C1726" t="str">
            <v> </v>
          </cell>
        </row>
        <row r="1727">
          <cell r="B1727" t="str">
            <v>HYO9A67</v>
          </cell>
          <cell r="C1727" t="str">
            <v> </v>
          </cell>
        </row>
        <row r="1728">
          <cell r="B1728" t="str">
            <v>HYR7G82</v>
          </cell>
          <cell r="C1728" t="str">
            <v> </v>
          </cell>
        </row>
        <row r="1729">
          <cell r="B1729" t="str">
            <v>HYY2A63</v>
          </cell>
          <cell r="C1729" t="str">
            <v> </v>
          </cell>
        </row>
        <row r="1730">
          <cell r="B1730" t="str">
            <v>IJD1372</v>
          </cell>
          <cell r="C1730" t="str">
            <v> </v>
          </cell>
        </row>
        <row r="1731">
          <cell r="B1731" t="str">
            <v>IJV5C08</v>
          </cell>
          <cell r="C1731" t="str">
            <v>Operando</v>
          </cell>
        </row>
        <row r="1732">
          <cell r="B1732" t="str">
            <v>IKQ7D26</v>
          </cell>
          <cell r="C1732" t="str">
            <v> </v>
          </cell>
        </row>
        <row r="1733">
          <cell r="B1733" t="str">
            <v>IKR5J47</v>
          </cell>
          <cell r="C1733" t="str">
            <v>Operando</v>
          </cell>
        </row>
        <row r="1734">
          <cell r="B1734" t="str">
            <v>ILG2B80</v>
          </cell>
          <cell r="C1734" t="str">
            <v> </v>
          </cell>
        </row>
        <row r="1735">
          <cell r="B1735" t="str">
            <v>ILT1A71</v>
          </cell>
          <cell r="C1735" t="str">
            <v> </v>
          </cell>
        </row>
        <row r="1736">
          <cell r="B1736" t="str">
            <v>IMA8A51</v>
          </cell>
          <cell r="C1736" t="str">
            <v>Operando</v>
          </cell>
        </row>
        <row r="1737">
          <cell r="B1737" t="str">
            <v>IML5522</v>
          </cell>
          <cell r="C1737" t="str">
            <v> </v>
          </cell>
        </row>
        <row r="1738">
          <cell r="B1738" t="str">
            <v>IOE3A97</v>
          </cell>
          <cell r="C1738" t="str">
            <v> </v>
          </cell>
        </row>
        <row r="1739">
          <cell r="B1739" t="str">
            <v>IOJ4J33</v>
          </cell>
          <cell r="C1739" t="str">
            <v>Operando</v>
          </cell>
        </row>
        <row r="1740">
          <cell r="B1740" t="str">
            <v>IOO7G61</v>
          </cell>
          <cell r="C1740" t="str">
            <v>Operando</v>
          </cell>
        </row>
        <row r="1741">
          <cell r="B1741" t="str">
            <v>IOQ7716</v>
          </cell>
          <cell r="C1741" t="str">
            <v>Operando</v>
          </cell>
        </row>
        <row r="1742">
          <cell r="B1742" t="str">
            <v>IOR6E49</v>
          </cell>
          <cell r="C1742" t="str">
            <v>Operando</v>
          </cell>
        </row>
        <row r="1743">
          <cell r="B1743" t="str">
            <v>IOY2688</v>
          </cell>
          <cell r="C1743" t="str">
            <v> </v>
          </cell>
        </row>
        <row r="1744">
          <cell r="B1744" t="str">
            <v>IPH8A06</v>
          </cell>
          <cell r="C1744" t="str">
            <v>Operando</v>
          </cell>
        </row>
        <row r="1745">
          <cell r="B1745" t="str">
            <v>IPK8C94</v>
          </cell>
          <cell r="C1745" t="str">
            <v> </v>
          </cell>
        </row>
        <row r="1746">
          <cell r="B1746" t="str">
            <v>IPO7D11</v>
          </cell>
          <cell r="C1746" t="str">
            <v> </v>
          </cell>
        </row>
        <row r="1747">
          <cell r="B1747" t="str">
            <v>IPP8B92</v>
          </cell>
          <cell r="C1747" t="str">
            <v> </v>
          </cell>
        </row>
        <row r="1748">
          <cell r="B1748" t="str">
            <v>IPR9A81</v>
          </cell>
          <cell r="C1748" t="str">
            <v> </v>
          </cell>
        </row>
        <row r="1749">
          <cell r="B1749" t="str">
            <v>IPU4E27</v>
          </cell>
          <cell r="C1749" t="str">
            <v>Operando</v>
          </cell>
        </row>
        <row r="1750">
          <cell r="B1750" t="str">
            <v>IPV7F87</v>
          </cell>
          <cell r="C1750" t="str">
            <v> </v>
          </cell>
        </row>
        <row r="1751">
          <cell r="B1751" t="str">
            <v>IQD9158</v>
          </cell>
          <cell r="C1751" t="str">
            <v>Operando</v>
          </cell>
        </row>
        <row r="1752">
          <cell r="B1752" t="str">
            <v>IQG9J05</v>
          </cell>
          <cell r="C1752" t="str">
            <v> </v>
          </cell>
        </row>
        <row r="1753">
          <cell r="B1753" t="str">
            <v>IQI0B34</v>
          </cell>
          <cell r="C1753" t="str">
            <v> </v>
          </cell>
        </row>
        <row r="1754">
          <cell r="B1754" t="str">
            <v>IQI2I27</v>
          </cell>
          <cell r="C1754" t="str">
            <v> </v>
          </cell>
        </row>
        <row r="1755">
          <cell r="B1755" t="str">
            <v>IQN0J05</v>
          </cell>
          <cell r="C1755" t="str">
            <v>Operando</v>
          </cell>
        </row>
        <row r="1756">
          <cell r="B1756" t="str">
            <v>IQN4F03</v>
          </cell>
          <cell r="C1756" t="str">
            <v> </v>
          </cell>
        </row>
        <row r="1757">
          <cell r="B1757" t="str">
            <v>IQN7809</v>
          </cell>
          <cell r="C1757" t="str">
            <v>Operando</v>
          </cell>
        </row>
        <row r="1758">
          <cell r="B1758" t="str">
            <v>IQU6446</v>
          </cell>
          <cell r="C1758" t="str">
            <v>Operando</v>
          </cell>
        </row>
        <row r="1759">
          <cell r="B1759" t="str">
            <v>IQW2F31</v>
          </cell>
          <cell r="C1759" t="str">
            <v>Operando</v>
          </cell>
        </row>
        <row r="1760">
          <cell r="B1760" t="str">
            <v>IQY2J68</v>
          </cell>
          <cell r="C1760" t="str">
            <v> </v>
          </cell>
        </row>
        <row r="1761">
          <cell r="B1761" t="str">
            <v>IQY2J72</v>
          </cell>
          <cell r="C1761" t="str">
            <v>Operando</v>
          </cell>
        </row>
        <row r="1762">
          <cell r="B1762" t="str">
            <v>IQY9G18</v>
          </cell>
          <cell r="C1762" t="str">
            <v> </v>
          </cell>
        </row>
        <row r="1763">
          <cell r="B1763" t="str">
            <v>IRA1431</v>
          </cell>
          <cell r="C1763" t="str">
            <v>Operando</v>
          </cell>
        </row>
        <row r="1764">
          <cell r="B1764" t="str">
            <v>IRD3170</v>
          </cell>
          <cell r="C1764" t="str">
            <v> </v>
          </cell>
        </row>
        <row r="1765">
          <cell r="B1765" t="str">
            <v>IRH4D55</v>
          </cell>
          <cell r="C1765" t="str">
            <v>Operando</v>
          </cell>
        </row>
        <row r="1766">
          <cell r="B1766" t="str">
            <v>IRP4510</v>
          </cell>
          <cell r="C1766" t="str">
            <v>Operando</v>
          </cell>
        </row>
        <row r="1767">
          <cell r="B1767" t="str">
            <v>IRP5B13</v>
          </cell>
          <cell r="C1767" t="str">
            <v> </v>
          </cell>
        </row>
        <row r="1768">
          <cell r="B1768" t="str">
            <v>IRQ1H66</v>
          </cell>
          <cell r="C1768" t="str">
            <v> </v>
          </cell>
        </row>
        <row r="1769">
          <cell r="B1769" t="str">
            <v>IRQ2D21</v>
          </cell>
          <cell r="C1769" t="str">
            <v>Operando</v>
          </cell>
        </row>
        <row r="1770">
          <cell r="B1770" t="str">
            <v>IRQ7A96</v>
          </cell>
          <cell r="C1770" t="str">
            <v>Operando</v>
          </cell>
        </row>
        <row r="1771">
          <cell r="B1771" t="str">
            <v>IRQ7B40</v>
          </cell>
          <cell r="C1771" t="str">
            <v>Operando</v>
          </cell>
        </row>
        <row r="1772">
          <cell r="B1772" t="str">
            <v>IRT2045</v>
          </cell>
          <cell r="C1772" t="str">
            <v>Operando</v>
          </cell>
        </row>
        <row r="1773">
          <cell r="B1773" t="str">
            <v>IRT5A22</v>
          </cell>
          <cell r="C1773" t="str">
            <v> </v>
          </cell>
        </row>
        <row r="1774">
          <cell r="B1774" t="str">
            <v>ISG3194</v>
          </cell>
          <cell r="C1774" t="str">
            <v> </v>
          </cell>
        </row>
        <row r="1775">
          <cell r="B1775" t="str">
            <v>ISG9D60</v>
          </cell>
          <cell r="C1775" t="str">
            <v> </v>
          </cell>
        </row>
        <row r="1776">
          <cell r="B1776" t="str">
            <v>ISJ3440</v>
          </cell>
          <cell r="C1776" t="str">
            <v> </v>
          </cell>
        </row>
        <row r="1777">
          <cell r="B1777" t="str">
            <v>ISK8D30</v>
          </cell>
          <cell r="C1777" t="str">
            <v> </v>
          </cell>
        </row>
        <row r="1778">
          <cell r="B1778" t="str">
            <v>ISL5E24</v>
          </cell>
          <cell r="C1778" t="str">
            <v>Agregado</v>
          </cell>
        </row>
        <row r="1779">
          <cell r="B1779" t="str">
            <v>ISN2C28</v>
          </cell>
          <cell r="C1779" t="str">
            <v>Operando</v>
          </cell>
        </row>
        <row r="1780">
          <cell r="B1780" t="str">
            <v>ISO7447</v>
          </cell>
          <cell r="C1780" t="str">
            <v>Operando</v>
          </cell>
        </row>
        <row r="1781">
          <cell r="B1781" t="str">
            <v>ISP7J40</v>
          </cell>
          <cell r="C1781" t="str">
            <v> </v>
          </cell>
        </row>
        <row r="1782">
          <cell r="B1782" t="str">
            <v>ISR1I04</v>
          </cell>
          <cell r="C1782" t="str">
            <v>Operando</v>
          </cell>
        </row>
        <row r="1783">
          <cell r="B1783" t="str">
            <v>ISS1C87</v>
          </cell>
          <cell r="C1783" t="str">
            <v> </v>
          </cell>
        </row>
        <row r="1784">
          <cell r="B1784" t="str">
            <v>ISU9H10</v>
          </cell>
          <cell r="C1784" t="str">
            <v> </v>
          </cell>
        </row>
        <row r="1785">
          <cell r="B1785" t="str">
            <v>ISV6I48</v>
          </cell>
          <cell r="C1785" t="str">
            <v>Operando</v>
          </cell>
        </row>
        <row r="1786">
          <cell r="B1786" t="str">
            <v>ISY8B27</v>
          </cell>
          <cell r="C1786" t="str">
            <v>Operando</v>
          </cell>
        </row>
        <row r="1787">
          <cell r="B1787" t="str">
            <v>ISY8C41</v>
          </cell>
          <cell r="C1787" t="str">
            <v>Operando</v>
          </cell>
        </row>
        <row r="1788">
          <cell r="B1788" t="str">
            <v>ITB5H17</v>
          </cell>
          <cell r="C1788" t="str">
            <v> </v>
          </cell>
        </row>
        <row r="1789">
          <cell r="B1789" t="str">
            <v>ITC1A53</v>
          </cell>
          <cell r="C1789" t="str">
            <v> </v>
          </cell>
        </row>
        <row r="1790">
          <cell r="B1790" t="str">
            <v>ITF2D36</v>
          </cell>
          <cell r="C1790" t="str">
            <v> </v>
          </cell>
        </row>
        <row r="1791">
          <cell r="B1791" t="str">
            <v>ITH8D07</v>
          </cell>
          <cell r="C1791" t="str">
            <v> </v>
          </cell>
        </row>
        <row r="1792">
          <cell r="B1792" t="str">
            <v>ITM0G77</v>
          </cell>
          <cell r="C1792" t="str">
            <v> </v>
          </cell>
        </row>
        <row r="1793">
          <cell r="B1793" t="str">
            <v>ITO4F90</v>
          </cell>
          <cell r="C1793" t="str">
            <v>Operando</v>
          </cell>
        </row>
        <row r="1794">
          <cell r="B1794" t="str">
            <v>ITP8F63</v>
          </cell>
          <cell r="C1794" t="str">
            <v>Operando</v>
          </cell>
        </row>
        <row r="1795">
          <cell r="B1795" t="str">
            <v>ITR2A57</v>
          </cell>
          <cell r="C1795" t="str">
            <v>Operando</v>
          </cell>
        </row>
        <row r="1796">
          <cell r="B1796" t="str">
            <v>ITS2J08</v>
          </cell>
          <cell r="C1796" t="str">
            <v> </v>
          </cell>
        </row>
        <row r="1797">
          <cell r="B1797" t="str">
            <v>ITU1H32</v>
          </cell>
          <cell r="C1797" t="str">
            <v> </v>
          </cell>
        </row>
        <row r="1798">
          <cell r="B1798" t="str">
            <v>ITY8D55</v>
          </cell>
          <cell r="C1798" t="str">
            <v>Operando</v>
          </cell>
        </row>
        <row r="1799">
          <cell r="B1799" t="str">
            <v>ITZ7D14</v>
          </cell>
          <cell r="C1799" t="str">
            <v>Carregado</v>
          </cell>
        </row>
        <row r="1800">
          <cell r="B1800" t="str">
            <v>IUB0H62</v>
          </cell>
          <cell r="C1800" t="str">
            <v> </v>
          </cell>
        </row>
        <row r="1801">
          <cell r="B1801" t="str">
            <v>IUB3A51</v>
          </cell>
          <cell r="C1801" t="str">
            <v> </v>
          </cell>
        </row>
        <row r="1802">
          <cell r="B1802" t="str">
            <v>IUE2G81</v>
          </cell>
          <cell r="C1802" t="str">
            <v> </v>
          </cell>
        </row>
        <row r="1803">
          <cell r="B1803" t="str">
            <v>IUE8H25</v>
          </cell>
          <cell r="C1803" t="str">
            <v> </v>
          </cell>
        </row>
        <row r="1804">
          <cell r="B1804" t="str">
            <v>IUJ7D63</v>
          </cell>
          <cell r="C1804" t="str">
            <v> </v>
          </cell>
        </row>
        <row r="1805">
          <cell r="B1805" t="str">
            <v>IUK2E65</v>
          </cell>
          <cell r="C1805" t="str">
            <v>Operando</v>
          </cell>
        </row>
        <row r="1806">
          <cell r="B1806" t="str">
            <v>IUL5G41</v>
          </cell>
          <cell r="C1806" t="str">
            <v>Operando</v>
          </cell>
        </row>
        <row r="1807">
          <cell r="B1807" t="str">
            <v>IUP9A26</v>
          </cell>
          <cell r="C1807" t="str">
            <v>Operando</v>
          </cell>
        </row>
        <row r="1808">
          <cell r="B1808" t="str">
            <v>IUR3F63</v>
          </cell>
          <cell r="C1808" t="str">
            <v> </v>
          </cell>
        </row>
        <row r="1809">
          <cell r="B1809" t="str">
            <v>IUS0599</v>
          </cell>
          <cell r="C1809" t="str">
            <v>Operando</v>
          </cell>
        </row>
        <row r="1810">
          <cell r="B1810" t="str">
            <v>IUS4980</v>
          </cell>
          <cell r="C1810" t="str">
            <v> </v>
          </cell>
        </row>
        <row r="1811">
          <cell r="B1811" t="str">
            <v>IUS5E20</v>
          </cell>
          <cell r="C1811" t="str">
            <v> </v>
          </cell>
        </row>
        <row r="1812">
          <cell r="B1812" t="str">
            <v>IUW3670</v>
          </cell>
          <cell r="C1812" t="str">
            <v> </v>
          </cell>
        </row>
        <row r="1813">
          <cell r="B1813" t="str">
            <v>IUW8C61</v>
          </cell>
          <cell r="C1813" t="str">
            <v> </v>
          </cell>
        </row>
        <row r="1814">
          <cell r="B1814" t="str">
            <v>IUZ0798</v>
          </cell>
          <cell r="C1814" t="str">
            <v> </v>
          </cell>
        </row>
        <row r="1815">
          <cell r="B1815" t="str">
            <v>IUZ1C91</v>
          </cell>
          <cell r="C1815" t="str">
            <v> </v>
          </cell>
        </row>
        <row r="1816">
          <cell r="B1816" t="str">
            <v>IUZ3C59</v>
          </cell>
          <cell r="C1816" t="str">
            <v> </v>
          </cell>
        </row>
        <row r="1817">
          <cell r="B1817" t="str">
            <v>IUZ9H45</v>
          </cell>
          <cell r="C1817" t="str">
            <v> </v>
          </cell>
        </row>
        <row r="1818">
          <cell r="B1818" t="str">
            <v>IVA4C29</v>
          </cell>
          <cell r="C1818" t="str">
            <v> </v>
          </cell>
        </row>
        <row r="1819">
          <cell r="B1819" t="str">
            <v>IVI8I25</v>
          </cell>
          <cell r="C1819" t="str">
            <v> </v>
          </cell>
        </row>
        <row r="1820">
          <cell r="B1820" t="str">
            <v>IVJ9H02</v>
          </cell>
          <cell r="C1820" t="str">
            <v> </v>
          </cell>
        </row>
        <row r="1821">
          <cell r="B1821" t="str">
            <v>IVL6G46</v>
          </cell>
          <cell r="C1821" t="str">
            <v>Operando</v>
          </cell>
        </row>
        <row r="1822">
          <cell r="B1822" t="str">
            <v>IVM0B23</v>
          </cell>
          <cell r="C1822" t="str">
            <v> </v>
          </cell>
        </row>
        <row r="1823">
          <cell r="B1823" t="str">
            <v>IVM7F51</v>
          </cell>
          <cell r="C1823" t="str">
            <v> </v>
          </cell>
        </row>
        <row r="1824">
          <cell r="B1824" t="str">
            <v>IVO5847</v>
          </cell>
          <cell r="C1824" t="str">
            <v> </v>
          </cell>
        </row>
        <row r="1825">
          <cell r="B1825" t="str">
            <v>IVO8I62</v>
          </cell>
          <cell r="C1825" t="str">
            <v>Operando</v>
          </cell>
        </row>
        <row r="1826">
          <cell r="B1826" t="str">
            <v>IVQ8E51</v>
          </cell>
          <cell r="C1826" t="str">
            <v>Operando</v>
          </cell>
        </row>
        <row r="1827">
          <cell r="B1827" t="str">
            <v>IVT5802</v>
          </cell>
          <cell r="C1827" t="str">
            <v> </v>
          </cell>
        </row>
        <row r="1828">
          <cell r="B1828" t="str">
            <v>IWB6D37</v>
          </cell>
          <cell r="C1828" t="str">
            <v>Operando</v>
          </cell>
        </row>
        <row r="1829">
          <cell r="B1829" t="str">
            <v>IWC0C69</v>
          </cell>
          <cell r="C1829" t="str">
            <v> </v>
          </cell>
        </row>
        <row r="1830">
          <cell r="B1830" t="str">
            <v>IWC3C82</v>
          </cell>
          <cell r="C1830" t="str">
            <v>Operando</v>
          </cell>
        </row>
        <row r="1831">
          <cell r="B1831" t="str">
            <v>IWC6D23</v>
          </cell>
          <cell r="C1831" t="str">
            <v> </v>
          </cell>
        </row>
        <row r="1832">
          <cell r="B1832" t="str">
            <v>IWF2A32</v>
          </cell>
          <cell r="C1832" t="str">
            <v> </v>
          </cell>
        </row>
        <row r="1833">
          <cell r="B1833" t="str">
            <v>IWG7G38</v>
          </cell>
          <cell r="C1833" t="str">
            <v> </v>
          </cell>
        </row>
        <row r="1834">
          <cell r="B1834" t="str">
            <v>IWK3H66</v>
          </cell>
          <cell r="C1834" t="str">
            <v>Operando</v>
          </cell>
        </row>
        <row r="1835">
          <cell r="B1835" t="str">
            <v>IWO7A08</v>
          </cell>
          <cell r="C1835" t="str">
            <v>Operando</v>
          </cell>
        </row>
        <row r="1836">
          <cell r="B1836" t="str">
            <v>IWT1E81</v>
          </cell>
          <cell r="C1836" t="str">
            <v> </v>
          </cell>
        </row>
        <row r="1837">
          <cell r="B1837" t="str">
            <v>IWT7E85</v>
          </cell>
          <cell r="C1837" t="str">
            <v> </v>
          </cell>
        </row>
        <row r="1838">
          <cell r="B1838" t="str">
            <v>IWX0D13</v>
          </cell>
          <cell r="C1838" t="str">
            <v> </v>
          </cell>
        </row>
        <row r="1839">
          <cell r="B1839" t="str">
            <v>IWX0I45</v>
          </cell>
          <cell r="C1839" t="str">
            <v> </v>
          </cell>
        </row>
        <row r="1840">
          <cell r="B1840" t="str">
            <v>IXJ3088</v>
          </cell>
          <cell r="C1840" t="str">
            <v> </v>
          </cell>
        </row>
        <row r="1841">
          <cell r="B1841" t="str">
            <v>IXL3E38</v>
          </cell>
          <cell r="C1841" t="str">
            <v> </v>
          </cell>
        </row>
        <row r="1842">
          <cell r="B1842" t="str">
            <v>IXP2F57</v>
          </cell>
          <cell r="C1842" t="str">
            <v> </v>
          </cell>
        </row>
        <row r="1843">
          <cell r="B1843" t="str">
            <v>IXV8E80</v>
          </cell>
          <cell r="C1843" t="str">
            <v> </v>
          </cell>
        </row>
        <row r="1844">
          <cell r="B1844" t="str">
            <v>IXY7C07</v>
          </cell>
          <cell r="C1844" t="str">
            <v> </v>
          </cell>
        </row>
        <row r="1845">
          <cell r="B1845" t="str">
            <v>IYE5529</v>
          </cell>
          <cell r="C1845" t="str">
            <v> </v>
          </cell>
        </row>
        <row r="1846">
          <cell r="B1846" t="str">
            <v>IYE5E09</v>
          </cell>
          <cell r="C1846" t="str">
            <v>Operando</v>
          </cell>
        </row>
        <row r="1847">
          <cell r="B1847" t="str">
            <v>IYF2D12</v>
          </cell>
          <cell r="C1847" t="str">
            <v>Operando</v>
          </cell>
        </row>
        <row r="1848">
          <cell r="B1848" t="str">
            <v>IYG4E33</v>
          </cell>
          <cell r="C1848" t="str">
            <v> </v>
          </cell>
        </row>
        <row r="1849">
          <cell r="B1849" t="str">
            <v>IYJ4760</v>
          </cell>
          <cell r="C1849" t="str">
            <v> </v>
          </cell>
        </row>
        <row r="1850">
          <cell r="B1850" t="str">
            <v>IYJ5B43</v>
          </cell>
          <cell r="C1850" t="str">
            <v>Operando</v>
          </cell>
        </row>
        <row r="1851">
          <cell r="B1851" t="str">
            <v>IYL5C62</v>
          </cell>
          <cell r="C1851" t="str">
            <v>Operando</v>
          </cell>
        </row>
        <row r="1852">
          <cell r="B1852" t="str">
            <v>IYN6E50</v>
          </cell>
          <cell r="C1852" t="str">
            <v> </v>
          </cell>
        </row>
        <row r="1853">
          <cell r="B1853" t="str">
            <v>IYQ1H18</v>
          </cell>
          <cell r="C1853" t="str">
            <v> </v>
          </cell>
        </row>
        <row r="1854">
          <cell r="B1854" t="str">
            <v>IYV0579</v>
          </cell>
          <cell r="C1854" t="str">
            <v>Operando</v>
          </cell>
        </row>
        <row r="1855">
          <cell r="B1855" t="str">
            <v>IYV2J57</v>
          </cell>
          <cell r="C1855" t="str">
            <v>Operando</v>
          </cell>
        </row>
        <row r="1856">
          <cell r="B1856" t="str">
            <v>IYV4434</v>
          </cell>
          <cell r="C1856" t="str">
            <v>Operando</v>
          </cell>
        </row>
        <row r="1857">
          <cell r="B1857" t="str">
            <v>IYZ6C90</v>
          </cell>
          <cell r="C1857" t="str">
            <v> </v>
          </cell>
        </row>
        <row r="1858">
          <cell r="B1858" t="str">
            <v>IZB9J73</v>
          </cell>
          <cell r="C1858" t="str">
            <v> </v>
          </cell>
        </row>
        <row r="1859">
          <cell r="B1859" t="str">
            <v>IZH9D33</v>
          </cell>
          <cell r="C1859" t="str">
            <v> </v>
          </cell>
        </row>
        <row r="1860">
          <cell r="B1860" t="str">
            <v>IZQ5H53</v>
          </cell>
          <cell r="C1860" t="str">
            <v> </v>
          </cell>
        </row>
        <row r="1861">
          <cell r="B1861" t="str">
            <v>IZY5C95</v>
          </cell>
          <cell r="C1861" t="str">
            <v> </v>
          </cell>
        </row>
        <row r="1862">
          <cell r="B1862" t="str">
            <v>JAA4J78</v>
          </cell>
          <cell r="C1862" t="str">
            <v> </v>
          </cell>
        </row>
        <row r="1863">
          <cell r="B1863" t="str">
            <v>JAA5A54</v>
          </cell>
          <cell r="C1863" t="str">
            <v> </v>
          </cell>
        </row>
        <row r="1864">
          <cell r="B1864" t="str">
            <v>JAB3I55</v>
          </cell>
          <cell r="C1864" t="str">
            <v>Agregado</v>
          </cell>
        </row>
        <row r="1865">
          <cell r="B1865" t="str">
            <v>JAJ1C91</v>
          </cell>
          <cell r="C1865" t="str">
            <v> </v>
          </cell>
        </row>
        <row r="1866">
          <cell r="B1866" t="str">
            <v>JAL2H42</v>
          </cell>
          <cell r="C1866" t="str">
            <v>Operando</v>
          </cell>
        </row>
        <row r="1867">
          <cell r="B1867" t="str">
            <v>JAQ1C45</v>
          </cell>
          <cell r="C1867" t="str">
            <v> </v>
          </cell>
        </row>
        <row r="1868">
          <cell r="B1868" t="str">
            <v>JAS8A37</v>
          </cell>
          <cell r="C1868" t="str">
            <v>Operando</v>
          </cell>
        </row>
        <row r="1869">
          <cell r="B1869" t="str">
            <v>JAT3G00</v>
          </cell>
          <cell r="C1869" t="str">
            <v> </v>
          </cell>
        </row>
        <row r="1870">
          <cell r="B1870" t="str">
            <v>JAZ4C65</v>
          </cell>
          <cell r="C1870" t="str">
            <v> </v>
          </cell>
        </row>
        <row r="1871">
          <cell r="B1871" t="str">
            <v>JBP3B59</v>
          </cell>
          <cell r="C1871" t="str">
            <v> </v>
          </cell>
        </row>
        <row r="1872">
          <cell r="B1872" t="str">
            <v>JBP3B73</v>
          </cell>
          <cell r="C1872" t="str">
            <v>Operando</v>
          </cell>
        </row>
        <row r="1873">
          <cell r="B1873" t="str">
            <v>JBP3B79</v>
          </cell>
          <cell r="C1873" t="str">
            <v>Operando</v>
          </cell>
        </row>
        <row r="1874">
          <cell r="B1874" t="str">
            <v>JCA0H51</v>
          </cell>
          <cell r="C1874" t="str">
            <v>Operando</v>
          </cell>
        </row>
        <row r="1875">
          <cell r="B1875" t="str">
            <v>JCB4A76</v>
          </cell>
          <cell r="C1875" t="str">
            <v>Operando</v>
          </cell>
        </row>
        <row r="1876">
          <cell r="B1876" t="str">
            <v>JCI8F66</v>
          </cell>
          <cell r="C1876" t="str">
            <v>Operando</v>
          </cell>
        </row>
        <row r="1877">
          <cell r="B1877" t="str">
            <v>JCI8F67</v>
          </cell>
          <cell r="C1877" t="str">
            <v>Operando</v>
          </cell>
        </row>
        <row r="1878">
          <cell r="B1878" t="str">
            <v>JCI8F71</v>
          </cell>
          <cell r="C1878" t="str">
            <v>Operando</v>
          </cell>
        </row>
        <row r="1879">
          <cell r="B1879" t="str">
            <v>JCI8F75</v>
          </cell>
          <cell r="C1879" t="str">
            <v>Operando</v>
          </cell>
        </row>
        <row r="1880">
          <cell r="B1880" t="str">
            <v>JCI8F76</v>
          </cell>
          <cell r="C1880" t="str">
            <v>Manutenção</v>
          </cell>
        </row>
        <row r="1881">
          <cell r="B1881" t="str">
            <v>JCI8F77</v>
          </cell>
          <cell r="C1881" t="str">
            <v>Operando</v>
          </cell>
        </row>
        <row r="1882">
          <cell r="B1882" t="str">
            <v>JCI8F90</v>
          </cell>
          <cell r="C1882" t="str">
            <v>Operando</v>
          </cell>
        </row>
        <row r="1883">
          <cell r="B1883" t="str">
            <v>JCI8F93</v>
          </cell>
          <cell r="C1883" t="str">
            <v>Operando</v>
          </cell>
        </row>
        <row r="1884">
          <cell r="B1884" t="str">
            <v>JCI8F94</v>
          </cell>
          <cell r="C1884" t="str">
            <v>Operando</v>
          </cell>
        </row>
        <row r="1885">
          <cell r="B1885" t="str">
            <v>JCI8F95</v>
          </cell>
          <cell r="C1885" t="str">
            <v>Operando</v>
          </cell>
        </row>
        <row r="1886">
          <cell r="B1886" t="str">
            <v>JCJ0D22</v>
          </cell>
          <cell r="C1886" t="str">
            <v>Carregado</v>
          </cell>
        </row>
        <row r="1887">
          <cell r="B1887" t="str">
            <v>JCJ0D24</v>
          </cell>
          <cell r="C1887" t="str">
            <v>Operando</v>
          </cell>
        </row>
        <row r="1888">
          <cell r="B1888" t="str">
            <v>JCJ0D25</v>
          </cell>
          <cell r="C1888" t="str">
            <v> </v>
          </cell>
        </row>
        <row r="1889">
          <cell r="B1889" t="str">
            <v>JCJ0D26</v>
          </cell>
          <cell r="C1889" t="str">
            <v>Manutenção</v>
          </cell>
        </row>
        <row r="1890">
          <cell r="B1890" t="str">
            <v>JCJ0D28</v>
          </cell>
          <cell r="C1890" t="str">
            <v>Carregado</v>
          </cell>
        </row>
        <row r="1891">
          <cell r="B1891" t="str">
            <v>JCJ0D29</v>
          </cell>
          <cell r="C1891" t="str">
            <v>Operando</v>
          </cell>
        </row>
        <row r="1892">
          <cell r="B1892" t="str">
            <v>JCJ0D32</v>
          </cell>
          <cell r="C1892" t="str">
            <v>Operando</v>
          </cell>
        </row>
        <row r="1893">
          <cell r="B1893" t="str">
            <v>JCJ0D34</v>
          </cell>
          <cell r="C1893" t="str">
            <v>Operando</v>
          </cell>
        </row>
        <row r="1894">
          <cell r="B1894" t="str">
            <v>JCJ0D35</v>
          </cell>
          <cell r="C1894" t="str">
            <v>Operando</v>
          </cell>
        </row>
        <row r="1895">
          <cell r="B1895" t="str">
            <v>JCJ0D39</v>
          </cell>
          <cell r="C1895" t="str">
            <v>Operando</v>
          </cell>
        </row>
        <row r="1896">
          <cell r="B1896" t="str">
            <v>JCJ0D40</v>
          </cell>
          <cell r="C1896" t="str">
            <v>Carregado</v>
          </cell>
        </row>
        <row r="1897">
          <cell r="B1897" t="str">
            <v>JCJ0D41</v>
          </cell>
          <cell r="C1897" t="str">
            <v>Operando</v>
          </cell>
        </row>
        <row r="1898">
          <cell r="B1898" t="str">
            <v>JCJ0D42</v>
          </cell>
          <cell r="C1898" t="str">
            <v>Operando</v>
          </cell>
        </row>
        <row r="1899">
          <cell r="B1899" t="str">
            <v>JCJ0D43</v>
          </cell>
          <cell r="C1899" t="str">
            <v>Manutenção</v>
          </cell>
        </row>
        <row r="1900">
          <cell r="B1900" t="str">
            <v>JCJ1B31</v>
          </cell>
          <cell r="C1900" t="str">
            <v>Manutenção</v>
          </cell>
        </row>
        <row r="1901">
          <cell r="B1901" t="str">
            <v>JCJ3H90</v>
          </cell>
          <cell r="C1901" t="str">
            <v>Operando</v>
          </cell>
        </row>
        <row r="1902">
          <cell r="B1902" t="str">
            <v>JCJ3H91</v>
          </cell>
          <cell r="C1902" t="str">
            <v>Operando</v>
          </cell>
        </row>
        <row r="1903">
          <cell r="B1903" t="str">
            <v>JCJ3H93</v>
          </cell>
          <cell r="C1903" t="str">
            <v>Operando</v>
          </cell>
        </row>
        <row r="1904">
          <cell r="B1904" t="str">
            <v>JCS6J60</v>
          </cell>
          <cell r="C1904" t="str">
            <v> </v>
          </cell>
        </row>
        <row r="1905">
          <cell r="B1905" t="str">
            <v>JCT5H72</v>
          </cell>
          <cell r="C1905" t="str">
            <v>Operando</v>
          </cell>
        </row>
        <row r="1906">
          <cell r="B1906" t="str">
            <v>JDD7D08</v>
          </cell>
          <cell r="C1906" t="str">
            <v> </v>
          </cell>
        </row>
        <row r="1907">
          <cell r="B1907" t="str">
            <v>JDH2J68</v>
          </cell>
          <cell r="C1907" t="str">
            <v>Operando</v>
          </cell>
        </row>
        <row r="1908">
          <cell r="B1908" t="str">
            <v>JDR4671</v>
          </cell>
          <cell r="C1908" t="str">
            <v>Manutenção</v>
          </cell>
        </row>
        <row r="1909">
          <cell r="B1909" t="str">
            <v>JEL3993</v>
          </cell>
          <cell r="C1909" t="str">
            <v> </v>
          </cell>
        </row>
        <row r="1910">
          <cell r="B1910" t="str">
            <v>JGP1A44</v>
          </cell>
          <cell r="C1910" t="str">
            <v> </v>
          </cell>
        </row>
        <row r="1911">
          <cell r="B1911" t="str">
            <v>JGU0C34</v>
          </cell>
          <cell r="C1911" t="str">
            <v> </v>
          </cell>
        </row>
        <row r="1912">
          <cell r="B1912" t="str">
            <v>JHB9452</v>
          </cell>
          <cell r="C1912" t="str">
            <v>Operando</v>
          </cell>
        </row>
        <row r="1913">
          <cell r="B1913" t="str">
            <v>JHH4B57</v>
          </cell>
          <cell r="C1913" t="str">
            <v> </v>
          </cell>
        </row>
        <row r="1914">
          <cell r="B1914" t="str">
            <v>JHL3148</v>
          </cell>
          <cell r="C1914" t="str">
            <v>Operando</v>
          </cell>
        </row>
        <row r="1915">
          <cell r="B1915" t="str">
            <v>JHU3D62</v>
          </cell>
          <cell r="C1915" t="str">
            <v>Operando</v>
          </cell>
        </row>
        <row r="1916">
          <cell r="B1916" t="str">
            <v>JHV0I57</v>
          </cell>
          <cell r="C1916" t="str">
            <v>Operando</v>
          </cell>
        </row>
        <row r="1917">
          <cell r="B1917" t="str">
            <v>JHW3541</v>
          </cell>
          <cell r="C1917" t="str">
            <v> </v>
          </cell>
        </row>
        <row r="1918">
          <cell r="B1918" t="str">
            <v>JIB4D23</v>
          </cell>
          <cell r="C1918" t="str">
            <v> </v>
          </cell>
        </row>
        <row r="1919">
          <cell r="B1919" t="str">
            <v>JID7E95</v>
          </cell>
          <cell r="C1919" t="str">
            <v> </v>
          </cell>
        </row>
        <row r="1920">
          <cell r="B1920" t="str">
            <v>JIE1567</v>
          </cell>
          <cell r="C1920" t="str">
            <v>Operando</v>
          </cell>
        </row>
        <row r="1921">
          <cell r="B1921" t="str">
            <v>JIG4946</v>
          </cell>
          <cell r="C1921" t="str">
            <v> </v>
          </cell>
        </row>
        <row r="1922">
          <cell r="B1922" t="str">
            <v>JIK4F88</v>
          </cell>
          <cell r="C1922" t="str">
            <v> </v>
          </cell>
        </row>
        <row r="1923">
          <cell r="B1923" t="str">
            <v>JIO0E84</v>
          </cell>
          <cell r="C1923" t="str">
            <v>Operando</v>
          </cell>
        </row>
        <row r="1924">
          <cell r="B1924" t="str">
            <v>JIQ7E69</v>
          </cell>
          <cell r="C1924" t="str">
            <v> </v>
          </cell>
        </row>
        <row r="1925">
          <cell r="B1925" t="str">
            <v>JIS7H39</v>
          </cell>
          <cell r="C1925" t="str">
            <v> </v>
          </cell>
        </row>
        <row r="1926">
          <cell r="B1926" t="str">
            <v>JIT4966</v>
          </cell>
          <cell r="C1926" t="str">
            <v>Operando</v>
          </cell>
        </row>
        <row r="1927">
          <cell r="B1927" t="str">
            <v>JIV0365</v>
          </cell>
          <cell r="C1927" t="str">
            <v>Operando</v>
          </cell>
        </row>
        <row r="1928">
          <cell r="B1928" t="str">
            <v>JJB5568</v>
          </cell>
          <cell r="C1928" t="str">
            <v> </v>
          </cell>
        </row>
        <row r="1929">
          <cell r="B1929" t="str">
            <v>JJG5111</v>
          </cell>
          <cell r="C1929" t="str">
            <v>Operando</v>
          </cell>
        </row>
        <row r="1930">
          <cell r="B1930" t="str">
            <v>JJG9H92</v>
          </cell>
          <cell r="C1930" t="str">
            <v> </v>
          </cell>
        </row>
        <row r="1931">
          <cell r="B1931" t="str">
            <v>JJH5164</v>
          </cell>
          <cell r="C1931" t="str">
            <v> </v>
          </cell>
        </row>
        <row r="1932">
          <cell r="B1932" t="str">
            <v>JJJ6E96</v>
          </cell>
          <cell r="C1932" t="str">
            <v> </v>
          </cell>
        </row>
        <row r="1933">
          <cell r="B1933" t="str">
            <v>JJK8497</v>
          </cell>
          <cell r="C1933" t="str">
            <v> </v>
          </cell>
        </row>
        <row r="1934">
          <cell r="B1934" t="str">
            <v>JJL5A14</v>
          </cell>
          <cell r="C1934" t="str">
            <v> </v>
          </cell>
        </row>
        <row r="1935">
          <cell r="B1935" t="str">
            <v>JJW2C09</v>
          </cell>
          <cell r="C1935" t="str">
            <v> </v>
          </cell>
        </row>
        <row r="1936">
          <cell r="B1936" t="str">
            <v>JKD6H38</v>
          </cell>
          <cell r="C1936" t="str">
            <v> </v>
          </cell>
        </row>
        <row r="1937">
          <cell r="B1937" t="str">
            <v>JKD9C79</v>
          </cell>
          <cell r="C1937" t="str">
            <v> </v>
          </cell>
        </row>
        <row r="1938">
          <cell r="B1938" t="str">
            <v>JKE0F32</v>
          </cell>
          <cell r="C1938" t="str">
            <v>Operando</v>
          </cell>
        </row>
        <row r="1939">
          <cell r="B1939" t="str">
            <v>JKJ1B40</v>
          </cell>
          <cell r="C1939" t="str">
            <v>Operando</v>
          </cell>
        </row>
        <row r="1940">
          <cell r="B1940" t="str">
            <v>JKK5D61</v>
          </cell>
          <cell r="C1940" t="str">
            <v> </v>
          </cell>
        </row>
        <row r="1941">
          <cell r="B1941" t="str">
            <v>JKO6636</v>
          </cell>
          <cell r="C1941" t="str">
            <v>Operando</v>
          </cell>
        </row>
        <row r="1942">
          <cell r="B1942" t="str">
            <v>JKQ2C26</v>
          </cell>
          <cell r="C1942" t="str">
            <v> </v>
          </cell>
        </row>
        <row r="1943">
          <cell r="B1943" t="str">
            <v>JLO6434</v>
          </cell>
          <cell r="C1943" t="str">
            <v>Operando</v>
          </cell>
        </row>
        <row r="1944">
          <cell r="B1944" t="str">
            <v>JMN2E97</v>
          </cell>
          <cell r="C1944" t="str">
            <v> </v>
          </cell>
        </row>
        <row r="1945">
          <cell r="B1945" t="str">
            <v>JOQ9399</v>
          </cell>
          <cell r="C1945" t="str">
            <v> </v>
          </cell>
        </row>
        <row r="1946">
          <cell r="B1946" t="str">
            <v>JPD2C25</v>
          </cell>
          <cell r="C1946" t="str">
            <v> </v>
          </cell>
        </row>
        <row r="1947">
          <cell r="B1947" t="str">
            <v>JQS8E54</v>
          </cell>
          <cell r="C1947" t="str">
            <v>Operando</v>
          </cell>
        </row>
        <row r="1948">
          <cell r="B1948" t="str">
            <v>JRA4543</v>
          </cell>
          <cell r="C1948" t="str">
            <v>Agregado</v>
          </cell>
        </row>
        <row r="1949">
          <cell r="B1949" t="str">
            <v>JRN9383</v>
          </cell>
          <cell r="C1949" t="str">
            <v> </v>
          </cell>
        </row>
        <row r="1950">
          <cell r="B1950" t="str">
            <v>JRP1C37</v>
          </cell>
          <cell r="C1950" t="str">
            <v> </v>
          </cell>
        </row>
        <row r="1951">
          <cell r="B1951" t="str">
            <v>JRX2I55</v>
          </cell>
          <cell r="C1951" t="str">
            <v> </v>
          </cell>
        </row>
        <row r="1952">
          <cell r="B1952" t="str">
            <v>JSA9F12</v>
          </cell>
          <cell r="C1952" t="str">
            <v>Operando</v>
          </cell>
        </row>
        <row r="1953">
          <cell r="B1953" t="str">
            <v>JSO4E56</v>
          </cell>
          <cell r="C1953" t="str">
            <v>Agregado</v>
          </cell>
        </row>
        <row r="1954">
          <cell r="B1954" t="str">
            <v>JSW8017</v>
          </cell>
          <cell r="C1954" t="str">
            <v>Agregado</v>
          </cell>
        </row>
        <row r="1955">
          <cell r="B1955" t="str">
            <v>JSZ3834</v>
          </cell>
          <cell r="C1955" t="str">
            <v>Operando</v>
          </cell>
        </row>
        <row r="1956">
          <cell r="B1956" t="str">
            <v>JVJ7806</v>
          </cell>
          <cell r="C1956" t="str">
            <v> </v>
          </cell>
        </row>
        <row r="1957">
          <cell r="B1957" t="str">
            <v>JWD3H46</v>
          </cell>
          <cell r="C1957" t="str">
            <v> </v>
          </cell>
        </row>
        <row r="1958">
          <cell r="B1958" t="str">
            <v>JXF7411</v>
          </cell>
          <cell r="C1958" t="str">
            <v>Operando</v>
          </cell>
        </row>
        <row r="1959">
          <cell r="B1959" t="str">
            <v>JXL8656</v>
          </cell>
          <cell r="C1959" t="str">
            <v> </v>
          </cell>
        </row>
        <row r="1960">
          <cell r="B1960" t="str">
            <v>JXR2732</v>
          </cell>
          <cell r="C1960" t="str">
            <v> </v>
          </cell>
        </row>
        <row r="1961">
          <cell r="B1961" t="str">
            <v>KGB6172</v>
          </cell>
          <cell r="C1961" t="str">
            <v> </v>
          </cell>
        </row>
        <row r="1962">
          <cell r="B1962" t="str">
            <v>KGZ0I82</v>
          </cell>
          <cell r="C1962" t="str">
            <v> </v>
          </cell>
        </row>
        <row r="1963">
          <cell r="B1963" t="str">
            <v>KJK6B73</v>
          </cell>
          <cell r="C1963" t="str">
            <v> </v>
          </cell>
        </row>
        <row r="1964">
          <cell r="B1964" t="str">
            <v>KKS4I39</v>
          </cell>
          <cell r="C1964" t="str">
            <v> </v>
          </cell>
        </row>
        <row r="1965">
          <cell r="B1965" t="str">
            <v>KKZ6918</v>
          </cell>
          <cell r="C1965" t="str">
            <v> </v>
          </cell>
        </row>
        <row r="1966">
          <cell r="B1966" t="str">
            <v>KLB3959</v>
          </cell>
          <cell r="C1966" t="str">
            <v> </v>
          </cell>
        </row>
        <row r="1967">
          <cell r="B1967" t="str">
            <v>KMT9C71</v>
          </cell>
          <cell r="C1967" t="str">
            <v> </v>
          </cell>
        </row>
        <row r="1968">
          <cell r="B1968" t="str">
            <v>KMW9436</v>
          </cell>
          <cell r="C1968" t="str">
            <v> </v>
          </cell>
        </row>
        <row r="1969">
          <cell r="B1969" t="str">
            <v>KMW9838</v>
          </cell>
          <cell r="C1969" t="str">
            <v> </v>
          </cell>
        </row>
        <row r="1970">
          <cell r="B1970" t="str">
            <v>KNW7D29</v>
          </cell>
          <cell r="C1970" t="str">
            <v>Operando</v>
          </cell>
        </row>
        <row r="1971">
          <cell r="B1971" t="str">
            <v>KNX7J22</v>
          </cell>
          <cell r="C1971" t="str">
            <v>Operando</v>
          </cell>
        </row>
        <row r="1972">
          <cell r="B1972" t="str">
            <v>KOE8C85</v>
          </cell>
          <cell r="C1972" t="str">
            <v> </v>
          </cell>
        </row>
        <row r="1973">
          <cell r="B1973" t="str">
            <v>KOE9G40</v>
          </cell>
          <cell r="C1973" t="str">
            <v>Operando</v>
          </cell>
        </row>
        <row r="1974">
          <cell r="B1974" t="str">
            <v>KOP3010</v>
          </cell>
          <cell r="C1974" t="str">
            <v> </v>
          </cell>
        </row>
        <row r="1975">
          <cell r="B1975" t="str">
            <v>KOP4G64</v>
          </cell>
          <cell r="C1975" t="str">
            <v> </v>
          </cell>
        </row>
        <row r="1976">
          <cell r="B1976" t="str">
            <v>KOP6170</v>
          </cell>
          <cell r="C1976" t="str">
            <v> </v>
          </cell>
        </row>
        <row r="1977">
          <cell r="B1977" t="str">
            <v>KOP9A96</v>
          </cell>
          <cell r="C1977" t="str">
            <v>Operando</v>
          </cell>
        </row>
        <row r="1978">
          <cell r="B1978" t="str">
            <v>KOQ6711</v>
          </cell>
          <cell r="C1978" t="str">
            <v> </v>
          </cell>
        </row>
        <row r="1979">
          <cell r="B1979" t="str">
            <v>KOR3637</v>
          </cell>
          <cell r="C1979" t="str">
            <v> </v>
          </cell>
        </row>
        <row r="1980">
          <cell r="B1980" t="str">
            <v>KOR7A40</v>
          </cell>
          <cell r="C1980" t="str">
            <v> </v>
          </cell>
        </row>
        <row r="1981">
          <cell r="B1981" t="str">
            <v>KOW7F97</v>
          </cell>
          <cell r="C1981" t="str">
            <v> </v>
          </cell>
        </row>
        <row r="1982">
          <cell r="B1982" t="str">
            <v>KOY8J63</v>
          </cell>
          <cell r="C1982" t="str">
            <v> </v>
          </cell>
        </row>
        <row r="1983">
          <cell r="B1983" t="str">
            <v>KPD4970</v>
          </cell>
          <cell r="C1983" t="str">
            <v>Operando</v>
          </cell>
        </row>
        <row r="1984">
          <cell r="B1984" t="str">
            <v>KPD9D76</v>
          </cell>
          <cell r="C1984" t="str">
            <v>Operando</v>
          </cell>
        </row>
        <row r="1985">
          <cell r="B1985" t="str">
            <v>KPE9J93</v>
          </cell>
          <cell r="C1985" t="str">
            <v>Operando</v>
          </cell>
        </row>
        <row r="1986">
          <cell r="B1986" t="str">
            <v>KPG8399</v>
          </cell>
          <cell r="C1986" t="str">
            <v>Operando</v>
          </cell>
        </row>
        <row r="1987">
          <cell r="B1987" t="str">
            <v>KPH4643</v>
          </cell>
          <cell r="C1987" t="str">
            <v> </v>
          </cell>
        </row>
        <row r="1988">
          <cell r="B1988" t="str">
            <v>KPH6779</v>
          </cell>
          <cell r="C1988" t="str">
            <v>Operando</v>
          </cell>
        </row>
        <row r="1989">
          <cell r="B1989" t="str">
            <v>KPI4B23</v>
          </cell>
          <cell r="C1989" t="str">
            <v> </v>
          </cell>
        </row>
        <row r="1990">
          <cell r="B1990" t="str">
            <v>KPK9H02</v>
          </cell>
          <cell r="C1990" t="str">
            <v> </v>
          </cell>
        </row>
        <row r="1991">
          <cell r="B1991" t="str">
            <v>KPN6076</v>
          </cell>
          <cell r="C1991" t="str">
            <v>Operando</v>
          </cell>
        </row>
        <row r="1992">
          <cell r="B1992" t="str">
            <v>KPN7D67</v>
          </cell>
          <cell r="C1992" t="str">
            <v>Operando</v>
          </cell>
        </row>
        <row r="1993">
          <cell r="B1993" t="str">
            <v>KPO6F22</v>
          </cell>
          <cell r="C1993" t="str">
            <v>Operando</v>
          </cell>
        </row>
        <row r="1994">
          <cell r="B1994" t="str">
            <v>KPP5145</v>
          </cell>
          <cell r="C1994" t="str">
            <v> </v>
          </cell>
        </row>
        <row r="1995">
          <cell r="B1995" t="str">
            <v>KPQ5734</v>
          </cell>
          <cell r="C1995" t="str">
            <v> </v>
          </cell>
        </row>
        <row r="1996">
          <cell r="B1996" t="str">
            <v>KPT7J82</v>
          </cell>
          <cell r="C1996" t="str">
            <v> </v>
          </cell>
        </row>
        <row r="1997">
          <cell r="B1997" t="str">
            <v>KPU8I67</v>
          </cell>
          <cell r="C1997" t="str">
            <v> </v>
          </cell>
        </row>
        <row r="1998">
          <cell r="B1998" t="str">
            <v>KPW6H39</v>
          </cell>
          <cell r="C1998" t="str">
            <v>Operando</v>
          </cell>
        </row>
        <row r="1999">
          <cell r="B1999" t="str">
            <v>KPX3G40</v>
          </cell>
          <cell r="C1999" t="str">
            <v> </v>
          </cell>
        </row>
        <row r="2000">
          <cell r="B2000" t="str">
            <v>KPZ3D55</v>
          </cell>
          <cell r="C2000" t="str">
            <v>Operando</v>
          </cell>
        </row>
        <row r="2001">
          <cell r="B2001" t="str">
            <v>KPZ5J41</v>
          </cell>
          <cell r="C2001" t="str">
            <v>Operando</v>
          </cell>
        </row>
        <row r="2002">
          <cell r="B2002" t="str">
            <v>KQB3227</v>
          </cell>
          <cell r="C2002" t="str">
            <v>Operando</v>
          </cell>
        </row>
        <row r="2003">
          <cell r="B2003" t="str">
            <v>KQF4B25</v>
          </cell>
          <cell r="C2003" t="str">
            <v> </v>
          </cell>
        </row>
        <row r="2004">
          <cell r="B2004" t="str">
            <v>KQF5G58</v>
          </cell>
          <cell r="C2004" t="str">
            <v>Carregado</v>
          </cell>
        </row>
        <row r="2005">
          <cell r="B2005" t="str">
            <v>KQF7B37</v>
          </cell>
          <cell r="C2005" t="str">
            <v> </v>
          </cell>
        </row>
        <row r="2006">
          <cell r="B2006" t="str">
            <v>KQF8063</v>
          </cell>
          <cell r="C2006" t="str">
            <v>Operando</v>
          </cell>
        </row>
        <row r="2007">
          <cell r="B2007" t="str">
            <v>KQJ9392</v>
          </cell>
          <cell r="C2007" t="str">
            <v>Operando</v>
          </cell>
        </row>
        <row r="2008">
          <cell r="B2008" t="str">
            <v>KQK2E63</v>
          </cell>
          <cell r="C2008" t="str">
            <v> </v>
          </cell>
        </row>
        <row r="2009">
          <cell r="B2009" t="str">
            <v>KQK9B17</v>
          </cell>
          <cell r="C2009" t="str">
            <v>Agregado</v>
          </cell>
        </row>
        <row r="2010">
          <cell r="B2010" t="str">
            <v>KQL7975</v>
          </cell>
          <cell r="C2010" t="str">
            <v> </v>
          </cell>
        </row>
        <row r="2011">
          <cell r="B2011" t="str">
            <v>KQP9067</v>
          </cell>
          <cell r="C2011" t="str">
            <v> </v>
          </cell>
        </row>
        <row r="2012">
          <cell r="B2012" t="str">
            <v>KQP9I01</v>
          </cell>
          <cell r="C2012" t="str">
            <v> </v>
          </cell>
        </row>
        <row r="2013">
          <cell r="B2013" t="str">
            <v>KQQ5F68</v>
          </cell>
          <cell r="C2013" t="str">
            <v>Operando</v>
          </cell>
        </row>
        <row r="2014">
          <cell r="B2014" t="str">
            <v>KQQ9799</v>
          </cell>
          <cell r="C2014" t="str">
            <v> </v>
          </cell>
        </row>
        <row r="2015">
          <cell r="B2015" t="str">
            <v>KQR7E32</v>
          </cell>
          <cell r="C2015" t="str">
            <v>Operando</v>
          </cell>
        </row>
        <row r="2016">
          <cell r="B2016" t="str">
            <v>KQS1H56</v>
          </cell>
          <cell r="C2016" t="str">
            <v> </v>
          </cell>
        </row>
        <row r="2017">
          <cell r="B2017" t="str">
            <v>KQS7J61</v>
          </cell>
          <cell r="C2017" t="str">
            <v> </v>
          </cell>
        </row>
        <row r="2018">
          <cell r="B2018" t="str">
            <v>KQT2A70</v>
          </cell>
          <cell r="C2018" t="str">
            <v>Operando</v>
          </cell>
        </row>
        <row r="2019">
          <cell r="B2019" t="str">
            <v>KQU9379</v>
          </cell>
          <cell r="C2019" t="str">
            <v>Operando</v>
          </cell>
        </row>
        <row r="2020">
          <cell r="B2020" t="str">
            <v>KQV7D85</v>
          </cell>
          <cell r="C2020" t="str">
            <v> </v>
          </cell>
        </row>
        <row r="2021">
          <cell r="B2021" t="str">
            <v>KQV9B66</v>
          </cell>
          <cell r="C2021" t="str">
            <v>Operando</v>
          </cell>
        </row>
        <row r="2022">
          <cell r="B2022" t="str">
            <v>KQW1E05</v>
          </cell>
          <cell r="C2022" t="str">
            <v> </v>
          </cell>
        </row>
        <row r="2023">
          <cell r="B2023" t="str">
            <v>KQW2A60</v>
          </cell>
          <cell r="C2023" t="str">
            <v>Operando</v>
          </cell>
        </row>
        <row r="2024">
          <cell r="B2024" t="str">
            <v>KQX8E61</v>
          </cell>
          <cell r="C2024" t="str">
            <v> </v>
          </cell>
        </row>
        <row r="2025">
          <cell r="B2025" t="str">
            <v>KQY9C79</v>
          </cell>
          <cell r="C2025" t="str">
            <v>Operando</v>
          </cell>
        </row>
        <row r="2026">
          <cell r="B2026" t="str">
            <v>KRG4F55</v>
          </cell>
          <cell r="C2026" t="str">
            <v> </v>
          </cell>
        </row>
        <row r="2027">
          <cell r="B2027" t="str">
            <v>KRG7B94</v>
          </cell>
          <cell r="C2027" t="str">
            <v>Operando</v>
          </cell>
        </row>
        <row r="2028">
          <cell r="B2028" t="str">
            <v>KRH3G72</v>
          </cell>
          <cell r="C2028" t="str">
            <v> </v>
          </cell>
        </row>
        <row r="2029">
          <cell r="B2029" t="str">
            <v>KRI2727</v>
          </cell>
          <cell r="C2029" t="str">
            <v> </v>
          </cell>
        </row>
        <row r="2030">
          <cell r="B2030" t="str">
            <v>KRK6D46</v>
          </cell>
          <cell r="C2030" t="str">
            <v> </v>
          </cell>
        </row>
        <row r="2031">
          <cell r="B2031" t="str">
            <v>KRL9F17</v>
          </cell>
          <cell r="C2031" t="str">
            <v> </v>
          </cell>
        </row>
        <row r="2032">
          <cell r="B2032" t="str">
            <v>KRP0736</v>
          </cell>
          <cell r="C2032" t="str">
            <v> </v>
          </cell>
        </row>
        <row r="2033">
          <cell r="B2033" t="str">
            <v>KRQ6H85</v>
          </cell>
          <cell r="C2033" t="str">
            <v> </v>
          </cell>
        </row>
        <row r="2034">
          <cell r="B2034" t="str">
            <v>KRS3G61</v>
          </cell>
          <cell r="C2034" t="str">
            <v> </v>
          </cell>
        </row>
        <row r="2035">
          <cell r="B2035" t="str">
            <v>KRS9H96</v>
          </cell>
          <cell r="C2035" t="str">
            <v> </v>
          </cell>
        </row>
        <row r="2036">
          <cell r="B2036" t="str">
            <v>KRU3D70</v>
          </cell>
          <cell r="C2036" t="str">
            <v> </v>
          </cell>
        </row>
        <row r="2037">
          <cell r="B2037" t="str">
            <v>KRW5E58</v>
          </cell>
          <cell r="C2037" t="str">
            <v>Operando</v>
          </cell>
        </row>
        <row r="2038">
          <cell r="B2038" t="str">
            <v>KRW6D99</v>
          </cell>
          <cell r="C2038" t="str">
            <v> </v>
          </cell>
        </row>
        <row r="2039">
          <cell r="B2039" t="str">
            <v>KRW8E59</v>
          </cell>
          <cell r="C2039" t="str">
            <v>Operando</v>
          </cell>
        </row>
        <row r="2040">
          <cell r="B2040" t="str">
            <v>KRX1B28</v>
          </cell>
          <cell r="C2040" t="str">
            <v> </v>
          </cell>
        </row>
        <row r="2041">
          <cell r="B2041" t="str">
            <v>KRX2G54</v>
          </cell>
          <cell r="C2041" t="str">
            <v>Operando</v>
          </cell>
        </row>
        <row r="2042">
          <cell r="B2042" t="str">
            <v>KRX3F36</v>
          </cell>
          <cell r="C2042" t="str">
            <v> </v>
          </cell>
        </row>
        <row r="2043">
          <cell r="B2043" t="str">
            <v>KRX7249</v>
          </cell>
          <cell r="C2043" t="str">
            <v>Operando</v>
          </cell>
        </row>
        <row r="2044">
          <cell r="B2044" t="str">
            <v>KRX8A47</v>
          </cell>
          <cell r="C2044" t="str">
            <v> </v>
          </cell>
        </row>
        <row r="2045">
          <cell r="B2045" t="str">
            <v>KRY7A32</v>
          </cell>
          <cell r="C2045" t="str">
            <v>Operando</v>
          </cell>
        </row>
        <row r="2046">
          <cell r="B2046" t="str">
            <v>KRZ7A12</v>
          </cell>
          <cell r="C2046" t="str">
            <v> </v>
          </cell>
        </row>
        <row r="2047">
          <cell r="B2047" t="str">
            <v>KRZ7J40</v>
          </cell>
          <cell r="C2047" t="str">
            <v> </v>
          </cell>
        </row>
        <row r="2048">
          <cell r="B2048" t="str">
            <v>KVA6A53</v>
          </cell>
          <cell r="C2048" t="str">
            <v> </v>
          </cell>
        </row>
        <row r="2049">
          <cell r="B2049" t="str">
            <v>KVC5F94</v>
          </cell>
          <cell r="C2049" t="str">
            <v> </v>
          </cell>
        </row>
        <row r="2050">
          <cell r="B2050" t="str">
            <v>KVG4463</v>
          </cell>
          <cell r="C2050" t="str">
            <v> </v>
          </cell>
        </row>
        <row r="2051">
          <cell r="B2051" t="str">
            <v>KVH3F46</v>
          </cell>
          <cell r="C2051" t="str">
            <v> </v>
          </cell>
        </row>
        <row r="2052">
          <cell r="B2052" t="str">
            <v>KVH7B63</v>
          </cell>
          <cell r="C2052" t="str">
            <v>Operando</v>
          </cell>
        </row>
        <row r="2053">
          <cell r="B2053" t="str">
            <v>KVH8B53</v>
          </cell>
          <cell r="C2053" t="str">
            <v> </v>
          </cell>
        </row>
        <row r="2054">
          <cell r="B2054" t="str">
            <v>KVJ5E21</v>
          </cell>
          <cell r="C2054" t="str">
            <v> </v>
          </cell>
        </row>
        <row r="2055">
          <cell r="B2055" t="str">
            <v>KVL7H45</v>
          </cell>
          <cell r="C2055" t="str">
            <v> </v>
          </cell>
        </row>
        <row r="2056">
          <cell r="B2056" t="str">
            <v>KVM4A80</v>
          </cell>
          <cell r="C2056" t="str">
            <v> </v>
          </cell>
        </row>
        <row r="2057">
          <cell r="B2057" t="str">
            <v>KVO8361</v>
          </cell>
          <cell r="C2057" t="str">
            <v> </v>
          </cell>
        </row>
        <row r="2058">
          <cell r="B2058" t="str">
            <v>KVP6B76</v>
          </cell>
          <cell r="C2058" t="str">
            <v> </v>
          </cell>
        </row>
        <row r="2059">
          <cell r="B2059" t="str">
            <v>KVP9586</v>
          </cell>
          <cell r="C2059" t="str">
            <v>Operando</v>
          </cell>
        </row>
        <row r="2060">
          <cell r="B2060" t="str">
            <v>KVQ4D70</v>
          </cell>
          <cell r="C2060" t="str">
            <v> </v>
          </cell>
        </row>
        <row r="2061">
          <cell r="B2061" t="str">
            <v>KVQ8G83</v>
          </cell>
          <cell r="C2061" t="str">
            <v> </v>
          </cell>
        </row>
        <row r="2062">
          <cell r="B2062" t="str">
            <v>KVR4E33</v>
          </cell>
          <cell r="C2062" t="str">
            <v> </v>
          </cell>
        </row>
        <row r="2063">
          <cell r="B2063" t="str">
            <v>KVR8E99</v>
          </cell>
          <cell r="C2063" t="str">
            <v> </v>
          </cell>
        </row>
        <row r="2064">
          <cell r="B2064" t="str">
            <v>KVR9734</v>
          </cell>
          <cell r="C2064" t="str">
            <v> </v>
          </cell>
        </row>
        <row r="2065">
          <cell r="B2065" t="str">
            <v>KVS5463</v>
          </cell>
          <cell r="C2065" t="str">
            <v> </v>
          </cell>
        </row>
        <row r="2066">
          <cell r="B2066" t="str">
            <v>KVT4186</v>
          </cell>
          <cell r="C2066" t="str">
            <v> </v>
          </cell>
        </row>
        <row r="2067">
          <cell r="B2067" t="str">
            <v>KVY9H27</v>
          </cell>
          <cell r="C2067" t="str">
            <v> </v>
          </cell>
        </row>
        <row r="2068">
          <cell r="B2068" t="str">
            <v>KWC6J34</v>
          </cell>
          <cell r="C2068" t="str">
            <v>Operando</v>
          </cell>
        </row>
        <row r="2069">
          <cell r="B2069" t="str">
            <v>KWC9195</v>
          </cell>
          <cell r="C2069" t="str">
            <v>Operando</v>
          </cell>
        </row>
        <row r="2070">
          <cell r="B2070" t="str">
            <v>KWD5I27</v>
          </cell>
          <cell r="C2070" t="str">
            <v> </v>
          </cell>
        </row>
        <row r="2071">
          <cell r="B2071" t="str">
            <v>KWF3F28</v>
          </cell>
          <cell r="C2071" t="str">
            <v> </v>
          </cell>
        </row>
        <row r="2072">
          <cell r="B2072" t="str">
            <v>KWI8A53</v>
          </cell>
          <cell r="C2072" t="str">
            <v>Operando</v>
          </cell>
        </row>
        <row r="2073">
          <cell r="B2073" t="str">
            <v>KWJ9915</v>
          </cell>
          <cell r="C2073" t="str">
            <v>Operando</v>
          </cell>
        </row>
        <row r="2074">
          <cell r="B2074" t="str">
            <v>KWJ9C04</v>
          </cell>
          <cell r="C2074" t="str">
            <v> </v>
          </cell>
        </row>
        <row r="2075">
          <cell r="B2075" t="str">
            <v>KWK3E68</v>
          </cell>
          <cell r="C2075" t="str">
            <v>Operando</v>
          </cell>
        </row>
        <row r="2076">
          <cell r="B2076" t="str">
            <v>KWK8F04</v>
          </cell>
          <cell r="C2076" t="str">
            <v>Operando</v>
          </cell>
        </row>
        <row r="2077">
          <cell r="B2077" t="str">
            <v>KWL7B84</v>
          </cell>
          <cell r="C2077" t="str">
            <v>Operando</v>
          </cell>
        </row>
        <row r="2078">
          <cell r="B2078" t="str">
            <v>KWM4308</v>
          </cell>
          <cell r="C2078" t="str">
            <v> </v>
          </cell>
        </row>
        <row r="2079">
          <cell r="B2079" t="str">
            <v>KWM4B43</v>
          </cell>
          <cell r="C2079" t="str">
            <v> </v>
          </cell>
        </row>
        <row r="2080">
          <cell r="B2080" t="str">
            <v>KWN5D70</v>
          </cell>
          <cell r="C2080" t="str">
            <v> </v>
          </cell>
        </row>
        <row r="2081">
          <cell r="B2081" t="str">
            <v>KWO4949</v>
          </cell>
          <cell r="C2081" t="str">
            <v> </v>
          </cell>
        </row>
        <row r="2082">
          <cell r="B2082" t="str">
            <v>KWP4I35</v>
          </cell>
          <cell r="C2082" t="str">
            <v> </v>
          </cell>
        </row>
        <row r="2083">
          <cell r="B2083" t="str">
            <v>KWP5J96</v>
          </cell>
          <cell r="C2083" t="str">
            <v>Operando</v>
          </cell>
        </row>
        <row r="2084">
          <cell r="B2084" t="str">
            <v>KWQ6029</v>
          </cell>
          <cell r="C2084" t="str">
            <v> </v>
          </cell>
        </row>
        <row r="2085">
          <cell r="B2085" t="str">
            <v>KWQ9J68</v>
          </cell>
          <cell r="C2085" t="str">
            <v>Operando</v>
          </cell>
        </row>
        <row r="2086">
          <cell r="B2086" t="str">
            <v>KWS6C14</v>
          </cell>
          <cell r="C2086" t="str">
            <v> </v>
          </cell>
        </row>
        <row r="2087">
          <cell r="B2087" t="str">
            <v>KWT4012</v>
          </cell>
          <cell r="C2087" t="str">
            <v> </v>
          </cell>
        </row>
        <row r="2088">
          <cell r="B2088" t="str">
            <v>KWT7H19</v>
          </cell>
          <cell r="C2088" t="str">
            <v> </v>
          </cell>
        </row>
        <row r="2089">
          <cell r="B2089" t="str">
            <v>KWV5554</v>
          </cell>
          <cell r="C2089" t="str">
            <v>Operando</v>
          </cell>
        </row>
        <row r="2090">
          <cell r="B2090" t="str">
            <v>KWW7844</v>
          </cell>
          <cell r="C2090" t="str">
            <v> </v>
          </cell>
        </row>
        <row r="2091">
          <cell r="B2091" t="str">
            <v>KWX5716</v>
          </cell>
          <cell r="C2091" t="str">
            <v>Operando</v>
          </cell>
        </row>
        <row r="2092">
          <cell r="B2092" t="str">
            <v>KXB9J75</v>
          </cell>
          <cell r="C2092" t="str">
            <v> </v>
          </cell>
        </row>
        <row r="2093">
          <cell r="B2093" t="str">
            <v>KXD4640</v>
          </cell>
          <cell r="C2093" t="str">
            <v> </v>
          </cell>
        </row>
        <row r="2094">
          <cell r="B2094" t="str">
            <v>KXE7E00</v>
          </cell>
          <cell r="C2094" t="str">
            <v> </v>
          </cell>
        </row>
        <row r="2095">
          <cell r="B2095" t="str">
            <v>KXF5J53</v>
          </cell>
          <cell r="C2095" t="str">
            <v>Operando</v>
          </cell>
        </row>
        <row r="2096">
          <cell r="B2096" t="str">
            <v>KXF6215</v>
          </cell>
          <cell r="C2096" t="str">
            <v>Operando</v>
          </cell>
        </row>
        <row r="2097">
          <cell r="B2097" t="str">
            <v>KXG8D62</v>
          </cell>
          <cell r="C2097" t="str">
            <v> </v>
          </cell>
        </row>
        <row r="2098">
          <cell r="B2098" t="str">
            <v>KXH4349</v>
          </cell>
          <cell r="C2098" t="str">
            <v> </v>
          </cell>
        </row>
        <row r="2099">
          <cell r="B2099" t="str">
            <v>KXH7A54</v>
          </cell>
          <cell r="C2099" t="str">
            <v> </v>
          </cell>
        </row>
        <row r="2100">
          <cell r="B2100" t="str">
            <v>KXJ3J91</v>
          </cell>
          <cell r="C2100" t="str">
            <v>Operando</v>
          </cell>
        </row>
        <row r="2101">
          <cell r="B2101" t="str">
            <v>KXJ8053</v>
          </cell>
          <cell r="C2101" t="str">
            <v> </v>
          </cell>
        </row>
        <row r="2102">
          <cell r="B2102" t="str">
            <v>KXK4710</v>
          </cell>
          <cell r="C2102" t="str">
            <v> </v>
          </cell>
        </row>
        <row r="2103">
          <cell r="B2103" t="str">
            <v>KXK6B23</v>
          </cell>
          <cell r="C2103" t="str">
            <v> </v>
          </cell>
        </row>
        <row r="2104">
          <cell r="B2104" t="str">
            <v>KXK7H30</v>
          </cell>
          <cell r="C2104" t="str">
            <v>Operando</v>
          </cell>
        </row>
        <row r="2105">
          <cell r="B2105" t="str">
            <v>KXK8J46</v>
          </cell>
          <cell r="C2105" t="str">
            <v> </v>
          </cell>
        </row>
        <row r="2106">
          <cell r="B2106" t="str">
            <v>KXL8F47</v>
          </cell>
          <cell r="C2106" t="str">
            <v> </v>
          </cell>
        </row>
        <row r="2107">
          <cell r="B2107" t="str">
            <v>KXO5675</v>
          </cell>
          <cell r="C2107" t="str">
            <v>Operando</v>
          </cell>
        </row>
        <row r="2108">
          <cell r="B2108" t="str">
            <v>KXP7C21</v>
          </cell>
          <cell r="C2108" t="str">
            <v>Operando</v>
          </cell>
        </row>
        <row r="2109">
          <cell r="B2109" t="str">
            <v>KXP7D63</v>
          </cell>
          <cell r="C2109" t="str">
            <v>Operando</v>
          </cell>
        </row>
        <row r="2110">
          <cell r="B2110" t="str">
            <v>KXQ9B79</v>
          </cell>
          <cell r="C2110" t="str">
            <v> </v>
          </cell>
        </row>
        <row r="2111">
          <cell r="B2111" t="str">
            <v>KXR7G89</v>
          </cell>
          <cell r="C2111" t="str">
            <v> </v>
          </cell>
        </row>
        <row r="2112">
          <cell r="B2112" t="str">
            <v>KXT4284</v>
          </cell>
          <cell r="C2112" t="str">
            <v> </v>
          </cell>
        </row>
        <row r="2113">
          <cell r="B2113" t="str">
            <v>KXU8950</v>
          </cell>
          <cell r="C2113" t="str">
            <v>Operando</v>
          </cell>
        </row>
        <row r="2114">
          <cell r="B2114" t="str">
            <v>KXV1E83</v>
          </cell>
          <cell r="C2114" t="str">
            <v> </v>
          </cell>
        </row>
        <row r="2115">
          <cell r="B2115" t="str">
            <v>KXY5576</v>
          </cell>
          <cell r="C2115" t="str">
            <v>Operando</v>
          </cell>
        </row>
        <row r="2116">
          <cell r="B2116" t="str">
            <v>KXY5I83</v>
          </cell>
          <cell r="C2116" t="str">
            <v>Operando</v>
          </cell>
        </row>
        <row r="2117">
          <cell r="B2117" t="str">
            <v>KYB3H40</v>
          </cell>
          <cell r="C2117" t="str">
            <v> </v>
          </cell>
        </row>
        <row r="2118">
          <cell r="B2118" t="str">
            <v>KYC3F67</v>
          </cell>
          <cell r="C2118" t="str">
            <v> </v>
          </cell>
        </row>
        <row r="2119">
          <cell r="B2119" t="str">
            <v>KYC9A86</v>
          </cell>
          <cell r="C2119" t="str">
            <v>Operando</v>
          </cell>
        </row>
        <row r="2120">
          <cell r="B2120" t="str">
            <v>KYE5702</v>
          </cell>
          <cell r="C2120" t="str">
            <v> </v>
          </cell>
        </row>
        <row r="2121">
          <cell r="B2121" t="str">
            <v>KYG4A35</v>
          </cell>
          <cell r="C2121" t="str">
            <v> </v>
          </cell>
        </row>
        <row r="2122">
          <cell r="B2122" t="str">
            <v>KYG5H05</v>
          </cell>
          <cell r="C2122" t="str">
            <v>Operando</v>
          </cell>
        </row>
        <row r="2123">
          <cell r="B2123" t="str">
            <v>KYH4A47</v>
          </cell>
          <cell r="C2123" t="str">
            <v> </v>
          </cell>
        </row>
        <row r="2124">
          <cell r="B2124" t="str">
            <v>KYK3011</v>
          </cell>
          <cell r="C2124" t="str">
            <v>Operando</v>
          </cell>
        </row>
        <row r="2125">
          <cell r="B2125" t="str">
            <v>KYK7D91</v>
          </cell>
          <cell r="C2125" t="str">
            <v> </v>
          </cell>
        </row>
        <row r="2126">
          <cell r="B2126" t="str">
            <v>KYL4427</v>
          </cell>
          <cell r="C2126" t="str">
            <v> </v>
          </cell>
        </row>
        <row r="2127">
          <cell r="B2127" t="str">
            <v>KYL7E61</v>
          </cell>
          <cell r="C2127" t="str">
            <v> </v>
          </cell>
        </row>
        <row r="2128">
          <cell r="B2128" t="str">
            <v>KYR1I73</v>
          </cell>
          <cell r="C2128" t="str">
            <v> </v>
          </cell>
        </row>
        <row r="2129">
          <cell r="B2129" t="str">
            <v>KYR8439</v>
          </cell>
          <cell r="C2129" t="str">
            <v>Operando</v>
          </cell>
        </row>
        <row r="2130">
          <cell r="B2130" t="str">
            <v>KYV6634</v>
          </cell>
          <cell r="C2130" t="str">
            <v> </v>
          </cell>
        </row>
        <row r="2131">
          <cell r="B2131" t="str">
            <v>KZA3I78</v>
          </cell>
          <cell r="C2131" t="str">
            <v> </v>
          </cell>
        </row>
        <row r="2132">
          <cell r="B2132" t="str">
            <v>KZA4158</v>
          </cell>
          <cell r="C2132" t="str">
            <v> </v>
          </cell>
        </row>
        <row r="2133">
          <cell r="B2133" t="str">
            <v>KZB0159</v>
          </cell>
          <cell r="C2133" t="str">
            <v> </v>
          </cell>
        </row>
        <row r="2134">
          <cell r="B2134" t="str">
            <v>KZC8D18</v>
          </cell>
          <cell r="C2134" t="str">
            <v> </v>
          </cell>
        </row>
        <row r="2135">
          <cell r="B2135" t="str">
            <v>KZF5A15</v>
          </cell>
          <cell r="C2135" t="str">
            <v> </v>
          </cell>
        </row>
        <row r="2136">
          <cell r="B2136" t="str">
            <v>KZF9F08</v>
          </cell>
          <cell r="C2136" t="str">
            <v>Operando</v>
          </cell>
        </row>
        <row r="2137">
          <cell r="B2137" t="str">
            <v>KZG8I28</v>
          </cell>
          <cell r="C2137" t="str">
            <v> </v>
          </cell>
        </row>
        <row r="2138">
          <cell r="B2138" t="str">
            <v>KZG9B47</v>
          </cell>
          <cell r="C2138" t="str">
            <v> </v>
          </cell>
        </row>
        <row r="2139">
          <cell r="B2139" t="str">
            <v>KZH2F08</v>
          </cell>
          <cell r="C2139" t="str">
            <v> </v>
          </cell>
        </row>
        <row r="2140">
          <cell r="B2140" t="str">
            <v>KZH5111</v>
          </cell>
          <cell r="C2140" t="str">
            <v> </v>
          </cell>
        </row>
        <row r="2141">
          <cell r="B2141" t="str">
            <v>KZH5C40</v>
          </cell>
          <cell r="C2141" t="str">
            <v> </v>
          </cell>
        </row>
        <row r="2142">
          <cell r="B2142" t="str">
            <v>KZI6I75</v>
          </cell>
          <cell r="C2142" t="str">
            <v> </v>
          </cell>
        </row>
        <row r="2143">
          <cell r="B2143" t="str">
            <v>KZI7C48</v>
          </cell>
          <cell r="C2143" t="str">
            <v>Operando</v>
          </cell>
        </row>
        <row r="2144">
          <cell r="B2144" t="str">
            <v>KZK3019</v>
          </cell>
          <cell r="C2144" t="str">
            <v> </v>
          </cell>
        </row>
        <row r="2145">
          <cell r="B2145" t="str">
            <v>KZL7D35</v>
          </cell>
          <cell r="C2145" t="str">
            <v>Operando</v>
          </cell>
        </row>
        <row r="2146">
          <cell r="B2146" t="str">
            <v>KZL8I47</v>
          </cell>
          <cell r="C2146" t="str">
            <v> </v>
          </cell>
        </row>
        <row r="2147">
          <cell r="B2147" t="str">
            <v>KZM2J41</v>
          </cell>
          <cell r="C2147" t="str">
            <v> </v>
          </cell>
        </row>
        <row r="2148">
          <cell r="B2148" t="str">
            <v>KZM3E06</v>
          </cell>
          <cell r="C2148" t="str">
            <v> </v>
          </cell>
        </row>
        <row r="2149">
          <cell r="B2149" t="str">
            <v>KZM6C20</v>
          </cell>
          <cell r="C2149" t="str">
            <v>Operando</v>
          </cell>
        </row>
        <row r="2150">
          <cell r="B2150" t="str">
            <v>KZN1111</v>
          </cell>
          <cell r="C2150" t="str">
            <v>Operando</v>
          </cell>
        </row>
        <row r="2151">
          <cell r="B2151" t="str">
            <v>KZN1I66</v>
          </cell>
          <cell r="C2151" t="str">
            <v> </v>
          </cell>
        </row>
        <row r="2152">
          <cell r="B2152" t="str">
            <v>KZN5H01</v>
          </cell>
          <cell r="C2152" t="str">
            <v>Operando</v>
          </cell>
        </row>
        <row r="2153">
          <cell r="B2153" t="str">
            <v>KZN8G62</v>
          </cell>
          <cell r="C2153" t="str">
            <v> </v>
          </cell>
        </row>
        <row r="2154">
          <cell r="B2154" t="str">
            <v>KZU6E89</v>
          </cell>
          <cell r="C2154" t="str">
            <v> </v>
          </cell>
        </row>
        <row r="2155">
          <cell r="B2155" t="str">
            <v>KZV8A58</v>
          </cell>
          <cell r="C2155" t="str">
            <v> </v>
          </cell>
        </row>
        <row r="2156">
          <cell r="B2156" t="str">
            <v>KZW2188</v>
          </cell>
          <cell r="C2156" t="str">
            <v> </v>
          </cell>
        </row>
        <row r="2157">
          <cell r="B2157" t="str">
            <v>LBW7908</v>
          </cell>
          <cell r="C2157" t="str">
            <v> </v>
          </cell>
        </row>
        <row r="2158">
          <cell r="B2158" t="str">
            <v>LCH3327</v>
          </cell>
          <cell r="C2158" t="str">
            <v> </v>
          </cell>
        </row>
        <row r="2159">
          <cell r="B2159" t="str">
            <v>LKD8380</v>
          </cell>
          <cell r="C2159" t="str">
            <v> </v>
          </cell>
        </row>
        <row r="2160">
          <cell r="B2160" t="str">
            <v>LKH2H19</v>
          </cell>
          <cell r="C2160" t="str">
            <v> </v>
          </cell>
        </row>
        <row r="2161">
          <cell r="B2161" t="str">
            <v>LKK8J59</v>
          </cell>
          <cell r="C2161" t="str">
            <v> </v>
          </cell>
        </row>
        <row r="2162">
          <cell r="B2162" t="str">
            <v>LKO8040</v>
          </cell>
          <cell r="C2162" t="str">
            <v> </v>
          </cell>
        </row>
        <row r="2163">
          <cell r="B2163" t="str">
            <v>LKV8H20</v>
          </cell>
          <cell r="C2163" t="str">
            <v>Operando</v>
          </cell>
        </row>
        <row r="2164">
          <cell r="B2164" t="str">
            <v>LKY3H27</v>
          </cell>
          <cell r="C2164" t="str">
            <v> </v>
          </cell>
        </row>
        <row r="2165">
          <cell r="B2165" t="str">
            <v>LKZ5252</v>
          </cell>
          <cell r="C2165" t="str">
            <v> </v>
          </cell>
        </row>
        <row r="2166">
          <cell r="B2166" t="str">
            <v>LLA3414</v>
          </cell>
          <cell r="C2166" t="str">
            <v> </v>
          </cell>
        </row>
        <row r="2167">
          <cell r="B2167" t="str">
            <v>LLB4H68</v>
          </cell>
          <cell r="C2167" t="str">
            <v>Operando</v>
          </cell>
        </row>
        <row r="2168">
          <cell r="B2168" t="str">
            <v>LLB8434</v>
          </cell>
          <cell r="C2168" t="str">
            <v> </v>
          </cell>
        </row>
        <row r="2169">
          <cell r="B2169" t="str">
            <v>LLC2022</v>
          </cell>
          <cell r="C2169" t="str">
            <v> </v>
          </cell>
        </row>
        <row r="2170">
          <cell r="B2170" t="str">
            <v>LLD2J75</v>
          </cell>
          <cell r="C2170" t="str">
            <v> </v>
          </cell>
        </row>
        <row r="2171">
          <cell r="B2171" t="str">
            <v>LLE8289</v>
          </cell>
          <cell r="C2171" t="str">
            <v>Operando</v>
          </cell>
        </row>
        <row r="2172">
          <cell r="B2172" t="str">
            <v>LLI5123</v>
          </cell>
          <cell r="C2172" t="str">
            <v> </v>
          </cell>
        </row>
        <row r="2173">
          <cell r="B2173" t="str">
            <v>LLI8I46</v>
          </cell>
          <cell r="C2173" t="str">
            <v>Agregado</v>
          </cell>
        </row>
        <row r="2174">
          <cell r="B2174" t="str">
            <v>LLJ4J51</v>
          </cell>
          <cell r="C2174" t="str">
            <v> </v>
          </cell>
        </row>
        <row r="2175">
          <cell r="B2175" t="str">
            <v>LLJ8A20</v>
          </cell>
          <cell r="C2175" t="str">
            <v> </v>
          </cell>
        </row>
        <row r="2176">
          <cell r="B2176" t="str">
            <v>LLJ9H69</v>
          </cell>
          <cell r="C2176" t="str">
            <v> </v>
          </cell>
        </row>
        <row r="2177">
          <cell r="B2177" t="str">
            <v>LLK6B31</v>
          </cell>
          <cell r="C2177" t="str">
            <v> </v>
          </cell>
        </row>
        <row r="2178">
          <cell r="B2178" t="str">
            <v>LLK6C22</v>
          </cell>
          <cell r="C2178" t="str">
            <v> </v>
          </cell>
        </row>
        <row r="2179">
          <cell r="B2179" t="str">
            <v>LLK7D96</v>
          </cell>
          <cell r="C2179" t="str">
            <v> </v>
          </cell>
        </row>
        <row r="2180">
          <cell r="B2180" t="str">
            <v>LLM9E61</v>
          </cell>
          <cell r="C2180" t="str">
            <v> </v>
          </cell>
        </row>
        <row r="2181">
          <cell r="B2181" t="str">
            <v>LLM9J06</v>
          </cell>
          <cell r="C2181" t="str">
            <v> </v>
          </cell>
        </row>
        <row r="2182">
          <cell r="B2182" t="str">
            <v>LLN2C59</v>
          </cell>
          <cell r="C2182" t="str">
            <v> </v>
          </cell>
        </row>
        <row r="2183">
          <cell r="B2183" t="str">
            <v>LLO4E96</v>
          </cell>
          <cell r="C2183" t="str">
            <v>Operando</v>
          </cell>
        </row>
        <row r="2184">
          <cell r="B2184" t="str">
            <v>LLP1F98</v>
          </cell>
          <cell r="C2184" t="str">
            <v> </v>
          </cell>
        </row>
        <row r="2185">
          <cell r="B2185" t="str">
            <v>LLP2978</v>
          </cell>
          <cell r="C2185" t="str">
            <v> </v>
          </cell>
        </row>
        <row r="2186">
          <cell r="B2186" t="str">
            <v>LLT6D29</v>
          </cell>
          <cell r="C2186" t="str">
            <v>Operando</v>
          </cell>
        </row>
        <row r="2187">
          <cell r="B2187" t="str">
            <v>LLV4B39</v>
          </cell>
          <cell r="C2187" t="str">
            <v> </v>
          </cell>
        </row>
        <row r="2188">
          <cell r="B2188" t="str">
            <v>LLV7F36</v>
          </cell>
          <cell r="C2188" t="str">
            <v>Operando</v>
          </cell>
        </row>
        <row r="2189">
          <cell r="B2189" t="str">
            <v>LLW7I77</v>
          </cell>
          <cell r="C2189" t="str">
            <v> </v>
          </cell>
        </row>
        <row r="2190">
          <cell r="B2190" t="str">
            <v>LLY3A59</v>
          </cell>
          <cell r="C2190" t="str">
            <v> </v>
          </cell>
        </row>
        <row r="2191">
          <cell r="B2191" t="str">
            <v>LLY5G14</v>
          </cell>
          <cell r="C2191" t="str">
            <v> </v>
          </cell>
        </row>
        <row r="2192">
          <cell r="B2192" t="str">
            <v>LLZ3777</v>
          </cell>
          <cell r="C2192" t="str">
            <v> </v>
          </cell>
        </row>
        <row r="2193">
          <cell r="B2193" t="str">
            <v>LLZ5J96</v>
          </cell>
          <cell r="C2193" t="str">
            <v> </v>
          </cell>
        </row>
        <row r="2194">
          <cell r="B2194" t="str">
            <v>LLZ8G47</v>
          </cell>
          <cell r="C2194" t="str">
            <v>Operando</v>
          </cell>
        </row>
        <row r="2195">
          <cell r="B2195" t="str">
            <v>LMA7818</v>
          </cell>
          <cell r="C2195" t="str">
            <v>Operando</v>
          </cell>
        </row>
        <row r="2196">
          <cell r="B2196" t="str">
            <v>LMA7G61</v>
          </cell>
          <cell r="C2196" t="str">
            <v> </v>
          </cell>
        </row>
        <row r="2197">
          <cell r="B2197" t="str">
            <v>LMA9I79</v>
          </cell>
          <cell r="C2197" t="str">
            <v> </v>
          </cell>
        </row>
        <row r="2198">
          <cell r="B2198" t="str">
            <v>LMB5816</v>
          </cell>
          <cell r="C2198" t="str">
            <v>Operando</v>
          </cell>
        </row>
        <row r="2199">
          <cell r="B2199" t="str">
            <v>LMC4G35</v>
          </cell>
          <cell r="C2199" t="str">
            <v> </v>
          </cell>
        </row>
        <row r="2200">
          <cell r="B2200" t="str">
            <v>LMC6J82</v>
          </cell>
          <cell r="C2200" t="str">
            <v> </v>
          </cell>
        </row>
        <row r="2201">
          <cell r="B2201" t="str">
            <v>LMD1661</v>
          </cell>
          <cell r="C2201" t="str">
            <v> </v>
          </cell>
        </row>
        <row r="2202">
          <cell r="B2202" t="str">
            <v>LMD4I80</v>
          </cell>
          <cell r="C2202" t="str">
            <v> </v>
          </cell>
        </row>
        <row r="2203">
          <cell r="B2203" t="str">
            <v>LMD5I51</v>
          </cell>
          <cell r="C2203" t="str">
            <v>Operando</v>
          </cell>
        </row>
        <row r="2204">
          <cell r="B2204" t="str">
            <v>LMF2H04</v>
          </cell>
          <cell r="C2204" t="str">
            <v>Operando</v>
          </cell>
        </row>
        <row r="2205">
          <cell r="B2205" t="str">
            <v>LMG1B13</v>
          </cell>
          <cell r="C2205" t="str">
            <v> </v>
          </cell>
        </row>
        <row r="2206">
          <cell r="B2206" t="str">
            <v>LMH1D03</v>
          </cell>
          <cell r="C2206" t="str">
            <v> </v>
          </cell>
        </row>
        <row r="2207">
          <cell r="B2207" t="str">
            <v>LMH4G15</v>
          </cell>
          <cell r="C2207" t="str">
            <v> </v>
          </cell>
        </row>
        <row r="2208">
          <cell r="B2208" t="str">
            <v>LMI4A72</v>
          </cell>
          <cell r="C2208" t="str">
            <v> </v>
          </cell>
        </row>
        <row r="2209">
          <cell r="B2209" t="str">
            <v>LMI9H64</v>
          </cell>
          <cell r="C2209" t="str">
            <v> </v>
          </cell>
        </row>
        <row r="2210">
          <cell r="B2210" t="str">
            <v>LMJ3E96</v>
          </cell>
          <cell r="C2210" t="str">
            <v> </v>
          </cell>
        </row>
        <row r="2211">
          <cell r="B2211" t="str">
            <v>LMK3632</v>
          </cell>
          <cell r="C2211" t="str">
            <v> </v>
          </cell>
        </row>
        <row r="2212">
          <cell r="B2212" t="str">
            <v>LMK9264</v>
          </cell>
          <cell r="C2212" t="str">
            <v>Operando</v>
          </cell>
        </row>
        <row r="2213">
          <cell r="B2213" t="str">
            <v>LML0H75</v>
          </cell>
          <cell r="C2213" t="str">
            <v> </v>
          </cell>
        </row>
        <row r="2214">
          <cell r="B2214" t="str">
            <v>LML2934</v>
          </cell>
          <cell r="C2214" t="str">
            <v> </v>
          </cell>
        </row>
        <row r="2215">
          <cell r="B2215" t="str">
            <v>LML7G16</v>
          </cell>
          <cell r="C2215" t="str">
            <v>Operando</v>
          </cell>
        </row>
        <row r="2216">
          <cell r="B2216" t="str">
            <v>LML8063</v>
          </cell>
          <cell r="C2216" t="str">
            <v> </v>
          </cell>
        </row>
        <row r="2217">
          <cell r="B2217" t="str">
            <v>LMO2795</v>
          </cell>
          <cell r="C2217" t="str">
            <v> </v>
          </cell>
        </row>
        <row r="2218">
          <cell r="B2218" t="str">
            <v>LMO6G65</v>
          </cell>
          <cell r="C2218" t="str">
            <v> </v>
          </cell>
        </row>
        <row r="2219">
          <cell r="B2219" t="str">
            <v>LMO9E02</v>
          </cell>
          <cell r="C2219" t="str">
            <v>Operando</v>
          </cell>
        </row>
        <row r="2220">
          <cell r="B2220" t="str">
            <v>LMP3H21</v>
          </cell>
          <cell r="C2220" t="str">
            <v> </v>
          </cell>
        </row>
        <row r="2221">
          <cell r="B2221" t="str">
            <v>LMP7A50</v>
          </cell>
          <cell r="C2221" t="str">
            <v> </v>
          </cell>
        </row>
        <row r="2222">
          <cell r="B2222" t="str">
            <v>LMR9F90</v>
          </cell>
          <cell r="C2222" t="str">
            <v> </v>
          </cell>
        </row>
        <row r="2223">
          <cell r="B2223" t="str">
            <v>LMT1C29</v>
          </cell>
          <cell r="C2223" t="str">
            <v> </v>
          </cell>
        </row>
        <row r="2224">
          <cell r="B2224" t="str">
            <v>LMT8D81</v>
          </cell>
          <cell r="C2224" t="str">
            <v> </v>
          </cell>
        </row>
        <row r="2225">
          <cell r="B2225" t="str">
            <v>LMU2F37</v>
          </cell>
          <cell r="C2225" t="str">
            <v> </v>
          </cell>
        </row>
        <row r="2226">
          <cell r="B2226" t="str">
            <v>LMV3B17</v>
          </cell>
          <cell r="C2226" t="str">
            <v> </v>
          </cell>
        </row>
        <row r="2227">
          <cell r="B2227" t="str">
            <v>LMV9G36</v>
          </cell>
          <cell r="C2227" t="str">
            <v>Operando</v>
          </cell>
        </row>
        <row r="2228">
          <cell r="B2228" t="str">
            <v>LMY8I40</v>
          </cell>
          <cell r="C2228" t="str">
            <v> </v>
          </cell>
        </row>
        <row r="2229">
          <cell r="B2229" t="str">
            <v>LMZ0E21</v>
          </cell>
          <cell r="C2229" t="str">
            <v> </v>
          </cell>
        </row>
        <row r="2230">
          <cell r="B2230" t="str">
            <v>LNH6A78</v>
          </cell>
          <cell r="C2230" t="str">
            <v>Operando</v>
          </cell>
        </row>
        <row r="2231">
          <cell r="B2231" t="str">
            <v>LNL4A52</v>
          </cell>
          <cell r="C2231" t="str">
            <v> </v>
          </cell>
        </row>
        <row r="2232">
          <cell r="B2232" t="str">
            <v>LNW5326</v>
          </cell>
          <cell r="C2232" t="str">
            <v>Operando</v>
          </cell>
        </row>
        <row r="2233">
          <cell r="B2233" t="str">
            <v>LNZ5874</v>
          </cell>
          <cell r="C2233" t="str">
            <v> </v>
          </cell>
        </row>
        <row r="2234">
          <cell r="B2234" t="str">
            <v>LPA5G21</v>
          </cell>
          <cell r="C2234" t="str">
            <v>Operando</v>
          </cell>
        </row>
        <row r="2235">
          <cell r="B2235" t="str">
            <v>LPE7251</v>
          </cell>
          <cell r="C2235" t="str">
            <v> </v>
          </cell>
        </row>
        <row r="2236">
          <cell r="B2236" t="str">
            <v>LPG7E45</v>
          </cell>
          <cell r="C2236" t="str">
            <v>Operando</v>
          </cell>
        </row>
        <row r="2237">
          <cell r="B2237" t="str">
            <v>LPI5048</v>
          </cell>
          <cell r="C2237" t="str">
            <v> </v>
          </cell>
        </row>
        <row r="2238">
          <cell r="B2238" t="str">
            <v>LPJ3922</v>
          </cell>
          <cell r="C2238" t="str">
            <v> </v>
          </cell>
        </row>
        <row r="2239">
          <cell r="B2239" t="str">
            <v>LPK6660</v>
          </cell>
          <cell r="C2239" t="str">
            <v>Operando</v>
          </cell>
        </row>
        <row r="2240">
          <cell r="B2240" t="str">
            <v>LPM4A12</v>
          </cell>
          <cell r="C2240" t="str">
            <v> </v>
          </cell>
        </row>
        <row r="2241">
          <cell r="B2241" t="str">
            <v>LPN9013</v>
          </cell>
          <cell r="C2241" t="str">
            <v> </v>
          </cell>
        </row>
        <row r="2242">
          <cell r="B2242" t="str">
            <v>LPO6C83</v>
          </cell>
          <cell r="C2242" t="str">
            <v>Operando</v>
          </cell>
        </row>
        <row r="2243">
          <cell r="B2243" t="str">
            <v>LPQ2F63</v>
          </cell>
          <cell r="C2243" t="str">
            <v> </v>
          </cell>
        </row>
        <row r="2244">
          <cell r="B2244" t="str">
            <v>LPR7A55</v>
          </cell>
          <cell r="C2244" t="str">
            <v> </v>
          </cell>
        </row>
        <row r="2245">
          <cell r="B2245" t="str">
            <v>LPS6F37</v>
          </cell>
          <cell r="C2245" t="str">
            <v>Operando</v>
          </cell>
        </row>
        <row r="2246">
          <cell r="B2246" t="str">
            <v>LPU0896</v>
          </cell>
          <cell r="C2246" t="str">
            <v> </v>
          </cell>
        </row>
        <row r="2247">
          <cell r="B2247" t="str">
            <v>LPU3147</v>
          </cell>
          <cell r="C2247" t="str">
            <v> </v>
          </cell>
        </row>
        <row r="2248">
          <cell r="B2248" t="str">
            <v>LPX4228</v>
          </cell>
          <cell r="C2248" t="str">
            <v> </v>
          </cell>
        </row>
        <row r="2249">
          <cell r="B2249" t="str">
            <v>LPX8H65</v>
          </cell>
          <cell r="C2249" t="str">
            <v>Agregado</v>
          </cell>
        </row>
        <row r="2250">
          <cell r="B2250" t="str">
            <v>LPY9305</v>
          </cell>
          <cell r="C2250" t="str">
            <v> </v>
          </cell>
        </row>
        <row r="2251">
          <cell r="B2251" t="str">
            <v>LQB3J06</v>
          </cell>
          <cell r="C2251" t="str">
            <v>Operando</v>
          </cell>
        </row>
        <row r="2252">
          <cell r="B2252" t="str">
            <v>LQB8J78</v>
          </cell>
          <cell r="C2252" t="str">
            <v> </v>
          </cell>
        </row>
        <row r="2253">
          <cell r="B2253" t="str">
            <v>LQC7832</v>
          </cell>
          <cell r="C2253" t="str">
            <v> </v>
          </cell>
        </row>
        <row r="2254">
          <cell r="B2254" t="str">
            <v>LQD8703</v>
          </cell>
          <cell r="C2254" t="str">
            <v> </v>
          </cell>
        </row>
        <row r="2255">
          <cell r="B2255" t="str">
            <v>LQE2D63</v>
          </cell>
          <cell r="C2255" t="str">
            <v> </v>
          </cell>
        </row>
        <row r="2256">
          <cell r="B2256" t="str">
            <v>LQF7E61</v>
          </cell>
          <cell r="C2256" t="str">
            <v>Operando</v>
          </cell>
        </row>
        <row r="2257">
          <cell r="B2257" t="str">
            <v>LQG5H37</v>
          </cell>
          <cell r="C2257" t="str">
            <v> </v>
          </cell>
        </row>
        <row r="2258">
          <cell r="B2258" t="str">
            <v>LQG7F05</v>
          </cell>
          <cell r="C2258" t="str">
            <v>Operando</v>
          </cell>
        </row>
        <row r="2259">
          <cell r="B2259" t="str">
            <v>LQG8C02</v>
          </cell>
          <cell r="C2259" t="str">
            <v> </v>
          </cell>
        </row>
        <row r="2260">
          <cell r="B2260" t="str">
            <v>LQH8E59</v>
          </cell>
          <cell r="C2260" t="str">
            <v> </v>
          </cell>
        </row>
        <row r="2261">
          <cell r="B2261" t="str">
            <v>LQI2240</v>
          </cell>
          <cell r="C2261" t="str">
            <v> </v>
          </cell>
        </row>
        <row r="2262">
          <cell r="B2262" t="str">
            <v>LQK3A86</v>
          </cell>
          <cell r="C2262" t="str">
            <v> </v>
          </cell>
        </row>
        <row r="2263">
          <cell r="B2263" t="str">
            <v>LQK6J48</v>
          </cell>
          <cell r="C2263" t="str">
            <v> </v>
          </cell>
        </row>
        <row r="2264">
          <cell r="B2264" t="str">
            <v>LQK7I96</v>
          </cell>
          <cell r="C2264" t="str">
            <v> </v>
          </cell>
        </row>
        <row r="2265">
          <cell r="B2265" t="str">
            <v>LQL7A92</v>
          </cell>
          <cell r="C2265" t="str">
            <v> </v>
          </cell>
        </row>
        <row r="2266">
          <cell r="B2266" t="str">
            <v>LQM1G11</v>
          </cell>
          <cell r="C2266" t="str">
            <v> </v>
          </cell>
        </row>
        <row r="2267">
          <cell r="B2267" t="str">
            <v>LQM4B83</v>
          </cell>
          <cell r="C2267" t="str">
            <v> </v>
          </cell>
        </row>
        <row r="2268">
          <cell r="B2268" t="str">
            <v>LQM4D61</v>
          </cell>
          <cell r="C2268" t="str">
            <v> </v>
          </cell>
        </row>
        <row r="2269">
          <cell r="B2269" t="str">
            <v>LQN5151</v>
          </cell>
          <cell r="C2269" t="str">
            <v> </v>
          </cell>
        </row>
        <row r="2270">
          <cell r="B2270" t="str">
            <v>LQP3958</v>
          </cell>
          <cell r="C2270" t="str">
            <v>Operando</v>
          </cell>
        </row>
        <row r="2271">
          <cell r="B2271" t="str">
            <v>LQP7I53</v>
          </cell>
          <cell r="C2271" t="str">
            <v> </v>
          </cell>
        </row>
        <row r="2272">
          <cell r="B2272" t="str">
            <v>LQP9D87</v>
          </cell>
          <cell r="C2272" t="str">
            <v>Operando</v>
          </cell>
        </row>
        <row r="2273">
          <cell r="B2273" t="str">
            <v>LQR6F73</v>
          </cell>
          <cell r="C2273" t="str">
            <v> </v>
          </cell>
        </row>
        <row r="2274">
          <cell r="B2274" t="str">
            <v>LQR6H19</v>
          </cell>
          <cell r="C2274" t="str">
            <v> </v>
          </cell>
        </row>
        <row r="2275">
          <cell r="B2275" t="str">
            <v>LQS2E93</v>
          </cell>
          <cell r="C2275" t="str">
            <v> </v>
          </cell>
        </row>
        <row r="2276">
          <cell r="B2276" t="str">
            <v>LQS5478</v>
          </cell>
          <cell r="C2276" t="str">
            <v>Operando</v>
          </cell>
        </row>
        <row r="2277">
          <cell r="B2277" t="str">
            <v>LQT5931</v>
          </cell>
          <cell r="C2277" t="str">
            <v> </v>
          </cell>
        </row>
        <row r="2278">
          <cell r="B2278" t="str">
            <v>LQT5F62</v>
          </cell>
          <cell r="C2278" t="str">
            <v>Operando</v>
          </cell>
        </row>
        <row r="2279">
          <cell r="B2279" t="str">
            <v>LQU3E52</v>
          </cell>
          <cell r="C2279" t="str">
            <v> </v>
          </cell>
        </row>
        <row r="2280">
          <cell r="B2280" t="str">
            <v>LQW2E19</v>
          </cell>
          <cell r="C2280" t="str">
            <v>Operando</v>
          </cell>
        </row>
        <row r="2281">
          <cell r="B2281" t="str">
            <v>LQW5C34</v>
          </cell>
          <cell r="C2281" t="str">
            <v> </v>
          </cell>
        </row>
        <row r="2282">
          <cell r="B2282" t="str">
            <v>LQX4G81</v>
          </cell>
          <cell r="C2282" t="str">
            <v> </v>
          </cell>
        </row>
        <row r="2283">
          <cell r="B2283" t="str">
            <v>LQZ6I07</v>
          </cell>
          <cell r="C2283" t="str">
            <v> </v>
          </cell>
        </row>
        <row r="2284">
          <cell r="B2284" t="str">
            <v>LRA2C69</v>
          </cell>
          <cell r="C2284" t="str">
            <v> </v>
          </cell>
        </row>
        <row r="2285">
          <cell r="B2285" t="str">
            <v>LRA3G45</v>
          </cell>
          <cell r="C2285" t="str">
            <v> </v>
          </cell>
        </row>
        <row r="2286">
          <cell r="B2286" t="str">
            <v>LRB7C28</v>
          </cell>
          <cell r="C2286" t="str">
            <v> </v>
          </cell>
        </row>
        <row r="2287">
          <cell r="B2287" t="str">
            <v>LRC8J90</v>
          </cell>
          <cell r="C2287" t="str">
            <v> </v>
          </cell>
        </row>
        <row r="2288">
          <cell r="B2288" t="str">
            <v>LRD4E27</v>
          </cell>
          <cell r="C2288" t="str">
            <v>Operando</v>
          </cell>
        </row>
        <row r="2289">
          <cell r="B2289" t="str">
            <v>LRD8B31</v>
          </cell>
          <cell r="C2289" t="str">
            <v> </v>
          </cell>
        </row>
        <row r="2290">
          <cell r="B2290" t="str">
            <v>LRD8E86</v>
          </cell>
          <cell r="C2290" t="str">
            <v> </v>
          </cell>
        </row>
        <row r="2291">
          <cell r="B2291" t="str">
            <v>LRD9E47</v>
          </cell>
          <cell r="C2291" t="str">
            <v>Operando</v>
          </cell>
        </row>
        <row r="2292">
          <cell r="B2292" t="str">
            <v>LRE1J99</v>
          </cell>
          <cell r="C2292" t="str">
            <v> </v>
          </cell>
        </row>
        <row r="2293">
          <cell r="B2293" t="str">
            <v>LRE9J94</v>
          </cell>
          <cell r="C2293" t="str">
            <v> </v>
          </cell>
        </row>
        <row r="2294">
          <cell r="B2294" t="str">
            <v>LRG7F50</v>
          </cell>
          <cell r="C2294" t="str">
            <v> </v>
          </cell>
        </row>
        <row r="2295">
          <cell r="B2295" t="str">
            <v>LRI8B80</v>
          </cell>
          <cell r="C2295" t="str">
            <v> </v>
          </cell>
        </row>
        <row r="2296">
          <cell r="B2296" t="str">
            <v>LRI9787</v>
          </cell>
          <cell r="C2296" t="str">
            <v> </v>
          </cell>
        </row>
        <row r="2297">
          <cell r="B2297" t="str">
            <v>LRK6C79</v>
          </cell>
          <cell r="C2297" t="str">
            <v> </v>
          </cell>
        </row>
        <row r="2298">
          <cell r="B2298" t="str">
            <v>LRL7D85</v>
          </cell>
          <cell r="C2298" t="str">
            <v> </v>
          </cell>
        </row>
        <row r="2299">
          <cell r="B2299" t="str">
            <v>LRM2G06</v>
          </cell>
          <cell r="C2299" t="str">
            <v> </v>
          </cell>
        </row>
        <row r="2300">
          <cell r="B2300" t="str">
            <v>LRM9C68</v>
          </cell>
          <cell r="C2300" t="str">
            <v>Operando</v>
          </cell>
        </row>
        <row r="2301">
          <cell r="B2301" t="str">
            <v>LRN3E95</v>
          </cell>
          <cell r="C2301" t="str">
            <v> </v>
          </cell>
        </row>
        <row r="2302">
          <cell r="B2302" t="str">
            <v>LRN8097</v>
          </cell>
          <cell r="C2302" t="str">
            <v>Operando</v>
          </cell>
        </row>
        <row r="2303">
          <cell r="B2303" t="str">
            <v>LRN9E43</v>
          </cell>
          <cell r="C2303" t="str">
            <v> </v>
          </cell>
        </row>
        <row r="2304">
          <cell r="B2304" t="str">
            <v>LRO2E69</v>
          </cell>
          <cell r="C2304" t="str">
            <v> </v>
          </cell>
        </row>
        <row r="2305">
          <cell r="B2305" t="str">
            <v>LRO2J44</v>
          </cell>
          <cell r="C2305" t="str">
            <v> </v>
          </cell>
        </row>
        <row r="2306">
          <cell r="B2306" t="str">
            <v>LRP8H68</v>
          </cell>
          <cell r="C2306" t="str">
            <v> </v>
          </cell>
        </row>
        <row r="2307">
          <cell r="B2307" t="str">
            <v>LRS8D25</v>
          </cell>
          <cell r="C2307" t="str">
            <v> </v>
          </cell>
        </row>
        <row r="2308">
          <cell r="B2308" t="str">
            <v>LRT5I86</v>
          </cell>
          <cell r="C2308" t="str">
            <v>Operando</v>
          </cell>
        </row>
        <row r="2309">
          <cell r="B2309" t="str">
            <v>LRU4D13</v>
          </cell>
          <cell r="C2309" t="str">
            <v>Operando</v>
          </cell>
        </row>
        <row r="2310">
          <cell r="B2310" t="str">
            <v>LRV8509</v>
          </cell>
          <cell r="C2310" t="str">
            <v> </v>
          </cell>
        </row>
        <row r="2311">
          <cell r="B2311" t="str">
            <v>LRV8B64</v>
          </cell>
          <cell r="C2311" t="str">
            <v> </v>
          </cell>
        </row>
        <row r="2312">
          <cell r="B2312" t="str">
            <v>LRV8D30</v>
          </cell>
          <cell r="C2312" t="str">
            <v> </v>
          </cell>
        </row>
        <row r="2313">
          <cell r="B2313" t="str">
            <v>LRX3378</v>
          </cell>
          <cell r="C2313" t="str">
            <v> </v>
          </cell>
        </row>
        <row r="2314">
          <cell r="B2314" t="str">
            <v>LRY9E56</v>
          </cell>
          <cell r="C2314" t="str">
            <v> </v>
          </cell>
        </row>
        <row r="2315">
          <cell r="B2315" t="str">
            <v>LRZ6A08</v>
          </cell>
          <cell r="C2315" t="str">
            <v> </v>
          </cell>
        </row>
        <row r="2316">
          <cell r="B2316" t="str">
            <v>LSB3E19</v>
          </cell>
          <cell r="C2316" t="str">
            <v> </v>
          </cell>
        </row>
        <row r="2317">
          <cell r="B2317" t="str">
            <v>LSB5B88</v>
          </cell>
          <cell r="C2317" t="str">
            <v> </v>
          </cell>
        </row>
        <row r="2318">
          <cell r="B2318" t="str">
            <v>LSB5H89</v>
          </cell>
          <cell r="C2318" t="str">
            <v> </v>
          </cell>
        </row>
        <row r="2319">
          <cell r="B2319" t="str">
            <v>LSB5I07</v>
          </cell>
          <cell r="C2319" t="str">
            <v>Operando</v>
          </cell>
        </row>
        <row r="2320">
          <cell r="B2320" t="str">
            <v>LSB7282</v>
          </cell>
          <cell r="C2320" t="str">
            <v>Operando</v>
          </cell>
        </row>
        <row r="2321">
          <cell r="B2321" t="str">
            <v>LSC3C71</v>
          </cell>
          <cell r="C2321" t="str">
            <v>Operando</v>
          </cell>
        </row>
        <row r="2322">
          <cell r="B2322" t="str">
            <v>LSC6J05</v>
          </cell>
          <cell r="C2322" t="str">
            <v> </v>
          </cell>
        </row>
        <row r="2323">
          <cell r="B2323" t="str">
            <v>LSC9C48</v>
          </cell>
          <cell r="C2323" t="str">
            <v> </v>
          </cell>
        </row>
        <row r="2324">
          <cell r="B2324" t="str">
            <v>LSD7046</v>
          </cell>
          <cell r="C2324" t="str">
            <v> </v>
          </cell>
        </row>
        <row r="2325">
          <cell r="B2325" t="str">
            <v>LSD7H06</v>
          </cell>
          <cell r="C2325" t="str">
            <v>Operando</v>
          </cell>
        </row>
        <row r="2326">
          <cell r="B2326" t="str">
            <v>LSF3I86</v>
          </cell>
          <cell r="C2326" t="str">
            <v> </v>
          </cell>
        </row>
        <row r="2327">
          <cell r="B2327" t="str">
            <v>LSF7448</v>
          </cell>
          <cell r="C2327" t="str">
            <v> </v>
          </cell>
        </row>
        <row r="2328">
          <cell r="B2328" t="str">
            <v>LSF9I42</v>
          </cell>
          <cell r="C2328" t="str">
            <v> </v>
          </cell>
        </row>
        <row r="2329">
          <cell r="B2329" t="str">
            <v>LSG6912</v>
          </cell>
          <cell r="C2329" t="str">
            <v>Operando</v>
          </cell>
        </row>
        <row r="2330">
          <cell r="B2330" t="str">
            <v>LSG6E39</v>
          </cell>
          <cell r="C2330" t="str">
            <v> </v>
          </cell>
        </row>
        <row r="2331">
          <cell r="B2331" t="str">
            <v>LSI3C58</v>
          </cell>
          <cell r="C2331" t="str">
            <v>Operando</v>
          </cell>
        </row>
        <row r="2332">
          <cell r="B2332" t="str">
            <v>LSJ6D07</v>
          </cell>
          <cell r="C2332" t="str">
            <v> </v>
          </cell>
        </row>
        <row r="2333">
          <cell r="B2333" t="str">
            <v>LSL5356</v>
          </cell>
          <cell r="C2333" t="str">
            <v> </v>
          </cell>
        </row>
        <row r="2334">
          <cell r="B2334" t="str">
            <v>LSL8J63</v>
          </cell>
          <cell r="C2334" t="str">
            <v>Operando</v>
          </cell>
        </row>
        <row r="2335">
          <cell r="B2335" t="str">
            <v>LSM3F76</v>
          </cell>
          <cell r="C2335" t="str">
            <v>Operando</v>
          </cell>
        </row>
        <row r="2336">
          <cell r="B2336" t="str">
            <v>LSN5E12</v>
          </cell>
          <cell r="C2336" t="str">
            <v> </v>
          </cell>
        </row>
        <row r="2337">
          <cell r="B2337" t="str">
            <v>LSO2F01</v>
          </cell>
          <cell r="C2337" t="str">
            <v> </v>
          </cell>
        </row>
        <row r="2338">
          <cell r="B2338" t="str">
            <v>LSO4C87</v>
          </cell>
          <cell r="C2338" t="str">
            <v> </v>
          </cell>
        </row>
        <row r="2339">
          <cell r="B2339" t="str">
            <v>LSP8F40</v>
          </cell>
          <cell r="C2339" t="str">
            <v> </v>
          </cell>
        </row>
        <row r="2340">
          <cell r="B2340" t="str">
            <v>LST5F90</v>
          </cell>
          <cell r="C2340" t="str">
            <v> </v>
          </cell>
        </row>
        <row r="2341">
          <cell r="B2341" t="str">
            <v>LTA5I12</v>
          </cell>
          <cell r="C2341" t="str">
            <v> </v>
          </cell>
        </row>
        <row r="2342">
          <cell r="B2342" t="str">
            <v>LTB3G70</v>
          </cell>
          <cell r="C2342" t="str">
            <v> </v>
          </cell>
        </row>
        <row r="2343">
          <cell r="B2343" t="str">
            <v>LTB4F07</v>
          </cell>
          <cell r="C2343" t="str">
            <v> </v>
          </cell>
        </row>
        <row r="2344">
          <cell r="B2344" t="str">
            <v>LTC2575</v>
          </cell>
          <cell r="C2344" t="str">
            <v> </v>
          </cell>
        </row>
        <row r="2345">
          <cell r="B2345" t="str">
            <v>LTC8844</v>
          </cell>
          <cell r="C2345" t="str">
            <v> </v>
          </cell>
        </row>
        <row r="2346">
          <cell r="B2346" t="str">
            <v>LTE8C22</v>
          </cell>
          <cell r="C2346" t="str">
            <v> </v>
          </cell>
        </row>
        <row r="2347">
          <cell r="B2347" t="str">
            <v>LTF4B16</v>
          </cell>
          <cell r="C2347" t="str">
            <v> </v>
          </cell>
        </row>
        <row r="2348">
          <cell r="B2348" t="str">
            <v>LTF6D35</v>
          </cell>
          <cell r="C2348" t="str">
            <v>Operando</v>
          </cell>
        </row>
        <row r="2349">
          <cell r="B2349" t="str">
            <v>LTG7H41</v>
          </cell>
          <cell r="C2349" t="str">
            <v> </v>
          </cell>
        </row>
        <row r="2350">
          <cell r="B2350" t="str">
            <v>LTH5182</v>
          </cell>
          <cell r="C2350" t="str">
            <v> </v>
          </cell>
        </row>
        <row r="2351">
          <cell r="B2351" t="str">
            <v>LTH8I06</v>
          </cell>
          <cell r="C2351" t="str">
            <v> </v>
          </cell>
        </row>
        <row r="2352">
          <cell r="B2352" t="str">
            <v>LTI1495</v>
          </cell>
          <cell r="C2352" t="str">
            <v> </v>
          </cell>
        </row>
        <row r="2353">
          <cell r="B2353" t="str">
            <v>LTJ1F32</v>
          </cell>
          <cell r="C2353" t="str">
            <v>Operando</v>
          </cell>
        </row>
        <row r="2354">
          <cell r="B2354" t="str">
            <v>LTJ2322</v>
          </cell>
          <cell r="C2354" t="str">
            <v> </v>
          </cell>
        </row>
        <row r="2355">
          <cell r="B2355" t="str">
            <v>LTO7H96</v>
          </cell>
          <cell r="C2355" t="str">
            <v> </v>
          </cell>
        </row>
        <row r="2356">
          <cell r="B2356" t="str">
            <v>LTP5C84</v>
          </cell>
          <cell r="C2356" t="str">
            <v> </v>
          </cell>
        </row>
        <row r="2357">
          <cell r="B2357" t="str">
            <v>LTR5A04</v>
          </cell>
          <cell r="C2357" t="str">
            <v> </v>
          </cell>
        </row>
        <row r="2358">
          <cell r="B2358" t="str">
            <v>LTR5F66</v>
          </cell>
          <cell r="C2358" t="str">
            <v> </v>
          </cell>
        </row>
        <row r="2359">
          <cell r="B2359" t="str">
            <v>LTS9H88</v>
          </cell>
          <cell r="C2359" t="str">
            <v>Operando</v>
          </cell>
        </row>
        <row r="2360">
          <cell r="B2360" t="str">
            <v>LTU6J25</v>
          </cell>
          <cell r="C2360" t="str">
            <v> </v>
          </cell>
        </row>
        <row r="2361">
          <cell r="B2361" t="str">
            <v>LTV3G60</v>
          </cell>
          <cell r="C2361" t="str">
            <v> </v>
          </cell>
        </row>
        <row r="2362">
          <cell r="B2362" t="str">
            <v>LTV4516</v>
          </cell>
          <cell r="C2362" t="str">
            <v> </v>
          </cell>
        </row>
        <row r="2363">
          <cell r="B2363" t="str">
            <v>LTX3I60</v>
          </cell>
          <cell r="C2363" t="str">
            <v> </v>
          </cell>
        </row>
        <row r="2364">
          <cell r="B2364" t="str">
            <v>LTX5C80</v>
          </cell>
          <cell r="C2364" t="str">
            <v>Operando</v>
          </cell>
        </row>
        <row r="2365">
          <cell r="B2365" t="str">
            <v>LUA1F40</v>
          </cell>
          <cell r="C2365" t="str">
            <v> </v>
          </cell>
        </row>
        <row r="2366">
          <cell r="B2366" t="str">
            <v>LUD5J98</v>
          </cell>
          <cell r="C2366" t="str">
            <v> </v>
          </cell>
        </row>
        <row r="2367">
          <cell r="B2367" t="str">
            <v>LUF8J26</v>
          </cell>
          <cell r="C2367" t="str">
            <v> </v>
          </cell>
        </row>
        <row r="2368">
          <cell r="B2368" t="str">
            <v>LUH6J54</v>
          </cell>
          <cell r="C2368" t="str">
            <v> </v>
          </cell>
        </row>
        <row r="2369">
          <cell r="B2369" t="str">
            <v>LUI5H44</v>
          </cell>
          <cell r="C2369" t="str">
            <v>Operando</v>
          </cell>
        </row>
        <row r="2370">
          <cell r="B2370" t="str">
            <v>LUJ4F25</v>
          </cell>
          <cell r="C2370" t="str">
            <v> </v>
          </cell>
        </row>
        <row r="2371">
          <cell r="B2371" t="str">
            <v>LUK4A12</v>
          </cell>
          <cell r="C2371" t="str">
            <v> </v>
          </cell>
        </row>
        <row r="2372">
          <cell r="B2372" t="str">
            <v>LUL3B97</v>
          </cell>
          <cell r="C2372" t="str">
            <v> </v>
          </cell>
        </row>
        <row r="2373">
          <cell r="B2373" t="str">
            <v>LUM4H52</v>
          </cell>
          <cell r="C2373" t="str">
            <v> </v>
          </cell>
        </row>
        <row r="2374">
          <cell r="B2374" t="str">
            <v>LUR6407</v>
          </cell>
          <cell r="C2374" t="str">
            <v> </v>
          </cell>
        </row>
        <row r="2375">
          <cell r="B2375" t="str">
            <v>LUT7B62</v>
          </cell>
          <cell r="C2375" t="str">
            <v> </v>
          </cell>
        </row>
        <row r="2376">
          <cell r="B2376" t="str">
            <v>LUW2A61</v>
          </cell>
          <cell r="C2376" t="str">
            <v> </v>
          </cell>
        </row>
        <row r="2377">
          <cell r="B2377" t="str">
            <v>LUX8627</v>
          </cell>
          <cell r="C2377" t="str">
            <v> </v>
          </cell>
        </row>
        <row r="2378">
          <cell r="B2378" t="str">
            <v>LWO3C21</v>
          </cell>
          <cell r="C2378" t="str">
            <v> </v>
          </cell>
        </row>
        <row r="2379">
          <cell r="B2379" t="str">
            <v>LYM2838</v>
          </cell>
          <cell r="C2379" t="str">
            <v> </v>
          </cell>
        </row>
        <row r="2380">
          <cell r="B2380" t="str">
            <v>MAO4J75</v>
          </cell>
          <cell r="C2380" t="str">
            <v> </v>
          </cell>
        </row>
        <row r="2381">
          <cell r="B2381" t="str">
            <v>MBU3B86</v>
          </cell>
          <cell r="C2381" t="str">
            <v> </v>
          </cell>
        </row>
        <row r="2382">
          <cell r="B2382" t="str">
            <v>MCX4I75</v>
          </cell>
          <cell r="C2382" t="str">
            <v> </v>
          </cell>
        </row>
        <row r="2383">
          <cell r="B2383" t="str">
            <v>MDJ4J16</v>
          </cell>
          <cell r="C2383" t="str">
            <v> </v>
          </cell>
        </row>
        <row r="2384">
          <cell r="B2384" t="str">
            <v>MDO4C39</v>
          </cell>
          <cell r="C2384" t="str">
            <v> </v>
          </cell>
        </row>
        <row r="2385">
          <cell r="B2385" t="str">
            <v>MDS8F77</v>
          </cell>
          <cell r="C2385" t="str">
            <v> </v>
          </cell>
        </row>
        <row r="2386">
          <cell r="B2386" t="str">
            <v>MDX2957</v>
          </cell>
          <cell r="C2386" t="str">
            <v>Operando</v>
          </cell>
        </row>
        <row r="2387">
          <cell r="B2387" t="str">
            <v>MEL4B76</v>
          </cell>
          <cell r="C2387" t="str">
            <v> </v>
          </cell>
        </row>
        <row r="2388">
          <cell r="B2388" t="str">
            <v>MEL6350</v>
          </cell>
          <cell r="C2388" t="str">
            <v> </v>
          </cell>
        </row>
        <row r="2389">
          <cell r="B2389" t="str">
            <v>MEO0A83</v>
          </cell>
          <cell r="C2389" t="str">
            <v>Operando</v>
          </cell>
        </row>
        <row r="2390">
          <cell r="B2390" t="str">
            <v>MEV7C38</v>
          </cell>
          <cell r="C2390" t="str">
            <v>Operando</v>
          </cell>
        </row>
        <row r="2391">
          <cell r="B2391" t="str">
            <v>MFF0A53</v>
          </cell>
          <cell r="C2391" t="str">
            <v>Operando</v>
          </cell>
        </row>
        <row r="2392">
          <cell r="B2392" t="str">
            <v>MFG8438</v>
          </cell>
          <cell r="C2392" t="str">
            <v> </v>
          </cell>
        </row>
        <row r="2393">
          <cell r="B2393" t="str">
            <v>MFS9282</v>
          </cell>
          <cell r="C2393" t="str">
            <v>Operando</v>
          </cell>
        </row>
        <row r="2394">
          <cell r="B2394" t="str">
            <v>MFX8I76</v>
          </cell>
          <cell r="C2394" t="str">
            <v> </v>
          </cell>
        </row>
        <row r="2395">
          <cell r="B2395" t="str">
            <v>MFZ4826</v>
          </cell>
          <cell r="C2395" t="str">
            <v> </v>
          </cell>
        </row>
        <row r="2396">
          <cell r="B2396" t="str">
            <v>MFZ5E47</v>
          </cell>
          <cell r="C2396" t="str">
            <v>Operando</v>
          </cell>
        </row>
        <row r="2397">
          <cell r="B2397" t="str">
            <v>MGA2I37</v>
          </cell>
          <cell r="C2397" t="str">
            <v> </v>
          </cell>
        </row>
        <row r="2398">
          <cell r="B2398" t="str">
            <v>MGB4794</v>
          </cell>
          <cell r="C2398" t="str">
            <v>Operando</v>
          </cell>
        </row>
        <row r="2399">
          <cell r="B2399" t="str">
            <v>MGB9E86</v>
          </cell>
          <cell r="C2399" t="str">
            <v> </v>
          </cell>
        </row>
        <row r="2400">
          <cell r="B2400" t="str">
            <v>MGD0J48</v>
          </cell>
          <cell r="C2400" t="str">
            <v>Operando</v>
          </cell>
        </row>
        <row r="2401">
          <cell r="B2401" t="str">
            <v>MGI6A07</v>
          </cell>
          <cell r="C2401" t="str">
            <v>Operando</v>
          </cell>
        </row>
        <row r="2402">
          <cell r="B2402" t="str">
            <v>MGJ5A67</v>
          </cell>
          <cell r="C2402" t="str">
            <v> </v>
          </cell>
        </row>
        <row r="2403">
          <cell r="B2403" t="str">
            <v>MGJ8C89</v>
          </cell>
          <cell r="C2403" t="str">
            <v> </v>
          </cell>
        </row>
        <row r="2404">
          <cell r="B2404" t="str">
            <v>MGK2C58</v>
          </cell>
          <cell r="C2404" t="str">
            <v> </v>
          </cell>
        </row>
        <row r="2405">
          <cell r="B2405" t="str">
            <v>MGL9J95</v>
          </cell>
          <cell r="C2405" t="str">
            <v>Operando</v>
          </cell>
        </row>
        <row r="2406">
          <cell r="B2406" t="str">
            <v>MGM9D37</v>
          </cell>
          <cell r="C2406" t="str">
            <v> </v>
          </cell>
        </row>
        <row r="2407">
          <cell r="B2407" t="str">
            <v>MGN0J65</v>
          </cell>
          <cell r="C2407" t="str">
            <v> </v>
          </cell>
        </row>
        <row r="2408">
          <cell r="B2408" t="str">
            <v>MGN4G04</v>
          </cell>
          <cell r="C2408" t="str">
            <v>Operando</v>
          </cell>
        </row>
        <row r="2409">
          <cell r="B2409" t="str">
            <v>MGP5B39</v>
          </cell>
          <cell r="C2409" t="str">
            <v>Operando</v>
          </cell>
        </row>
        <row r="2410">
          <cell r="B2410" t="str">
            <v>MGS5B98</v>
          </cell>
          <cell r="C2410" t="str">
            <v> </v>
          </cell>
        </row>
        <row r="2411">
          <cell r="B2411" t="str">
            <v>MGT1G69</v>
          </cell>
          <cell r="C2411" t="str">
            <v> </v>
          </cell>
        </row>
        <row r="2412">
          <cell r="B2412" t="str">
            <v>MGU7G05</v>
          </cell>
          <cell r="C2412" t="str">
            <v>Operando</v>
          </cell>
        </row>
        <row r="2413">
          <cell r="B2413" t="str">
            <v>MGY9J36</v>
          </cell>
          <cell r="C2413" t="str">
            <v>Operando</v>
          </cell>
        </row>
        <row r="2414">
          <cell r="B2414" t="str">
            <v>MHA1B66</v>
          </cell>
          <cell r="C2414" t="str">
            <v> </v>
          </cell>
        </row>
        <row r="2415">
          <cell r="B2415" t="str">
            <v>MHJ5A44</v>
          </cell>
          <cell r="C2415" t="str">
            <v> </v>
          </cell>
        </row>
        <row r="2416">
          <cell r="B2416" t="str">
            <v>MHO3F96</v>
          </cell>
          <cell r="C2416" t="str">
            <v> </v>
          </cell>
        </row>
        <row r="2417">
          <cell r="B2417" t="str">
            <v>MHQ5205</v>
          </cell>
          <cell r="C2417" t="str">
            <v> </v>
          </cell>
        </row>
        <row r="2418">
          <cell r="B2418" t="str">
            <v>MHQ5841</v>
          </cell>
          <cell r="C2418" t="str">
            <v> </v>
          </cell>
        </row>
        <row r="2419">
          <cell r="B2419" t="str">
            <v>MHT4G74</v>
          </cell>
          <cell r="C2419" t="str">
            <v> </v>
          </cell>
        </row>
        <row r="2420">
          <cell r="B2420" t="str">
            <v>MHU4D35</v>
          </cell>
          <cell r="C2420" t="str">
            <v> </v>
          </cell>
        </row>
        <row r="2421">
          <cell r="B2421" t="str">
            <v>MHV0E35</v>
          </cell>
          <cell r="C2421" t="str">
            <v> </v>
          </cell>
        </row>
        <row r="2422">
          <cell r="B2422" t="str">
            <v>MHW4F12</v>
          </cell>
          <cell r="C2422" t="str">
            <v> </v>
          </cell>
        </row>
        <row r="2423">
          <cell r="B2423" t="str">
            <v>MHW9J68</v>
          </cell>
          <cell r="C2423" t="str">
            <v> </v>
          </cell>
        </row>
        <row r="2424">
          <cell r="B2424" t="str">
            <v>MHZ2I06</v>
          </cell>
          <cell r="C2424" t="str">
            <v>Operando</v>
          </cell>
        </row>
        <row r="2425">
          <cell r="B2425" t="str">
            <v>MHZ2J29</v>
          </cell>
          <cell r="C2425" t="str">
            <v> </v>
          </cell>
        </row>
        <row r="2426">
          <cell r="B2426" t="str">
            <v>MIB7C12</v>
          </cell>
          <cell r="C2426" t="str">
            <v> </v>
          </cell>
        </row>
        <row r="2427">
          <cell r="B2427" t="str">
            <v>MIH8H53</v>
          </cell>
          <cell r="C2427" t="str">
            <v>Operando</v>
          </cell>
        </row>
        <row r="2428">
          <cell r="B2428" t="str">
            <v>MII4013</v>
          </cell>
          <cell r="C2428" t="str">
            <v> </v>
          </cell>
        </row>
        <row r="2429">
          <cell r="B2429" t="str">
            <v>MIN5I85</v>
          </cell>
          <cell r="C2429" t="str">
            <v> </v>
          </cell>
        </row>
        <row r="2430">
          <cell r="B2430" t="str">
            <v>MIQ2H25</v>
          </cell>
          <cell r="C2430" t="str">
            <v> </v>
          </cell>
        </row>
        <row r="2431">
          <cell r="B2431" t="str">
            <v>MIQ5146</v>
          </cell>
          <cell r="C2431" t="str">
            <v> </v>
          </cell>
        </row>
        <row r="2432">
          <cell r="B2432" t="str">
            <v>MIU2J95</v>
          </cell>
          <cell r="C2432" t="str">
            <v>Operando</v>
          </cell>
        </row>
        <row r="2433">
          <cell r="B2433" t="str">
            <v>MIW8H43</v>
          </cell>
          <cell r="C2433" t="str">
            <v> </v>
          </cell>
        </row>
        <row r="2434">
          <cell r="B2434" t="str">
            <v>MIY2I98</v>
          </cell>
          <cell r="C2434" t="str">
            <v>Operando</v>
          </cell>
        </row>
        <row r="2435">
          <cell r="B2435" t="str">
            <v>MIZ4F91</v>
          </cell>
          <cell r="C2435" t="str">
            <v>Operando</v>
          </cell>
        </row>
        <row r="2436">
          <cell r="B2436" t="str">
            <v>MJE2H01</v>
          </cell>
          <cell r="C2436" t="str">
            <v>Operando</v>
          </cell>
        </row>
        <row r="2437">
          <cell r="B2437" t="str">
            <v>MJF4A35</v>
          </cell>
          <cell r="C2437" t="str">
            <v> </v>
          </cell>
        </row>
        <row r="2438">
          <cell r="B2438" t="str">
            <v>MJF5F28</v>
          </cell>
          <cell r="C2438" t="str">
            <v> </v>
          </cell>
        </row>
        <row r="2439">
          <cell r="B2439" t="str">
            <v>MJG1C52</v>
          </cell>
          <cell r="C2439" t="str">
            <v> </v>
          </cell>
        </row>
        <row r="2440">
          <cell r="B2440" t="str">
            <v>MJJ0E62</v>
          </cell>
          <cell r="C2440" t="str">
            <v> </v>
          </cell>
        </row>
        <row r="2441">
          <cell r="B2441" t="str">
            <v>MJL5A62</v>
          </cell>
          <cell r="C2441" t="str">
            <v> </v>
          </cell>
        </row>
        <row r="2442">
          <cell r="B2442" t="str">
            <v>MJL9G59</v>
          </cell>
          <cell r="C2442" t="str">
            <v> </v>
          </cell>
        </row>
        <row r="2443">
          <cell r="B2443" t="str">
            <v>MJP8C49</v>
          </cell>
          <cell r="C2443" t="str">
            <v> </v>
          </cell>
        </row>
        <row r="2444">
          <cell r="B2444" t="str">
            <v>MJQ0I74</v>
          </cell>
          <cell r="C2444" t="str">
            <v> </v>
          </cell>
        </row>
        <row r="2445">
          <cell r="B2445" t="str">
            <v>MJR6C89</v>
          </cell>
          <cell r="C2445" t="str">
            <v>Operando</v>
          </cell>
        </row>
        <row r="2446">
          <cell r="B2446" t="str">
            <v>MJT1H46</v>
          </cell>
          <cell r="C2446" t="str">
            <v>Operando</v>
          </cell>
        </row>
        <row r="2447">
          <cell r="B2447" t="str">
            <v>MJX8H12</v>
          </cell>
          <cell r="C2447" t="str">
            <v>Carregado</v>
          </cell>
        </row>
        <row r="2448">
          <cell r="B2448" t="str">
            <v>MKA2H65</v>
          </cell>
          <cell r="C2448" t="str">
            <v> </v>
          </cell>
        </row>
        <row r="2449">
          <cell r="B2449" t="str">
            <v>MKB7E00</v>
          </cell>
          <cell r="C2449" t="str">
            <v> </v>
          </cell>
        </row>
        <row r="2450">
          <cell r="B2450" t="str">
            <v>MKF5B44</v>
          </cell>
          <cell r="C2450" t="str">
            <v>Operando</v>
          </cell>
        </row>
        <row r="2451">
          <cell r="B2451" t="str">
            <v>MKJ2G44</v>
          </cell>
          <cell r="C2451" t="str">
            <v> </v>
          </cell>
        </row>
        <row r="2452">
          <cell r="B2452" t="str">
            <v>MKK7E01</v>
          </cell>
          <cell r="C2452" t="str">
            <v>Operando</v>
          </cell>
        </row>
        <row r="2453">
          <cell r="B2453" t="str">
            <v>MKK7F55</v>
          </cell>
          <cell r="C2453" t="str">
            <v>Operando</v>
          </cell>
        </row>
        <row r="2454">
          <cell r="B2454" t="str">
            <v>MKN4349</v>
          </cell>
          <cell r="C2454" t="str">
            <v> </v>
          </cell>
        </row>
        <row r="2455">
          <cell r="B2455" t="str">
            <v>MKO8C64</v>
          </cell>
          <cell r="C2455" t="str">
            <v>Operando</v>
          </cell>
        </row>
        <row r="2456">
          <cell r="B2456" t="str">
            <v>MKO8D81</v>
          </cell>
          <cell r="C2456" t="str">
            <v> </v>
          </cell>
        </row>
        <row r="2457">
          <cell r="B2457" t="str">
            <v>MKQ4H66</v>
          </cell>
          <cell r="C2457" t="str">
            <v>Operando</v>
          </cell>
        </row>
        <row r="2458">
          <cell r="B2458" t="str">
            <v>MKR2A63</v>
          </cell>
          <cell r="C2458" t="str">
            <v> </v>
          </cell>
        </row>
        <row r="2459">
          <cell r="B2459" t="str">
            <v>MKR7G01</v>
          </cell>
          <cell r="C2459" t="str">
            <v> </v>
          </cell>
        </row>
        <row r="2460">
          <cell r="B2460" t="str">
            <v>MKS4J64</v>
          </cell>
          <cell r="C2460" t="str">
            <v> </v>
          </cell>
        </row>
        <row r="2461">
          <cell r="B2461" t="str">
            <v>MKW5G05</v>
          </cell>
          <cell r="C2461" t="str">
            <v> </v>
          </cell>
        </row>
        <row r="2462">
          <cell r="B2462" t="str">
            <v>MKW6E76</v>
          </cell>
          <cell r="C2462" t="str">
            <v>Operando</v>
          </cell>
        </row>
        <row r="2463">
          <cell r="B2463" t="str">
            <v>MKX0I23</v>
          </cell>
          <cell r="C2463" t="str">
            <v> </v>
          </cell>
        </row>
        <row r="2464">
          <cell r="B2464" t="str">
            <v>MKZ7H53</v>
          </cell>
          <cell r="C2464" t="str">
            <v> </v>
          </cell>
        </row>
        <row r="2465">
          <cell r="B2465" t="str">
            <v>MLC2F60</v>
          </cell>
          <cell r="C2465" t="str">
            <v>Operando</v>
          </cell>
        </row>
        <row r="2466">
          <cell r="B2466" t="str">
            <v>MLD5J28</v>
          </cell>
          <cell r="C2466" t="str">
            <v> </v>
          </cell>
        </row>
        <row r="2467">
          <cell r="B2467" t="str">
            <v>MLF9E00</v>
          </cell>
          <cell r="C2467" t="str">
            <v> </v>
          </cell>
        </row>
        <row r="2468">
          <cell r="B2468" t="str">
            <v>MLJ4D46</v>
          </cell>
          <cell r="C2468" t="str">
            <v> </v>
          </cell>
        </row>
        <row r="2469">
          <cell r="B2469" t="str">
            <v>MLL2E69</v>
          </cell>
          <cell r="C2469" t="str">
            <v> </v>
          </cell>
        </row>
        <row r="2470">
          <cell r="B2470" t="str">
            <v>MLL2F64</v>
          </cell>
          <cell r="C2470" t="str">
            <v> </v>
          </cell>
        </row>
        <row r="2471">
          <cell r="B2471" t="str">
            <v>MLL3J79</v>
          </cell>
          <cell r="C2471" t="str">
            <v> </v>
          </cell>
        </row>
        <row r="2472">
          <cell r="B2472" t="str">
            <v>MLN5F42</v>
          </cell>
          <cell r="C2472" t="str">
            <v> </v>
          </cell>
        </row>
        <row r="2473">
          <cell r="B2473" t="str">
            <v>MLN6I21</v>
          </cell>
          <cell r="C2473" t="str">
            <v>Operando</v>
          </cell>
        </row>
        <row r="2474">
          <cell r="B2474" t="str">
            <v>MLN8I13</v>
          </cell>
          <cell r="C2474" t="str">
            <v>Operando</v>
          </cell>
        </row>
        <row r="2475">
          <cell r="B2475" t="str">
            <v>MLQ5C09</v>
          </cell>
          <cell r="C2475" t="str">
            <v>Operando</v>
          </cell>
        </row>
        <row r="2476">
          <cell r="B2476" t="str">
            <v>MLQ6D37</v>
          </cell>
          <cell r="C2476" t="str">
            <v>Operando</v>
          </cell>
        </row>
        <row r="2477">
          <cell r="B2477" t="str">
            <v>MLS1G22</v>
          </cell>
          <cell r="C2477" t="str">
            <v>Operando</v>
          </cell>
        </row>
        <row r="2478">
          <cell r="B2478" t="str">
            <v>MLS7A84</v>
          </cell>
          <cell r="C2478" t="str">
            <v>Operando</v>
          </cell>
        </row>
        <row r="2479">
          <cell r="B2479" t="str">
            <v>MLS8E92</v>
          </cell>
          <cell r="C2479" t="str">
            <v> </v>
          </cell>
        </row>
        <row r="2480">
          <cell r="B2480" t="str">
            <v>MLU4B19</v>
          </cell>
          <cell r="C2480" t="str">
            <v> </v>
          </cell>
        </row>
        <row r="2481">
          <cell r="B2481" t="str">
            <v>MLW0I68</v>
          </cell>
          <cell r="C2481" t="str">
            <v> </v>
          </cell>
        </row>
        <row r="2482">
          <cell r="B2482" t="str">
            <v>MLW5D94</v>
          </cell>
          <cell r="C2482" t="str">
            <v> </v>
          </cell>
        </row>
        <row r="2483">
          <cell r="B2483" t="str">
            <v>MLX0J23</v>
          </cell>
          <cell r="C2483" t="str">
            <v> </v>
          </cell>
        </row>
        <row r="2484">
          <cell r="B2484" t="str">
            <v>MMA4A82</v>
          </cell>
          <cell r="C2484" t="str">
            <v>Operando</v>
          </cell>
        </row>
        <row r="2485">
          <cell r="B2485" t="str">
            <v>MMC7F98</v>
          </cell>
          <cell r="C2485" t="str">
            <v>Operando</v>
          </cell>
        </row>
        <row r="2486">
          <cell r="B2486" t="str">
            <v>MMD9I09</v>
          </cell>
          <cell r="C2486" t="str">
            <v> </v>
          </cell>
        </row>
        <row r="2487">
          <cell r="B2487" t="str">
            <v>MME1D96</v>
          </cell>
          <cell r="C2487" t="str">
            <v> </v>
          </cell>
        </row>
        <row r="2488">
          <cell r="B2488" t="str">
            <v>MMF6262</v>
          </cell>
          <cell r="C2488" t="str">
            <v> </v>
          </cell>
        </row>
        <row r="2489">
          <cell r="B2489" t="str">
            <v>MMJ1E55</v>
          </cell>
          <cell r="C2489" t="str">
            <v>Operando</v>
          </cell>
        </row>
        <row r="2490">
          <cell r="B2490" t="str">
            <v>MMJ7D71</v>
          </cell>
          <cell r="C2490" t="str">
            <v> </v>
          </cell>
        </row>
        <row r="2491">
          <cell r="B2491" t="str">
            <v>MMJ8H20</v>
          </cell>
          <cell r="C2491" t="str">
            <v> </v>
          </cell>
        </row>
        <row r="2492">
          <cell r="B2492" t="str">
            <v>MML8I43</v>
          </cell>
          <cell r="C2492" t="str">
            <v>Operando</v>
          </cell>
        </row>
        <row r="2493">
          <cell r="B2493" t="str">
            <v>MMM2091</v>
          </cell>
          <cell r="C2493" t="str">
            <v> </v>
          </cell>
        </row>
        <row r="2494">
          <cell r="B2494" t="str">
            <v>MQO9076</v>
          </cell>
          <cell r="C2494" t="str">
            <v>Operando</v>
          </cell>
        </row>
        <row r="2495">
          <cell r="B2495" t="str">
            <v>MQZ1F16</v>
          </cell>
          <cell r="C2495" t="str">
            <v> </v>
          </cell>
        </row>
        <row r="2496">
          <cell r="B2496" t="str">
            <v>MRB1B97</v>
          </cell>
          <cell r="C2496" t="str">
            <v> </v>
          </cell>
        </row>
        <row r="2497">
          <cell r="B2497" t="str">
            <v>MRB9893</v>
          </cell>
          <cell r="C2497" t="str">
            <v> </v>
          </cell>
        </row>
        <row r="2498">
          <cell r="B2498" t="str">
            <v>MRR1741</v>
          </cell>
          <cell r="C2498" t="str">
            <v>Operando</v>
          </cell>
        </row>
        <row r="2499">
          <cell r="B2499" t="str">
            <v>MRW3A91</v>
          </cell>
          <cell r="C2499" t="str">
            <v> </v>
          </cell>
        </row>
        <row r="2500">
          <cell r="B2500" t="str">
            <v>MSK7044</v>
          </cell>
          <cell r="C2500" t="str">
            <v> </v>
          </cell>
        </row>
        <row r="2501">
          <cell r="B2501" t="str">
            <v>MSM9539</v>
          </cell>
          <cell r="C2501" t="str">
            <v>Operando</v>
          </cell>
        </row>
        <row r="2502">
          <cell r="B2502" t="str">
            <v>MSS7C89</v>
          </cell>
          <cell r="C2502" t="str">
            <v> </v>
          </cell>
        </row>
        <row r="2503">
          <cell r="B2503" t="str">
            <v>MSS7D68</v>
          </cell>
          <cell r="C2503" t="str">
            <v> </v>
          </cell>
        </row>
        <row r="2504">
          <cell r="B2504" t="str">
            <v>MSW0J78</v>
          </cell>
          <cell r="C2504" t="str">
            <v> </v>
          </cell>
        </row>
        <row r="2505">
          <cell r="B2505" t="str">
            <v>MSW9A93</v>
          </cell>
          <cell r="C2505" t="str">
            <v> </v>
          </cell>
        </row>
        <row r="2506">
          <cell r="B2506" t="str">
            <v>MTA5H73</v>
          </cell>
          <cell r="C2506" t="str">
            <v> </v>
          </cell>
        </row>
        <row r="2507">
          <cell r="B2507" t="str">
            <v>MTB1F52</v>
          </cell>
          <cell r="C2507" t="str">
            <v> </v>
          </cell>
        </row>
        <row r="2508">
          <cell r="B2508" t="str">
            <v>MTB5A61</v>
          </cell>
          <cell r="C2508" t="str">
            <v>Operando</v>
          </cell>
        </row>
        <row r="2509">
          <cell r="B2509" t="str">
            <v>MTK5331</v>
          </cell>
          <cell r="C2509" t="str">
            <v> </v>
          </cell>
        </row>
        <row r="2510">
          <cell r="B2510" t="str">
            <v>MTL4E55</v>
          </cell>
          <cell r="C2510" t="str">
            <v> </v>
          </cell>
        </row>
        <row r="2511">
          <cell r="B2511" t="str">
            <v>MTO0G76</v>
          </cell>
          <cell r="C2511" t="str">
            <v> </v>
          </cell>
        </row>
        <row r="2512">
          <cell r="B2512" t="str">
            <v>MTP7582</v>
          </cell>
          <cell r="C2512" t="str">
            <v> </v>
          </cell>
        </row>
        <row r="2513">
          <cell r="B2513" t="str">
            <v>MTU1B73</v>
          </cell>
          <cell r="C2513" t="str">
            <v> </v>
          </cell>
        </row>
        <row r="2514">
          <cell r="B2514" t="str">
            <v>MWR7F81</v>
          </cell>
          <cell r="C2514" t="str">
            <v>Operando</v>
          </cell>
        </row>
        <row r="2515">
          <cell r="B2515" t="str">
            <v>MWX5239</v>
          </cell>
          <cell r="C2515" t="str">
            <v> </v>
          </cell>
        </row>
        <row r="2516">
          <cell r="B2516" t="str">
            <v>MXF2A83</v>
          </cell>
          <cell r="C2516" t="str">
            <v>Operando</v>
          </cell>
        </row>
        <row r="2517">
          <cell r="B2517" t="str">
            <v>NBA2C53</v>
          </cell>
          <cell r="C2517" t="str">
            <v> </v>
          </cell>
        </row>
        <row r="2518">
          <cell r="B2518" t="str">
            <v>NBA2G66</v>
          </cell>
          <cell r="C2518" t="str">
            <v> </v>
          </cell>
        </row>
        <row r="2519">
          <cell r="B2519" t="str">
            <v>NDK6I99</v>
          </cell>
          <cell r="C2519" t="str">
            <v> </v>
          </cell>
        </row>
        <row r="2520">
          <cell r="B2520" t="str">
            <v>NDQ1I86</v>
          </cell>
          <cell r="C2520" t="str">
            <v> </v>
          </cell>
        </row>
        <row r="2521">
          <cell r="B2521" t="str">
            <v>NET6B45</v>
          </cell>
          <cell r="C2521" t="str">
            <v>Operando</v>
          </cell>
        </row>
        <row r="2522">
          <cell r="B2522" t="str">
            <v>NEZ4F91</v>
          </cell>
          <cell r="C2522" t="str">
            <v> </v>
          </cell>
        </row>
        <row r="2523">
          <cell r="B2523" t="str">
            <v>NGR2A58</v>
          </cell>
          <cell r="C2523" t="str">
            <v> </v>
          </cell>
        </row>
        <row r="2524">
          <cell r="B2524" t="str">
            <v>NHZ0B21</v>
          </cell>
          <cell r="C2524" t="str">
            <v>Operando</v>
          </cell>
        </row>
        <row r="2525">
          <cell r="B2525" t="str">
            <v>NII7708</v>
          </cell>
          <cell r="C2525" t="str">
            <v>Operando</v>
          </cell>
        </row>
        <row r="2526">
          <cell r="B2526" t="str">
            <v>NIK7B59</v>
          </cell>
          <cell r="C2526" t="str">
            <v> </v>
          </cell>
        </row>
        <row r="2527">
          <cell r="B2527" t="str">
            <v>NIS2E32</v>
          </cell>
          <cell r="C2527" t="str">
            <v> </v>
          </cell>
        </row>
        <row r="2528">
          <cell r="B2528" t="str">
            <v>NJE2B31</v>
          </cell>
          <cell r="C2528" t="str">
            <v> </v>
          </cell>
        </row>
        <row r="2529">
          <cell r="B2529" t="str">
            <v>NKA1896</v>
          </cell>
          <cell r="C2529" t="str">
            <v> </v>
          </cell>
        </row>
        <row r="2530">
          <cell r="B2530" t="str">
            <v>NKJ1I30</v>
          </cell>
          <cell r="C2530" t="str">
            <v> </v>
          </cell>
        </row>
        <row r="2531">
          <cell r="B2531" t="str">
            <v>NKP9I01</v>
          </cell>
          <cell r="C2531" t="str">
            <v> </v>
          </cell>
        </row>
        <row r="2532">
          <cell r="B2532" t="str">
            <v>NKY1B44</v>
          </cell>
          <cell r="C2532" t="str">
            <v>Operando</v>
          </cell>
        </row>
        <row r="2533">
          <cell r="B2533" t="str">
            <v>NKY6835</v>
          </cell>
          <cell r="C2533" t="str">
            <v> </v>
          </cell>
        </row>
        <row r="2534">
          <cell r="B2534" t="str">
            <v>NLC7I98</v>
          </cell>
          <cell r="C2534" t="str">
            <v> </v>
          </cell>
        </row>
        <row r="2535">
          <cell r="B2535" t="str">
            <v>NLO9588</v>
          </cell>
          <cell r="C2535" t="str">
            <v>Operando</v>
          </cell>
        </row>
        <row r="2536">
          <cell r="B2536" t="str">
            <v>NML6G46</v>
          </cell>
          <cell r="C2536" t="str">
            <v> </v>
          </cell>
        </row>
        <row r="2537">
          <cell r="B2537" t="str">
            <v>NMU8B90</v>
          </cell>
          <cell r="C2537" t="str">
            <v> </v>
          </cell>
        </row>
        <row r="2538">
          <cell r="B2538" t="str">
            <v>NMV1F20</v>
          </cell>
          <cell r="C2538" t="str">
            <v> </v>
          </cell>
        </row>
        <row r="2539">
          <cell r="B2539" t="str">
            <v>NNE0C11</v>
          </cell>
          <cell r="C2539" t="str">
            <v> </v>
          </cell>
        </row>
        <row r="2540">
          <cell r="B2540" t="str">
            <v>NNI8F03</v>
          </cell>
          <cell r="C2540" t="str">
            <v> </v>
          </cell>
        </row>
        <row r="2541">
          <cell r="B2541" t="str">
            <v>NNU6F47</v>
          </cell>
          <cell r="C2541" t="str">
            <v> </v>
          </cell>
        </row>
        <row r="2542">
          <cell r="B2542" t="str">
            <v>NOM4D31</v>
          </cell>
          <cell r="C2542" t="str">
            <v> </v>
          </cell>
        </row>
        <row r="2543">
          <cell r="B2543" t="str">
            <v>NOO1D50</v>
          </cell>
          <cell r="C2543" t="str">
            <v> </v>
          </cell>
        </row>
        <row r="2544">
          <cell r="B2544" t="str">
            <v>NOT5E51</v>
          </cell>
          <cell r="C2544" t="str">
            <v> </v>
          </cell>
        </row>
        <row r="2545">
          <cell r="B2545" t="str">
            <v>NOW4F59</v>
          </cell>
          <cell r="C2545" t="str">
            <v>Operando</v>
          </cell>
        </row>
        <row r="2546">
          <cell r="B2546" t="str">
            <v>NPB5071</v>
          </cell>
          <cell r="C2546" t="str">
            <v> </v>
          </cell>
        </row>
        <row r="2547">
          <cell r="B2547" t="str">
            <v>NPF1266</v>
          </cell>
          <cell r="C2547" t="str">
            <v> </v>
          </cell>
        </row>
        <row r="2548">
          <cell r="B2548" t="str">
            <v>NPL6B03</v>
          </cell>
          <cell r="C2548" t="str">
            <v>Carregado</v>
          </cell>
        </row>
        <row r="2549">
          <cell r="B2549" t="str">
            <v>NPL9A62</v>
          </cell>
          <cell r="C2549" t="str">
            <v> </v>
          </cell>
        </row>
        <row r="2550">
          <cell r="B2550" t="str">
            <v>NQX3650</v>
          </cell>
          <cell r="C2550" t="str">
            <v> </v>
          </cell>
        </row>
        <row r="2551">
          <cell r="B2551" t="str">
            <v>NQX4258</v>
          </cell>
          <cell r="C2551" t="str">
            <v> </v>
          </cell>
        </row>
        <row r="2552">
          <cell r="B2552" t="str">
            <v>NRC0I00</v>
          </cell>
          <cell r="C2552" t="str">
            <v> </v>
          </cell>
        </row>
        <row r="2553">
          <cell r="B2553" t="str">
            <v>NRC2D35</v>
          </cell>
          <cell r="C2553" t="str">
            <v>Operando</v>
          </cell>
        </row>
        <row r="2554">
          <cell r="B2554" t="str">
            <v>NRF9908</v>
          </cell>
          <cell r="C2554" t="str">
            <v> </v>
          </cell>
        </row>
        <row r="2555">
          <cell r="B2555" t="str">
            <v>NRH9266</v>
          </cell>
          <cell r="C2555" t="str">
            <v> </v>
          </cell>
        </row>
        <row r="2556">
          <cell r="B2556" t="str">
            <v>NRL4J29</v>
          </cell>
          <cell r="C2556" t="str">
            <v> </v>
          </cell>
        </row>
        <row r="2557">
          <cell r="B2557" t="str">
            <v>NRL6966</v>
          </cell>
          <cell r="C2557" t="str">
            <v>Operando</v>
          </cell>
        </row>
        <row r="2558">
          <cell r="B2558" t="str">
            <v>NRN0652</v>
          </cell>
          <cell r="C2558" t="str">
            <v> </v>
          </cell>
        </row>
        <row r="2559">
          <cell r="B2559" t="str">
            <v>NRN4415</v>
          </cell>
          <cell r="C2559" t="str">
            <v> </v>
          </cell>
        </row>
        <row r="2560">
          <cell r="B2560" t="str">
            <v>NRN7710</v>
          </cell>
          <cell r="C2560" t="str">
            <v> </v>
          </cell>
        </row>
        <row r="2561">
          <cell r="B2561" t="str">
            <v>NRP6C88</v>
          </cell>
          <cell r="C2561" t="str">
            <v> </v>
          </cell>
        </row>
        <row r="2562">
          <cell r="B2562" t="str">
            <v>NRS5C02</v>
          </cell>
          <cell r="C2562" t="str">
            <v>Operando</v>
          </cell>
        </row>
        <row r="2563">
          <cell r="B2563" t="str">
            <v>NRY7D54</v>
          </cell>
          <cell r="C2563" t="str">
            <v> </v>
          </cell>
        </row>
        <row r="2564">
          <cell r="B2564" t="str">
            <v>NRZ2A77</v>
          </cell>
          <cell r="C2564" t="str">
            <v> </v>
          </cell>
        </row>
        <row r="2565">
          <cell r="B2565" t="str">
            <v>NSA1E55</v>
          </cell>
          <cell r="C2565" t="str">
            <v> </v>
          </cell>
        </row>
        <row r="2566">
          <cell r="B2566" t="str">
            <v>NSA8B72</v>
          </cell>
          <cell r="C2566" t="str">
            <v> </v>
          </cell>
        </row>
        <row r="2567">
          <cell r="B2567" t="str">
            <v>NSB2J70</v>
          </cell>
          <cell r="C2567" t="str">
            <v>Operando</v>
          </cell>
        </row>
        <row r="2568">
          <cell r="B2568" t="str">
            <v>NSE7D37</v>
          </cell>
          <cell r="C2568" t="str">
            <v> </v>
          </cell>
        </row>
        <row r="2569">
          <cell r="B2569" t="str">
            <v>NSY0A29</v>
          </cell>
          <cell r="C2569" t="str">
            <v>Operando</v>
          </cell>
        </row>
        <row r="2570">
          <cell r="B2570" t="str">
            <v>NTB0C66</v>
          </cell>
          <cell r="C2570" t="str">
            <v> </v>
          </cell>
        </row>
        <row r="2571">
          <cell r="B2571" t="str">
            <v>NTF1311</v>
          </cell>
          <cell r="C2571" t="str">
            <v>Operando</v>
          </cell>
        </row>
        <row r="2572">
          <cell r="B2572" t="str">
            <v>NTG5F42</v>
          </cell>
          <cell r="C2572" t="str">
            <v>Agregado</v>
          </cell>
        </row>
        <row r="2573">
          <cell r="B2573" t="str">
            <v>NTN4659</v>
          </cell>
          <cell r="C2573" t="str">
            <v> </v>
          </cell>
        </row>
        <row r="2574">
          <cell r="B2574" t="str">
            <v>NTO7B24</v>
          </cell>
          <cell r="C2574" t="str">
            <v>Operando</v>
          </cell>
        </row>
        <row r="2575">
          <cell r="B2575" t="str">
            <v>NTS2E57</v>
          </cell>
          <cell r="C2575" t="str">
            <v>Agregado</v>
          </cell>
        </row>
        <row r="2576">
          <cell r="B2576" t="str">
            <v>NTT6E37</v>
          </cell>
          <cell r="C2576" t="str">
            <v> </v>
          </cell>
        </row>
        <row r="2577">
          <cell r="B2577" t="str">
            <v>NTU5820</v>
          </cell>
          <cell r="C2577" t="str">
            <v>Operando</v>
          </cell>
        </row>
        <row r="2578">
          <cell r="B2578" t="str">
            <v>NTW5G71</v>
          </cell>
          <cell r="C2578" t="str">
            <v> </v>
          </cell>
        </row>
        <row r="2579">
          <cell r="B2579" t="str">
            <v>NUH5H99</v>
          </cell>
          <cell r="C2579" t="str">
            <v> </v>
          </cell>
        </row>
        <row r="2580">
          <cell r="B2580" t="str">
            <v>NUQ6987</v>
          </cell>
          <cell r="C2580" t="str">
            <v> </v>
          </cell>
        </row>
        <row r="2581">
          <cell r="B2581" t="str">
            <v>NVE4E90</v>
          </cell>
          <cell r="C2581" t="str">
            <v>Operando</v>
          </cell>
        </row>
        <row r="2582">
          <cell r="B2582" t="str">
            <v>NVO3E09</v>
          </cell>
          <cell r="C2582" t="str">
            <v>Operando</v>
          </cell>
        </row>
        <row r="2583">
          <cell r="B2583" t="str">
            <v>NVO6G77</v>
          </cell>
          <cell r="C2583" t="str">
            <v> </v>
          </cell>
        </row>
        <row r="2584">
          <cell r="B2584" t="str">
            <v>NVX7G07</v>
          </cell>
          <cell r="C2584" t="str">
            <v> </v>
          </cell>
        </row>
        <row r="2585">
          <cell r="B2585" t="str">
            <v>NVY9444</v>
          </cell>
          <cell r="C2585" t="str">
            <v>Operando</v>
          </cell>
        </row>
        <row r="2586">
          <cell r="B2586" t="str">
            <v>NWC1J16</v>
          </cell>
          <cell r="C2586" t="str">
            <v> </v>
          </cell>
        </row>
        <row r="2587">
          <cell r="B2587" t="str">
            <v>NWE5A90</v>
          </cell>
          <cell r="C2587" t="str">
            <v> </v>
          </cell>
        </row>
        <row r="2588">
          <cell r="B2588" t="str">
            <v>NWE8C66</v>
          </cell>
          <cell r="C2588" t="str">
            <v>Operando</v>
          </cell>
        </row>
        <row r="2589">
          <cell r="B2589" t="str">
            <v>NWP6D60</v>
          </cell>
          <cell r="C2589" t="str">
            <v> </v>
          </cell>
        </row>
        <row r="2590">
          <cell r="B2590" t="str">
            <v>NWQ0G45</v>
          </cell>
          <cell r="C2590" t="str">
            <v>Operando</v>
          </cell>
        </row>
        <row r="2591">
          <cell r="B2591" t="str">
            <v>NWQ1A18</v>
          </cell>
          <cell r="C2591" t="str">
            <v> </v>
          </cell>
        </row>
        <row r="2592">
          <cell r="B2592" t="str">
            <v>NWR1E60</v>
          </cell>
          <cell r="C2592" t="str">
            <v>Operando</v>
          </cell>
        </row>
        <row r="2593">
          <cell r="B2593" t="str">
            <v>NWW7B85</v>
          </cell>
          <cell r="C2593" t="str">
            <v> </v>
          </cell>
        </row>
        <row r="2594">
          <cell r="B2594" t="str">
            <v>NWZ7932</v>
          </cell>
          <cell r="C2594" t="str">
            <v> </v>
          </cell>
        </row>
        <row r="2595">
          <cell r="B2595" t="str">
            <v>NWZ9142</v>
          </cell>
          <cell r="C2595" t="str">
            <v> </v>
          </cell>
        </row>
        <row r="2596">
          <cell r="B2596" t="str">
            <v>NWZ9I42</v>
          </cell>
          <cell r="C2596" t="str">
            <v> </v>
          </cell>
        </row>
        <row r="2597">
          <cell r="B2597" t="str">
            <v>NXC2A39</v>
          </cell>
          <cell r="C2597" t="str">
            <v> </v>
          </cell>
        </row>
        <row r="2598">
          <cell r="B2598" t="str">
            <v>NXC3766</v>
          </cell>
          <cell r="C2598" t="str">
            <v> </v>
          </cell>
        </row>
        <row r="2599">
          <cell r="B2599" t="str">
            <v>NXF2786</v>
          </cell>
          <cell r="C2599" t="str">
            <v> </v>
          </cell>
        </row>
        <row r="2600">
          <cell r="B2600" t="str">
            <v>NXF9F00</v>
          </cell>
          <cell r="C2600" t="str">
            <v>Operando</v>
          </cell>
        </row>
        <row r="2601">
          <cell r="B2601" t="str">
            <v>NXJ8D83</v>
          </cell>
          <cell r="C2601" t="str">
            <v>Operando</v>
          </cell>
        </row>
        <row r="2602">
          <cell r="B2602" t="str">
            <v>NXJ9I04</v>
          </cell>
          <cell r="C2602" t="str">
            <v> </v>
          </cell>
        </row>
        <row r="2603">
          <cell r="B2603" t="str">
            <v>NXN9E03</v>
          </cell>
          <cell r="C2603" t="str">
            <v> </v>
          </cell>
        </row>
        <row r="2604">
          <cell r="B2604" t="str">
            <v>NXQ4258</v>
          </cell>
          <cell r="C2604" t="str">
            <v> </v>
          </cell>
        </row>
        <row r="2605">
          <cell r="B2605" t="str">
            <v>NXV0G31</v>
          </cell>
          <cell r="C2605" t="str">
            <v> </v>
          </cell>
        </row>
        <row r="2606">
          <cell r="B2606" t="str">
            <v>NXY4J43</v>
          </cell>
          <cell r="C2606" t="str">
            <v>Operando</v>
          </cell>
        </row>
        <row r="2607">
          <cell r="B2607" t="str">
            <v>NYB3C15</v>
          </cell>
          <cell r="C2607" t="str">
            <v>Operando</v>
          </cell>
        </row>
        <row r="2608">
          <cell r="B2608" t="str">
            <v>NYC1F39</v>
          </cell>
          <cell r="C2608" t="str">
            <v>Operando</v>
          </cell>
        </row>
        <row r="2609">
          <cell r="B2609" t="str">
            <v>NYD9D53</v>
          </cell>
          <cell r="C2609" t="str">
            <v> </v>
          </cell>
        </row>
        <row r="2610">
          <cell r="B2610" t="str">
            <v>NYE6084</v>
          </cell>
          <cell r="C2610" t="str">
            <v> </v>
          </cell>
        </row>
        <row r="2611">
          <cell r="B2611" t="str">
            <v>NYF5941</v>
          </cell>
          <cell r="C2611" t="str">
            <v> </v>
          </cell>
        </row>
        <row r="2612">
          <cell r="B2612" t="str">
            <v>NYL5G28</v>
          </cell>
          <cell r="C2612" t="str">
            <v>Agregado</v>
          </cell>
        </row>
        <row r="2613">
          <cell r="B2613" t="str">
            <v>NYM5C41</v>
          </cell>
          <cell r="C2613" t="str">
            <v> </v>
          </cell>
        </row>
        <row r="2614">
          <cell r="B2614" t="str">
            <v>NYR7333</v>
          </cell>
          <cell r="C2614" t="str">
            <v>Operando</v>
          </cell>
        </row>
        <row r="2615">
          <cell r="B2615" t="str">
            <v>NYS8280</v>
          </cell>
          <cell r="C2615" t="str">
            <v>Operando</v>
          </cell>
        </row>
        <row r="2616">
          <cell r="B2616" t="str">
            <v>NYT9I55</v>
          </cell>
          <cell r="C2616" t="str">
            <v> </v>
          </cell>
        </row>
        <row r="2617">
          <cell r="B2617" t="str">
            <v>NYU4H32</v>
          </cell>
          <cell r="C2617" t="str">
            <v>Operando</v>
          </cell>
        </row>
        <row r="2618">
          <cell r="B2618" t="str">
            <v>NYU6B09</v>
          </cell>
          <cell r="C2618" t="str">
            <v>Operando</v>
          </cell>
        </row>
        <row r="2619">
          <cell r="B2619" t="str">
            <v>NYY7040</v>
          </cell>
          <cell r="C2619" t="str">
            <v> </v>
          </cell>
        </row>
        <row r="2620">
          <cell r="B2620" t="str">
            <v>NYZ9D63</v>
          </cell>
          <cell r="C2620" t="str">
            <v> </v>
          </cell>
        </row>
        <row r="2621">
          <cell r="B2621" t="str">
            <v>NZG6710</v>
          </cell>
          <cell r="C2621" t="str">
            <v>Operando</v>
          </cell>
        </row>
        <row r="2622">
          <cell r="B2622" t="str">
            <v>NZO9913</v>
          </cell>
          <cell r="C2622" t="str">
            <v>Agregado</v>
          </cell>
        </row>
        <row r="2623">
          <cell r="B2623" t="str">
            <v>NZR2A77</v>
          </cell>
          <cell r="C2623" t="str">
            <v> </v>
          </cell>
        </row>
        <row r="2624">
          <cell r="B2624" t="str">
            <v>NZR7179</v>
          </cell>
          <cell r="C2624" t="str">
            <v>Operando</v>
          </cell>
        </row>
        <row r="2625">
          <cell r="B2625" t="str">
            <v>NZY4921</v>
          </cell>
          <cell r="C2625" t="str">
            <v>Operando</v>
          </cell>
        </row>
        <row r="2626">
          <cell r="B2626" t="str">
            <v>OAL0A59</v>
          </cell>
          <cell r="C2626" t="str">
            <v>Operando</v>
          </cell>
        </row>
        <row r="2627">
          <cell r="B2627" t="str">
            <v>OAT3B94</v>
          </cell>
          <cell r="C2627" t="str">
            <v>Operando</v>
          </cell>
        </row>
        <row r="2628">
          <cell r="B2628" t="str">
            <v>OBB8600</v>
          </cell>
          <cell r="C2628" t="str">
            <v>Operando</v>
          </cell>
        </row>
        <row r="2629">
          <cell r="B2629" t="str">
            <v>OBC7I68</v>
          </cell>
          <cell r="C2629" t="str">
            <v> </v>
          </cell>
        </row>
        <row r="2630">
          <cell r="B2630" t="str">
            <v>OBQ8517</v>
          </cell>
          <cell r="C2630" t="str">
            <v> </v>
          </cell>
        </row>
        <row r="2631">
          <cell r="B2631" t="str">
            <v>OCB6918</v>
          </cell>
          <cell r="C2631" t="str">
            <v> </v>
          </cell>
        </row>
        <row r="2632">
          <cell r="B2632" t="str">
            <v>OCD4H86</v>
          </cell>
          <cell r="C2632" t="str">
            <v> </v>
          </cell>
        </row>
        <row r="2633">
          <cell r="B2633" t="str">
            <v>OCG4369</v>
          </cell>
          <cell r="C2633" t="str">
            <v> </v>
          </cell>
        </row>
        <row r="2634">
          <cell r="B2634" t="str">
            <v>OCN2668</v>
          </cell>
          <cell r="C2634" t="str">
            <v> </v>
          </cell>
        </row>
        <row r="2635">
          <cell r="B2635" t="str">
            <v>OCT8B17</v>
          </cell>
          <cell r="C2635" t="str">
            <v> </v>
          </cell>
        </row>
        <row r="2636">
          <cell r="B2636" t="str">
            <v>OCW4D07</v>
          </cell>
          <cell r="C2636" t="str">
            <v> </v>
          </cell>
        </row>
        <row r="2637">
          <cell r="B2637" t="str">
            <v>OCY9862</v>
          </cell>
          <cell r="C2637" t="str">
            <v> </v>
          </cell>
        </row>
        <row r="2638">
          <cell r="B2638" t="str">
            <v>OCZ7J60</v>
          </cell>
          <cell r="C2638" t="str">
            <v> </v>
          </cell>
        </row>
        <row r="2639">
          <cell r="B2639" t="str">
            <v>ODA6B30</v>
          </cell>
          <cell r="C2639" t="str">
            <v> </v>
          </cell>
        </row>
        <row r="2640">
          <cell r="B2640" t="str">
            <v>ODC0A95</v>
          </cell>
          <cell r="C2640" t="str">
            <v> </v>
          </cell>
        </row>
        <row r="2641">
          <cell r="B2641" t="str">
            <v>ODC5847</v>
          </cell>
          <cell r="C2641" t="str">
            <v> </v>
          </cell>
        </row>
        <row r="2642">
          <cell r="B2642" t="str">
            <v>ODC8I24</v>
          </cell>
          <cell r="C2642" t="str">
            <v> </v>
          </cell>
        </row>
        <row r="2643">
          <cell r="B2643" t="str">
            <v>ODD3I91</v>
          </cell>
          <cell r="C2643" t="str">
            <v> </v>
          </cell>
        </row>
        <row r="2644">
          <cell r="B2644" t="str">
            <v>ODG0E47</v>
          </cell>
          <cell r="C2644" t="str">
            <v>Operando</v>
          </cell>
        </row>
        <row r="2645">
          <cell r="B2645" t="str">
            <v>ODGOE47</v>
          </cell>
          <cell r="C2645" t="str">
            <v> </v>
          </cell>
        </row>
        <row r="2646">
          <cell r="B2646" t="str">
            <v>ODH0H67</v>
          </cell>
          <cell r="C2646" t="str">
            <v> </v>
          </cell>
        </row>
        <row r="2647">
          <cell r="B2647" t="str">
            <v>ODH4265</v>
          </cell>
          <cell r="C2647" t="str">
            <v>Operando</v>
          </cell>
        </row>
        <row r="2648">
          <cell r="B2648" t="str">
            <v>ODH6B16</v>
          </cell>
          <cell r="C2648" t="str">
            <v> </v>
          </cell>
        </row>
        <row r="2649">
          <cell r="B2649" t="str">
            <v>ODL7736</v>
          </cell>
          <cell r="C2649" t="str">
            <v> </v>
          </cell>
        </row>
        <row r="2650">
          <cell r="B2650" t="str">
            <v>ODM2G53</v>
          </cell>
          <cell r="C2650" t="str">
            <v>Operando</v>
          </cell>
        </row>
        <row r="2651">
          <cell r="B2651" t="str">
            <v>ODP3844</v>
          </cell>
          <cell r="C2651" t="str">
            <v>Operando</v>
          </cell>
        </row>
        <row r="2652">
          <cell r="B2652" t="str">
            <v>ODP5A75</v>
          </cell>
          <cell r="C2652" t="str">
            <v> </v>
          </cell>
        </row>
        <row r="2653">
          <cell r="B2653" t="str">
            <v>ODQ5C16</v>
          </cell>
          <cell r="C2653" t="str">
            <v>Operando</v>
          </cell>
        </row>
        <row r="2654">
          <cell r="B2654" t="str">
            <v>OEL8J75</v>
          </cell>
          <cell r="C2654" t="str">
            <v>Operando</v>
          </cell>
        </row>
        <row r="2655">
          <cell r="B2655" t="str">
            <v>OEU3F48</v>
          </cell>
          <cell r="C2655" t="str">
            <v> </v>
          </cell>
        </row>
        <row r="2656">
          <cell r="B2656" t="str">
            <v>OFL4E93</v>
          </cell>
          <cell r="C2656" t="str">
            <v> </v>
          </cell>
        </row>
        <row r="2657">
          <cell r="B2657" t="str">
            <v>OGI2F57</v>
          </cell>
          <cell r="C2657" t="str">
            <v> </v>
          </cell>
        </row>
        <row r="2658">
          <cell r="B2658" t="str">
            <v>OGL9680</v>
          </cell>
          <cell r="C2658" t="str">
            <v> </v>
          </cell>
        </row>
        <row r="2659">
          <cell r="B2659" t="str">
            <v>OGP0H33</v>
          </cell>
          <cell r="C2659" t="str">
            <v> </v>
          </cell>
        </row>
        <row r="2660">
          <cell r="B2660" t="str">
            <v>OGQ6F03</v>
          </cell>
          <cell r="C2660" t="str">
            <v> </v>
          </cell>
        </row>
        <row r="2661">
          <cell r="B2661" t="str">
            <v>OGS8F00</v>
          </cell>
          <cell r="C2661" t="str">
            <v> </v>
          </cell>
        </row>
        <row r="2662">
          <cell r="B2662" t="str">
            <v>OGZ8G39</v>
          </cell>
          <cell r="C2662" t="str">
            <v> </v>
          </cell>
        </row>
        <row r="2663">
          <cell r="B2663" t="str">
            <v>OHA9J04</v>
          </cell>
          <cell r="C2663" t="str">
            <v> </v>
          </cell>
        </row>
        <row r="2664">
          <cell r="B2664" t="str">
            <v>OHC0H58</v>
          </cell>
          <cell r="C2664" t="str">
            <v> </v>
          </cell>
        </row>
        <row r="2665">
          <cell r="B2665" t="str">
            <v>OHL4C00</v>
          </cell>
          <cell r="C2665" t="str">
            <v> </v>
          </cell>
        </row>
        <row r="2666">
          <cell r="B2666" t="str">
            <v>OHQ6B69</v>
          </cell>
          <cell r="C2666" t="str">
            <v> </v>
          </cell>
        </row>
        <row r="2667">
          <cell r="B2667" t="str">
            <v>OIA3I04</v>
          </cell>
          <cell r="C2667" t="str">
            <v> </v>
          </cell>
        </row>
        <row r="2668">
          <cell r="B2668" t="str">
            <v>OIE0G61</v>
          </cell>
          <cell r="C2668" t="str">
            <v>Operando</v>
          </cell>
        </row>
        <row r="2669">
          <cell r="B2669" t="str">
            <v>OIE7G06</v>
          </cell>
          <cell r="C2669" t="str">
            <v> </v>
          </cell>
        </row>
        <row r="2670">
          <cell r="B2670" t="str">
            <v>OIF3I72</v>
          </cell>
          <cell r="C2670" t="str">
            <v> </v>
          </cell>
        </row>
        <row r="2671">
          <cell r="B2671" t="str">
            <v>OIG1A61</v>
          </cell>
          <cell r="C2671" t="str">
            <v> </v>
          </cell>
        </row>
        <row r="2672">
          <cell r="B2672" t="str">
            <v>OIH6A66</v>
          </cell>
          <cell r="C2672" t="str">
            <v>Operando</v>
          </cell>
        </row>
        <row r="2673">
          <cell r="B2673" t="str">
            <v>OIK0F01</v>
          </cell>
          <cell r="C2673" t="str">
            <v> </v>
          </cell>
        </row>
        <row r="2674">
          <cell r="B2674" t="str">
            <v>OIO8E53</v>
          </cell>
          <cell r="C2674" t="str">
            <v>Operando</v>
          </cell>
        </row>
        <row r="2675">
          <cell r="B2675" t="str">
            <v>OIQ2696</v>
          </cell>
          <cell r="C2675" t="str">
            <v> </v>
          </cell>
        </row>
        <row r="2676">
          <cell r="B2676" t="str">
            <v>OIV0B42</v>
          </cell>
          <cell r="C2676" t="str">
            <v> </v>
          </cell>
        </row>
        <row r="2677">
          <cell r="B2677" t="str">
            <v>OIW0B95</v>
          </cell>
          <cell r="C2677" t="str">
            <v>Operando</v>
          </cell>
        </row>
        <row r="2678">
          <cell r="B2678" t="str">
            <v>OIY5D45</v>
          </cell>
          <cell r="C2678" t="str">
            <v> </v>
          </cell>
        </row>
        <row r="2679">
          <cell r="B2679" t="str">
            <v>OJC4C47</v>
          </cell>
          <cell r="C2679" t="str">
            <v>Operando</v>
          </cell>
        </row>
        <row r="2680">
          <cell r="B2680" t="str">
            <v>OJC8172</v>
          </cell>
          <cell r="C2680" t="str">
            <v>Operando</v>
          </cell>
        </row>
        <row r="2681">
          <cell r="B2681" t="str">
            <v>OJE2J19</v>
          </cell>
          <cell r="C2681" t="str">
            <v> </v>
          </cell>
        </row>
        <row r="2682">
          <cell r="B2682" t="str">
            <v>OJI3359</v>
          </cell>
          <cell r="C2682" t="str">
            <v>Operando</v>
          </cell>
        </row>
        <row r="2683">
          <cell r="B2683" t="str">
            <v>OJL4964</v>
          </cell>
          <cell r="C2683" t="str">
            <v> </v>
          </cell>
        </row>
        <row r="2684">
          <cell r="B2684" t="str">
            <v>OJO4860</v>
          </cell>
          <cell r="C2684" t="str">
            <v> </v>
          </cell>
        </row>
        <row r="2685">
          <cell r="B2685" t="str">
            <v>OKG0D60</v>
          </cell>
          <cell r="C2685" t="str">
            <v> </v>
          </cell>
        </row>
        <row r="2686">
          <cell r="B2686" t="str">
            <v>OKG9J08</v>
          </cell>
          <cell r="C2686" t="str">
            <v>Operando</v>
          </cell>
        </row>
        <row r="2687">
          <cell r="B2687" t="str">
            <v>OKH8A09</v>
          </cell>
          <cell r="C2687" t="str">
            <v> </v>
          </cell>
        </row>
        <row r="2688">
          <cell r="B2688" t="str">
            <v>OKO4D98</v>
          </cell>
          <cell r="C2688" t="str">
            <v> </v>
          </cell>
        </row>
        <row r="2689">
          <cell r="B2689" t="str">
            <v>OKO8A29</v>
          </cell>
          <cell r="C2689" t="str">
            <v>Operando</v>
          </cell>
        </row>
        <row r="2690">
          <cell r="B2690" t="str">
            <v>OKQ1413</v>
          </cell>
          <cell r="C2690" t="str">
            <v> </v>
          </cell>
        </row>
        <row r="2691">
          <cell r="B2691" t="str">
            <v>OKQ6C59</v>
          </cell>
          <cell r="C2691" t="str">
            <v>Operando</v>
          </cell>
        </row>
        <row r="2692">
          <cell r="B2692" t="str">
            <v>OKU3E10</v>
          </cell>
          <cell r="C2692" t="str">
            <v> </v>
          </cell>
        </row>
        <row r="2693">
          <cell r="B2693" t="str">
            <v>OKV1018</v>
          </cell>
          <cell r="C2693" t="str">
            <v> </v>
          </cell>
        </row>
        <row r="2694">
          <cell r="B2694" t="str">
            <v>OKX0E94</v>
          </cell>
          <cell r="C2694" t="str">
            <v> </v>
          </cell>
        </row>
        <row r="2695">
          <cell r="B2695" t="str">
            <v>OKX2187</v>
          </cell>
          <cell r="C2695" t="str">
            <v> </v>
          </cell>
        </row>
        <row r="2696">
          <cell r="B2696" t="str">
            <v>OKX3312</v>
          </cell>
          <cell r="C2696" t="str">
            <v>Operando</v>
          </cell>
        </row>
        <row r="2697">
          <cell r="B2697" t="str">
            <v>OKX7B49</v>
          </cell>
          <cell r="C2697" t="str">
            <v> </v>
          </cell>
        </row>
        <row r="2698">
          <cell r="B2698" t="str">
            <v>OLC6272</v>
          </cell>
          <cell r="C2698" t="str">
            <v> </v>
          </cell>
        </row>
        <row r="2699">
          <cell r="B2699" t="str">
            <v>OLE1H68</v>
          </cell>
          <cell r="C2699" t="str">
            <v> </v>
          </cell>
        </row>
        <row r="2700">
          <cell r="B2700" t="str">
            <v>OLK7C15</v>
          </cell>
          <cell r="C2700" t="str">
            <v>Operando</v>
          </cell>
        </row>
        <row r="2701">
          <cell r="B2701" t="str">
            <v>OLN3J29</v>
          </cell>
          <cell r="C2701" t="str">
            <v>Operando</v>
          </cell>
        </row>
        <row r="2702">
          <cell r="B2702" t="str">
            <v>OLO4D47</v>
          </cell>
          <cell r="C2702" t="str">
            <v>Operando</v>
          </cell>
        </row>
        <row r="2703">
          <cell r="B2703" t="str">
            <v>OLQ6D59</v>
          </cell>
          <cell r="C2703" t="str">
            <v> </v>
          </cell>
        </row>
        <row r="2704">
          <cell r="B2704" t="str">
            <v>OLR0B93</v>
          </cell>
          <cell r="C2704" t="str">
            <v> </v>
          </cell>
        </row>
        <row r="2705">
          <cell r="B2705" t="str">
            <v>OLS6G83</v>
          </cell>
          <cell r="C2705" t="str">
            <v> </v>
          </cell>
        </row>
        <row r="2706">
          <cell r="B2706" t="str">
            <v>OLS7367</v>
          </cell>
          <cell r="C2706" t="str">
            <v> </v>
          </cell>
        </row>
        <row r="2707">
          <cell r="B2707" t="str">
            <v>OLV5309</v>
          </cell>
          <cell r="C2707" t="str">
            <v>Operando</v>
          </cell>
        </row>
        <row r="2708">
          <cell r="B2708" t="str">
            <v>OLV7G92</v>
          </cell>
          <cell r="C2708" t="str">
            <v> </v>
          </cell>
        </row>
        <row r="2709">
          <cell r="B2709" t="str">
            <v>OLY1243</v>
          </cell>
          <cell r="C2709" t="str">
            <v> </v>
          </cell>
        </row>
        <row r="2710">
          <cell r="B2710" t="str">
            <v>OMA3547</v>
          </cell>
          <cell r="C2710" t="str">
            <v> </v>
          </cell>
        </row>
        <row r="2711">
          <cell r="B2711" t="str">
            <v>OMA4H36</v>
          </cell>
          <cell r="C2711" t="str">
            <v>Operando</v>
          </cell>
        </row>
        <row r="2712">
          <cell r="B2712" t="str">
            <v>OMC0E99</v>
          </cell>
          <cell r="C2712" t="str">
            <v> </v>
          </cell>
        </row>
        <row r="2713">
          <cell r="B2713" t="str">
            <v>OMC3A05</v>
          </cell>
          <cell r="C2713" t="str">
            <v>Operando</v>
          </cell>
        </row>
        <row r="2714">
          <cell r="B2714" t="str">
            <v>OMD0D49</v>
          </cell>
          <cell r="C2714" t="str">
            <v> </v>
          </cell>
        </row>
        <row r="2715">
          <cell r="B2715" t="str">
            <v>OME2D48</v>
          </cell>
          <cell r="C2715" t="str">
            <v> </v>
          </cell>
        </row>
        <row r="2716">
          <cell r="B2716" t="str">
            <v>OME7G83</v>
          </cell>
          <cell r="C2716" t="str">
            <v> </v>
          </cell>
        </row>
        <row r="2717">
          <cell r="B2717" t="str">
            <v>OME9H89</v>
          </cell>
          <cell r="C2717" t="str">
            <v> </v>
          </cell>
        </row>
        <row r="2718">
          <cell r="B2718" t="str">
            <v>OMG3F25</v>
          </cell>
          <cell r="C2718" t="str">
            <v> </v>
          </cell>
        </row>
        <row r="2719">
          <cell r="B2719" t="str">
            <v>OMG5J83</v>
          </cell>
          <cell r="C2719" t="str">
            <v>Operando</v>
          </cell>
        </row>
        <row r="2720">
          <cell r="B2720" t="str">
            <v>OMG6C66</v>
          </cell>
          <cell r="C2720" t="str">
            <v> </v>
          </cell>
        </row>
        <row r="2721">
          <cell r="B2721" t="str">
            <v>OMH5J64</v>
          </cell>
          <cell r="C2721" t="str">
            <v> </v>
          </cell>
        </row>
        <row r="2722">
          <cell r="B2722" t="str">
            <v>OMI9E54</v>
          </cell>
          <cell r="C2722" t="str">
            <v> </v>
          </cell>
        </row>
        <row r="2723">
          <cell r="B2723" t="str">
            <v>OMN2D95</v>
          </cell>
          <cell r="C2723" t="str">
            <v>Operando</v>
          </cell>
        </row>
        <row r="2724">
          <cell r="B2724" t="str">
            <v>OMO2B17</v>
          </cell>
          <cell r="C2724" t="str">
            <v> </v>
          </cell>
        </row>
        <row r="2725">
          <cell r="B2725" t="str">
            <v>OMR7H84</v>
          </cell>
          <cell r="C2725" t="str">
            <v> </v>
          </cell>
        </row>
        <row r="2726">
          <cell r="B2726" t="str">
            <v>OMT3C40</v>
          </cell>
          <cell r="C2726" t="str">
            <v>Operando</v>
          </cell>
        </row>
        <row r="2727">
          <cell r="B2727" t="str">
            <v>OMU9G94</v>
          </cell>
          <cell r="C2727" t="str">
            <v> </v>
          </cell>
        </row>
        <row r="2728">
          <cell r="B2728" t="str">
            <v>ONB1A49</v>
          </cell>
          <cell r="C2728" t="str">
            <v> </v>
          </cell>
        </row>
        <row r="2729">
          <cell r="B2729" t="str">
            <v>ONB4I99</v>
          </cell>
          <cell r="C2729" t="str">
            <v> </v>
          </cell>
        </row>
        <row r="2730">
          <cell r="B2730" t="str">
            <v>OND1C15</v>
          </cell>
          <cell r="C2730" t="str">
            <v> </v>
          </cell>
        </row>
        <row r="2731">
          <cell r="B2731" t="str">
            <v>ONE5G83</v>
          </cell>
          <cell r="C2731" t="str">
            <v>Operando</v>
          </cell>
        </row>
        <row r="2732">
          <cell r="B2732" t="str">
            <v>ONF4F97</v>
          </cell>
          <cell r="C2732" t="str">
            <v> </v>
          </cell>
        </row>
        <row r="2733">
          <cell r="B2733" t="str">
            <v>ONF5D35</v>
          </cell>
          <cell r="C2733" t="str">
            <v> </v>
          </cell>
        </row>
        <row r="2734">
          <cell r="B2734" t="str">
            <v>ONJ2A27</v>
          </cell>
          <cell r="C2734" t="str">
            <v> </v>
          </cell>
        </row>
        <row r="2735">
          <cell r="B2735" t="str">
            <v>ONL7J43</v>
          </cell>
          <cell r="C2735" t="str">
            <v> </v>
          </cell>
        </row>
        <row r="2736">
          <cell r="B2736" t="str">
            <v>ONM8J09</v>
          </cell>
          <cell r="C2736" t="str">
            <v>Sem operação</v>
          </cell>
        </row>
        <row r="2737">
          <cell r="B2737" t="str">
            <v>ONO1G20</v>
          </cell>
          <cell r="C2737" t="str">
            <v> </v>
          </cell>
        </row>
        <row r="2738">
          <cell r="B2738" t="str">
            <v>ONO8879</v>
          </cell>
          <cell r="C2738" t="str">
            <v> </v>
          </cell>
        </row>
        <row r="2739">
          <cell r="B2739" t="str">
            <v>ONP1E06</v>
          </cell>
          <cell r="C2739" t="str">
            <v>Operando</v>
          </cell>
        </row>
        <row r="2740">
          <cell r="B2740" t="str">
            <v>ONS0E31</v>
          </cell>
          <cell r="C2740" t="str">
            <v> </v>
          </cell>
        </row>
        <row r="2741">
          <cell r="B2741" t="str">
            <v>ONS9H72</v>
          </cell>
          <cell r="C2741" t="str">
            <v> </v>
          </cell>
        </row>
        <row r="2742">
          <cell r="B2742" t="str">
            <v>ONV8I85</v>
          </cell>
          <cell r="C2742" t="str">
            <v>Operando</v>
          </cell>
        </row>
        <row r="2743">
          <cell r="B2743" t="str">
            <v>ONX6044</v>
          </cell>
          <cell r="C2743" t="str">
            <v>Operando</v>
          </cell>
        </row>
        <row r="2744">
          <cell r="B2744" t="str">
            <v>ONX8D33</v>
          </cell>
          <cell r="C2744" t="str">
            <v>Operando</v>
          </cell>
        </row>
        <row r="2745">
          <cell r="B2745" t="str">
            <v>ONZ4C71</v>
          </cell>
          <cell r="C2745" t="str">
            <v> </v>
          </cell>
        </row>
        <row r="2746">
          <cell r="B2746" t="str">
            <v>OOE9H23</v>
          </cell>
          <cell r="C2746" t="str">
            <v> </v>
          </cell>
        </row>
        <row r="2747">
          <cell r="B2747" t="str">
            <v>OOH0B82</v>
          </cell>
          <cell r="C2747" t="str">
            <v> </v>
          </cell>
        </row>
        <row r="2748">
          <cell r="B2748" t="str">
            <v>OOH8F75</v>
          </cell>
          <cell r="C2748" t="str">
            <v>Operando</v>
          </cell>
        </row>
        <row r="2749">
          <cell r="B2749" t="str">
            <v>OOH8J11</v>
          </cell>
          <cell r="C2749" t="str">
            <v>Operando</v>
          </cell>
        </row>
        <row r="2750">
          <cell r="B2750" t="str">
            <v>OOJ7297</v>
          </cell>
          <cell r="C2750" t="str">
            <v>Operando</v>
          </cell>
        </row>
        <row r="2751">
          <cell r="B2751" t="str">
            <v>OOL2011</v>
          </cell>
          <cell r="C2751" t="str">
            <v> </v>
          </cell>
        </row>
        <row r="2752">
          <cell r="B2752" t="str">
            <v>OON9458</v>
          </cell>
          <cell r="C2752" t="str">
            <v>Operando</v>
          </cell>
        </row>
        <row r="2753">
          <cell r="B2753" t="str">
            <v>OOP6C70</v>
          </cell>
          <cell r="C2753" t="str">
            <v>Operando</v>
          </cell>
        </row>
        <row r="2754">
          <cell r="B2754" t="str">
            <v>OOR5G40</v>
          </cell>
          <cell r="C2754" t="str">
            <v>Operando</v>
          </cell>
        </row>
        <row r="2755">
          <cell r="B2755" t="str">
            <v>OOS4B01</v>
          </cell>
          <cell r="C2755" t="str">
            <v> </v>
          </cell>
        </row>
        <row r="2756">
          <cell r="B2756" t="str">
            <v>OOU2930</v>
          </cell>
          <cell r="C2756" t="str">
            <v>Operando</v>
          </cell>
        </row>
        <row r="2757">
          <cell r="B2757" t="str">
            <v>OOU3266</v>
          </cell>
          <cell r="C2757" t="str">
            <v> </v>
          </cell>
        </row>
        <row r="2758">
          <cell r="B2758" t="str">
            <v>OOU7G26</v>
          </cell>
          <cell r="C2758" t="str">
            <v> </v>
          </cell>
        </row>
        <row r="2759">
          <cell r="B2759" t="str">
            <v>OOV0393</v>
          </cell>
          <cell r="C2759" t="str">
            <v> </v>
          </cell>
        </row>
        <row r="2760">
          <cell r="B2760" t="str">
            <v>OOV2H61</v>
          </cell>
          <cell r="C2760" t="str">
            <v>Operando</v>
          </cell>
        </row>
        <row r="2761">
          <cell r="B2761" t="str">
            <v>OOW2I24</v>
          </cell>
          <cell r="C2761" t="str">
            <v> </v>
          </cell>
        </row>
        <row r="2762">
          <cell r="B2762" t="str">
            <v>OOX7D90</v>
          </cell>
          <cell r="C2762" t="str">
            <v> </v>
          </cell>
        </row>
        <row r="2763">
          <cell r="B2763" t="str">
            <v>OOZ4D37</v>
          </cell>
          <cell r="C2763" t="str">
            <v> </v>
          </cell>
        </row>
        <row r="2764">
          <cell r="B2764" t="str">
            <v>OOZ9G23</v>
          </cell>
          <cell r="C2764" t="str">
            <v> </v>
          </cell>
        </row>
        <row r="2765">
          <cell r="B2765" t="str">
            <v>OPA0153</v>
          </cell>
          <cell r="C2765" t="str">
            <v> </v>
          </cell>
        </row>
        <row r="2766">
          <cell r="B2766" t="str">
            <v>OPA2416</v>
          </cell>
          <cell r="C2766" t="str">
            <v>Operando</v>
          </cell>
        </row>
        <row r="2767">
          <cell r="B2767" t="str">
            <v>OPA3103</v>
          </cell>
          <cell r="C2767" t="str">
            <v> </v>
          </cell>
        </row>
        <row r="2768">
          <cell r="B2768" t="str">
            <v>OPA9C84</v>
          </cell>
          <cell r="C2768" t="str">
            <v> </v>
          </cell>
        </row>
        <row r="2769">
          <cell r="B2769" t="str">
            <v>OPB8H37</v>
          </cell>
          <cell r="C2769" t="str">
            <v> </v>
          </cell>
        </row>
        <row r="2770">
          <cell r="B2770" t="str">
            <v>OPF1H79</v>
          </cell>
          <cell r="C2770" t="str">
            <v> </v>
          </cell>
        </row>
        <row r="2771">
          <cell r="B2771" t="str">
            <v>OPF6F58</v>
          </cell>
          <cell r="C2771" t="str">
            <v> </v>
          </cell>
        </row>
        <row r="2772">
          <cell r="B2772" t="str">
            <v>OPG2F29</v>
          </cell>
          <cell r="C2772" t="str">
            <v>Operando</v>
          </cell>
        </row>
        <row r="2773">
          <cell r="B2773" t="str">
            <v>OPH5J32</v>
          </cell>
          <cell r="C2773" t="str">
            <v> </v>
          </cell>
        </row>
        <row r="2774">
          <cell r="B2774" t="str">
            <v>OPH6H83</v>
          </cell>
          <cell r="C2774" t="str">
            <v> </v>
          </cell>
        </row>
        <row r="2775">
          <cell r="B2775" t="str">
            <v>OPI0569</v>
          </cell>
          <cell r="C2775" t="str">
            <v> </v>
          </cell>
        </row>
        <row r="2776">
          <cell r="B2776" t="str">
            <v>OPM0758</v>
          </cell>
          <cell r="C2776" t="str">
            <v>Operando</v>
          </cell>
        </row>
        <row r="2777">
          <cell r="B2777" t="str">
            <v>OPM4J56</v>
          </cell>
          <cell r="C2777" t="str">
            <v>Operando</v>
          </cell>
        </row>
        <row r="2778">
          <cell r="B2778" t="str">
            <v>OPN5A72</v>
          </cell>
          <cell r="C2778" t="str">
            <v> </v>
          </cell>
        </row>
        <row r="2779">
          <cell r="B2779" t="str">
            <v>OPQ9A50</v>
          </cell>
          <cell r="C2779" t="str">
            <v>Operando</v>
          </cell>
        </row>
        <row r="2780">
          <cell r="B2780" t="str">
            <v>OPS4H98</v>
          </cell>
          <cell r="C2780" t="str">
            <v> </v>
          </cell>
        </row>
        <row r="2781">
          <cell r="B2781" t="str">
            <v>OPT8F98</v>
          </cell>
          <cell r="C2781" t="str">
            <v> </v>
          </cell>
        </row>
        <row r="2782">
          <cell r="B2782" t="str">
            <v>OPU2B37</v>
          </cell>
          <cell r="C2782" t="str">
            <v> </v>
          </cell>
        </row>
        <row r="2783">
          <cell r="B2783" t="str">
            <v>OPW9J79</v>
          </cell>
          <cell r="C2783" t="str">
            <v> </v>
          </cell>
        </row>
        <row r="2784">
          <cell r="B2784" t="str">
            <v>OPY7B89</v>
          </cell>
          <cell r="C2784" t="str">
            <v>Operando</v>
          </cell>
        </row>
        <row r="2785">
          <cell r="B2785" t="str">
            <v>OQA9G58</v>
          </cell>
          <cell r="C2785" t="str">
            <v> </v>
          </cell>
        </row>
        <row r="2786">
          <cell r="B2786" t="str">
            <v>OQB2J12</v>
          </cell>
          <cell r="C2786" t="str">
            <v> </v>
          </cell>
        </row>
        <row r="2787">
          <cell r="B2787" t="str">
            <v>OQB7E14</v>
          </cell>
          <cell r="C2787" t="str">
            <v> </v>
          </cell>
        </row>
        <row r="2788">
          <cell r="B2788" t="str">
            <v>OQC1F39</v>
          </cell>
          <cell r="C2788" t="str">
            <v>Sem operação</v>
          </cell>
        </row>
        <row r="2789">
          <cell r="B2789" t="str">
            <v>OQJ3I95</v>
          </cell>
          <cell r="C2789" t="str">
            <v> </v>
          </cell>
        </row>
        <row r="2790">
          <cell r="B2790" t="str">
            <v>OQJ4370</v>
          </cell>
          <cell r="C2790" t="str">
            <v> </v>
          </cell>
        </row>
        <row r="2791">
          <cell r="B2791" t="str">
            <v>OQP2F18</v>
          </cell>
          <cell r="C2791" t="str">
            <v>Operando</v>
          </cell>
        </row>
        <row r="2792">
          <cell r="B2792" t="str">
            <v>OQQ3791</v>
          </cell>
          <cell r="C2792" t="str">
            <v>Operando</v>
          </cell>
        </row>
        <row r="2793">
          <cell r="B2793" t="str">
            <v>OQS7B84</v>
          </cell>
          <cell r="C2793" t="str">
            <v> </v>
          </cell>
        </row>
        <row r="2794">
          <cell r="B2794" t="str">
            <v>OQS8A95</v>
          </cell>
          <cell r="C2794" t="str">
            <v> </v>
          </cell>
        </row>
        <row r="2795">
          <cell r="B2795" t="str">
            <v>OQS9G57</v>
          </cell>
          <cell r="C2795" t="str">
            <v> </v>
          </cell>
        </row>
        <row r="2796">
          <cell r="B2796" t="str">
            <v>OQT1B77</v>
          </cell>
          <cell r="C2796" t="str">
            <v> </v>
          </cell>
        </row>
        <row r="2797">
          <cell r="B2797" t="str">
            <v>OQT2I13</v>
          </cell>
          <cell r="C2797" t="str">
            <v> </v>
          </cell>
        </row>
        <row r="2798">
          <cell r="B2798" t="str">
            <v>ORB0F21</v>
          </cell>
          <cell r="C2798" t="str">
            <v>Carregado</v>
          </cell>
        </row>
        <row r="2799">
          <cell r="B2799" t="str">
            <v>ORC5C07</v>
          </cell>
          <cell r="C2799" t="str">
            <v> </v>
          </cell>
        </row>
        <row r="2800">
          <cell r="B2800" t="str">
            <v>ORC5F12</v>
          </cell>
          <cell r="C2800" t="str">
            <v> </v>
          </cell>
        </row>
        <row r="2801">
          <cell r="B2801" t="str">
            <v>ORD2J60</v>
          </cell>
          <cell r="C2801" t="str">
            <v> </v>
          </cell>
        </row>
        <row r="2802">
          <cell r="B2802" t="str">
            <v>ORE3H58</v>
          </cell>
          <cell r="C2802" t="str">
            <v> </v>
          </cell>
        </row>
        <row r="2803">
          <cell r="B2803" t="str">
            <v>ORP8A04</v>
          </cell>
          <cell r="C2803" t="str">
            <v> </v>
          </cell>
        </row>
        <row r="2804">
          <cell r="B2804" t="str">
            <v>ORS7G72</v>
          </cell>
          <cell r="C2804" t="str">
            <v>Operando</v>
          </cell>
        </row>
        <row r="2805">
          <cell r="B2805" t="str">
            <v>ORW2802</v>
          </cell>
          <cell r="C2805" t="str">
            <v>Operando</v>
          </cell>
        </row>
        <row r="2806">
          <cell r="B2806" t="str">
            <v>OSB6A49</v>
          </cell>
          <cell r="C2806" t="str">
            <v> </v>
          </cell>
        </row>
        <row r="2807">
          <cell r="B2807" t="str">
            <v>OSC4D13</v>
          </cell>
          <cell r="C2807" t="str">
            <v> </v>
          </cell>
        </row>
        <row r="2808">
          <cell r="B2808" t="str">
            <v>OSD5I34</v>
          </cell>
          <cell r="C2808" t="str">
            <v>Operando</v>
          </cell>
        </row>
        <row r="2809">
          <cell r="B2809" t="str">
            <v>OSF5B90</v>
          </cell>
          <cell r="C2809" t="str">
            <v> </v>
          </cell>
        </row>
        <row r="2810">
          <cell r="B2810" t="str">
            <v>OSG9887</v>
          </cell>
          <cell r="C2810" t="str">
            <v> </v>
          </cell>
        </row>
        <row r="2811">
          <cell r="B2811" t="str">
            <v>OSU0730</v>
          </cell>
          <cell r="C2811" t="str">
            <v>Operando</v>
          </cell>
        </row>
        <row r="2812">
          <cell r="B2812" t="str">
            <v>OSV7F61</v>
          </cell>
          <cell r="C2812" t="str">
            <v>Operando</v>
          </cell>
        </row>
        <row r="2813">
          <cell r="B2813" t="str">
            <v>OSX2I14</v>
          </cell>
          <cell r="C2813" t="str">
            <v> </v>
          </cell>
        </row>
        <row r="2814">
          <cell r="B2814" t="str">
            <v>OTQ8361</v>
          </cell>
          <cell r="C2814" t="str">
            <v>Operando</v>
          </cell>
        </row>
        <row r="2815">
          <cell r="B2815" t="str">
            <v>OTX6I39</v>
          </cell>
          <cell r="C2815" t="str">
            <v>Operando</v>
          </cell>
        </row>
        <row r="2816">
          <cell r="B2816" t="str">
            <v>OUH9059</v>
          </cell>
          <cell r="C2816" t="str">
            <v>Operando</v>
          </cell>
        </row>
        <row r="2817">
          <cell r="B2817" t="str">
            <v>OUJ3D28</v>
          </cell>
          <cell r="C2817" t="str">
            <v>Operando</v>
          </cell>
        </row>
        <row r="2818">
          <cell r="B2818" t="str">
            <v>OUK4C07</v>
          </cell>
          <cell r="C2818" t="str">
            <v> </v>
          </cell>
        </row>
        <row r="2819">
          <cell r="B2819" t="str">
            <v>OUR1J34</v>
          </cell>
          <cell r="C2819" t="str">
            <v> </v>
          </cell>
        </row>
        <row r="2820">
          <cell r="B2820" t="str">
            <v>OUU1E73</v>
          </cell>
          <cell r="C2820" t="str">
            <v> </v>
          </cell>
        </row>
        <row r="2821">
          <cell r="B2821" t="str">
            <v>OUU4I48</v>
          </cell>
          <cell r="C2821" t="str">
            <v> </v>
          </cell>
        </row>
        <row r="2822">
          <cell r="B2822" t="str">
            <v>OUU8J45</v>
          </cell>
          <cell r="C2822" t="str">
            <v> </v>
          </cell>
        </row>
        <row r="2823">
          <cell r="B2823" t="str">
            <v>OUU9H51</v>
          </cell>
          <cell r="C2823" t="str">
            <v>Operando</v>
          </cell>
        </row>
        <row r="2824">
          <cell r="B2824" t="str">
            <v>OUV2296</v>
          </cell>
          <cell r="C2824" t="str">
            <v> </v>
          </cell>
        </row>
        <row r="2825">
          <cell r="B2825" t="str">
            <v>OUV4646</v>
          </cell>
          <cell r="C2825" t="str">
            <v>Operando</v>
          </cell>
        </row>
        <row r="2826">
          <cell r="B2826" t="str">
            <v>OUW4A97</v>
          </cell>
          <cell r="C2826" t="str">
            <v>Operando</v>
          </cell>
        </row>
        <row r="2827">
          <cell r="B2827" t="str">
            <v>OUX2E41</v>
          </cell>
          <cell r="C2827" t="str">
            <v> </v>
          </cell>
        </row>
        <row r="2828">
          <cell r="B2828" t="str">
            <v>OUX3E41</v>
          </cell>
          <cell r="C2828" t="str">
            <v> </v>
          </cell>
        </row>
        <row r="2829">
          <cell r="B2829" t="str">
            <v>OUZ1D21</v>
          </cell>
          <cell r="C2829" t="str">
            <v>Operando</v>
          </cell>
        </row>
        <row r="2830">
          <cell r="B2830" t="str">
            <v>OUZ8D95</v>
          </cell>
          <cell r="C2830" t="str">
            <v>Operando</v>
          </cell>
        </row>
        <row r="2831">
          <cell r="B2831" t="str">
            <v>OVE2I70</v>
          </cell>
          <cell r="C2831" t="str">
            <v> </v>
          </cell>
        </row>
        <row r="2832">
          <cell r="B2832" t="str">
            <v>OVH1F40</v>
          </cell>
          <cell r="C2832" t="str">
            <v> </v>
          </cell>
        </row>
        <row r="2833">
          <cell r="B2833" t="str">
            <v>OVJ5G59</v>
          </cell>
          <cell r="C2833" t="str">
            <v>Operando</v>
          </cell>
        </row>
        <row r="2834">
          <cell r="B2834" t="str">
            <v>OVR1D22</v>
          </cell>
          <cell r="C2834" t="str">
            <v> </v>
          </cell>
        </row>
        <row r="2835">
          <cell r="B2835" t="str">
            <v>OVS3G04</v>
          </cell>
          <cell r="C2835" t="str">
            <v> </v>
          </cell>
        </row>
        <row r="2836">
          <cell r="B2836" t="str">
            <v>OVS4239</v>
          </cell>
          <cell r="C2836" t="str">
            <v>Operando</v>
          </cell>
        </row>
        <row r="2837">
          <cell r="B2837" t="str">
            <v>OVU4F62</v>
          </cell>
          <cell r="C2837" t="str">
            <v> </v>
          </cell>
        </row>
        <row r="2838">
          <cell r="B2838" t="str">
            <v>OVU6178</v>
          </cell>
          <cell r="C2838" t="str">
            <v> </v>
          </cell>
        </row>
        <row r="2839">
          <cell r="B2839" t="str">
            <v>OVU6183</v>
          </cell>
          <cell r="C2839" t="str">
            <v> </v>
          </cell>
        </row>
        <row r="2840">
          <cell r="B2840" t="str">
            <v>OVV5H53</v>
          </cell>
          <cell r="C2840" t="str">
            <v> </v>
          </cell>
        </row>
        <row r="2841">
          <cell r="B2841" t="str">
            <v>OVV5H61</v>
          </cell>
          <cell r="C2841" t="str">
            <v>Operando</v>
          </cell>
        </row>
        <row r="2842">
          <cell r="B2842" t="str">
            <v>OVV7E05</v>
          </cell>
          <cell r="C2842" t="str">
            <v> </v>
          </cell>
        </row>
        <row r="2843">
          <cell r="B2843" t="str">
            <v>OVX0E77</v>
          </cell>
          <cell r="C2843" t="str">
            <v> </v>
          </cell>
        </row>
        <row r="2844">
          <cell r="B2844" t="str">
            <v>OWI4H13</v>
          </cell>
          <cell r="C2844" t="str">
            <v>Operando</v>
          </cell>
        </row>
        <row r="2845">
          <cell r="B2845" t="str">
            <v>OWJ0J34</v>
          </cell>
          <cell r="C2845" t="str">
            <v>Operando</v>
          </cell>
        </row>
        <row r="2846">
          <cell r="B2846" t="str">
            <v>OWJ9D62</v>
          </cell>
          <cell r="C2846" t="str">
            <v> </v>
          </cell>
        </row>
        <row r="2847">
          <cell r="B2847" t="str">
            <v>OWL6E44</v>
          </cell>
          <cell r="C2847" t="str">
            <v>Operando</v>
          </cell>
        </row>
        <row r="2848">
          <cell r="B2848" t="str">
            <v>OWL8G81</v>
          </cell>
          <cell r="C2848" t="str">
            <v> </v>
          </cell>
        </row>
        <row r="2849">
          <cell r="B2849" t="str">
            <v>OWM4H98</v>
          </cell>
          <cell r="C2849" t="str">
            <v> </v>
          </cell>
        </row>
        <row r="2850">
          <cell r="B2850" t="str">
            <v>OWN2564</v>
          </cell>
          <cell r="C2850" t="str">
            <v> </v>
          </cell>
        </row>
        <row r="2851">
          <cell r="B2851" t="str">
            <v>OWN5H61</v>
          </cell>
          <cell r="C2851" t="str">
            <v>Operando</v>
          </cell>
        </row>
        <row r="2852">
          <cell r="B2852" t="str">
            <v>OWP6231</v>
          </cell>
          <cell r="C2852" t="str">
            <v> </v>
          </cell>
        </row>
        <row r="2853">
          <cell r="B2853" t="str">
            <v>OWU8I23</v>
          </cell>
          <cell r="C2853" t="str">
            <v>Operando</v>
          </cell>
        </row>
        <row r="2854">
          <cell r="B2854" t="str">
            <v>OWW8A72</v>
          </cell>
          <cell r="C2854" t="str">
            <v>Operando</v>
          </cell>
        </row>
        <row r="2855">
          <cell r="B2855" t="str">
            <v>OWX7C96</v>
          </cell>
          <cell r="C2855" t="str">
            <v>Operando</v>
          </cell>
        </row>
        <row r="2856">
          <cell r="B2856" t="str">
            <v>OWZ1683</v>
          </cell>
          <cell r="C2856" t="str">
            <v> </v>
          </cell>
        </row>
        <row r="2857">
          <cell r="B2857" t="str">
            <v>OWZ9847</v>
          </cell>
          <cell r="C2857" t="str">
            <v> </v>
          </cell>
        </row>
        <row r="2858">
          <cell r="B2858" t="str">
            <v>OXA2F22</v>
          </cell>
          <cell r="C2858" t="str">
            <v> </v>
          </cell>
        </row>
        <row r="2859">
          <cell r="B2859" t="str">
            <v>OXA9F04</v>
          </cell>
          <cell r="C2859" t="str">
            <v> </v>
          </cell>
        </row>
        <row r="2860">
          <cell r="B2860" t="str">
            <v>OXB0G62</v>
          </cell>
          <cell r="C2860" t="str">
            <v>Operando</v>
          </cell>
        </row>
        <row r="2861">
          <cell r="B2861" t="str">
            <v>OXB7J58</v>
          </cell>
          <cell r="C2861" t="str">
            <v> </v>
          </cell>
        </row>
        <row r="2862">
          <cell r="B2862" t="str">
            <v>OXD5D58</v>
          </cell>
          <cell r="C2862" t="str">
            <v>Operando</v>
          </cell>
        </row>
        <row r="2863">
          <cell r="B2863" t="str">
            <v>OXE3184</v>
          </cell>
          <cell r="C2863" t="str">
            <v> </v>
          </cell>
        </row>
        <row r="2864">
          <cell r="B2864" t="str">
            <v>OXE4F53</v>
          </cell>
          <cell r="C2864" t="str">
            <v>Operando</v>
          </cell>
        </row>
        <row r="2865">
          <cell r="B2865" t="str">
            <v>OXG8J95</v>
          </cell>
          <cell r="C2865" t="str">
            <v> </v>
          </cell>
        </row>
        <row r="2866">
          <cell r="B2866" t="str">
            <v>OXG9J85</v>
          </cell>
          <cell r="C2866" t="str">
            <v> </v>
          </cell>
        </row>
        <row r="2867">
          <cell r="B2867" t="str">
            <v>OXI0J30</v>
          </cell>
          <cell r="C2867" t="str">
            <v> </v>
          </cell>
        </row>
        <row r="2868">
          <cell r="B2868" t="str">
            <v>OXJ5I61</v>
          </cell>
          <cell r="C2868" t="str">
            <v>Operando</v>
          </cell>
        </row>
        <row r="2869">
          <cell r="B2869" t="str">
            <v>OXK7877</v>
          </cell>
          <cell r="C2869" t="str">
            <v>Operando</v>
          </cell>
        </row>
        <row r="2870">
          <cell r="B2870" t="str">
            <v>OXO9F81</v>
          </cell>
          <cell r="C2870" t="str">
            <v>Operando</v>
          </cell>
        </row>
        <row r="2871">
          <cell r="B2871" t="str">
            <v>OXS1E09</v>
          </cell>
          <cell r="C2871" t="str">
            <v>Operando</v>
          </cell>
        </row>
        <row r="2872">
          <cell r="B2872" t="str">
            <v>OXS7367</v>
          </cell>
          <cell r="C2872" t="str">
            <v> </v>
          </cell>
        </row>
        <row r="2873">
          <cell r="B2873" t="str">
            <v>OXS8J87</v>
          </cell>
          <cell r="C2873" t="str">
            <v> </v>
          </cell>
        </row>
        <row r="2874">
          <cell r="B2874" t="str">
            <v>OXU1619</v>
          </cell>
          <cell r="C2874" t="str">
            <v> </v>
          </cell>
        </row>
        <row r="2875">
          <cell r="B2875" t="str">
            <v>OXU3F09</v>
          </cell>
          <cell r="C2875" t="str">
            <v> </v>
          </cell>
        </row>
        <row r="2876">
          <cell r="B2876" t="str">
            <v>OXU5732</v>
          </cell>
          <cell r="C2876" t="str">
            <v> </v>
          </cell>
        </row>
        <row r="2877">
          <cell r="B2877" t="str">
            <v>OYD7H23</v>
          </cell>
          <cell r="C2877" t="str">
            <v> </v>
          </cell>
        </row>
        <row r="2878">
          <cell r="B2878" t="str">
            <v>OYG6096</v>
          </cell>
          <cell r="C2878" t="str">
            <v>Operando</v>
          </cell>
        </row>
        <row r="2879">
          <cell r="B2879" t="str">
            <v>OYG7D11</v>
          </cell>
          <cell r="C2879" t="str">
            <v>Operando</v>
          </cell>
        </row>
        <row r="2880">
          <cell r="B2880" t="str">
            <v>OYH3C93</v>
          </cell>
          <cell r="C2880" t="str">
            <v> </v>
          </cell>
        </row>
        <row r="2881">
          <cell r="B2881" t="str">
            <v>OYI4D32</v>
          </cell>
          <cell r="C2881" t="str">
            <v>Operando</v>
          </cell>
        </row>
        <row r="2882">
          <cell r="B2882" t="str">
            <v>OYJ1B66</v>
          </cell>
          <cell r="C2882" t="str">
            <v> </v>
          </cell>
        </row>
        <row r="2883">
          <cell r="B2883" t="str">
            <v>OYU7317</v>
          </cell>
          <cell r="C2883" t="str">
            <v> </v>
          </cell>
        </row>
        <row r="2884">
          <cell r="B2884" t="str">
            <v>OYW8E15</v>
          </cell>
          <cell r="C2884" t="str">
            <v>Agregado</v>
          </cell>
        </row>
        <row r="2885">
          <cell r="B2885" t="str">
            <v>OYX6A37</v>
          </cell>
          <cell r="C2885" t="str">
            <v> </v>
          </cell>
        </row>
        <row r="2886">
          <cell r="B2886" t="str">
            <v>OZA4035</v>
          </cell>
          <cell r="C2886" t="str">
            <v> </v>
          </cell>
        </row>
        <row r="2887">
          <cell r="B2887" t="str">
            <v>OZA5J50</v>
          </cell>
          <cell r="C2887" t="str">
            <v>Operando</v>
          </cell>
        </row>
        <row r="2888">
          <cell r="B2888" t="str">
            <v>OZG6453</v>
          </cell>
          <cell r="C2888" t="str">
            <v> </v>
          </cell>
        </row>
        <row r="2889">
          <cell r="B2889" t="str">
            <v>OZI9147</v>
          </cell>
          <cell r="C2889" t="str">
            <v> </v>
          </cell>
        </row>
        <row r="2890">
          <cell r="B2890" t="str">
            <v>OZO8C63</v>
          </cell>
          <cell r="C2890" t="str">
            <v>Operando</v>
          </cell>
        </row>
        <row r="2891">
          <cell r="B2891" t="str">
            <v>OZS9B73</v>
          </cell>
          <cell r="C2891" t="str">
            <v>Operando</v>
          </cell>
        </row>
        <row r="2892">
          <cell r="B2892" t="str">
            <v>OZT1E14</v>
          </cell>
          <cell r="C2892" t="str">
            <v>Operando</v>
          </cell>
        </row>
        <row r="2893">
          <cell r="B2893" t="str">
            <v>OZT3I30</v>
          </cell>
          <cell r="C2893" t="str">
            <v>Operando</v>
          </cell>
        </row>
        <row r="2894">
          <cell r="B2894" t="str">
            <v>OZU2414</v>
          </cell>
          <cell r="C2894" t="str">
            <v>Operando</v>
          </cell>
        </row>
        <row r="2895">
          <cell r="B2895" t="str">
            <v>OZY3A25</v>
          </cell>
          <cell r="C2895" t="str">
            <v> </v>
          </cell>
        </row>
        <row r="2896">
          <cell r="B2896" t="str">
            <v>OZZ6I27</v>
          </cell>
          <cell r="C2896" t="str">
            <v> </v>
          </cell>
        </row>
        <row r="2897">
          <cell r="B2897" t="str">
            <v>PAB0C76</v>
          </cell>
          <cell r="C2897" t="str">
            <v> </v>
          </cell>
        </row>
        <row r="2898">
          <cell r="B2898" t="str">
            <v>PAC3637</v>
          </cell>
          <cell r="C2898" t="str">
            <v> </v>
          </cell>
        </row>
        <row r="2899">
          <cell r="B2899" t="str">
            <v>PAD3881</v>
          </cell>
          <cell r="C2899" t="str">
            <v> </v>
          </cell>
        </row>
        <row r="2900">
          <cell r="B2900" t="str">
            <v>PAE5J30</v>
          </cell>
          <cell r="C2900" t="str">
            <v>Carregado</v>
          </cell>
        </row>
        <row r="2901">
          <cell r="B2901" t="str">
            <v>PAF9D42</v>
          </cell>
          <cell r="C2901" t="str">
            <v> </v>
          </cell>
        </row>
        <row r="2902">
          <cell r="B2902" t="str">
            <v>PAG7E52</v>
          </cell>
          <cell r="C2902" t="str">
            <v> </v>
          </cell>
        </row>
        <row r="2903">
          <cell r="B2903" t="str">
            <v>PAI0A70</v>
          </cell>
          <cell r="C2903" t="str">
            <v> </v>
          </cell>
        </row>
        <row r="2904">
          <cell r="B2904" t="str">
            <v>PAP5H82</v>
          </cell>
          <cell r="C2904" t="str">
            <v> </v>
          </cell>
        </row>
        <row r="2905">
          <cell r="B2905" t="str">
            <v>PAQ9181</v>
          </cell>
          <cell r="C2905" t="str">
            <v> </v>
          </cell>
        </row>
        <row r="2906">
          <cell r="B2906" t="str">
            <v>PAV5265</v>
          </cell>
          <cell r="C2906" t="str">
            <v>Operando</v>
          </cell>
        </row>
        <row r="2907">
          <cell r="B2907" t="str">
            <v>PAV5C72</v>
          </cell>
          <cell r="C2907" t="str">
            <v>Operando</v>
          </cell>
        </row>
        <row r="2908">
          <cell r="B2908" t="str">
            <v>PAW6D49</v>
          </cell>
          <cell r="C2908" t="str">
            <v> </v>
          </cell>
        </row>
        <row r="2909">
          <cell r="B2909" t="str">
            <v>PAW7I34</v>
          </cell>
          <cell r="C2909" t="str">
            <v> </v>
          </cell>
        </row>
        <row r="2910">
          <cell r="B2910" t="str">
            <v>PAX7E52</v>
          </cell>
          <cell r="C2910" t="str">
            <v> </v>
          </cell>
        </row>
        <row r="2911">
          <cell r="B2911" t="str">
            <v>PAX9J58</v>
          </cell>
          <cell r="C2911" t="str">
            <v>Operando</v>
          </cell>
        </row>
        <row r="2912">
          <cell r="B2912" t="str">
            <v>PAY1G31</v>
          </cell>
          <cell r="C2912" t="str">
            <v>Operando</v>
          </cell>
        </row>
        <row r="2913">
          <cell r="B2913" t="str">
            <v>PAY3D22</v>
          </cell>
          <cell r="C2913" t="str">
            <v> </v>
          </cell>
        </row>
        <row r="2914">
          <cell r="B2914" t="str">
            <v>PAY5D29</v>
          </cell>
          <cell r="C2914" t="str">
            <v>Operando</v>
          </cell>
        </row>
        <row r="2915">
          <cell r="B2915" t="str">
            <v>PAZ1526</v>
          </cell>
          <cell r="C2915" t="str">
            <v> </v>
          </cell>
        </row>
        <row r="2916">
          <cell r="B2916" t="str">
            <v>PBA4A72</v>
          </cell>
          <cell r="C2916" t="str">
            <v> </v>
          </cell>
        </row>
        <row r="2917">
          <cell r="B2917" t="str">
            <v>PBF2G62</v>
          </cell>
          <cell r="C2917" t="str">
            <v>Operando</v>
          </cell>
        </row>
        <row r="2918">
          <cell r="B2918" t="str">
            <v>PBH1F84</v>
          </cell>
          <cell r="C2918" t="str">
            <v> </v>
          </cell>
        </row>
        <row r="2919">
          <cell r="B2919" t="str">
            <v>PBI8564</v>
          </cell>
          <cell r="C2919" t="str">
            <v> </v>
          </cell>
        </row>
        <row r="2920">
          <cell r="B2920" t="str">
            <v>PBV1F48</v>
          </cell>
          <cell r="C2920" t="str">
            <v> </v>
          </cell>
        </row>
        <row r="2921">
          <cell r="B2921" t="str">
            <v>PCA3J16</v>
          </cell>
          <cell r="C2921" t="str">
            <v> </v>
          </cell>
        </row>
        <row r="2922">
          <cell r="B2922" t="str">
            <v>PCE5J12</v>
          </cell>
          <cell r="C2922" t="str">
            <v> </v>
          </cell>
        </row>
        <row r="2923">
          <cell r="B2923" t="str">
            <v>PCU2B25</v>
          </cell>
          <cell r="C2923" t="str">
            <v> </v>
          </cell>
        </row>
        <row r="2924">
          <cell r="B2924" t="str">
            <v>PDA6F98</v>
          </cell>
          <cell r="C2924" t="str">
            <v> </v>
          </cell>
        </row>
        <row r="2925">
          <cell r="B2925" t="str">
            <v>PDJ3C12</v>
          </cell>
          <cell r="C2925" t="str">
            <v> </v>
          </cell>
        </row>
        <row r="2926">
          <cell r="B2926" t="str">
            <v>PDJ6B44</v>
          </cell>
          <cell r="C2926" t="str">
            <v> </v>
          </cell>
        </row>
        <row r="2927">
          <cell r="B2927" t="str">
            <v>PDO7C78</v>
          </cell>
          <cell r="C2927" t="str">
            <v> </v>
          </cell>
        </row>
        <row r="2928">
          <cell r="B2928" t="str">
            <v>PDW7386</v>
          </cell>
          <cell r="C2928" t="str">
            <v> </v>
          </cell>
        </row>
        <row r="2929">
          <cell r="B2929" t="str">
            <v>PDX0E23</v>
          </cell>
          <cell r="C2929" t="str">
            <v> </v>
          </cell>
        </row>
        <row r="2930">
          <cell r="B2930" t="str">
            <v>PEN7H63</v>
          </cell>
          <cell r="C2930" t="str">
            <v> </v>
          </cell>
        </row>
        <row r="2931">
          <cell r="B2931" t="str">
            <v>PFV1A45</v>
          </cell>
          <cell r="C2931" t="str">
            <v> </v>
          </cell>
        </row>
        <row r="2932">
          <cell r="B2932" t="str">
            <v>PGA9579</v>
          </cell>
          <cell r="C2932" t="str">
            <v> </v>
          </cell>
        </row>
        <row r="2933">
          <cell r="B2933" t="str">
            <v>PGC6524</v>
          </cell>
          <cell r="C2933" t="str">
            <v> </v>
          </cell>
        </row>
        <row r="2934">
          <cell r="B2934" t="str">
            <v>PGL2H53</v>
          </cell>
          <cell r="C2934" t="str">
            <v> </v>
          </cell>
        </row>
        <row r="2935">
          <cell r="B2935" t="str">
            <v>PGO9D57</v>
          </cell>
          <cell r="C2935" t="str">
            <v>Operando</v>
          </cell>
        </row>
        <row r="2936">
          <cell r="B2936" t="str">
            <v>PGP6284</v>
          </cell>
          <cell r="C2936" t="str">
            <v> </v>
          </cell>
        </row>
        <row r="2937">
          <cell r="B2937" t="str">
            <v>PGQ2E35</v>
          </cell>
          <cell r="C2937" t="str">
            <v> </v>
          </cell>
        </row>
        <row r="2938">
          <cell r="B2938" t="str">
            <v>PGR7D58</v>
          </cell>
          <cell r="C2938" t="str">
            <v>Carregado</v>
          </cell>
        </row>
        <row r="2939">
          <cell r="B2939" t="str">
            <v>PGX1F90</v>
          </cell>
          <cell r="C2939" t="str">
            <v> </v>
          </cell>
        </row>
        <row r="2940">
          <cell r="B2940" t="str">
            <v>PGX9801</v>
          </cell>
          <cell r="C2940" t="str">
            <v> </v>
          </cell>
        </row>
        <row r="2941">
          <cell r="B2941" t="str">
            <v>PHA5176</v>
          </cell>
          <cell r="C2941" t="str">
            <v> </v>
          </cell>
        </row>
        <row r="2942">
          <cell r="B2942" t="str">
            <v>PHE1423</v>
          </cell>
          <cell r="C2942" t="str">
            <v> </v>
          </cell>
        </row>
        <row r="2943">
          <cell r="B2943" t="str">
            <v>PHH8148</v>
          </cell>
          <cell r="C2943" t="str">
            <v> </v>
          </cell>
        </row>
        <row r="2944">
          <cell r="B2944" t="str">
            <v>PHJ5F42</v>
          </cell>
          <cell r="C2944" t="str">
            <v>Operando</v>
          </cell>
        </row>
        <row r="2945">
          <cell r="B2945" t="str">
            <v>PHK6543</v>
          </cell>
          <cell r="C2945" t="str">
            <v> </v>
          </cell>
        </row>
        <row r="2946">
          <cell r="B2946" t="str">
            <v>PHK8369</v>
          </cell>
          <cell r="C2946" t="str">
            <v> </v>
          </cell>
        </row>
        <row r="2947">
          <cell r="B2947" t="str">
            <v>PHN2191</v>
          </cell>
          <cell r="C2947" t="str">
            <v> </v>
          </cell>
        </row>
        <row r="2948">
          <cell r="B2948" t="str">
            <v>PHN9B24</v>
          </cell>
          <cell r="C2948" t="str">
            <v> </v>
          </cell>
        </row>
        <row r="2949">
          <cell r="B2949" t="str">
            <v>PHR3F53</v>
          </cell>
          <cell r="C2949" t="str">
            <v> </v>
          </cell>
        </row>
        <row r="2950">
          <cell r="B2950" t="str">
            <v>PHS4C55</v>
          </cell>
          <cell r="C2950" t="str">
            <v> </v>
          </cell>
        </row>
        <row r="2951">
          <cell r="B2951" t="str">
            <v>PHT0B05</v>
          </cell>
          <cell r="C2951" t="str">
            <v> </v>
          </cell>
        </row>
        <row r="2952">
          <cell r="B2952" t="str">
            <v>PHU0I34</v>
          </cell>
          <cell r="C2952" t="str">
            <v> </v>
          </cell>
        </row>
        <row r="2953">
          <cell r="B2953" t="str">
            <v>PHV3358</v>
          </cell>
          <cell r="C2953" t="str">
            <v> </v>
          </cell>
        </row>
        <row r="2954">
          <cell r="B2954" t="str">
            <v>PHW0A66</v>
          </cell>
          <cell r="C2954" t="str">
            <v> </v>
          </cell>
        </row>
        <row r="2955">
          <cell r="B2955" t="str">
            <v>PHW2E30</v>
          </cell>
          <cell r="C2955" t="str">
            <v> </v>
          </cell>
        </row>
        <row r="2956">
          <cell r="B2956" t="str">
            <v>PHX0B71</v>
          </cell>
          <cell r="C2956" t="str">
            <v> </v>
          </cell>
        </row>
        <row r="2957">
          <cell r="B2957" t="str">
            <v>PHZ6299</v>
          </cell>
          <cell r="C2957" t="str">
            <v> </v>
          </cell>
        </row>
        <row r="2958">
          <cell r="B2958" t="str">
            <v>PHZ7C83</v>
          </cell>
          <cell r="C2958" t="str">
            <v> </v>
          </cell>
        </row>
        <row r="2959">
          <cell r="B2959" t="str">
            <v>PIC5F40</v>
          </cell>
          <cell r="C2959" t="str">
            <v> </v>
          </cell>
        </row>
        <row r="2960">
          <cell r="B2960" t="str">
            <v>PIQ1H01</v>
          </cell>
          <cell r="C2960" t="str">
            <v> </v>
          </cell>
        </row>
        <row r="2961">
          <cell r="B2961" t="str">
            <v>PJF4896</v>
          </cell>
          <cell r="C2961" t="str">
            <v>Operando</v>
          </cell>
        </row>
        <row r="2962">
          <cell r="B2962" t="str">
            <v>PJJ9049</v>
          </cell>
          <cell r="C2962" t="str">
            <v> </v>
          </cell>
        </row>
        <row r="2963">
          <cell r="B2963" t="str">
            <v>PJN5A27</v>
          </cell>
          <cell r="C2963" t="str">
            <v>Operando</v>
          </cell>
        </row>
        <row r="2964">
          <cell r="B2964" t="str">
            <v>PJN7B52</v>
          </cell>
          <cell r="C2964" t="str">
            <v>Agregado</v>
          </cell>
        </row>
        <row r="2965">
          <cell r="B2965" t="str">
            <v>PJR0754</v>
          </cell>
          <cell r="C2965" t="str">
            <v>Operando</v>
          </cell>
        </row>
        <row r="2966">
          <cell r="B2966" t="str">
            <v>PJV3J55</v>
          </cell>
          <cell r="C2966" t="str">
            <v> </v>
          </cell>
        </row>
        <row r="2967">
          <cell r="B2967" t="str">
            <v>PJX8E57</v>
          </cell>
          <cell r="C2967" t="str">
            <v>Operando</v>
          </cell>
        </row>
        <row r="2968">
          <cell r="B2968" t="str">
            <v>PKC1F58</v>
          </cell>
          <cell r="C2968" t="str">
            <v>Operando</v>
          </cell>
        </row>
        <row r="2969">
          <cell r="B2969" t="str">
            <v>PKE6F46</v>
          </cell>
          <cell r="C2969" t="str">
            <v>Operando</v>
          </cell>
        </row>
        <row r="2970">
          <cell r="B2970" t="str">
            <v>PKH4B73</v>
          </cell>
          <cell r="C2970" t="str">
            <v>Carregado</v>
          </cell>
        </row>
        <row r="2971">
          <cell r="B2971" t="str">
            <v>PKJ7105</v>
          </cell>
          <cell r="C2971" t="str">
            <v>Operando</v>
          </cell>
        </row>
        <row r="2972">
          <cell r="B2972" t="str">
            <v>PKQ6C59</v>
          </cell>
          <cell r="C2972" t="str">
            <v> </v>
          </cell>
        </row>
        <row r="2973">
          <cell r="B2973" t="str">
            <v>PKS3A40</v>
          </cell>
          <cell r="C2973" t="str">
            <v> </v>
          </cell>
        </row>
        <row r="2974">
          <cell r="B2974" t="str">
            <v>PLB7G08</v>
          </cell>
          <cell r="C2974" t="str">
            <v> </v>
          </cell>
        </row>
        <row r="2975">
          <cell r="B2975" t="str">
            <v>PLE9J63</v>
          </cell>
          <cell r="C2975" t="str">
            <v> </v>
          </cell>
        </row>
        <row r="2976">
          <cell r="B2976" t="str">
            <v>PLL8H78</v>
          </cell>
          <cell r="C2976" t="str">
            <v>Operando</v>
          </cell>
        </row>
        <row r="2977">
          <cell r="B2977" t="str">
            <v>PLM4D22</v>
          </cell>
          <cell r="C2977" t="str">
            <v>Operando</v>
          </cell>
        </row>
        <row r="2978">
          <cell r="B2978" t="str">
            <v>PLP7I05</v>
          </cell>
          <cell r="C2978" t="str">
            <v>Operando</v>
          </cell>
        </row>
        <row r="2979">
          <cell r="B2979" t="str">
            <v>PLW9A81</v>
          </cell>
          <cell r="C2979" t="str">
            <v>Operando</v>
          </cell>
        </row>
        <row r="2980">
          <cell r="B2980" t="str">
            <v>PLW9C03</v>
          </cell>
          <cell r="C2980" t="str">
            <v> </v>
          </cell>
        </row>
        <row r="2981">
          <cell r="B2981" t="str">
            <v>PMD4G84</v>
          </cell>
          <cell r="C2981" t="str">
            <v>Operando</v>
          </cell>
        </row>
        <row r="2982">
          <cell r="B2982" t="str">
            <v>PMN1D16</v>
          </cell>
          <cell r="C2982" t="str">
            <v>Operando</v>
          </cell>
        </row>
        <row r="2983">
          <cell r="B2983" t="str">
            <v>PNG7D73</v>
          </cell>
          <cell r="C2983" t="str">
            <v> </v>
          </cell>
        </row>
        <row r="2984">
          <cell r="B2984" t="str">
            <v>PNL5J48</v>
          </cell>
          <cell r="C2984" t="str">
            <v>Operando</v>
          </cell>
        </row>
        <row r="2985">
          <cell r="B2985" t="str">
            <v>PNO9D63</v>
          </cell>
          <cell r="C2985" t="str">
            <v> </v>
          </cell>
        </row>
        <row r="2986">
          <cell r="B2986" t="str">
            <v>PNP0F82</v>
          </cell>
          <cell r="C2986" t="str">
            <v> </v>
          </cell>
        </row>
        <row r="2987">
          <cell r="B2987" t="str">
            <v>POA8C32</v>
          </cell>
          <cell r="C2987" t="str">
            <v> </v>
          </cell>
        </row>
        <row r="2988">
          <cell r="B2988" t="str">
            <v>POD9G39</v>
          </cell>
          <cell r="C2988" t="str">
            <v> </v>
          </cell>
        </row>
        <row r="2989">
          <cell r="B2989" t="str">
            <v>POG3G50</v>
          </cell>
          <cell r="C2989" t="str">
            <v>Operando</v>
          </cell>
        </row>
        <row r="2990">
          <cell r="B2990" t="str">
            <v>POU5E55</v>
          </cell>
          <cell r="C2990" t="str">
            <v> </v>
          </cell>
        </row>
        <row r="2991">
          <cell r="B2991" t="str">
            <v>POV4E29</v>
          </cell>
          <cell r="C2991" t="str">
            <v> </v>
          </cell>
        </row>
        <row r="2992">
          <cell r="B2992" t="str">
            <v>POZ6B52</v>
          </cell>
          <cell r="C2992" t="str">
            <v> </v>
          </cell>
        </row>
        <row r="2993">
          <cell r="B2993" t="str">
            <v>PPB0G45</v>
          </cell>
          <cell r="C2993" t="str">
            <v> </v>
          </cell>
        </row>
        <row r="2994">
          <cell r="B2994" t="str">
            <v>PPC2B15</v>
          </cell>
          <cell r="C2994" t="str">
            <v>Operando</v>
          </cell>
        </row>
        <row r="2995">
          <cell r="B2995" t="str">
            <v>PPD4G51</v>
          </cell>
          <cell r="C2995" t="str">
            <v>Operando</v>
          </cell>
        </row>
        <row r="2996">
          <cell r="B2996" t="str">
            <v>PPE7701</v>
          </cell>
          <cell r="C2996" t="str">
            <v>Operando</v>
          </cell>
        </row>
        <row r="2997">
          <cell r="B2997" t="str">
            <v>PPL8A74</v>
          </cell>
          <cell r="C2997" t="str">
            <v> </v>
          </cell>
        </row>
        <row r="2998">
          <cell r="B2998" t="str">
            <v>PPM8C88</v>
          </cell>
          <cell r="C2998" t="str">
            <v> </v>
          </cell>
        </row>
        <row r="2999">
          <cell r="B2999" t="str">
            <v>PPN9114</v>
          </cell>
          <cell r="C2999" t="str">
            <v> </v>
          </cell>
        </row>
        <row r="3000">
          <cell r="B3000" t="str">
            <v>PPN9I71</v>
          </cell>
          <cell r="C3000" t="str">
            <v>Operando</v>
          </cell>
        </row>
        <row r="3001">
          <cell r="B3001" t="str">
            <v>PPO1J27</v>
          </cell>
          <cell r="C3001" t="str">
            <v> </v>
          </cell>
        </row>
        <row r="3002">
          <cell r="B3002" t="str">
            <v>PPW9J44</v>
          </cell>
          <cell r="C3002" t="str">
            <v> </v>
          </cell>
        </row>
        <row r="3003">
          <cell r="B3003" t="str">
            <v>PPZ8I26</v>
          </cell>
          <cell r="C3003" t="str">
            <v> </v>
          </cell>
        </row>
        <row r="3004">
          <cell r="B3004" t="str">
            <v>PQA3C72</v>
          </cell>
          <cell r="C3004" t="str">
            <v>Operando</v>
          </cell>
        </row>
        <row r="3005">
          <cell r="B3005" t="str">
            <v>PQG6033</v>
          </cell>
          <cell r="C3005" t="str">
            <v>Operando</v>
          </cell>
        </row>
        <row r="3006">
          <cell r="B3006" t="str">
            <v>PQH4D99</v>
          </cell>
          <cell r="C3006" t="str">
            <v>Operando</v>
          </cell>
        </row>
        <row r="3007">
          <cell r="B3007" t="str">
            <v>PQH6F45</v>
          </cell>
          <cell r="C3007" t="str">
            <v>Operando</v>
          </cell>
        </row>
        <row r="3008">
          <cell r="B3008" t="str">
            <v>PQP3634</v>
          </cell>
          <cell r="C3008" t="str">
            <v> </v>
          </cell>
        </row>
        <row r="3009">
          <cell r="B3009" t="str">
            <v>PQP5A21</v>
          </cell>
          <cell r="C3009" t="str">
            <v> </v>
          </cell>
        </row>
        <row r="3010">
          <cell r="B3010" t="str">
            <v>PQR7A00</v>
          </cell>
          <cell r="C3010" t="str">
            <v> </v>
          </cell>
        </row>
        <row r="3011">
          <cell r="B3011" t="str">
            <v>PQV4F68</v>
          </cell>
          <cell r="C3011" t="str">
            <v>Operando</v>
          </cell>
        </row>
        <row r="3012">
          <cell r="B3012" t="str">
            <v>PQX8A52</v>
          </cell>
          <cell r="C3012" t="str">
            <v> </v>
          </cell>
        </row>
        <row r="3013">
          <cell r="B3013" t="str">
            <v>PQZ5B02</v>
          </cell>
          <cell r="C3013" t="str">
            <v> </v>
          </cell>
        </row>
        <row r="3014">
          <cell r="B3014" t="str">
            <v>PRD8C47</v>
          </cell>
          <cell r="C3014" t="str">
            <v> </v>
          </cell>
        </row>
        <row r="3015">
          <cell r="B3015" t="str">
            <v>PRF4B97</v>
          </cell>
          <cell r="C3015" t="str">
            <v> </v>
          </cell>
        </row>
        <row r="3016">
          <cell r="B3016" t="str">
            <v>PRJ1G79</v>
          </cell>
          <cell r="C3016" t="str">
            <v> </v>
          </cell>
        </row>
        <row r="3017">
          <cell r="B3017" t="str">
            <v>PRM5H32</v>
          </cell>
          <cell r="C3017" t="str">
            <v>Operando</v>
          </cell>
        </row>
        <row r="3018">
          <cell r="B3018" t="str">
            <v>PRP1C27</v>
          </cell>
          <cell r="C3018" t="str">
            <v> </v>
          </cell>
        </row>
        <row r="3019">
          <cell r="B3019" t="str">
            <v>PRQ2C78</v>
          </cell>
          <cell r="C3019" t="str">
            <v> </v>
          </cell>
        </row>
        <row r="3020">
          <cell r="B3020" t="str">
            <v>PRV4F58</v>
          </cell>
          <cell r="C3020" t="str">
            <v> </v>
          </cell>
        </row>
        <row r="3021">
          <cell r="B3021" t="str">
            <v>PRZ5F65</v>
          </cell>
          <cell r="C3021" t="str">
            <v> </v>
          </cell>
        </row>
        <row r="3022">
          <cell r="B3022" t="str">
            <v>PSE6209</v>
          </cell>
          <cell r="C3022" t="str">
            <v> </v>
          </cell>
        </row>
        <row r="3023">
          <cell r="B3023" t="str">
            <v>PSE9341</v>
          </cell>
          <cell r="C3023" t="str">
            <v> </v>
          </cell>
        </row>
        <row r="3024">
          <cell r="B3024" t="str">
            <v>PSF6C99</v>
          </cell>
          <cell r="C3024" t="str">
            <v> </v>
          </cell>
        </row>
        <row r="3025">
          <cell r="B3025" t="str">
            <v>PSH6J55</v>
          </cell>
          <cell r="C3025" t="str">
            <v>Operando</v>
          </cell>
        </row>
        <row r="3026">
          <cell r="B3026" t="str">
            <v>PSQ7G36</v>
          </cell>
          <cell r="C3026" t="str">
            <v> </v>
          </cell>
        </row>
        <row r="3027">
          <cell r="B3027" t="str">
            <v>PSR2741</v>
          </cell>
          <cell r="C3027" t="str">
            <v> </v>
          </cell>
        </row>
        <row r="3028">
          <cell r="B3028" t="str">
            <v>PSS3G14</v>
          </cell>
          <cell r="C3028" t="str">
            <v> </v>
          </cell>
        </row>
        <row r="3029">
          <cell r="B3029" t="str">
            <v>PSS7H18</v>
          </cell>
          <cell r="C3029" t="str">
            <v>Operando</v>
          </cell>
        </row>
        <row r="3030">
          <cell r="B3030" t="str">
            <v>PSY2J86</v>
          </cell>
          <cell r="C3030" t="str">
            <v> </v>
          </cell>
        </row>
        <row r="3031">
          <cell r="B3031" t="str">
            <v>PSZ8G58</v>
          </cell>
          <cell r="C3031" t="str">
            <v>Operando</v>
          </cell>
        </row>
        <row r="3032">
          <cell r="B3032" t="str">
            <v>PTC7D64</v>
          </cell>
          <cell r="C3032" t="str">
            <v>Operando</v>
          </cell>
        </row>
        <row r="3033">
          <cell r="B3033" t="str">
            <v>PTD7E50</v>
          </cell>
          <cell r="C3033" t="str">
            <v>Operando</v>
          </cell>
        </row>
        <row r="3034">
          <cell r="B3034" t="str">
            <v>PTG5G47</v>
          </cell>
          <cell r="C3034" t="str">
            <v> </v>
          </cell>
        </row>
        <row r="3035">
          <cell r="B3035" t="str">
            <v>PTH5F81</v>
          </cell>
          <cell r="C3035" t="str">
            <v> </v>
          </cell>
        </row>
        <row r="3036">
          <cell r="B3036" t="str">
            <v>PTH6J58</v>
          </cell>
          <cell r="C3036" t="str">
            <v> </v>
          </cell>
        </row>
        <row r="3037">
          <cell r="B3037" t="str">
            <v>PTQ9F24</v>
          </cell>
          <cell r="C3037" t="str">
            <v> </v>
          </cell>
        </row>
        <row r="3038">
          <cell r="B3038" t="str">
            <v>PTU3H35</v>
          </cell>
          <cell r="C3038" t="str">
            <v> </v>
          </cell>
        </row>
        <row r="3039">
          <cell r="B3039" t="str">
            <v>PTW0J53</v>
          </cell>
          <cell r="C3039" t="str">
            <v> </v>
          </cell>
        </row>
        <row r="3040">
          <cell r="B3040" t="str">
            <v>PTW6E83</v>
          </cell>
          <cell r="C3040" t="str">
            <v>Operando</v>
          </cell>
        </row>
        <row r="3041">
          <cell r="B3041" t="str">
            <v>PTX7A27</v>
          </cell>
          <cell r="C3041" t="str">
            <v>Operando</v>
          </cell>
        </row>
        <row r="3042">
          <cell r="B3042" t="str">
            <v>PTZ1B11</v>
          </cell>
          <cell r="C3042" t="str">
            <v> </v>
          </cell>
        </row>
        <row r="3043">
          <cell r="B3043" t="str">
            <v>PUA2G93</v>
          </cell>
          <cell r="C3043" t="str">
            <v> </v>
          </cell>
        </row>
        <row r="3044">
          <cell r="B3044" t="str">
            <v>PUA8216</v>
          </cell>
          <cell r="C3044" t="str">
            <v>Operando</v>
          </cell>
        </row>
        <row r="3045">
          <cell r="B3045" t="str">
            <v>PUA8347</v>
          </cell>
          <cell r="C3045" t="str">
            <v> </v>
          </cell>
        </row>
        <row r="3046">
          <cell r="B3046" t="str">
            <v>PUA8D13</v>
          </cell>
          <cell r="C3046" t="str">
            <v> </v>
          </cell>
        </row>
        <row r="3047">
          <cell r="B3047" t="str">
            <v>PUB9J94</v>
          </cell>
          <cell r="C3047" t="str">
            <v> </v>
          </cell>
        </row>
        <row r="3048">
          <cell r="B3048" t="str">
            <v>PUC1I60</v>
          </cell>
          <cell r="C3048" t="str">
            <v> </v>
          </cell>
        </row>
        <row r="3049">
          <cell r="B3049" t="str">
            <v>PUC2H24</v>
          </cell>
          <cell r="C3049" t="str">
            <v>Operando</v>
          </cell>
        </row>
        <row r="3050">
          <cell r="B3050" t="str">
            <v>PUG8F49</v>
          </cell>
          <cell r="C3050" t="str">
            <v> </v>
          </cell>
        </row>
        <row r="3051">
          <cell r="B3051" t="str">
            <v>PUG9913</v>
          </cell>
          <cell r="C3051" t="str">
            <v>Operando</v>
          </cell>
        </row>
        <row r="3052">
          <cell r="B3052" t="str">
            <v>PUH3C23</v>
          </cell>
          <cell r="C3052" t="str">
            <v>Operando</v>
          </cell>
        </row>
        <row r="3053">
          <cell r="B3053" t="str">
            <v>PUJ5J33</v>
          </cell>
          <cell r="C3053" t="str">
            <v> </v>
          </cell>
        </row>
        <row r="3054">
          <cell r="B3054" t="str">
            <v>PUJ7H04</v>
          </cell>
          <cell r="C3054" t="str">
            <v>Operando</v>
          </cell>
        </row>
        <row r="3055">
          <cell r="B3055" t="str">
            <v>PUJ9F45</v>
          </cell>
          <cell r="C3055" t="str">
            <v> </v>
          </cell>
        </row>
        <row r="3056">
          <cell r="B3056" t="str">
            <v>PUL5A82</v>
          </cell>
          <cell r="C3056" t="str">
            <v>Operando</v>
          </cell>
        </row>
        <row r="3057">
          <cell r="B3057" t="str">
            <v>PUM3I43</v>
          </cell>
          <cell r="C3057" t="str">
            <v> </v>
          </cell>
        </row>
        <row r="3058">
          <cell r="B3058" t="str">
            <v>PUN1J69</v>
          </cell>
          <cell r="C3058" t="str">
            <v> </v>
          </cell>
        </row>
        <row r="3059">
          <cell r="B3059" t="str">
            <v>PUN5553</v>
          </cell>
          <cell r="C3059" t="str">
            <v> </v>
          </cell>
        </row>
        <row r="3060">
          <cell r="B3060" t="str">
            <v>PUN7H75</v>
          </cell>
          <cell r="C3060" t="str">
            <v>Operando</v>
          </cell>
        </row>
        <row r="3061">
          <cell r="B3061" t="str">
            <v>PUO4E42</v>
          </cell>
          <cell r="C3061" t="str">
            <v> </v>
          </cell>
        </row>
        <row r="3062">
          <cell r="B3062" t="str">
            <v>PUO5J09</v>
          </cell>
          <cell r="C3062" t="str">
            <v> </v>
          </cell>
        </row>
        <row r="3063">
          <cell r="B3063" t="str">
            <v>PUP1F36</v>
          </cell>
          <cell r="C3063" t="str">
            <v> </v>
          </cell>
        </row>
        <row r="3064">
          <cell r="B3064" t="str">
            <v>PUR5C92</v>
          </cell>
          <cell r="C3064" t="str">
            <v>Agregado</v>
          </cell>
        </row>
        <row r="3065">
          <cell r="B3065" t="str">
            <v>PUU3I51</v>
          </cell>
          <cell r="C3065" t="str">
            <v> </v>
          </cell>
        </row>
        <row r="3066">
          <cell r="B3066" t="str">
            <v>PUU4C57</v>
          </cell>
          <cell r="C3066" t="str">
            <v>Operando</v>
          </cell>
        </row>
        <row r="3067">
          <cell r="B3067" t="str">
            <v>PUV4F26</v>
          </cell>
          <cell r="C3067" t="str">
            <v>Operando</v>
          </cell>
        </row>
        <row r="3068">
          <cell r="B3068" t="str">
            <v>PUV5D07</v>
          </cell>
          <cell r="C3068" t="str">
            <v>Operando</v>
          </cell>
        </row>
        <row r="3069">
          <cell r="B3069" t="str">
            <v>PUW5341</v>
          </cell>
          <cell r="C3069" t="str">
            <v>Operando</v>
          </cell>
        </row>
        <row r="3070">
          <cell r="B3070" t="str">
            <v>PUX6B75</v>
          </cell>
          <cell r="C3070" t="str">
            <v>Operando</v>
          </cell>
        </row>
        <row r="3071">
          <cell r="B3071" t="str">
            <v>PVA3G44</v>
          </cell>
          <cell r="C3071" t="str">
            <v>Operando</v>
          </cell>
        </row>
        <row r="3072">
          <cell r="B3072" t="str">
            <v>PVB4G50</v>
          </cell>
          <cell r="C3072" t="str">
            <v> </v>
          </cell>
        </row>
        <row r="3073">
          <cell r="B3073" t="str">
            <v>PVB6D78</v>
          </cell>
          <cell r="C3073" t="str">
            <v> </v>
          </cell>
        </row>
        <row r="3074">
          <cell r="B3074" t="str">
            <v>PVF2F19</v>
          </cell>
          <cell r="C3074" t="str">
            <v> </v>
          </cell>
        </row>
        <row r="3075">
          <cell r="B3075" t="str">
            <v>PVF8928</v>
          </cell>
          <cell r="C3075" t="str">
            <v> </v>
          </cell>
        </row>
        <row r="3076">
          <cell r="B3076" t="str">
            <v>PVG4J52</v>
          </cell>
          <cell r="C3076" t="str">
            <v> </v>
          </cell>
        </row>
        <row r="3077">
          <cell r="B3077" t="str">
            <v>PVH9B69</v>
          </cell>
          <cell r="C3077" t="str">
            <v> </v>
          </cell>
        </row>
        <row r="3078">
          <cell r="B3078" t="str">
            <v>PVI3J41</v>
          </cell>
          <cell r="C3078" t="str">
            <v>Operando</v>
          </cell>
        </row>
        <row r="3079">
          <cell r="B3079" t="str">
            <v>PVL3A60</v>
          </cell>
          <cell r="C3079" t="str">
            <v> </v>
          </cell>
        </row>
        <row r="3080">
          <cell r="B3080" t="str">
            <v>PVL9C76</v>
          </cell>
          <cell r="C3080" t="str">
            <v>Agregado</v>
          </cell>
        </row>
        <row r="3081">
          <cell r="B3081" t="str">
            <v>PVM0B20</v>
          </cell>
          <cell r="C3081" t="str">
            <v> </v>
          </cell>
        </row>
        <row r="3082">
          <cell r="B3082" t="str">
            <v>PVM4H10</v>
          </cell>
          <cell r="C3082" t="str">
            <v> </v>
          </cell>
        </row>
        <row r="3083">
          <cell r="B3083" t="str">
            <v>PVS2H09</v>
          </cell>
          <cell r="C3083" t="str">
            <v>Agregado</v>
          </cell>
        </row>
        <row r="3084">
          <cell r="B3084" t="str">
            <v>PVS3C40</v>
          </cell>
          <cell r="C3084" t="str">
            <v>Operando</v>
          </cell>
        </row>
        <row r="3085">
          <cell r="B3085" t="str">
            <v>PVT5832</v>
          </cell>
          <cell r="C3085" t="str">
            <v> </v>
          </cell>
        </row>
        <row r="3086">
          <cell r="B3086" t="str">
            <v>PVV9D43</v>
          </cell>
          <cell r="C3086" t="str">
            <v> </v>
          </cell>
        </row>
        <row r="3087">
          <cell r="B3087" t="str">
            <v>PVW6445</v>
          </cell>
          <cell r="C3087" t="str">
            <v>Operando</v>
          </cell>
        </row>
        <row r="3088">
          <cell r="B3088" t="str">
            <v>PVX7J50</v>
          </cell>
          <cell r="C3088" t="str">
            <v> </v>
          </cell>
        </row>
        <row r="3089">
          <cell r="B3089" t="str">
            <v>PWA3B43</v>
          </cell>
          <cell r="C3089" t="str">
            <v>Operando</v>
          </cell>
        </row>
        <row r="3090">
          <cell r="B3090" t="str">
            <v>PWC3E72</v>
          </cell>
          <cell r="C3090" t="str">
            <v> </v>
          </cell>
        </row>
        <row r="3091">
          <cell r="B3091" t="str">
            <v>PWC5H60</v>
          </cell>
          <cell r="C3091" t="str">
            <v> </v>
          </cell>
        </row>
        <row r="3092">
          <cell r="B3092" t="str">
            <v>PWE2023</v>
          </cell>
          <cell r="C3092" t="str">
            <v> </v>
          </cell>
        </row>
        <row r="3093">
          <cell r="B3093" t="str">
            <v>PWE9A36</v>
          </cell>
          <cell r="C3093" t="str">
            <v>Operando</v>
          </cell>
        </row>
        <row r="3094">
          <cell r="B3094" t="str">
            <v>PWF4585</v>
          </cell>
          <cell r="C3094" t="str">
            <v> </v>
          </cell>
        </row>
        <row r="3095">
          <cell r="B3095" t="str">
            <v>PWF9I90</v>
          </cell>
          <cell r="C3095" t="str">
            <v> </v>
          </cell>
        </row>
        <row r="3096">
          <cell r="B3096" t="str">
            <v>PWG6A41</v>
          </cell>
          <cell r="C3096" t="str">
            <v>Operando</v>
          </cell>
        </row>
        <row r="3097">
          <cell r="B3097" t="str">
            <v>PWI9I95</v>
          </cell>
          <cell r="C3097" t="str">
            <v> </v>
          </cell>
        </row>
        <row r="3098">
          <cell r="B3098" t="str">
            <v>PWJ8F91</v>
          </cell>
          <cell r="C3098" t="str">
            <v> </v>
          </cell>
        </row>
        <row r="3099">
          <cell r="B3099" t="str">
            <v>PWK3B02</v>
          </cell>
          <cell r="C3099" t="str">
            <v>Operando</v>
          </cell>
        </row>
        <row r="3100">
          <cell r="B3100" t="str">
            <v>PWL0254</v>
          </cell>
          <cell r="C3100" t="str">
            <v> </v>
          </cell>
        </row>
        <row r="3101">
          <cell r="B3101" t="str">
            <v>PWL4D06</v>
          </cell>
          <cell r="C3101" t="str">
            <v>Operando</v>
          </cell>
        </row>
        <row r="3102">
          <cell r="B3102" t="str">
            <v>PWP9E03</v>
          </cell>
          <cell r="C3102" t="str">
            <v> </v>
          </cell>
        </row>
        <row r="3103">
          <cell r="B3103" t="str">
            <v>PWQ5B92</v>
          </cell>
          <cell r="C3103" t="str">
            <v>Operando</v>
          </cell>
        </row>
        <row r="3104">
          <cell r="B3104" t="str">
            <v>PWQ6G65</v>
          </cell>
          <cell r="C3104" t="str">
            <v>Operando</v>
          </cell>
        </row>
        <row r="3105">
          <cell r="B3105" t="str">
            <v>PWT4F03</v>
          </cell>
          <cell r="C3105" t="str">
            <v>Operando</v>
          </cell>
        </row>
        <row r="3106">
          <cell r="B3106" t="str">
            <v>PWU6677</v>
          </cell>
          <cell r="C3106" t="str">
            <v> </v>
          </cell>
        </row>
        <row r="3107">
          <cell r="B3107" t="str">
            <v>PWW6077</v>
          </cell>
          <cell r="C3107" t="str">
            <v> </v>
          </cell>
        </row>
        <row r="3108">
          <cell r="B3108" t="str">
            <v>PWX0E62</v>
          </cell>
          <cell r="C3108" t="str">
            <v> </v>
          </cell>
        </row>
        <row r="3109">
          <cell r="B3109" t="str">
            <v>PXA1D75</v>
          </cell>
          <cell r="C3109" t="str">
            <v>Operando</v>
          </cell>
        </row>
        <row r="3110">
          <cell r="B3110" t="str">
            <v>PXA7G59</v>
          </cell>
          <cell r="C3110" t="str">
            <v>Operando</v>
          </cell>
        </row>
        <row r="3111">
          <cell r="B3111" t="str">
            <v>PXA8799</v>
          </cell>
          <cell r="C3111" t="str">
            <v> </v>
          </cell>
        </row>
        <row r="3112">
          <cell r="B3112" t="str">
            <v>PXB1761</v>
          </cell>
          <cell r="C3112" t="str">
            <v>Operando</v>
          </cell>
        </row>
        <row r="3113">
          <cell r="B3113" t="str">
            <v>PXC7516</v>
          </cell>
          <cell r="C3113" t="str">
            <v> </v>
          </cell>
        </row>
        <row r="3114">
          <cell r="B3114" t="str">
            <v>PXC8C81</v>
          </cell>
          <cell r="C3114" t="str">
            <v>Operando</v>
          </cell>
        </row>
        <row r="3115">
          <cell r="B3115" t="str">
            <v>PXE5E21</v>
          </cell>
          <cell r="C3115" t="str">
            <v> </v>
          </cell>
        </row>
        <row r="3116">
          <cell r="B3116" t="str">
            <v>PXJ5897</v>
          </cell>
          <cell r="C3116" t="str">
            <v> </v>
          </cell>
        </row>
        <row r="3117">
          <cell r="B3117" t="str">
            <v>PXN1H92</v>
          </cell>
          <cell r="C3117" t="str">
            <v>Operando</v>
          </cell>
        </row>
        <row r="3118">
          <cell r="B3118" t="str">
            <v>PXN3H27</v>
          </cell>
          <cell r="C3118" t="str">
            <v> </v>
          </cell>
        </row>
        <row r="3119">
          <cell r="B3119" t="str">
            <v>PXN4E95</v>
          </cell>
          <cell r="C3119" t="str">
            <v> </v>
          </cell>
        </row>
        <row r="3120">
          <cell r="B3120" t="str">
            <v>PXN4H29</v>
          </cell>
          <cell r="C3120" t="str">
            <v>Operando</v>
          </cell>
        </row>
        <row r="3121">
          <cell r="B3121" t="str">
            <v>PXO7E94</v>
          </cell>
          <cell r="C3121" t="str">
            <v> </v>
          </cell>
        </row>
        <row r="3122">
          <cell r="B3122" t="str">
            <v>PXP4H56</v>
          </cell>
          <cell r="C3122" t="str">
            <v> </v>
          </cell>
        </row>
        <row r="3123">
          <cell r="B3123" t="str">
            <v>PXP6698</v>
          </cell>
          <cell r="C3123" t="str">
            <v> </v>
          </cell>
        </row>
        <row r="3124">
          <cell r="B3124" t="str">
            <v>PXQ8477</v>
          </cell>
          <cell r="C3124" t="str">
            <v> </v>
          </cell>
        </row>
        <row r="3125">
          <cell r="B3125" t="str">
            <v>PXR1685</v>
          </cell>
          <cell r="C3125" t="str">
            <v> </v>
          </cell>
        </row>
        <row r="3126">
          <cell r="B3126" t="str">
            <v>PXS0A45</v>
          </cell>
          <cell r="C3126" t="str">
            <v>Operando</v>
          </cell>
        </row>
        <row r="3127">
          <cell r="B3127" t="str">
            <v>PXT9060</v>
          </cell>
          <cell r="C3127" t="str">
            <v>Agregado</v>
          </cell>
        </row>
        <row r="3128">
          <cell r="B3128" t="str">
            <v>PXW5792</v>
          </cell>
          <cell r="C3128" t="str">
            <v> </v>
          </cell>
        </row>
        <row r="3129">
          <cell r="B3129" t="str">
            <v>PXX1346</v>
          </cell>
          <cell r="C3129" t="str">
            <v> </v>
          </cell>
        </row>
        <row r="3130">
          <cell r="B3130" t="str">
            <v>PXY6H41</v>
          </cell>
          <cell r="C3130" t="str">
            <v> </v>
          </cell>
        </row>
        <row r="3131">
          <cell r="B3131" t="str">
            <v>PXY8I41</v>
          </cell>
          <cell r="C3131" t="str">
            <v> </v>
          </cell>
        </row>
        <row r="3132">
          <cell r="B3132" t="str">
            <v>PYC7C37</v>
          </cell>
          <cell r="C3132" t="str">
            <v>Operando</v>
          </cell>
        </row>
        <row r="3133">
          <cell r="B3133" t="str">
            <v>PYE2F25</v>
          </cell>
          <cell r="C3133" t="str">
            <v> </v>
          </cell>
        </row>
        <row r="3134">
          <cell r="B3134" t="str">
            <v>PYE6I50</v>
          </cell>
          <cell r="C3134" t="str">
            <v>Operando</v>
          </cell>
        </row>
        <row r="3135">
          <cell r="B3135" t="str">
            <v>PYF9A92</v>
          </cell>
          <cell r="C3135" t="str">
            <v> </v>
          </cell>
        </row>
        <row r="3136">
          <cell r="B3136" t="str">
            <v>PYH0H43</v>
          </cell>
          <cell r="C3136" t="str">
            <v> </v>
          </cell>
        </row>
        <row r="3137">
          <cell r="B3137" t="str">
            <v>PYH1C13</v>
          </cell>
          <cell r="C3137" t="str">
            <v> </v>
          </cell>
        </row>
        <row r="3138">
          <cell r="B3138" t="str">
            <v>PYH9H36</v>
          </cell>
          <cell r="C3138" t="str">
            <v> </v>
          </cell>
        </row>
        <row r="3139">
          <cell r="B3139" t="str">
            <v>PYJ1H71</v>
          </cell>
          <cell r="C3139" t="str">
            <v>Operando</v>
          </cell>
        </row>
        <row r="3140">
          <cell r="B3140" t="str">
            <v>PYK7J67</v>
          </cell>
          <cell r="C3140" t="str">
            <v> </v>
          </cell>
        </row>
        <row r="3141">
          <cell r="B3141" t="str">
            <v>PYK9H45</v>
          </cell>
          <cell r="C3141" t="str">
            <v> </v>
          </cell>
        </row>
        <row r="3142">
          <cell r="B3142" t="str">
            <v>PYL4F50</v>
          </cell>
          <cell r="C3142" t="str">
            <v>Operando</v>
          </cell>
        </row>
        <row r="3143">
          <cell r="B3143" t="str">
            <v>PYL7E47</v>
          </cell>
          <cell r="C3143" t="str">
            <v> </v>
          </cell>
        </row>
        <row r="3144">
          <cell r="B3144" t="str">
            <v>PYL7F47</v>
          </cell>
          <cell r="C3144" t="str">
            <v> </v>
          </cell>
        </row>
        <row r="3145">
          <cell r="B3145" t="str">
            <v>PYN0G56</v>
          </cell>
          <cell r="C3145" t="str">
            <v>Operando</v>
          </cell>
        </row>
        <row r="3146">
          <cell r="B3146" t="str">
            <v>PYN0J77</v>
          </cell>
          <cell r="C3146" t="str">
            <v>Operando</v>
          </cell>
        </row>
        <row r="3147">
          <cell r="B3147" t="str">
            <v>PYQ4C50</v>
          </cell>
          <cell r="C3147" t="str">
            <v> </v>
          </cell>
        </row>
        <row r="3148">
          <cell r="B3148" t="str">
            <v>PYQ6A28</v>
          </cell>
          <cell r="C3148" t="str">
            <v> </v>
          </cell>
        </row>
        <row r="3149">
          <cell r="B3149" t="str">
            <v>PYR4J73</v>
          </cell>
          <cell r="C3149" t="str">
            <v>Carregado</v>
          </cell>
        </row>
        <row r="3150">
          <cell r="B3150" t="str">
            <v>PYS1A29</v>
          </cell>
          <cell r="C3150" t="str">
            <v>Operando</v>
          </cell>
        </row>
        <row r="3151">
          <cell r="B3151" t="str">
            <v>PYT2I78</v>
          </cell>
          <cell r="C3151" t="str">
            <v> </v>
          </cell>
        </row>
        <row r="3152">
          <cell r="B3152" t="str">
            <v>PYT8727</v>
          </cell>
          <cell r="C3152" t="str">
            <v> </v>
          </cell>
        </row>
        <row r="3153">
          <cell r="B3153" t="str">
            <v>PYV8268</v>
          </cell>
          <cell r="C3153" t="str">
            <v> </v>
          </cell>
        </row>
        <row r="3154">
          <cell r="B3154" t="str">
            <v>PYV8C68</v>
          </cell>
          <cell r="C3154" t="str">
            <v> </v>
          </cell>
        </row>
        <row r="3155">
          <cell r="B3155" t="str">
            <v>PYW8D50</v>
          </cell>
          <cell r="C3155" t="str">
            <v> </v>
          </cell>
        </row>
        <row r="3156">
          <cell r="B3156" t="str">
            <v>PYY5608</v>
          </cell>
          <cell r="C3156" t="str">
            <v>Agregado</v>
          </cell>
        </row>
        <row r="3157">
          <cell r="B3157" t="str">
            <v>PYY6066</v>
          </cell>
          <cell r="C3157" t="str">
            <v> </v>
          </cell>
        </row>
        <row r="3158">
          <cell r="B3158" t="str">
            <v>PZB0I36</v>
          </cell>
          <cell r="C3158" t="str">
            <v>Operando</v>
          </cell>
        </row>
        <row r="3159">
          <cell r="B3159" t="str">
            <v>PZC2D54</v>
          </cell>
          <cell r="C3159" t="str">
            <v> </v>
          </cell>
        </row>
        <row r="3160">
          <cell r="B3160" t="str">
            <v>PZC3170</v>
          </cell>
          <cell r="C3160" t="str">
            <v> </v>
          </cell>
        </row>
        <row r="3161">
          <cell r="B3161" t="str">
            <v>PZD3837</v>
          </cell>
          <cell r="C3161" t="str">
            <v> </v>
          </cell>
        </row>
        <row r="3162">
          <cell r="B3162" t="str">
            <v>PZD6D96</v>
          </cell>
          <cell r="C3162" t="str">
            <v> </v>
          </cell>
        </row>
        <row r="3163">
          <cell r="B3163" t="str">
            <v>PZF6236</v>
          </cell>
          <cell r="C3163" t="str">
            <v> </v>
          </cell>
        </row>
        <row r="3164">
          <cell r="B3164" t="str">
            <v>PZF6770</v>
          </cell>
          <cell r="C3164" t="str">
            <v> </v>
          </cell>
        </row>
        <row r="3165">
          <cell r="B3165" t="str">
            <v>PZF6H70</v>
          </cell>
          <cell r="C3165" t="str">
            <v> </v>
          </cell>
        </row>
        <row r="3166">
          <cell r="B3166" t="str">
            <v>PZF6I98</v>
          </cell>
          <cell r="C3166" t="str">
            <v>Operando</v>
          </cell>
        </row>
        <row r="3167">
          <cell r="B3167" t="str">
            <v>PZG4G59</v>
          </cell>
          <cell r="C3167" t="str">
            <v>Operando</v>
          </cell>
        </row>
        <row r="3168">
          <cell r="B3168" t="str">
            <v>PZH1B24</v>
          </cell>
          <cell r="C3168" t="str">
            <v>Carregado</v>
          </cell>
        </row>
        <row r="3169">
          <cell r="B3169" t="str">
            <v>PZJ1F25</v>
          </cell>
          <cell r="C3169" t="str">
            <v>Operando</v>
          </cell>
        </row>
        <row r="3170">
          <cell r="B3170" t="str">
            <v>PZJ1F25</v>
          </cell>
          <cell r="C3170" t="str">
            <v>Operando</v>
          </cell>
        </row>
        <row r="3171">
          <cell r="B3171" t="str">
            <v>PZL5C84</v>
          </cell>
          <cell r="C3171" t="str">
            <v> </v>
          </cell>
        </row>
        <row r="3172">
          <cell r="B3172" t="str">
            <v>PZM3I49</v>
          </cell>
          <cell r="C3172" t="str">
            <v> </v>
          </cell>
        </row>
        <row r="3173">
          <cell r="B3173" t="str">
            <v>PZM6D11</v>
          </cell>
          <cell r="C3173" t="str">
            <v> </v>
          </cell>
        </row>
        <row r="3174">
          <cell r="B3174" t="str">
            <v>PZO2404</v>
          </cell>
          <cell r="C3174" t="str">
            <v> </v>
          </cell>
        </row>
        <row r="3175">
          <cell r="B3175" t="str">
            <v>PZO7E42</v>
          </cell>
          <cell r="C3175" t="str">
            <v> </v>
          </cell>
        </row>
        <row r="3176">
          <cell r="B3176" t="str">
            <v>PZO7F02</v>
          </cell>
          <cell r="C3176" t="str">
            <v>Operando</v>
          </cell>
        </row>
        <row r="3177">
          <cell r="B3177" t="str">
            <v>PZP9G17</v>
          </cell>
          <cell r="C3177" t="str">
            <v>Operando</v>
          </cell>
        </row>
        <row r="3178">
          <cell r="B3178" t="str">
            <v>PZR7D53</v>
          </cell>
          <cell r="C3178" t="str">
            <v> </v>
          </cell>
        </row>
        <row r="3179">
          <cell r="B3179" t="str">
            <v>PZR7F03</v>
          </cell>
          <cell r="C3179" t="str">
            <v> </v>
          </cell>
        </row>
        <row r="3180">
          <cell r="B3180" t="str">
            <v>PZR7H93</v>
          </cell>
          <cell r="C3180" t="str">
            <v>Operando</v>
          </cell>
        </row>
        <row r="3181">
          <cell r="B3181" t="str">
            <v>PZS6163</v>
          </cell>
          <cell r="C3181" t="str">
            <v> </v>
          </cell>
        </row>
        <row r="3182">
          <cell r="B3182" t="str">
            <v>PZT5J13</v>
          </cell>
          <cell r="C3182" t="str">
            <v> </v>
          </cell>
        </row>
        <row r="3183">
          <cell r="B3183" t="str">
            <v>PZV7I77</v>
          </cell>
          <cell r="C3183" t="str">
            <v>Sem operação</v>
          </cell>
        </row>
        <row r="3184">
          <cell r="B3184" t="str">
            <v>PZW5F82</v>
          </cell>
          <cell r="C3184" t="str">
            <v>Operando</v>
          </cell>
        </row>
        <row r="3185">
          <cell r="B3185" t="str">
            <v>PZW8F81</v>
          </cell>
          <cell r="C3185" t="str">
            <v> </v>
          </cell>
        </row>
        <row r="3186">
          <cell r="B3186" t="str">
            <v>PZX5D69</v>
          </cell>
          <cell r="C3186" t="str">
            <v>Operando</v>
          </cell>
        </row>
        <row r="3187">
          <cell r="B3187" t="str">
            <v>PZX8E98</v>
          </cell>
          <cell r="C3187" t="str">
            <v> </v>
          </cell>
        </row>
        <row r="3188">
          <cell r="B3188" t="str">
            <v>PZY6I45</v>
          </cell>
          <cell r="C3188" t="str">
            <v> </v>
          </cell>
        </row>
        <row r="3189">
          <cell r="B3189" t="str">
            <v>PZZ1F12</v>
          </cell>
          <cell r="C3189" t="str">
            <v> </v>
          </cell>
        </row>
        <row r="3190">
          <cell r="B3190" t="str">
            <v>PZZ5147</v>
          </cell>
          <cell r="C3190" t="str">
            <v>Operando</v>
          </cell>
        </row>
        <row r="3191">
          <cell r="B3191" t="str">
            <v>QAA2620</v>
          </cell>
          <cell r="C3191" t="str">
            <v> </v>
          </cell>
        </row>
        <row r="3192">
          <cell r="B3192" t="str">
            <v>QAA4I05</v>
          </cell>
          <cell r="C3192" t="str">
            <v>Operando</v>
          </cell>
        </row>
        <row r="3193">
          <cell r="B3193" t="str">
            <v>QAD2615</v>
          </cell>
          <cell r="C3193" t="str">
            <v> </v>
          </cell>
        </row>
        <row r="3194">
          <cell r="B3194" t="str">
            <v>QAD6H05</v>
          </cell>
          <cell r="C3194" t="str">
            <v>Operando</v>
          </cell>
        </row>
        <row r="3195">
          <cell r="B3195" t="str">
            <v>QAF8C76</v>
          </cell>
          <cell r="C3195" t="str">
            <v> </v>
          </cell>
        </row>
        <row r="3196">
          <cell r="B3196" t="str">
            <v>QAH6139</v>
          </cell>
          <cell r="C3196" t="str">
            <v> </v>
          </cell>
        </row>
        <row r="3197">
          <cell r="B3197" t="str">
            <v>QAI9F07</v>
          </cell>
          <cell r="C3197" t="str">
            <v>Operando</v>
          </cell>
        </row>
        <row r="3198">
          <cell r="B3198" t="str">
            <v>QAK6571</v>
          </cell>
          <cell r="C3198" t="str">
            <v> </v>
          </cell>
        </row>
        <row r="3199">
          <cell r="B3199" t="str">
            <v>QAL2221</v>
          </cell>
          <cell r="C3199" t="str">
            <v> </v>
          </cell>
        </row>
        <row r="3200">
          <cell r="B3200" t="str">
            <v>QAL3B61</v>
          </cell>
          <cell r="C3200" t="str">
            <v>Operando</v>
          </cell>
        </row>
        <row r="3201">
          <cell r="B3201" t="str">
            <v>QAL4F04</v>
          </cell>
          <cell r="C3201" t="str">
            <v> </v>
          </cell>
        </row>
        <row r="3202">
          <cell r="B3202" t="str">
            <v>QAM6C69</v>
          </cell>
          <cell r="C3202" t="str">
            <v> </v>
          </cell>
        </row>
        <row r="3203">
          <cell r="B3203" t="str">
            <v>QAQ9E98</v>
          </cell>
          <cell r="C3203" t="str">
            <v>Operando</v>
          </cell>
        </row>
        <row r="3204">
          <cell r="B3204" t="str">
            <v>QAU4I09</v>
          </cell>
          <cell r="C3204" t="str">
            <v>Agregado</v>
          </cell>
        </row>
        <row r="3205">
          <cell r="B3205" t="str">
            <v>QAV1E05</v>
          </cell>
          <cell r="C3205" t="str">
            <v> </v>
          </cell>
        </row>
        <row r="3206">
          <cell r="B3206" t="str">
            <v>QBA7A99</v>
          </cell>
          <cell r="C3206" t="str">
            <v>Operando</v>
          </cell>
        </row>
        <row r="3207">
          <cell r="B3207" t="str">
            <v>QBC0C87</v>
          </cell>
          <cell r="C3207" t="str">
            <v> </v>
          </cell>
        </row>
        <row r="3208">
          <cell r="B3208" t="str">
            <v>QBD0A40</v>
          </cell>
          <cell r="C3208" t="str">
            <v> </v>
          </cell>
        </row>
        <row r="3209">
          <cell r="B3209" t="str">
            <v>QBJ8C37</v>
          </cell>
          <cell r="C3209" t="str">
            <v> </v>
          </cell>
        </row>
        <row r="3210">
          <cell r="B3210" t="str">
            <v>QBN2E52</v>
          </cell>
          <cell r="C3210" t="str">
            <v>Operando</v>
          </cell>
        </row>
        <row r="3211">
          <cell r="B3211" t="str">
            <v>QBO4C60</v>
          </cell>
          <cell r="C3211" t="str">
            <v> </v>
          </cell>
        </row>
        <row r="3212">
          <cell r="B3212" t="str">
            <v>QBQ5J41</v>
          </cell>
          <cell r="C3212" t="str">
            <v> </v>
          </cell>
        </row>
        <row r="3213">
          <cell r="B3213" t="str">
            <v>QBU1J68</v>
          </cell>
          <cell r="C3213" t="str">
            <v> </v>
          </cell>
        </row>
        <row r="3214">
          <cell r="B3214" t="str">
            <v>QBV9E78</v>
          </cell>
          <cell r="C3214" t="str">
            <v>Agregado</v>
          </cell>
        </row>
        <row r="3215">
          <cell r="B3215" t="str">
            <v>QCG5787</v>
          </cell>
          <cell r="C3215" t="str">
            <v> </v>
          </cell>
        </row>
        <row r="3216">
          <cell r="B3216" t="str">
            <v>QCN5C85</v>
          </cell>
          <cell r="C3216" t="str">
            <v>Operando</v>
          </cell>
        </row>
        <row r="3217">
          <cell r="B3217" t="str">
            <v>QCP5J37</v>
          </cell>
          <cell r="C3217" t="str">
            <v> </v>
          </cell>
        </row>
        <row r="3218">
          <cell r="B3218" t="str">
            <v>QCS1I98</v>
          </cell>
          <cell r="C3218" t="str">
            <v> </v>
          </cell>
        </row>
        <row r="3219">
          <cell r="B3219" t="str">
            <v>QCY3637</v>
          </cell>
          <cell r="C3219" t="str">
            <v>Operando</v>
          </cell>
        </row>
        <row r="3220">
          <cell r="B3220" t="str">
            <v>QEJ4J22</v>
          </cell>
          <cell r="C3220" t="str">
            <v> </v>
          </cell>
        </row>
        <row r="3221">
          <cell r="B3221" t="str">
            <v>QEW9D25</v>
          </cell>
          <cell r="C3221" t="str">
            <v>Operando</v>
          </cell>
        </row>
        <row r="3222">
          <cell r="B3222" t="str">
            <v>QFA2F36</v>
          </cell>
          <cell r="C3222" t="str">
            <v> </v>
          </cell>
        </row>
        <row r="3223">
          <cell r="B3223" t="str">
            <v>QFK5J54</v>
          </cell>
          <cell r="C3223" t="str">
            <v> </v>
          </cell>
        </row>
        <row r="3224">
          <cell r="B3224" t="str">
            <v>QFT1F47</v>
          </cell>
          <cell r="C3224" t="str">
            <v> </v>
          </cell>
        </row>
        <row r="3225">
          <cell r="B3225" t="str">
            <v>QGJ0B00</v>
          </cell>
          <cell r="C3225" t="str">
            <v>Operando</v>
          </cell>
        </row>
        <row r="3226">
          <cell r="B3226" t="str">
            <v>QGP6698</v>
          </cell>
          <cell r="C3226" t="str">
            <v>Operando</v>
          </cell>
        </row>
        <row r="3227">
          <cell r="B3227" t="str">
            <v>QHA8B04</v>
          </cell>
          <cell r="C3227" t="str">
            <v> </v>
          </cell>
        </row>
        <row r="3228">
          <cell r="B3228" t="str">
            <v>QHC9G48</v>
          </cell>
          <cell r="C3228" t="str">
            <v> </v>
          </cell>
        </row>
        <row r="3229">
          <cell r="B3229" t="str">
            <v>QHG3J77</v>
          </cell>
          <cell r="C3229" t="str">
            <v> </v>
          </cell>
        </row>
        <row r="3230">
          <cell r="B3230" t="str">
            <v>QHH0C46</v>
          </cell>
          <cell r="C3230" t="str">
            <v> </v>
          </cell>
        </row>
        <row r="3231">
          <cell r="B3231" t="str">
            <v>QHI7C69</v>
          </cell>
          <cell r="C3231" t="str">
            <v> </v>
          </cell>
        </row>
        <row r="3232">
          <cell r="B3232" t="str">
            <v>QHM5F81</v>
          </cell>
          <cell r="C3232" t="str">
            <v>Operando</v>
          </cell>
        </row>
        <row r="3233">
          <cell r="B3233" t="str">
            <v>QHM6D33</v>
          </cell>
          <cell r="C3233" t="str">
            <v> </v>
          </cell>
        </row>
        <row r="3234">
          <cell r="B3234" t="str">
            <v>QHM9H57</v>
          </cell>
          <cell r="C3234" t="str">
            <v> </v>
          </cell>
        </row>
        <row r="3235">
          <cell r="B3235" t="str">
            <v>QHO3104</v>
          </cell>
          <cell r="C3235" t="str">
            <v> </v>
          </cell>
        </row>
        <row r="3236">
          <cell r="B3236" t="str">
            <v>QHP7G60</v>
          </cell>
          <cell r="C3236" t="str">
            <v> </v>
          </cell>
        </row>
        <row r="3237">
          <cell r="B3237" t="str">
            <v>QHS0D95</v>
          </cell>
          <cell r="C3237" t="str">
            <v> </v>
          </cell>
        </row>
        <row r="3238">
          <cell r="B3238" t="str">
            <v>QHS5H35</v>
          </cell>
          <cell r="C3238" t="str">
            <v> </v>
          </cell>
        </row>
        <row r="3239">
          <cell r="B3239" t="str">
            <v>QHT6D05</v>
          </cell>
          <cell r="C3239" t="str">
            <v>Operando</v>
          </cell>
        </row>
        <row r="3240">
          <cell r="B3240" t="str">
            <v>QHT7B81</v>
          </cell>
          <cell r="C3240" t="str">
            <v>Operando</v>
          </cell>
        </row>
        <row r="3241">
          <cell r="B3241" t="str">
            <v>QHU2H25</v>
          </cell>
          <cell r="C3241" t="str">
            <v> </v>
          </cell>
        </row>
        <row r="3242">
          <cell r="B3242" t="str">
            <v>QHX5B18</v>
          </cell>
          <cell r="C3242" t="str">
            <v> </v>
          </cell>
        </row>
        <row r="3243">
          <cell r="B3243" t="str">
            <v>QHX7503</v>
          </cell>
          <cell r="C3243" t="str">
            <v> </v>
          </cell>
        </row>
        <row r="3244">
          <cell r="B3244" t="str">
            <v>QIB0J79</v>
          </cell>
          <cell r="C3244" t="str">
            <v> </v>
          </cell>
        </row>
        <row r="3245">
          <cell r="B3245" t="str">
            <v>QIB4C51</v>
          </cell>
          <cell r="C3245" t="str">
            <v> </v>
          </cell>
        </row>
        <row r="3246">
          <cell r="B3246" t="str">
            <v>QIE1I51</v>
          </cell>
          <cell r="C3246" t="str">
            <v> </v>
          </cell>
        </row>
        <row r="3247">
          <cell r="B3247" t="str">
            <v>QIK2180</v>
          </cell>
          <cell r="C3247" t="str">
            <v> </v>
          </cell>
        </row>
        <row r="3248">
          <cell r="B3248" t="str">
            <v>QIK6H46</v>
          </cell>
          <cell r="C3248" t="str">
            <v>Operando</v>
          </cell>
        </row>
        <row r="3249">
          <cell r="B3249" t="str">
            <v>QIL4I40</v>
          </cell>
          <cell r="C3249" t="str">
            <v>Operando</v>
          </cell>
        </row>
        <row r="3250">
          <cell r="B3250" t="str">
            <v>QIM5F91</v>
          </cell>
          <cell r="C3250" t="str">
            <v> </v>
          </cell>
        </row>
        <row r="3251">
          <cell r="B3251" t="str">
            <v>QIN3B95</v>
          </cell>
          <cell r="C3251" t="str">
            <v> </v>
          </cell>
        </row>
        <row r="3252">
          <cell r="B3252" t="str">
            <v>QIQ3H17</v>
          </cell>
          <cell r="C3252" t="str">
            <v> </v>
          </cell>
        </row>
        <row r="3253">
          <cell r="B3253" t="str">
            <v>QIR1H92</v>
          </cell>
          <cell r="C3253" t="str">
            <v> </v>
          </cell>
        </row>
        <row r="3254">
          <cell r="B3254" t="str">
            <v>QIV6D42</v>
          </cell>
          <cell r="C3254" t="str">
            <v> </v>
          </cell>
        </row>
        <row r="3255">
          <cell r="B3255" t="str">
            <v>QIW2489</v>
          </cell>
          <cell r="C3255" t="str">
            <v> </v>
          </cell>
        </row>
        <row r="3256">
          <cell r="B3256" t="str">
            <v>QIZ0I43</v>
          </cell>
          <cell r="C3256" t="str">
            <v> </v>
          </cell>
        </row>
        <row r="3257">
          <cell r="B3257" t="str">
            <v>QIZ2E09</v>
          </cell>
          <cell r="C3257" t="str">
            <v> </v>
          </cell>
        </row>
        <row r="3258">
          <cell r="B3258" t="str">
            <v>QJD2E57</v>
          </cell>
          <cell r="C3258" t="str">
            <v> </v>
          </cell>
        </row>
        <row r="3259">
          <cell r="B3259" t="str">
            <v>QJE3E23</v>
          </cell>
          <cell r="C3259" t="str">
            <v>Operando</v>
          </cell>
        </row>
        <row r="3260">
          <cell r="B3260" t="str">
            <v>QJE9938</v>
          </cell>
          <cell r="C3260" t="str">
            <v> </v>
          </cell>
        </row>
        <row r="3261">
          <cell r="B3261" t="str">
            <v>QJG6D54</v>
          </cell>
          <cell r="C3261" t="str">
            <v>Operando</v>
          </cell>
        </row>
        <row r="3262">
          <cell r="B3262" t="str">
            <v>QJK0384</v>
          </cell>
          <cell r="C3262" t="str">
            <v> </v>
          </cell>
        </row>
        <row r="3263">
          <cell r="B3263" t="str">
            <v>QJK5D54</v>
          </cell>
          <cell r="C3263" t="str">
            <v> </v>
          </cell>
        </row>
        <row r="3264">
          <cell r="B3264" t="str">
            <v>QJN0H66</v>
          </cell>
          <cell r="C3264" t="str">
            <v> </v>
          </cell>
        </row>
        <row r="3265">
          <cell r="B3265" t="str">
            <v>QJP3H22</v>
          </cell>
          <cell r="C3265" t="str">
            <v>Operando</v>
          </cell>
        </row>
        <row r="3266">
          <cell r="B3266" t="str">
            <v>QJV8A97</v>
          </cell>
          <cell r="C3266" t="str">
            <v> </v>
          </cell>
        </row>
        <row r="3267">
          <cell r="B3267" t="str">
            <v>QJX2I82</v>
          </cell>
          <cell r="C3267" t="str">
            <v>Operando</v>
          </cell>
        </row>
        <row r="3268">
          <cell r="B3268" t="str">
            <v>QJX9106</v>
          </cell>
          <cell r="C3268" t="str">
            <v> </v>
          </cell>
        </row>
        <row r="3269">
          <cell r="B3269" t="str">
            <v>QJY9H45</v>
          </cell>
          <cell r="C3269" t="str">
            <v> </v>
          </cell>
        </row>
        <row r="3270">
          <cell r="B3270" t="str">
            <v>QJZ4B64</v>
          </cell>
          <cell r="C3270" t="str">
            <v> </v>
          </cell>
        </row>
        <row r="3271">
          <cell r="B3271" t="str">
            <v>QKA0378</v>
          </cell>
          <cell r="C3271" t="str">
            <v>Operando</v>
          </cell>
        </row>
        <row r="3272">
          <cell r="B3272" t="str">
            <v>QKE0B45</v>
          </cell>
          <cell r="C3272" t="str">
            <v>Operando</v>
          </cell>
        </row>
        <row r="3273">
          <cell r="B3273" t="str">
            <v>QKJ8I37</v>
          </cell>
          <cell r="C3273" t="str">
            <v> </v>
          </cell>
        </row>
        <row r="3274">
          <cell r="B3274" t="str">
            <v>QKO2A36</v>
          </cell>
          <cell r="C3274" t="str">
            <v>Agregado</v>
          </cell>
        </row>
        <row r="3275">
          <cell r="B3275" t="str">
            <v>QKO4D63</v>
          </cell>
          <cell r="C3275" t="str">
            <v>Operando</v>
          </cell>
        </row>
        <row r="3276">
          <cell r="B3276" t="str">
            <v>QKR4J78</v>
          </cell>
          <cell r="C3276" t="str">
            <v> </v>
          </cell>
        </row>
        <row r="3277">
          <cell r="B3277" t="str">
            <v>QLO3B71</v>
          </cell>
          <cell r="C3277" t="str">
            <v> </v>
          </cell>
        </row>
        <row r="3278">
          <cell r="B3278" t="str">
            <v>QLO3I63</v>
          </cell>
          <cell r="C3278" t="str">
            <v> </v>
          </cell>
        </row>
        <row r="3279">
          <cell r="B3279" t="str">
            <v>QMS0F89</v>
          </cell>
          <cell r="C3279" t="str">
            <v> </v>
          </cell>
        </row>
        <row r="3280">
          <cell r="B3280" t="str">
            <v>QMS7A21</v>
          </cell>
          <cell r="C3280" t="str">
            <v> </v>
          </cell>
        </row>
        <row r="3281">
          <cell r="B3281" t="str">
            <v>QMT3120</v>
          </cell>
          <cell r="C3281" t="str">
            <v>Operando</v>
          </cell>
        </row>
        <row r="3282">
          <cell r="B3282" t="str">
            <v>QMT7I23</v>
          </cell>
          <cell r="C3282" t="str">
            <v> </v>
          </cell>
        </row>
        <row r="3283">
          <cell r="B3283" t="str">
            <v>QMU9I46</v>
          </cell>
          <cell r="C3283" t="str">
            <v> </v>
          </cell>
        </row>
        <row r="3284">
          <cell r="B3284" t="str">
            <v>QMX6E62</v>
          </cell>
          <cell r="C3284" t="str">
            <v>Operando</v>
          </cell>
        </row>
        <row r="3285">
          <cell r="B3285" t="str">
            <v>QNA4I44</v>
          </cell>
          <cell r="C3285" t="str">
            <v>Operando</v>
          </cell>
        </row>
        <row r="3286">
          <cell r="B3286" t="str">
            <v>QNB0B68</v>
          </cell>
          <cell r="C3286" t="str">
            <v>Operando</v>
          </cell>
        </row>
        <row r="3287">
          <cell r="B3287" t="str">
            <v>QNB6C41</v>
          </cell>
          <cell r="C3287" t="str">
            <v>Operando</v>
          </cell>
        </row>
        <row r="3288">
          <cell r="B3288" t="str">
            <v>QND1F50</v>
          </cell>
          <cell r="C3288" t="str">
            <v> </v>
          </cell>
        </row>
        <row r="3289">
          <cell r="B3289" t="str">
            <v>QND4G75</v>
          </cell>
          <cell r="C3289" t="str">
            <v> </v>
          </cell>
        </row>
        <row r="3290">
          <cell r="B3290" t="str">
            <v>QNF0J61</v>
          </cell>
          <cell r="C3290" t="str">
            <v>Operando</v>
          </cell>
        </row>
        <row r="3291">
          <cell r="B3291" t="str">
            <v>QNF4114</v>
          </cell>
          <cell r="C3291" t="str">
            <v> </v>
          </cell>
        </row>
        <row r="3292">
          <cell r="B3292" t="str">
            <v>QNG3B68</v>
          </cell>
          <cell r="C3292" t="str">
            <v>Operando</v>
          </cell>
        </row>
        <row r="3293">
          <cell r="B3293" t="str">
            <v>QNH5345</v>
          </cell>
          <cell r="C3293" t="str">
            <v>Operando</v>
          </cell>
        </row>
        <row r="3294">
          <cell r="B3294" t="str">
            <v>QNH5A80</v>
          </cell>
          <cell r="C3294" t="str">
            <v>Operando</v>
          </cell>
        </row>
        <row r="3295">
          <cell r="B3295" t="str">
            <v>QNI4I89</v>
          </cell>
          <cell r="C3295" t="str">
            <v> </v>
          </cell>
        </row>
        <row r="3296">
          <cell r="B3296" t="str">
            <v>QNI5E70</v>
          </cell>
          <cell r="C3296" t="str">
            <v> </v>
          </cell>
        </row>
        <row r="3297">
          <cell r="B3297" t="str">
            <v>QNI9817</v>
          </cell>
          <cell r="C3297" t="str">
            <v> </v>
          </cell>
        </row>
        <row r="3298">
          <cell r="B3298" t="str">
            <v>QNJ1C85</v>
          </cell>
          <cell r="C3298" t="str">
            <v> </v>
          </cell>
        </row>
        <row r="3299">
          <cell r="B3299" t="str">
            <v>QNJ3F47</v>
          </cell>
          <cell r="C3299" t="str">
            <v> </v>
          </cell>
        </row>
        <row r="3300">
          <cell r="B3300" t="str">
            <v>QNJ8164</v>
          </cell>
          <cell r="C3300" t="str">
            <v>Operando</v>
          </cell>
        </row>
        <row r="3301">
          <cell r="B3301" t="str">
            <v>QNJ9074</v>
          </cell>
          <cell r="C3301" t="str">
            <v> </v>
          </cell>
        </row>
        <row r="3302">
          <cell r="B3302" t="str">
            <v>QNJ9C06</v>
          </cell>
          <cell r="C3302" t="str">
            <v>Operando</v>
          </cell>
        </row>
        <row r="3303">
          <cell r="B3303" t="str">
            <v>QNJ9F68</v>
          </cell>
          <cell r="C3303" t="str">
            <v> </v>
          </cell>
        </row>
        <row r="3304">
          <cell r="B3304" t="str">
            <v>QNK3I70</v>
          </cell>
          <cell r="C3304" t="str">
            <v> </v>
          </cell>
        </row>
        <row r="3305">
          <cell r="B3305" t="str">
            <v>QNM3I88</v>
          </cell>
          <cell r="C3305" t="str">
            <v>Operando</v>
          </cell>
        </row>
        <row r="3306">
          <cell r="B3306" t="str">
            <v>QNM5D49</v>
          </cell>
          <cell r="C3306" t="str">
            <v> </v>
          </cell>
        </row>
        <row r="3307">
          <cell r="B3307" t="str">
            <v>QNM5J52</v>
          </cell>
          <cell r="C3307" t="str">
            <v> </v>
          </cell>
        </row>
        <row r="3308">
          <cell r="B3308" t="str">
            <v>QNN8975</v>
          </cell>
          <cell r="C3308" t="str">
            <v> </v>
          </cell>
        </row>
        <row r="3309">
          <cell r="B3309" t="str">
            <v>QNN9E24</v>
          </cell>
          <cell r="C3309" t="str">
            <v>Operando</v>
          </cell>
        </row>
        <row r="3310">
          <cell r="B3310" t="str">
            <v>QNO0784</v>
          </cell>
          <cell r="C3310" t="str">
            <v>Operando</v>
          </cell>
        </row>
        <row r="3311">
          <cell r="B3311" t="str">
            <v>QNP3J77</v>
          </cell>
          <cell r="C3311" t="str">
            <v> </v>
          </cell>
        </row>
        <row r="3312">
          <cell r="B3312" t="str">
            <v>QNP9F72</v>
          </cell>
          <cell r="C3312" t="str">
            <v> </v>
          </cell>
        </row>
        <row r="3313">
          <cell r="B3313" t="str">
            <v>QNR3C87</v>
          </cell>
          <cell r="C3313" t="str">
            <v> </v>
          </cell>
        </row>
        <row r="3314">
          <cell r="B3314" t="str">
            <v>QNR9A49</v>
          </cell>
          <cell r="C3314" t="str">
            <v> </v>
          </cell>
        </row>
        <row r="3315">
          <cell r="B3315" t="str">
            <v>QNR9E90</v>
          </cell>
          <cell r="C3315" t="str">
            <v> </v>
          </cell>
        </row>
        <row r="3316">
          <cell r="B3316" t="str">
            <v>QNR9J82</v>
          </cell>
          <cell r="C3316" t="str">
            <v> </v>
          </cell>
        </row>
        <row r="3317">
          <cell r="B3317" t="str">
            <v>QNS3G39</v>
          </cell>
          <cell r="C3317" t="str">
            <v> </v>
          </cell>
        </row>
        <row r="3318">
          <cell r="B3318" t="str">
            <v>QNS8307</v>
          </cell>
          <cell r="C3318" t="str">
            <v> </v>
          </cell>
        </row>
        <row r="3319">
          <cell r="B3319" t="str">
            <v>QNT6D01</v>
          </cell>
          <cell r="C3319" t="str">
            <v>Operando</v>
          </cell>
        </row>
        <row r="3320">
          <cell r="B3320" t="str">
            <v>QNU8B11</v>
          </cell>
          <cell r="C3320" t="str">
            <v> </v>
          </cell>
        </row>
        <row r="3321">
          <cell r="B3321" t="str">
            <v>QNW9I82</v>
          </cell>
          <cell r="C3321" t="str">
            <v>Operando</v>
          </cell>
        </row>
        <row r="3322">
          <cell r="B3322" t="str">
            <v>QNX3502</v>
          </cell>
          <cell r="C3322" t="str">
            <v>Operando</v>
          </cell>
        </row>
        <row r="3323">
          <cell r="B3323" t="str">
            <v>QNY2E03</v>
          </cell>
          <cell r="C3323" t="str">
            <v> </v>
          </cell>
        </row>
        <row r="3324">
          <cell r="B3324" t="str">
            <v>QNZ3G08</v>
          </cell>
          <cell r="C3324" t="str">
            <v> </v>
          </cell>
        </row>
        <row r="3325">
          <cell r="B3325" t="str">
            <v>QOA4I45</v>
          </cell>
          <cell r="C3325" t="str">
            <v> </v>
          </cell>
        </row>
        <row r="3326">
          <cell r="B3326" t="str">
            <v>QOC0H90</v>
          </cell>
          <cell r="C3326" t="str">
            <v>Operando</v>
          </cell>
        </row>
        <row r="3327">
          <cell r="B3327" t="str">
            <v>QOC6J91</v>
          </cell>
          <cell r="C3327" t="str">
            <v>Operando</v>
          </cell>
        </row>
        <row r="3328">
          <cell r="B3328" t="str">
            <v>QOD2I78</v>
          </cell>
          <cell r="C3328" t="str">
            <v>Operando</v>
          </cell>
        </row>
        <row r="3329">
          <cell r="B3329" t="str">
            <v>QOF2H02</v>
          </cell>
          <cell r="C3329" t="str">
            <v>Operando</v>
          </cell>
        </row>
        <row r="3330">
          <cell r="B3330" t="str">
            <v>QOF8C89</v>
          </cell>
          <cell r="C3330" t="str">
            <v> </v>
          </cell>
        </row>
        <row r="3331">
          <cell r="B3331" t="str">
            <v>QOH2I36</v>
          </cell>
          <cell r="C3331" t="str">
            <v>Operando</v>
          </cell>
        </row>
        <row r="3332">
          <cell r="B3332" t="str">
            <v>QOK5292</v>
          </cell>
          <cell r="C3332" t="str">
            <v> </v>
          </cell>
        </row>
        <row r="3333">
          <cell r="B3333" t="str">
            <v>QOM4G21</v>
          </cell>
          <cell r="C3333" t="str">
            <v> </v>
          </cell>
        </row>
        <row r="3334">
          <cell r="B3334" t="str">
            <v>QOO6B47</v>
          </cell>
          <cell r="C3334" t="str">
            <v>Operando</v>
          </cell>
        </row>
        <row r="3335">
          <cell r="B3335" t="str">
            <v>QOP5I88</v>
          </cell>
          <cell r="C3335" t="str">
            <v>Operando</v>
          </cell>
        </row>
        <row r="3336">
          <cell r="B3336" t="str">
            <v>QOR2E10</v>
          </cell>
          <cell r="C3336" t="str">
            <v> </v>
          </cell>
        </row>
        <row r="3337">
          <cell r="B3337" t="str">
            <v>QOR2G30</v>
          </cell>
          <cell r="C3337" t="str">
            <v> </v>
          </cell>
        </row>
        <row r="3338">
          <cell r="B3338" t="str">
            <v>QOU1H36</v>
          </cell>
          <cell r="C3338" t="str">
            <v> </v>
          </cell>
        </row>
        <row r="3339">
          <cell r="B3339" t="str">
            <v>QOW9336</v>
          </cell>
          <cell r="C3339" t="str">
            <v> </v>
          </cell>
        </row>
        <row r="3340">
          <cell r="B3340" t="str">
            <v>QOX9H02</v>
          </cell>
          <cell r="C3340" t="str">
            <v> </v>
          </cell>
        </row>
        <row r="3341">
          <cell r="B3341" t="str">
            <v>QOY2B77</v>
          </cell>
          <cell r="C3341" t="str">
            <v> </v>
          </cell>
        </row>
        <row r="3342">
          <cell r="B3342" t="str">
            <v>QOY4J76</v>
          </cell>
          <cell r="C3342" t="str">
            <v> </v>
          </cell>
        </row>
        <row r="3343">
          <cell r="B3343" t="str">
            <v>QOZ9F55</v>
          </cell>
          <cell r="C3343" t="str">
            <v> </v>
          </cell>
        </row>
        <row r="3344">
          <cell r="B3344" t="str">
            <v>QPB0350</v>
          </cell>
          <cell r="C3344" t="str">
            <v>Operando</v>
          </cell>
        </row>
        <row r="3345">
          <cell r="B3345" t="str">
            <v>QPB0C24</v>
          </cell>
          <cell r="C3345" t="str">
            <v> </v>
          </cell>
        </row>
        <row r="3346">
          <cell r="B3346" t="str">
            <v>QPB4J79</v>
          </cell>
          <cell r="C3346" t="str">
            <v>Operando</v>
          </cell>
        </row>
        <row r="3347">
          <cell r="B3347" t="str">
            <v>QPB9110</v>
          </cell>
          <cell r="C3347" t="str">
            <v> </v>
          </cell>
        </row>
        <row r="3348">
          <cell r="B3348" t="str">
            <v>QPB9I10</v>
          </cell>
          <cell r="C3348" t="str">
            <v> </v>
          </cell>
        </row>
        <row r="3349">
          <cell r="B3349" t="str">
            <v>QPC0J27</v>
          </cell>
          <cell r="C3349" t="str">
            <v> </v>
          </cell>
        </row>
        <row r="3350">
          <cell r="B3350" t="str">
            <v>QPC0J28</v>
          </cell>
          <cell r="C3350" t="str">
            <v>Manutenção</v>
          </cell>
        </row>
        <row r="3351">
          <cell r="B3351" t="str">
            <v>QPC0J29</v>
          </cell>
          <cell r="C3351" t="str">
            <v> </v>
          </cell>
        </row>
        <row r="3352">
          <cell r="B3352" t="str">
            <v>QPC5I34</v>
          </cell>
          <cell r="C3352" t="str">
            <v>Manutenção</v>
          </cell>
        </row>
        <row r="3353">
          <cell r="B3353" t="str">
            <v>QPC6A81</v>
          </cell>
          <cell r="C3353" t="str">
            <v> </v>
          </cell>
        </row>
        <row r="3354">
          <cell r="B3354" t="str">
            <v>QPD1C32</v>
          </cell>
          <cell r="C3354" t="str">
            <v> </v>
          </cell>
        </row>
        <row r="3355">
          <cell r="B3355" t="str">
            <v>QPD5E98</v>
          </cell>
          <cell r="C3355" t="str">
            <v>Operando</v>
          </cell>
        </row>
        <row r="3356">
          <cell r="B3356" t="str">
            <v>QPD7J37</v>
          </cell>
          <cell r="C3356" t="str">
            <v>Operando</v>
          </cell>
        </row>
        <row r="3357">
          <cell r="B3357" t="str">
            <v>QPE2I31</v>
          </cell>
          <cell r="C3357" t="str">
            <v>Operando</v>
          </cell>
        </row>
        <row r="3358">
          <cell r="B3358" t="str">
            <v>QPE2I45</v>
          </cell>
          <cell r="C3358" t="str">
            <v>Operando</v>
          </cell>
        </row>
        <row r="3359">
          <cell r="B3359" t="str">
            <v>QPF5H68</v>
          </cell>
          <cell r="C3359" t="str">
            <v> </v>
          </cell>
        </row>
        <row r="3360">
          <cell r="B3360" t="str">
            <v>QPF5J69</v>
          </cell>
          <cell r="C3360" t="str">
            <v> </v>
          </cell>
        </row>
        <row r="3361">
          <cell r="B3361" t="str">
            <v>QPF7G88</v>
          </cell>
          <cell r="C3361" t="str">
            <v> </v>
          </cell>
        </row>
        <row r="3362">
          <cell r="B3362" t="str">
            <v>QPG9E41</v>
          </cell>
          <cell r="C3362" t="str">
            <v> </v>
          </cell>
        </row>
        <row r="3363">
          <cell r="B3363" t="str">
            <v>QPH3A59</v>
          </cell>
          <cell r="C3363" t="str">
            <v> </v>
          </cell>
        </row>
        <row r="3364">
          <cell r="B3364" t="str">
            <v>QPI4H69</v>
          </cell>
          <cell r="C3364" t="str">
            <v>Operando</v>
          </cell>
        </row>
        <row r="3365">
          <cell r="B3365" t="str">
            <v>QPI4J82</v>
          </cell>
          <cell r="C3365" t="str">
            <v>Operando</v>
          </cell>
        </row>
        <row r="3366">
          <cell r="B3366" t="str">
            <v>QPJ9I60</v>
          </cell>
          <cell r="C3366" t="str">
            <v> </v>
          </cell>
        </row>
        <row r="3367">
          <cell r="B3367" t="str">
            <v>QPL2B24</v>
          </cell>
          <cell r="C3367" t="str">
            <v> </v>
          </cell>
        </row>
        <row r="3368">
          <cell r="B3368" t="str">
            <v>QPN3J89</v>
          </cell>
          <cell r="C3368" t="str">
            <v> </v>
          </cell>
        </row>
        <row r="3369">
          <cell r="B3369" t="str">
            <v>QPO4I18</v>
          </cell>
          <cell r="C3369" t="str">
            <v>Operando</v>
          </cell>
        </row>
        <row r="3370">
          <cell r="B3370" t="str">
            <v>QPP8I71</v>
          </cell>
          <cell r="C3370" t="str">
            <v> </v>
          </cell>
        </row>
        <row r="3371">
          <cell r="B3371" t="str">
            <v>QPQ2F51</v>
          </cell>
          <cell r="C3371" t="str">
            <v>Operando</v>
          </cell>
        </row>
        <row r="3372">
          <cell r="B3372" t="str">
            <v>QPR1B68</v>
          </cell>
          <cell r="C3372" t="str">
            <v>Operando</v>
          </cell>
        </row>
        <row r="3373">
          <cell r="B3373" t="str">
            <v>QPR9C90</v>
          </cell>
          <cell r="C3373" t="str">
            <v>Operando</v>
          </cell>
        </row>
        <row r="3374">
          <cell r="B3374" t="str">
            <v>QPT6D61</v>
          </cell>
          <cell r="C3374" t="str">
            <v> </v>
          </cell>
        </row>
        <row r="3375">
          <cell r="B3375" t="str">
            <v>QPV5C50</v>
          </cell>
          <cell r="C3375" t="str">
            <v>Operando</v>
          </cell>
        </row>
        <row r="3376">
          <cell r="B3376" t="str">
            <v>QPW7I24</v>
          </cell>
          <cell r="C3376" t="str">
            <v> </v>
          </cell>
        </row>
        <row r="3377">
          <cell r="B3377" t="str">
            <v>QPX7E40</v>
          </cell>
          <cell r="C3377" t="str">
            <v> </v>
          </cell>
        </row>
        <row r="3378">
          <cell r="B3378" t="str">
            <v>QPY7757</v>
          </cell>
          <cell r="C3378" t="str">
            <v> </v>
          </cell>
        </row>
        <row r="3379">
          <cell r="B3379" t="str">
            <v>QPZ5379</v>
          </cell>
          <cell r="C3379" t="str">
            <v> </v>
          </cell>
        </row>
        <row r="3380">
          <cell r="B3380" t="str">
            <v>QPZ9G24</v>
          </cell>
          <cell r="C3380" t="str">
            <v> </v>
          </cell>
        </row>
        <row r="3381">
          <cell r="B3381" t="str">
            <v>QQB4A29</v>
          </cell>
          <cell r="C3381" t="str">
            <v>Operando</v>
          </cell>
        </row>
        <row r="3382">
          <cell r="B3382" t="str">
            <v>QQC1F29</v>
          </cell>
          <cell r="C3382" t="str">
            <v>Operando</v>
          </cell>
        </row>
        <row r="3383">
          <cell r="B3383" t="str">
            <v>QQD5D83</v>
          </cell>
          <cell r="C3383" t="str">
            <v>Operando</v>
          </cell>
        </row>
        <row r="3384">
          <cell r="B3384" t="str">
            <v>QQG5C70</v>
          </cell>
          <cell r="C3384" t="str">
            <v> </v>
          </cell>
        </row>
        <row r="3385">
          <cell r="B3385" t="str">
            <v>QQK1A47</v>
          </cell>
          <cell r="C3385" t="str">
            <v> </v>
          </cell>
        </row>
        <row r="3386">
          <cell r="B3386" t="str">
            <v>QQL7H57</v>
          </cell>
          <cell r="C3386" t="str">
            <v> </v>
          </cell>
        </row>
        <row r="3387">
          <cell r="B3387" t="str">
            <v>QQL8J35</v>
          </cell>
          <cell r="C3387" t="str">
            <v>Operando</v>
          </cell>
        </row>
        <row r="3388">
          <cell r="B3388" t="str">
            <v>QQN0I56</v>
          </cell>
          <cell r="C3388" t="str">
            <v> </v>
          </cell>
        </row>
        <row r="3389">
          <cell r="B3389" t="str">
            <v>QQN2F31</v>
          </cell>
          <cell r="C3389" t="str">
            <v> </v>
          </cell>
        </row>
        <row r="3390">
          <cell r="B3390" t="str">
            <v>QQP5H13</v>
          </cell>
          <cell r="C3390" t="str">
            <v> </v>
          </cell>
        </row>
        <row r="3391">
          <cell r="B3391" t="str">
            <v>QQQ7E98</v>
          </cell>
          <cell r="C3391" t="str">
            <v> </v>
          </cell>
        </row>
        <row r="3392">
          <cell r="B3392" t="str">
            <v>QQS2G98</v>
          </cell>
          <cell r="C3392" t="str">
            <v> </v>
          </cell>
        </row>
        <row r="3393">
          <cell r="B3393" t="str">
            <v>QQS8G37</v>
          </cell>
          <cell r="C3393" t="str">
            <v>Operando</v>
          </cell>
        </row>
        <row r="3394">
          <cell r="B3394" t="str">
            <v>QQU3E17</v>
          </cell>
          <cell r="C3394" t="str">
            <v>Operando</v>
          </cell>
        </row>
        <row r="3395">
          <cell r="B3395" t="str">
            <v>QQV6F19</v>
          </cell>
          <cell r="C3395" t="str">
            <v> </v>
          </cell>
        </row>
        <row r="3396">
          <cell r="B3396" t="str">
            <v>QQV6G26</v>
          </cell>
          <cell r="C3396" t="str">
            <v> </v>
          </cell>
        </row>
        <row r="3397">
          <cell r="B3397" t="str">
            <v>QQZ8I92</v>
          </cell>
          <cell r="C3397" t="str">
            <v>Operando</v>
          </cell>
        </row>
        <row r="3398">
          <cell r="B3398" t="str">
            <v>QRC7J13</v>
          </cell>
          <cell r="C3398" t="str">
            <v> </v>
          </cell>
        </row>
        <row r="3399">
          <cell r="B3399" t="str">
            <v>QRC9D99</v>
          </cell>
          <cell r="C3399" t="str">
            <v> </v>
          </cell>
        </row>
        <row r="3400">
          <cell r="B3400" t="str">
            <v>QRF4E53</v>
          </cell>
          <cell r="C3400" t="str">
            <v> </v>
          </cell>
        </row>
        <row r="3401">
          <cell r="B3401" t="str">
            <v>QRF6G15</v>
          </cell>
          <cell r="C3401" t="str">
            <v>Operando</v>
          </cell>
        </row>
        <row r="3402">
          <cell r="B3402" t="str">
            <v>QRI4C03</v>
          </cell>
          <cell r="C3402" t="str">
            <v>Operando</v>
          </cell>
        </row>
        <row r="3403">
          <cell r="B3403" t="str">
            <v>QRJ4G03</v>
          </cell>
          <cell r="C3403" t="str">
            <v> </v>
          </cell>
        </row>
        <row r="3404">
          <cell r="B3404" t="str">
            <v>QRM8G90</v>
          </cell>
          <cell r="C3404" t="str">
            <v>Operando</v>
          </cell>
        </row>
        <row r="3405">
          <cell r="B3405" t="str">
            <v>QRR9G02</v>
          </cell>
          <cell r="C3405" t="str">
            <v>Operando</v>
          </cell>
        </row>
        <row r="3406">
          <cell r="B3406" t="str">
            <v>QSA9B73</v>
          </cell>
          <cell r="C3406" t="str">
            <v> </v>
          </cell>
        </row>
        <row r="3407">
          <cell r="B3407" t="str">
            <v>QSW7B38</v>
          </cell>
          <cell r="C3407" t="str">
            <v> </v>
          </cell>
        </row>
        <row r="3408">
          <cell r="B3408" t="str">
            <v>QSZ0H06</v>
          </cell>
          <cell r="C3408" t="str">
            <v> </v>
          </cell>
        </row>
        <row r="3409">
          <cell r="B3409" t="str">
            <v>QSZ9I88</v>
          </cell>
          <cell r="C3409" t="str">
            <v> </v>
          </cell>
        </row>
        <row r="3410">
          <cell r="B3410" t="str">
            <v>QTW7E25</v>
          </cell>
          <cell r="C3410" t="str">
            <v>Operando</v>
          </cell>
        </row>
        <row r="3411">
          <cell r="B3411" t="str">
            <v>QUA1I31</v>
          </cell>
          <cell r="C3411" t="str">
            <v> </v>
          </cell>
        </row>
        <row r="3412">
          <cell r="B3412" t="str">
            <v>QUA2J79</v>
          </cell>
          <cell r="C3412" t="str">
            <v> </v>
          </cell>
        </row>
        <row r="3413">
          <cell r="B3413" t="str">
            <v>QUC4D32</v>
          </cell>
          <cell r="C3413" t="str">
            <v> </v>
          </cell>
        </row>
        <row r="3414">
          <cell r="B3414" t="str">
            <v>QUC6A45</v>
          </cell>
          <cell r="C3414" t="str">
            <v>Operando</v>
          </cell>
        </row>
        <row r="3415">
          <cell r="B3415" t="str">
            <v>QUC6J26</v>
          </cell>
          <cell r="C3415" t="str">
            <v> </v>
          </cell>
        </row>
        <row r="3416">
          <cell r="B3416" t="str">
            <v>QUE2E57</v>
          </cell>
          <cell r="C3416" t="str">
            <v>Operando</v>
          </cell>
        </row>
        <row r="3417">
          <cell r="B3417" t="str">
            <v>QUF3D63</v>
          </cell>
          <cell r="C3417" t="str">
            <v> </v>
          </cell>
        </row>
        <row r="3418">
          <cell r="B3418" t="str">
            <v>QUF6H32</v>
          </cell>
          <cell r="C3418" t="str">
            <v>Manutenção</v>
          </cell>
        </row>
        <row r="3419">
          <cell r="B3419" t="str">
            <v>QUH1B68</v>
          </cell>
          <cell r="C3419" t="str">
            <v>Operando</v>
          </cell>
        </row>
        <row r="3420">
          <cell r="B3420" t="str">
            <v>QUH1G46</v>
          </cell>
          <cell r="C3420" t="str">
            <v> </v>
          </cell>
        </row>
        <row r="3421">
          <cell r="B3421" t="str">
            <v>QUJ2G92</v>
          </cell>
          <cell r="C3421" t="str">
            <v> </v>
          </cell>
        </row>
        <row r="3422">
          <cell r="B3422" t="str">
            <v>QUJ8G37</v>
          </cell>
          <cell r="C3422" t="str">
            <v>Operando</v>
          </cell>
        </row>
        <row r="3423">
          <cell r="B3423" t="str">
            <v>QUJ9A16</v>
          </cell>
          <cell r="C3423" t="str">
            <v>Operando</v>
          </cell>
        </row>
        <row r="3424">
          <cell r="B3424" t="str">
            <v>QUM9C83</v>
          </cell>
          <cell r="C3424" t="str">
            <v>Operando</v>
          </cell>
        </row>
        <row r="3425">
          <cell r="B3425" t="str">
            <v>QUP4B59</v>
          </cell>
          <cell r="C3425" t="str">
            <v> </v>
          </cell>
        </row>
        <row r="3426">
          <cell r="B3426" t="str">
            <v>QUP7H58</v>
          </cell>
          <cell r="C3426" t="str">
            <v> </v>
          </cell>
        </row>
        <row r="3427">
          <cell r="B3427" t="str">
            <v>QUR4G84</v>
          </cell>
          <cell r="C3427" t="str">
            <v>Operando</v>
          </cell>
        </row>
        <row r="3428">
          <cell r="B3428" t="str">
            <v>QUR8E53</v>
          </cell>
          <cell r="C3428" t="str">
            <v> </v>
          </cell>
        </row>
        <row r="3429">
          <cell r="B3429" t="str">
            <v>QUS3G85</v>
          </cell>
          <cell r="C3429" t="str">
            <v>Operando</v>
          </cell>
        </row>
        <row r="3430">
          <cell r="B3430" t="str">
            <v>QUS5628</v>
          </cell>
          <cell r="C3430" t="str">
            <v> </v>
          </cell>
        </row>
        <row r="3431">
          <cell r="B3431" t="str">
            <v>QUT7H29</v>
          </cell>
          <cell r="C3431" t="str">
            <v> </v>
          </cell>
        </row>
        <row r="3432">
          <cell r="B3432" t="str">
            <v>QUU1J29</v>
          </cell>
          <cell r="C3432" t="str">
            <v>Operando</v>
          </cell>
        </row>
        <row r="3433">
          <cell r="B3433" t="str">
            <v>QUU6J47</v>
          </cell>
          <cell r="C3433" t="str">
            <v> </v>
          </cell>
        </row>
        <row r="3434">
          <cell r="B3434" t="str">
            <v>QUW0546</v>
          </cell>
          <cell r="C3434" t="str">
            <v> </v>
          </cell>
        </row>
        <row r="3435">
          <cell r="B3435" t="str">
            <v>QUW1D86</v>
          </cell>
          <cell r="C3435" t="str">
            <v> </v>
          </cell>
        </row>
        <row r="3436">
          <cell r="B3436" t="str">
            <v>QUW7H51</v>
          </cell>
          <cell r="C3436" t="str">
            <v>Operando</v>
          </cell>
        </row>
        <row r="3437">
          <cell r="B3437" t="str">
            <v>QUX1B83</v>
          </cell>
          <cell r="C3437" t="str">
            <v>Manutenção</v>
          </cell>
        </row>
        <row r="3438">
          <cell r="B3438" t="str">
            <v>QUX4I42</v>
          </cell>
          <cell r="C3438" t="str">
            <v> </v>
          </cell>
        </row>
        <row r="3439">
          <cell r="B3439" t="str">
            <v>QUY2B37</v>
          </cell>
          <cell r="C3439" t="str">
            <v> </v>
          </cell>
        </row>
        <row r="3440">
          <cell r="B3440" t="str">
            <v>QUY2D15</v>
          </cell>
          <cell r="C3440" t="str">
            <v> </v>
          </cell>
        </row>
        <row r="3441">
          <cell r="B3441" t="str">
            <v>QUZ6A57</v>
          </cell>
          <cell r="C3441" t="str">
            <v> </v>
          </cell>
        </row>
        <row r="3442">
          <cell r="B3442" t="str">
            <v>QVS0F60</v>
          </cell>
          <cell r="C3442" t="str">
            <v> </v>
          </cell>
        </row>
        <row r="3443">
          <cell r="B3443" t="str">
            <v>QWR3G39</v>
          </cell>
          <cell r="C3443" t="str">
            <v>Operando</v>
          </cell>
        </row>
        <row r="3444">
          <cell r="B3444" t="str">
            <v>QWR5I25</v>
          </cell>
          <cell r="C3444" t="str">
            <v> </v>
          </cell>
        </row>
        <row r="3445">
          <cell r="B3445" t="str">
            <v>QWS7H60</v>
          </cell>
          <cell r="C3445" t="str">
            <v> </v>
          </cell>
        </row>
        <row r="3446">
          <cell r="B3446" t="str">
            <v>QWV0D49</v>
          </cell>
          <cell r="C3446" t="str">
            <v> </v>
          </cell>
        </row>
        <row r="3447">
          <cell r="B3447" t="str">
            <v>QWV1G13</v>
          </cell>
          <cell r="C3447" t="str">
            <v>Carregado</v>
          </cell>
        </row>
        <row r="3448">
          <cell r="B3448" t="str">
            <v>QWV3J51</v>
          </cell>
          <cell r="C3448" t="str">
            <v> </v>
          </cell>
        </row>
        <row r="3449">
          <cell r="B3449" t="str">
            <v>QWX1I96</v>
          </cell>
          <cell r="C3449" t="str">
            <v> </v>
          </cell>
        </row>
        <row r="3450">
          <cell r="B3450" t="str">
            <v>QWZ6C95</v>
          </cell>
          <cell r="C3450" t="str">
            <v> </v>
          </cell>
        </row>
        <row r="3451">
          <cell r="B3451" t="str">
            <v>QXA3D49</v>
          </cell>
          <cell r="C3451" t="str">
            <v> </v>
          </cell>
        </row>
        <row r="3452">
          <cell r="B3452" t="str">
            <v>QXA9600</v>
          </cell>
          <cell r="C3452" t="str">
            <v> </v>
          </cell>
        </row>
        <row r="3453">
          <cell r="B3453" t="str">
            <v>QXB3A38</v>
          </cell>
          <cell r="C3453" t="str">
            <v> </v>
          </cell>
        </row>
        <row r="3454">
          <cell r="B3454" t="str">
            <v>QXB7C31</v>
          </cell>
          <cell r="C3454" t="str">
            <v>Operando</v>
          </cell>
        </row>
        <row r="3455">
          <cell r="B3455" t="str">
            <v>QXB8C53</v>
          </cell>
          <cell r="C3455" t="str">
            <v> </v>
          </cell>
        </row>
        <row r="3456">
          <cell r="B3456" t="str">
            <v>QXC5C45</v>
          </cell>
          <cell r="C3456" t="str">
            <v> </v>
          </cell>
        </row>
        <row r="3457">
          <cell r="B3457" t="str">
            <v>QXF6G74</v>
          </cell>
          <cell r="C3457" t="str">
            <v>Operando</v>
          </cell>
        </row>
        <row r="3458">
          <cell r="B3458" t="str">
            <v>QXI8272</v>
          </cell>
          <cell r="C3458" t="str">
            <v>Carregado</v>
          </cell>
        </row>
        <row r="3459">
          <cell r="B3459" t="str">
            <v>QXI8C79</v>
          </cell>
          <cell r="C3459" t="str">
            <v> </v>
          </cell>
        </row>
        <row r="3460">
          <cell r="B3460" t="str">
            <v>QXJ9E76</v>
          </cell>
          <cell r="C3460" t="str">
            <v>Operando</v>
          </cell>
        </row>
        <row r="3461">
          <cell r="B3461" t="str">
            <v>QXK7D43</v>
          </cell>
          <cell r="C3461" t="str">
            <v> </v>
          </cell>
        </row>
        <row r="3462">
          <cell r="B3462" t="str">
            <v>QXL0I87</v>
          </cell>
          <cell r="C3462" t="str">
            <v> </v>
          </cell>
        </row>
        <row r="3463">
          <cell r="B3463" t="str">
            <v>QXL9F99</v>
          </cell>
          <cell r="C3463" t="str">
            <v> </v>
          </cell>
        </row>
        <row r="3464">
          <cell r="B3464" t="str">
            <v>QXM7E64</v>
          </cell>
          <cell r="C3464" t="str">
            <v> </v>
          </cell>
        </row>
        <row r="3465">
          <cell r="B3465" t="str">
            <v>QXN4H82</v>
          </cell>
          <cell r="C3465" t="str">
            <v> </v>
          </cell>
        </row>
        <row r="3466">
          <cell r="B3466" t="str">
            <v>QXP1B53</v>
          </cell>
          <cell r="C3466" t="str">
            <v> </v>
          </cell>
        </row>
        <row r="3467">
          <cell r="B3467" t="str">
            <v>QXP5B30</v>
          </cell>
          <cell r="C3467" t="str">
            <v> </v>
          </cell>
        </row>
        <row r="3468">
          <cell r="B3468" t="str">
            <v>QXP5J00</v>
          </cell>
          <cell r="C3468" t="str">
            <v>Operando</v>
          </cell>
        </row>
        <row r="3469">
          <cell r="B3469" t="str">
            <v>QXQ0E64</v>
          </cell>
          <cell r="C3469" t="str">
            <v>Operando</v>
          </cell>
        </row>
        <row r="3470">
          <cell r="B3470" t="str">
            <v>QXQ6A92</v>
          </cell>
          <cell r="C3470" t="str">
            <v> </v>
          </cell>
        </row>
        <row r="3471">
          <cell r="B3471" t="str">
            <v>QXQ8G13</v>
          </cell>
          <cell r="C3471" t="str">
            <v> </v>
          </cell>
        </row>
        <row r="3472">
          <cell r="B3472" t="str">
            <v>QXQ8G95</v>
          </cell>
          <cell r="C3472" t="str">
            <v> </v>
          </cell>
        </row>
        <row r="3473">
          <cell r="B3473" t="str">
            <v>QXS1J41</v>
          </cell>
          <cell r="C3473" t="str">
            <v> </v>
          </cell>
        </row>
        <row r="3474">
          <cell r="B3474" t="str">
            <v>QXS4B20</v>
          </cell>
          <cell r="C3474" t="str">
            <v> </v>
          </cell>
        </row>
        <row r="3475">
          <cell r="B3475" t="str">
            <v>QXU2C48</v>
          </cell>
          <cell r="C3475" t="str">
            <v>Carregado</v>
          </cell>
        </row>
        <row r="3476">
          <cell r="B3476" t="str">
            <v>QXU7C70</v>
          </cell>
          <cell r="C3476" t="str">
            <v> </v>
          </cell>
        </row>
        <row r="3477">
          <cell r="B3477" t="str">
            <v>QXU8J03</v>
          </cell>
          <cell r="C3477" t="str">
            <v> </v>
          </cell>
        </row>
        <row r="3478">
          <cell r="B3478" t="str">
            <v>QXV8G82</v>
          </cell>
          <cell r="C3478" t="str">
            <v> </v>
          </cell>
        </row>
        <row r="3479">
          <cell r="B3479" t="str">
            <v>QYB6I05</v>
          </cell>
          <cell r="C3479" t="str">
            <v> </v>
          </cell>
        </row>
        <row r="3480">
          <cell r="B3480" t="str">
            <v>QYF6C41</v>
          </cell>
          <cell r="C3480" t="str">
            <v> </v>
          </cell>
        </row>
        <row r="3481">
          <cell r="B3481" t="str">
            <v>QYL2B77</v>
          </cell>
          <cell r="C3481" t="str">
            <v> </v>
          </cell>
        </row>
        <row r="3482">
          <cell r="B3482" t="str">
            <v>QYL4E81</v>
          </cell>
          <cell r="C3482" t="str">
            <v> </v>
          </cell>
        </row>
        <row r="3483">
          <cell r="B3483" t="str">
            <v>QYN9C48</v>
          </cell>
          <cell r="C3483" t="str">
            <v> </v>
          </cell>
        </row>
        <row r="3484">
          <cell r="B3484" t="str">
            <v>QYO6J12</v>
          </cell>
          <cell r="C3484" t="str">
            <v>Operando</v>
          </cell>
        </row>
        <row r="3485">
          <cell r="B3485" t="str">
            <v>QZA1I50</v>
          </cell>
          <cell r="C3485" t="str">
            <v> </v>
          </cell>
        </row>
        <row r="3486">
          <cell r="B3486" t="str">
            <v>QZB5C09</v>
          </cell>
          <cell r="C3486" t="str">
            <v>Operando</v>
          </cell>
        </row>
        <row r="3487">
          <cell r="B3487" t="str">
            <v>QZC6B73</v>
          </cell>
          <cell r="C3487" t="str">
            <v> </v>
          </cell>
        </row>
        <row r="3488">
          <cell r="B3488" t="str">
            <v>QZD6C45</v>
          </cell>
          <cell r="C3488" t="str">
            <v> </v>
          </cell>
        </row>
        <row r="3489">
          <cell r="B3489" t="str">
            <v>QZI3A43</v>
          </cell>
          <cell r="C3489" t="str">
            <v> </v>
          </cell>
        </row>
        <row r="3490">
          <cell r="B3490" t="str">
            <v>QZJ5D76</v>
          </cell>
          <cell r="C3490" t="str">
            <v> </v>
          </cell>
        </row>
        <row r="3491">
          <cell r="B3491" t="str">
            <v>QZO6E75</v>
          </cell>
          <cell r="C3491" t="str">
            <v> </v>
          </cell>
        </row>
        <row r="3492">
          <cell r="B3492" t="str">
            <v>QZO9F34</v>
          </cell>
          <cell r="C3492" t="str">
            <v> </v>
          </cell>
        </row>
        <row r="3493">
          <cell r="B3493" t="str">
            <v>QZU5E85</v>
          </cell>
          <cell r="C3493" t="str">
            <v> </v>
          </cell>
        </row>
        <row r="3494">
          <cell r="B3494" t="str">
            <v>QZW1D87</v>
          </cell>
          <cell r="C3494" t="str">
            <v> </v>
          </cell>
        </row>
        <row r="3495">
          <cell r="B3495" t="str">
            <v>QZX1A54</v>
          </cell>
          <cell r="C3495" t="str">
            <v> </v>
          </cell>
        </row>
        <row r="3496">
          <cell r="B3496" t="str">
            <v>RAG6999</v>
          </cell>
          <cell r="C3496" t="str">
            <v> </v>
          </cell>
        </row>
        <row r="3497">
          <cell r="B3497" t="str">
            <v>RAH6A55</v>
          </cell>
          <cell r="C3497" t="str">
            <v>Operando</v>
          </cell>
        </row>
        <row r="3498">
          <cell r="B3498" t="str">
            <v>RAI2F23</v>
          </cell>
          <cell r="C3498" t="str">
            <v> </v>
          </cell>
        </row>
        <row r="3499">
          <cell r="B3499" t="str">
            <v>RAI5A85</v>
          </cell>
          <cell r="C3499" t="str">
            <v> </v>
          </cell>
        </row>
        <row r="3500">
          <cell r="B3500" t="str">
            <v>RAN1I98</v>
          </cell>
          <cell r="C3500" t="str">
            <v> </v>
          </cell>
        </row>
        <row r="3501">
          <cell r="B3501" t="str">
            <v>RAO4A66</v>
          </cell>
          <cell r="C3501" t="str">
            <v> </v>
          </cell>
        </row>
        <row r="3502">
          <cell r="B3502" t="str">
            <v>RAT3G69</v>
          </cell>
          <cell r="C3502" t="str">
            <v>Operando</v>
          </cell>
        </row>
        <row r="3503">
          <cell r="B3503" t="str">
            <v>RBU5D37</v>
          </cell>
          <cell r="C3503" t="str">
            <v> </v>
          </cell>
        </row>
        <row r="3504">
          <cell r="B3504" t="str">
            <v>RCJ1J15</v>
          </cell>
          <cell r="C3504" t="str">
            <v>Operando</v>
          </cell>
        </row>
        <row r="3505">
          <cell r="B3505" t="str">
            <v>RCQ5J32</v>
          </cell>
          <cell r="C3505" t="str">
            <v>Operando</v>
          </cell>
        </row>
        <row r="3506">
          <cell r="B3506" t="str">
            <v>RCU3G88</v>
          </cell>
          <cell r="C3506" t="str">
            <v>Agregado</v>
          </cell>
        </row>
        <row r="3507">
          <cell r="B3507" t="str">
            <v>RDB2E76</v>
          </cell>
          <cell r="C3507" t="str">
            <v>Operando</v>
          </cell>
        </row>
        <row r="3508">
          <cell r="B3508" t="str">
            <v>RDU1C04</v>
          </cell>
          <cell r="C3508" t="str">
            <v> </v>
          </cell>
        </row>
        <row r="3509">
          <cell r="B3509" t="str">
            <v>REA3J73</v>
          </cell>
          <cell r="C3509" t="str">
            <v>Operando</v>
          </cell>
        </row>
        <row r="3510">
          <cell r="B3510" t="str">
            <v>REC1E39</v>
          </cell>
          <cell r="C3510" t="str">
            <v>Operando</v>
          </cell>
        </row>
        <row r="3511">
          <cell r="B3511" t="str">
            <v>RED7B87</v>
          </cell>
          <cell r="C3511" t="str">
            <v> </v>
          </cell>
        </row>
        <row r="3512">
          <cell r="B3512" t="str">
            <v>REE9G21</v>
          </cell>
          <cell r="C3512" t="str">
            <v> </v>
          </cell>
        </row>
        <row r="3513">
          <cell r="B3513" t="str">
            <v>REH0A98</v>
          </cell>
          <cell r="C3513" t="str">
            <v>Operando</v>
          </cell>
        </row>
        <row r="3514">
          <cell r="B3514" t="str">
            <v>REH4B38</v>
          </cell>
          <cell r="C3514" t="str">
            <v> </v>
          </cell>
        </row>
        <row r="3515">
          <cell r="B3515" t="str">
            <v>RES3J75</v>
          </cell>
          <cell r="C3515" t="str">
            <v>Operando</v>
          </cell>
        </row>
        <row r="3516">
          <cell r="B3516" t="str">
            <v>RES7F84</v>
          </cell>
          <cell r="C3516" t="str">
            <v> </v>
          </cell>
        </row>
        <row r="3517">
          <cell r="B3517" t="str">
            <v>RFB4F98</v>
          </cell>
          <cell r="C3517" t="str">
            <v>Carregado</v>
          </cell>
        </row>
        <row r="3518">
          <cell r="B3518" t="str">
            <v>RFB6C25</v>
          </cell>
          <cell r="C3518" t="str">
            <v> </v>
          </cell>
        </row>
        <row r="3519">
          <cell r="B3519" t="str">
            <v>RFC6G79</v>
          </cell>
          <cell r="C3519" t="str">
            <v> </v>
          </cell>
        </row>
        <row r="3520">
          <cell r="B3520" t="str">
            <v>RFD2F65</v>
          </cell>
          <cell r="C3520" t="str">
            <v> </v>
          </cell>
        </row>
        <row r="3521">
          <cell r="B3521" t="str">
            <v>RFD3F22</v>
          </cell>
          <cell r="C3521" t="str">
            <v> </v>
          </cell>
        </row>
        <row r="3522">
          <cell r="B3522" t="str">
            <v>RFD7E89</v>
          </cell>
          <cell r="C3522" t="str">
            <v> </v>
          </cell>
        </row>
        <row r="3523">
          <cell r="B3523" t="str">
            <v>RFE4D02</v>
          </cell>
          <cell r="C3523" t="str">
            <v> </v>
          </cell>
        </row>
        <row r="3524">
          <cell r="B3524" t="str">
            <v>RFF9C68</v>
          </cell>
          <cell r="C3524" t="str">
            <v>Operando</v>
          </cell>
        </row>
        <row r="3525">
          <cell r="B3525" t="str">
            <v>RFG1J52</v>
          </cell>
          <cell r="C3525" t="str">
            <v> </v>
          </cell>
        </row>
        <row r="3526">
          <cell r="B3526" t="str">
            <v>RFJ4E25</v>
          </cell>
          <cell r="C3526" t="str">
            <v> </v>
          </cell>
        </row>
        <row r="3527">
          <cell r="B3527" t="str">
            <v>RFJ8C22</v>
          </cell>
          <cell r="C3527" t="str">
            <v>Operando</v>
          </cell>
        </row>
        <row r="3528">
          <cell r="B3528" t="str">
            <v>RFL3J18</v>
          </cell>
          <cell r="C3528" t="str">
            <v>Operando</v>
          </cell>
        </row>
        <row r="3529">
          <cell r="B3529" t="str">
            <v>RFL3J94</v>
          </cell>
          <cell r="C3529" t="str">
            <v>Operando</v>
          </cell>
        </row>
        <row r="3530">
          <cell r="B3530" t="str">
            <v>RFL4D33</v>
          </cell>
          <cell r="C3530" t="str">
            <v> </v>
          </cell>
        </row>
        <row r="3531">
          <cell r="B3531" t="str">
            <v>RFL4G12</v>
          </cell>
          <cell r="C3531" t="str">
            <v> </v>
          </cell>
        </row>
        <row r="3532">
          <cell r="B3532" t="str">
            <v>RFL5C44</v>
          </cell>
          <cell r="C3532" t="str">
            <v> </v>
          </cell>
        </row>
        <row r="3533">
          <cell r="B3533" t="str">
            <v>RFL9B43</v>
          </cell>
          <cell r="C3533" t="str">
            <v> </v>
          </cell>
        </row>
        <row r="3534">
          <cell r="B3534" t="str">
            <v>RFP5B11</v>
          </cell>
          <cell r="C3534" t="str">
            <v>Sem operação</v>
          </cell>
        </row>
        <row r="3535">
          <cell r="B3535" t="str">
            <v>RFP9G74</v>
          </cell>
          <cell r="C3535" t="str">
            <v>Manutenção</v>
          </cell>
        </row>
        <row r="3536">
          <cell r="B3536" t="str">
            <v>RFQ7D29</v>
          </cell>
          <cell r="C3536" t="str">
            <v> </v>
          </cell>
        </row>
        <row r="3537">
          <cell r="B3537" t="str">
            <v>RFQ9F47</v>
          </cell>
          <cell r="C3537" t="str">
            <v>Operando</v>
          </cell>
        </row>
        <row r="3538">
          <cell r="B3538" t="str">
            <v>RFR3C32</v>
          </cell>
          <cell r="C3538" t="str">
            <v> </v>
          </cell>
        </row>
        <row r="3539">
          <cell r="B3539" t="str">
            <v>RFS1D03</v>
          </cell>
          <cell r="C3539" t="str">
            <v>Operando</v>
          </cell>
        </row>
        <row r="3540">
          <cell r="B3540" t="str">
            <v>RFS8J11</v>
          </cell>
          <cell r="C3540" t="str">
            <v> </v>
          </cell>
        </row>
        <row r="3541">
          <cell r="B3541" t="str">
            <v>RFT3D43</v>
          </cell>
          <cell r="C3541" t="str">
            <v> </v>
          </cell>
        </row>
        <row r="3542">
          <cell r="B3542" t="str">
            <v>RFT3D59</v>
          </cell>
          <cell r="C3542" t="str">
            <v> </v>
          </cell>
        </row>
        <row r="3543">
          <cell r="B3543" t="str">
            <v>RFT4F31</v>
          </cell>
          <cell r="C3543" t="str">
            <v>Operando</v>
          </cell>
        </row>
        <row r="3544">
          <cell r="B3544" t="str">
            <v>RFT7G78</v>
          </cell>
          <cell r="C3544" t="str">
            <v>Operando</v>
          </cell>
        </row>
        <row r="3545">
          <cell r="B3545" t="str">
            <v>RFT7G83</v>
          </cell>
          <cell r="C3545" t="str">
            <v>Sem operação</v>
          </cell>
        </row>
        <row r="3546">
          <cell r="B3546" t="str">
            <v>RFT9B59</v>
          </cell>
          <cell r="C3546" t="str">
            <v>Operando</v>
          </cell>
        </row>
        <row r="3547">
          <cell r="B3547" t="str">
            <v>RFU2B42</v>
          </cell>
          <cell r="C3547" t="str">
            <v> </v>
          </cell>
        </row>
        <row r="3548">
          <cell r="B3548" t="str">
            <v>RFU2E32</v>
          </cell>
          <cell r="C3548" t="str">
            <v> </v>
          </cell>
        </row>
        <row r="3549">
          <cell r="B3549" t="str">
            <v>RFU2E46</v>
          </cell>
          <cell r="C3549" t="str">
            <v>Operando</v>
          </cell>
        </row>
        <row r="3550">
          <cell r="B3550" t="str">
            <v>RFU5J32</v>
          </cell>
          <cell r="C3550" t="str">
            <v>Operando</v>
          </cell>
        </row>
        <row r="3551">
          <cell r="B3551" t="str">
            <v>RFV0H87</v>
          </cell>
          <cell r="C3551" t="str">
            <v> </v>
          </cell>
        </row>
        <row r="3552">
          <cell r="B3552" t="str">
            <v>RFV4G68</v>
          </cell>
          <cell r="C3552" t="str">
            <v> </v>
          </cell>
        </row>
        <row r="3553">
          <cell r="B3553" t="str">
            <v>RFV7B87</v>
          </cell>
          <cell r="C3553" t="str">
            <v> </v>
          </cell>
        </row>
        <row r="3554">
          <cell r="B3554" t="str">
            <v>RFW0G79</v>
          </cell>
          <cell r="C3554" t="str">
            <v> </v>
          </cell>
        </row>
        <row r="3555">
          <cell r="B3555" t="str">
            <v>RFX1G19</v>
          </cell>
          <cell r="C3555" t="str">
            <v>Operando</v>
          </cell>
        </row>
        <row r="3556">
          <cell r="B3556" t="str">
            <v>RFX1H05</v>
          </cell>
          <cell r="C3556" t="str">
            <v> </v>
          </cell>
        </row>
        <row r="3557">
          <cell r="B3557" t="str">
            <v>RFY2J86</v>
          </cell>
          <cell r="C3557" t="str">
            <v> </v>
          </cell>
        </row>
        <row r="3558">
          <cell r="B3558" t="str">
            <v>RFY7H16</v>
          </cell>
          <cell r="C3558" t="str">
            <v> </v>
          </cell>
        </row>
        <row r="3559">
          <cell r="B3559" t="str">
            <v>RGA2D67</v>
          </cell>
          <cell r="C3559" t="str">
            <v> </v>
          </cell>
        </row>
        <row r="3560">
          <cell r="B3560" t="str">
            <v>RGB3H64</v>
          </cell>
          <cell r="C3560" t="str">
            <v> </v>
          </cell>
        </row>
        <row r="3561">
          <cell r="B3561" t="str">
            <v>RGB7D86</v>
          </cell>
          <cell r="C3561" t="str">
            <v>Operando</v>
          </cell>
        </row>
        <row r="3562">
          <cell r="B3562" t="str">
            <v>RGD7H33</v>
          </cell>
          <cell r="C3562" t="str">
            <v> </v>
          </cell>
        </row>
        <row r="3563">
          <cell r="B3563" t="str">
            <v>RGD9J17</v>
          </cell>
          <cell r="C3563" t="str">
            <v>Operando</v>
          </cell>
        </row>
        <row r="3564">
          <cell r="B3564" t="str">
            <v>RGQ4I76</v>
          </cell>
          <cell r="C3564" t="str">
            <v> </v>
          </cell>
        </row>
        <row r="3565">
          <cell r="B3565" t="str">
            <v>RHA1A95</v>
          </cell>
          <cell r="C3565" t="str">
            <v>Carregado</v>
          </cell>
        </row>
        <row r="3566">
          <cell r="B3566" t="str">
            <v>RHA1B39</v>
          </cell>
          <cell r="C3566" t="str">
            <v>Operando</v>
          </cell>
        </row>
        <row r="3567">
          <cell r="B3567" t="str">
            <v>RHE3G53</v>
          </cell>
          <cell r="C3567" t="str">
            <v> </v>
          </cell>
        </row>
        <row r="3568">
          <cell r="B3568" t="str">
            <v>RHF0I28</v>
          </cell>
          <cell r="C3568" t="str">
            <v>Operando</v>
          </cell>
        </row>
        <row r="3569">
          <cell r="B3569" t="str">
            <v>RHG4H79</v>
          </cell>
          <cell r="C3569" t="str">
            <v>Operando</v>
          </cell>
        </row>
        <row r="3570">
          <cell r="B3570" t="str">
            <v>RHI9D63</v>
          </cell>
          <cell r="C3570" t="str">
            <v> </v>
          </cell>
        </row>
        <row r="3571">
          <cell r="B3571" t="str">
            <v>RHJ9D36</v>
          </cell>
          <cell r="C3571" t="str">
            <v> </v>
          </cell>
        </row>
        <row r="3572">
          <cell r="B3572" t="str">
            <v>RHK8I05</v>
          </cell>
          <cell r="C3572" t="str">
            <v> </v>
          </cell>
        </row>
        <row r="3573">
          <cell r="B3573" t="str">
            <v>RHM6G68</v>
          </cell>
          <cell r="C3573" t="str">
            <v> </v>
          </cell>
        </row>
        <row r="3574">
          <cell r="B3574" t="str">
            <v>RHO5B26</v>
          </cell>
          <cell r="C3574" t="str">
            <v>Manutenção</v>
          </cell>
        </row>
        <row r="3575">
          <cell r="B3575" t="str">
            <v>RHO5G76</v>
          </cell>
          <cell r="C3575" t="str">
            <v> </v>
          </cell>
        </row>
        <row r="3576">
          <cell r="B3576" t="str">
            <v>RHR3F85</v>
          </cell>
          <cell r="C3576" t="str">
            <v> </v>
          </cell>
        </row>
        <row r="3577">
          <cell r="B3577" t="str">
            <v>RHS0E66</v>
          </cell>
          <cell r="C3577" t="str">
            <v>Operando</v>
          </cell>
        </row>
        <row r="3578">
          <cell r="B3578" t="str">
            <v>RHT1B27</v>
          </cell>
          <cell r="C3578" t="str">
            <v> </v>
          </cell>
        </row>
        <row r="3579">
          <cell r="B3579" t="str">
            <v>RHU2D62</v>
          </cell>
          <cell r="C3579" t="str">
            <v>Falta Motorista</v>
          </cell>
        </row>
        <row r="3580">
          <cell r="B3580" t="str">
            <v>RHU2D65</v>
          </cell>
          <cell r="C3580" t="str">
            <v>Operando</v>
          </cell>
        </row>
        <row r="3581">
          <cell r="B3581" t="str">
            <v>RHU2D67</v>
          </cell>
          <cell r="C3581" t="str">
            <v>Operando</v>
          </cell>
        </row>
        <row r="3582">
          <cell r="B3582" t="str">
            <v>RHU2D75</v>
          </cell>
          <cell r="C3582" t="str">
            <v>Operando</v>
          </cell>
        </row>
        <row r="3583">
          <cell r="B3583" t="str">
            <v>RHV8D30</v>
          </cell>
          <cell r="C3583" t="str">
            <v>Operando</v>
          </cell>
        </row>
        <row r="3584">
          <cell r="B3584" t="str">
            <v>RHV8D32</v>
          </cell>
          <cell r="C3584" t="str">
            <v>Falta Motorista</v>
          </cell>
        </row>
        <row r="3585">
          <cell r="B3585" t="str">
            <v>RHV8D36</v>
          </cell>
          <cell r="C3585" t="str">
            <v>Falta Motorista</v>
          </cell>
        </row>
        <row r="3586">
          <cell r="B3586" t="str">
            <v>RHV8D37</v>
          </cell>
          <cell r="C3586" t="str">
            <v>Carregado</v>
          </cell>
        </row>
        <row r="3587">
          <cell r="B3587" t="str">
            <v>RHV8D42</v>
          </cell>
          <cell r="C3587" t="str">
            <v>Carregado</v>
          </cell>
        </row>
        <row r="3588">
          <cell r="B3588" t="str">
            <v>RHW0D24</v>
          </cell>
          <cell r="C3588" t="str">
            <v>Operando</v>
          </cell>
        </row>
        <row r="3589">
          <cell r="B3589" t="str">
            <v>RHW0D25</v>
          </cell>
          <cell r="C3589" t="str">
            <v>Operando</v>
          </cell>
        </row>
        <row r="3590">
          <cell r="B3590" t="str">
            <v>RHW0D28</v>
          </cell>
          <cell r="C3590" t="str">
            <v>Operando</v>
          </cell>
        </row>
        <row r="3591">
          <cell r="B3591" t="str">
            <v>RHW0D34</v>
          </cell>
          <cell r="C3591" t="str">
            <v>Operando</v>
          </cell>
        </row>
        <row r="3592">
          <cell r="B3592" t="str">
            <v>RHW0D34</v>
          </cell>
          <cell r="C3592" t="str">
            <v>Operando</v>
          </cell>
        </row>
        <row r="3593">
          <cell r="B3593" t="str">
            <v>RHW0D35</v>
          </cell>
          <cell r="C3593" t="str">
            <v> </v>
          </cell>
        </row>
        <row r="3594">
          <cell r="B3594" t="str">
            <v>RHW0D37</v>
          </cell>
          <cell r="C3594" t="str">
            <v> </v>
          </cell>
        </row>
        <row r="3595">
          <cell r="B3595" t="str">
            <v>RHW0D41</v>
          </cell>
          <cell r="C3595" t="str">
            <v>Operando</v>
          </cell>
        </row>
        <row r="3596">
          <cell r="B3596" t="str">
            <v>RHW0D44</v>
          </cell>
          <cell r="C3596" t="str">
            <v>Operando</v>
          </cell>
        </row>
        <row r="3597">
          <cell r="B3597" t="str">
            <v>RHW0D47</v>
          </cell>
          <cell r="C3597" t="str">
            <v> </v>
          </cell>
        </row>
        <row r="3598">
          <cell r="B3598" t="str">
            <v>RHW0D51</v>
          </cell>
          <cell r="C3598" t="str">
            <v>Operando</v>
          </cell>
        </row>
        <row r="3599">
          <cell r="B3599" t="str">
            <v>RHW0D53</v>
          </cell>
          <cell r="C3599" t="str">
            <v> </v>
          </cell>
        </row>
        <row r="3600">
          <cell r="B3600" t="str">
            <v>RHW0D54</v>
          </cell>
          <cell r="C3600" t="str">
            <v>Operando</v>
          </cell>
        </row>
        <row r="3601">
          <cell r="B3601" t="str">
            <v>RHW0D56</v>
          </cell>
          <cell r="C3601" t="str">
            <v>Operando</v>
          </cell>
        </row>
        <row r="3602">
          <cell r="B3602" t="str">
            <v>RHW0D57</v>
          </cell>
          <cell r="C3602" t="str">
            <v>Manutenção</v>
          </cell>
        </row>
        <row r="3603">
          <cell r="B3603" t="str">
            <v>RHW0D58</v>
          </cell>
          <cell r="C3603" t="str">
            <v>Operando</v>
          </cell>
        </row>
        <row r="3604">
          <cell r="B3604" t="str">
            <v>RHW0D59</v>
          </cell>
          <cell r="C3604" t="str">
            <v> </v>
          </cell>
        </row>
        <row r="3605">
          <cell r="B3605" t="str">
            <v>RHW0D75</v>
          </cell>
          <cell r="C3605" t="str">
            <v> </v>
          </cell>
        </row>
        <row r="3606">
          <cell r="B3606" t="str">
            <v>RHW0D76</v>
          </cell>
          <cell r="C3606" t="str">
            <v>Operando</v>
          </cell>
        </row>
        <row r="3607">
          <cell r="B3607" t="str">
            <v>RHW0D78</v>
          </cell>
          <cell r="C3607" t="str">
            <v> </v>
          </cell>
        </row>
        <row r="3608">
          <cell r="B3608" t="str">
            <v>RHW0D79</v>
          </cell>
          <cell r="C3608" t="str">
            <v>Operando</v>
          </cell>
        </row>
        <row r="3609">
          <cell r="B3609" t="str">
            <v>RHW0D80</v>
          </cell>
          <cell r="C3609" t="str">
            <v>Operando</v>
          </cell>
        </row>
        <row r="3610">
          <cell r="B3610" t="str">
            <v>RHW0D83</v>
          </cell>
          <cell r="C3610" t="str">
            <v> </v>
          </cell>
        </row>
        <row r="3611">
          <cell r="B3611" t="str">
            <v>RHW0D84</v>
          </cell>
          <cell r="C3611" t="str">
            <v> </v>
          </cell>
        </row>
        <row r="3612">
          <cell r="B3612" t="str">
            <v>RHW2G07</v>
          </cell>
          <cell r="C3612" t="str">
            <v>Operando</v>
          </cell>
        </row>
        <row r="3613">
          <cell r="B3613" t="str">
            <v>RHW2G08</v>
          </cell>
          <cell r="C3613" t="str">
            <v>Carregado</v>
          </cell>
        </row>
        <row r="3614">
          <cell r="B3614" t="str">
            <v>RIO2I72</v>
          </cell>
          <cell r="C3614" t="str">
            <v> </v>
          </cell>
        </row>
        <row r="3615">
          <cell r="B3615" t="str">
            <v>RIQ5B84</v>
          </cell>
          <cell r="C3615" t="str">
            <v> </v>
          </cell>
        </row>
        <row r="3616">
          <cell r="B3616" t="str">
            <v>RIR0D79</v>
          </cell>
          <cell r="C3616" t="str">
            <v> </v>
          </cell>
        </row>
        <row r="3617">
          <cell r="B3617" t="str">
            <v>RIT2F69</v>
          </cell>
          <cell r="C3617" t="str">
            <v> </v>
          </cell>
        </row>
        <row r="3618">
          <cell r="B3618" t="str">
            <v>RIT3F19</v>
          </cell>
          <cell r="C3618" t="str">
            <v> </v>
          </cell>
        </row>
        <row r="3619">
          <cell r="B3619" t="str">
            <v>RIW6J59</v>
          </cell>
          <cell r="C3619" t="str">
            <v> </v>
          </cell>
        </row>
        <row r="3620">
          <cell r="B3620" t="str">
            <v>RIX5E34</v>
          </cell>
          <cell r="C3620" t="str">
            <v> </v>
          </cell>
        </row>
        <row r="3621">
          <cell r="B3621" t="str">
            <v>RJA6B32</v>
          </cell>
          <cell r="C3621" t="str">
            <v>Operando</v>
          </cell>
        </row>
        <row r="3622">
          <cell r="B3622" t="str">
            <v>RJD3E73</v>
          </cell>
          <cell r="C3622" t="str">
            <v> </v>
          </cell>
        </row>
        <row r="3623">
          <cell r="B3623" t="str">
            <v>RJH2A48</v>
          </cell>
          <cell r="C3623" t="str">
            <v>Operando</v>
          </cell>
        </row>
        <row r="3624">
          <cell r="B3624" t="str">
            <v>RJK2I08</v>
          </cell>
          <cell r="C3624" t="str">
            <v> </v>
          </cell>
        </row>
        <row r="3625">
          <cell r="B3625" t="str">
            <v>RJK5D97</v>
          </cell>
          <cell r="C3625" t="str">
            <v> </v>
          </cell>
        </row>
        <row r="3626">
          <cell r="B3626" t="str">
            <v>RJK5E85</v>
          </cell>
          <cell r="C3626" t="str">
            <v>Operando</v>
          </cell>
        </row>
        <row r="3627">
          <cell r="B3627" t="str">
            <v>RJL5D74</v>
          </cell>
          <cell r="C3627" t="str">
            <v> </v>
          </cell>
        </row>
        <row r="3628">
          <cell r="B3628" t="str">
            <v>RJQ2E39</v>
          </cell>
          <cell r="C3628" t="str">
            <v>Operando</v>
          </cell>
        </row>
        <row r="3629">
          <cell r="B3629" t="str">
            <v>RJR1C61</v>
          </cell>
          <cell r="C3629" t="str">
            <v> </v>
          </cell>
        </row>
        <row r="3630">
          <cell r="B3630" t="str">
            <v>RJT4D62</v>
          </cell>
          <cell r="C3630" t="str">
            <v> </v>
          </cell>
        </row>
        <row r="3631">
          <cell r="B3631" t="str">
            <v>RJW0G45</v>
          </cell>
          <cell r="C3631" t="str">
            <v> </v>
          </cell>
        </row>
        <row r="3632">
          <cell r="B3632" t="str">
            <v>RJX1I85</v>
          </cell>
          <cell r="C3632" t="str">
            <v> </v>
          </cell>
        </row>
        <row r="3633">
          <cell r="B3633" t="str">
            <v>RJZ1D25</v>
          </cell>
          <cell r="C3633" t="str">
            <v> </v>
          </cell>
        </row>
        <row r="3634">
          <cell r="B3634" t="str">
            <v>RKE5F35</v>
          </cell>
          <cell r="C3634" t="str">
            <v> </v>
          </cell>
        </row>
        <row r="3635">
          <cell r="B3635" t="str">
            <v>RKG0B33</v>
          </cell>
          <cell r="C3635" t="str">
            <v> </v>
          </cell>
        </row>
        <row r="3636">
          <cell r="B3636" t="str">
            <v>RKL0F03</v>
          </cell>
          <cell r="C3636" t="str">
            <v> </v>
          </cell>
        </row>
        <row r="3637">
          <cell r="B3637" t="str">
            <v>RKM2G98</v>
          </cell>
          <cell r="C3637" t="str">
            <v> </v>
          </cell>
        </row>
        <row r="3638">
          <cell r="B3638" t="str">
            <v>RKM4E06</v>
          </cell>
          <cell r="C3638" t="str">
            <v>Operando</v>
          </cell>
        </row>
        <row r="3639">
          <cell r="B3639" t="str">
            <v>RKQ3A19</v>
          </cell>
          <cell r="C3639" t="str">
            <v> </v>
          </cell>
        </row>
        <row r="3640">
          <cell r="B3640" t="str">
            <v>RKT1I97</v>
          </cell>
          <cell r="C3640" t="str">
            <v> </v>
          </cell>
        </row>
        <row r="3641">
          <cell r="B3641" t="str">
            <v>RKT2H48</v>
          </cell>
          <cell r="C3641" t="str">
            <v>Operando</v>
          </cell>
        </row>
        <row r="3642">
          <cell r="B3642" t="str">
            <v>RKU1I72</v>
          </cell>
          <cell r="C3642" t="str">
            <v> </v>
          </cell>
        </row>
        <row r="3643">
          <cell r="B3643" t="str">
            <v>RLE6E64</v>
          </cell>
          <cell r="C3643" t="str">
            <v>Operando</v>
          </cell>
        </row>
        <row r="3644">
          <cell r="B3644" t="str">
            <v>RLF8J55</v>
          </cell>
          <cell r="C3644" t="str">
            <v> </v>
          </cell>
        </row>
        <row r="3645">
          <cell r="B3645" t="str">
            <v>RLH7F86</v>
          </cell>
          <cell r="C3645" t="str">
            <v> </v>
          </cell>
        </row>
        <row r="3646">
          <cell r="B3646" t="str">
            <v>RLL9D12</v>
          </cell>
          <cell r="C3646" t="str">
            <v>Operando</v>
          </cell>
        </row>
        <row r="3647">
          <cell r="B3647" t="str">
            <v>RLN4I35</v>
          </cell>
          <cell r="C3647" t="str">
            <v>Operando</v>
          </cell>
        </row>
        <row r="3648">
          <cell r="B3648" t="str">
            <v>RLP9G54</v>
          </cell>
          <cell r="C3648" t="str">
            <v>Operando</v>
          </cell>
        </row>
        <row r="3649">
          <cell r="B3649" t="str">
            <v>RMD1H13</v>
          </cell>
          <cell r="C3649" t="str">
            <v> </v>
          </cell>
        </row>
        <row r="3650">
          <cell r="B3650" t="str">
            <v>RME4F98</v>
          </cell>
          <cell r="C3650" t="str">
            <v> </v>
          </cell>
        </row>
        <row r="3651">
          <cell r="B3651" t="str">
            <v>RME4F99</v>
          </cell>
          <cell r="C3651" t="str">
            <v> </v>
          </cell>
        </row>
        <row r="3652">
          <cell r="B3652" t="str">
            <v>RMF5C81</v>
          </cell>
          <cell r="C3652" t="str">
            <v>Operando</v>
          </cell>
        </row>
        <row r="3653">
          <cell r="B3653" t="str">
            <v>RMG4I13</v>
          </cell>
          <cell r="C3653" t="str">
            <v> </v>
          </cell>
        </row>
        <row r="3654">
          <cell r="B3654" t="str">
            <v>RMK2D98</v>
          </cell>
          <cell r="C3654" t="str">
            <v>Operando</v>
          </cell>
        </row>
        <row r="3655">
          <cell r="B3655" t="str">
            <v>RMK6C78</v>
          </cell>
          <cell r="C3655" t="str">
            <v> </v>
          </cell>
        </row>
        <row r="3656">
          <cell r="B3656" t="str">
            <v>RMK9D56</v>
          </cell>
          <cell r="C3656" t="str">
            <v> </v>
          </cell>
        </row>
        <row r="3657">
          <cell r="B3657" t="str">
            <v>RML5G38</v>
          </cell>
          <cell r="C3657" t="str">
            <v>Operando</v>
          </cell>
        </row>
        <row r="3658">
          <cell r="B3658" t="str">
            <v>RMM3A47</v>
          </cell>
          <cell r="C3658" t="str">
            <v>Operando</v>
          </cell>
        </row>
        <row r="3659">
          <cell r="B3659" t="str">
            <v>RMO5J82</v>
          </cell>
          <cell r="C3659" t="str">
            <v>Operando</v>
          </cell>
        </row>
        <row r="3660">
          <cell r="B3660" t="str">
            <v>RMP4H31</v>
          </cell>
          <cell r="C3660" t="str">
            <v>Operando</v>
          </cell>
        </row>
        <row r="3661">
          <cell r="B3661" t="str">
            <v>RMP8G25</v>
          </cell>
          <cell r="C3661" t="str">
            <v>Operando</v>
          </cell>
        </row>
        <row r="3662">
          <cell r="B3662" t="str">
            <v>RMQ8E99</v>
          </cell>
          <cell r="C3662" t="str">
            <v> </v>
          </cell>
        </row>
        <row r="3663">
          <cell r="B3663" t="str">
            <v>RMR5J24</v>
          </cell>
          <cell r="C3663" t="str">
            <v>Missão</v>
          </cell>
        </row>
        <row r="3664">
          <cell r="B3664" t="str">
            <v>RMR8G82</v>
          </cell>
          <cell r="C3664" t="str">
            <v>Manutenção</v>
          </cell>
        </row>
        <row r="3665">
          <cell r="B3665" t="str">
            <v>RMS1B51</v>
          </cell>
          <cell r="C3665" t="str">
            <v> </v>
          </cell>
        </row>
        <row r="3666">
          <cell r="B3666" t="str">
            <v>RMT3B93</v>
          </cell>
          <cell r="C3666" t="str">
            <v> </v>
          </cell>
        </row>
        <row r="3667">
          <cell r="B3667" t="str">
            <v>RMU5B64</v>
          </cell>
          <cell r="C3667" t="str">
            <v>Operando</v>
          </cell>
        </row>
        <row r="3668">
          <cell r="B3668" t="str">
            <v>RMW7J32</v>
          </cell>
          <cell r="C3668" t="str">
            <v>Operando</v>
          </cell>
        </row>
        <row r="3669">
          <cell r="B3669" t="str">
            <v>RMZ0D15</v>
          </cell>
          <cell r="C3669" t="str">
            <v> </v>
          </cell>
        </row>
        <row r="3670">
          <cell r="B3670" t="str">
            <v>RNB5H97</v>
          </cell>
          <cell r="C3670" t="str">
            <v>Operando</v>
          </cell>
        </row>
        <row r="3671">
          <cell r="B3671" t="str">
            <v>RNB5I11</v>
          </cell>
          <cell r="C3671" t="str">
            <v>Manutenção</v>
          </cell>
        </row>
        <row r="3672">
          <cell r="B3672" t="str">
            <v>RNB5I16</v>
          </cell>
          <cell r="C3672" t="str">
            <v>Manutenção</v>
          </cell>
        </row>
        <row r="3673">
          <cell r="B3673" t="str">
            <v>RNB5I33</v>
          </cell>
          <cell r="C3673" t="str">
            <v>Manutenção</v>
          </cell>
        </row>
        <row r="3674">
          <cell r="B3674" t="str">
            <v>RNB5I49</v>
          </cell>
          <cell r="C3674" t="str">
            <v>Operando</v>
          </cell>
        </row>
        <row r="3675">
          <cell r="B3675" t="str">
            <v>RNB5I53</v>
          </cell>
          <cell r="C3675" t="str">
            <v>Operando</v>
          </cell>
        </row>
        <row r="3676">
          <cell r="B3676" t="str">
            <v>RNB5I54</v>
          </cell>
          <cell r="C3676" t="str">
            <v>Sem operação</v>
          </cell>
        </row>
        <row r="3677">
          <cell r="B3677" t="str">
            <v>RNB5I57</v>
          </cell>
          <cell r="C3677" t="str">
            <v>Operando</v>
          </cell>
        </row>
        <row r="3678">
          <cell r="B3678" t="str">
            <v>RNB5I58</v>
          </cell>
          <cell r="C3678" t="str">
            <v> </v>
          </cell>
        </row>
        <row r="3679">
          <cell r="B3679" t="str">
            <v>RNC0E94</v>
          </cell>
          <cell r="C3679" t="str">
            <v>Operando</v>
          </cell>
        </row>
        <row r="3680">
          <cell r="B3680" t="str">
            <v>RNC5H11</v>
          </cell>
          <cell r="C3680" t="str">
            <v>Manutenção</v>
          </cell>
        </row>
        <row r="3681">
          <cell r="B3681" t="str">
            <v>RNC5H15</v>
          </cell>
          <cell r="C3681" t="str">
            <v>Operando</v>
          </cell>
        </row>
        <row r="3682">
          <cell r="B3682" t="str">
            <v>RNC5H19</v>
          </cell>
          <cell r="C3682" t="str">
            <v>Operando</v>
          </cell>
        </row>
        <row r="3683">
          <cell r="B3683" t="str">
            <v>RNC5H20</v>
          </cell>
          <cell r="C3683" t="str">
            <v>Operando</v>
          </cell>
        </row>
        <row r="3684">
          <cell r="B3684" t="str">
            <v>RNC5H20</v>
          </cell>
          <cell r="C3684" t="str">
            <v>Operando</v>
          </cell>
        </row>
        <row r="3685">
          <cell r="B3685" t="str">
            <v>RNC5H22</v>
          </cell>
          <cell r="C3685" t="str">
            <v>Carregado</v>
          </cell>
        </row>
        <row r="3686">
          <cell r="B3686" t="str">
            <v>RNC5H23</v>
          </cell>
          <cell r="C3686" t="str">
            <v>Operando</v>
          </cell>
        </row>
        <row r="3687">
          <cell r="B3687" t="str">
            <v>RNC5H28</v>
          </cell>
          <cell r="C3687" t="str">
            <v>Operando</v>
          </cell>
        </row>
        <row r="3688">
          <cell r="B3688" t="str">
            <v>RNC9E48</v>
          </cell>
          <cell r="C3688" t="str">
            <v>Sem operação</v>
          </cell>
        </row>
        <row r="3689">
          <cell r="B3689" t="str">
            <v>RNC9E50</v>
          </cell>
          <cell r="C3689" t="str">
            <v>Operando</v>
          </cell>
        </row>
        <row r="3690">
          <cell r="B3690" t="str">
            <v>RNC9E67</v>
          </cell>
          <cell r="C3690" t="str">
            <v>Operando</v>
          </cell>
        </row>
        <row r="3691">
          <cell r="B3691" t="str">
            <v>RNC9E69</v>
          </cell>
          <cell r="C3691" t="str">
            <v>Operando</v>
          </cell>
        </row>
        <row r="3692">
          <cell r="B3692" t="str">
            <v>RNC9E73</v>
          </cell>
          <cell r="C3692" t="str">
            <v>Manutenção</v>
          </cell>
        </row>
        <row r="3693">
          <cell r="B3693" t="str">
            <v>RNC9E77</v>
          </cell>
          <cell r="C3693" t="str">
            <v>Operando</v>
          </cell>
        </row>
        <row r="3694">
          <cell r="B3694" t="str">
            <v>RND7A97</v>
          </cell>
          <cell r="C3694" t="str">
            <v>Operando</v>
          </cell>
        </row>
        <row r="3695">
          <cell r="B3695" t="str">
            <v>RND8C38</v>
          </cell>
          <cell r="C3695" t="str">
            <v>Manutenção</v>
          </cell>
        </row>
        <row r="3696">
          <cell r="B3696" t="str">
            <v>RND8C43</v>
          </cell>
          <cell r="C3696" t="str">
            <v>Manutenção</v>
          </cell>
        </row>
        <row r="3697">
          <cell r="B3697" t="str">
            <v>RND8C47</v>
          </cell>
          <cell r="C3697" t="str">
            <v>Operando</v>
          </cell>
        </row>
        <row r="3698">
          <cell r="B3698" t="str">
            <v>RND8C53</v>
          </cell>
          <cell r="C3698" t="str">
            <v>Manutenção</v>
          </cell>
        </row>
        <row r="3699">
          <cell r="B3699" t="str">
            <v>RND8C57</v>
          </cell>
          <cell r="C3699" t="str">
            <v>Operando</v>
          </cell>
        </row>
        <row r="3700">
          <cell r="B3700" t="str">
            <v>RND9I98</v>
          </cell>
          <cell r="C3700" t="str">
            <v>Operando</v>
          </cell>
        </row>
        <row r="3701">
          <cell r="B3701" t="str">
            <v>RNE0J07</v>
          </cell>
          <cell r="C3701" t="str">
            <v>Falta Motorista</v>
          </cell>
        </row>
        <row r="3702">
          <cell r="B3702" t="str">
            <v>RNE0J08</v>
          </cell>
          <cell r="C3702" t="str">
            <v>Manutenção</v>
          </cell>
        </row>
        <row r="3703">
          <cell r="B3703" t="str">
            <v>RNE0J08</v>
          </cell>
          <cell r="C3703" t="str">
            <v>Manutenção</v>
          </cell>
        </row>
        <row r="3704">
          <cell r="B3704" t="str">
            <v>RNE0J15</v>
          </cell>
          <cell r="C3704" t="str">
            <v>Manutenção</v>
          </cell>
        </row>
        <row r="3705">
          <cell r="B3705" t="str">
            <v>RNE0J17</v>
          </cell>
          <cell r="C3705" t="str">
            <v>Operando</v>
          </cell>
        </row>
        <row r="3706">
          <cell r="B3706" t="str">
            <v>RNE2I73</v>
          </cell>
          <cell r="C3706" t="str">
            <v> </v>
          </cell>
        </row>
        <row r="3707">
          <cell r="B3707" t="str">
            <v>RNE4J02</v>
          </cell>
          <cell r="C3707" t="str">
            <v>Manutenção</v>
          </cell>
        </row>
        <row r="3708">
          <cell r="B3708" t="str">
            <v>RNE4J04</v>
          </cell>
          <cell r="C3708" t="str">
            <v>Manutenção</v>
          </cell>
        </row>
        <row r="3709">
          <cell r="B3709" t="str">
            <v>RNE7C71</v>
          </cell>
          <cell r="C3709" t="str">
            <v>Operando</v>
          </cell>
        </row>
        <row r="3710">
          <cell r="B3710" t="str">
            <v>RNE7C74</v>
          </cell>
          <cell r="C3710" t="str">
            <v>Operando</v>
          </cell>
        </row>
        <row r="3711">
          <cell r="B3711" t="str">
            <v>RNE7C77</v>
          </cell>
          <cell r="C3711" t="str">
            <v>Manutenção</v>
          </cell>
        </row>
        <row r="3712">
          <cell r="B3712" t="str">
            <v>RNE7C83</v>
          </cell>
          <cell r="C3712" t="str">
            <v>Carregado</v>
          </cell>
        </row>
        <row r="3713">
          <cell r="B3713" t="str">
            <v>RNF2B68</v>
          </cell>
          <cell r="C3713" t="str">
            <v>Manutenção</v>
          </cell>
        </row>
        <row r="3714">
          <cell r="B3714" t="str">
            <v>RNF2B74</v>
          </cell>
          <cell r="C3714" t="str">
            <v>Manutenção</v>
          </cell>
        </row>
        <row r="3715">
          <cell r="B3715" t="str">
            <v>RNF2B76</v>
          </cell>
          <cell r="C3715" t="str">
            <v>Operando</v>
          </cell>
        </row>
        <row r="3716">
          <cell r="B3716" t="str">
            <v>RNF2B88</v>
          </cell>
          <cell r="C3716" t="str">
            <v>Operando</v>
          </cell>
        </row>
        <row r="3717">
          <cell r="B3717" t="str">
            <v>RNF2B91</v>
          </cell>
          <cell r="C3717" t="str">
            <v>Manutenção</v>
          </cell>
        </row>
        <row r="3718">
          <cell r="B3718" t="str">
            <v>RNF2B95</v>
          </cell>
          <cell r="C3718" t="str">
            <v>Operando</v>
          </cell>
        </row>
        <row r="3719">
          <cell r="B3719" t="str">
            <v>RNF2B98</v>
          </cell>
          <cell r="C3719" t="str">
            <v>Manutenção</v>
          </cell>
        </row>
        <row r="3720">
          <cell r="B3720" t="str">
            <v>RNF2B99</v>
          </cell>
          <cell r="C3720" t="str">
            <v>Manutenção</v>
          </cell>
        </row>
        <row r="3721">
          <cell r="B3721" t="str">
            <v>RNF2C01</v>
          </cell>
          <cell r="C3721" t="str">
            <v>Manutenção</v>
          </cell>
        </row>
        <row r="3722">
          <cell r="B3722" t="str">
            <v>RNF2J64</v>
          </cell>
          <cell r="C3722" t="str">
            <v> </v>
          </cell>
        </row>
        <row r="3723">
          <cell r="B3723" t="str">
            <v>RNF4A03</v>
          </cell>
          <cell r="C3723" t="str">
            <v>Operando</v>
          </cell>
        </row>
        <row r="3724">
          <cell r="B3724" t="str">
            <v>RNF5J20</v>
          </cell>
          <cell r="C3724" t="str">
            <v> </v>
          </cell>
        </row>
        <row r="3725">
          <cell r="B3725" t="str">
            <v>RNF6H36</v>
          </cell>
          <cell r="C3725" t="str">
            <v>Falta Motorista</v>
          </cell>
        </row>
        <row r="3726">
          <cell r="B3726" t="str">
            <v>RNF6H39</v>
          </cell>
          <cell r="C3726" t="str">
            <v>Operando</v>
          </cell>
        </row>
        <row r="3727">
          <cell r="B3727" t="str">
            <v>RNF6H47</v>
          </cell>
          <cell r="C3727" t="str">
            <v>Carregado</v>
          </cell>
        </row>
        <row r="3728">
          <cell r="B3728" t="str">
            <v>RNG4F48</v>
          </cell>
          <cell r="C3728" t="str">
            <v>Operando</v>
          </cell>
        </row>
        <row r="3729">
          <cell r="B3729" t="str">
            <v>RNG4F49</v>
          </cell>
          <cell r="C3729" t="str">
            <v>Operando</v>
          </cell>
        </row>
        <row r="3730">
          <cell r="B3730" t="str">
            <v>RNG4F63</v>
          </cell>
          <cell r="C3730" t="str">
            <v>Falta Motorista</v>
          </cell>
        </row>
        <row r="3731">
          <cell r="B3731" t="str">
            <v>RNG5A17</v>
          </cell>
          <cell r="C3731" t="str">
            <v>Operando</v>
          </cell>
        </row>
        <row r="3732">
          <cell r="B3732" t="str">
            <v>RNG5A19</v>
          </cell>
          <cell r="C3732" t="str">
            <v>Operando</v>
          </cell>
        </row>
        <row r="3733">
          <cell r="B3733" t="str">
            <v>RNG5A20</v>
          </cell>
          <cell r="C3733" t="str">
            <v>Operando</v>
          </cell>
        </row>
        <row r="3734">
          <cell r="B3734" t="str">
            <v>RNH7H38</v>
          </cell>
          <cell r="C3734" t="str">
            <v> </v>
          </cell>
        </row>
        <row r="3735">
          <cell r="B3735" t="str">
            <v>RNH7H50</v>
          </cell>
          <cell r="C3735" t="str">
            <v> </v>
          </cell>
        </row>
        <row r="3736">
          <cell r="B3736" t="str">
            <v>RNH7H58</v>
          </cell>
          <cell r="C3736" t="str">
            <v>Carregado</v>
          </cell>
        </row>
        <row r="3737">
          <cell r="B3737" t="str">
            <v>RNH8I61</v>
          </cell>
          <cell r="C3737" t="str">
            <v> </v>
          </cell>
        </row>
        <row r="3738">
          <cell r="B3738" t="str">
            <v>RNH9B89</v>
          </cell>
          <cell r="C3738" t="str">
            <v> </v>
          </cell>
        </row>
        <row r="3739">
          <cell r="B3739" t="str">
            <v>RNI1I29</v>
          </cell>
          <cell r="C3739" t="str">
            <v> </v>
          </cell>
        </row>
        <row r="3740">
          <cell r="B3740" t="str">
            <v>RNI1I30</v>
          </cell>
          <cell r="C3740" t="str">
            <v> </v>
          </cell>
        </row>
        <row r="3741">
          <cell r="B3741" t="str">
            <v>RNI1I31</v>
          </cell>
          <cell r="C3741" t="str">
            <v> </v>
          </cell>
        </row>
        <row r="3742">
          <cell r="B3742" t="str">
            <v>RNJ2I92</v>
          </cell>
          <cell r="C3742" t="str">
            <v> </v>
          </cell>
        </row>
        <row r="3743">
          <cell r="B3743" t="str">
            <v>RNJ9C31</v>
          </cell>
          <cell r="C3743" t="str">
            <v> </v>
          </cell>
        </row>
        <row r="3744">
          <cell r="B3744" t="str">
            <v>RNJ9C32</v>
          </cell>
          <cell r="C3744" t="str">
            <v>Manutenção</v>
          </cell>
        </row>
        <row r="3745">
          <cell r="B3745" t="str">
            <v>RNJ9C33</v>
          </cell>
          <cell r="C3745" t="str">
            <v> </v>
          </cell>
        </row>
        <row r="3746">
          <cell r="B3746" t="str">
            <v>RNJ9C35</v>
          </cell>
          <cell r="C3746" t="str">
            <v> </v>
          </cell>
        </row>
        <row r="3747">
          <cell r="B3747" t="str">
            <v>RNJ9C36</v>
          </cell>
          <cell r="C3747" t="str">
            <v>Sem operação</v>
          </cell>
        </row>
        <row r="3748">
          <cell r="B3748" t="str">
            <v>RNJ9C37</v>
          </cell>
          <cell r="C3748" t="str">
            <v>Sem operação</v>
          </cell>
        </row>
        <row r="3749">
          <cell r="B3749" t="str">
            <v>RNJ9C38</v>
          </cell>
          <cell r="C3749" t="str">
            <v>Operando</v>
          </cell>
        </row>
        <row r="3750">
          <cell r="B3750" t="str">
            <v>RNJ9C39</v>
          </cell>
          <cell r="C3750" t="str">
            <v>Manutenção</v>
          </cell>
        </row>
        <row r="3751">
          <cell r="B3751" t="str">
            <v>RNJ9C48</v>
          </cell>
          <cell r="C3751" t="str">
            <v>Operando</v>
          </cell>
        </row>
        <row r="3752">
          <cell r="B3752" t="str">
            <v>RNJ9C65</v>
          </cell>
          <cell r="C3752" t="str">
            <v>Operando</v>
          </cell>
        </row>
        <row r="3753">
          <cell r="B3753" t="str">
            <v>RNJ9C72</v>
          </cell>
          <cell r="C3753" t="str">
            <v>Operando</v>
          </cell>
        </row>
        <row r="3754">
          <cell r="B3754" t="str">
            <v>RNJ9C77</v>
          </cell>
          <cell r="C3754" t="str">
            <v>Operando</v>
          </cell>
        </row>
        <row r="3755">
          <cell r="B3755" t="str">
            <v>RNJ9C78</v>
          </cell>
          <cell r="C3755" t="str">
            <v>Operando</v>
          </cell>
        </row>
        <row r="3756">
          <cell r="B3756" t="str">
            <v>RNJ9C80</v>
          </cell>
          <cell r="C3756" t="str">
            <v>Operando</v>
          </cell>
        </row>
        <row r="3757">
          <cell r="B3757" t="str">
            <v>RNJ9C86</v>
          </cell>
          <cell r="C3757" t="str">
            <v>Operando</v>
          </cell>
        </row>
        <row r="3758">
          <cell r="B3758" t="str">
            <v>RNJ9C87</v>
          </cell>
          <cell r="C3758" t="str">
            <v>Operando</v>
          </cell>
        </row>
        <row r="3759">
          <cell r="B3759" t="str">
            <v>RNJ9C88</v>
          </cell>
          <cell r="C3759" t="str">
            <v> </v>
          </cell>
        </row>
        <row r="3760">
          <cell r="B3760" t="str">
            <v>RNJ9C89</v>
          </cell>
          <cell r="C3760" t="str">
            <v> </v>
          </cell>
        </row>
        <row r="3761">
          <cell r="B3761" t="str">
            <v>RNJ9C90</v>
          </cell>
          <cell r="C3761" t="str">
            <v>Operando</v>
          </cell>
        </row>
        <row r="3762">
          <cell r="B3762" t="str">
            <v>RNJ9C91</v>
          </cell>
          <cell r="C3762" t="str">
            <v>Operando</v>
          </cell>
        </row>
        <row r="3763">
          <cell r="B3763" t="str">
            <v>RNJ9C94</v>
          </cell>
          <cell r="C3763" t="str">
            <v> </v>
          </cell>
        </row>
        <row r="3764">
          <cell r="B3764" t="str">
            <v>RNJ9C95</v>
          </cell>
          <cell r="C3764" t="str">
            <v>Operando</v>
          </cell>
        </row>
        <row r="3765">
          <cell r="B3765" t="str">
            <v>RNJ9C96</v>
          </cell>
          <cell r="C3765" t="str">
            <v>Manutenção</v>
          </cell>
        </row>
        <row r="3766">
          <cell r="B3766" t="str">
            <v>RNJ9C97</v>
          </cell>
          <cell r="C3766" t="str">
            <v>Manutenção</v>
          </cell>
        </row>
        <row r="3767">
          <cell r="B3767" t="str">
            <v>RNJ9D08</v>
          </cell>
          <cell r="C3767" t="str">
            <v>Operando</v>
          </cell>
        </row>
        <row r="3768">
          <cell r="B3768" t="str">
            <v>RNJ9D10</v>
          </cell>
          <cell r="C3768" t="str">
            <v>Operando</v>
          </cell>
        </row>
        <row r="3769">
          <cell r="B3769" t="str">
            <v>RNJ9D10</v>
          </cell>
          <cell r="C3769" t="str">
            <v>Operando</v>
          </cell>
        </row>
        <row r="3770">
          <cell r="B3770" t="str">
            <v>RNJ9D15</v>
          </cell>
          <cell r="C3770" t="str">
            <v> </v>
          </cell>
        </row>
        <row r="3771">
          <cell r="B3771" t="str">
            <v>RNJ9D16</v>
          </cell>
          <cell r="C3771" t="str">
            <v>Operando</v>
          </cell>
        </row>
        <row r="3772">
          <cell r="B3772" t="str">
            <v>RNJ9D18</v>
          </cell>
          <cell r="C3772" t="str">
            <v> </v>
          </cell>
        </row>
        <row r="3773">
          <cell r="B3773" t="str">
            <v>RNJ9D25</v>
          </cell>
          <cell r="C3773" t="str">
            <v>Manutenção</v>
          </cell>
        </row>
        <row r="3774">
          <cell r="B3774" t="str">
            <v>RNJ9D30</v>
          </cell>
          <cell r="C3774" t="str">
            <v>Operando</v>
          </cell>
        </row>
        <row r="3775">
          <cell r="B3775" t="str">
            <v>RNJ9D39</v>
          </cell>
          <cell r="C3775" t="str">
            <v>Carregado</v>
          </cell>
        </row>
        <row r="3776">
          <cell r="B3776" t="str">
            <v>RNJ9D40</v>
          </cell>
          <cell r="C3776" t="str">
            <v>Operando</v>
          </cell>
        </row>
        <row r="3777">
          <cell r="B3777" t="str">
            <v>RNJ9D50</v>
          </cell>
          <cell r="C3777" t="str">
            <v>Manutenção</v>
          </cell>
        </row>
        <row r="3778">
          <cell r="B3778" t="str">
            <v>RNJ9D58</v>
          </cell>
          <cell r="C3778" t="str">
            <v>Operando</v>
          </cell>
        </row>
        <row r="3779">
          <cell r="B3779" t="str">
            <v>RNK7H02</v>
          </cell>
          <cell r="C3779" t="str">
            <v>Operando</v>
          </cell>
        </row>
        <row r="3780">
          <cell r="B3780" t="str">
            <v>RNL8F04</v>
          </cell>
          <cell r="C3780" t="str">
            <v>Operando</v>
          </cell>
        </row>
        <row r="3781">
          <cell r="B3781" t="str">
            <v>RNN0C08</v>
          </cell>
          <cell r="C3781" t="str">
            <v> </v>
          </cell>
        </row>
        <row r="3782">
          <cell r="B3782" t="str">
            <v>RNN0C19</v>
          </cell>
          <cell r="C3782" t="str">
            <v> </v>
          </cell>
        </row>
        <row r="3783">
          <cell r="B3783" t="str">
            <v>RNN2C07</v>
          </cell>
          <cell r="C3783" t="str">
            <v> </v>
          </cell>
        </row>
        <row r="3784">
          <cell r="B3784" t="str">
            <v>RNN6A71</v>
          </cell>
          <cell r="C3784" t="str">
            <v>Falta Motorista</v>
          </cell>
        </row>
        <row r="3785">
          <cell r="B3785" t="str">
            <v>RNO0D19</v>
          </cell>
          <cell r="C3785" t="str">
            <v> </v>
          </cell>
        </row>
        <row r="3786">
          <cell r="B3786" t="str">
            <v>RNO2A11</v>
          </cell>
          <cell r="C3786" t="str">
            <v> </v>
          </cell>
        </row>
        <row r="3787">
          <cell r="B3787" t="str">
            <v>RNP2F60</v>
          </cell>
          <cell r="C3787" t="str">
            <v> </v>
          </cell>
        </row>
        <row r="3788">
          <cell r="B3788" t="str">
            <v>RNP5I89</v>
          </cell>
          <cell r="C3788" t="str">
            <v> </v>
          </cell>
        </row>
        <row r="3789">
          <cell r="B3789" t="str">
            <v>RNP6E41</v>
          </cell>
          <cell r="C3789" t="str">
            <v> </v>
          </cell>
        </row>
        <row r="3790">
          <cell r="B3790" t="str">
            <v>RNP6E43</v>
          </cell>
          <cell r="C3790" t="str">
            <v>Manutenção</v>
          </cell>
        </row>
        <row r="3791">
          <cell r="B3791" t="str">
            <v>RNP6E45</v>
          </cell>
          <cell r="C3791" t="str">
            <v>Manutenção</v>
          </cell>
        </row>
        <row r="3792">
          <cell r="B3792" t="str">
            <v>RNP9I65</v>
          </cell>
          <cell r="C3792" t="str">
            <v> </v>
          </cell>
        </row>
        <row r="3793">
          <cell r="B3793" t="str">
            <v>RNQ8D22</v>
          </cell>
          <cell r="C3793" t="str">
            <v>Manutenção</v>
          </cell>
        </row>
        <row r="3794">
          <cell r="B3794" t="str">
            <v>RNR1C98</v>
          </cell>
          <cell r="C3794" t="str">
            <v> </v>
          </cell>
        </row>
        <row r="3795">
          <cell r="B3795" t="str">
            <v>RNR5C62</v>
          </cell>
          <cell r="C3795" t="str">
            <v>Manutenção</v>
          </cell>
        </row>
        <row r="3796">
          <cell r="B3796" t="str">
            <v>RNR5C63</v>
          </cell>
          <cell r="C3796" t="str">
            <v>Operando</v>
          </cell>
        </row>
        <row r="3797">
          <cell r="B3797" t="str">
            <v>RNR5C64</v>
          </cell>
          <cell r="C3797" t="str">
            <v>Manutenção</v>
          </cell>
        </row>
        <row r="3798">
          <cell r="B3798" t="str">
            <v>RNR5C66</v>
          </cell>
          <cell r="C3798" t="str">
            <v>Operando</v>
          </cell>
        </row>
        <row r="3799">
          <cell r="B3799" t="str">
            <v>RNT1J15</v>
          </cell>
          <cell r="C3799" t="str">
            <v> </v>
          </cell>
        </row>
        <row r="3800">
          <cell r="B3800" t="str">
            <v>RNU0B90</v>
          </cell>
          <cell r="C3800" t="str">
            <v> </v>
          </cell>
        </row>
        <row r="3801">
          <cell r="B3801" t="str">
            <v>RNU2C11</v>
          </cell>
          <cell r="C3801" t="str">
            <v>Manutenção</v>
          </cell>
        </row>
        <row r="3802">
          <cell r="B3802" t="str">
            <v>RNU2C28</v>
          </cell>
          <cell r="C3802" t="str">
            <v>Carregado</v>
          </cell>
        </row>
        <row r="3803">
          <cell r="B3803" t="str">
            <v>RNU2D20</v>
          </cell>
          <cell r="C3803" t="str">
            <v>Operando</v>
          </cell>
        </row>
        <row r="3804">
          <cell r="B3804" t="str">
            <v>RNU2J58</v>
          </cell>
          <cell r="C3804" t="str">
            <v>Operando</v>
          </cell>
        </row>
        <row r="3805">
          <cell r="B3805" t="str">
            <v>RNU7B66</v>
          </cell>
          <cell r="C3805" t="str">
            <v> </v>
          </cell>
        </row>
        <row r="3806">
          <cell r="B3806" t="str">
            <v>RNV4C47</v>
          </cell>
          <cell r="C3806" t="str">
            <v> </v>
          </cell>
        </row>
        <row r="3807">
          <cell r="B3807" t="str">
            <v>RNW6F48</v>
          </cell>
          <cell r="C3807" t="str">
            <v>Operando</v>
          </cell>
        </row>
        <row r="3808">
          <cell r="B3808" t="str">
            <v>RNX9G50</v>
          </cell>
          <cell r="C3808" t="str">
            <v>Operando</v>
          </cell>
        </row>
        <row r="3809">
          <cell r="B3809" t="str">
            <v>RNX9J54</v>
          </cell>
          <cell r="C3809" t="str">
            <v>Operando</v>
          </cell>
        </row>
        <row r="3810">
          <cell r="B3810" t="str">
            <v>RNZ3H53</v>
          </cell>
          <cell r="C3810" t="str">
            <v>Sem operação</v>
          </cell>
        </row>
        <row r="3811">
          <cell r="B3811" t="str">
            <v>RNZ3H57</v>
          </cell>
          <cell r="C3811" t="str">
            <v>Manutenção</v>
          </cell>
        </row>
        <row r="3812">
          <cell r="B3812" t="str">
            <v>RNZ3H80</v>
          </cell>
          <cell r="C3812" t="str">
            <v>Operando</v>
          </cell>
        </row>
        <row r="3813">
          <cell r="B3813" t="str">
            <v>RNZ3H84</v>
          </cell>
          <cell r="C3813" t="str">
            <v>Sem operação</v>
          </cell>
        </row>
        <row r="3814">
          <cell r="B3814" t="str">
            <v>RNZ3H85</v>
          </cell>
          <cell r="C3814" t="str">
            <v>Sem operação</v>
          </cell>
        </row>
        <row r="3815">
          <cell r="B3815" t="str">
            <v>RNZ3H89</v>
          </cell>
          <cell r="C3815" t="str">
            <v>Manutenção</v>
          </cell>
        </row>
        <row r="3816">
          <cell r="B3816" t="str">
            <v>ROF5J78</v>
          </cell>
          <cell r="C3816" t="str">
            <v> </v>
          </cell>
        </row>
        <row r="3817">
          <cell r="B3817" t="str">
            <v>ROI6G71</v>
          </cell>
          <cell r="C3817" t="str">
            <v> </v>
          </cell>
        </row>
        <row r="3818">
          <cell r="B3818" t="str">
            <v>ROS3C06</v>
          </cell>
          <cell r="C3818" t="str">
            <v> </v>
          </cell>
        </row>
        <row r="3819">
          <cell r="B3819" t="str">
            <v>ROT1B01</v>
          </cell>
          <cell r="C3819" t="str">
            <v> </v>
          </cell>
        </row>
        <row r="3820">
          <cell r="B3820" t="str">
            <v>ROV7J19</v>
          </cell>
          <cell r="C3820" t="str">
            <v> </v>
          </cell>
        </row>
        <row r="3821">
          <cell r="B3821" t="str">
            <v>ROZ5A83</v>
          </cell>
          <cell r="C3821" t="str">
            <v> </v>
          </cell>
        </row>
        <row r="3822">
          <cell r="B3822" t="str">
            <v>RPG4F00</v>
          </cell>
          <cell r="C3822" t="str">
            <v> </v>
          </cell>
        </row>
        <row r="3823">
          <cell r="B3823" t="str">
            <v>RPT7D43</v>
          </cell>
          <cell r="C3823" t="str">
            <v> </v>
          </cell>
        </row>
        <row r="3824">
          <cell r="B3824" t="str">
            <v>RRP1H07</v>
          </cell>
          <cell r="C3824" t="str">
            <v> </v>
          </cell>
        </row>
        <row r="3825">
          <cell r="B3825" t="str">
            <v>RTA8I39</v>
          </cell>
          <cell r="C3825" t="str">
            <v> </v>
          </cell>
        </row>
        <row r="3826">
          <cell r="B3826" t="str">
            <v>RTB1B47</v>
          </cell>
          <cell r="C3826" t="str">
            <v> </v>
          </cell>
        </row>
        <row r="3827">
          <cell r="B3827" t="str">
            <v>RTB7E31</v>
          </cell>
          <cell r="C3827" t="str">
            <v>Operando</v>
          </cell>
        </row>
        <row r="3828">
          <cell r="B3828" t="str">
            <v>RTB7E32</v>
          </cell>
          <cell r="C3828" t="str">
            <v>Manutenção</v>
          </cell>
        </row>
        <row r="3829">
          <cell r="B3829" t="str">
            <v>RTB7E33</v>
          </cell>
          <cell r="C3829" t="str">
            <v>Operando</v>
          </cell>
        </row>
        <row r="3830">
          <cell r="B3830" t="str">
            <v>RTB7E47</v>
          </cell>
          <cell r="C3830" t="str">
            <v>Operando</v>
          </cell>
        </row>
        <row r="3831">
          <cell r="B3831" t="str">
            <v>RTC9J39</v>
          </cell>
          <cell r="C3831" t="str">
            <v>Carregado</v>
          </cell>
        </row>
        <row r="3832">
          <cell r="B3832" t="str">
            <v>RTD0G40</v>
          </cell>
          <cell r="C3832" t="str">
            <v> </v>
          </cell>
        </row>
        <row r="3833">
          <cell r="B3833" t="str">
            <v>RTD3C16</v>
          </cell>
          <cell r="C3833" t="str">
            <v> </v>
          </cell>
        </row>
        <row r="3834">
          <cell r="B3834" t="str">
            <v>RTE0I46</v>
          </cell>
          <cell r="C3834" t="str">
            <v>Operando</v>
          </cell>
        </row>
        <row r="3835">
          <cell r="B3835" t="str">
            <v>RTE0I49</v>
          </cell>
          <cell r="C3835" t="str">
            <v>Operando</v>
          </cell>
        </row>
        <row r="3836">
          <cell r="B3836" t="str">
            <v>RTE2F04</v>
          </cell>
          <cell r="C3836" t="str">
            <v> </v>
          </cell>
        </row>
        <row r="3837">
          <cell r="B3837" t="str">
            <v>RTE6E43</v>
          </cell>
          <cell r="C3837" t="str">
            <v> </v>
          </cell>
        </row>
        <row r="3838">
          <cell r="B3838" t="str">
            <v>RTF0B76</v>
          </cell>
          <cell r="C3838" t="str">
            <v>Operando</v>
          </cell>
        </row>
        <row r="3839">
          <cell r="B3839" t="str">
            <v>RTJ2B48</v>
          </cell>
          <cell r="C3839" t="str">
            <v>Operando</v>
          </cell>
        </row>
        <row r="3840">
          <cell r="B3840" t="str">
            <v>RTL6B10</v>
          </cell>
          <cell r="C3840" t="str">
            <v> </v>
          </cell>
        </row>
        <row r="3841">
          <cell r="B3841" t="str">
            <v>RTL6C26</v>
          </cell>
          <cell r="C3841" t="str">
            <v> </v>
          </cell>
        </row>
        <row r="3842">
          <cell r="B3842" t="str">
            <v>RTM3B06</v>
          </cell>
          <cell r="C3842" t="str">
            <v> </v>
          </cell>
        </row>
        <row r="3843">
          <cell r="B3843" t="str">
            <v>RTM6B45</v>
          </cell>
          <cell r="C3843" t="str">
            <v>Carregado</v>
          </cell>
        </row>
        <row r="3844">
          <cell r="B3844" t="str">
            <v>RTM6B47</v>
          </cell>
          <cell r="C3844" t="str">
            <v>Operando</v>
          </cell>
        </row>
        <row r="3845">
          <cell r="B3845" t="str">
            <v>RTM6B50</v>
          </cell>
          <cell r="C3845" t="str">
            <v>Carregado</v>
          </cell>
        </row>
        <row r="3846">
          <cell r="B3846" t="str">
            <v>RTM6B51</v>
          </cell>
          <cell r="C3846" t="str">
            <v> </v>
          </cell>
        </row>
        <row r="3847">
          <cell r="B3847" t="str">
            <v>RTM6B56</v>
          </cell>
          <cell r="C3847" t="str">
            <v>Falta Motorista</v>
          </cell>
        </row>
        <row r="3848">
          <cell r="B3848" t="str">
            <v>RTM6B58</v>
          </cell>
          <cell r="C3848" t="str">
            <v> </v>
          </cell>
        </row>
        <row r="3849">
          <cell r="B3849" t="str">
            <v>RTM6B62</v>
          </cell>
          <cell r="C3849" t="str">
            <v>Sem operação</v>
          </cell>
        </row>
        <row r="3850">
          <cell r="B3850" t="str">
            <v>RTM6B63</v>
          </cell>
          <cell r="C3850" t="str">
            <v>Manutenção</v>
          </cell>
        </row>
        <row r="3851">
          <cell r="B3851" t="str">
            <v>RTM6B65</v>
          </cell>
          <cell r="C3851" t="str">
            <v> </v>
          </cell>
        </row>
        <row r="3852">
          <cell r="B3852" t="str">
            <v>RTM6B66</v>
          </cell>
          <cell r="C3852" t="str">
            <v>Operando</v>
          </cell>
        </row>
        <row r="3853">
          <cell r="B3853" t="str">
            <v>RTM6B67</v>
          </cell>
          <cell r="C3853" t="str">
            <v> </v>
          </cell>
        </row>
        <row r="3854">
          <cell r="B3854" t="str">
            <v>RTM6B70</v>
          </cell>
          <cell r="C3854" t="str">
            <v>Carregado</v>
          </cell>
        </row>
        <row r="3855">
          <cell r="B3855" t="str">
            <v>RTM6B71</v>
          </cell>
          <cell r="C3855" t="str">
            <v>Carregado</v>
          </cell>
        </row>
        <row r="3856">
          <cell r="B3856" t="str">
            <v>RTM6B72</v>
          </cell>
          <cell r="C3856" t="str">
            <v> </v>
          </cell>
        </row>
        <row r="3857">
          <cell r="B3857" t="str">
            <v>RTM6B77</v>
          </cell>
          <cell r="C3857" t="str">
            <v>Operando</v>
          </cell>
        </row>
        <row r="3858">
          <cell r="B3858" t="str">
            <v>RTM6C99</v>
          </cell>
          <cell r="C3858" t="str">
            <v> </v>
          </cell>
        </row>
        <row r="3859">
          <cell r="B3859" t="str">
            <v>RTM7G79</v>
          </cell>
          <cell r="C3859" t="str">
            <v> </v>
          </cell>
        </row>
        <row r="3860">
          <cell r="B3860" t="str">
            <v>RTM7G80</v>
          </cell>
          <cell r="C3860" t="str">
            <v>Operando</v>
          </cell>
        </row>
        <row r="3861">
          <cell r="B3861" t="str">
            <v>RTM7G82</v>
          </cell>
          <cell r="C3861" t="str">
            <v> </v>
          </cell>
        </row>
        <row r="3862">
          <cell r="B3862" t="str">
            <v>RTM7G83</v>
          </cell>
          <cell r="C3862" t="str">
            <v>Carregado</v>
          </cell>
        </row>
        <row r="3863">
          <cell r="B3863" t="str">
            <v>RTM9F09</v>
          </cell>
          <cell r="C3863" t="str">
            <v>Operando</v>
          </cell>
        </row>
        <row r="3864">
          <cell r="B3864" t="str">
            <v>RTN9A29</v>
          </cell>
          <cell r="C3864" t="str">
            <v> </v>
          </cell>
        </row>
        <row r="3865">
          <cell r="B3865" t="str">
            <v>RTN9F41</v>
          </cell>
          <cell r="C3865" t="str">
            <v> </v>
          </cell>
        </row>
        <row r="3866">
          <cell r="B3866" t="str">
            <v>RTO9A05</v>
          </cell>
          <cell r="C3866" t="str">
            <v>Agregado</v>
          </cell>
        </row>
        <row r="3867">
          <cell r="B3867" t="str">
            <v>RTP0A93</v>
          </cell>
          <cell r="C3867" t="str">
            <v>Operando</v>
          </cell>
        </row>
        <row r="3868">
          <cell r="B3868" t="str">
            <v>RTP0C66</v>
          </cell>
          <cell r="C3868" t="str">
            <v>Operando</v>
          </cell>
        </row>
        <row r="3869">
          <cell r="B3869" t="str">
            <v>RTP4B83</v>
          </cell>
          <cell r="C3869" t="str">
            <v>Manutenção</v>
          </cell>
        </row>
        <row r="3870">
          <cell r="B3870" t="str">
            <v>RTP4B89</v>
          </cell>
          <cell r="C3870" t="str">
            <v>Manutenção</v>
          </cell>
        </row>
        <row r="3871">
          <cell r="B3871" t="str">
            <v>RTP4B90</v>
          </cell>
          <cell r="C3871" t="str">
            <v>Sem operação</v>
          </cell>
        </row>
        <row r="3872">
          <cell r="B3872" t="str">
            <v>RTP4B92</v>
          </cell>
          <cell r="C3872" t="str">
            <v>Carregado</v>
          </cell>
        </row>
        <row r="3873">
          <cell r="B3873" t="str">
            <v>RTQ8J12</v>
          </cell>
          <cell r="C3873" t="str">
            <v> </v>
          </cell>
        </row>
        <row r="3874">
          <cell r="B3874" t="str">
            <v>RTT8E06</v>
          </cell>
          <cell r="C3874" t="str">
            <v> </v>
          </cell>
        </row>
        <row r="3875">
          <cell r="B3875" t="str">
            <v>RTU3J38</v>
          </cell>
          <cell r="C3875" t="str">
            <v>Operando</v>
          </cell>
        </row>
        <row r="3876">
          <cell r="B3876" t="str">
            <v>RTU5E56</v>
          </cell>
          <cell r="C3876" t="str">
            <v>Operando</v>
          </cell>
        </row>
        <row r="3877">
          <cell r="B3877" t="str">
            <v>RTU6I30</v>
          </cell>
          <cell r="C3877" t="str">
            <v> </v>
          </cell>
        </row>
        <row r="3878">
          <cell r="B3878" t="str">
            <v>RTVOE27</v>
          </cell>
          <cell r="C3878" t="str">
            <v> </v>
          </cell>
        </row>
        <row r="3879">
          <cell r="B3879" t="str">
            <v>RTX7I49</v>
          </cell>
          <cell r="C3879" t="str">
            <v>Operando</v>
          </cell>
        </row>
        <row r="3880">
          <cell r="B3880" t="str">
            <v>RTZ2E40</v>
          </cell>
          <cell r="C3880" t="str">
            <v> </v>
          </cell>
        </row>
        <row r="3881">
          <cell r="B3881" t="str">
            <v>RTZ4C60</v>
          </cell>
          <cell r="C3881" t="str">
            <v> </v>
          </cell>
        </row>
        <row r="3882">
          <cell r="B3882" t="str">
            <v>RTZ7C02</v>
          </cell>
          <cell r="C3882" t="str">
            <v> </v>
          </cell>
        </row>
        <row r="3883">
          <cell r="B3883" t="str">
            <v>RTZ9F58</v>
          </cell>
          <cell r="C3883" t="str">
            <v> </v>
          </cell>
        </row>
        <row r="3884">
          <cell r="B3884" t="str">
            <v>RUC5B53</v>
          </cell>
          <cell r="C3884" t="str">
            <v> </v>
          </cell>
        </row>
        <row r="3885">
          <cell r="B3885" t="str">
            <v>RUC7I42</v>
          </cell>
          <cell r="C3885" t="str">
            <v> </v>
          </cell>
        </row>
        <row r="3886">
          <cell r="B3886" t="str">
            <v>RUD8E23</v>
          </cell>
          <cell r="C3886" t="str">
            <v> </v>
          </cell>
        </row>
        <row r="3887">
          <cell r="B3887" t="str">
            <v>RUF8F16</v>
          </cell>
          <cell r="C3887" t="str">
            <v> </v>
          </cell>
        </row>
        <row r="3888">
          <cell r="B3888" t="str">
            <v>RUF9E69</v>
          </cell>
          <cell r="C3888" t="str">
            <v> </v>
          </cell>
        </row>
        <row r="3889">
          <cell r="B3889" t="str">
            <v>RUG7E81</v>
          </cell>
          <cell r="C3889" t="str">
            <v>Operando</v>
          </cell>
        </row>
        <row r="3890">
          <cell r="B3890" t="str">
            <v>RUH0A61</v>
          </cell>
          <cell r="C3890" t="str">
            <v>Operando</v>
          </cell>
        </row>
        <row r="3891">
          <cell r="B3891" t="str">
            <v>RUH6C97</v>
          </cell>
          <cell r="C3891" t="str">
            <v> </v>
          </cell>
        </row>
        <row r="3892">
          <cell r="B3892" t="str">
            <v>RUK6C82</v>
          </cell>
          <cell r="C3892" t="str">
            <v>Operando</v>
          </cell>
        </row>
        <row r="3893">
          <cell r="B3893" t="str">
            <v>RUK7J37</v>
          </cell>
          <cell r="C3893" t="str">
            <v>Sem operação</v>
          </cell>
        </row>
        <row r="3894">
          <cell r="B3894" t="str">
            <v>RUL7F38</v>
          </cell>
          <cell r="C3894" t="str">
            <v> </v>
          </cell>
        </row>
        <row r="3895">
          <cell r="B3895" t="str">
            <v>RUL7F41</v>
          </cell>
          <cell r="C3895" t="str">
            <v>Sem operação</v>
          </cell>
        </row>
        <row r="3896">
          <cell r="B3896" t="str">
            <v>RUL7F47</v>
          </cell>
          <cell r="C3896" t="str">
            <v>Operando</v>
          </cell>
        </row>
        <row r="3897">
          <cell r="B3897" t="str">
            <v>RUL7F78</v>
          </cell>
          <cell r="C3897" t="str">
            <v>Sem operação</v>
          </cell>
        </row>
        <row r="3898">
          <cell r="B3898" t="str">
            <v>RUL7F87</v>
          </cell>
          <cell r="C3898" t="str">
            <v> </v>
          </cell>
        </row>
        <row r="3899">
          <cell r="B3899" t="str">
            <v>RUL8C86</v>
          </cell>
          <cell r="C3899" t="str">
            <v>Operando</v>
          </cell>
        </row>
        <row r="3900">
          <cell r="B3900" t="str">
            <v>RUL8C91</v>
          </cell>
          <cell r="C3900" t="str">
            <v>Sinistrado</v>
          </cell>
        </row>
        <row r="3901">
          <cell r="B3901" t="str">
            <v>RUL8C93</v>
          </cell>
          <cell r="C3901" t="str">
            <v>Operando</v>
          </cell>
        </row>
        <row r="3902">
          <cell r="B3902" t="str">
            <v>RUM1E20</v>
          </cell>
          <cell r="C3902" t="str">
            <v> </v>
          </cell>
        </row>
        <row r="3903">
          <cell r="B3903" t="str">
            <v>RUM1E34</v>
          </cell>
          <cell r="C3903" t="str">
            <v> </v>
          </cell>
        </row>
        <row r="3904">
          <cell r="B3904" t="str">
            <v>RUM2B25</v>
          </cell>
          <cell r="C3904" t="str">
            <v>Manutenção</v>
          </cell>
        </row>
        <row r="3905">
          <cell r="B3905" t="str">
            <v>RUM2B35</v>
          </cell>
          <cell r="C3905" t="str">
            <v>Operando</v>
          </cell>
        </row>
        <row r="3906">
          <cell r="B3906" t="str">
            <v>RUM2B42</v>
          </cell>
          <cell r="C3906" t="str">
            <v>Operando</v>
          </cell>
        </row>
        <row r="3907">
          <cell r="B3907" t="str">
            <v>RUM2B43</v>
          </cell>
          <cell r="C3907" t="str">
            <v> </v>
          </cell>
        </row>
        <row r="3908">
          <cell r="B3908" t="str">
            <v>RUM2B46</v>
          </cell>
          <cell r="C3908" t="str">
            <v>Operando</v>
          </cell>
        </row>
        <row r="3909">
          <cell r="B3909" t="str">
            <v>RUM2B47</v>
          </cell>
          <cell r="C3909" t="str">
            <v>Sem operação</v>
          </cell>
        </row>
        <row r="3910">
          <cell r="B3910" t="str">
            <v>RUM2B49</v>
          </cell>
          <cell r="C3910" t="str">
            <v>Manutenção</v>
          </cell>
        </row>
        <row r="3911">
          <cell r="B3911" t="str">
            <v>RUM2B53</v>
          </cell>
          <cell r="C3911" t="str">
            <v> </v>
          </cell>
        </row>
        <row r="3912">
          <cell r="B3912" t="str">
            <v>RUM2B54</v>
          </cell>
          <cell r="C3912" t="str">
            <v>Sem operação</v>
          </cell>
        </row>
        <row r="3913">
          <cell r="B3913" t="str">
            <v>RUM2B57</v>
          </cell>
          <cell r="C3913" t="str">
            <v>Sem operação</v>
          </cell>
        </row>
        <row r="3914">
          <cell r="B3914" t="str">
            <v>RUM2B59</v>
          </cell>
          <cell r="C3914" t="str">
            <v> </v>
          </cell>
        </row>
        <row r="3915">
          <cell r="B3915" t="str">
            <v>RUM2B60</v>
          </cell>
          <cell r="C3915" t="str">
            <v>Sem operação</v>
          </cell>
        </row>
        <row r="3916">
          <cell r="B3916" t="str">
            <v>RUM2B62</v>
          </cell>
          <cell r="C3916" t="str">
            <v>Sem operação</v>
          </cell>
        </row>
        <row r="3917">
          <cell r="B3917" t="str">
            <v>RUM2B63</v>
          </cell>
          <cell r="C3917" t="str">
            <v>Sem operação</v>
          </cell>
        </row>
        <row r="3918">
          <cell r="B3918" t="str">
            <v>RUM2B64</v>
          </cell>
          <cell r="C3918" t="str">
            <v>Operando</v>
          </cell>
        </row>
        <row r="3919">
          <cell r="B3919" t="str">
            <v>RUM2B66</v>
          </cell>
          <cell r="C3919" t="str">
            <v>Sem operação</v>
          </cell>
        </row>
        <row r="3920">
          <cell r="B3920" t="str">
            <v>RUM2B67</v>
          </cell>
          <cell r="C3920" t="str">
            <v>Operando</v>
          </cell>
        </row>
        <row r="3921">
          <cell r="B3921" t="str">
            <v>RUM3C04</v>
          </cell>
          <cell r="C3921" t="str">
            <v>Sem operação</v>
          </cell>
        </row>
        <row r="3922">
          <cell r="B3922" t="str">
            <v>RUM3C07</v>
          </cell>
          <cell r="C3922" t="str">
            <v> </v>
          </cell>
        </row>
        <row r="3923">
          <cell r="B3923" t="str">
            <v>RUM3C09</v>
          </cell>
          <cell r="C3923" t="str">
            <v>Operando</v>
          </cell>
        </row>
        <row r="3924">
          <cell r="B3924" t="str">
            <v>RUM3C18</v>
          </cell>
          <cell r="C3924" t="str">
            <v>Operando</v>
          </cell>
        </row>
        <row r="3925">
          <cell r="B3925" t="str">
            <v>RUM3C31</v>
          </cell>
          <cell r="C3925" t="str">
            <v> </v>
          </cell>
        </row>
        <row r="3926">
          <cell r="B3926" t="str">
            <v>RUM3C41</v>
          </cell>
          <cell r="C3926" t="str">
            <v>Manutenção</v>
          </cell>
        </row>
        <row r="3927">
          <cell r="B3927" t="str">
            <v>RUM3C42</v>
          </cell>
          <cell r="C3927" t="str">
            <v>Operando</v>
          </cell>
        </row>
        <row r="3928">
          <cell r="B3928" t="str">
            <v>RUM3C44</v>
          </cell>
          <cell r="C3928" t="str">
            <v>Manutenção</v>
          </cell>
        </row>
        <row r="3929">
          <cell r="B3929" t="str">
            <v>RUM3G41</v>
          </cell>
          <cell r="C3929" t="str">
            <v>Operando</v>
          </cell>
        </row>
        <row r="3930">
          <cell r="B3930" t="str">
            <v>RUM4B21</v>
          </cell>
          <cell r="C3930" t="str">
            <v> </v>
          </cell>
        </row>
        <row r="3931">
          <cell r="B3931" t="str">
            <v>RUM4B28</v>
          </cell>
          <cell r="C3931" t="str">
            <v> </v>
          </cell>
        </row>
        <row r="3932">
          <cell r="B3932" t="str">
            <v>RUN2B12</v>
          </cell>
          <cell r="C3932" t="str">
            <v>Operando</v>
          </cell>
        </row>
        <row r="3933">
          <cell r="B3933" t="str">
            <v>RUN2B13</v>
          </cell>
          <cell r="C3933" t="str">
            <v>Operando</v>
          </cell>
        </row>
        <row r="3934">
          <cell r="B3934" t="str">
            <v>RUO6A81</v>
          </cell>
          <cell r="C3934" t="str">
            <v> </v>
          </cell>
        </row>
        <row r="3935">
          <cell r="B3935" t="str">
            <v>RUO6A82</v>
          </cell>
          <cell r="C3935" t="str">
            <v> </v>
          </cell>
        </row>
        <row r="3936">
          <cell r="B3936" t="str">
            <v>RUO6A92</v>
          </cell>
          <cell r="C3936" t="str">
            <v>Operando</v>
          </cell>
        </row>
        <row r="3937">
          <cell r="B3937" t="str">
            <v>RUO6A96</v>
          </cell>
          <cell r="C3937" t="str">
            <v>Manutenção</v>
          </cell>
        </row>
        <row r="3938">
          <cell r="B3938" t="str">
            <v>RUO6B00</v>
          </cell>
          <cell r="C3938" t="str">
            <v> </v>
          </cell>
        </row>
        <row r="3939">
          <cell r="B3939" t="str">
            <v>RUO6B02</v>
          </cell>
          <cell r="C3939" t="str">
            <v> </v>
          </cell>
        </row>
        <row r="3940">
          <cell r="B3940" t="str">
            <v>RUO6B05</v>
          </cell>
          <cell r="C3940" t="str">
            <v>Carregado</v>
          </cell>
        </row>
        <row r="3941">
          <cell r="B3941" t="str">
            <v>RUO6B06</v>
          </cell>
          <cell r="C3941" t="str">
            <v> </v>
          </cell>
        </row>
        <row r="3942">
          <cell r="B3942" t="str">
            <v>RUO6B07</v>
          </cell>
          <cell r="C3942" t="str">
            <v> </v>
          </cell>
        </row>
        <row r="3943">
          <cell r="B3943" t="str">
            <v>RUO6B10</v>
          </cell>
          <cell r="C3943" t="str">
            <v>Operando</v>
          </cell>
        </row>
        <row r="3944">
          <cell r="B3944" t="str">
            <v>RUO6B11</v>
          </cell>
          <cell r="C3944" t="str">
            <v>Falta Motorista</v>
          </cell>
        </row>
        <row r="3945">
          <cell r="B3945" t="str">
            <v>RUO6B20</v>
          </cell>
          <cell r="C3945" t="str">
            <v>Sem operação</v>
          </cell>
        </row>
        <row r="3946">
          <cell r="B3946" t="str">
            <v>RUO6B25</v>
          </cell>
          <cell r="C3946" t="str">
            <v>Operando</v>
          </cell>
        </row>
        <row r="3947">
          <cell r="B3947" t="str">
            <v>RUO6B27</v>
          </cell>
          <cell r="C3947" t="str">
            <v>Sem operação</v>
          </cell>
        </row>
        <row r="3948">
          <cell r="B3948" t="str">
            <v>RUO6B39</v>
          </cell>
          <cell r="C3948" t="str">
            <v>Operando</v>
          </cell>
        </row>
        <row r="3949">
          <cell r="B3949" t="str">
            <v>RUO6B50</v>
          </cell>
          <cell r="C3949" t="str">
            <v>Manutenção</v>
          </cell>
        </row>
        <row r="3950">
          <cell r="B3950" t="str">
            <v>RUO6B67</v>
          </cell>
          <cell r="C3950" t="str">
            <v>Manutenção</v>
          </cell>
        </row>
        <row r="3951">
          <cell r="B3951" t="str">
            <v>RUO6B73</v>
          </cell>
          <cell r="C3951" t="str">
            <v>Operando</v>
          </cell>
        </row>
        <row r="3952">
          <cell r="B3952" t="str">
            <v>RUO6B73</v>
          </cell>
          <cell r="C3952" t="str">
            <v>Operando</v>
          </cell>
        </row>
        <row r="3953">
          <cell r="B3953" t="str">
            <v>RUO9G28</v>
          </cell>
          <cell r="C3953" t="str">
            <v>Carregado</v>
          </cell>
        </row>
        <row r="3954">
          <cell r="B3954" t="str">
            <v>RUQ7B27</v>
          </cell>
          <cell r="C3954" t="str">
            <v>Operando</v>
          </cell>
        </row>
        <row r="3955">
          <cell r="B3955" t="str">
            <v>RUS3D39</v>
          </cell>
          <cell r="C3955" t="str">
            <v>Operando</v>
          </cell>
        </row>
        <row r="3956">
          <cell r="B3956" t="str">
            <v>RUS3D58</v>
          </cell>
          <cell r="C3956" t="str">
            <v>Operando</v>
          </cell>
        </row>
        <row r="3957">
          <cell r="B3957" t="str">
            <v>RUS8B65</v>
          </cell>
          <cell r="C3957" t="str">
            <v> </v>
          </cell>
        </row>
        <row r="3958">
          <cell r="B3958" t="str">
            <v>RUS8D80</v>
          </cell>
          <cell r="C3958" t="str">
            <v> </v>
          </cell>
        </row>
        <row r="3959">
          <cell r="B3959" t="str">
            <v>RUS8F16</v>
          </cell>
          <cell r="C3959" t="str">
            <v> </v>
          </cell>
        </row>
        <row r="3960">
          <cell r="B3960" t="str">
            <v>RUV3A05</v>
          </cell>
          <cell r="C3960" t="str">
            <v> </v>
          </cell>
        </row>
        <row r="3961">
          <cell r="B3961" t="str">
            <v>RUV4G11</v>
          </cell>
          <cell r="C3961" t="str">
            <v>Operando</v>
          </cell>
        </row>
        <row r="3962">
          <cell r="B3962" t="str">
            <v>RUV4G20</v>
          </cell>
          <cell r="C3962" t="str">
            <v> </v>
          </cell>
        </row>
        <row r="3963">
          <cell r="B3963" t="str">
            <v>RUV4G23</v>
          </cell>
          <cell r="C3963" t="str">
            <v> </v>
          </cell>
        </row>
        <row r="3964">
          <cell r="B3964" t="str">
            <v>RUV4G24</v>
          </cell>
          <cell r="C3964" t="str">
            <v> </v>
          </cell>
        </row>
        <row r="3965">
          <cell r="B3965" t="str">
            <v>RUV4G25</v>
          </cell>
          <cell r="C3965" t="str">
            <v>Operando</v>
          </cell>
        </row>
        <row r="3966">
          <cell r="B3966" t="str">
            <v>RUV4G26</v>
          </cell>
          <cell r="C3966" t="str">
            <v> </v>
          </cell>
        </row>
        <row r="3967">
          <cell r="B3967" t="str">
            <v>RUV4G27</v>
          </cell>
          <cell r="C3967" t="str">
            <v> </v>
          </cell>
        </row>
        <row r="3968">
          <cell r="B3968" t="str">
            <v>RUV4G30</v>
          </cell>
          <cell r="C3968" t="str">
            <v> </v>
          </cell>
        </row>
        <row r="3969">
          <cell r="B3969" t="str">
            <v>RUV4G31</v>
          </cell>
          <cell r="C3969" t="str">
            <v> </v>
          </cell>
        </row>
        <row r="3970">
          <cell r="B3970" t="str">
            <v>RUV9I33</v>
          </cell>
          <cell r="C3970" t="str">
            <v> </v>
          </cell>
        </row>
        <row r="3971">
          <cell r="B3971" t="str">
            <v>RUW5D77</v>
          </cell>
          <cell r="C3971" t="str">
            <v> </v>
          </cell>
        </row>
        <row r="3972">
          <cell r="B3972" t="str">
            <v>RUW5D78</v>
          </cell>
          <cell r="C3972" t="str">
            <v> </v>
          </cell>
        </row>
        <row r="3973">
          <cell r="B3973" t="str">
            <v>RUW5D84</v>
          </cell>
          <cell r="C3973" t="str">
            <v>Operando</v>
          </cell>
        </row>
        <row r="3974">
          <cell r="B3974" t="str">
            <v>RUW5D89</v>
          </cell>
          <cell r="C3974" t="str">
            <v> </v>
          </cell>
        </row>
        <row r="3975">
          <cell r="B3975" t="str">
            <v>RUW5D96</v>
          </cell>
          <cell r="C3975" t="str">
            <v> </v>
          </cell>
        </row>
        <row r="3976">
          <cell r="B3976" t="str">
            <v>RUW5D98</v>
          </cell>
          <cell r="C3976" t="str">
            <v>Operando</v>
          </cell>
        </row>
        <row r="3977">
          <cell r="B3977" t="str">
            <v>RUW5E00</v>
          </cell>
          <cell r="C3977" t="str">
            <v> </v>
          </cell>
        </row>
        <row r="3978">
          <cell r="B3978" t="str">
            <v>RUW5E46</v>
          </cell>
          <cell r="C3978" t="str">
            <v> </v>
          </cell>
        </row>
        <row r="3979">
          <cell r="B3979" t="str">
            <v>RUW5E56</v>
          </cell>
          <cell r="C3979" t="str">
            <v> </v>
          </cell>
        </row>
        <row r="3980">
          <cell r="B3980" t="str">
            <v>RUW5E62</v>
          </cell>
          <cell r="C3980" t="str">
            <v>Operando</v>
          </cell>
        </row>
        <row r="3981">
          <cell r="B3981" t="str">
            <v>RUW5E68</v>
          </cell>
          <cell r="C3981" t="str">
            <v>Operando</v>
          </cell>
        </row>
        <row r="3982">
          <cell r="B3982" t="str">
            <v>RUX2B35</v>
          </cell>
          <cell r="C3982" t="str">
            <v> </v>
          </cell>
        </row>
        <row r="3983">
          <cell r="B3983" t="str">
            <v>RUX2B49</v>
          </cell>
          <cell r="C3983" t="str">
            <v> </v>
          </cell>
        </row>
        <row r="3984">
          <cell r="B3984" t="str">
            <v>RUX2B50</v>
          </cell>
          <cell r="C3984" t="str">
            <v>Manutenção</v>
          </cell>
        </row>
        <row r="3985">
          <cell r="B3985" t="str">
            <v>RUX2B53</v>
          </cell>
          <cell r="C3985" t="str">
            <v> </v>
          </cell>
        </row>
        <row r="3986">
          <cell r="B3986" t="str">
            <v>RUX2B56</v>
          </cell>
          <cell r="C3986" t="str">
            <v> </v>
          </cell>
        </row>
        <row r="3987">
          <cell r="B3987" t="str">
            <v>RUX2B70</v>
          </cell>
          <cell r="C3987" t="str">
            <v> </v>
          </cell>
        </row>
        <row r="3988">
          <cell r="B3988" t="str">
            <v>RUX2B82</v>
          </cell>
          <cell r="C3988" t="str">
            <v> </v>
          </cell>
        </row>
        <row r="3989">
          <cell r="B3989" t="str">
            <v>RUX2B84</v>
          </cell>
          <cell r="C3989" t="str">
            <v> </v>
          </cell>
        </row>
        <row r="3990">
          <cell r="B3990" t="str">
            <v>RUX2B91</v>
          </cell>
          <cell r="C3990" t="str">
            <v>Operando</v>
          </cell>
        </row>
        <row r="3991">
          <cell r="B3991" t="str">
            <v>RUX2B92</v>
          </cell>
          <cell r="C3991" t="str">
            <v>Manutenção</v>
          </cell>
        </row>
        <row r="3992">
          <cell r="B3992" t="str">
            <v>RUX2B93</v>
          </cell>
          <cell r="C3992" t="str">
            <v> </v>
          </cell>
        </row>
        <row r="3993">
          <cell r="B3993" t="str">
            <v>RUX2B97</v>
          </cell>
          <cell r="C3993" t="str">
            <v> </v>
          </cell>
        </row>
        <row r="3994">
          <cell r="B3994" t="str">
            <v>RUX2B99</v>
          </cell>
          <cell r="C3994" t="str">
            <v>Operando</v>
          </cell>
        </row>
        <row r="3995">
          <cell r="B3995" t="str">
            <v>RUX2C15</v>
          </cell>
          <cell r="C3995" t="str">
            <v>Operando</v>
          </cell>
        </row>
        <row r="3996">
          <cell r="B3996" t="str">
            <v>RUX2C16</v>
          </cell>
          <cell r="C3996" t="str">
            <v>Operando</v>
          </cell>
        </row>
        <row r="3997">
          <cell r="B3997" t="str">
            <v>RUX2C17</v>
          </cell>
          <cell r="C3997" t="str">
            <v>Operando</v>
          </cell>
        </row>
        <row r="3998">
          <cell r="B3998" t="str">
            <v>RUX2C18</v>
          </cell>
          <cell r="C3998" t="str">
            <v>Operando</v>
          </cell>
        </row>
        <row r="3999">
          <cell r="B3999" t="str">
            <v>RUX2C24</v>
          </cell>
          <cell r="C3999" t="str">
            <v>Manutenção</v>
          </cell>
        </row>
        <row r="4000">
          <cell r="B4000" t="str">
            <v>RUX2C27</v>
          </cell>
          <cell r="C4000" t="str">
            <v> </v>
          </cell>
        </row>
        <row r="4001">
          <cell r="B4001" t="str">
            <v>RUX2C64</v>
          </cell>
          <cell r="C4001" t="str">
            <v> </v>
          </cell>
        </row>
        <row r="4002">
          <cell r="B4002" t="str">
            <v>RUX2C67</v>
          </cell>
          <cell r="C4002" t="str">
            <v>Manutenção</v>
          </cell>
        </row>
        <row r="4003">
          <cell r="B4003" t="str">
            <v>RUX2C70</v>
          </cell>
          <cell r="C4003" t="str">
            <v>Operando</v>
          </cell>
        </row>
        <row r="4004">
          <cell r="B4004" t="str">
            <v>RUX2C72</v>
          </cell>
          <cell r="C4004" t="str">
            <v>Operando</v>
          </cell>
        </row>
        <row r="4005">
          <cell r="B4005" t="str">
            <v>RUX2C73</v>
          </cell>
          <cell r="C4005" t="str">
            <v>Manutenção</v>
          </cell>
        </row>
        <row r="4006">
          <cell r="B4006" t="str">
            <v>RUX2C76</v>
          </cell>
          <cell r="C4006" t="str">
            <v> </v>
          </cell>
        </row>
        <row r="4007">
          <cell r="B4007" t="str">
            <v>RUX2C77</v>
          </cell>
          <cell r="C4007" t="str">
            <v>Operando</v>
          </cell>
        </row>
        <row r="4008">
          <cell r="B4008" t="str">
            <v>RUX2C78</v>
          </cell>
          <cell r="C4008" t="str">
            <v>Manutenção</v>
          </cell>
        </row>
        <row r="4009">
          <cell r="B4009" t="str">
            <v>RUX2C79</v>
          </cell>
          <cell r="C4009" t="str">
            <v>Manutenção</v>
          </cell>
        </row>
        <row r="4010">
          <cell r="B4010" t="str">
            <v>RUX2C80</v>
          </cell>
          <cell r="C4010" t="str">
            <v>Operando</v>
          </cell>
        </row>
        <row r="4011">
          <cell r="B4011" t="str">
            <v>RUX2C85</v>
          </cell>
          <cell r="C4011" t="str">
            <v> </v>
          </cell>
        </row>
        <row r="4012">
          <cell r="B4012" t="str">
            <v>RUX2C87</v>
          </cell>
          <cell r="C4012" t="str">
            <v>Operando</v>
          </cell>
        </row>
        <row r="4013">
          <cell r="B4013" t="str">
            <v>RUX2D10</v>
          </cell>
          <cell r="C4013" t="str">
            <v> </v>
          </cell>
        </row>
        <row r="4014">
          <cell r="B4014" t="str">
            <v>RUX2D15</v>
          </cell>
          <cell r="C4014" t="str">
            <v> </v>
          </cell>
        </row>
        <row r="4015">
          <cell r="B4015" t="str">
            <v>RUX2D16</v>
          </cell>
          <cell r="C4015" t="str">
            <v> </v>
          </cell>
        </row>
        <row r="4016">
          <cell r="B4016" t="str">
            <v>RUX2D17</v>
          </cell>
          <cell r="C4016" t="str">
            <v> </v>
          </cell>
        </row>
        <row r="4017">
          <cell r="B4017" t="str">
            <v>RUX2D20</v>
          </cell>
          <cell r="C4017" t="str">
            <v>Operando</v>
          </cell>
        </row>
        <row r="4018">
          <cell r="B4018" t="str">
            <v>RUX2D23</v>
          </cell>
          <cell r="C4018" t="str">
            <v> </v>
          </cell>
        </row>
        <row r="4019">
          <cell r="B4019" t="str">
            <v>RUX2J08</v>
          </cell>
          <cell r="C4019" t="str">
            <v> </v>
          </cell>
        </row>
        <row r="4020">
          <cell r="B4020" t="str">
            <v>RUX2J10</v>
          </cell>
          <cell r="C4020" t="str">
            <v>Manutenção</v>
          </cell>
        </row>
        <row r="4021">
          <cell r="B4021" t="str">
            <v>RUX2J13</v>
          </cell>
          <cell r="C4021" t="str">
            <v> </v>
          </cell>
        </row>
        <row r="4022">
          <cell r="B4022" t="str">
            <v>RUX2J14</v>
          </cell>
          <cell r="C4022" t="str">
            <v>Operando</v>
          </cell>
        </row>
        <row r="4023">
          <cell r="B4023" t="str">
            <v>RUX2J16</v>
          </cell>
          <cell r="C4023" t="str">
            <v> </v>
          </cell>
        </row>
        <row r="4024">
          <cell r="B4024" t="str">
            <v>RUX2J18</v>
          </cell>
          <cell r="C4024" t="str">
            <v> </v>
          </cell>
        </row>
        <row r="4025">
          <cell r="B4025" t="str">
            <v>RUX2J19</v>
          </cell>
          <cell r="C4025" t="str">
            <v>Operando</v>
          </cell>
        </row>
        <row r="4026">
          <cell r="B4026" t="str">
            <v>RUX2J35</v>
          </cell>
          <cell r="C4026" t="str">
            <v>Operando</v>
          </cell>
        </row>
        <row r="4027">
          <cell r="B4027" t="str">
            <v>RUX6F65</v>
          </cell>
          <cell r="C4027" t="str">
            <v> </v>
          </cell>
        </row>
        <row r="4028">
          <cell r="B4028" t="str">
            <v>RUX9F74</v>
          </cell>
          <cell r="C4028" t="str">
            <v>Operando</v>
          </cell>
        </row>
        <row r="4029">
          <cell r="B4029" t="str">
            <v>RUX9F98</v>
          </cell>
          <cell r="C4029" t="str">
            <v>Operando</v>
          </cell>
        </row>
        <row r="4030">
          <cell r="B4030" t="str">
            <v>RUX9G13</v>
          </cell>
          <cell r="C4030" t="str">
            <v> </v>
          </cell>
        </row>
        <row r="4031">
          <cell r="B4031" t="str">
            <v>RUX9G19</v>
          </cell>
          <cell r="C4031" t="str">
            <v>Operando</v>
          </cell>
        </row>
        <row r="4032">
          <cell r="B4032" t="str">
            <v>RUX9G21</v>
          </cell>
          <cell r="C4032" t="str">
            <v>Operando</v>
          </cell>
        </row>
        <row r="4033">
          <cell r="B4033" t="str">
            <v>RUX9G54</v>
          </cell>
          <cell r="C4033" t="str">
            <v>Operando</v>
          </cell>
        </row>
        <row r="4034">
          <cell r="B4034" t="str">
            <v>RUX9G83</v>
          </cell>
          <cell r="C4034" t="str">
            <v>Operando</v>
          </cell>
        </row>
        <row r="4035">
          <cell r="B4035" t="str">
            <v>RUX9H12</v>
          </cell>
          <cell r="C4035" t="str">
            <v> </v>
          </cell>
        </row>
        <row r="4036">
          <cell r="B4036" t="str">
            <v>RUX9H13</v>
          </cell>
          <cell r="C4036" t="str">
            <v> </v>
          </cell>
        </row>
        <row r="4037">
          <cell r="B4037" t="str">
            <v>RUX9H14</v>
          </cell>
          <cell r="C4037" t="str">
            <v>Operando</v>
          </cell>
        </row>
        <row r="4038">
          <cell r="B4038" t="str">
            <v>RUX9H16</v>
          </cell>
          <cell r="C4038" t="str">
            <v>Operando</v>
          </cell>
        </row>
        <row r="4039">
          <cell r="B4039" t="str">
            <v>RUX9H22</v>
          </cell>
          <cell r="C4039" t="str">
            <v> </v>
          </cell>
        </row>
        <row r="4040">
          <cell r="B4040" t="str">
            <v>RUX9H55</v>
          </cell>
          <cell r="C4040" t="str">
            <v> </v>
          </cell>
        </row>
        <row r="4041">
          <cell r="B4041" t="str">
            <v>RUY0I50</v>
          </cell>
          <cell r="C4041" t="str">
            <v> </v>
          </cell>
        </row>
        <row r="4042">
          <cell r="B4042" t="str">
            <v>RUY0I52</v>
          </cell>
          <cell r="C4042" t="str">
            <v>Operando</v>
          </cell>
        </row>
        <row r="4043">
          <cell r="B4043" t="str">
            <v>RUY2E07</v>
          </cell>
          <cell r="C4043" t="str">
            <v>Operando</v>
          </cell>
        </row>
        <row r="4044">
          <cell r="B4044" t="str">
            <v>RUY3D33</v>
          </cell>
          <cell r="C4044" t="str">
            <v>Sem operação</v>
          </cell>
        </row>
        <row r="4045">
          <cell r="B4045" t="str">
            <v>RUY3D36</v>
          </cell>
          <cell r="C4045" t="str">
            <v>Operando</v>
          </cell>
        </row>
        <row r="4046">
          <cell r="B4046" t="str">
            <v>RUY9G16</v>
          </cell>
          <cell r="C4046" t="str">
            <v> </v>
          </cell>
        </row>
        <row r="4047">
          <cell r="B4047" t="str">
            <v>RUZ8A12</v>
          </cell>
          <cell r="C4047" t="str">
            <v> </v>
          </cell>
        </row>
        <row r="4048">
          <cell r="B4048" t="str">
            <v>RUZ8A27</v>
          </cell>
          <cell r="C4048" t="str">
            <v> </v>
          </cell>
        </row>
        <row r="4049">
          <cell r="B4049" t="str">
            <v>RUZ8A32</v>
          </cell>
          <cell r="C4049" t="str">
            <v> </v>
          </cell>
        </row>
        <row r="4050">
          <cell r="B4050" t="str">
            <v>RUZ8A38</v>
          </cell>
          <cell r="C4050" t="str">
            <v> </v>
          </cell>
        </row>
        <row r="4051">
          <cell r="B4051" t="str">
            <v>RUZ8A39</v>
          </cell>
          <cell r="C4051" t="str">
            <v>Sem operação</v>
          </cell>
        </row>
        <row r="4052">
          <cell r="B4052" t="str">
            <v>RUZ8A40</v>
          </cell>
          <cell r="C4052" t="str">
            <v>Manutenção</v>
          </cell>
        </row>
        <row r="4053">
          <cell r="B4053" t="str">
            <v>RUZ8A53</v>
          </cell>
          <cell r="C4053" t="str">
            <v>Sem operação</v>
          </cell>
        </row>
        <row r="4054">
          <cell r="B4054" t="str">
            <v>RUZ9B77</v>
          </cell>
          <cell r="C4054" t="str">
            <v>Sem operação</v>
          </cell>
        </row>
        <row r="4055">
          <cell r="B4055" t="str">
            <v>RVA2J29</v>
          </cell>
          <cell r="C4055" t="str">
            <v> </v>
          </cell>
        </row>
        <row r="4056">
          <cell r="B4056" t="str">
            <v>RVA2J57</v>
          </cell>
          <cell r="C4056" t="str">
            <v>Operando</v>
          </cell>
        </row>
        <row r="4057">
          <cell r="B4057" t="str">
            <v>RVA2J63</v>
          </cell>
          <cell r="C4057" t="str">
            <v>Sem operação</v>
          </cell>
        </row>
        <row r="4058">
          <cell r="B4058" t="str">
            <v>RVB0J92</v>
          </cell>
          <cell r="C4058" t="str">
            <v>Manutenção</v>
          </cell>
        </row>
        <row r="4059">
          <cell r="B4059" t="str">
            <v>RVB0J97</v>
          </cell>
          <cell r="C4059" t="str">
            <v>Manutenção</v>
          </cell>
        </row>
        <row r="4060">
          <cell r="B4060" t="str">
            <v>RVB1A02</v>
          </cell>
          <cell r="C4060" t="str">
            <v>Carregado</v>
          </cell>
        </row>
        <row r="4061">
          <cell r="B4061" t="str">
            <v>RVB8A63</v>
          </cell>
          <cell r="C4061" t="str">
            <v> </v>
          </cell>
        </row>
        <row r="4062">
          <cell r="B4062" t="str">
            <v>RVB8A67</v>
          </cell>
          <cell r="C4062" t="str">
            <v> </v>
          </cell>
        </row>
        <row r="4063">
          <cell r="B4063" t="str">
            <v>RVB8A68</v>
          </cell>
          <cell r="C4063" t="str">
            <v> </v>
          </cell>
        </row>
        <row r="4064">
          <cell r="B4064" t="str">
            <v>RVB8A70</v>
          </cell>
          <cell r="C4064" t="str">
            <v> </v>
          </cell>
        </row>
        <row r="4065">
          <cell r="B4065" t="str">
            <v>RVB8A71</v>
          </cell>
          <cell r="C4065" t="str">
            <v> </v>
          </cell>
        </row>
        <row r="4066">
          <cell r="B4066" t="str">
            <v>RVB8A72</v>
          </cell>
          <cell r="C4066" t="str">
            <v> </v>
          </cell>
        </row>
        <row r="4067">
          <cell r="B4067" t="str">
            <v>RVB8A73</v>
          </cell>
          <cell r="C4067" t="str">
            <v> </v>
          </cell>
        </row>
        <row r="4068">
          <cell r="B4068" t="str">
            <v>RVB8A81</v>
          </cell>
          <cell r="C4068" t="str">
            <v> </v>
          </cell>
        </row>
        <row r="4069">
          <cell r="B4069" t="str">
            <v>RVB8A83</v>
          </cell>
          <cell r="C4069" t="str">
            <v> </v>
          </cell>
        </row>
        <row r="4070">
          <cell r="B4070" t="str">
            <v>RVB8A89</v>
          </cell>
          <cell r="C4070" t="str">
            <v> </v>
          </cell>
        </row>
        <row r="4071">
          <cell r="B4071" t="str">
            <v>RVB8B05</v>
          </cell>
          <cell r="C4071" t="str">
            <v> </v>
          </cell>
        </row>
        <row r="4072">
          <cell r="B4072" t="str">
            <v>RVC0J62</v>
          </cell>
          <cell r="C4072" t="str">
            <v>Carregado</v>
          </cell>
        </row>
        <row r="4073">
          <cell r="B4073" t="str">
            <v>RVC0J66</v>
          </cell>
          <cell r="C4073" t="str">
            <v>Carregado</v>
          </cell>
        </row>
        <row r="4074">
          <cell r="B4074" t="str">
            <v>RVC0J68</v>
          </cell>
          <cell r="C4074" t="str">
            <v>Carregado</v>
          </cell>
        </row>
        <row r="4075">
          <cell r="B4075" t="str">
            <v>RVC0J80</v>
          </cell>
          <cell r="C4075" t="str">
            <v>Carregado</v>
          </cell>
        </row>
        <row r="4076">
          <cell r="B4076" t="str">
            <v>RVC0J81</v>
          </cell>
          <cell r="C4076" t="str">
            <v> </v>
          </cell>
        </row>
        <row r="4077">
          <cell r="B4077" t="str">
            <v>RVC0J86</v>
          </cell>
          <cell r="C4077" t="str">
            <v>Carregado</v>
          </cell>
        </row>
        <row r="4078">
          <cell r="B4078" t="str">
            <v>RVC0J92</v>
          </cell>
          <cell r="C4078" t="str">
            <v>Operando</v>
          </cell>
        </row>
        <row r="4079">
          <cell r="B4079" t="str">
            <v>RVC4J76</v>
          </cell>
          <cell r="C4079" t="str">
            <v> </v>
          </cell>
        </row>
        <row r="4080">
          <cell r="B4080" t="str">
            <v>RVC5G98</v>
          </cell>
          <cell r="C4080" t="str">
            <v> </v>
          </cell>
        </row>
        <row r="4081">
          <cell r="B4081" t="str">
            <v>RVC6A71</v>
          </cell>
          <cell r="C4081" t="str">
            <v>Operando</v>
          </cell>
        </row>
        <row r="4082">
          <cell r="B4082" t="str">
            <v>RVC9I32</v>
          </cell>
          <cell r="C4082" t="str">
            <v> </v>
          </cell>
        </row>
        <row r="4083">
          <cell r="B4083" t="str">
            <v>RVD4C67</v>
          </cell>
          <cell r="C4083" t="str">
            <v>Sem operação</v>
          </cell>
        </row>
        <row r="4084">
          <cell r="B4084" t="str">
            <v>RVD4C71</v>
          </cell>
          <cell r="C4084" t="str">
            <v>Operando</v>
          </cell>
        </row>
        <row r="4085">
          <cell r="B4085" t="str">
            <v>RVD4C73</v>
          </cell>
          <cell r="C4085" t="str">
            <v>Manutenção</v>
          </cell>
        </row>
        <row r="4086">
          <cell r="B4086" t="str">
            <v>RVD4C76</v>
          </cell>
          <cell r="C4086" t="str">
            <v>Manutenção</v>
          </cell>
        </row>
        <row r="4087">
          <cell r="B4087" t="str">
            <v>RVD4C77</v>
          </cell>
          <cell r="C4087" t="str">
            <v>Operando</v>
          </cell>
        </row>
        <row r="4088">
          <cell r="B4088" t="str">
            <v>RVD4C92</v>
          </cell>
          <cell r="C4088" t="str">
            <v>Operando</v>
          </cell>
        </row>
        <row r="4089">
          <cell r="B4089" t="str">
            <v>RVD4C93</v>
          </cell>
          <cell r="C4089" t="str">
            <v>Operando</v>
          </cell>
        </row>
        <row r="4090">
          <cell r="B4090" t="str">
            <v>RVD4D18</v>
          </cell>
          <cell r="C4090" t="str">
            <v>Sem operação</v>
          </cell>
        </row>
        <row r="4091">
          <cell r="B4091" t="str">
            <v>RVD4D19</v>
          </cell>
          <cell r="C4091" t="str">
            <v>Manutenção</v>
          </cell>
        </row>
        <row r="4092">
          <cell r="B4092" t="str">
            <v>RVD4D21</v>
          </cell>
          <cell r="C4092" t="str">
            <v>Sem operação</v>
          </cell>
        </row>
        <row r="4093">
          <cell r="B4093" t="str">
            <v>RVD4D22</v>
          </cell>
          <cell r="C4093" t="str">
            <v>Sem operação</v>
          </cell>
        </row>
        <row r="4094">
          <cell r="B4094" t="str">
            <v>RVD4D24</v>
          </cell>
          <cell r="C4094" t="str">
            <v>Sem operação</v>
          </cell>
        </row>
        <row r="4095">
          <cell r="B4095" t="str">
            <v>RVD4D37</v>
          </cell>
          <cell r="C4095" t="str">
            <v>Sem operação</v>
          </cell>
        </row>
        <row r="4096">
          <cell r="B4096" t="str">
            <v>RVD4D40</v>
          </cell>
          <cell r="C4096" t="str">
            <v>Sem operação</v>
          </cell>
        </row>
        <row r="4097">
          <cell r="B4097" t="str">
            <v>RVD4D41</v>
          </cell>
          <cell r="C4097" t="str">
            <v>Operando</v>
          </cell>
        </row>
        <row r="4098">
          <cell r="B4098" t="str">
            <v>RVD8F81</v>
          </cell>
          <cell r="C4098" t="str">
            <v>Manutenção</v>
          </cell>
        </row>
        <row r="4099">
          <cell r="B4099" t="str">
            <v>RVD8G95</v>
          </cell>
          <cell r="C4099" t="str">
            <v>Sem operação</v>
          </cell>
        </row>
        <row r="4100">
          <cell r="B4100" t="str">
            <v>RVD8H33</v>
          </cell>
          <cell r="C4100" t="str">
            <v> </v>
          </cell>
        </row>
        <row r="4101">
          <cell r="B4101" t="str">
            <v>RVD8H35</v>
          </cell>
          <cell r="C4101" t="str">
            <v> </v>
          </cell>
        </row>
        <row r="4102">
          <cell r="B4102" t="str">
            <v>RVD8H36</v>
          </cell>
          <cell r="C4102" t="str">
            <v>Manutenção</v>
          </cell>
        </row>
        <row r="4103">
          <cell r="B4103" t="str">
            <v>RVD8H60</v>
          </cell>
          <cell r="C4103" t="str">
            <v>Operando</v>
          </cell>
        </row>
        <row r="4104">
          <cell r="B4104" t="str">
            <v>RVD8H61</v>
          </cell>
          <cell r="C4104" t="str">
            <v> </v>
          </cell>
        </row>
        <row r="4105">
          <cell r="B4105" t="str">
            <v>RVD8H69</v>
          </cell>
          <cell r="C4105" t="str">
            <v>Sem operação</v>
          </cell>
        </row>
        <row r="4106">
          <cell r="B4106" t="str">
            <v>RVD8H79</v>
          </cell>
          <cell r="C4106" t="str">
            <v>Sem operação</v>
          </cell>
        </row>
        <row r="4107">
          <cell r="B4107" t="str">
            <v>RVD9A37</v>
          </cell>
          <cell r="C4107" t="str">
            <v>Manutenção</v>
          </cell>
        </row>
        <row r="4108">
          <cell r="B4108" t="str">
            <v>RVD9A39</v>
          </cell>
          <cell r="C4108" t="str">
            <v>Operando</v>
          </cell>
        </row>
        <row r="4109">
          <cell r="B4109" t="str">
            <v>RVD9A40</v>
          </cell>
          <cell r="C4109" t="str">
            <v> </v>
          </cell>
        </row>
        <row r="4110">
          <cell r="B4110" t="str">
            <v>RVD9A44</v>
          </cell>
          <cell r="C4110" t="str">
            <v>Operando</v>
          </cell>
        </row>
        <row r="4111">
          <cell r="B4111" t="str">
            <v>RVD9A45</v>
          </cell>
          <cell r="C4111" t="str">
            <v>Operando</v>
          </cell>
        </row>
        <row r="4112">
          <cell r="B4112" t="str">
            <v>RVE1D19</v>
          </cell>
          <cell r="C4112" t="str">
            <v> </v>
          </cell>
        </row>
        <row r="4113">
          <cell r="B4113" t="str">
            <v>RVE1D20</v>
          </cell>
          <cell r="C4113" t="str">
            <v> </v>
          </cell>
        </row>
        <row r="4114">
          <cell r="B4114" t="str">
            <v>RVE1D42</v>
          </cell>
          <cell r="C4114" t="str">
            <v>Manutenção</v>
          </cell>
        </row>
        <row r="4115">
          <cell r="B4115" t="str">
            <v>RVE1D49</v>
          </cell>
          <cell r="C4115" t="str">
            <v> </v>
          </cell>
        </row>
        <row r="4116">
          <cell r="B4116" t="str">
            <v>RVE2F25</v>
          </cell>
          <cell r="C4116" t="str">
            <v>Sem operação</v>
          </cell>
        </row>
        <row r="4117">
          <cell r="B4117" t="str">
            <v>RVE2F27</v>
          </cell>
          <cell r="C4117" t="str">
            <v>Sem operação</v>
          </cell>
        </row>
        <row r="4118">
          <cell r="B4118" t="str">
            <v>RVE3C37</v>
          </cell>
          <cell r="C4118" t="str">
            <v>Operando</v>
          </cell>
        </row>
        <row r="4119">
          <cell r="B4119" t="str">
            <v>RVE7B97</v>
          </cell>
          <cell r="C4119" t="str">
            <v>Carregado</v>
          </cell>
        </row>
        <row r="4120">
          <cell r="B4120" t="str">
            <v>RVE7C04</v>
          </cell>
          <cell r="C4120" t="str">
            <v> </v>
          </cell>
        </row>
        <row r="4121">
          <cell r="B4121" t="str">
            <v>RVE7C05</v>
          </cell>
          <cell r="C4121" t="str">
            <v>Operando</v>
          </cell>
        </row>
        <row r="4122">
          <cell r="B4122" t="str">
            <v>RVF3B19</v>
          </cell>
          <cell r="C4122" t="str">
            <v> </v>
          </cell>
        </row>
        <row r="4123">
          <cell r="B4123" t="str">
            <v>RVF9J64</v>
          </cell>
          <cell r="C4123" t="str">
            <v>Carregado</v>
          </cell>
        </row>
        <row r="4124">
          <cell r="B4124" t="str">
            <v>RVF9J99</v>
          </cell>
          <cell r="C4124" t="str">
            <v>Operando</v>
          </cell>
        </row>
        <row r="4125">
          <cell r="B4125" t="str">
            <v>RVG0A11</v>
          </cell>
          <cell r="C4125" t="str">
            <v>Carregado</v>
          </cell>
        </row>
        <row r="4126">
          <cell r="B4126" t="str">
            <v>RVG0A12</v>
          </cell>
          <cell r="C4126" t="str">
            <v>Carregado</v>
          </cell>
        </row>
        <row r="4127">
          <cell r="B4127" t="str">
            <v>RVG0G10</v>
          </cell>
          <cell r="C4127" t="str">
            <v>Operando</v>
          </cell>
        </row>
        <row r="4128">
          <cell r="B4128" t="str">
            <v>RVG0G11</v>
          </cell>
          <cell r="C4128" t="str">
            <v>Operando</v>
          </cell>
        </row>
        <row r="4129">
          <cell r="B4129" t="str">
            <v>RVG0G12</v>
          </cell>
          <cell r="C4129" t="str">
            <v>Operando</v>
          </cell>
        </row>
        <row r="4130">
          <cell r="B4130" t="str">
            <v>RVG0G13</v>
          </cell>
          <cell r="C4130" t="str">
            <v> </v>
          </cell>
        </row>
        <row r="4131">
          <cell r="B4131" t="str">
            <v>RVG0G15</v>
          </cell>
          <cell r="C4131" t="str">
            <v>Operando</v>
          </cell>
        </row>
        <row r="4132">
          <cell r="B4132" t="str">
            <v>RVG0G17</v>
          </cell>
          <cell r="C4132" t="str">
            <v>Manutenção</v>
          </cell>
        </row>
        <row r="4133">
          <cell r="B4133" t="str">
            <v>RVG5F60</v>
          </cell>
          <cell r="C4133" t="str">
            <v>Operando</v>
          </cell>
        </row>
        <row r="4134">
          <cell r="B4134" t="str">
            <v>RVG5F61</v>
          </cell>
          <cell r="C4134" t="str">
            <v>Operando</v>
          </cell>
        </row>
        <row r="4135">
          <cell r="B4135" t="str">
            <v>RVG7D29</v>
          </cell>
          <cell r="C4135" t="str">
            <v>Operando</v>
          </cell>
        </row>
        <row r="4136">
          <cell r="B4136" t="str">
            <v>RVH3F32</v>
          </cell>
          <cell r="C4136" t="str">
            <v> </v>
          </cell>
        </row>
        <row r="4137">
          <cell r="B4137" t="str">
            <v>RVH3F36</v>
          </cell>
          <cell r="C4137" t="str">
            <v> </v>
          </cell>
        </row>
        <row r="4138">
          <cell r="B4138" t="str">
            <v>RVH4C82</v>
          </cell>
          <cell r="C4138" t="str">
            <v> </v>
          </cell>
        </row>
        <row r="4139">
          <cell r="B4139" t="str">
            <v>RVH5G71</v>
          </cell>
          <cell r="C4139" t="str">
            <v> </v>
          </cell>
        </row>
        <row r="4140">
          <cell r="B4140" t="str">
            <v>RVH5G72</v>
          </cell>
          <cell r="C4140" t="str">
            <v>Manutenção</v>
          </cell>
        </row>
        <row r="4141">
          <cell r="B4141" t="str">
            <v>RVH5G73</v>
          </cell>
          <cell r="C4141" t="str">
            <v>Manutenção</v>
          </cell>
        </row>
        <row r="4142">
          <cell r="B4142" t="str">
            <v>RVH5G74</v>
          </cell>
          <cell r="C4142" t="str">
            <v>Manutenção</v>
          </cell>
        </row>
        <row r="4143">
          <cell r="B4143" t="str">
            <v>RVH5G75</v>
          </cell>
          <cell r="C4143" t="str">
            <v>Operando</v>
          </cell>
        </row>
        <row r="4144">
          <cell r="B4144" t="str">
            <v>RVI0B23</v>
          </cell>
          <cell r="C4144" t="str">
            <v> </v>
          </cell>
        </row>
        <row r="4145">
          <cell r="B4145" t="str">
            <v>RVI0E03</v>
          </cell>
          <cell r="C4145" t="str">
            <v>Operando</v>
          </cell>
        </row>
        <row r="4146">
          <cell r="B4146" t="str">
            <v>RVJ1B84</v>
          </cell>
          <cell r="C4146" t="str">
            <v> </v>
          </cell>
        </row>
        <row r="4147">
          <cell r="B4147" t="str">
            <v>RVJ7A61</v>
          </cell>
          <cell r="C4147" t="str">
            <v>Operando</v>
          </cell>
        </row>
        <row r="4148">
          <cell r="B4148" t="str">
            <v>RVN2D24</v>
          </cell>
          <cell r="C4148" t="str">
            <v>Operando</v>
          </cell>
        </row>
        <row r="4149">
          <cell r="B4149" t="str">
            <v>RVN3I97</v>
          </cell>
          <cell r="C4149" t="str">
            <v>Operando</v>
          </cell>
        </row>
        <row r="4150">
          <cell r="B4150" t="str">
            <v>RVO0H76</v>
          </cell>
          <cell r="C4150" t="str">
            <v> </v>
          </cell>
        </row>
        <row r="4151">
          <cell r="B4151" t="str">
            <v>RVO9D72</v>
          </cell>
          <cell r="C4151" t="str">
            <v>Agregado</v>
          </cell>
        </row>
        <row r="4152">
          <cell r="B4152" t="str">
            <v>RVQ2D51</v>
          </cell>
          <cell r="C4152" t="str">
            <v>Sem operação</v>
          </cell>
        </row>
        <row r="4153">
          <cell r="B4153" t="str">
            <v>RVQ2D54</v>
          </cell>
          <cell r="C4153" t="str">
            <v>Falta Motorista</v>
          </cell>
        </row>
        <row r="4154">
          <cell r="B4154" t="str">
            <v>RVQ2D55</v>
          </cell>
          <cell r="C4154" t="str">
            <v>Carregado</v>
          </cell>
        </row>
        <row r="4155">
          <cell r="B4155" t="str">
            <v>RVQ2D62</v>
          </cell>
          <cell r="C4155" t="str">
            <v>Operando</v>
          </cell>
        </row>
        <row r="4156">
          <cell r="B4156" t="str">
            <v>RVQ2D64</v>
          </cell>
          <cell r="C4156" t="str">
            <v>Sem operação</v>
          </cell>
        </row>
        <row r="4157">
          <cell r="B4157" t="str">
            <v>RVQ2E87</v>
          </cell>
          <cell r="C4157" t="str">
            <v> </v>
          </cell>
        </row>
        <row r="4158">
          <cell r="B4158" t="str">
            <v>RVQ3F73</v>
          </cell>
          <cell r="C4158" t="str">
            <v>Agregado</v>
          </cell>
        </row>
        <row r="4159">
          <cell r="B4159" t="str">
            <v>RVR4H31</v>
          </cell>
          <cell r="C4159" t="str">
            <v> </v>
          </cell>
        </row>
        <row r="4160">
          <cell r="B4160" t="str">
            <v>RVT4J12</v>
          </cell>
          <cell r="C4160" t="str">
            <v> </v>
          </cell>
        </row>
        <row r="4161">
          <cell r="B4161" t="str">
            <v>RVW6I02</v>
          </cell>
          <cell r="C4161" t="str">
            <v> </v>
          </cell>
        </row>
        <row r="4162">
          <cell r="B4162" t="str">
            <v>RVX0G52</v>
          </cell>
          <cell r="C4162" t="str">
            <v>Operando</v>
          </cell>
        </row>
        <row r="4163">
          <cell r="B4163" t="str">
            <v>RVX0G53</v>
          </cell>
          <cell r="C4163" t="str">
            <v> </v>
          </cell>
        </row>
        <row r="4164">
          <cell r="B4164" t="str">
            <v>RVX0G57</v>
          </cell>
          <cell r="C4164" t="str">
            <v>Manutenção</v>
          </cell>
        </row>
        <row r="4165">
          <cell r="B4165" t="str">
            <v>RVX6B58</v>
          </cell>
          <cell r="C4165" t="str">
            <v> </v>
          </cell>
        </row>
        <row r="4166">
          <cell r="B4166" t="str">
            <v>RVY8F71</v>
          </cell>
          <cell r="C4166" t="str">
            <v>Operando</v>
          </cell>
        </row>
        <row r="4167">
          <cell r="B4167" t="str">
            <v>RWJ1F12</v>
          </cell>
          <cell r="C4167" t="str">
            <v> </v>
          </cell>
        </row>
        <row r="4168">
          <cell r="B4168" t="str">
            <v>RWJ8G49</v>
          </cell>
          <cell r="C4168" t="str">
            <v> </v>
          </cell>
        </row>
        <row r="4169">
          <cell r="B4169" t="str">
            <v>RXK2I17</v>
          </cell>
          <cell r="C4169" t="str">
            <v> </v>
          </cell>
        </row>
        <row r="4170">
          <cell r="B4170" t="str">
            <v>RXK5C67</v>
          </cell>
          <cell r="C4170" t="str">
            <v> </v>
          </cell>
        </row>
        <row r="4171">
          <cell r="B4171" t="str">
            <v>RXK9F41</v>
          </cell>
          <cell r="C4171" t="str">
            <v>Operando</v>
          </cell>
        </row>
        <row r="4172">
          <cell r="B4172" t="str">
            <v>RXS2I24</v>
          </cell>
          <cell r="C4172" t="str">
            <v> </v>
          </cell>
        </row>
        <row r="4173">
          <cell r="B4173" t="str">
            <v>RXV3A27</v>
          </cell>
          <cell r="C4173" t="str">
            <v> </v>
          </cell>
        </row>
        <row r="4174">
          <cell r="B4174" t="str">
            <v>RXY0F48</v>
          </cell>
          <cell r="C4174" t="str">
            <v>Operando</v>
          </cell>
        </row>
        <row r="4175">
          <cell r="B4175" t="str">
            <v>RXY6B94</v>
          </cell>
          <cell r="C4175" t="str">
            <v>Operando</v>
          </cell>
        </row>
        <row r="4176">
          <cell r="B4176" t="str">
            <v>RYA8C69</v>
          </cell>
          <cell r="C4176" t="str">
            <v> </v>
          </cell>
        </row>
        <row r="4177">
          <cell r="B4177" t="str">
            <v>RYF5B39</v>
          </cell>
          <cell r="C4177" t="str">
            <v> </v>
          </cell>
        </row>
        <row r="4178">
          <cell r="B4178" t="str">
            <v>RYF7D49</v>
          </cell>
          <cell r="C4178" t="str">
            <v> </v>
          </cell>
        </row>
        <row r="4179">
          <cell r="B4179" t="str">
            <v>RYF7E29</v>
          </cell>
          <cell r="C4179" t="str">
            <v> </v>
          </cell>
        </row>
        <row r="4180">
          <cell r="B4180" t="str">
            <v>RYG0G42</v>
          </cell>
          <cell r="C4180" t="str">
            <v>Operando</v>
          </cell>
        </row>
        <row r="4181">
          <cell r="B4181" t="str">
            <v>RYS1E07</v>
          </cell>
          <cell r="C4181" t="str">
            <v> </v>
          </cell>
        </row>
        <row r="4182">
          <cell r="B4182" t="str">
            <v>RYU2H53</v>
          </cell>
          <cell r="C4182" t="str">
            <v> </v>
          </cell>
        </row>
        <row r="4183">
          <cell r="B4183" t="str">
            <v>RYY2H87</v>
          </cell>
          <cell r="C4183" t="str">
            <v> </v>
          </cell>
        </row>
        <row r="4184">
          <cell r="B4184" t="str">
            <v>RYZ1G85</v>
          </cell>
          <cell r="C4184" t="str">
            <v> </v>
          </cell>
        </row>
        <row r="4185">
          <cell r="B4185" t="str">
            <v>RZA1F47</v>
          </cell>
          <cell r="C4185" t="str">
            <v> </v>
          </cell>
        </row>
        <row r="4186">
          <cell r="B4186" t="str">
            <v>SAL4C87</v>
          </cell>
          <cell r="C4186" t="str">
            <v> </v>
          </cell>
        </row>
        <row r="4187">
          <cell r="B4187" t="str">
            <v>SAZ2A70</v>
          </cell>
          <cell r="C4187" t="str">
            <v> </v>
          </cell>
        </row>
        <row r="4188">
          <cell r="B4188" t="str">
            <v>SCE4E15</v>
          </cell>
          <cell r="C4188" t="str">
            <v>Operando</v>
          </cell>
        </row>
        <row r="4189">
          <cell r="B4189" t="str">
            <v>SCH8H62</v>
          </cell>
          <cell r="C4189" t="str">
            <v>Operando</v>
          </cell>
        </row>
        <row r="4190">
          <cell r="B4190" t="str">
            <v>SCI6B34</v>
          </cell>
          <cell r="C4190" t="str">
            <v> </v>
          </cell>
        </row>
        <row r="4191">
          <cell r="B4191" t="str">
            <v>SCQ0E86</v>
          </cell>
          <cell r="C4191" t="str">
            <v> </v>
          </cell>
        </row>
        <row r="4192">
          <cell r="B4192" t="str">
            <v>SDM5H90</v>
          </cell>
          <cell r="C4192" t="str">
            <v>Operando</v>
          </cell>
        </row>
        <row r="4193">
          <cell r="B4193" t="str">
            <v>SDO1C12</v>
          </cell>
          <cell r="C4193" t="str">
            <v> </v>
          </cell>
        </row>
        <row r="4194">
          <cell r="B4194" t="str">
            <v>SDP3F46</v>
          </cell>
          <cell r="C4194" t="str">
            <v> </v>
          </cell>
        </row>
        <row r="4195">
          <cell r="B4195" t="str">
            <v>SDP9I93</v>
          </cell>
          <cell r="C4195" t="str">
            <v>Sem operação</v>
          </cell>
        </row>
        <row r="4196">
          <cell r="B4196" t="str">
            <v>SDP9I94</v>
          </cell>
          <cell r="C4196" t="str">
            <v>Operando</v>
          </cell>
        </row>
        <row r="4197">
          <cell r="B4197" t="str">
            <v>SDP9I95</v>
          </cell>
          <cell r="C4197" t="str">
            <v>Operando</v>
          </cell>
        </row>
        <row r="4198">
          <cell r="B4198" t="str">
            <v>SDP9J01</v>
          </cell>
          <cell r="C4198" t="str">
            <v> </v>
          </cell>
        </row>
        <row r="4199">
          <cell r="B4199" t="str">
            <v>SDP9J03</v>
          </cell>
          <cell r="C4199" t="str">
            <v> </v>
          </cell>
        </row>
        <row r="4200">
          <cell r="B4200" t="str">
            <v>SDP9J04</v>
          </cell>
          <cell r="C4200" t="str">
            <v>Operando</v>
          </cell>
        </row>
        <row r="4201">
          <cell r="B4201" t="str">
            <v>SDP9J05</v>
          </cell>
          <cell r="C4201" t="str">
            <v>Sinistrado</v>
          </cell>
        </row>
        <row r="4202">
          <cell r="B4202" t="str">
            <v>SDP9J07</v>
          </cell>
          <cell r="C4202" t="str">
            <v>Operando</v>
          </cell>
        </row>
        <row r="4203">
          <cell r="B4203" t="str">
            <v>SDP9J10</v>
          </cell>
          <cell r="C4203" t="str">
            <v> </v>
          </cell>
        </row>
        <row r="4204">
          <cell r="B4204" t="str">
            <v>SDP9J13</v>
          </cell>
          <cell r="C4204" t="str">
            <v>Operando</v>
          </cell>
        </row>
        <row r="4205">
          <cell r="B4205" t="str">
            <v>SDP9J14</v>
          </cell>
          <cell r="C4205" t="str">
            <v>Operando</v>
          </cell>
        </row>
        <row r="4206">
          <cell r="B4206" t="str">
            <v>SDP9J15</v>
          </cell>
          <cell r="C4206" t="str">
            <v>Operando</v>
          </cell>
        </row>
        <row r="4207">
          <cell r="B4207" t="str">
            <v>SDP9J16</v>
          </cell>
          <cell r="C4207" t="str">
            <v> </v>
          </cell>
        </row>
        <row r="4208">
          <cell r="B4208" t="str">
            <v>SDP9J17</v>
          </cell>
          <cell r="C4208" t="str">
            <v>Operando</v>
          </cell>
        </row>
        <row r="4209">
          <cell r="B4209" t="str">
            <v>SDP9J20</v>
          </cell>
          <cell r="C4209" t="str">
            <v>Manutenção</v>
          </cell>
        </row>
        <row r="4210">
          <cell r="B4210" t="str">
            <v>SDQ2A25</v>
          </cell>
          <cell r="C4210" t="str">
            <v>Operando</v>
          </cell>
        </row>
        <row r="4211">
          <cell r="B4211" t="str">
            <v>SDQ2A26</v>
          </cell>
          <cell r="C4211" t="str">
            <v> </v>
          </cell>
        </row>
        <row r="4212">
          <cell r="B4212" t="str">
            <v>SDQ2A29</v>
          </cell>
          <cell r="C4212" t="str">
            <v>Operando</v>
          </cell>
        </row>
        <row r="4213">
          <cell r="B4213" t="str">
            <v>SDQ2A30</v>
          </cell>
          <cell r="C4213" t="str">
            <v>Operando</v>
          </cell>
        </row>
        <row r="4214">
          <cell r="B4214" t="str">
            <v>SDQ2A37</v>
          </cell>
          <cell r="C4214" t="str">
            <v> </v>
          </cell>
        </row>
        <row r="4215">
          <cell r="B4215" t="str">
            <v>SDQ2A43</v>
          </cell>
          <cell r="C4215" t="str">
            <v>Manutenção</v>
          </cell>
        </row>
        <row r="4216">
          <cell r="B4216" t="str">
            <v>SDQ2A58</v>
          </cell>
          <cell r="C4216" t="str">
            <v>Operando</v>
          </cell>
        </row>
        <row r="4217">
          <cell r="B4217" t="str">
            <v>SDQ2A59</v>
          </cell>
          <cell r="C4217" t="str">
            <v>Operando</v>
          </cell>
        </row>
        <row r="4218">
          <cell r="B4218" t="str">
            <v>SDQ2A60</v>
          </cell>
          <cell r="C4218" t="str">
            <v>Operando</v>
          </cell>
        </row>
        <row r="4219">
          <cell r="B4219" t="str">
            <v>SDQ2A62</v>
          </cell>
          <cell r="C4219" t="str">
            <v>Operando</v>
          </cell>
        </row>
        <row r="4220">
          <cell r="B4220" t="str">
            <v>SDQ2A64</v>
          </cell>
          <cell r="C4220" t="str">
            <v>Operando</v>
          </cell>
        </row>
        <row r="4221">
          <cell r="B4221" t="str">
            <v>SDQ2A66</v>
          </cell>
          <cell r="C4221" t="str">
            <v>Operando</v>
          </cell>
        </row>
        <row r="4222">
          <cell r="B4222" t="str">
            <v>SDQ2A67</v>
          </cell>
          <cell r="C4222" t="str">
            <v>Operando</v>
          </cell>
        </row>
        <row r="4223">
          <cell r="B4223" t="str">
            <v>SDQ2A70</v>
          </cell>
          <cell r="C4223" t="str">
            <v>Falta Motorista</v>
          </cell>
        </row>
        <row r="4224">
          <cell r="B4224" t="str">
            <v>SDQ2A72</v>
          </cell>
          <cell r="C4224" t="str">
            <v>Operando</v>
          </cell>
        </row>
        <row r="4225">
          <cell r="B4225" t="str">
            <v>SDQ2A73</v>
          </cell>
          <cell r="C4225" t="str">
            <v>Operando</v>
          </cell>
        </row>
        <row r="4226">
          <cell r="B4226" t="str">
            <v>SDQ2A74</v>
          </cell>
          <cell r="C4226" t="str">
            <v>Operando</v>
          </cell>
        </row>
        <row r="4227">
          <cell r="B4227" t="str">
            <v>SDQ2A75</v>
          </cell>
          <cell r="C4227" t="str">
            <v>Operando</v>
          </cell>
        </row>
        <row r="4228">
          <cell r="B4228" t="str">
            <v>SDQ2A76</v>
          </cell>
          <cell r="C4228" t="str">
            <v>Operando</v>
          </cell>
        </row>
        <row r="4229">
          <cell r="B4229" t="str">
            <v>SDQ2A78</v>
          </cell>
          <cell r="C4229" t="str">
            <v>Operando</v>
          </cell>
        </row>
        <row r="4230">
          <cell r="B4230" t="str">
            <v>SDQ2A82</v>
          </cell>
          <cell r="C4230" t="str">
            <v>Manutenção</v>
          </cell>
        </row>
        <row r="4231">
          <cell r="B4231" t="str">
            <v>SDQ2A84</v>
          </cell>
          <cell r="C4231" t="str">
            <v>Operando</v>
          </cell>
        </row>
        <row r="4232">
          <cell r="B4232" t="str">
            <v>SDQ2A90</v>
          </cell>
          <cell r="C4232" t="str">
            <v>Operando</v>
          </cell>
        </row>
        <row r="4233">
          <cell r="B4233" t="str">
            <v>SDQ2A97</v>
          </cell>
          <cell r="C4233" t="str">
            <v> </v>
          </cell>
        </row>
        <row r="4234">
          <cell r="B4234" t="str">
            <v>SDQ2A99</v>
          </cell>
          <cell r="C4234" t="str">
            <v>Manutenção</v>
          </cell>
        </row>
        <row r="4235">
          <cell r="B4235" t="str">
            <v>SDQ2B05</v>
          </cell>
          <cell r="C4235" t="str">
            <v>Manutenção</v>
          </cell>
        </row>
        <row r="4236">
          <cell r="B4236" t="str">
            <v>SDQ2B42</v>
          </cell>
          <cell r="C4236" t="str">
            <v>Operando</v>
          </cell>
        </row>
        <row r="4237">
          <cell r="B4237" t="str">
            <v>SDQ2B45</v>
          </cell>
          <cell r="C4237" t="str">
            <v>Operando</v>
          </cell>
        </row>
        <row r="4238">
          <cell r="B4238" t="str">
            <v>SDQ2B51</v>
          </cell>
          <cell r="C4238" t="str">
            <v>Manutenção</v>
          </cell>
        </row>
        <row r="4239">
          <cell r="B4239" t="str">
            <v>SDQ2B52</v>
          </cell>
          <cell r="C4239" t="str">
            <v>Operando</v>
          </cell>
        </row>
        <row r="4240">
          <cell r="B4240" t="str">
            <v>SDQ2B53</v>
          </cell>
          <cell r="C4240" t="str">
            <v>Operando</v>
          </cell>
        </row>
        <row r="4241">
          <cell r="B4241" t="str">
            <v>SDQ2B54</v>
          </cell>
          <cell r="C4241" t="str">
            <v>Operando</v>
          </cell>
        </row>
        <row r="4242">
          <cell r="B4242" t="str">
            <v>SDQ2B55</v>
          </cell>
          <cell r="C4242" t="str">
            <v>Operando</v>
          </cell>
        </row>
        <row r="4243">
          <cell r="B4243" t="str">
            <v>SDQ2B60</v>
          </cell>
          <cell r="C4243" t="str">
            <v>Operando</v>
          </cell>
        </row>
        <row r="4244">
          <cell r="B4244" t="str">
            <v>SDQ2B62</v>
          </cell>
          <cell r="C4244" t="str">
            <v>Operando</v>
          </cell>
        </row>
        <row r="4245">
          <cell r="B4245" t="str">
            <v>SDQ2B63</v>
          </cell>
          <cell r="C4245" t="str">
            <v> </v>
          </cell>
        </row>
        <row r="4246">
          <cell r="B4246" t="str">
            <v>SDQ2B97</v>
          </cell>
          <cell r="C4246" t="str">
            <v> </v>
          </cell>
        </row>
        <row r="4247">
          <cell r="B4247" t="str">
            <v>SDQ2B98</v>
          </cell>
          <cell r="C4247" t="str">
            <v> </v>
          </cell>
        </row>
        <row r="4248">
          <cell r="B4248" t="str">
            <v>SDQ2C01</v>
          </cell>
          <cell r="C4248" t="str">
            <v>Operando</v>
          </cell>
        </row>
        <row r="4249">
          <cell r="B4249" t="str">
            <v>SDQ2C02</v>
          </cell>
          <cell r="C4249" t="str">
            <v> </v>
          </cell>
        </row>
        <row r="4250">
          <cell r="B4250" t="str">
            <v>SDQ2C03</v>
          </cell>
          <cell r="C4250" t="str">
            <v>Operando</v>
          </cell>
        </row>
        <row r="4251">
          <cell r="B4251" t="str">
            <v>SDQ2E05</v>
          </cell>
          <cell r="C4251" t="str">
            <v>Falta Motorista</v>
          </cell>
        </row>
        <row r="4252">
          <cell r="B4252" t="str">
            <v>SDQ2H83</v>
          </cell>
          <cell r="C4252" t="str">
            <v>Falta Motorista</v>
          </cell>
        </row>
        <row r="4253">
          <cell r="B4253" t="str">
            <v>SDQ2J17</v>
          </cell>
          <cell r="C4253" t="str">
            <v>Operando</v>
          </cell>
        </row>
        <row r="4254">
          <cell r="B4254" t="str">
            <v>SDQ2J19</v>
          </cell>
          <cell r="C4254" t="str">
            <v>Operando</v>
          </cell>
        </row>
        <row r="4255">
          <cell r="B4255" t="str">
            <v>SDQ2J20</v>
          </cell>
          <cell r="C4255" t="str">
            <v>Operando</v>
          </cell>
        </row>
        <row r="4256">
          <cell r="B4256" t="str">
            <v>SDQ2J22</v>
          </cell>
          <cell r="C4256" t="str">
            <v>Operando</v>
          </cell>
        </row>
        <row r="4257">
          <cell r="B4257" t="str">
            <v>SDQ2J23</v>
          </cell>
          <cell r="C4257" t="str">
            <v>Operando</v>
          </cell>
        </row>
        <row r="4258">
          <cell r="B4258" t="str">
            <v>SDQ2J37</v>
          </cell>
          <cell r="C4258" t="str">
            <v>Operando</v>
          </cell>
        </row>
        <row r="4259">
          <cell r="B4259" t="str">
            <v>SDQ2J50</v>
          </cell>
          <cell r="C4259" t="str">
            <v>Manutenção</v>
          </cell>
        </row>
        <row r="4260">
          <cell r="B4260" t="str">
            <v>SDQ2J76</v>
          </cell>
          <cell r="C4260" t="str">
            <v>Operando</v>
          </cell>
        </row>
        <row r="4261">
          <cell r="B4261" t="str">
            <v>SDQ2J85</v>
          </cell>
          <cell r="C4261" t="str">
            <v>Sem operação</v>
          </cell>
        </row>
        <row r="4262">
          <cell r="B4262" t="str">
            <v>SDQ2J86</v>
          </cell>
          <cell r="C4262" t="str">
            <v>Operando</v>
          </cell>
        </row>
        <row r="4263">
          <cell r="B4263" t="str">
            <v>SDQ2J88</v>
          </cell>
          <cell r="C4263" t="str">
            <v>Operando</v>
          </cell>
        </row>
        <row r="4264">
          <cell r="B4264" t="str">
            <v>SDQ3A10</v>
          </cell>
          <cell r="C4264" t="str">
            <v>Operando</v>
          </cell>
        </row>
        <row r="4265">
          <cell r="B4265" t="str">
            <v>SDQ3A25</v>
          </cell>
          <cell r="C4265" t="str">
            <v>Operando</v>
          </cell>
        </row>
        <row r="4266">
          <cell r="B4266" t="str">
            <v>SDQ3A27</v>
          </cell>
          <cell r="C4266" t="str">
            <v>Operando</v>
          </cell>
        </row>
        <row r="4267">
          <cell r="B4267" t="str">
            <v>SDQ3A28</v>
          </cell>
          <cell r="C4267" t="str">
            <v>Operando</v>
          </cell>
        </row>
        <row r="4268">
          <cell r="B4268" t="str">
            <v>SDQ3A32</v>
          </cell>
          <cell r="C4268" t="str">
            <v>Manutenção</v>
          </cell>
        </row>
        <row r="4269">
          <cell r="B4269" t="str">
            <v>SDQ3A33</v>
          </cell>
          <cell r="C4269" t="str">
            <v>Operando</v>
          </cell>
        </row>
        <row r="4270">
          <cell r="B4270" t="str">
            <v>SDQ3A37</v>
          </cell>
          <cell r="C4270" t="str">
            <v>Operando</v>
          </cell>
        </row>
        <row r="4271">
          <cell r="B4271" t="str">
            <v>SDQ3A53</v>
          </cell>
          <cell r="C4271" t="str">
            <v>Falta Motorista</v>
          </cell>
        </row>
        <row r="4272">
          <cell r="B4272" t="str">
            <v>SDQ3A54</v>
          </cell>
          <cell r="C4272" t="str">
            <v>Operando</v>
          </cell>
        </row>
        <row r="4273">
          <cell r="B4273" t="str">
            <v>SDQ3A65</v>
          </cell>
          <cell r="C4273" t="str">
            <v>Operando</v>
          </cell>
        </row>
        <row r="4274">
          <cell r="B4274" t="str">
            <v>SDQ3A66</v>
          </cell>
          <cell r="C4274" t="str">
            <v>Operando</v>
          </cell>
        </row>
        <row r="4275">
          <cell r="B4275" t="str">
            <v>SDQ3A67</v>
          </cell>
          <cell r="C4275" t="str">
            <v>Falta Motorista</v>
          </cell>
        </row>
        <row r="4276">
          <cell r="B4276" t="str">
            <v>SDQ3G17</v>
          </cell>
          <cell r="C4276" t="str">
            <v>Operando</v>
          </cell>
        </row>
        <row r="4277">
          <cell r="B4277" t="str">
            <v>SDQ3G20</v>
          </cell>
          <cell r="C4277" t="str">
            <v>Operando</v>
          </cell>
        </row>
        <row r="4278">
          <cell r="B4278" t="str">
            <v>SDQ3G22</v>
          </cell>
          <cell r="C4278" t="str">
            <v>Operando</v>
          </cell>
        </row>
        <row r="4279">
          <cell r="B4279" t="str">
            <v>SDQ3G23</v>
          </cell>
          <cell r="C4279" t="str">
            <v>Operando</v>
          </cell>
        </row>
        <row r="4280">
          <cell r="B4280" t="str">
            <v>SDQ3G33</v>
          </cell>
          <cell r="C4280" t="str">
            <v>Operando</v>
          </cell>
        </row>
        <row r="4281">
          <cell r="B4281" t="str">
            <v>SDQ3H13</v>
          </cell>
          <cell r="C4281" t="str">
            <v>Operando</v>
          </cell>
        </row>
        <row r="4282">
          <cell r="B4282" t="str">
            <v>SDQ3H14</v>
          </cell>
          <cell r="C4282" t="str">
            <v> </v>
          </cell>
        </row>
        <row r="4283">
          <cell r="B4283" t="str">
            <v>SDQ3H16</v>
          </cell>
          <cell r="C4283" t="str">
            <v>Operando</v>
          </cell>
        </row>
        <row r="4284">
          <cell r="B4284" t="str">
            <v>SDQ3H17</v>
          </cell>
          <cell r="C4284" t="str">
            <v>Operando</v>
          </cell>
        </row>
        <row r="4285">
          <cell r="B4285" t="str">
            <v>SDQ3I65</v>
          </cell>
          <cell r="C4285" t="str">
            <v>Operando</v>
          </cell>
        </row>
        <row r="4286">
          <cell r="B4286" t="str">
            <v>SDQ3J53</v>
          </cell>
          <cell r="C4286" t="str">
            <v>Operando</v>
          </cell>
        </row>
        <row r="4287">
          <cell r="B4287" t="str">
            <v>SDQ3J66</v>
          </cell>
          <cell r="C4287" t="str">
            <v>Operando</v>
          </cell>
        </row>
        <row r="4288">
          <cell r="B4288" t="str">
            <v>SDQ3J67</v>
          </cell>
          <cell r="C4288" t="str">
            <v>Operando</v>
          </cell>
        </row>
        <row r="4289">
          <cell r="B4289" t="str">
            <v>SDQ3J74</v>
          </cell>
          <cell r="C4289" t="str">
            <v>Falta Motorista</v>
          </cell>
        </row>
        <row r="4290">
          <cell r="B4290" t="str">
            <v>SDQ3J95</v>
          </cell>
          <cell r="C4290" t="str">
            <v>Operando</v>
          </cell>
        </row>
        <row r="4291">
          <cell r="B4291" t="str">
            <v>SDQ4A10</v>
          </cell>
          <cell r="C4291" t="str">
            <v>Operando</v>
          </cell>
        </row>
        <row r="4292">
          <cell r="B4292" t="str">
            <v>SDQ4A14</v>
          </cell>
          <cell r="C4292" t="str">
            <v>Operando</v>
          </cell>
        </row>
        <row r="4293">
          <cell r="B4293" t="str">
            <v>SDQ4A17</v>
          </cell>
          <cell r="C4293" t="str">
            <v>Operando</v>
          </cell>
        </row>
        <row r="4294">
          <cell r="B4294" t="str">
            <v>SDQ4A18</v>
          </cell>
          <cell r="C4294" t="str">
            <v>Operando</v>
          </cell>
        </row>
        <row r="4295">
          <cell r="B4295" t="str">
            <v>SDQ4A29</v>
          </cell>
          <cell r="C4295" t="str">
            <v>Falta Motorista</v>
          </cell>
        </row>
        <row r="4296">
          <cell r="B4296" t="str">
            <v>SDQ4A78</v>
          </cell>
          <cell r="C4296" t="str">
            <v>Operando</v>
          </cell>
        </row>
        <row r="4297">
          <cell r="B4297" t="str">
            <v>SDQ4B93</v>
          </cell>
          <cell r="C4297" t="str">
            <v>Operando</v>
          </cell>
        </row>
        <row r="4298">
          <cell r="B4298" t="str">
            <v>SDQ4E39</v>
          </cell>
          <cell r="C4298" t="str">
            <v>Operando</v>
          </cell>
        </row>
        <row r="4299">
          <cell r="B4299" t="str">
            <v>SDQ4G20</v>
          </cell>
          <cell r="C4299" t="str">
            <v>Operando</v>
          </cell>
        </row>
        <row r="4300">
          <cell r="B4300" t="str">
            <v>SDT9E93</v>
          </cell>
          <cell r="C4300" t="str">
            <v>Operando</v>
          </cell>
        </row>
        <row r="4301">
          <cell r="B4301" t="str">
            <v>SDT9E95</v>
          </cell>
          <cell r="C4301" t="str">
            <v>Operando</v>
          </cell>
        </row>
        <row r="4302">
          <cell r="B4302" t="str">
            <v>SDT9E96</v>
          </cell>
          <cell r="C4302" t="str">
            <v>Manutenção</v>
          </cell>
        </row>
        <row r="4303">
          <cell r="B4303" t="str">
            <v>SDT9E98</v>
          </cell>
          <cell r="C4303" t="str">
            <v>Operando</v>
          </cell>
        </row>
        <row r="4304">
          <cell r="B4304" t="str">
            <v>SDT9F06</v>
          </cell>
          <cell r="C4304" t="str">
            <v>Operando</v>
          </cell>
        </row>
        <row r="4305">
          <cell r="B4305" t="str">
            <v>SDT9F07</v>
          </cell>
          <cell r="C4305" t="str">
            <v>Manutenção</v>
          </cell>
        </row>
        <row r="4306">
          <cell r="B4306" t="str">
            <v>SDT9F08</v>
          </cell>
          <cell r="C4306" t="str">
            <v>Manutenção</v>
          </cell>
        </row>
        <row r="4307">
          <cell r="B4307" t="str">
            <v>SDT9F36</v>
          </cell>
          <cell r="C4307" t="str">
            <v>Operando</v>
          </cell>
        </row>
        <row r="4308">
          <cell r="B4308" t="str">
            <v>SDT9F40</v>
          </cell>
          <cell r="C4308" t="str">
            <v> </v>
          </cell>
        </row>
        <row r="4309">
          <cell r="B4309" t="str">
            <v>SDT9F42</v>
          </cell>
          <cell r="C4309" t="str">
            <v>Manutenção</v>
          </cell>
        </row>
        <row r="4310">
          <cell r="B4310" t="str">
            <v>SDT9F44</v>
          </cell>
          <cell r="C4310" t="str">
            <v>Operando</v>
          </cell>
        </row>
        <row r="4311">
          <cell r="B4311" t="str">
            <v>SDT9F50</v>
          </cell>
          <cell r="C4311" t="str">
            <v>Operando</v>
          </cell>
        </row>
        <row r="4312">
          <cell r="B4312" t="str">
            <v>SDT9F52</v>
          </cell>
          <cell r="C4312" t="str">
            <v>Operando</v>
          </cell>
        </row>
        <row r="4313">
          <cell r="B4313" t="str">
            <v>SDT9F57</v>
          </cell>
          <cell r="C4313" t="str">
            <v>Operando</v>
          </cell>
        </row>
        <row r="4314">
          <cell r="B4314" t="str">
            <v>SDT9F58</v>
          </cell>
          <cell r="C4314" t="str">
            <v>Operando</v>
          </cell>
        </row>
        <row r="4315">
          <cell r="B4315" t="str">
            <v>SDT9F60</v>
          </cell>
          <cell r="C4315" t="str">
            <v>Operando</v>
          </cell>
        </row>
        <row r="4316">
          <cell r="B4316" t="str">
            <v>SDT9F61</v>
          </cell>
          <cell r="C4316" t="str">
            <v> </v>
          </cell>
        </row>
        <row r="4317">
          <cell r="B4317" t="str">
            <v>SDT9F62</v>
          </cell>
          <cell r="C4317" t="str">
            <v>Operando</v>
          </cell>
        </row>
        <row r="4318">
          <cell r="B4318" t="str">
            <v>SDT9F64</v>
          </cell>
          <cell r="C4318" t="str">
            <v>Operando</v>
          </cell>
        </row>
        <row r="4319">
          <cell r="B4319" t="str">
            <v>SDT9F65</v>
          </cell>
          <cell r="C4319" t="str">
            <v>Operando</v>
          </cell>
        </row>
        <row r="4320">
          <cell r="B4320" t="str">
            <v>SDT9F66</v>
          </cell>
          <cell r="C4320" t="str">
            <v>Operando</v>
          </cell>
        </row>
        <row r="4321">
          <cell r="B4321" t="str">
            <v>SDT9F67</v>
          </cell>
          <cell r="C4321" t="str">
            <v>Falta Motorista</v>
          </cell>
        </row>
        <row r="4322">
          <cell r="B4322" t="str">
            <v>SDT9F68</v>
          </cell>
          <cell r="C4322" t="str">
            <v>Operando</v>
          </cell>
        </row>
        <row r="4323">
          <cell r="B4323" t="str">
            <v>SDT9F89</v>
          </cell>
          <cell r="C4323" t="str">
            <v>Manutenção</v>
          </cell>
        </row>
        <row r="4324">
          <cell r="B4324" t="str">
            <v>SDT9F97</v>
          </cell>
          <cell r="C4324" t="str">
            <v>Manutenção</v>
          </cell>
        </row>
        <row r="4325">
          <cell r="B4325" t="str">
            <v>SDT9F98</v>
          </cell>
          <cell r="C4325" t="str">
            <v>Operando</v>
          </cell>
        </row>
        <row r="4326">
          <cell r="B4326" t="str">
            <v>SDT9F99</v>
          </cell>
          <cell r="C4326" t="str">
            <v>Operando</v>
          </cell>
        </row>
        <row r="4327">
          <cell r="B4327" t="str">
            <v>SDT9G01</v>
          </cell>
          <cell r="C4327" t="str">
            <v>Sem operação</v>
          </cell>
        </row>
        <row r="4328">
          <cell r="B4328" t="str">
            <v>SDT9G02</v>
          </cell>
          <cell r="C4328" t="str">
            <v>Operando</v>
          </cell>
        </row>
        <row r="4329">
          <cell r="B4329" t="str">
            <v>SDT9G04</v>
          </cell>
          <cell r="C4329" t="str">
            <v>Manutenção</v>
          </cell>
        </row>
        <row r="4330">
          <cell r="B4330" t="str">
            <v>SDT9G08</v>
          </cell>
          <cell r="C4330" t="str">
            <v>Manutenção</v>
          </cell>
        </row>
        <row r="4331">
          <cell r="B4331" t="str">
            <v>SDT9G14</v>
          </cell>
          <cell r="C4331" t="str">
            <v>Operando</v>
          </cell>
        </row>
        <row r="4332">
          <cell r="B4332" t="str">
            <v>SDT9G17</v>
          </cell>
          <cell r="C4332" t="str">
            <v>Operando</v>
          </cell>
        </row>
        <row r="4333">
          <cell r="B4333" t="str">
            <v>SDT9G19</v>
          </cell>
          <cell r="C4333" t="str">
            <v>Operando</v>
          </cell>
        </row>
        <row r="4334">
          <cell r="B4334" t="str">
            <v>SDT9G52</v>
          </cell>
          <cell r="C4334" t="str">
            <v>Operando</v>
          </cell>
        </row>
        <row r="4335">
          <cell r="B4335" t="str">
            <v>SDT9G58</v>
          </cell>
          <cell r="C4335" t="str">
            <v>Operando</v>
          </cell>
        </row>
        <row r="4336">
          <cell r="B4336" t="str">
            <v>SDT9G63</v>
          </cell>
          <cell r="C4336" t="str">
            <v>Operando</v>
          </cell>
        </row>
        <row r="4337">
          <cell r="B4337" t="str">
            <v>SDT9G65</v>
          </cell>
          <cell r="C4337" t="str">
            <v>Operando</v>
          </cell>
        </row>
        <row r="4338">
          <cell r="B4338" t="str">
            <v>SDT9G71</v>
          </cell>
          <cell r="C4338" t="str">
            <v>Operando</v>
          </cell>
        </row>
        <row r="4339">
          <cell r="B4339" t="str">
            <v>SDT9G84</v>
          </cell>
          <cell r="C4339" t="str">
            <v>Manutenção</v>
          </cell>
        </row>
        <row r="4340">
          <cell r="B4340" t="str">
            <v>SDT9G91</v>
          </cell>
          <cell r="C4340" t="str">
            <v>Operando</v>
          </cell>
        </row>
        <row r="4341">
          <cell r="B4341" t="str">
            <v>SDT9G93</v>
          </cell>
          <cell r="C4341" t="str">
            <v>Manutenção</v>
          </cell>
        </row>
        <row r="4342">
          <cell r="B4342" t="str">
            <v>SDT9G94</v>
          </cell>
          <cell r="C4342" t="str">
            <v>Operando</v>
          </cell>
        </row>
        <row r="4343">
          <cell r="B4343" t="str">
            <v>SDT9G95</v>
          </cell>
          <cell r="C4343" t="str">
            <v>Operando</v>
          </cell>
        </row>
        <row r="4344">
          <cell r="B4344" t="str">
            <v>SDT9H12</v>
          </cell>
          <cell r="C4344" t="str">
            <v>Operando</v>
          </cell>
        </row>
        <row r="4345">
          <cell r="B4345" t="str">
            <v>SDT9H16</v>
          </cell>
          <cell r="C4345" t="str">
            <v>Manutenção</v>
          </cell>
        </row>
        <row r="4346">
          <cell r="B4346" t="str">
            <v>SDU0F52</v>
          </cell>
          <cell r="C4346" t="str">
            <v>Operando</v>
          </cell>
        </row>
        <row r="4347">
          <cell r="B4347" t="str">
            <v>SDU2C97</v>
          </cell>
          <cell r="C4347" t="str">
            <v>Operando</v>
          </cell>
        </row>
        <row r="4348">
          <cell r="B4348" t="str">
            <v>SDU2C98</v>
          </cell>
          <cell r="C4348" t="str">
            <v>Operando</v>
          </cell>
        </row>
        <row r="4349">
          <cell r="B4349" t="str">
            <v>SDU2C99</v>
          </cell>
          <cell r="C4349" t="str">
            <v>Operando</v>
          </cell>
        </row>
        <row r="4350">
          <cell r="B4350" t="str">
            <v>SDU2D01</v>
          </cell>
          <cell r="C4350" t="str">
            <v>Operando</v>
          </cell>
        </row>
        <row r="4351">
          <cell r="B4351" t="str">
            <v>SDU2D02</v>
          </cell>
          <cell r="C4351" t="str">
            <v>Operando</v>
          </cell>
        </row>
        <row r="4352">
          <cell r="B4352" t="str">
            <v>SDU2D03</v>
          </cell>
          <cell r="C4352" t="str">
            <v> </v>
          </cell>
        </row>
        <row r="4353">
          <cell r="B4353" t="str">
            <v>SDU2D05</v>
          </cell>
          <cell r="C4353" t="str">
            <v> </v>
          </cell>
        </row>
        <row r="4354">
          <cell r="B4354" t="str">
            <v>SDU2D17</v>
          </cell>
          <cell r="C4354" t="str">
            <v>Operando</v>
          </cell>
        </row>
        <row r="4355">
          <cell r="B4355" t="str">
            <v>SDU2D18</v>
          </cell>
          <cell r="C4355" t="str">
            <v>Operando</v>
          </cell>
        </row>
        <row r="4356">
          <cell r="B4356" t="str">
            <v>SDU2D19</v>
          </cell>
          <cell r="C4356" t="str">
            <v>Operando</v>
          </cell>
        </row>
        <row r="4357">
          <cell r="B4357" t="str">
            <v>SDU2D20</v>
          </cell>
          <cell r="C4357" t="str">
            <v>Operando</v>
          </cell>
        </row>
        <row r="4358">
          <cell r="B4358" t="str">
            <v>SDU2D21</v>
          </cell>
          <cell r="C4358" t="str">
            <v> </v>
          </cell>
        </row>
        <row r="4359">
          <cell r="B4359" t="str">
            <v>SDU2D24</v>
          </cell>
          <cell r="C4359" t="str">
            <v>Operando</v>
          </cell>
        </row>
        <row r="4360">
          <cell r="B4360" t="str">
            <v>SDU2D25</v>
          </cell>
          <cell r="C4360" t="str">
            <v>Operando</v>
          </cell>
        </row>
        <row r="4361">
          <cell r="B4361" t="str">
            <v>SDU2D26</v>
          </cell>
          <cell r="C4361" t="str">
            <v>Operando</v>
          </cell>
        </row>
        <row r="4362">
          <cell r="B4362" t="str">
            <v>SDU2D27</v>
          </cell>
          <cell r="C4362" t="str">
            <v>Operando</v>
          </cell>
        </row>
        <row r="4363">
          <cell r="B4363" t="str">
            <v>SDU2D28</v>
          </cell>
          <cell r="C4363" t="str">
            <v>Operando</v>
          </cell>
        </row>
        <row r="4364">
          <cell r="B4364" t="str">
            <v>SDU2D29</v>
          </cell>
          <cell r="C4364" t="str">
            <v>Operando</v>
          </cell>
        </row>
        <row r="4365">
          <cell r="B4365" t="str">
            <v>SDU2D31</v>
          </cell>
          <cell r="C4365" t="str">
            <v>Operando</v>
          </cell>
        </row>
        <row r="4366">
          <cell r="B4366" t="str">
            <v>SEA6D34</v>
          </cell>
          <cell r="C4366" t="str">
            <v> </v>
          </cell>
        </row>
        <row r="4367">
          <cell r="B4367" t="str">
            <v>SEE9E84</v>
          </cell>
          <cell r="C4367" t="str">
            <v> </v>
          </cell>
        </row>
        <row r="4368">
          <cell r="B4368" t="str">
            <v>SEF1C57</v>
          </cell>
          <cell r="C4368" t="str">
            <v>Falta Motorista</v>
          </cell>
        </row>
        <row r="4369">
          <cell r="B4369" t="str">
            <v>SEF1C58</v>
          </cell>
          <cell r="C4369" t="str">
            <v>Operando</v>
          </cell>
        </row>
        <row r="4370">
          <cell r="B4370" t="str">
            <v>SEF1C60</v>
          </cell>
          <cell r="C4370" t="str">
            <v>Operando</v>
          </cell>
        </row>
        <row r="4371">
          <cell r="B4371" t="str">
            <v>SEF1C61</v>
          </cell>
          <cell r="C4371" t="str">
            <v>Operando</v>
          </cell>
        </row>
        <row r="4372">
          <cell r="B4372" t="str">
            <v>SEF1D68</v>
          </cell>
          <cell r="C4372" t="str">
            <v>Operando</v>
          </cell>
        </row>
        <row r="4373">
          <cell r="B4373" t="str">
            <v>SEF1D69</v>
          </cell>
          <cell r="C4373" t="str">
            <v>Operando</v>
          </cell>
        </row>
        <row r="4374">
          <cell r="B4374" t="str">
            <v>SEF1D70</v>
          </cell>
          <cell r="C4374" t="str">
            <v>Operando</v>
          </cell>
        </row>
        <row r="4375">
          <cell r="B4375" t="str">
            <v>SEF1D71</v>
          </cell>
          <cell r="C4375" t="str">
            <v>Operando</v>
          </cell>
        </row>
        <row r="4376">
          <cell r="B4376" t="str">
            <v>SEF1D72</v>
          </cell>
          <cell r="C4376" t="str">
            <v>Operando</v>
          </cell>
        </row>
        <row r="4377">
          <cell r="B4377" t="str">
            <v>SEF1D74</v>
          </cell>
          <cell r="C4377" t="str">
            <v>Operando</v>
          </cell>
        </row>
        <row r="4378">
          <cell r="B4378" t="str">
            <v>SEF1D91</v>
          </cell>
          <cell r="C4378" t="str">
            <v>Operando</v>
          </cell>
        </row>
        <row r="4379">
          <cell r="B4379" t="str">
            <v>SEF1D92</v>
          </cell>
          <cell r="C4379" t="str">
            <v>Manutenção</v>
          </cell>
        </row>
        <row r="4380">
          <cell r="B4380" t="str">
            <v>SEF1D94</v>
          </cell>
          <cell r="C4380" t="str">
            <v>Manutenção</v>
          </cell>
        </row>
        <row r="4381">
          <cell r="B4381" t="str">
            <v>SEF1D95</v>
          </cell>
          <cell r="C4381" t="str">
            <v>Sem operação</v>
          </cell>
        </row>
        <row r="4382">
          <cell r="B4382" t="str">
            <v>SEF1D96</v>
          </cell>
          <cell r="C4382" t="str">
            <v>Operando</v>
          </cell>
        </row>
        <row r="4383">
          <cell r="B4383" t="str">
            <v>SEK9D00</v>
          </cell>
          <cell r="C4383" t="str">
            <v> </v>
          </cell>
        </row>
        <row r="4384">
          <cell r="B4384" t="str">
            <v>SER0H65</v>
          </cell>
          <cell r="C4384" t="str">
            <v> </v>
          </cell>
        </row>
        <row r="4385">
          <cell r="B4385" t="str">
            <v>SEV6I79</v>
          </cell>
          <cell r="C4385" t="str">
            <v>Operando</v>
          </cell>
        </row>
        <row r="4386">
          <cell r="B4386" t="str">
            <v>SEY9H02</v>
          </cell>
          <cell r="C4386" t="str">
            <v> </v>
          </cell>
        </row>
        <row r="4387">
          <cell r="B4387" t="str">
            <v>SEZ5A30</v>
          </cell>
          <cell r="C4387" t="str">
            <v>Operando</v>
          </cell>
        </row>
        <row r="4388">
          <cell r="B4388" t="str">
            <v>SFD5H66</v>
          </cell>
          <cell r="C4388" t="str">
            <v>Operando</v>
          </cell>
        </row>
        <row r="4389">
          <cell r="B4389" t="str">
            <v>SFD5H69</v>
          </cell>
          <cell r="C4389" t="str">
            <v>Operando</v>
          </cell>
        </row>
        <row r="4390">
          <cell r="B4390" t="str">
            <v>SFD5H70</v>
          </cell>
          <cell r="C4390" t="str">
            <v>Manutenção</v>
          </cell>
        </row>
        <row r="4391">
          <cell r="B4391" t="str">
            <v>SFD5H72</v>
          </cell>
          <cell r="C4391" t="str">
            <v>Operando</v>
          </cell>
        </row>
        <row r="4392">
          <cell r="B4392" t="str">
            <v>SFD5H74</v>
          </cell>
          <cell r="C4392" t="str">
            <v>Operando</v>
          </cell>
        </row>
        <row r="4393">
          <cell r="B4393" t="str">
            <v>SFD5H76</v>
          </cell>
          <cell r="C4393" t="str">
            <v>Operando</v>
          </cell>
        </row>
        <row r="4394">
          <cell r="B4394" t="str">
            <v>SFD5H79</v>
          </cell>
          <cell r="C4394" t="str">
            <v>Operando</v>
          </cell>
        </row>
        <row r="4395">
          <cell r="B4395" t="str">
            <v>SFD5H80</v>
          </cell>
          <cell r="C4395" t="str">
            <v>Manutenção</v>
          </cell>
        </row>
        <row r="4396">
          <cell r="B4396" t="str">
            <v>SFD5H85</v>
          </cell>
          <cell r="C4396" t="str">
            <v>Operando</v>
          </cell>
        </row>
        <row r="4397">
          <cell r="B4397" t="str">
            <v>SFE0J20</v>
          </cell>
          <cell r="C4397" t="str">
            <v> </v>
          </cell>
        </row>
        <row r="4398">
          <cell r="B4398" t="str">
            <v>SFE2C99</v>
          </cell>
          <cell r="C4398" t="str">
            <v> </v>
          </cell>
        </row>
        <row r="4399">
          <cell r="B4399" t="str">
            <v>SFG2D54</v>
          </cell>
          <cell r="C4399" t="str">
            <v>Manutenção</v>
          </cell>
        </row>
        <row r="4400">
          <cell r="B4400" t="str">
            <v>SFG5A75</v>
          </cell>
          <cell r="C4400" t="str">
            <v> </v>
          </cell>
        </row>
        <row r="4401">
          <cell r="B4401" t="str">
            <v>SFG8G11</v>
          </cell>
          <cell r="C4401" t="str">
            <v> </v>
          </cell>
        </row>
        <row r="4402">
          <cell r="B4402" t="str">
            <v>SFG8G13</v>
          </cell>
          <cell r="C4402" t="str">
            <v>Operando</v>
          </cell>
        </row>
        <row r="4403">
          <cell r="B4403" t="str">
            <v>SFN0B49</v>
          </cell>
          <cell r="C4403" t="str">
            <v>Operando</v>
          </cell>
        </row>
        <row r="4404">
          <cell r="B4404" t="str">
            <v>SFN0B54</v>
          </cell>
          <cell r="C4404" t="str">
            <v>Operando</v>
          </cell>
        </row>
        <row r="4405">
          <cell r="B4405" t="str">
            <v>SFN0B56</v>
          </cell>
          <cell r="C4405" t="str">
            <v>Manutenção</v>
          </cell>
        </row>
        <row r="4406">
          <cell r="B4406" t="str">
            <v>SFN0B73</v>
          </cell>
          <cell r="C4406" t="str">
            <v>Operando</v>
          </cell>
        </row>
        <row r="4407">
          <cell r="B4407" t="str">
            <v>SFN0B74</v>
          </cell>
          <cell r="C4407" t="str">
            <v>Operando</v>
          </cell>
        </row>
        <row r="4408">
          <cell r="B4408" t="str">
            <v>SFN0B75</v>
          </cell>
          <cell r="C4408" t="str">
            <v>Operando</v>
          </cell>
        </row>
        <row r="4409">
          <cell r="B4409" t="str">
            <v>SFN0B78</v>
          </cell>
          <cell r="C4409" t="str">
            <v>Manutenção</v>
          </cell>
        </row>
        <row r="4410">
          <cell r="B4410" t="str">
            <v>SFN0C59</v>
          </cell>
          <cell r="C4410" t="str">
            <v>Operando</v>
          </cell>
        </row>
        <row r="4411">
          <cell r="B4411" t="str">
            <v>SFN0C60</v>
          </cell>
          <cell r="C4411" t="str">
            <v>Operando</v>
          </cell>
        </row>
        <row r="4412">
          <cell r="B4412" t="str">
            <v>SFN0C63</v>
          </cell>
          <cell r="C4412" t="str">
            <v>Operando</v>
          </cell>
        </row>
        <row r="4413">
          <cell r="B4413" t="str">
            <v>SFT5A02</v>
          </cell>
          <cell r="C4413" t="str">
            <v>Manutenção</v>
          </cell>
        </row>
        <row r="4414">
          <cell r="B4414" t="str">
            <v>SFT5A06</v>
          </cell>
          <cell r="C4414" t="str">
            <v>Operando</v>
          </cell>
        </row>
        <row r="4415">
          <cell r="B4415" t="str">
            <v>SFT5A07</v>
          </cell>
          <cell r="C4415" t="str">
            <v>Operando</v>
          </cell>
        </row>
        <row r="4416">
          <cell r="B4416" t="str">
            <v>SFT5A10</v>
          </cell>
          <cell r="C4416" t="str">
            <v>Operando</v>
          </cell>
        </row>
        <row r="4417">
          <cell r="B4417" t="str">
            <v>SFT5A13</v>
          </cell>
          <cell r="C4417" t="str">
            <v>Operando</v>
          </cell>
        </row>
        <row r="4418">
          <cell r="B4418" t="str">
            <v>SFT5A14</v>
          </cell>
          <cell r="C4418" t="str">
            <v>Operando</v>
          </cell>
        </row>
        <row r="4419">
          <cell r="B4419" t="str">
            <v>SFT5A20</v>
          </cell>
          <cell r="C4419" t="str">
            <v> </v>
          </cell>
        </row>
        <row r="4420">
          <cell r="B4420" t="str">
            <v>SFT5A25</v>
          </cell>
          <cell r="C4420" t="str">
            <v>Operando</v>
          </cell>
        </row>
        <row r="4421">
          <cell r="B4421" t="str">
            <v>SFT5A29</v>
          </cell>
          <cell r="C4421" t="str">
            <v>Operando</v>
          </cell>
        </row>
        <row r="4422">
          <cell r="B4422" t="str">
            <v>SFT5A34</v>
          </cell>
          <cell r="C4422" t="str">
            <v>Operando</v>
          </cell>
        </row>
        <row r="4423">
          <cell r="B4423" t="str">
            <v>SFT5A36</v>
          </cell>
          <cell r="C4423" t="str">
            <v>Operando</v>
          </cell>
        </row>
        <row r="4424">
          <cell r="B4424" t="str">
            <v>SFT5A40</v>
          </cell>
          <cell r="C4424" t="str">
            <v>Operando</v>
          </cell>
        </row>
        <row r="4425">
          <cell r="B4425" t="str">
            <v>SFT5A41</v>
          </cell>
          <cell r="C4425" t="str">
            <v>Carregado</v>
          </cell>
        </row>
        <row r="4426">
          <cell r="B4426" t="str">
            <v>SFT5A46</v>
          </cell>
          <cell r="C4426" t="str">
            <v>Carregado</v>
          </cell>
        </row>
        <row r="4427">
          <cell r="B4427" t="str">
            <v>SFT5A48</v>
          </cell>
          <cell r="C4427" t="str">
            <v>Manutenção</v>
          </cell>
        </row>
        <row r="4428">
          <cell r="B4428" t="str">
            <v>SFT5A50</v>
          </cell>
          <cell r="C4428" t="str">
            <v>Operando</v>
          </cell>
        </row>
        <row r="4429">
          <cell r="B4429" t="str">
            <v>SFT5A52</v>
          </cell>
          <cell r="C4429" t="str">
            <v>Manutenção</v>
          </cell>
        </row>
        <row r="4430">
          <cell r="B4430" t="str">
            <v>SFT5A59</v>
          </cell>
          <cell r="C4430" t="str">
            <v> </v>
          </cell>
        </row>
        <row r="4431">
          <cell r="B4431" t="str">
            <v>SFT5A61</v>
          </cell>
          <cell r="C4431" t="str">
            <v>Manutenção</v>
          </cell>
        </row>
        <row r="4432">
          <cell r="B4432" t="str">
            <v>SFT5A73</v>
          </cell>
          <cell r="C4432" t="str">
            <v>Manutenção</v>
          </cell>
        </row>
        <row r="4433">
          <cell r="B4433" t="str">
            <v>SFT5A78</v>
          </cell>
          <cell r="C4433" t="str">
            <v> </v>
          </cell>
        </row>
        <row r="4434">
          <cell r="B4434" t="str">
            <v>SFT5A79</v>
          </cell>
          <cell r="C4434" t="str">
            <v>Operando</v>
          </cell>
        </row>
        <row r="4435">
          <cell r="B4435" t="str">
            <v>SFT5A90</v>
          </cell>
          <cell r="C4435" t="str">
            <v>Operando</v>
          </cell>
        </row>
        <row r="4436">
          <cell r="B4436" t="str">
            <v>SFT5A98</v>
          </cell>
          <cell r="C4436" t="str">
            <v>Carregado</v>
          </cell>
        </row>
        <row r="4437">
          <cell r="B4437" t="str">
            <v>SFT5B02</v>
          </cell>
          <cell r="C4437" t="str">
            <v>Operando</v>
          </cell>
        </row>
        <row r="4438">
          <cell r="B4438" t="str">
            <v>SFT5B03</v>
          </cell>
          <cell r="C4438" t="str">
            <v>Operando</v>
          </cell>
        </row>
        <row r="4439">
          <cell r="B4439" t="str">
            <v>SFT5B15</v>
          </cell>
          <cell r="C4439" t="str">
            <v>Manutenção</v>
          </cell>
        </row>
        <row r="4440">
          <cell r="B4440" t="str">
            <v>SFV0C98</v>
          </cell>
          <cell r="C4440" t="str">
            <v>Manutenção</v>
          </cell>
        </row>
        <row r="4441">
          <cell r="B4441" t="str">
            <v>SFV0D00</v>
          </cell>
          <cell r="C4441" t="str">
            <v>Operando</v>
          </cell>
        </row>
        <row r="4442">
          <cell r="B4442" t="str">
            <v>SFV0D01</v>
          </cell>
          <cell r="C4442" t="str">
            <v>Operando</v>
          </cell>
        </row>
        <row r="4443">
          <cell r="B4443" t="str">
            <v>SFV0D04</v>
          </cell>
          <cell r="C4443" t="str">
            <v>Operando</v>
          </cell>
        </row>
        <row r="4444">
          <cell r="B4444" t="str">
            <v>SFV0D12</v>
          </cell>
          <cell r="C4444" t="str">
            <v>Operando</v>
          </cell>
        </row>
        <row r="4445">
          <cell r="B4445" t="str">
            <v>SFV0D14</v>
          </cell>
          <cell r="C4445" t="str">
            <v> </v>
          </cell>
        </row>
        <row r="4446">
          <cell r="B4446" t="str">
            <v>SFV0D15</v>
          </cell>
          <cell r="C4446" t="str">
            <v>Operando</v>
          </cell>
        </row>
        <row r="4447">
          <cell r="B4447" t="str">
            <v>SFV0D17</v>
          </cell>
          <cell r="C4447" t="str">
            <v>Manutenção</v>
          </cell>
        </row>
        <row r="4448">
          <cell r="B4448" t="str">
            <v>SFV0D50</v>
          </cell>
          <cell r="C4448" t="str">
            <v>Operando</v>
          </cell>
        </row>
        <row r="4449">
          <cell r="B4449" t="str">
            <v>SFV0D53</v>
          </cell>
          <cell r="C4449" t="str">
            <v> </v>
          </cell>
        </row>
        <row r="4450">
          <cell r="B4450" t="str">
            <v>SFV0D57</v>
          </cell>
          <cell r="C4450" t="str">
            <v> </v>
          </cell>
        </row>
        <row r="4451">
          <cell r="B4451" t="str">
            <v>SFV0D59</v>
          </cell>
          <cell r="C4451" t="str">
            <v>Manutenção</v>
          </cell>
        </row>
        <row r="4452">
          <cell r="B4452" t="str">
            <v>SFV0D61</v>
          </cell>
          <cell r="C4452" t="str">
            <v>Operando</v>
          </cell>
        </row>
        <row r="4453">
          <cell r="B4453" t="str">
            <v>SFV0D65</v>
          </cell>
          <cell r="C4453" t="str">
            <v>Operando</v>
          </cell>
        </row>
        <row r="4454">
          <cell r="B4454" t="str">
            <v>SFV0D67</v>
          </cell>
          <cell r="C4454" t="str">
            <v>Operando</v>
          </cell>
        </row>
        <row r="4455">
          <cell r="B4455" t="str">
            <v>SFV0D69</v>
          </cell>
          <cell r="C4455" t="str">
            <v> </v>
          </cell>
        </row>
        <row r="4456">
          <cell r="B4456" t="str">
            <v>SFV0D88</v>
          </cell>
          <cell r="C4456" t="str">
            <v> </v>
          </cell>
        </row>
        <row r="4457">
          <cell r="B4457" t="str">
            <v>SFV0E21</v>
          </cell>
          <cell r="C4457" t="str">
            <v>Operando</v>
          </cell>
        </row>
        <row r="4458">
          <cell r="B4458" t="str">
            <v>SFW0A27</v>
          </cell>
          <cell r="C4458" t="str">
            <v>Operando</v>
          </cell>
        </row>
        <row r="4459">
          <cell r="B4459" t="str">
            <v>SFW0A31</v>
          </cell>
          <cell r="C4459" t="str">
            <v>Operando</v>
          </cell>
        </row>
        <row r="4460">
          <cell r="B4460" t="str">
            <v>SFW0A32</v>
          </cell>
          <cell r="C4460" t="str">
            <v>Operando</v>
          </cell>
        </row>
        <row r="4461">
          <cell r="B4461" t="str">
            <v>SFW0A34</v>
          </cell>
          <cell r="C4461" t="str">
            <v>Operando</v>
          </cell>
        </row>
        <row r="4462">
          <cell r="B4462" t="str">
            <v>SFW0A36</v>
          </cell>
          <cell r="C4462" t="str">
            <v>Operando</v>
          </cell>
        </row>
        <row r="4463">
          <cell r="B4463" t="str">
            <v>SFW0A37</v>
          </cell>
          <cell r="C4463" t="str">
            <v>Operando</v>
          </cell>
        </row>
        <row r="4464">
          <cell r="B4464" t="str">
            <v>SFW0A39</v>
          </cell>
          <cell r="C4464" t="str">
            <v>Operando</v>
          </cell>
        </row>
        <row r="4465">
          <cell r="B4465" t="str">
            <v>SFW0A41</v>
          </cell>
          <cell r="C4465" t="str">
            <v>Operando</v>
          </cell>
        </row>
        <row r="4466">
          <cell r="B4466" t="str">
            <v>SFW0A42</v>
          </cell>
          <cell r="C4466" t="str">
            <v>Operando</v>
          </cell>
        </row>
        <row r="4467">
          <cell r="B4467" t="str">
            <v>SFW0A59</v>
          </cell>
          <cell r="C4467" t="str">
            <v>Operando</v>
          </cell>
        </row>
        <row r="4468">
          <cell r="B4468" t="str">
            <v>SFW0A62</v>
          </cell>
          <cell r="C4468" t="str">
            <v>Operando</v>
          </cell>
        </row>
        <row r="4469">
          <cell r="B4469" t="str">
            <v>SFW0A65</v>
          </cell>
          <cell r="C4469" t="str">
            <v>Operando</v>
          </cell>
        </row>
        <row r="4470">
          <cell r="B4470" t="str">
            <v>SFW0A67</v>
          </cell>
          <cell r="C4470" t="str">
            <v> </v>
          </cell>
        </row>
        <row r="4471">
          <cell r="B4471" t="str">
            <v>SFW0A69</v>
          </cell>
          <cell r="C4471" t="str">
            <v>Operando</v>
          </cell>
        </row>
        <row r="4472">
          <cell r="B4472" t="str">
            <v>SFW0A73</v>
          </cell>
          <cell r="C4472" t="str">
            <v>Operando</v>
          </cell>
        </row>
        <row r="4473">
          <cell r="B4473" t="str">
            <v>SFW0A75</v>
          </cell>
          <cell r="C4473" t="str">
            <v>Operando</v>
          </cell>
        </row>
        <row r="4474">
          <cell r="B4474" t="str">
            <v>SFW0A79</v>
          </cell>
          <cell r="C4474" t="str">
            <v>Operando</v>
          </cell>
        </row>
        <row r="4475">
          <cell r="B4475" t="str">
            <v>SFW2B32</v>
          </cell>
          <cell r="C4475" t="str">
            <v>Operando</v>
          </cell>
        </row>
        <row r="4476">
          <cell r="B4476" t="str">
            <v>SFW2B76</v>
          </cell>
          <cell r="C4476" t="str">
            <v>Manutenção</v>
          </cell>
        </row>
        <row r="4477">
          <cell r="B4477" t="str">
            <v>SFW2B88</v>
          </cell>
          <cell r="C4477" t="str">
            <v>Operando</v>
          </cell>
        </row>
        <row r="4478">
          <cell r="B4478" t="str">
            <v>SFW2B92</v>
          </cell>
          <cell r="C4478" t="str">
            <v>Operando</v>
          </cell>
        </row>
        <row r="4479">
          <cell r="B4479" t="str">
            <v>SFW2C23</v>
          </cell>
          <cell r="C4479" t="str">
            <v>Operando</v>
          </cell>
        </row>
        <row r="4480">
          <cell r="B4480" t="str">
            <v>SFW2C66</v>
          </cell>
          <cell r="C4480" t="str">
            <v>Operando</v>
          </cell>
        </row>
        <row r="4481">
          <cell r="B4481" t="str">
            <v>SFW2D98</v>
          </cell>
          <cell r="C4481" t="str">
            <v>Operando</v>
          </cell>
        </row>
        <row r="4482">
          <cell r="B4482" t="str">
            <v>SFW2E77</v>
          </cell>
          <cell r="C4482" t="str">
            <v>Operando</v>
          </cell>
        </row>
        <row r="4483">
          <cell r="B4483" t="str">
            <v>SFW2E95</v>
          </cell>
          <cell r="C4483" t="str">
            <v>Operando</v>
          </cell>
        </row>
        <row r="4484">
          <cell r="B4484" t="str">
            <v>SFW2E98</v>
          </cell>
          <cell r="C4484" t="str">
            <v>Operando</v>
          </cell>
        </row>
        <row r="4485">
          <cell r="B4485" t="str">
            <v>SFW2F16</v>
          </cell>
          <cell r="C4485" t="str">
            <v>Operando</v>
          </cell>
        </row>
        <row r="4486">
          <cell r="B4486" t="str">
            <v>SFW6C99</v>
          </cell>
          <cell r="C4486" t="str">
            <v> </v>
          </cell>
        </row>
        <row r="4487">
          <cell r="B4487" t="str">
            <v>SFW6D02</v>
          </cell>
          <cell r="C4487" t="str">
            <v>Manutenção</v>
          </cell>
        </row>
        <row r="4488">
          <cell r="B4488" t="str">
            <v>SFW6D03</v>
          </cell>
          <cell r="C4488" t="str">
            <v>Operando</v>
          </cell>
        </row>
        <row r="4489">
          <cell r="B4489" t="str">
            <v>SFW6D05</v>
          </cell>
          <cell r="C4489" t="str">
            <v>Operando</v>
          </cell>
        </row>
        <row r="4490">
          <cell r="B4490" t="str">
            <v>SFW6D16</v>
          </cell>
          <cell r="C4490" t="str">
            <v>Operando</v>
          </cell>
        </row>
        <row r="4491">
          <cell r="B4491" t="str">
            <v>SFZ4A58</v>
          </cell>
          <cell r="C4491" t="str">
            <v>Operando</v>
          </cell>
        </row>
        <row r="4492">
          <cell r="B4492" t="str">
            <v>SGF6H57</v>
          </cell>
          <cell r="C4492" t="str">
            <v>Manutenção</v>
          </cell>
        </row>
        <row r="4493">
          <cell r="B4493" t="str">
            <v>SGF8I55</v>
          </cell>
          <cell r="C4493" t="str">
            <v>Manutenção</v>
          </cell>
        </row>
        <row r="4494">
          <cell r="B4494" t="str">
            <v>SGF8I64</v>
          </cell>
          <cell r="C4494" t="str">
            <v>Operando</v>
          </cell>
        </row>
        <row r="4495">
          <cell r="B4495" t="str">
            <v>SGF8I65</v>
          </cell>
          <cell r="C4495" t="str">
            <v> </v>
          </cell>
        </row>
        <row r="4496">
          <cell r="B4496" t="str">
            <v>SGF8I73</v>
          </cell>
          <cell r="C4496" t="str">
            <v>Operando</v>
          </cell>
        </row>
        <row r="4497">
          <cell r="B4497" t="str">
            <v>SGF8I77</v>
          </cell>
          <cell r="C4497" t="str">
            <v>Manutenção</v>
          </cell>
        </row>
        <row r="4498">
          <cell r="B4498" t="str">
            <v>SGF8I80</v>
          </cell>
          <cell r="C4498" t="str">
            <v>Operando</v>
          </cell>
        </row>
        <row r="4499">
          <cell r="B4499" t="str">
            <v>SGF8I94</v>
          </cell>
          <cell r="C4499" t="str">
            <v> </v>
          </cell>
        </row>
        <row r="4500">
          <cell r="B4500" t="str">
            <v>SGF8I96</v>
          </cell>
          <cell r="C4500" t="str">
            <v>Manutenção</v>
          </cell>
        </row>
        <row r="4501">
          <cell r="B4501" t="str">
            <v>SGF8J05</v>
          </cell>
          <cell r="C4501" t="str">
            <v>Operando</v>
          </cell>
        </row>
        <row r="4502">
          <cell r="B4502" t="str">
            <v>SGF8J08</v>
          </cell>
          <cell r="C4502" t="str">
            <v>Operando</v>
          </cell>
        </row>
        <row r="4503">
          <cell r="B4503" t="str">
            <v>SGF8J27</v>
          </cell>
          <cell r="C4503" t="str">
            <v>Operando</v>
          </cell>
        </row>
        <row r="4504">
          <cell r="B4504" t="str">
            <v>SGF8J29</v>
          </cell>
          <cell r="C4504" t="str">
            <v> </v>
          </cell>
        </row>
        <row r="4505">
          <cell r="B4505" t="str">
            <v>SGF8J33</v>
          </cell>
          <cell r="C4505" t="str">
            <v>Sem operação</v>
          </cell>
        </row>
        <row r="4506">
          <cell r="B4506" t="str">
            <v>SGF8J34</v>
          </cell>
          <cell r="C4506" t="str">
            <v>Manutenção</v>
          </cell>
        </row>
        <row r="4507">
          <cell r="B4507" t="str">
            <v>SGF8J53</v>
          </cell>
          <cell r="C4507" t="str">
            <v>Operando</v>
          </cell>
        </row>
        <row r="4508">
          <cell r="B4508" t="str">
            <v>SGF8J56</v>
          </cell>
          <cell r="C4508" t="str">
            <v>Manutenção</v>
          </cell>
        </row>
        <row r="4509">
          <cell r="B4509" t="str">
            <v>SGF8J96</v>
          </cell>
          <cell r="C4509" t="str">
            <v>Operando</v>
          </cell>
        </row>
        <row r="4510">
          <cell r="B4510" t="str">
            <v>SGF8J97</v>
          </cell>
          <cell r="C4510" t="str">
            <v>Manutenção</v>
          </cell>
        </row>
        <row r="4511">
          <cell r="B4511" t="str">
            <v>SGF9A00</v>
          </cell>
          <cell r="C4511" t="str">
            <v> </v>
          </cell>
        </row>
        <row r="4512">
          <cell r="B4512" t="str">
            <v>SGF9A02</v>
          </cell>
          <cell r="C4512" t="str">
            <v>Operando</v>
          </cell>
        </row>
        <row r="4513">
          <cell r="B4513" t="str">
            <v>SGF9A21</v>
          </cell>
          <cell r="C4513" t="str">
            <v> </v>
          </cell>
        </row>
        <row r="4514">
          <cell r="B4514" t="str">
            <v>SGF9A28</v>
          </cell>
          <cell r="C4514" t="str">
            <v>Operando</v>
          </cell>
        </row>
        <row r="4515">
          <cell r="B4515" t="str">
            <v>SGF9A36</v>
          </cell>
          <cell r="C4515" t="str">
            <v>Operando</v>
          </cell>
        </row>
        <row r="4516">
          <cell r="B4516" t="str">
            <v>SGF9A48</v>
          </cell>
          <cell r="C4516" t="str">
            <v>Operando</v>
          </cell>
        </row>
        <row r="4517">
          <cell r="B4517" t="str">
            <v>SGF9A55</v>
          </cell>
          <cell r="C4517" t="str">
            <v>Carregado</v>
          </cell>
        </row>
        <row r="4518">
          <cell r="B4518" t="str">
            <v>SGF9B03</v>
          </cell>
          <cell r="C4518" t="str">
            <v>Operando</v>
          </cell>
        </row>
        <row r="4519">
          <cell r="B4519" t="str">
            <v>SGF9B05</v>
          </cell>
          <cell r="C4519" t="str">
            <v>Manutenção</v>
          </cell>
        </row>
        <row r="4520">
          <cell r="B4520" t="str">
            <v>SGF9B06</v>
          </cell>
          <cell r="C4520" t="str">
            <v>Operando</v>
          </cell>
        </row>
        <row r="4521">
          <cell r="B4521" t="str">
            <v>SGF9B10</v>
          </cell>
          <cell r="C4521" t="str">
            <v>Manutenção</v>
          </cell>
        </row>
        <row r="4522">
          <cell r="B4522" t="str">
            <v>SGF9B13</v>
          </cell>
          <cell r="C4522" t="str">
            <v>Operando</v>
          </cell>
        </row>
        <row r="4523">
          <cell r="B4523" t="str">
            <v>SGF9B20</v>
          </cell>
          <cell r="C4523" t="str">
            <v> </v>
          </cell>
        </row>
        <row r="4524">
          <cell r="B4524" t="str">
            <v>SGF9B31</v>
          </cell>
          <cell r="C4524" t="str">
            <v>Carregado</v>
          </cell>
        </row>
        <row r="4525">
          <cell r="B4525" t="str">
            <v>SGF9B39</v>
          </cell>
          <cell r="C4525" t="str">
            <v>Manutenção</v>
          </cell>
        </row>
        <row r="4526">
          <cell r="B4526" t="str">
            <v>SGF9B40</v>
          </cell>
          <cell r="C4526" t="str">
            <v>Manutenção</v>
          </cell>
        </row>
        <row r="4527">
          <cell r="B4527" t="str">
            <v>SGF9B41</v>
          </cell>
          <cell r="C4527" t="str">
            <v>Operando</v>
          </cell>
        </row>
        <row r="4528">
          <cell r="B4528" t="str">
            <v>SGF9B44</v>
          </cell>
          <cell r="C4528" t="str">
            <v> </v>
          </cell>
        </row>
        <row r="4529">
          <cell r="B4529" t="str">
            <v>SGF9B45</v>
          </cell>
          <cell r="C4529" t="str">
            <v>Operando</v>
          </cell>
        </row>
        <row r="4530">
          <cell r="B4530" t="str">
            <v>SGF9B68</v>
          </cell>
          <cell r="C4530" t="str">
            <v>Operando</v>
          </cell>
        </row>
        <row r="4531">
          <cell r="B4531" t="str">
            <v>SGF9B74</v>
          </cell>
          <cell r="C4531" t="str">
            <v>Operando</v>
          </cell>
        </row>
        <row r="4532">
          <cell r="B4532" t="str">
            <v>SGF9B76</v>
          </cell>
          <cell r="C4532" t="str">
            <v>Operando</v>
          </cell>
        </row>
        <row r="4533">
          <cell r="B4533" t="str">
            <v>SGF9B78</v>
          </cell>
          <cell r="C4533" t="str">
            <v>Operando</v>
          </cell>
        </row>
        <row r="4534">
          <cell r="B4534" t="str">
            <v>SGF9B85</v>
          </cell>
          <cell r="C4534" t="str">
            <v>Manutenção</v>
          </cell>
        </row>
        <row r="4535">
          <cell r="B4535" t="str">
            <v>SGF9B96</v>
          </cell>
          <cell r="C4535" t="str">
            <v>Manutenção</v>
          </cell>
        </row>
        <row r="4536">
          <cell r="B4536" t="str">
            <v>SGF9C03</v>
          </cell>
          <cell r="C4536" t="str">
            <v> </v>
          </cell>
        </row>
        <row r="4537">
          <cell r="B4537" t="str">
            <v>SGF9C11</v>
          </cell>
          <cell r="C4537" t="str">
            <v>Manutenção</v>
          </cell>
        </row>
        <row r="4538">
          <cell r="B4538" t="str">
            <v>SGF9C25</v>
          </cell>
          <cell r="C4538" t="str">
            <v>Operando</v>
          </cell>
        </row>
        <row r="4539">
          <cell r="B4539" t="str">
            <v>SGH0G97</v>
          </cell>
          <cell r="C4539" t="str">
            <v>Operando</v>
          </cell>
        </row>
        <row r="4540">
          <cell r="B4540" t="str">
            <v>SGH0H07</v>
          </cell>
          <cell r="C4540" t="str">
            <v>Manutenção</v>
          </cell>
        </row>
        <row r="4541">
          <cell r="B4541" t="str">
            <v>SGH0H12</v>
          </cell>
          <cell r="C4541" t="str">
            <v>Operando</v>
          </cell>
        </row>
        <row r="4542">
          <cell r="B4542" t="str">
            <v>SGH0H15</v>
          </cell>
          <cell r="C4542" t="str">
            <v>Manutenção</v>
          </cell>
        </row>
        <row r="4543">
          <cell r="B4543" t="str">
            <v>SGH0H17</v>
          </cell>
          <cell r="C4543" t="str">
            <v>Operando</v>
          </cell>
        </row>
        <row r="4544">
          <cell r="B4544" t="str">
            <v>SGH0H18</v>
          </cell>
          <cell r="C4544" t="str">
            <v>Manutenção</v>
          </cell>
        </row>
        <row r="4545">
          <cell r="B4545" t="str">
            <v>SGH0H20</v>
          </cell>
          <cell r="C4545" t="str">
            <v>Manutenção</v>
          </cell>
        </row>
        <row r="4546">
          <cell r="B4546" t="str">
            <v>SGH0H23</v>
          </cell>
          <cell r="C4546" t="str">
            <v>Manutenção</v>
          </cell>
        </row>
        <row r="4547">
          <cell r="B4547" t="str">
            <v>SGH0H25</v>
          </cell>
          <cell r="C4547" t="str">
            <v>Manutenção</v>
          </cell>
        </row>
        <row r="4548">
          <cell r="B4548" t="str">
            <v>SGH0H27</v>
          </cell>
          <cell r="C4548" t="str">
            <v>Carregado</v>
          </cell>
        </row>
        <row r="4549">
          <cell r="B4549" t="str">
            <v>SGH0H29</v>
          </cell>
          <cell r="C4549" t="str">
            <v>Operando</v>
          </cell>
        </row>
        <row r="4550">
          <cell r="B4550" t="str">
            <v>SGH0H30</v>
          </cell>
          <cell r="C4550" t="str">
            <v>Operando</v>
          </cell>
        </row>
        <row r="4551">
          <cell r="B4551" t="str">
            <v>SGH0H32</v>
          </cell>
          <cell r="C4551" t="str">
            <v>Operando</v>
          </cell>
        </row>
        <row r="4552">
          <cell r="B4552" t="str">
            <v>SGH0H33</v>
          </cell>
          <cell r="C4552" t="str">
            <v>Carregado</v>
          </cell>
        </row>
        <row r="4553">
          <cell r="B4553" t="str">
            <v>SGH0H38</v>
          </cell>
          <cell r="C4553" t="str">
            <v>Manutenção</v>
          </cell>
        </row>
        <row r="4554">
          <cell r="B4554" t="str">
            <v>SGH0H40</v>
          </cell>
          <cell r="C4554" t="str">
            <v>Operando</v>
          </cell>
        </row>
        <row r="4555">
          <cell r="B4555" t="str">
            <v>SGH0H42</v>
          </cell>
          <cell r="C4555" t="str">
            <v>Operando</v>
          </cell>
        </row>
        <row r="4556">
          <cell r="B4556" t="str">
            <v>SGH0H44</v>
          </cell>
          <cell r="C4556" t="str">
            <v>Carregado</v>
          </cell>
        </row>
        <row r="4557">
          <cell r="B4557" t="str">
            <v>SGH0H45</v>
          </cell>
          <cell r="C4557" t="str">
            <v>Operando</v>
          </cell>
        </row>
        <row r="4558">
          <cell r="B4558" t="str">
            <v>SGH0H48</v>
          </cell>
          <cell r="C4558" t="str">
            <v>Carregado</v>
          </cell>
        </row>
        <row r="4559">
          <cell r="B4559" t="str">
            <v>SGH0H50</v>
          </cell>
          <cell r="C4559" t="str">
            <v>Sem operação</v>
          </cell>
        </row>
        <row r="4560">
          <cell r="B4560" t="str">
            <v>SGH1B19</v>
          </cell>
          <cell r="C4560" t="str">
            <v>Operando</v>
          </cell>
        </row>
        <row r="4561">
          <cell r="B4561" t="str">
            <v>SGH6H56</v>
          </cell>
          <cell r="C4561" t="str">
            <v>Operando</v>
          </cell>
        </row>
        <row r="4562">
          <cell r="B4562" t="str">
            <v>SGH6H58</v>
          </cell>
          <cell r="C4562" t="str">
            <v>Manutenção</v>
          </cell>
        </row>
        <row r="4563">
          <cell r="B4563" t="str">
            <v>SGH6H59</v>
          </cell>
          <cell r="C4563" t="str">
            <v>Operando</v>
          </cell>
        </row>
        <row r="4564">
          <cell r="B4564" t="str">
            <v>SGH6H60</v>
          </cell>
          <cell r="C4564" t="str">
            <v>Operando</v>
          </cell>
        </row>
        <row r="4565">
          <cell r="B4565" t="str">
            <v>SGH6H61</v>
          </cell>
          <cell r="C4565" t="str">
            <v>Operando</v>
          </cell>
        </row>
        <row r="4566">
          <cell r="B4566" t="str">
            <v>SGH6H62</v>
          </cell>
          <cell r="C4566" t="str">
            <v>Operando</v>
          </cell>
        </row>
        <row r="4567">
          <cell r="B4567" t="str">
            <v>SGH6H63</v>
          </cell>
          <cell r="C4567" t="str">
            <v>Operando</v>
          </cell>
        </row>
        <row r="4568">
          <cell r="B4568" t="str">
            <v>SGH6H64</v>
          </cell>
          <cell r="C4568" t="str">
            <v> </v>
          </cell>
        </row>
        <row r="4569">
          <cell r="B4569" t="str">
            <v>SGH6H65</v>
          </cell>
          <cell r="C4569" t="str">
            <v>Operando</v>
          </cell>
        </row>
        <row r="4570">
          <cell r="B4570" t="str">
            <v>SGH6H66</v>
          </cell>
          <cell r="C4570" t="str">
            <v>Operando</v>
          </cell>
        </row>
        <row r="4571">
          <cell r="B4571" t="str">
            <v>SGH6H67</v>
          </cell>
          <cell r="C4571" t="str">
            <v>Carregado</v>
          </cell>
        </row>
        <row r="4572">
          <cell r="B4572" t="str">
            <v>SGH6H68</v>
          </cell>
          <cell r="C4572" t="str">
            <v>Operando</v>
          </cell>
        </row>
        <row r="4573">
          <cell r="B4573" t="str">
            <v>SGH6H69</v>
          </cell>
          <cell r="C4573" t="str">
            <v>Operando</v>
          </cell>
        </row>
        <row r="4574">
          <cell r="B4574" t="str">
            <v>SGH6H70</v>
          </cell>
          <cell r="C4574" t="str">
            <v> </v>
          </cell>
        </row>
        <row r="4575">
          <cell r="B4575" t="str">
            <v>SGH6H72</v>
          </cell>
          <cell r="C4575" t="str">
            <v>Operando</v>
          </cell>
        </row>
        <row r="4576">
          <cell r="B4576" t="str">
            <v>SGH6H73</v>
          </cell>
          <cell r="C4576" t="str">
            <v>Operando</v>
          </cell>
        </row>
        <row r="4577">
          <cell r="B4577" t="str">
            <v>SGH6H74</v>
          </cell>
          <cell r="C4577" t="str">
            <v>Carregado</v>
          </cell>
        </row>
        <row r="4578">
          <cell r="B4578" t="str">
            <v>SGH6H75</v>
          </cell>
          <cell r="C4578" t="str">
            <v>Operando</v>
          </cell>
        </row>
        <row r="4579">
          <cell r="B4579" t="str">
            <v>SGH6H76</v>
          </cell>
          <cell r="C4579" t="str">
            <v>Operando</v>
          </cell>
        </row>
        <row r="4580">
          <cell r="B4580" t="str">
            <v>SGH6H77</v>
          </cell>
          <cell r="C4580" t="str">
            <v>Operando</v>
          </cell>
        </row>
        <row r="4581">
          <cell r="B4581" t="str">
            <v>SGH6H78</v>
          </cell>
          <cell r="C4581" t="str">
            <v>Manutenção</v>
          </cell>
        </row>
        <row r="4582">
          <cell r="B4582" t="str">
            <v>SGH7C09</v>
          </cell>
          <cell r="C4582" t="str">
            <v>Operando</v>
          </cell>
        </row>
        <row r="4583">
          <cell r="B4583" t="str">
            <v>SGH7F79</v>
          </cell>
          <cell r="C4583" t="str">
            <v>Operando</v>
          </cell>
        </row>
        <row r="4584">
          <cell r="B4584" t="str">
            <v>SGH7G94</v>
          </cell>
          <cell r="C4584" t="str">
            <v>Manutenção</v>
          </cell>
        </row>
        <row r="4585">
          <cell r="B4585" t="str">
            <v>SGH7I14</v>
          </cell>
          <cell r="C4585" t="str">
            <v>Operando</v>
          </cell>
        </row>
        <row r="4586">
          <cell r="B4586" t="str">
            <v>SGH7I25</v>
          </cell>
          <cell r="C4586" t="str">
            <v>Operando</v>
          </cell>
        </row>
        <row r="4587">
          <cell r="B4587" t="str">
            <v>SGH7J22</v>
          </cell>
          <cell r="C4587" t="str">
            <v>Manutenção</v>
          </cell>
        </row>
        <row r="4588">
          <cell r="B4588" t="str">
            <v>SGH7J24</v>
          </cell>
          <cell r="C4588" t="str">
            <v>Operando</v>
          </cell>
        </row>
        <row r="4589">
          <cell r="B4589" t="str">
            <v>SGH7J32</v>
          </cell>
          <cell r="C4589" t="str">
            <v>Operando</v>
          </cell>
        </row>
        <row r="4590">
          <cell r="B4590" t="str">
            <v>SGH7J35</v>
          </cell>
          <cell r="C4590" t="str">
            <v>Operando</v>
          </cell>
        </row>
        <row r="4591">
          <cell r="B4591" t="str">
            <v>SGH7J38</v>
          </cell>
          <cell r="C4591" t="str">
            <v>Manutenção</v>
          </cell>
        </row>
        <row r="4592">
          <cell r="B4592" t="str">
            <v>SGH7J44</v>
          </cell>
          <cell r="C4592" t="str">
            <v>Operando</v>
          </cell>
        </row>
        <row r="4593">
          <cell r="B4593" t="str">
            <v>SGH8A75</v>
          </cell>
          <cell r="C4593" t="str">
            <v>Operando</v>
          </cell>
        </row>
        <row r="4594">
          <cell r="B4594" t="str">
            <v>SGH8A87</v>
          </cell>
          <cell r="C4594" t="str">
            <v>Operando</v>
          </cell>
        </row>
        <row r="4595">
          <cell r="B4595" t="str">
            <v>SGH8A89</v>
          </cell>
          <cell r="C4595" t="str">
            <v>Operando</v>
          </cell>
        </row>
        <row r="4596">
          <cell r="B4596" t="str">
            <v>SGH8A94</v>
          </cell>
          <cell r="C4596" t="str">
            <v>Operando</v>
          </cell>
        </row>
        <row r="4597">
          <cell r="B4597" t="str">
            <v>SGH8B06</v>
          </cell>
          <cell r="C4597" t="str">
            <v>Operando</v>
          </cell>
        </row>
        <row r="4598">
          <cell r="B4598" t="str">
            <v>SGH8B51</v>
          </cell>
          <cell r="C4598" t="str">
            <v>Operando</v>
          </cell>
        </row>
        <row r="4599">
          <cell r="B4599" t="str">
            <v>SGH8B55</v>
          </cell>
          <cell r="C4599" t="str">
            <v>Operando</v>
          </cell>
        </row>
        <row r="4600">
          <cell r="B4600" t="str">
            <v>SGH8C14</v>
          </cell>
          <cell r="C4600" t="str">
            <v> </v>
          </cell>
        </row>
        <row r="4601">
          <cell r="B4601" t="str">
            <v>SGH8C18</v>
          </cell>
          <cell r="C4601" t="str">
            <v>Operando</v>
          </cell>
        </row>
        <row r="4602">
          <cell r="B4602" t="str">
            <v>SGH8C19</v>
          </cell>
          <cell r="C4602" t="str">
            <v>Operando</v>
          </cell>
        </row>
        <row r="4603">
          <cell r="B4603" t="str">
            <v>SGH8C20</v>
          </cell>
          <cell r="C4603" t="str">
            <v>Operando</v>
          </cell>
        </row>
        <row r="4604">
          <cell r="B4604" t="str">
            <v>SGH8C21</v>
          </cell>
          <cell r="C4604" t="str">
            <v>Manutenção</v>
          </cell>
        </row>
        <row r="4605">
          <cell r="B4605" t="str">
            <v>SGH8C22</v>
          </cell>
          <cell r="C4605" t="str">
            <v>Operando</v>
          </cell>
        </row>
        <row r="4606">
          <cell r="B4606" t="str">
            <v>SGH8C23</v>
          </cell>
          <cell r="C4606" t="str">
            <v>Operando</v>
          </cell>
        </row>
        <row r="4607">
          <cell r="B4607" t="str">
            <v>SGH8C28</v>
          </cell>
          <cell r="C4607" t="str">
            <v>Operando</v>
          </cell>
        </row>
        <row r="4608">
          <cell r="B4608" t="str">
            <v>SGH8C30</v>
          </cell>
          <cell r="C4608" t="str">
            <v>Operando</v>
          </cell>
        </row>
        <row r="4609">
          <cell r="B4609" t="str">
            <v>SGH8C31</v>
          </cell>
          <cell r="C4609" t="str">
            <v>Operando</v>
          </cell>
        </row>
        <row r="4610">
          <cell r="B4610" t="str">
            <v>SGH8C32</v>
          </cell>
          <cell r="C4610" t="str">
            <v>Operando</v>
          </cell>
        </row>
        <row r="4611">
          <cell r="B4611" t="str">
            <v>SGH8C33</v>
          </cell>
          <cell r="C4611" t="str">
            <v>Manutenção</v>
          </cell>
        </row>
        <row r="4612">
          <cell r="B4612" t="str">
            <v>SGH8C34</v>
          </cell>
          <cell r="C4612" t="str">
            <v>Manutenção</v>
          </cell>
        </row>
        <row r="4613">
          <cell r="B4613" t="str">
            <v>SGH8C35</v>
          </cell>
          <cell r="C4613" t="str">
            <v>Operando</v>
          </cell>
        </row>
        <row r="4614">
          <cell r="B4614" t="str">
            <v>SGH8C36</v>
          </cell>
          <cell r="C4614" t="str">
            <v>Manutenção</v>
          </cell>
        </row>
        <row r="4615">
          <cell r="B4615" t="str">
            <v>SGH8C37</v>
          </cell>
          <cell r="C4615" t="str">
            <v>Operando</v>
          </cell>
        </row>
        <row r="4616">
          <cell r="B4616" t="str">
            <v>SGH8C38</v>
          </cell>
          <cell r="C4616" t="str">
            <v>Operando</v>
          </cell>
        </row>
        <row r="4617">
          <cell r="B4617" t="str">
            <v>SGH8C39</v>
          </cell>
          <cell r="C4617" t="str">
            <v>Operando</v>
          </cell>
        </row>
        <row r="4618">
          <cell r="B4618" t="str">
            <v>SGH8C40</v>
          </cell>
          <cell r="C4618" t="str">
            <v>Manutenção</v>
          </cell>
        </row>
        <row r="4619">
          <cell r="B4619" t="str">
            <v>SGH8C41</v>
          </cell>
          <cell r="C4619" t="str">
            <v>Operando</v>
          </cell>
        </row>
        <row r="4620">
          <cell r="B4620" t="str">
            <v>SGH8C42</v>
          </cell>
          <cell r="C4620" t="str">
            <v>Operando</v>
          </cell>
        </row>
        <row r="4621">
          <cell r="B4621" t="str">
            <v>SGH8C43</v>
          </cell>
          <cell r="C4621" t="str">
            <v>Operando</v>
          </cell>
        </row>
        <row r="4622">
          <cell r="B4622" t="str">
            <v>SGH8C44</v>
          </cell>
          <cell r="C4622" t="str">
            <v>Manutenção</v>
          </cell>
        </row>
        <row r="4623">
          <cell r="B4623" t="str">
            <v>SGH8C45</v>
          </cell>
          <cell r="C4623" t="str">
            <v>Operando</v>
          </cell>
        </row>
        <row r="4624">
          <cell r="B4624" t="str">
            <v>SGH8C46</v>
          </cell>
          <cell r="C4624" t="str">
            <v> </v>
          </cell>
        </row>
        <row r="4625">
          <cell r="B4625" t="str">
            <v>SGH8H44</v>
          </cell>
          <cell r="C4625" t="str">
            <v> </v>
          </cell>
        </row>
        <row r="4626">
          <cell r="B4626" t="str">
            <v>SGH8H45</v>
          </cell>
          <cell r="C4626" t="str">
            <v>Operando</v>
          </cell>
        </row>
        <row r="4627">
          <cell r="B4627" t="str">
            <v>SGH8H46</v>
          </cell>
          <cell r="C4627" t="str">
            <v>Operando</v>
          </cell>
        </row>
        <row r="4628">
          <cell r="B4628" t="str">
            <v>SGH8H47</v>
          </cell>
          <cell r="C4628" t="str">
            <v>Operando</v>
          </cell>
        </row>
        <row r="4629">
          <cell r="B4629" t="str">
            <v>SGH8H48</v>
          </cell>
          <cell r="C4629" t="str">
            <v>Operando</v>
          </cell>
        </row>
        <row r="4630">
          <cell r="B4630" t="str">
            <v>SGH8H50</v>
          </cell>
          <cell r="C4630" t="str">
            <v>Operando</v>
          </cell>
        </row>
        <row r="4631">
          <cell r="B4631" t="str">
            <v>SGH8H51</v>
          </cell>
          <cell r="C4631" t="str">
            <v>Operando</v>
          </cell>
        </row>
        <row r="4632">
          <cell r="B4632" t="str">
            <v>SGH8H52</v>
          </cell>
          <cell r="C4632" t="str">
            <v>Manutenção</v>
          </cell>
        </row>
        <row r="4633">
          <cell r="B4633" t="str">
            <v>SGH8H53</v>
          </cell>
          <cell r="C4633" t="str">
            <v>Operando</v>
          </cell>
        </row>
        <row r="4634">
          <cell r="B4634" t="str">
            <v>SGH8H54</v>
          </cell>
          <cell r="C4634" t="str">
            <v> </v>
          </cell>
        </row>
        <row r="4635">
          <cell r="B4635" t="str">
            <v>SGH8H55</v>
          </cell>
          <cell r="C4635" t="str">
            <v> </v>
          </cell>
        </row>
        <row r="4636">
          <cell r="B4636" t="str">
            <v>SGH8H56</v>
          </cell>
          <cell r="C4636" t="str">
            <v>Manutenção</v>
          </cell>
        </row>
        <row r="4637">
          <cell r="B4637" t="str">
            <v>SGH8H60</v>
          </cell>
          <cell r="C4637" t="str">
            <v>Manutenção</v>
          </cell>
        </row>
        <row r="4638">
          <cell r="B4638" t="str">
            <v>SGH8H61</v>
          </cell>
          <cell r="C4638" t="str">
            <v>Operando</v>
          </cell>
        </row>
        <row r="4639">
          <cell r="B4639" t="str">
            <v>SGH9G33</v>
          </cell>
          <cell r="C4639" t="str">
            <v>Manutenção</v>
          </cell>
        </row>
        <row r="4640">
          <cell r="B4640" t="str">
            <v>SGI0G81</v>
          </cell>
          <cell r="C4640" t="str">
            <v> </v>
          </cell>
        </row>
        <row r="4641">
          <cell r="B4641" t="str">
            <v>SGI8G13</v>
          </cell>
          <cell r="C4641" t="str">
            <v>Operando</v>
          </cell>
        </row>
        <row r="4642">
          <cell r="B4642" t="str">
            <v>SGI8G54</v>
          </cell>
          <cell r="C4642" t="str">
            <v>Operando</v>
          </cell>
        </row>
        <row r="4643">
          <cell r="B4643" t="str">
            <v>SGI8G86</v>
          </cell>
          <cell r="C4643" t="str">
            <v>Operando</v>
          </cell>
        </row>
        <row r="4644">
          <cell r="B4644" t="str">
            <v>SGI8G92</v>
          </cell>
          <cell r="C4644" t="str">
            <v>Operando</v>
          </cell>
        </row>
        <row r="4645">
          <cell r="B4645" t="str">
            <v>SGI8G98</v>
          </cell>
          <cell r="C4645" t="str">
            <v>Operando</v>
          </cell>
        </row>
        <row r="4646">
          <cell r="B4646" t="str">
            <v>SGI8H00</v>
          </cell>
          <cell r="C4646" t="str">
            <v>Operando</v>
          </cell>
        </row>
        <row r="4647">
          <cell r="B4647" t="str">
            <v>SGI8H03</v>
          </cell>
          <cell r="C4647" t="str">
            <v>Operando</v>
          </cell>
        </row>
        <row r="4648">
          <cell r="B4648" t="str">
            <v>SGI8H09</v>
          </cell>
          <cell r="C4648" t="str">
            <v>Manutenção</v>
          </cell>
        </row>
        <row r="4649">
          <cell r="B4649" t="str">
            <v>SGI8H12</v>
          </cell>
          <cell r="C4649" t="str">
            <v>Operando</v>
          </cell>
        </row>
        <row r="4650">
          <cell r="B4650" t="str">
            <v>SGI8H16</v>
          </cell>
          <cell r="C4650" t="str">
            <v>Operando</v>
          </cell>
        </row>
        <row r="4651">
          <cell r="B4651" t="str">
            <v>SGI8H18</v>
          </cell>
          <cell r="C4651" t="str">
            <v>Operando</v>
          </cell>
        </row>
        <row r="4652">
          <cell r="B4652" t="str">
            <v>SGI8H20</v>
          </cell>
          <cell r="C4652" t="str">
            <v>Operando</v>
          </cell>
        </row>
        <row r="4653">
          <cell r="B4653" t="str">
            <v>SGI8H31</v>
          </cell>
          <cell r="C4653" t="str">
            <v> </v>
          </cell>
        </row>
        <row r="4654">
          <cell r="B4654" t="str">
            <v>SGI8H35</v>
          </cell>
          <cell r="C4654" t="str">
            <v>Operando</v>
          </cell>
        </row>
        <row r="4655">
          <cell r="B4655" t="str">
            <v>SGI8H40</v>
          </cell>
          <cell r="C4655" t="str">
            <v>Operando</v>
          </cell>
        </row>
        <row r="4656">
          <cell r="B4656" t="str">
            <v>SGI8H51</v>
          </cell>
          <cell r="C4656" t="str">
            <v> </v>
          </cell>
        </row>
        <row r="4657">
          <cell r="B4657" t="str">
            <v>SGI8H55</v>
          </cell>
          <cell r="C4657" t="str">
            <v>Operando</v>
          </cell>
        </row>
        <row r="4658">
          <cell r="B4658" t="str">
            <v>SGI8H59</v>
          </cell>
          <cell r="C4658" t="str">
            <v>Falta Motorista</v>
          </cell>
        </row>
        <row r="4659">
          <cell r="B4659" t="str">
            <v>SGI8H63</v>
          </cell>
          <cell r="C4659" t="str">
            <v>Operando</v>
          </cell>
        </row>
        <row r="4660">
          <cell r="B4660" t="str">
            <v>SGI8H70</v>
          </cell>
          <cell r="C4660" t="str">
            <v> </v>
          </cell>
        </row>
        <row r="4661">
          <cell r="B4661" t="str">
            <v>SGI8H73</v>
          </cell>
          <cell r="C4661" t="str">
            <v>Operando</v>
          </cell>
        </row>
        <row r="4662">
          <cell r="B4662" t="str">
            <v>SGI8H76</v>
          </cell>
          <cell r="C4662" t="str">
            <v>Operando</v>
          </cell>
        </row>
        <row r="4663">
          <cell r="B4663" t="str">
            <v>SGI8H80</v>
          </cell>
          <cell r="C4663" t="str">
            <v>Operando</v>
          </cell>
        </row>
        <row r="4664">
          <cell r="B4664" t="str">
            <v>SGI8H83</v>
          </cell>
          <cell r="C4664" t="str">
            <v>Carregado</v>
          </cell>
        </row>
        <row r="4665">
          <cell r="B4665" t="str">
            <v>SGI8H89</v>
          </cell>
          <cell r="C4665" t="str">
            <v>Operando</v>
          </cell>
        </row>
        <row r="4666">
          <cell r="B4666" t="str">
            <v>SGI8H94</v>
          </cell>
          <cell r="C4666" t="str">
            <v>Operando</v>
          </cell>
        </row>
        <row r="4667">
          <cell r="B4667" t="str">
            <v>SGI8I01</v>
          </cell>
          <cell r="C4667" t="str">
            <v>Operando</v>
          </cell>
        </row>
        <row r="4668">
          <cell r="B4668" t="str">
            <v>SGI8I06</v>
          </cell>
          <cell r="C4668" t="str">
            <v> </v>
          </cell>
        </row>
        <row r="4669">
          <cell r="B4669" t="str">
            <v>SGI8I12</v>
          </cell>
          <cell r="C4669" t="str">
            <v>Operando</v>
          </cell>
        </row>
        <row r="4670">
          <cell r="B4670" t="str">
            <v>SGI8I17</v>
          </cell>
          <cell r="C4670" t="str">
            <v>Operando</v>
          </cell>
        </row>
        <row r="4671">
          <cell r="B4671" t="str">
            <v>SGI8I22</v>
          </cell>
          <cell r="C4671" t="str">
            <v>Manutenção</v>
          </cell>
        </row>
        <row r="4672">
          <cell r="B4672" t="str">
            <v>SGI8I24</v>
          </cell>
          <cell r="C4672" t="str">
            <v>Operando</v>
          </cell>
        </row>
        <row r="4673">
          <cell r="B4673" t="str">
            <v>SGI8I28</v>
          </cell>
          <cell r="C4673" t="str">
            <v>Operando</v>
          </cell>
        </row>
        <row r="4674">
          <cell r="B4674" t="str">
            <v>SGI8I32</v>
          </cell>
          <cell r="C4674" t="str">
            <v>Operando</v>
          </cell>
        </row>
        <row r="4675">
          <cell r="B4675" t="str">
            <v>SGI8I36</v>
          </cell>
          <cell r="C4675" t="str">
            <v>Operando</v>
          </cell>
        </row>
        <row r="4676">
          <cell r="B4676" t="str">
            <v>SGI8I40</v>
          </cell>
          <cell r="C4676" t="str">
            <v>Operando</v>
          </cell>
        </row>
        <row r="4677">
          <cell r="B4677" t="str">
            <v>SGI8I41</v>
          </cell>
          <cell r="C4677" t="str">
            <v>Operando</v>
          </cell>
        </row>
        <row r="4678">
          <cell r="B4678" t="str">
            <v>SGI8I42</v>
          </cell>
          <cell r="C4678" t="str">
            <v>Operando</v>
          </cell>
        </row>
        <row r="4679">
          <cell r="B4679" t="str">
            <v>SGI8I46</v>
          </cell>
          <cell r="C4679" t="str">
            <v>Operando</v>
          </cell>
        </row>
        <row r="4680">
          <cell r="B4680" t="str">
            <v>SGI8I48</v>
          </cell>
          <cell r="C4680" t="str">
            <v> </v>
          </cell>
        </row>
        <row r="4681">
          <cell r="B4681" t="str">
            <v>SGI8I50</v>
          </cell>
          <cell r="C4681" t="str">
            <v>Operando</v>
          </cell>
        </row>
        <row r="4682">
          <cell r="B4682" t="str">
            <v>SGI8I67</v>
          </cell>
          <cell r="C4682" t="str">
            <v>Operando</v>
          </cell>
        </row>
        <row r="4683">
          <cell r="B4683" t="str">
            <v>SGI8I70</v>
          </cell>
          <cell r="C4683" t="str">
            <v>Operando</v>
          </cell>
        </row>
        <row r="4684">
          <cell r="B4684" t="str">
            <v>SGI8I73</v>
          </cell>
          <cell r="C4684" t="str">
            <v>Operando</v>
          </cell>
        </row>
        <row r="4685">
          <cell r="B4685" t="str">
            <v>SGI8I75</v>
          </cell>
          <cell r="C4685" t="str">
            <v>Operando</v>
          </cell>
        </row>
        <row r="4686">
          <cell r="B4686" t="str">
            <v>SGI8I77</v>
          </cell>
          <cell r="C4686" t="str">
            <v>Operando</v>
          </cell>
        </row>
        <row r="4687">
          <cell r="B4687" t="str">
            <v>SGI8I82</v>
          </cell>
          <cell r="C4687" t="str">
            <v>Operando</v>
          </cell>
        </row>
        <row r="4688">
          <cell r="B4688" t="str">
            <v>SGI8I85</v>
          </cell>
          <cell r="C4688" t="str">
            <v>Operando</v>
          </cell>
        </row>
        <row r="4689">
          <cell r="B4689" t="str">
            <v>SGI8I95</v>
          </cell>
          <cell r="C4689" t="str">
            <v>Operando</v>
          </cell>
        </row>
        <row r="4690">
          <cell r="B4690" t="str">
            <v>SGI8I96</v>
          </cell>
          <cell r="C4690" t="str">
            <v>Operando</v>
          </cell>
        </row>
        <row r="4691">
          <cell r="B4691" t="str">
            <v>SGI8I99</v>
          </cell>
          <cell r="C4691" t="str">
            <v> </v>
          </cell>
        </row>
        <row r="4692">
          <cell r="B4692" t="str">
            <v>SGI8J01</v>
          </cell>
          <cell r="C4692" t="str">
            <v>Manutenção</v>
          </cell>
        </row>
        <row r="4693">
          <cell r="B4693" t="str">
            <v>SGI8J03</v>
          </cell>
          <cell r="C4693" t="str">
            <v>Operando</v>
          </cell>
        </row>
        <row r="4694">
          <cell r="B4694" t="str">
            <v>SGI8J06</v>
          </cell>
          <cell r="C4694" t="str">
            <v>Manutenção</v>
          </cell>
        </row>
        <row r="4695">
          <cell r="B4695" t="str">
            <v>SGI8J07</v>
          </cell>
          <cell r="C4695" t="str">
            <v>Operando</v>
          </cell>
        </row>
        <row r="4696">
          <cell r="B4696" t="str">
            <v>SGI8J10</v>
          </cell>
          <cell r="C4696" t="str">
            <v>Operando</v>
          </cell>
        </row>
        <row r="4697">
          <cell r="B4697" t="str">
            <v>SGI8J17</v>
          </cell>
          <cell r="C4697" t="str">
            <v>Operando</v>
          </cell>
        </row>
        <row r="4698">
          <cell r="B4698" t="str">
            <v>SGI8J20</v>
          </cell>
          <cell r="C4698" t="str">
            <v>Operando</v>
          </cell>
        </row>
        <row r="4699">
          <cell r="B4699" t="str">
            <v>SGI8J26</v>
          </cell>
          <cell r="C4699" t="str">
            <v>Operando</v>
          </cell>
        </row>
        <row r="4700">
          <cell r="B4700" t="str">
            <v>SGI8J29</v>
          </cell>
          <cell r="C4700" t="str">
            <v>Manutenção</v>
          </cell>
        </row>
        <row r="4701">
          <cell r="B4701" t="str">
            <v>SGI8J30</v>
          </cell>
          <cell r="C4701" t="str">
            <v>Operando</v>
          </cell>
        </row>
        <row r="4702">
          <cell r="B4702" t="str">
            <v>SGI8J33</v>
          </cell>
          <cell r="C4702" t="str">
            <v>Operando</v>
          </cell>
        </row>
        <row r="4703">
          <cell r="B4703" t="str">
            <v>SGI8J35</v>
          </cell>
          <cell r="C4703" t="str">
            <v>Operando</v>
          </cell>
        </row>
        <row r="4704">
          <cell r="B4704" t="str">
            <v>SGI8J37</v>
          </cell>
          <cell r="C4704" t="str">
            <v>Operando</v>
          </cell>
        </row>
        <row r="4705">
          <cell r="B4705" t="str">
            <v>SGI8J40</v>
          </cell>
          <cell r="C4705" t="str">
            <v>Operando</v>
          </cell>
        </row>
        <row r="4706">
          <cell r="B4706" t="str">
            <v>SGI8J44</v>
          </cell>
          <cell r="C4706" t="str">
            <v>Manutenção</v>
          </cell>
        </row>
        <row r="4707">
          <cell r="B4707" t="str">
            <v>SGI8J51</v>
          </cell>
          <cell r="C4707" t="str">
            <v>Operando</v>
          </cell>
        </row>
        <row r="4708">
          <cell r="B4708" t="str">
            <v>SGI8J52</v>
          </cell>
          <cell r="C4708" t="str">
            <v> </v>
          </cell>
        </row>
        <row r="4709">
          <cell r="B4709" t="str">
            <v>SGI8J55</v>
          </cell>
          <cell r="C4709" t="str">
            <v>Operando</v>
          </cell>
        </row>
        <row r="4710">
          <cell r="B4710" t="str">
            <v>SGI8J57</v>
          </cell>
          <cell r="C4710" t="str">
            <v> </v>
          </cell>
        </row>
        <row r="4711">
          <cell r="B4711" t="str">
            <v>SGI8J58</v>
          </cell>
          <cell r="C4711" t="str">
            <v> </v>
          </cell>
        </row>
        <row r="4712">
          <cell r="B4712" t="str">
            <v>SGI8J62</v>
          </cell>
          <cell r="C4712" t="str">
            <v>Operando</v>
          </cell>
        </row>
        <row r="4713">
          <cell r="B4713" t="str">
            <v>SGI8J64</v>
          </cell>
          <cell r="C4713" t="str">
            <v>Operando</v>
          </cell>
        </row>
        <row r="4714">
          <cell r="B4714" t="str">
            <v>SGI8J67</v>
          </cell>
          <cell r="C4714" t="str">
            <v>Operando</v>
          </cell>
        </row>
        <row r="4715">
          <cell r="B4715" t="str">
            <v>SGI8J69</v>
          </cell>
          <cell r="C4715" t="str">
            <v>Manutenção</v>
          </cell>
        </row>
        <row r="4716">
          <cell r="B4716" t="str">
            <v>SGI8J72</v>
          </cell>
          <cell r="C4716" t="str">
            <v> </v>
          </cell>
        </row>
        <row r="4717">
          <cell r="B4717" t="str">
            <v>SGI8J75</v>
          </cell>
          <cell r="C4717" t="str">
            <v>Operando</v>
          </cell>
        </row>
        <row r="4718">
          <cell r="B4718" t="str">
            <v>SGI8J77</v>
          </cell>
          <cell r="C4718" t="str">
            <v>Operando</v>
          </cell>
        </row>
        <row r="4719">
          <cell r="B4719" t="str">
            <v>SGI8J80</v>
          </cell>
          <cell r="C4719" t="str">
            <v>Operando</v>
          </cell>
        </row>
        <row r="4720">
          <cell r="B4720" t="str">
            <v>SGI8J84</v>
          </cell>
          <cell r="C4720" t="str">
            <v>Operando</v>
          </cell>
        </row>
        <row r="4721">
          <cell r="B4721" t="str">
            <v>SGI8J87</v>
          </cell>
          <cell r="C4721" t="str">
            <v> </v>
          </cell>
        </row>
        <row r="4722">
          <cell r="B4722" t="str">
            <v>SGI8J88</v>
          </cell>
          <cell r="C4722" t="str">
            <v>Operando</v>
          </cell>
        </row>
        <row r="4723">
          <cell r="B4723" t="str">
            <v>SGI8J90</v>
          </cell>
          <cell r="C4723" t="str">
            <v>Manutenção</v>
          </cell>
        </row>
        <row r="4724">
          <cell r="B4724" t="str">
            <v>SGI8J92</v>
          </cell>
          <cell r="C4724" t="str">
            <v>Operando</v>
          </cell>
        </row>
        <row r="4725">
          <cell r="B4725" t="str">
            <v>SGI8J93</v>
          </cell>
          <cell r="C4725" t="str">
            <v>Operando</v>
          </cell>
        </row>
        <row r="4726">
          <cell r="B4726" t="str">
            <v>SGI8J95</v>
          </cell>
          <cell r="C4726" t="str">
            <v>Operando</v>
          </cell>
        </row>
        <row r="4727">
          <cell r="B4727" t="str">
            <v>SGI8J96</v>
          </cell>
          <cell r="C4727" t="str">
            <v> </v>
          </cell>
        </row>
        <row r="4728">
          <cell r="B4728" t="str">
            <v>SGI8J99</v>
          </cell>
          <cell r="C4728" t="str">
            <v>Operando</v>
          </cell>
        </row>
        <row r="4729">
          <cell r="B4729" t="str">
            <v>SGI9A01</v>
          </cell>
          <cell r="C4729" t="str">
            <v>Operando</v>
          </cell>
        </row>
        <row r="4730">
          <cell r="B4730" t="str">
            <v>SGI9A03</v>
          </cell>
          <cell r="C4730" t="str">
            <v> </v>
          </cell>
        </row>
        <row r="4731">
          <cell r="B4731" t="str">
            <v>SGI9A06</v>
          </cell>
          <cell r="C4731" t="str">
            <v>Operando</v>
          </cell>
        </row>
        <row r="4732">
          <cell r="B4732" t="str">
            <v>SGI9A10</v>
          </cell>
          <cell r="C4732" t="str">
            <v>Operando</v>
          </cell>
        </row>
        <row r="4733">
          <cell r="B4733" t="str">
            <v>SGJ8F54</v>
          </cell>
          <cell r="C4733" t="str">
            <v>Operando</v>
          </cell>
        </row>
        <row r="4734">
          <cell r="B4734" t="str">
            <v>SGJ8F55</v>
          </cell>
          <cell r="C4734" t="str">
            <v>Operando</v>
          </cell>
        </row>
        <row r="4735">
          <cell r="B4735" t="str">
            <v>SGK7A66</v>
          </cell>
          <cell r="C4735" t="str">
            <v>Manutenção</v>
          </cell>
        </row>
        <row r="4736">
          <cell r="B4736" t="str">
            <v>SGK7B80</v>
          </cell>
          <cell r="C4736" t="str">
            <v>Operando</v>
          </cell>
        </row>
        <row r="4737">
          <cell r="B4737" t="str">
            <v>SGK7D52</v>
          </cell>
          <cell r="C4737" t="str">
            <v>Operando</v>
          </cell>
        </row>
        <row r="4738">
          <cell r="B4738" t="str">
            <v>SGK7D53</v>
          </cell>
          <cell r="C4738" t="str">
            <v>Manutenção</v>
          </cell>
        </row>
        <row r="4739">
          <cell r="B4739" t="str">
            <v>SGK7D62</v>
          </cell>
          <cell r="C4739" t="str">
            <v>Manutenção</v>
          </cell>
        </row>
        <row r="4740">
          <cell r="B4740" t="str">
            <v>SGK7D65</v>
          </cell>
          <cell r="C4740" t="str">
            <v> </v>
          </cell>
        </row>
        <row r="4741">
          <cell r="B4741" t="str">
            <v>SGK7D74</v>
          </cell>
          <cell r="C4741" t="str">
            <v> </v>
          </cell>
        </row>
        <row r="4742">
          <cell r="B4742" t="str">
            <v>SGK7D77</v>
          </cell>
          <cell r="C4742" t="str">
            <v>Operando</v>
          </cell>
        </row>
        <row r="4743">
          <cell r="B4743" t="str">
            <v>SGK7D80</v>
          </cell>
          <cell r="C4743" t="str">
            <v>Operando</v>
          </cell>
        </row>
        <row r="4744">
          <cell r="B4744" t="str">
            <v>SGK7D83</v>
          </cell>
          <cell r="C4744" t="str">
            <v>Manutenção</v>
          </cell>
        </row>
        <row r="4745">
          <cell r="B4745" t="str">
            <v>SGK7D85</v>
          </cell>
          <cell r="C4745" t="str">
            <v>Operando</v>
          </cell>
        </row>
        <row r="4746">
          <cell r="B4746" t="str">
            <v>SGK7D88</v>
          </cell>
          <cell r="C4746" t="str">
            <v>Operando</v>
          </cell>
        </row>
        <row r="4747">
          <cell r="B4747" t="str">
            <v>SGK7D92</v>
          </cell>
          <cell r="C4747" t="str">
            <v>Operando</v>
          </cell>
        </row>
        <row r="4748">
          <cell r="B4748" t="str">
            <v>SGK7D94</v>
          </cell>
          <cell r="C4748" t="str">
            <v>Operando</v>
          </cell>
        </row>
        <row r="4749">
          <cell r="B4749" t="str">
            <v>SGK7E01</v>
          </cell>
          <cell r="C4749" t="str">
            <v>Manutenção</v>
          </cell>
        </row>
        <row r="4750">
          <cell r="B4750" t="str">
            <v>SGK7E11</v>
          </cell>
          <cell r="C4750" t="str">
            <v>Operando</v>
          </cell>
        </row>
        <row r="4751">
          <cell r="B4751" t="str">
            <v>SGK7E17</v>
          </cell>
          <cell r="C4751" t="str">
            <v>Operando</v>
          </cell>
        </row>
        <row r="4752">
          <cell r="B4752" t="str">
            <v>SGK7E21</v>
          </cell>
          <cell r="C4752" t="str">
            <v>Manutenção</v>
          </cell>
        </row>
        <row r="4753">
          <cell r="B4753" t="str">
            <v>SGK7E24</v>
          </cell>
          <cell r="C4753" t="str">
            <v>Falta Motorista</v>
          </cell>
        </row>
        <row r="4754">
          <cell r="B4754" t="str">
            <v>SGK7E30</v>
          </cell>
          <cell r="C4754" t="str">
            <v>Operando</v>
          </cell>
        </row>
        <row r="4755">
          <cell r="B4755" t="str">
            <v>SGK7E38</v>
          </cell>
          <cell r="C4755" t="str">
            <v>Operando</v>
          </cell>
        </row>
        <row r="4756">
          <cell r="B4756" t="str">
            <v>SGL1H87</v>
          </cell>
          <cell r="C4756" t="str">
            <v>Operando</v>
          </cell>
        </row>
        <row r="4757">
          <cell r="B4757" t="str">
            <v>SGL1I25</v>
          </cell>
          <cell r="C4757" t="str">
            <v> </v>
          </cell>
        </row>
        <row r="4758">
          <cell r="B4758" t="str">
            <v>SGL1I56</v>
          </cell>
          <cell r="C4758" t="str">
            <v>Carregado</v>
          </cell>
        </row>
        <row r="4759">
          <cell r="B4759" t="str">
            <v>SGL1I61</v>
          </cell>
          <cell r="C4759" t="str">
            <v>Operando</v>
          </cell>
        </row>
        <row r="4760">
          <cell r="B4760" t="str">
            <v>SGL1J04</v>
          </cell>
          <cell r="C4760" t="str">
            <v>Operando</v>
          </cell>
        </row>
        <row r="4761">
          <cell r="B4761" t="str">
            <v>SGL1J06</v>
          </cell>
          <cell r="C4761" t="str">
            <v>Operando</v>
          </cell>
        </row>
        <row r="4762">
          <cell r="B4762" t="str">
            <v>SGL1J08</v>
          </cell>
          <cell r="C4762" t="str">
            <v> </v>
          </cell>
        </row>
        <row r="4763">
          <cell r="B4763" t="str">
            <v>SGL1J11</v>
          </cell>
          <cell r="C4763" t="str">
            <v>Carregado</v>
          </cell>
        </row>
        <row r="4764">
          <cell r="B4764" t="str">
            <v>SGL1J13</v>
          </cell>
          <cell r="C4764" t="str">
            <v>Operando</v>
          </cell>
        </row>
        <row r="4765">
          <cell r="B4765" t="str">
            <v>SGL1J16</v>
          </cell>
          <cell r="C4765" t="str">
            <v>Operando</v>
          </cell>
        </row>
        <row r="4766">
          <cell r="B4766" t="str">
            <v>SGL1J17</v>
          </cell>
          <cell r="C4766" t="str">
            <v>Operando</v>
          </cell>
        </row>
        <row r="4767">
          <cell r="B4767" t="str">
            <v>SGL1J19</v>
          </cell>
          <cell r="C4767" t="str">
            <v>Operando</v>
          </cell>
        </row>
        <row r="4768">
          <cell r="B4768" t="str">
            <v>SGL2B42</v>
          </cell>
          <cell r="C4768" t="str">
            <v>Operando</v>
          </cell>
        </row>
        <row r="4769">
          <cell r="B4769" t="str">
            <v>SGL2B63</v>
          </cell>
          <cell r="C4769" t="str">
            <v>Operando</v>
          </cell>
        </row>
        <row r="4770">
          <cell r="B4770" t="str">
            <v>SGL2B72</v>
          </cell>
          <cell r="C4770" t="str">
            <v>Carregado</v>
          </cell>
        </row>
        <row r="4771">
          <cell r="B4771" t="str">
            <v>SGL2B79</v>
          </cell>
          <cell r="C4771" t="str">
            <v>Operando</v>
          </cell>
        </row>
        <row r="4772">
          <cell r="B4772" t="str">
            <v>SGL2B84</v>
          </cell>
          <cell r="C4772" t="str">
            <v>Carregado</v>
          </cell>
        </row>
        <row r="4773">
          <cell r="B4773" t="str">
            <v>SGL2B92</v>
          </cell>
          <cell r="C4773" t="str">
            <v>Operando</v>
          </cell>
        </row>
        <row r="4774">
          <cell r="B4774" t="str">
            <v>SGL2C02</v>
          </cell>
          <cell r="C4774" t="str">
            <v>Operando</v>
          </cell>
        </row>
        <row r="4775">
          <cell r="B4775" t="str">
            <v>SGL2C05</v>
          </cell>
          <cell r="C4775" t="str">
            <v>Carregado</v>
          </cell>
        </row>
        <row r="4776">
          <cell r="B4776" t="str">
            <v>SGL2C08</v>
          </cell>
          <cell r="C4776" t="str">
            <v>Operando</v>
          </cell>
        </row>
        <row r="4777">
          <cell r="B4777" t="str">
            <v>SGL2C19</v>
          </cell>
          <cell r="C4777" t="str">
            <v>Operando</v>
          </cell>
        </row>
        <row r="4778">
          <cell r="B4778" t="str">
            <v>SGL2C21</v>
          </cell>
          <cell r="C4778" t="str">
            <v>Carregado</v>
          </cell>
        </row>
        <row r="4779">
          <cell r="B4779" t="str">
            <v>SGL2C26</v>
          </cell>
          <cell r="C4779" t="str">
            <v>Carregado</v>
          </cell>
        </row>
        <row r="4780">
          <cell r="B4780" t="str">
            <v>SGL2C38</v>
          </cell>
          <cell r="C4780" t="str">
            <v>Manutenção</v>
          </cell>
        </row>
        <row r="4781">
          <cell r="B4781" t="str">
            <v>SGL2C56</v>
          </cell>
          <cell r="C4781" t="str">
            <v>Operando</v>
          </cell>
        </row>
        <row r="4782">
          <cell r="B4782" t="str">
            <v>SGL2C62</v>
          </cell>
          <cell r="C4782" t="str">
            <v>Operando</v>
          </cell>
        </row>
        <row r="4783">
          <cell r="B4783" t="str">
            <v>SGL2C65</v>
          </cell>
          <cell r="C4783" t="str">
            <v>Carregado</v>
          </cell>
        </row>
        <row r="4784">
          <cell r="B4784" t="str">
            <v>SGL2C69</v>
          </cell>
          <cell r="C4784" t="str">
            <v>Operando</v>
          </cell>
        </row>
        <row r="4785">
          <cell r="B4785" t="str">
            <v>SGL2C74</v>
          </cell>
          <cell r="C4785" t="str">
            <v>Operando</v>
          </cell>
        </row>
        <row r="4786">
          <cell r="B4786" t="str">
            <v>SGL2C77</v>
          </cell>
          <cell r="C4786" t="str">
            <v>Operando</v>
          </cell>
        </row>
        <row r="4787">
          <cell r="B4787" t="str">
            <v>SGL2C80</v>
          </cell>
          <cell r="C4787" t="str">
            <v> </v>
          </cell>
        </row>
        <row r="4788">
          <cell r="B4788" t="str">
            <v>SGL2C88</v>
          </cell>
          <cell r="C4788" t="str">
            <v>Carregado</v>
          </cell>
        </row>
        <row r="4789">
          <cell r="B4789" t="str">
            <v>SGL2C89</v>
          </cell>
          <cell r="C4789" t="str">
            <v>Carregado</v>
          </cell>
        </row>
        <row r="4790">
          <cell r="B4790" t="str">
            <v>SGL2C94</v>
          </cell>
          <cell r="C4790" t="str">
            <v>Operando</v>
          </cell>
        </row>
        <row r="4791">
          <cell r="B4791" t="str">
            <v>SGL2C95</v>
          </cell>
          <cell r="C4791" t="str">
            <v>Carregado</v>
          </cell>
        </row>
        <row r="4792">
          <cell r="B4792" t="str">
            <v>SGL2D04</v>
          </cell>
          <cell r="C4792" t="str">
            <v>Operando</v>
          </cell>
        </row>
        <row r="4793">
          <cell r="B4793" t="str">
            <v>SGL2D11</v>
          </cell>
          <cell r="C4793" t="str">
            <v>Operando</v>
          </cell>
        </row>
        <row r="4794">
          <cell r="B4794" t="str">
            <v>SGL2D15</v>
          </cell>
          <cell r="C4794" t="str">
            <v>Operando</v>
          </cell>
        </row>
        <row r="4795">
          <cell r="B4795" t="str">
            <v>SGL2D16</v>
          </cell>
          <cell r="C4795" t="str">
            <v>Carregado</v>
          </cell>
        </row>
        <row r="4796">
          <cell r="B4796" t="str">
            <v>SGL2D19</v>
          </cell>
          <cell r="C4796" t="str">
            <v>Operando</v>
          </cell>
        </row>
        <row r="4797">
          <cell r="B4797" t="str">
            <v>SGL2D23</v>
          </cell>
          <cell r="C4797" t="str">
            <v>Operando</v>
          </cell>
        </row>
        <row r="4798">
          <cell r="B4798" t="str">
            <v>SGL2D25</v>
          </cell>
          <cell r="C4798" t="str">
            <v>Operando</v>
          </cell>
        </row>
        <row r="4799">
          <cell r="B4799" t="str">
            <v>SGL2D27</v>
          </cell>
          <cell r="C4799" t="str">
            <v> </v>
          </cell>
        </row>
        <row r="4800">
          <cell r="B4800" t="str">
            <v>SGL2D31</v>
          </cell>
          <cell r="C4800" t="str">
            <v>Operando</v>
          </cell>
        </row>
        <row r="4801">
          <cell r="B4801" t="str">
            <v>SGL2D34</v>
          </cell>
          <cell r="C4801" t="str">
            <v>Operando</v>
          </cell>
        </row>
        <row r="4802">
          <cell r="B4802" t="str">
            <v>SGL2D39</v>
          </cell>
          <cell r="C4802" t="str">
            <v>Operando</v>
          </cell>
        </row>
        <row r="4803">
          <cell r="B4803" t="str">
            <v>SGL2D40</v>
          </cell>
          <cell r="C4803" t="str">
            <v>Carregado</v>
          </cell>
        </row>
        <row r="4804">
          <cell r="B4804" t="str">
            <v>SGL2D44</v>
          </cell>
          <cell r="C4804" t="str">
            <v> </v>
          </cell>
        </row>
        <row r="4805">
          <cell r="B4805" t="str">
            <v>SGL2D47</v>
          </cell>
          <cell r="C4805" t="str">
            <v>Operando</v>
          </cell>
        </row>
        <row r="4806">
          <cell r="B4806" t="str">
            <v>SGL2D51</v>
          </cell>
          <cell r="C4806" t="str">
            <v>Operando</v>
          </cell>
        </row>
        <row r="4807">
          <cell r="B4807" t="str">
            <v>SGL4C74</v>
          </cell>
          <cell r="C4807" t="str">
            <v>Manutenção</v>
          </cell>
        </row>
        <row r="4808">
          <cell r="B4808" t="str">
            <v>SGL4C82</v>
          </cell>
          <cell r="C4808" t="str">
            <v>Manutenção</v>
          </cell>
        </row>
        <row r="4809">
          <cell r="B4809" t="str">
            <v>SGL4C86</v>
          </cell>
          <cell r="C4809" t="str">
            <v>Operando</v>
          </cell>
        </row>
        <row r="4810">
          <cell r="B4810" t="str">
            <v>SGL4C94</v>
          </cell>
          <cell r="C4810" t="str">
            <v>Carregado</v>
          </cell>
        </row>
        <row r="4811">
          <cell r="B4811" t="str">
            <v>SGL4D14</v>
          </cell>
          <cell r="C4811" t="str">
            <v>Manutenção</v>
          </cell>
        </row>
        <row r="4812">
          <cell r="B4812" t="str">
            <v>SGL4D16</v>
          </cell>
          <cell r="C4812" t="str">
            <v>Manutenção</v>
          </cell>
        </row>
        <row r="4813">
          <cell r="B4813" t="str">
            <v>SGL4D17</v>
          </cell>
          <cell r="C4813" t="str">
            <v>Carregado</v>
          </cell>
        </row>
        <row r="4814">
          <cell r="B4814" t="str">
            <v>SGL4D18</v>
          </cell>
          <cell r="C4814" t="str">
            <v>Carregado</v>
          </cell>
        </row>
        <row r="4815">
          <cell r="B4815" t="str">
            <v>SGL4D19</v>
          </cell>
          <cell r="C4815" t="str">
            <v>Carregado</v>
          </cell>
        </row>
        <row r="4816">
          <cell r="B4816" t="str">
            <v>SGL4D20</v>
          </cell>
          <cell r="C4816" t="str">
            <v>Carregado</v>
          </cell>
        </row>
        <row r="4817">
          <cell r="B4817" t="str">
            <v>SGL4D21</v>
          </cell>
          <cell r="C4817" t="str">
            <v>Operando</v>
          </cell>
        </row>
        <row r="4818">
          <cell r="B4818" t="str">
            <v>SGL4D23</v>
          </cell>
          <cell r="C4818" t="str">
            <v>Carregado</v>
          </cell>
        </row>
        <row r="4819">
          <cell r="B4819" t="str">
            <v>SGL4D24</v>
          </cell>
          <cell r="C4819" t="str">
            <v>Operando</v>
          </cell>
        </row>
        <row r="4820">
          <cell r="B4820" t="str">
            <v>SGL4D25</v>
          </cell>
          <cell r="C4820" t="str">
            <v>Carregado</v>
          </cell>
        </row>
        <row r="4821">
          <cell r="B4821" t="str">
            <v>SGL4D26</v>
          </cell>
          <cell r="C4821" t="str">
            <v> </v>
          </cell>
        </row>
        <row r="4822">
          <cell r="B4822" t="str">
            <v>SGL4D27</v>
          </cell>
          <cell r="C4822" t="str">
            <v>Carregado</v>
          </cell>
        </row>
        <row r="4823">
          <cell r="B4823" t="str">
            <v>SGL4D29</v>
          </cell>
          <cell r="C4823" t="str">
            <v>Manutenção</v>
          </cell>
        </row>
        <row r="4824">
          <cell r="B4824" t="str">
            <v>SGP3A06</v>
          </cell>
          <cell r="C4824" t="str">
            <v> </v>
          </cell>
        </row>
        <row r="4825">
          <cell r="B4825" t="str">
            <v>SHB0B39</v>
          </cell>
          <cell r="C4825" t="str">
            <v>Carregado</v>
          </cell>
        </row>
        <row r="4826">
          <cell r="B4826" t="str">
            <v>SHB7B59</v>
          </cell>
          <cell r="C4826" t="str">
            <v> </v>
          </cell>
        </row>
        <row r="4827">
          <cell r="B4827" t="str">
            <v>SHF2I43</v>
          </cell>
          <cell r="C4827" t="str">
            <v> </v>
          </cell>
        </row>
        <row r="4828">
          <cell r="B4828" t="str">
            <v>SHH7G94</v>
          </cell>
          <cell r="C4828" t="str">
            <v> </v>
          </cell>
        </row>
        <row r="4829">
          <cell r="B4829" t="str">
            <v>SHJ3F46</v>
          </cell>
          <cell r="C4829" t="str">
            <v>Operando</v>
          </cell>
        </row>
        <row r="4830">
          <cell r="B4830" t="str">
            <v>SHK1E62</v>
          </cell>
          <cell r="C4830" t="str">
            <v> </v>
          </cell>
        </row>
        <row r="4831">
          <cell r="B4831" t="str">
            <v>SHK5A32</v>
          </cell>
          <cell r="C4831" t="str">
            <v> </v>
          </cell>
        </row>
        <row r="4832">
          <cell r="B4832" t="str">
            <v>SHL2E05</v>
          </cell>
          <cell r="C4832" t="str">
            <v>Operando</v>
          </cell>
        </row>
        <row r="4833">
          <cell r="B4833" t="str">
            <v>SHL2I01</v>
          </cell>
          <cell r="C4833" t="str">
            <v> </v>
          </cell>
        </row>
        <row r="4834">
          <cell r="B4834" t="str">
            <v>SHL6D08</v>
          </cell>
          <cell r="C4834" t="str">
            <v> </v>
          </cell>
        </row>
        <row r="4835">
          <cell r="B4835" t="str">
            <v>SHL7B34</v>
          </cell>
          <cell r="C4835" t="str">
            <v> </v>
          </cell>
        </row>
        <row r="4836">
          <cell r="B4836" t="str">
            <v>SHL9E60</v>
          </cell>
          <cell r="C4836" t="str">
            <v> </v>
          </cell>
        </row>
        <row r="4837">
          <cell r="B4837" t="str">
            <v>SHM3F10</v>
          </cell>
          <cell r="C4837" t="str">
            <v> </v>
          </cell>
        </row>
        <row r="4838">
          <cell r="B4838" t="str">
            <v>SHO4B32</v>
          </cell>
          <cell r="C4838" t="str">
            <v>Operando</v>
          </cell>
        </row>
        <row r="4839">
          <cell r="B4839" t="str">
            <v>SHP1B53</v>
          </cell>
          <cell r="C4839" t="str">
            <v>Operando</v>
          </cell>
        </row>
        <row r="4840">
          <cell r="B4840" t="str">
            <v>SHQ6E42</v>
          </cell>
          <cell r="C4840" t="str">
            <v> </v>
          </cell>
        </row>
        <row r="4841">
          <cell r="B4841" t="str">
            <v>SHQ8G35</v>
          </cell>
          <cell r="C4841" t="str">
            <v> </v>
          </cell>
        </row>
        <row r="4842">
          <cell r="B4842" t="str">
            <v>SHQ8J99</v>
          </cell>
          <cell r="C4842" t="str">
            <v> </v>
          </cell>
        </row>
        <row r="4843">
          <cell r="B4843" t="str">
            <v>SHS1H01</v>
          </cell>
          <cell r="C4843" t="str">
            <v> </v>
          </cell>
        </row>
        <row r="4844">
          <cell r="B4844" t="str">
            <v>SHS4G04</v>
          </cell>
          <cell r="C4844" t="str">
            <v>Operando</v>
          </cell>
        </row>
        <row r="4845">
          <cell r="B4845" t="str">
            <v>SHS6A96</v>
          </cell>
          <cell r="C4845" t="str">
            <v> </v>
          </cell>
        </row>
        <row r="4846">
          <cell r="B4846" t="str">
            <v>SHV0B31</v>
          </cell>
          <cell r="C4846" t="str">
            <v> </v>
          </cell>
        </row>
        <row r="4847">
          <cell r="B4847" t="str">
            <v>SHY4E06</v>
          </cell>
          <cell r="C4847" t="str">
            <v>Operando</v>
          </cell>
        </row>
        <row r="4848">
          <cell r="B4848" t="str">
            <v>SIB2F05</v>
          </cell>
          <cell r="C4848" t="str">
            <v>Operando</v>
          </cell>
        </row>
        <row r="4849">
          <cell r="B4849" t="str">
            <v>SIB2H32</v>
          </cell>
          <cell r="C4849" t="str">
            <v> </v>
          </cell>
        </row>
        <row r="4850">
          <cell r="B4850" t="str">
            <v>SID5I30</v>
          </cell>
          <cell r="C4850" t="str">
            <v> </v>
          </cell>
        </row>
        <row r="4851">
          <cell r="B4851" t="str">
            <v>SIF1E87</v>
          </cell>
          <cell r="C4851" t="str">
            <v> </v>
          </cell>
        </row>
        <row r="4852">
          <cell r="B4852" t="str">
            <v>SIF8C70</v>
          </cell>
          <cell r="C4852" t="str">
            <v> </v>
          </cell>
        </row>
        <row r="4853">
          <cell r="B4853" t="str">
            <v>SIF9D96</v>
          </cell>
          <cell r="C4853" t="str">
            <v> </v>
          </cell>
        </row>
        <row r="4854">
          <cell r="B4854" t="str">
            <v>SII3F97</v>
          </cell>
          <cell r="C4854" t="str">
            <v> </v>
          </cell>
        </row>
        <row r="4855">
          <cell r="B4855" t="str">
            <v>SII9I03</v>
          </cell>
          <cell r="C4855" t="str">
            <v> </v>
          </cell>
        </row>
        <row r="4856">
          <cell r="B4856" t="str">
            <v>SIK6E24</v>
          </cell>
          <cell r="C4856" t="str">
            <v> </v>
          </cell>
        </row>
        <row r="4857">
          <cell r="B4857" t="str">
            <v>SIL2E37</v>
          </cell>
          <cell r="C4857" t="str">
            <v> </v>
          </cell>
        </row>
        <row r="4858">
          <cell r="B4858" t="str">
            <v>SIS6B04</v>
          </cell>
          <cell r="C4858" t="str">
            <v> </v>
          </cell>
        </row>
        <row r="4859">
          <cell r="B4859" t="str">
            <v>SIT8J14</v>
          </cell>
          <cell r="C4859" t="str">
            <v> </v>
          </cell>
        </row>
        <row r="4860">
          <cell r="B4860" t="str">
            <v>SIV8B95</v>
          </cell>
          <cell r="C4860" t="str">
            <v> </v>
          </cell>
        </row>
        <row r="4861">
          <cell r="B4861" t="str">
            <v>SIV8E56</v>
          </cell>
          <cell r="C4861" t="str">
            <v> </v>
          </cell>
        </row>
        <row r="4862">
          <cell r="B4862" t="str">
            <v>SIY0I08</v>
          </cell>
          <cell r="C4862" t="str">
            <v>Operando</v>
          </cell>
        </row>
        <row r="4863">
          <cell r="B4863" t="str">
            <v>SIY5E98</v>
          </cell>
          <cell r="C4863" t="str">
            <v>Operando</v>
          </cell>
        </row>
        <row r="4864">
          <cell r="B4864" t="str">
            <v>SIY5E9B</v>
          </cell>
          <cell r="C4864" t="str">
            <v> </v>
          </cell>
        </row>
        <row r="4865">
          <cell r="B4865" t="str">
            <v>SJA8F89</v>
          </cell>
          <cell r="C4865" t="str">
            <v> </v>
          </cell>
        </row>
        <row r="4866">
          <cell r="B4866" t="str">
            <v>SJC7E57</v>
          </cell>
          <cell r="C4866" t="str">
            <v> </v>
          </cell>
        </row>
        <row r="4867">
          <cell r="B4867" t="str">
            <v>SJD9307</v>
          </cell>
          <cell r="C4867" t="str">
            <v> </v>
          </cell>
        </row>
        <row r="4868">
          <cell r="B4868" t="str">
            <v>SJE1I29</v>
          </cell>
          <cell r="C4868" t="str">
            <v> </v>
          </cell>
        </row>
        <row r="4869">
          <cell r="B4869" t="str">
            <v>SJE2D49</v>
          </cell>
          <cell r="C4869" t="str">
            <v>Operando</v>
          </cell>
        </row>
        <row r="4870">
          <cell r="B4870" t="str">
            <v>SJQ0E74</v>
          </cell>
          <cell r="C4870" t="str">
            <v> </v>
          </cell>
        </row>
        <row r="4871">
          <cell r="B4871" t="str">
            <v>SJQ0H62</v>
          </cell>
          <cell r="C4871" t="str">
            <v> </v>
          </cell>
        </row>
        <row r="4872">
          <cell r="B4872" t="str">
            <v>SJQ2F14</v>
          </cell>
          <cell r="C4872" t="str">
            <v> </v>
          </cell>
        </row>
        <row r="4873">
          <cell r="B4873" t="str">
            <v>SJQ3B24</v>
          </cell>
          <cell r="C4873" t="str">
            <v> </v>
          </cell>
        </row>
        <row r="4874">
          <cell r="B4874" t="str">
            <v>SJQ5C76</v>
          </cell>
          <cell r="C4874" t="str">
            <v> </v>
          </cell>
        </row>
        <row r="4875">
          <cell r="B4875" t="str">
            <v>SJQ6B02</v>
          </cell>
          <cell r="C4875" t="str">
            <v> </v>
          </cell>
        </row>
        <row r="4876">
          <cell r="B4876" t="str">
            <v>SJQ9A84</v>
          </cell>
          <cell r="C4876" t="str">
            <v> </v>
          </cell>
        </row>
        <row r="4877">
          <cell r="B4877" t="str">
            <v>SJR7A84</v>
          </cell>
          <cell r="C4877" t="str">
            <v> </v>
          </cell>
        </row>
        <row r="4878">
          <cell r="B4878" t="str">
            <v>SJR9E23</v>
          </cell>
          <cell r="C4878" t="str">
            <v> </v>
          </cell>
        </row>
        <row r="4879">
          <cell r="B4879" t="str">
            <v>SJT0F71</v>
          </cell>
          <cell r="C4879" t="str">
            <v>Sinistrado</v>
          </cell>
        </row>
        <row r="4880">
          <cell r="B4880" t="str">
            <v>SJT0J55</v>
          </cell>
          <cell r="C4880" t="str">
            <v>Operando</v>
          </cell>
        </row>
        <row r="4881">
          <cell r="B4881" t="str">
            <v>SJT3D02</v>
          </cell>
          <cell r="C4881" t="str">
            <v>Manutenção</v>
          </cell>
        </row>
        <row r="4882">
          <cell r="B4882" t="str">
            <v>SJT3I94</v>
          </cell>
          <cell r="C4882" t="str">
            <v>Manutenção</v>
          </cell>
        </row>
        <row r="4883">
          <cell r="B4883" t="str">
            <v>SJT5G88</v>
          </cell>
          <cell r="C4883" t="str">
            <v>Manutenção</v>
          </cell>
        </row>
        <row r="4884">
          <cell r="B4884" t="str">
            <v>SJT6B03</v>
          </cell>
          <cell r="C4884" t="str">
            <v>Manutenção</v>
          </cell>
        </row>
        <row r="4885">
          <cell r="B4885" t="str">
            <v>SJT6E89</v>
          </cell>
          <cell r="C4885" t="str">
            <v>Operando</v>
          </cell>
        </row>
        <row r="4886">
          <cell r="B4886" t="str">
            <v>SJT7C45</v>
          </cell>
          <cell r="C4886" t="str">
            <v> </v>
          </cell>
        </row>
        <row r="4887">
          <cell r="B4887" t="str">
            <v>SJT7C88</v>
          </cell>
          <cell r="C4887" t="str">
            <v>Operando</v>
          </cell>
        </row>
        <row r="4888">
          <cell r="B4888" t="str">
            <v>SJT7H68</v>
          </cell>
          <cell r="C4888" t="str">
            <v>Operando</v>
          </cell>
        </row>
        <row r="4889">
          <cell r="B4889" t="str">
            <v>SJT9A40</v>
          </cell>
          <cell r="C4889" t="str">
            <v>Operando</v>
          </cell>
        </row>
        <row r="4890">
          <cell r="B4890" t="str">
            <v>SJU0F78</v>
          </cell>
          <cell r="C4890" t="str">
            <v>Operando</v>
          </cell>
        </row>
        <row r="4891">
          <cell r="B4891" t="str">
            <v>SJU0J06</v>
          </cell>
          <cell r="C4891" t="str">
            <v>Operando</v>
          </cell>
        </row>
        <row r="4892">
          <cell r="B4892" t="str">
            <v>SJU4I99</v>
          </cell>
          <cell r="C4892" t="str">
            <v>Operando</v>
          </cell>
        </row>
        <row r="4893">
          <cell r="B4893" t="str">
            <v>SJU6F48</v>
          </cell>
          <cell r="C4893" t="str">
            <v>Operando</v>
          </cell>
        </row>
        <row r="4894">
          <cell r="B4894" t="str">
            <v>SJV1B04</v>
          </cell>
          <cell r="C4894" t="str">
            <v>Operando</v>
          </cell>
        </row>
        <row r="4895">
          <cell r="B4895" t="str">
            <v>SKK3E14</v>
          </cell>
          <cell r="C4895" t="str">
            <v>Operando</v>
          </cell>
        </row>
        <row r="4896">
          <cell r="B4896" t="str">
            <v>SMF4F91</v>
          </cell>
          <cell r="C4896" t="str">
            <v>Operando</v>
          </cell>
        </row>
        <row r="4897">
          <cell r="B4897" t="str">
            <v>SNA8G32</v>
          </cell>
          <cell r="C4897" t="str">
            <v> </v>
          </cell>
        </row>
        <row r="4898">
          <cell r="B4898" t="str">
            <v>SOR3H22</v>
          </cell>
          <cell r="C4898" t="str">
            <v> </v>
          </cell>
        </row>
        <row r="4899">
          <cell r="B4899" t="str">
            <v>SOV9H27</v>
          </cell>
          <cell r="C4899" t="str">
            <v> </v>
          </cell>
        </row>
        <row r="4900">
          <cell r="B4900" t="str">
            <v>SPJ1C07</v>
          </cell>
          <cell r="C4900" t="str">
            <v> </v>
          </cell>
        </row>
        <row r="4901">
          <cell r="B4901" t="str">
            <v>SQJ0H62</v>
          </cell>
          <cell r="C4901" t="str">
            <v> </v>
          </cell>
        </row>
        <row r="4902">
          <cell r="B4902" t="str">
            <v>SQZ1D44</v>
          </cell>
          <cell r="C4902" t="str">
            <v> </v>
          </cell>
        </row>
        <row r="4903">
          <cell r="B4903" t="str">
            <v>SQZ1I39</v>
          </cell>
          <cell r="C4903" t="str">
            <v>Operando</v>
          </cell>
        </row>
        <row r="4904">
          <cell r="B4904" t="str">
            <v>SQZ2J54</v>
          </cell>
          <cell r="C4904" t="str">
            <v>Carregado</v>
          </cell>
        </row>
        <row r="4905">
          <cell r="B4905" t="str">
            <v>SRB7C78</v>
          </cell>
          <cell r="C4905" t="str">
            <v>Operando</v>
          </cell>
        </row>
        <row r="4906">
          <cell r="B4906" t="str">
            <v>SRC9E05</v>
          </cell>
          <cell r="C4906" t="str">
            <v> </v>
          </cell>
        </row>
        <row r="4907">
          <cell r="B4907" t="str">
            <v>SRD1J62</v>
          </cell>
          <cell r="C4907" t="str">
            <v>Operando</v>
          </cell>
        </row>
        <row r="4908">
          <cell r="B4908" t="str">
            <v>SRD7B85</v>
          </cell>
          <cell r="C4908" t="str">
            <v> </v>
          </cell>
        </row>
        <row r="4909">
          <cell r="B4909" t="str">
            <v>SRM1D98</v>
          </cell>
          <cell r="C4909" t="str">
            <v> </v>
          </cell>
        </row>
        <row r="4910">
          <cell r="B4910" t="str">
            <v>SRP3D16</v>
          </cell>
          <cell r="C4910" t="str">
            <v>Operando</v>
          </cell>
        </row>
        <row r="4911">
          <cell r="B4911" t="str">
            <v>SRZ6F77</v>
          </cell>
          <cell r="C4911" t="str">
            <v> </v>
          </cell>
        </row>
        <row r="4912">
          <cell r="B4912" t="str">
            <v>SSL5B78</v>
          </cell>
          <cell r="C4912" t="str">
            <v> </v>
          </cell>
        </row>
        <row r="4913">
          <cell r="B4913" t="str">
            <v>SSR6G39</v>
          </cell>
          <cell r="C4913" t="str">
            <v>Operando</v>
          </cell>
        </row>
        <row r="4914">
          <cell r="B4914" t="str">
            <v>SSS6G60</v>
          </cell>
          <cell r="C4914" t="str">
            <v> </v>
          </cell>
        </row>
        <row r="4915">
          <cell r="B4915" t="str">
            <v>SST3H02</v>
          </cell>
          <cell r="C4915" t="str">
            <v>Operando</v>
          </cell>
        </row>
        <row r="4916">
          <cell r="B4916" t="str">
            <v>SSU9E09</v>
          </cell>
          <cell r="C4916" t="str">
            <v> </v>
          </cell>
        </row>
        <row r="4917">
          <cell r="B4917" t="str">
            <v>SSV2H07</v>
          </cell>
          <cell r="C4917" t="str">
            <v>Falta Motorista</v>
          </cell>
        </row>
        <row r="4918">
          <cell r="B4918" t="str">
            <v>SSV3J50</v>
          </cell>
          <cell r="C4918" t="str">
            <v>Operando</v>
          </cell>
        </row>
        <row r="4919">
          <cell r="B4919" t="str">
            <v>SSV4G31</v>
          </cell>
          <cell r="C4919" t="str">
            <v> </v>
          </cell>
        </row>
        <row r="4920">
          <cell r="B4920" t="str">
            <v>SSW3I53</v>
          </cell>
          <cell r="C4920" t="str">
            <v>Operando</v>
          </cell>
        </row>
        <row r="4921">
          <cell r="B4921" t="str">
            <v>SSW9E19</v>
          </cell>
          <cell r="C4921" t="str">
            <v>Operando</v>
          </cell>
        </row>
        <row r="4922">
          <cell r="B4922" t="str">
            <v>SSX2A96</v>
          </cell>
          <cell r="C4922" t="str">
            <v>Operando</v>
          </cell>
        </row>
        <row r="4923">
          <cell r="B4923" t="str">
            <v>SSX5J28</v>
          </cell>
          <cell r="C4923" t="str">
            <v> </v>
          </cell>
        </row>
        <row r="4924">
          <cell r="B4924" t="str">
            <v>SSX8B52</v>
          </cell>
          <cell r="C4924" t="str">
            <v>Operando</v>
          </cell>
        </row>
        <row r="4925">
          <cell r="B4925" t="str">
            <v>SSY3I38</v>
          </cell>
          <cell r="C4925" t="str">
            <v> </v>
          </cell>
        </row>
        <row r="4926">
          <cell r="B4926" t="str">
            <v>STA2A17</v>
          </cell>
          <cell r="C4926" t="str">
            <v> </v>
          </cell>
        </row>
        <row r="4927">
          <cell r="B4927" t="str">
            <v>STB1E48</v>
          </cell>
          <cell r="C4927" t="str">
            <v>Operando</v>
          </cell>
        </row>
        <row r="4928">
          <cell r="B4928" t="str">
            <v>STB2G28</v>
          </cell>
          <cell r="C4928" t="str">
            <v>Operando</v>
          </cell>
        </row>
        <row r="4929">
          <cell r="B4929" t="str">
            <v>STC0D57</v>
          </cell>
          <cell r="C4929" t="str">
            <v>Operando</v>
          </cell>
        </row>
        <row r="4930">
          <cell r="B4930" t="str">
            <v>STD0B60</v>
          </cell>
          <cell r="C4930" t="str">
            <v>Operando</v>
          </cell>
        </row>
        <row r="4931">
          <cell r="B4931" t="str">
            <v>STD4D49</v>
          </cell>
          <cell r="C4931" t="str">
            <v> </v>
          </cell>
        </row>
        <row r="4932">
          <cell r="B4932" t="str">
            <v>STE1C78</v>
          </cell>
          <cell r="C4932" t="str">
            <v> </v>
          </cell>
        </row>
        <row r="4933">
          <cell r="B4933" t="str">
            <v>STH5D15</v>
          </cell>
          <cell r="C4933" t="str">
            <v> </v>
          </cell>
        </row>
        <row r="4934">
          <cell r="B4934" t="str">
            <v>STI1C79</v>
          </cell>
          <cell r="C4934" t="str">
            <v> </v>
          </cell>
        </row>
        <row r="4935">
          <cell r="B4935" t="str">
            <v>STI4F79</v>
          </cell>
          <cell r="C4935" t="str">
            <v> </v>
          </cell>
        </row>
        <row r="4936">
          <cell r="B4936" t="str">
            <v>STI7D23</v>
          </cell>
          <cell r="C4936" t="str">
            <v>Operando</v>
          </cell>
        </row>
        <row r="4937">
          <cell r="B4937" t="str">
            <v>STN5J69</v>
          </cell>
          <cell r="C4937" t="str">
            <v>Operando</v>
          </cell>
        </row>
        <row r="4938">
          <cell r="B4938" t="str">
            <v>STN6F67</v>
          </cell>
          <cell r="C4938" t="str">
            <v> </v>
          </cell>
        </row>
        <row r="4939">
          <cell r="B4939" t="str">
            <v>STO0I02</v>
          </cell>
          <cell r="C4939" t="str">
            <v>Manutenção</v>
          </cell>
        </row>
        <row r="4940">
          <cell r="B4940" t="str">
            <v>STO3J87</v>
          </cell>
          <cell r="C4940" t="str">
            <v> </v>
          </cell>
        </row>
        <row r="4941">
          <cell r="B4941" t="str">
            <v>STO4I48</v>
          </cell>
          <cell r="C4941" t="str">
            <v>Operando</v>
          </cell>
        </row>
        <row r="4942">
          <cell r="B4942" t="str">
            <v>STQ1D28</v>
          </cell>
          <cell r="C4942" t="str">
            <v>Operando</v>
          </cell>
        </row>
        <row r="4943">
          <cell r="B4943" t="str">
            <v>STQ6I54</v>
          </cell>
          <cell r="C4943" t="str">
            <v> </v>
          </cell>
        </row>
        <row r="4944">
          <cell r="B4944" t="str">
            <v>STS2D26</v>
          </cell>
          <cell r="C4944" t="str">
            <v>Operando</v>
          </cell>
        </row>
        <row r="4945">
          <cell r="B4945" t="str">
            <v>STS5J93</v>
          </cell>
          <cell r="C4945" t="str">
            <v>Operando</v>
          </cell>
        </row>
        <row r="4946">
          <cell r="B4946" t="str">
            <v>STT3B07</v>
          </cell>
          <cell r="C4946" t="str">
            <v> </v>
          </cell>
        </row>
        <row r="4947">
          <cell r="B4947" t="str">
            <v>STT6B53</v>
          </cell>
          <cell r="C4947" t="str">
            <v>Operando</v>
          </cell>
        </row>
        <row r="4948">
          <cell r="B4948" t="str">
            <v>STT6I27</v>
          </cell>
          <cell r="C4948" t="str">
            <v>Operando</v>
          </cell>
        </row>
        <row r="4949">
          <cell r="B4949" t="str">
            <v>STT7A07</v>
          </cell>
          <cell r="C4949" t="str">
            <v>Operando</v>
          </cell>
        </row>
        <row r="4950">
          <cell r="B4950" t="str">
            <v>STU2G48</v>
          </cell>
          <cell r="C4950" t="str">
            <v>Operando</v>
          </cell>
        </row>
        <row r="4951">
          <cell r="B4951" t="str">
            <v>STU3D88</v>
          </cell>
          <cell r="C4951" t="str">
            <v>Operando</v>
          </cell>
        </row>
        <row r="4952">
          <cell r="B4952" t="str">
            <v>STU3E60</v>
          </cell>
          <cell r="C4952" t="str">
            <v> </v>
          </cell>
        </row>
        <row r="4953">
          <cell r="B4953" t="str">
            <v>STU8B28</v>
          </cell>
          <cell r="C4953" t="str">
            <v>Manutenção</v>
          </cell>
        </row>
        <row r="4954">
          <cell r="B4954" t="str">
            <v>STU8J19</v>
          </cell>
          <cell r="C4954" t="str">
            <v>Operando</v>
          </cell>
        </row>
        <row r="4955">
          <cell r="B4955" t="str">
            <v>STV6J39</v>
          </cell>
          <cell r="C4955" t="str">
            <v> </v>
          </cell>
        </row>
        <row r="4956">
          <cell r="B4956" t="str">
            <v>STW6G13</v>
          </cell>
          <cell r="C4956" t="str">
            <v> </v>
          </cell>
        </row>
        <row r="4957">
          <cell r="B4957" t="str">
            <v>STY0E52</v>
          </cell>
          <cell r="C4957" t="str">
            <v>Manutenção</v>
          </cell>
        </row>
        <row r="4958">
          <cell r="B4958" t="str">
            <v>SUC0F54</v>
          </cell>
          <cell r="C4958" t="str">
            <v> </v>
          </cell>
        </row>
        <row r="4959">
          <cell r="B4959" t="str">
            <v>SUC4B73</v>
          </cell>
          <cell r="C4959" t="str">
            <v> </v>
          </cell>
        </row>
        <row r="4960">
          <cell r="B4960" t="str">
            <v>SUD0C95</v>
          </cell>
          <cell r="C4960" t="str">
            <v>Operando</v>
          </cell>
        </row>
        <row r="4961">
          <cell r="B4961" t="str">
            <v>SUD0I56</v>
          </cell>
          <cell r="C4961" t="str">
            <v>Operando</v>
          </cell>
        </row>
        <row r="4962">
          <cell r="B4962" t="str">
            <v>SUD2F68</v>
          </cell>
          <cell r="C4962" t="str">
            <v>Sem operação</v>
          </cell>
        </row>
        <row r="4963">
          <cell r="B4963" t="str">
            <v>SUE0D98</v>
          </cell>
          <cell r="C4963" t="str">
            <v> </v>
          </cell>
        </row>
        <row r="4964">
          <cell r="B4964" t="str">
            <v>SUE2A75</v>
          </cell>
          <cell r="C4964" t="str">
            <v> </v>
          </cell>
        </row>
        <row r="4965">
          <cell r="B4965" t="str">
            <v>SUG0F28</v>
          </cell>
          <cell r="C4965" t="str">
            <v>Operando</v>
          </cell>
        </row>
        <row r="4966">
          <cell r="B4966" t="str">
            <v>SUG1B43</v>
          </cell>
          <cell r="C4966" t="str">
            <v>Manutenção</v>
          </cell>
        </row>
        <row r="4967">
          <cell r="B4967" t="str">
            <v>SUG5C29</v>
          </cell>
          <cell r="C4967" t="str">
            <v> </v>
          </cell>
        </row>
        <row r="4968">
          <cell r="B4968" t="str">
            <v>SUH1J87</v>
          </cell>
          <cell r="C4968" t="str">
            <v>Carregado</v>
          </cell>
        </row>
        <row r="4969">
          <cell r="B4969" t="str">
            <v>SUH2D47</v>
          </cell>
          <cell r="C4969" t="str">
            <v> </v>
          </cell>
        </row>
        <row r="4970">
          <cell r="B4970" t="str">
            <v>SUH8H48</v>
          </cell>
          <cell r="C4970" t="str">
            <v> </v>
          </cell>
        </row>
        <row r="4971">
          <cell r="B4971" t="str">
            <v>SUI3B70</v>
          </cell>
          <cell r="C4971" t="str">
            <v> </v>
          </cell>
        </row>
        <row r="4972">
          <cell r="B4972" t="str">
            <v>SUI6F96</v>
          </cell>
          <cell r="C4972" t="str">
            <v>Carregado</v>
          </cell>
        </row>
        <row r="4973">
          <cell r="B4973" t="str">
            <v>SUI8I53</v>
          </cell>
          <cell r="C4973" t="str">
            <v> </v>
          </cell>
        </row>
        <row r="4974">
          <cell r="B4974" t="str">
            <v>SUJ9B58</v>
          </cell>
          <cell r="C4974" t="str">
            <v> </v>
          </cell>
        </row>
        <row r="4975">
          <cell r="B4975" t="str">
            <v>SUJ9H28</v>
          </cell>
          <cell r="C4975" t="str">
            <v>Carregado</v>
          </cell>
        </row>
        <row r="4976">
          <cell r="B4976" t="str">
            <v>SUK9C18</v>
          </cell>
          <cell r="C4976" t="str">
            <v> </v>
          </cell>
        </row>
        <row r="4977">
          <cell r="B4977" t="str">
            <v>SUM5H13</v>
          </cell>
          <cell r="C4977" t="str">
            <v>Operando</v>
          </cell>
        </row>
        <row r="4978">
          <cell r="B4978" t="str">
            <v>SUP0B13</v>
          </cell>
          <cell r="C4978" t="str">
            <v> </v>
          </cell>
        </row>
        <row r="4979">
          <cell r="B4979" t="str">
            <v>SUP2B68</v>
          </cell>
          <cell r="C4979" t="str">
            <v>Operando</v>
          </cell>
        </row>
        <row r="4980">
          <cell r="B4980" t="str">
            <v>SUP5G29</v>
          </cell>
          <cell r="C4980" t="str">
            <v>Operando</v>
          </cell>
        </row>
        <row r="4981">
          <cell r="B4981" t="str">
            <v>SUP6H59</v>
          </cell>
          <cell r="C4981" t="str">
            <v>Operando</v>
          </cell>
        </row>
        <row r="4982">
          <cell r="B4982" t="str">
            <v>SUR4C90</v>
          </cell>
          <cell r="C4982" t="str">
            <v>Operando</v>
          </cell>
        </row>
        <row r="4983">
          <cell r="B4983" t="str">
            <v>SUR6J68</v>
          </cell>
          <cell r="C4983" t="str">
            <v>Operando</v>
          </cell>
        </row>
        <row r="4984">
          <cell r="B4984" t="str">
            <v>SUR9C50</v>
          </cell>
          <cell r="C4984" t="str">
            <v> </v>
          </cell>
        </row>
        <row r="4985">
          <cell r="B4985" t="str">
            <v>SUR9F09</v>
          </cell>
          <cell r="C4985" t="str">
            <v> </v>
          </cell>
        </row>
        <row r="4986">
          <cell r="B4986" t="str">
            <v>SUS0E35</v>
          </cell>
          <cell r="C4986" t="str">
            <v> </v>
          </cell>
        </row>
        <row r="4987">
          <cell r="B4987" t="str">
            <v>SUT4H27</v>
          </cell>
          <cell r="C4987" t="str">
            <v>Operando</v>
          </cell>
        </row>
        <row r="4988">
          <cell r="B4988" t="str">
            <v>SUT9A00</v>
          </cell>
          <cell r="C4988" t="str">
            <v>Operando</v>
          </cell>
        </row>
        <row r="4989">
          <cell r="B4989" t="str">
            <v>SUU7D47</v>
          </cell>
          <cell r="C4989" t="str">
            <v>Operando</v>
          </cell>
        </row>
        <row r="4990">
          <cell r="B4990" t="str">
            <v>SUV1C98</v>
          </cell>
          <cell r="C4990" t="str">
            <v> </v>
          </cell>
        </row>
        <row r="4991">
          <cell r="B4991" t="str">
            <v>SUV2A68</v>
          </cell>
          <cell r="C4991" t="str">
            <v> </v>
          </cell>
        </row>
        <row r="4992">
          <cell r="B4992" t="str">
            <v>SUW1E15</v>
          </cell>
          <cell r="C4992" t="str">
            <v> </v>
          </cell>
        </row>
        <row r="4993">
          <cell r="B4993" t="str">
            <v>SUW8J92</v>
          </cell>
          <cell r="C4993" t="str">
            <v> </v>
          </cell>
        </row>
        <row r="4994">
          <cell r="B4994" t="str">
            <v>SUX1H87</v>
          </cell>
          <cell r="C4994" t="str">
            <v>Manutenção</v>
          </cell>
        </row>
        <row r="4995">
          <cell r="B4995" t="str">
            <v>SUX2I20</v>
          </cell>
          <cell r="C4995" t="str">
            <v> </v>
          </cell>
        </row>
        <row r="4996">
          <cell r="B4996" t="str">
            <v>SUX3G28</v>
          </cell>
          <cell r="C4996" t="str">
            <v>Operando</v>
          </cell>
        </row>
        <row r="4997">
          <cell r="B4997" t="str">
            <v>SUX4I99</v>
          </cell>
          <cell r="C4997" t="str">
            <v> </v>
          </cell>
        </row>
        <row r="4998">
          <cell r="B4998" t="str">
            <v>SUX5E10</v>
          </cell>
          <cell r="C4998" t="str">
            <v>Operando</v>
          </cell>
        </row>
        <row r="4999">
          <cell r="B4999" t="str">
            <v>SUX7J97</v>
          </cell>
          <cell r="C4999" t="str">
            <v> </v>
          </cell>
        </row>
        <row r="5000">
          <cell r="B5000" t="str">
            <v>SUY2B70</v>
          </cell>
          <cell r="C5000" t="str">
            <v>Operando</v>
          </cell>
        </row>
        <row r="5001">
          <cell r="B5001" t="str">
            <v>SUY5B68</v>
          </cell>
          <cell r="C5001" t="str">
            <v>Operando</v>
          </cell>
        </row>
        <row r="5002">
          <cell r="B5002" t="str">
            <v>SUZ1E05</v>
          </cell>
          <cell r="C5002" t="str">
            <v>Manutenção</v>
          </cell>
        </row>
        <row r="5003">
          <cell r="B5003" t="str">
            <v>SUZ3I08</v>
          </cell>
          <cell r="C5003" t="str">
            <v> </v>
          </cell>
        </row>
        <row r="5004">
          <cell r="B5004" t="str">
            <v>SUZ7A69</v>
          </cell>
          <cell r="C5004" t="str">
            <v>Operando</v>
          </cell>
        </row>
        <row r="5005">
          <cell r="B5005" t="str">
            <v>SUZ7G58</v>
          </cell>
          <cell r="C5005" t="str">
            <v>Operando</v>
          </cell>
        </row>
        <row r="5006">
          <cell r="B5006" t="str">
            <v>SUZ7J93</v>
          </cell>
          <cell r="C5006" t="str">
            <v>Operando</v>
          </cell>
        </row>
        <row r="5007">
          <cell r="B5007" t="str">
            <v>SUZ9D42</v>
          </cell>
          <cell r="C5007" t="str">
            <v>Carregado</v>
          </cell>
        </row>
        <row r="5008">
          <cell r="B5008" t="str">
            <v>SVA0I78</v>
          </cell>
          <cell r="C5008" t="str">
            <v>Manutenção</v>
          </cell>
        </row>
        <row r="5009">
          <cell r="B5009" t="str">
            <v>SVA6J10</v>
          </cell>
          <cell r="C5009" t="str">
            <v> </v>
          </cell>
        </row>
        <row r="5010">
          <cell r="B5010" t="str">
            <v>SVB0J99</v>
          </cell>
          <cell r="C5010" t="str">
            <v>Operando</v>
          </cell>
        </row>
        <row r="5011">
          <cell r="B5011" t="str">
            <v>SVB7B38</v>
          </cell>
          <cell r="C5011" t="str">
            <v> </v>
          </cell>
        </row>
        <row r="5012">
          <cell r="B5012" t="str">
            <v>SVB9E97</v>
          </cell>
          <cell r="C5012" t="str">
            <v>Operando</v>
          </cell>
        </row>
        <row r="5013">
          <cell r="B5013" t="str">
            <v>SVC1A96</v>
          </cell>
          <cell r="C5013" t="str">
            <v>Operando</v>
          </cell>
        </row>
        <row r="5014">
          <cell r="B5014" t="str">
            <v>SVC6I57</v>
          </cell>
          <cell r="C5014" t="str">
            <v> </v>
          </cell>
        </row>
        <row r="5015">
          <cell r="B5015" t="str">
            <v>SVC9F75</v>
          </cell>
          <cell r="C5015" t="str">
            <v> </v>
          </cell>
        </row>
        <row r="5016">
          <cell r="B5016" t="str">
            <v>SVD7A43</v>
          </cell>
          <cell r="C5016" t="str">
            <v>Carregado</v>
          </cell>
        </row>
        <row r="5017">
          <cell r="B5017" t="str">
            <v>SVD8F48</v>
          </cell>
          <cell r="C5017" t="str">
            <v>Operando</v>
          </cell>
        </row>
        <row r="5018">
          <cell r="B5018" t="str">
            <v>SVF7D05</v>
          </cell>
          <cell r="C5018" t="str">
            <v>Operando</v>
          </cell>
        </row>
        <row r="5019">
          <cell r="B5019" t="str">
            <v>SVF7G32</v>
          </cell>
          <cell r="C5019" t="str">
            <v>Operando</v>
          </cell>
        </row>
        <row r="5020">
          <cell r="B5020" t="str">
            <v>SVG0B47</v>
          </cell>
          <cell r="C5020" t="str">
            <v>Operando</v>
          </cell>
        </row>
        <row r="5021">
          <cell r="B5021" t="str">
            <v>SVH1A04</v>
          </cell>
          <cell r="C5021" t="str">
            <v>Operando</v>
          </cell>
        </row>
        <row r="5022">
          <cell r="B5022" t="str">
            <v>SVH9C94</v>
          </cell>
          <cell r="C5022" t="str">
            <v>Operando</v>
          </cell>
        </row>
        <row r="5023">
          <cell r="B5023" t="str">
            <v>SVI0D38</v>
          </cell>
          <cell r="C5023" t="str">
            <v>Operando</v>
          </cell>
        </row>
        <row r="5024">
          <cell r="B5024" t="str">
            <v>SVI2E40</v>
          </cell>
          <cell r="C5024" t="str">
            <v>Carregado</v>
          </cell>
        </row>
        <row r="5025">
          <cell r="B5025" t="str">
            <v>SVI2F20</v>
          </cell>
          <cell r="C5025" t="str">
            <v>Carregado</v>
          </cell>
        </row>
        <row r="5026">
          <cell r="B5026" t="str">
            <v>SVI6D65</v>
          </cell>
          <cell r="C5026" t="str">
            <v>Carregado</v>
          </cell>
        </row>
        <row r="5027">
          <cell r="B5027" t="str">
            <v>SVJ3F95</v>
          </cell>
          <cell r="C5027" t="str">
            <v>Carregado</v>
          </cell>
        </row>
        <row r="5028">
          <cell r="B5028" t="str">
            <v>SVK8G87</v>
          </cell>
          <cell r="C5028" t="str">
            <v>Falta Motorista</v>
          </cell>
        </row>
        <row r="5029">
          <cell r="B5029" t="str">
            <v>SVL2E12</v>
          </cell>
          <cell r="C5029" t="str">
            <v>Operando</v>
          </cell>
        </row>
        <row r="5030">
          <cell r="B5030" t="str">
            <v>SVL6G97</v>
          </cell>
          <cell r="C5030" t="str">
            <v> </v>
          </cell>
        </row>
        <row r="5031">
          <cell r="B5031" t="str">
            <v>SVL8C61</v>
          </cell>
          <cell r="C5031" t="str">
            <v>Carregado</v>
          </cell>
        </row>
        <row r="5032">
          <cell r="B5032" t="str">
            <v>SVM8J76</v>
          </cell>
          <cell r="C5032" t="str">
            <v> </v>
          </cell>
        </row>
        <row r="5033">
          <cell r="B5033" t="str">
            <v>SVM9C81</v>
          </cell>
          <cell r="C5033" t="str">
            <v> </v>
          </cell>
        </row>
        <row r="5034">
          <cell r="B5034" t="str">
            <v>SVM9H44</v>
          </cell>
          <cell r="C5034" t="str">
            <v> </v>
          </cell>
        </row>
        <row r="5035">
          <cell r="B5035" t="str">
            <v>SVN2A21</v>
          </cell>
          <cell r="C5035" t="str">
            <v>Carregado</v>
          </cell>
        </row>
        <row r="5036">
          <cell r="B5036" t="str">
            <v>SVN3B68</v>
          </cell>
          <cell r="C5036" t="str">
            <v>Operando</v>
          </cell>
        </row>
        <row r="5037">
          <cell r="B5037" t="str">
            <v>SVN5B77</v>
          </cell>
          <cell r="C5037" t="str">
            <v>Manutenção</v>
          </cell>
        </row>
        <row r="5038">
          <cell r="B5038" t="str">
            <v>SVO4A80</v>
          </cell>
          <cell r="C5038" t="str">
            <v>Carregado</v>
          </cell>
        </row>
        <row r="5039">
          <cell r="B5039" t="str">
            <v>SVP3F90</v>
          </cell>
          <cell r="C5039" t="str">
            <v>Operando</v>
          </cell>
        </row>
        <row r="5040">
          <cell r="B5040" t="str">
            <v>SVQ8B88</v>
          </cell>
          <cell r="C5040" t="str">
            <v>Manutenção</v>
          </cell>
        </row>
        <row r="5041">
          <cell r="B5041" t="str">
            <v>SVR0C16</v>
          </cell>
          <cell r="C5041" t="str">
            <v>Operando</v>
          </cell>
        </row>
        <row r="5042">
          <cell r="B5042" t="str">
            <v>SVR7G02</v>
          </cell>
          <cell r="C5042" t="str">
            <v>Operando</v>
          </cell>
        </row>
        <row r="5043">
          <cell r="B5043" t="str">
            <v>SVT0E87</v>
          </cell>
          <cell r="C5043" t="str">
            <v> </v>
          </cell>
        </row>
        <row r="5044">
          <cell r="B5044" t="str">
            <v>SVT2F29</v>
          </cell>
          <cell r="C5044" t="str">
            <v>Manutenção</v>
          </cell>
        </row>
        <row r="5045">
          <cell r="B5045" t="str">
            <v>SVT9G70</v>
          </cell>
          <cell r="C5045" t="str">
            <v> </v>
          </cell>
        </row>
        <row r="5046">
          <cell r="B5046" t="str">
            <v>SVV0E39</v>
          </cell>
          <cell r="C5046" t="str">
            <v>Operando</v>
          </cell>
        </row>
        <row r="5047">
          <cell r="B5047" t="str">
            <v>SVV7G19</v>
          </cell>
          <cell r="C5047" t="str">
            <v>Carregado</v>
          </cell>
        </row>
        <row r="5048">
          <cell r="B5048" t="str">
            <v>SVW6D33</v>
          </cell>
          <cell r="C5048" t="str">
            <v>Operando</v>
          </cell>
        </row>
        <row r="5049">
          <cell r="B5049" t="str">
            <v>SVX1G28</v>
          </cell>
          <cell r="C5049" t="str">
            <v>Operando</v>
          </cell>
        </row>
        <row r="5050">
          <cell r="B5050" t="str">
            <v>SVX5C53</v>
          </cell>
          <cell r="C5050" t="str">
            <v>Operando</v>
          </cell>
        </row>
        <row r="5051">
          <cell r="B5051" t="str">
            <v>SWA1G38</v>
          </cell>
          <cell r="C5051" t="str">
            <v>Operando</v>
          </cell>
        </row>
        <row r="5052">
          <cell r="B5052" t="str">
            <v>SWB1J96</v>
          </cell>
          <cell r="C5052" t="str">
            <v> </v>
          </cell>
        </row>
        <row r="5053">
          <cell r="B5053" t="str">
            <v>SWC3A30</v>
          </cell>
          <cell r="C5053" t="str">
            <v>Operando</v>
          </cell>
        </row>
        <row r="5054">
          <cell r="B5054" t="str">
            <v>SWD0G13</v>
          </cell>
          <cell r="C5054" t="str">
            <v>Manutenção</v>
          </cell>
        </row>
        <row r="5055">
          <cell r="B5055" t="str">
            <v>SWD2I13</v>
          </cell>
          <cell r="C5055" t="str">
            <v> </v>
          </cell>
        </row>
        <row r="5056">
          <cell r="B5056" t="str">
            <v>SWE5G70</v>
          </cell>
          <cell r="C5056" t="str">
            <v>Operando</v>
          </cell>
        </row>
        <row r="5057">
          <cell r="B5057" t="str">
            <v>SWH0G90</v>
          </cell>
          <cell r="C5057" t="str">
            <v> </v>
          </cell>
        </row>
        <row r="5058">
          <cell r="B5058" t="str">
            <v>SWH3G65</v>
          </cell>
          <cell r="C5058" t="str">
            <v>Operando</v>
          </cell>
        </row>
        <row r="5059">
          <cell r="B5059" t="str">
            <v>SWH8D54</v>
          </cell>
          <cell r="C5059" t="str">
            <v>Carregado</v>
          </cell>
        </row>
        <row r="5060">
          <cell r="B5060" t="str">
            <v>SWI8D46</v>
          </cell>
          <cell r="C5060" t="str">
            <v> </v>
          </cell>
        </row>
        <row r="5061">
          <cell r="B5061" t="str">
            <v>SWJ0E21</v>
          </cell>
          <cell r="C5061" t="str">
            <v>Operando</v>
          </cell>
        </row>
        <row r="5062">
          <cell r="B5062" t="str">
            <v>SWJ6C56</v>
          </cell>
          <cell r="C5062" t="str">
            <v> </v>
          </cell>
        </row>
        <row r="5063">
          <cell r="B5063" t="str">
            <v>SWK0B78</v>
          </cell>
          <cell r="C5063" t="str">
            <v>Operando</v>
          </cell>
        </row>
        <row r="5064">
          <cell r="B5064" t="str">
            <v>SWK5H31</v>
          </cell>
          <cell r="C5064" t="str">
            <v>Operando</v>
          </cell>
        </row>
        <row r="5065">
          <cell r="B5065" t="str">
            <v>SWL1C23</v>
          </cell>
          <cell r="C5065" t="str">
            <v>Operando</v>
          </cell>
        </row>
        <row r="5066">
          <cell r="B5066" t="str">
            <v>SWM5J67</v>
          </cell>
          <cell r="C5066" t="str">
            <v> </v>
          </cell>
        </row>
        <row r="5067">
          <cell r="B5067" t="str">
            <v>SWP0G46</v>
          </cell>
          <cell r="C5067" t="str">
            <v>Operando</v>
          </cell>
        </row>
        <row r="5068">
          <cell r="B5068" t="str">
            <v>SWP1G25</v>
          </cell>
          <cell r="C5068" t="str">
            <v> </v>
          </cell>
        </row>
        <row r="5069">
          <cell r="B5069" t="str">
            <v>SWR4C91</v>
          </cell>
          <cell r="C5069" t="str">
            <v>Manutenção</v>
          </cell>
        </row>
        <row r="5070">
          <cell r="B5070" t="str">
            <v>SWS5G99</v>
          </cell>
          <cell r="C5070" t="str">
            <v> </v>
          </cell>
        </row>
        <row r="5071">
          <cell r="B5071" t="str">
            <v>SWU6I91</v>
          </cell>
          <cell r="C5071" t="str">
            <v> </v>
          </cell>
        </row>
        <row r="5072">
          <cell r="B5072" t="str">
            <v>SWU9J57</v>
          </cell>
          <cell r="C5072" t="str">
            <v>Operando</v>
          </cell>
        </row>
        <row r="5073">
          <cell r="B5073" t="str">
            <v>SWV3D77</v>
          </cell>
          <cell r="C5073" t="str">
            <v>Manutenção</v>
          </cell>
        </row>
        <row r="5074">
          <cell r="B5074" t="str">
            <v>SWW5E78</v>
          </cell>
          <cell r="C5074" t="str">
            <v> </v>
          </cell>
        </row>
        <row r="5075">
          <cell r="B5075" t="str">
            <v>SWX3E45</v>
          </cell>
          <cell r="C5075" t="str">
            <v> </v>
          </cell>
        </row>
        <row r="5076">
          <cell r="B5076" t="str">
            <v>SWY8C17</v>
          </cell>
          <cell r="C5076" t="str">
            <v>Operando</v>
          </cell>
        </row>
        <row r="5077">
          <cell r="B5077" t="str">
            <v>SWZ7J67</v>
          </cell>
          <cell r="C5077" t="str">
            <v>Manutenção</v>
          </cell>
        </row>
        <row r="5078">
          <cell r="B5078" t="str">
            <v>SXA5C78</v>
          </cell>
          <cell r="C5078" t="str">
            <v>Operando</v>
          </cell>
        </row>
        <row r="5079">
          <cell r="B5079" t="str">
            <v>SXA5C88</v>
          </cell>
          <cell r="C5079" t="str">
            <v>Operando</v>
          </cell>
        </row>
        <row r="5080">
          <cell r="B5080" t="str">
            <v>SXA5D38</v>
          </cell>
          <cell r="C5080" t="str">
            <v>Operando</v>
          </cell>
        </row>
        <row r="5081">
          <cell r="B5081" t="str">
            <v>SXA5D58</v>
          </cell>
          <cell r="C5081" t="str">
            <v>Operando</v>
          </cell>
        </row>
        <row r="5082">
          <cell r="B5082" t="str">
            <v>SXB0F88</v>
          </cell>
          <cell r="C5082" t="str">
            <v>Operando</v>
          </cell>
        </row>
        <row r="5083">
          <cell r="B5083" t="str">
            <v>SXF9B38</v>
          </cell>
          <cell r="C5083" t="str">
            <v> </v>
          </cell>
        </row>
        <row r="5084">
          <cell r="B5084" t="str">
            <v>SXG6H24</v>
          </cell>
          <cell r="C5084" t="str">
            <v>Operando</v>
          </cell>
        </row>
        <row r="5085">
          <cell r="B5085" t="str">
            <v>SXH9F91</v>
          </cell>
          <cell r="C5085" t="str">
            <v> </v>
          </cell>
        </row>
        <row r="5086">
          <cell r="B5086" t="str">
            <v>SXJ9G52</v>
          </cell>
          <cell r="C5086" t="str">
            <v> </v>
          </cell>
        </row>
        <row r="5087">
          <cell r="B5087" t="str">
            <v>SXM8B85</v>
          </cell>
          <cell r="C5087" t="str">
            <v> </v>
          </cell>
        </row>
        <row r="5088">
          <cell r="B5088" t="str">
            <v>SXU6B28</v>
          </cell>
          <cell r="C5088" t="str">
            <v> </v>
          </cell>
        </row>
        <row r="5089">
          <cell r="B5089" t="str">
            <v>SXV5C98</v>
          </cell>
          <cell r="C5089" t="str">
            <v> </v>
          </cell>
        </row>
        <row r="5090">
          <cell r="B5090" t="str">
            <v>SXV5E68</v>
          </cell>
          <cell r="C5090" t="str">
            <v> </v>
          </cell>
        </row>
        <row r="5091">
          <cell r="B5091" t="str">
            <v>SYA9J04</v>
          </cell>
          <cell r="C5091" t="str">
            <v> </v>
          </cell>
        </row>
        <row r="5092">
          <cell r="B5092" t="str">
            <v>SYE0G97</v>
          </cell>
          <cell r="C5092" t="str">
            <v> </v>
          </cell>
        </row>
        <row r="5093">
          <cell r="B5093" t="str">
            <v>SYE0I28</v>
          </cell>
          <cell r="C5093" t="str">
            <v> </v>
          </cell>
        </row>
        <row r="5094">
          <cell r="B5094" t="str">
            <v>SYG8D81</v>
          </cell>
          <cell r="C5094" t="str">
            <v> </v>
          </cell>
        </row>
        <row r="5095">
          <cell r="B5095" t="str">
            <v>SYH9E32</v>
          </cell>
          <cell r="C5095" t="str">
            <v> </v>
          </cell>
        </row>
        <row r="5096">
          <cell r="B5096" t="str">
            <v>SYN6C51</v>
          </cell>
          <cell r="C5096" t="str">
            <v>Operando</v>
          </cell>
        </row>
        <row r="5097">
          <cell r="B5097" t="str">
            <v>SYO3H63</v>
          </cell>
          <cell r="C5097" t="str">
            <v> </v>
          </cell>
        </row>
        <row r="5098">
          <cell r="B5098" t="str">
            <v>SYZ5C19</v>
          </cell>
          <cell r="C5098" t="str">
            <v> </v>
          </cell>
        </row>
        <row r="5099">
          <cell r="B5099" t="str">
            <v>TAC9A69</v>
          </cell>
          <cell r="C5099" t="str">
            <v> </v>
          </cell>
        </row>
        <row r="5100">
          <cell r="B5100" t="str">
            <v>TAD9G09</v>
          </cell>
          <cell r="C5100" t="str">
            <v> </v>
          </cell>
        </row>
        <row r="5101">
          <cell r="B5101" t="str">
            <v>TAJ1H97</v>
          </cell>
          <cell r="C5101" t="str">
            <v> </v>
          </cell>
        </row>
        <row r="5102">
          <cell r="B5102" t="str">
            <v>TAJ5D50</v>
          </cell>
          <cell r="C5102" t="str">
            <v> </v>
          </cell>
        </row>
        <row r="5103">
          <cell r="B5103" t="str">
            <v>TAJ5D55</v>
          </cell>
          <cell r="C5103" t="str">
            <v> </v>
          </cell>
        </row>
        <row r="5104">
          <cell r="B5104" t="str">
            <v>TAJ5D59</v>
          </cell>
          <cell r="C5104" t="str">
            <v> </v>
          </cell>
        </row>
        <row r="5105">
          <cell r="B5105" t="str">
            <v>TAJ9I08</v>
          </cell>
          <cell r="C5105" t="str">
            <v> </v>
          </cell>
        </row>
        <row r="5106">
          <cell r="B5106" t="str">
            <v>TAK7B83</v>
          </cell>
          <cell r="C5106" t="str">
            <v>Operando</v>
          </cell>
        </row>
        <row r="5107">
          <cell r="B5107" t="str">
            <v>TAK7B86</v>
          </cell>
          <cell r="C5107" t="str">
            <v> </v>
          </cell>
        </row>
        <row r="5108">
          <cell r="B5108" t="str">
            <v>TAK7B94</v>
          </cell>
          <cell r="C5108" t="str">
            <v>Carregado</v>
          </cell>
        </row>
        <row r="5109">
          <cell r="B5109" t="str">
            <v>TAK7B96</v>
          </cell>
          <cell r="C5109" t="str">
            <v>Carregado</v>
          </cell>
        </row>
        <row r="5110">
          <cell r="B5110" t="str">
            <v>TAK7D09</v>
          </cell>
          <cell r="C5110" t="str">
            <v>Operando</v>
          </cell>
        </row>
        <row r="5111">
          <cell r="B5111" t="str">
            <v>TAK7D11</v>
          </cell>
          <cell r="C5111" t="str">
            <v>Manutenção</v>
          </cell>
        </row>
        <row r="5112">
          <cell r="B5112" t="str">
            <v>TAK7D13</v>
          </cell>
          <cell r="C5112" t="str">
            <v>Manutenção</v>
          </cell>
        </row>
        <row r="5113">
          <cell r="B5113" t="str">
            <v>TAK7D14</v>
          </cell>
          <cell r="C5113" t="str">
            <v>Carregado</v>
          </cell>
        </row>
        <row r="5114">
          <cell r="B5114" t="str">
            <v>TAK7D15</v>
          </cell>
          <cell r="C5114" t="str">
            <v>Operando</v>
          </cell>
        </row>
        <row r="5115">
          <cell r="B5115" t="str">
            <v>TAL3J35</v>
          </cell>
          <cell r="C5115" t="str">
            <v>Operando</v>
          </cell>
        </row>
        <row r="5116">
          <cell r="B5116" t="str">
            <v>TAO0D65</v>
          </cell>
          <cell r="C5116" t="str">
            <v>Carregado</v>
          </cell>
        </row>
        <row r="5117">
          <cell r="B5117" t="str">
            <v>TAO3J34</v>
          </cell>
          <cell r="C5117" t="str">
            <v>Carregado</v>
          </cell>
        </row>
        <row r="5118">
          <cell r="B5118" t="str">
            <v>TAO3J35</v>
          </cell>
          <cell r="C5118" t="str">
            <v>Operando</v>
          </cell>
        </row>
        <row r="5119">
          <cell r="B5119" t="str">
            <v>TAO3J41</v>
          </cell>
          <cell r="C5119" t="str">
            <v>Operando</v>
          </cell>
        </row>
        <row r="5120">
          <cell r="B5120" t="str">
            <v>TAO3J92</v>
          </cell>
          <cell r="C5120" t="str">
            <v> </v>
          </cell>
        </row>
        <row r="5121">
          <cell r="B5121" t="str">
            <v>TAO4A31</v>
          </cell>
          <cell r="C5121" t="str">
            <v> </v>
          </cell>
        </row>
        <row r="5122">
          <cell r="B5122" t="str">
            <v>TAO5A35</v>
          </cell>
          <cell r="C5122" t="str">
            <v>Carregado</v>
          </cell>
        </row>
        <row r="5123">
          <cell r="B5123" t="str">
            <v>TAO5A38</v>
          </cell>
          <cell r="C5123" t="str">
            <v>Operando</v>
          </cell>
        </row>
        <row r="5124">
          <cell r="B5124" t="str">
            <v>TAO9D16</v>
          </cell>
          <cell r="C5124" t="str">
            <v>Manutenção</v>
          </cell>
        </row>
        <row r="5125">
          <cell r="B5125" t="str">
            <v>TAP3F30</v>
          </cell>
          <cell r="C5125" t="str">
            <v>Operando</v>
          </cell>
        </row>
        <row r="5126">
          <cell r="B5126" t="str">
            <v>TAU8H40</v>
          </cell>
          <cell r="C5126" t="str">
            <v> </v>
          </cell>
        </row>
        <row r="5127">
          <cell r="B5127" t="str">
            <v>TAV6E06</v>
          </cell>
          <cell r="C5127" t="str">
            <v> </v>
          </cell>
        </row>
        <row r="5128">
          <cell r="B5128" t="str">
            <v>TAX3E61</v>
          </cell>
          <cell r="C5128" t="str">
            <v> </v>
          </cell>
        </row>
        <row r="5129">
          <cell r="B5129" t="str">
            <v>TBO7E16</v>
          </cell>
          <cell r="C5129" t="str">
            <v> </v>
          </cell>
        </row>
        <row r="5130">
          <cell r="B5130" t="str">
            <v>TBO9G12</v>
          </cell>
          <cell r="C5130" t="str">
            <v> </v>
          </cell>
        </row>
        <row r="5131">
          <cell r="B5131" t="str">
            <v>TBZ7F05</v>
          </cell>
          <cell r="C5131" t="str">
            <v> </v>
          </cell>
        </row>
        <row r="5132">
          <cell r="B5132" t="str">
            <v>TCA8B57</v>
          </cell>
          <cell r="C5132" t="str">
            <v> </v>
          </cell>
        </row>
        <row r="5133">
          <cell r="B5133" t="str">
            <v>TCB7158</v>
          </cell>
          <cell r="C5133" t="str">
            <v> </v>
          </cell>
        </row>
        <row r="5134">
          <cell r="B5134" t="str">
            <v>TCE1D74</v>
          </cell>
          <cell r="C5134" t="str">
            <v> </v>
          </cell>
        </row>
        <row r="5135">
          <cell r="B5135" t="str">
            <v>TCG3114</v>
          </cell>
          <cell r="C5135" t="str">
            <v> </v>
          </cell>
        </row>
        <row r="5136">
          <cell r="B5136" t="str">
            <v>TCG3H60</v>
          </cell>
          <cell r="C5136" t="str">
            <v> </v>
          </cell>
        </row>
        <row r="5137">
          <cell r="B5137" t="str">
            <v>TCG3I14</v>
          </cell>
          <cell r="C5137" t="str">
            <v> </v>
          </cell>
        </row>
        <row r="5138">
          <cell r="B5138" t="str">
            <v>TCG3I36</v>
          </cell>
          <cell r="C5138" t="str">
            <v>Operando</v>
          </cell>
        </row>
        <row r="5139">
          <cell r="B5139" t="str">
            <v>TCG3I94</v>
          </cell>
          <cell r="C5139" t="str">
            <v> </v>
          </cell>
        </row>
        <row r="5140">
          <cell r="B5140" t="str">
            <v>TCG6F56</v>
          </cell>
          <cell r="C5140" t="str">
            <v> </v>
          </cell>
        </row>
        <row r="5141">
          <cell r="B5141" t="str">
            <v>TCG6F59</v>
          </cell>
          <cell r="C5141" t="str">
            <v> </v>
          </cell>
        </row>
        <row r="5142">
          <cell r="B5142" t="str">
            <v>TCK7E75</v>
          </cell>
          <cell r="C5142" t="str">
            <v>Agregado</v>
          </cell>
        </row>
        <row r="5143">
          <cell r="B5143" t="str">
            <v>TCK9D55</v>
          </cell>
          <cell r="C5143" t="str">
            <v>Operando</v>
          </cell>
        </row>
        <row r="5144">
          <cell r="B5144" t="str">
            <v>TCL2B29</v>
          </cell>
          <cell r="C5144" t="str">
            <v> </v>
          </cell>
        </row>
        <row r="5145">
          <cell r="B5145" t="str">
            <v>TCM6B07</v>
          </cell>
          <cell r="C5145" t="str">
            <v> </v>
          </cell>
        </row>
        <row r="5146">
          <cell r="B5146" t="str">
            <v>TCR2A23</v>
          </cell>
          <cell r="C5146" t="str">
            <v> </v>
          </cell>
        </row>
        <row r="5147">
          <cell r="B5147" t="str">
            <v>TCT2C63</v>
          </cell>
          <cell r="C5147" t="str">
            <v>Operando</v>
          </cell>
        </row>
        <row r="5148">
          <cell r="B5148" t="str">
            <v>TCT2C85</v>
          </cell>
          <cell r="C5148" t="str">
            <v> </v>
          </cell>
        </row>
        <row r="5149">
          <cell r="B5149" t="str">
            <v>TCT2H39</v>
          </cell>
          <cell r="C5149" t="str">
            <v> </v>
          </cell>
        </row>
        <row r="5150">
          <cell r="B5150" t="str">
            <v>TCT5E05</v>
          </cell>
          <cell r="C5150" t="str">
            <v> </v>
          </cell>
        </row>
        <row r="5151">
          <cell r="B5151" t="str">
            <v>TCU6C80</v>
          </cell>
          <cell r="C5151" t="str">
            <v> </v>
          </cell>
        </row>
        <row r="5152">
          <cell r="B5152" t="str">
            <v>TCU7J64</v>
          </cell>
          <cell r="C5152" t="str">
            <v> </v>
          </cell>
        </row>
        <row r="5153">
          <cell r="B5153" t="str">
            <v>TCU8E26</v>
          </cell>
          <cell r="C5153" t="str">
            <v>Operando</v>
          </cell>
        </row>
        <row r="5154">
          <cell r="B5154" t="str">
            <v>TCY7H25</v>
          </cell>
          <cell r="C5154" t="str">
            <v>Operando</v>
          </cell>
        </row>
        <row r="5155">
          <cell r="B5155" t="str">
            <v>TDA3D89</v>
          </cell>
          <cell r="C5155" t="str">
            <v> </v>
          </cell>
        </row>
        <row r="5156">
          <cell r="B5156" t="str">
            <v>TDB4G61</v>
          </cell>
          <cell r="C5156" t="str">
            <v>Agregado</v>
          </cell>
        </row>
        <row r="5157">
          <cell r="B5157" t="str">
            <v>TDC6A73</v>
          </cell>
          <cell r="C5157" t="str">
            <v> </v>
          </cell>
        </row>
        <row r="5158">
          <cell r="B5158" t="str">
            <v>TDC6C71</v>
          </cell>
          <cell r="C5158" t="str">
            <v> </v>
          </cell>
        </row>
        <row r="5159">
          <cell r="B5159" t="str">
            <v>TDE5B24</v>
          </cell>
          <cell r="C5159" t="str">
            <v> </v>
          </cell>
        </row>
        <row r="5160">
          <cell r="B5160" t="str">
            <v>TDF3F38</v>
          </cell>
          <cell r="C5160" t="str">
            <v> </v>
          </cell>
        </row>
        <row r="5161">
          <cell r="B5161" t="str">
            <v>TDF3F81</v>
          </cell>
          <cell r="C5161" t="str">
            <v> </v>
          </cell>
        </row>
        <row r="5162">
          <cell r="B5162" t="str">
            <v>TDG0H40</v>
          </cell>
          <cell r="C5162" t="str">
            <v> </v>
          </cell>
        </row>
        <row r="5163">
          <cell r="B5163" t="str">
            <v>TDK9A91</v>
          </cell>
          <cell r="C5163" t="str">
            <v>Operando</v>
          </cell>
        </row>
        <row r="5164">
          <cell r="B5164" t="str">
            <v>TDL0F22</v>
          </cell>
          <cell r="C5164" t="str">
            <v> </v>
          </cell>
        </row>
        <row r="5165">
          <cell r="B5165" t="str">
            <v>TDL6B38</v>
          </cell>
          <cell r="C5165" t="str">
            <v> </v>
          </cell>
        </row>
        <row r="5166">
          <cell r="B5166" t="str">
            <v>TDM8H07</v>
          </cell>
          <cell r="C5166" t="str">
            <v>Agregado</v>
          </cell>
        </row>
        <row r="5167">
          <cell r="B5167" t="str">
            <v>TDN6G58</v>
          </cell>
          <cell r="C5167" t="str">
            <v> </v>
          </cell>
        </row>
        <row r="5168">
          <cell r="B5168" t="str">
            <v>TDT2D05</v>
          </cell>
          <cell r="C5168" t="str">
            <v> </v>
          </cell>
        </row>
        <row r="5169">
          <cell r="B5169" t="str">
            <v>TDV1I80</v>
          </cell>
          <cell r="C5169" t="str">
            <v>Agregado</v>
          </cell>
        </row>
        <row r="5170">
          <cell r="B5170" t="str">
            <v>TDX6B74</v>
          </cell>
          <cell r="C5170" t="str">
            <v> </v>
          </cell>
        </row>
        <row r="5171">
          <cell r="B5171" t="str">
            <v>TDX8J99</v>
          </cell>
          <cell r="C5171" t="str">
            <v>Operando</v>
          </cell>
        </row>
        <row r="5172">
          <cell r="B5172" t="str">
            <v>TEB1C90</v>
          </cell>
          <cell r="C5172" t="str">
            <v> </v>
          </cell>
        </row>
        <row r="5173">
          <cell r="B5173" t="str">
            <v>TEB1C91</v>
          </cell>
          <cell r="C5173" t="str">
            <v> </v>
          </cell>
        </row>
        <row r="5174">
          <cell r="B5174" t="str">
            <v>TEB4J04</v>
          </cell>
          <cell r="C5174" t="str">
            <v>Operando</v>
          </cell>
        </row>
        <row r="5175">
          <cell r="B5175" t="str">
            <v>TEH2A11</v>
          </cell>
          <cell r="C5175" t="str">
            <v> </v>
          </cell>
        </row>
        <row r="5176">
          <cell r="B5176" t="str">
            <v>TEI8I89</v>
          </cell>
          <cell r="C5176" t="str">
            <v>Operando</v>
          </cell>
        </row>
        <row r="5177">
          <cell r="B5177" t="str">
            <v>TEI8J27</v>
          </cell>
          <cell r="C5177" t="str">
            <v> </v>
          </cell>
        </row>
        <row r="5178">
          <cell r="B5178" t="str">
            <v>TEI8J89</v>
          </cell>
          <cell r="C5178" t="str">
            <v> </v>
          </cell>
        </row>
        <row r="5179">
          <cell r="B5179" t="str">
            <v>TEJ1J20</v>
          </cell>
          <cell r="C5179" t="str">
            <v>Manutenção</v>
          </cell>
        </row>
        <row r="5180">
          <cell r="B5180" t="str">
            <v>TEJ1J72</v>
          </cell>
          <cell r="C5180" t="str">
            <v> </v>
          </cell>
        </row>
        <row r="5181">
          <cell r="B5181" t="str">
            <v>TEJ1J75</v>
          </cell>
          <cell r="C5181" t="str">
            <v> </v>
          </cell>
        </row>
        <row r="5182">
          <cell r="B5182" t="str">
            <v>TEJ9J56</v>
          </cell>
          <cell r="C5182" t="str">
            <v> </v>
          </cell>
        </row>
        <row r="5183">
          <cell r="B5183" t="str">
            <v>TEP2F06</v>
          </cell>
          <cell r="C5183" t="str">
            <v>Sem operação</v>
          </cell>
        </row>
        <row r="5184">
          <cell r="B5184" t="str">
            <v>TEP3C67</v>
          </cell>
          <cell r="C5184" t="str">
            <v> </v>
          </cell>
        </row>
        <row r="5185">
          <cell r="B5185" t="str">
            <v>TEQ8D18</v>
          </cell>
          <cell r="C5185" t="str">
            <v>Operando</v>
          </cell>
        </row>
        <row r="5186">
          <cell r="B5186" t="str">
            <v>TES0G07</v>
          </cell>
          <cell r="C5186" t="str">
            <v> </v>
          </cell>
        </row>
        <row r="5187">
          <cell r="B5187" t="str">
            <v>TEU0G06</v>
          </cell>
          <cell r="C5187" t="str">
            <v>Operando</v>
          </cell>
        </row>
        <row r="5188">
          <cell r="B5188" t="str">
            <v>TEV9E72</v>
          </cell>
          <cell r="C5188" t="str">
            <v> </v>
          </cell>
        </row>
        <row r="5189">
          <cell r="B5189" t="str">
            <v>TEW9D98</v>
          </cell>
          <cell r="C5189" t="str">
            <v>Operando</v>
          </cell>
        </row>
        <row r="5190">
          <cell r="B5190" t="str">
            <v>TFJ2J16</v>
          </cell>
          <cell r="C5190" t="str">
            <v> </v>
          </cell>
        </row>
        <row r="5191">
          <cell r="B5191" t="str">
            <v>TGF0H65</v>
          </cell>
          <cell r="C5191" t="str">
            <v>Operando</v>
          </cell>
        </row>
        <row r="5192">
          <cell r="B5192" t="str">
            <v>TIE1G11</v>
          </cell>
          <cell r="C5192" t="str">
            <v>Operando</v>
          </cell>
        </row>
        <row r="5193">
          <cell r="B5193" t="str">
            <v>TIQ6A16</v>
          </cell>
          <cell r="C5193" t="str">
            <v>Operando</v>
          </cell>
        </row>
        <row r="5194">
          <cell r="B5194" t="str">
            <v>TIR5C88</v>
          </cell>
          <cell r="C5194" t="str">
            <v> </v>
          </cell>
        </row>
        <row r="5195">
          <cell r="B5195" t="str">
            <v>TIR9A26</v>
          </cell>
          <cell r="C5195" t="str">
            <v> </v>
          </cell>
        </row>
        <row r="5196">
          <cell r="B5196" t="str">
            <v>TIS2I08</v>
          </cell>
          <cell r="C5196" t="str">
            <v> </v>
          </cell>
        </row>
        <row r="5197">
          <cell r="B5197" t="str">
            <v>TIS5B82</v>
          </cell>
          <cell r="C5197" t="str">
            <v> </v>
          </cell>
        </row>
        <row r="5198">
          <cell r="B5198" t="str">
            <v>TIT5E08</v>
          </cell>
          <cell r="C5198" t="str">
            <v> </v>
          </cell>
        </row>
        <row r="5199">
          <cell r="B5199" t="str">
            <v>TIV4J00</v>
          </cell>
          <cell r="C5199" t="str">
            <v> </v>
          </cell>
        </row>
        <row r="5200">
          <cell r="B5200" t="str">
            <v>TIV8G15</v>
          </cell>
          <cell r="C5200" t="str">
            <v> </v>
          </cell>
        </row>
        <row r="5201">
          <cell r="B5201" t="str">
            <v>TIY7H48</v>
          </cell>
          <cell r="C5201" t="str">
            <v> </v>
          </cell>
        </row>
        <row r="5202">
          <cell r="B5202" t="str">
            <v>TJB7A67</v>
          </cell>
          <cell r="C5202" t="str">
            <v> </v>
          </cell>
        </row>
        <row r="5203">
          <cell r="B5203" t="str">
            <v>TJC0F85</v>
          </cell>
          <cell r="C5203" t="str">
            <v> </v>
          </cell>
        </row>
        <row r="5204">
          <cell r="B5204" t="str">
            <v>TJE6B54</v>
          </cell>
          <cell r="C5204" t="str">
            <v>Operando</v>
          </cell>
        </row>
        <row r="5205">
          <cell r="B5205" t="str">
            <v>TJE8E15</v>
          </cell>
          <cell r="C5205" t="str">
            <v> </v>
          </cell>
        </row>
        <row r="5206">
          <cell r="B5206" t="str">
            <v>TJG8I26</v>
          </cell>
          <cell r="C5206" t="str">
            <v>Operando</v>
          </cell>
        </row>
        <row r="5207">
          <cell r="B5207" t="str">
            <v>TJI8H56</v>
          </cell>
          <cell r="C5207" t="str">
            <v>Operando</v>
          </cell>
        </row>
        <row r="5208">
          <cell r="B5208" t="str">
            <v>TJL2I83</v>
          </cell>
          <cell r="C5208" t="str">
            <v>Operando</v>
          </cell>
        </row>
        <row r="5209">
          <cell r="B5209" t="str">
            <v>TJO3G96</v>
          </cell>
          <cell r="C5209" t="str">
            <v> </v>
          </cell>
        </row>
        <row r="5210">
          <cell r="B5210" t="str">
            <v>TJQ7H28</v>
          </cell>
          <cell r="C5210" t="str">
            <v> </v>
          </cell>
        </row>
        <row r="5211">
          <cell r="B5211" t="str">
            <v>TJS6E17</v>
          </cell>
          <cell r="C5211" t="str">
            <v>Operando</v>
          </cell>
        </row>
        <row r="5212">
          <cell r="B5212" t="str">
            <v>TJU6D89</v>
          </cell>
          <cell r="C5212" t="str">
            <v> </v>
          </cell>
        </row>
        <row r="5213">
          <cell r="B5213" t="str">
            <v>TJV1C85</v>
          </cell>
          <cell r="C5213" t="str">
            <v>Operando</v>
          </cell>
        </row>
        <row r="5214">
          <cell r="B5214" t="str">
            <v>TJW3J78</v>
          </cell>
          <cell r="C5214" t="str">
            <v>Carregado</v>
          </cell>
        </row>
        <row r="5215">
          <cell r="B5215" t="str">
            <v>TJW9G60</v>
          </cell>
          <cell r="C5215" t="str">
            <v> </v>
          </cell>
        </row>
        <row r="5216">
          <cell r="B5216" t="str">
            <v>TKA0J88</v>
          </cell>
          <cell r="C5216" t="str">
            <v> </v>
          </cell>
        </row>
        <row r="5217">
          <cell r="B5217" t="str">
            <v>TKB9I09</v>
          </cell>
          <cell r="C5217" t="str">
            <v> </v>
          </cell>
        </row>
        <row r="5218">
          <cell r="B5218" t="str">
            <v>TKC0E37</v>
          </cell>
          <cell r="C5218" t="str">
            <v> </v>
          </cell>
        </row>
        <row r="5219">
          <cell r="B5219" t="str">
            <v>TKC8H49</v>
          </cell>
          <cell r="C5219" t="str">
            <v> </v>
          </cell>
        </row>
        <row r="5220">
          <cell r="B5220" t="str">
            <v>TKE5B98</v>
          </cell>
          <cell r="C5220" t="str">
            <v>Carregado</v>
          </cell>
        </row>
        <row r="5221">
          <cell r="B5221" t="str">
            <v>TKF8H88</v>
          </cell>
          <cell r="C5221" t="str">
            <v> </v>
          </cell>
        </row>
        <row r="5222">
          <cell r="B5222" t="str">
            <v>TKK9J38</v>
          </cell>
          <cell r="C5222" t="str">
            <v> </v>
          </cell>
        </row>
        <row r="5223">
          <cell r="B5223" t="str">
            <v>TKM4F45</v>
          </cell>
          <cell r="C5223" t="str">
            <v>Operando</v>
          </cell>
        </row>
        <row r="5224">
          <cell r="B5224" t="str">
            <v>TKM8C40</v>
          </cell>
          <cell r="C5224" t="str">
            <v> </v>
          </cell>
        </row>
        <row r="5225">
          <cell r="B5225" t="str">
            <v>TKS9E99</v>
          </cell>
          <cell r="C5225" t="str">
            <v> </v>
          </cell>
        </row>
        <row r="5226">
          <cell r="B5226" t="str">
            <v>TKU4I20</v>
          </cell>
          <cell r="C5226" t="str">
            <v> </v>
          </cell>
        </row>
        <row r="5227">
          <cell r="B5227" t="str">
            <v>TKZ0J06</v>
          </cell>
          <cell r="C5227" t="str">
            <v>Operando</v>
          </cell>
        </row>
        <row r="5228">
          <cell r="B5228" t="str">
            <v>TLA0E99</v>
          </cell>
          <cell r="C5228" t="str">
            <v> </v>
          </cell>
        </row>
        <row r="5229">
          <cell r="B5229" t="str">
            <v>TLA2J30</v>
          </cell>
          <cell r="C5229" t="str">
            <v> </v>
          </cell>
        </row>
        <row r="5230">
          <cell r="B5230" t="str">
            <v>TLB4G35</v>
          </cell>
          <cell r="C5230" t="str">
            <v> </v>
          </cell>
        </row>
        <row r="5231">
          <cell r="B5231" t="str">
            <v>TLE4D84</v>
          </cell>
          <cell r="C5231" t="str">
            <v> </v>
          </cell>
        </row>
        <row r="5232">
          <cell r="B5232" t="str">
            <v>TLF2J77</v>
          </cell>
          <cell r="C5232" t="str">
            <v>Operando</v>
          </cell>
        </row>
        <row r="5233">
          <cell r="B5233" t="str">
            <v>TLJ9H08</v>
          </cell>
          <cell r="C5233" t="str">
            <v> </v>
          </cell>
        </row>
        <row r="5234">
          <cell r="B5234" t="str">
            <v>TLK9H18</v>
          </cell>
          <cell r="C5234" t="str">
            <v>Operando</v>
          </cell>
        </row>
        <row r="5235">
          <cell r="B5235" t="str">
            <v>TLL2F75</v>
          </cell>
          <cell r="C5235" t="str">
            <v> </v>
          </cell>
        </row>
        <row r="5236">
          <cell r="B5236" t="str">
            <v>TLL9D68</v>
          </cell>
          <cell r="C5236" t="str">
            <v> </v>
          </cell>
        </row>
        <row r="5237">
          <cell r="B5237" t="str">
            <v>TLM3C68</v>
          </cell>
          <cell r="C5237" t="str">
            <v> </v>
          </cell>
        </row>
        <row r="5238">
          <cell r="B5238" t="str">
            <v>TLN2J87</v>
          </cell>
          <cell r="C5238" t="str">
            <v>Operando</v>
          </cell>
        </row>
        <row r="5239">
          <cell r="B5239" t="str">
            <v>TLN5J37</v>
          </cell>
          <cell r="C5239" t="str">
            <v> </v>
          </cell>
        </row>
        <row r="5240">
          <cell r="B5240" t="str">
            <v>TLO9H58</v>
          </cell>
          <cell r="C5240" t="str">
            <v> </v>
          </cell>
        </row>
        <row r="5241">
          <cell r="B5241" t="str">
            <v>TLQ1E11</v>
          </cell>
          <cell r="C5241" t="str">
            <v> </v>
          </cell>
        </row>
        <row r="5242">
          <cell r="B5242" t="str">
            <v>TLQ1J15</v>
          </cell>
          <cell r="C5242" t="str">
            <v>Operando</v>
          </cell>
        </row>
        <row r="5243">
          <cell r="B5243" t="str">
            <v>TLQ6C88</v>
          </cell>
          <cell r="C5243" t="str">
            <v> </v>
          </cell>
        </row>
        <row r="5244">
          <cell r="B5244" t="str">
            <v>TLS7I19</v>
          </cell>
          <cell r="C5244" t="str">
            <v> </v>
          </cell>
        </row>
        <row r="5245">
          <cell r="B5245" t="str">
            <v>TLT2E38</v>
          </cell>
          <cell r="C5245" t="str">
            <v> </v>
          </cell>
        </row>
        <row r="5246">
          <cell r="B5246" t="str">
            <v>TLU3G50</v>
          </cell>
          <cell r="C5246" t="str">
            <v> </v>
          </cell>
        </row>
        <row r="5247">
          <cell r="B5247" t="str">
            <v>TLW7J19</v>
          </cell>
          <cell r="C5247" t="str">
            <v> </v>
          </cell>
        </row>
        <row r="5248">
          <cell r="B5248" t="str">
            <v>TLX2F67</v>
          </cell>
          <cell r="C5248" t="str">
            <v> </v>
          </cell>
        </row>
        <row r="5249">
          <cell r="B5249" t="str">
            <v>TLZ6J18</v>
          </cell>
          <cell r="C5249" t="str">
            <v> </v>
          </cell>
        </row>
        <row r="5250">
          <cell r="B5250" t="str">
            <v>TMB1B26</v>
          </cell>
          <cell r="C5250" t="str">
            <v> </v>
          </cell>
        </row>
        <row r="5251">
          <cell r="B5251" t="str">
            <v>TMC9F34</v>
          </cell>
          <cell r="C5251" t="str">
            <v>Carregado</v>
          </cell>
        </row>
        <row r="5252">
          <cell r="B5252" t="str">
            <v>TMD2F59</v>
          </cell>
          <cell r="C5252" t="str">
            <v> </v>
          </cell>
        </row>
        <row r="5253">
          <cell r="B5253" t="str">
            <v>TMD7E58</v>
          </cell>
          <cell r="C5253" t="str">
            <v>Operando</v>
          </cell>
        </row>
        <row r="5254">
          <cell r="B5254" t="str">
            <v>TMD8B98</v>
          </cell>
          <cell r="C5254" t="str">
            <v> </v>
          </cell>
        </row>
        <row r="5255">
          <cell r="B5255" t="str">
            <v>TME3B67</v>
          </cell>
          <cell r="C5255" t="str">
            <v> </v>
          </cell>
        </row>
        <row r="5256">
          <cell r="B5256" t="str">
            <v>TOE2A40</v>
          </cell>
          <cell r="C5256" t="str">
            <v>Carregado</v>
          </cell>
        </row>
        <row r="5257">
          <cell r="B5257" t="str">
            <v>TOE2B98</v>
          </cell>
          <cell r="C5257" t="str">
            <v>Manutenção</v>
          </cell>
        </row>
        <row r="5258">
          <cell r="B5258" t="str">
            <v>TOE2C44</v>
          </cell>
          <cell r="C5258" t="str">
            <v>Carregado</v>
          </cell>
        </row>
        <row r="5259">
          <cell r="B5259" t="str">
            <v>TOE2C44</v>
          </cell>
          <cell r="C5259" t="str">
            <v>Carregado</v>
          </cell>
        </row>
        <row r="5260">
          <cell r="B5260" t="str">
            <v>TOE2C50</v>
          </cell>
          <cell r="C5260" t="str">
            <v>Carregado</v>
          </cell>
        </row>
        <row r="5261">
          <cell r="B5261" t="str">
            <v>TOE2C53</v>
          </cell>
          <cell r="C5261" t="str">
            <v>Carregado</v>
          </cell>
        </row>
        <row r="5262">
          <cell r="B5262" t="str">
            <v>TOE2C57</v>
          </cell>
          <cell r="C5262" t="str">
            <v>Carregado</v>
          </cell>
        </row>
        <row r="5263">
          <cell r="B5263" t="str">
            <v>TOE7C30</v>
          </cell>
          <cell r="C5263" t="str">
            <v>Operando</v>
          </cell>
        </row>
        <row r="5264">
          <cell r="B5264" t="str">
            <v>TOE7C71</v>
          </cell>
          <cell r="C5264" t="str">
            <v>Manutenção</v>
          </cell>
        </row>
        <row r="5265">
          <cell r="B5265" t="str">
            <v>TOE7C88</v>
          </cell>
          <cell r="C5265" t="str">
            <v>Carregado</v>
          </cell>
        </row>
        <row r="5266">
          <cell r="B5266" t="str">
            <v>TOE7C89</v>
          </cell>
          <cell r="C5266" t="str">
            <v>Operando</v>
          </cell>
        </row>
        <row r="5267">
          <cell r="B5267" t="str">
            <v>TOE7C92</v>
          </cell>
          <cell r="C5267" t="str">
            <v>Operando</v>
          </cell>
        </row>
        <row r="5268">
          <cell r="B5268" t="str">
            <v>TOE7C95</v>
          </cell>
          <cell r="C5268" t="str">
            <v> </v>
          </cell>
        </row>
        <row r="5269">
          <cell r="B5269" t="str">
            <v>TOE7C97</v>
          </cell>
          <cell r="C5269" t="str">
            <v>Carregado</v>
          </cell>
        </row>
        <row r="5270">
          <cell r="B5270" t="str">
            <v>TOE7D00</v>
          </cell>
          <cell r="C5270" t="str">
            <v>Operando</v>
          </cell>
        </row>
        <row r="5271">
          <cell r="B5271" t="str">
            <v>TOE7D03</v>
          </cell>
          <cell r="C5271" t="str">
            <v> </v>
          </cell>
        </row>
        <row r="5272">
          <cell r="B5272" t="str">
            <v>TOE7D05</v>
          </cell>
          <cell r="C5272" t="str">
            <v>Carregado</v>
          </cell>
        </row>
        <row r="5273">
          <cell r="B5273" t="str">
            <v>TOE7D08</v>
          </cell>
          <cell r="C5273" t="str">
            <v>Operando</v>
          </cell>
        </row>
        <row r="5274">
          <cell r="B5274" t="str">
            <v>TOE7D13</v>
          </cell>
          <cell r="C5274" t="str">
            <v> </v>
          </cell>
        </row>
        <row r="5275">
          <cell r="B5275" t="str">
            <v>TOE7D16</v>
          </cell>
          <cell r="C5275" t="str">
            <v>Carregado</v>
          </cell>
        </row>
        <row r="5276">
          <cell r="B5276" t="str">
            <v>TOE7D22</v>
          </cell>
          <cell r="C5276" t="str">
            <v>Carregado</v>
          </cell>
        </row>
        <row r="5277">
          <cell r="B5277" t="str">
            <v>TOE7D25</v>
          </cell>
          <cell r="C5277" t="str">
            <v> </v>
          </cell>
        </row>
        <row r="5278">
          <cell r="B5278" t="str">
            <v>TOE7D26</v>
          </cell>
          <cell r="C5278" t="str">
            <v>Carregado</v>
          </cell>
        </row>
        <row r="5279">
          <cell r="B5279" t="str">
            <v>TOE7D28</v>
          </cell>
          <cell r="C5279" t="str">
            <v>Operando</v>
          </cell>
        </row>
        <row r="5280">
          <cell r="B5280" t="str">
            <v>TOE7D29</v>
          </cell>
          <cell r="C5280" t="str">
            <v>Carregado</v>
          </cell>
        </row>
        <row r="5281">
          <cell r="B5281" t="str">
            <v>TOH8C48</v>
          </cell>
          <cell r="C5281" t="str">
            <v> </v>
          </cell>
        </row>
        <row r="5282">
          <cell r="B5282" t="str">
            <v>TPI3A65</v>
          </cell>
          <cell r="C5282" t="str">
            <v>Operando</v>
          </cell>
        </row>
        <row r="5283">
          <cell r="B5283" t="str">
            <v>TPV6C27</v>
          </cell>
          <cell r="C5283" t="str">
            <v> </v>
          </cell>
        </row>
        <row r="5284">
          <cell r="B5284" t="str">
            <v>TQW3C87</v>
          </cell>
          <cell r="C5284" t="str">
            <v> </v>
          </cell>
        </row>
        <row r="5285">
          <cell r="B5285" t="str">
            <v>TRY0G53</v>
          </cell>
          <cell r="C5285" t="str">
            <v> </v>
          </cell>
        </row>
        <row r="5286">
          <cell r="B5286" t="str">
            <v>TRZ6C16</v>
          </cell>
          <cell r="C5286" t="str">
            <v> </v>
          </cell>
        </row>
        <row r="5287">
          <cell r="B5287" t="str">
            <v>TRZ6I77</v>
          </cell>
          <cell r="C5287" t="str">
            <v> </v>
          </cell>
        </row>
        <row r="5288">
          <cell r="B5288" t="str">
            <v>TSC7G47</v>
          </cell>
          <cell r="C5288" t="str">
            <v> </v>
          </cell>
        </row>
        <row r="5289">
          <cell r="B5289" t="str">
            <v>TSD8F86</v>
          </cell>
          <cell r="C5289" t="str">
            <v> </v>
          </cell>
        </row>
        <row r="5290">
          <cell r="B5290" t="str">
            <v>TSG4C26</v>
          </cell>
          <cell r="C5290" t="str">
            <v>Operando</v>
          </cell>
        </row>
        <row r="5291">
          <cell r="B5291" t="str">
            <v>TSM6G87</v>
          </cell>
          <cell r="C5291" t="str">
            <v>Operando</v>
          </cell>
        </row>
        <row r="5292">
          <cell r="B5292" t="str">
            <v>TTA3A95</v>
          </cell>
          <cell r="C5292" t="str">
            <v>Agregado</v>
          </cell>
        </row>
        <row r="5293">
          <cell r="B5293" t="str">
            <v>TTB5C29</v>
          </cell>
          <cell r="C5293" t="str">
            <v> </v>
          </cell>
        </row>
        <row r="5294">
          <cell r="B5294" t="str">
            <v>TTP1C77</v>
          </cell>
          <cell r="C5294" t="str">
            <v> </v>
          </cell>
        </row>
        <row r="5295">
          <cell r="B5295" t="str">
            <v>TTP6I41</v>
          </cell>
          <cell r="C5295" t="str">
            <v>Operando</v>
          </cell>
        </row>
        <row r="5296">
          <cell r="B5296" t="str">
            <v>TTT9C03</v>
          </cell>
          <cell r="C5296" t="str">
            <v>Operando</v>
          </cell>
        </row>
        <row r="5297">
          <cell r="B5297" t="str">
            <v>TTV2F71</v>
          </cell>
          <cell r="C5297" t="str">
            <v>Operando</v>
          </cell>
        </row>
        <row r="5298">
          <cell r="B5298" t="str">
            <v>TUL1B81</v>
          </cell>
          <cell r="C5298" t="str">
            <v> </v>
          </cell>
        </row>
        <row r="5299">
          <cell r="B5299" t="str">
            <v>TWY8I58</v>
          </cell>
          <cell r="C5299" t="str">
            <v>Operando</v>
          </cell>
        </row>
        <row r="5300">
          <cell r="B5300" t="str">
            <v>TWZ8H56</v>
          </cell>
          <cell r="C5300" t="str">
            <v>Operando</v>
          </cell>
        </row>
        <row r="5301">
          <cell r="B5301" t="str">
            <v>TXA0J80</v>
          </cell>
          <cell r="C5301" t="str">
            <v> </v>
          </cell>
        </row>
        <row r="5302">
          <cell r="B5302" t="str">
            <v>TXA1A14</v>
          </cell>
          <cell r="C5302" t="str">
            <v>Operando</v>
          </cell>
        </row>
        <row r="5303">
          <cell r="B5303" t="str">
            <v>TXA1A15</v>
          </cell>
          <cell r="C5303" t="str">
            <v>Operando</v>
          </cell>
        </row>
        <row r="5304">
          <cell r="B5304" t="str">
            <v>TXA1F16</v>
          </cell>
          <cell r="C5304" t="str">
            <v>Operando</v>
          </cell>
        </row>
        <row r="5305">
          <cell r="B5305" t="str">
            <v>TXAOJ80</v>
          </cell>
          <cell r="C5305" t="str">
            <v> </v>
          </cell>
        </row>
        <row r="5306">
          <cell r="B5306" t="str">
            <v>TXD1I53</v>
          </cell>
          <cell r="C5306" t="str">
            <v>Operando</v>
          </cell>
        </row>
        <row r="5307">
          <cell r="B5307" t="str">
            <v>TXG1B15</v>
          </cell>
          <cell r="C5307" t="str">
            <v>Operando</v>
          </cell>
        </row>
        <row r="5308">
          <cell r="B5308" t="str">
            <v>TXJ6J84</v>
          </cell>
          <cell r="C5308" t="str">
            <v>Operando</v>
          </cell>
        </row>
        <row r="5309">
          <cell r="B5309" t="str">
            <v>TXK2J99</v>
          </cell>
          <cell r="C5309" t="str">
            <v> </v>
          </cell>
        </row>
        <row r="5310">
          <cell r="B5310" t="str">
            <v>TXK4H62</v>
          </cell>
          <cell r="C5310" t="str">
            <v>Operando</v>
          </cell>
        </row>
        <row r="5311">
          <cell r="B5311" t="str">
            <v>TXN1J75</v>
          </cell>
          <cell r="C5311" t="str">
            <v>Operando</v>
          </cell>
        </row>
        <row r="5312">
          <cell r="B5312" t="str">
            <v>TXO1B70</v>
          </cell>
          <cell r="C5312" t="str">
            <v> </v>
          </cell>
        </row>
        <row r="5313">
          <cell r="B5313" t="str">
            <v>TXO1D45</v>
          </cell>
          <cell r="C5313" t="str">
            <v>Carregado</v>
          </cell>
        </row>
        <row r="5314">
          <cell r="B5314" t="str">
            <v>TXP1D15</v>
          </cell>
          <cell r="C5314" t="str">
            <v>Operando</v>
          </cell>
        </row>
        <row r="5315">
          <cell r="B5315" t="str">
            <v>TXQ1G01</v>
          </cell>
          <cell r="C5315" t="str">
            <v>Operando</v>
          </cell>
        </row>
        <row r="5316">
          <cell r="B5316" t="str">
            <v>TXT2A77</v>
          </cell>
          <cell r="C5316" t="str">
            <v>Operando</v>
          </cell>
        </row>
        <row r="5317">
          <cell r="B5317" t="str">
            <v>TYA3G15</v>
          </cell>
          <cell r="C5317" t="str">
            <v> </v>
          </cell>
        </row>
        <row r="5318">
          <cell r="B5318" t="str">
            <v>TYA7D72</v>
          </cell>
          <cell r="C5318" t="str">
            <v>Operando</v>
          </cell>
        </row>
        <row r="5319">
          <cell r="B5319" t="str">
            <v>UAB4J54</v>
          </cell>
          <cell r="C5319" t="str">
            <v>Operando</v>
          </cell>
        </row>
        <row r="5320">
          <cell r="B5320" t="str">
            <v>UAB4J58</v>
          </cell>
          <cell r="C5320" t="str">
            <v> </v>
          </cell>
        </row>
        <row r="5321">
          <cell r="B5321" t="str">
            <v>UDD4H57</v>
          </cell>
          <cell r="C5321" t="str">
            <v> </v>
          </cell>
        </row>
        <row r="5322">
          <cell r="B5322" t="str">
            <v>UDD7E60</v>
          </cell>
          <cell r="C5322" t="str">
            <v>Operando</v>
          </cell>
        </row>
        <row r="5323">
          <cell r="B5323" t="str">
            <v>UDF2D07</v>
          </cell>
          <cell r="C5323" t="str">
            <v>Operando</v>
          </cell>
        </row>
        <row r="5324">
          <cell r="B5324" t="str">
            <v>UDG1A28</v>
          </cell>
          <cell r="C5324" t="str">
            <v>Operando</v>
          </cell>
        </row>
        <row r="5325">
          <cell r="B5325" t="str">
            <v>UDG2A79</v>
          </cell>
          <cell r="C5325" t="str">
            <v>Operando</v>
          </cell>
        </row>
        <row r="5326">
          <cell r="B5326" t="str">
            <v>UDG3A45</v>
          </cell>
          <cell r="C5326" t="str">
            <v>Operando</v>
          </cell>
        </row>
        <row r="5327">
          <cell r="B5327" t="str">
            <v>UDI0A98</v>
          </cell>
          <cell r="C5327" t="str">
            <v> </v>
          </cell>
        </row>
        <row r="5328">
          <cell r="B5328" t="str">
            <v>UDI6A45</v>
          </cell>
          <cell r="C5328" t="str">
            <v>Operando</v>
          </cell>
        </row>
        <row r="5329">
          <cell r="B5329" t="str">
            <v>UDI8C37</v>
          </cell>
          <cell r="C5329" t="str">
            <v>Operando</v>
          </cell>
        </row>
        <row r="5330">
          <cell r="B5330" t="str">
            <v>UDK5A19</v>
          </cell>
          <cell r="C5330" t="str">
            <v> </v>
          </cell>
        </row>
        <row r="5331">
          <cell r="B5331" t="str">
            <v>UDL1H28</v>
          </cell>
          <cell r="C5331" t="str">
            <v>Operando</v>
          </cell>
        </row>
        <row r="5332">
          <cell r="B5332" t="str">
            <v>UDM7179</v>
          </cell>
          <cell r="C5332" t="str">
            <v> </v>
          </cell>
        </row>
        <row r="5333">
          <cell r="B5333" t="str">
            <v>UDM7I79</v>
          </cell>
          <cell r="C5333" t="str">
            <v>Operando</v>
          </cell>
        </row>
        <row r="5334">
          <cell r="B5334" t="str">
            <v>UDQ0D66</v>
          </cell>
          <cell r="C5334" t="str">
            <v>Operando</v>
          </cell>
        </row>
        <row r="5335">
          <cell r="B5335" t="str">
            <v>UDQ4I12</v>
          </cell>
          <cell r="C5335" t="str">
            <v> </v>
          </cell>
        </row>
        <row r="5336">
          <cell r="B5336" t="str">
            <v>UDS7D38</v>
          </cell>
          <cell r="C5336" t="str">
            <v> </v>
          </cell>
        </row>
        <row r="5337">
          <cell r="B5337" t="str">
            <v>UDX3B97</v>
          </cell>
          <cell r="C5337" t="str">
            <v>Carregado</v>
          </cell>
        </row>
        <row r="5338">
          <cell r="B5338" t="str">
            <v>UDY6D43</v>
          </cell>
          <cell r="C5338" t="str">
            <v> </v>
          </cell>
        </row>
        <row r="5339">
          <cell r="B5339" t="str">
            <v>UDY9J81</v>
          </cell>
          <cell r="C5339" t="str">
            <v> </v>
          </cell>
        </row>
        <row r="5340">
          <cell r="B5340" t="str">
            <v>UEC7A08</v>
          </cell>
          <cell r="C5340" t="str">
            <v> </v>
          </cell>
        </row>
        <row r="5341">
          <cell r="B5341" t="str">
            <v>UEE5J09</v>
          </cell>
          <cell r="C5341" t="str">
            <v> </v>
          </cell>
        </row>
        <row r="5342">
          <cell r="B5342" t="str">
            <v>UEE6G46</v>
          </cell>
          <cell r="C5342" t="str">
            <v>Carregado</v>
          </cell>
        </row>
        <row r="5343">
          <cell r="B5343" t="str">
            <v>UEI4F88</v>
          </cell>
          <cell r="C5343" t="str">
            <v>Operando</v>
          </cell>
        </row>
        <row r="5344">
          <cell r="B5344" t="str">
            <v>UEJ1D08</v>
          </cell>
          <cell r="C5344" t="str">
            <v> </v>
          </cell>
        </row>
        <row r="5345">
          <cell r="B5345" t="str">
            <v>UEK3H65</v>
          </cell>
          <cell r="C5345" t="str">
            <v> </v>
          </cell>
        </row>
        <row r="5346">
          <cell r="B5346" t="str">
            <v>UEM9D08</v>
          </cell>
          <cell r="C5346" t="str">
            <v>Operando</v>
          </cell>
        </row>
        <row r="5347">
          <cell r="B5347" t="str">
            <v>UEN3F58</v>
          </cell>
          <cell r="C5347" t="str">
            <v>Operando</v>
          </cell>
        </row>
        <row r="5348">
          <cell r="B5348" t="str">
            <v>UEP0I07</v>
          </cell>
          <cell r="C5348" t="str">
            <v> </v>
          </cell>
        </row>
        <row r="5349">
          <cell r="B5349" t="str">
            <v>UER5D17</v>
          </cell>
          <cell r="C5349" t="str">
            <v> </v>
          </cell>
        </row>
        <row r="5350">
          <cell r="B5350" t="str">
            <v>UER8C19</v>
          </cell>
          <cell r="C5350" t="str">
            <v>Operando</v>
          </cell>
        </row>
        <row r="5351">
          <cell r="B5351" t="str">
            <v>UES1H07</v>
          </cell>
          <cell r="C5351" t="str">
            <v> </v>
          </cell>
        </row>
        <row r="5352">
          <cell r="B5352" t="str">
            <v>UES5C89</v>
          </cell>
          <cell r="C5352" t="str">
            <v>Operando</v>
          </cell>
        </row>
        <row r="5353">
          <cell r="B5353" t="str">
            <v>UES6H09</v>
          </cell>
          <cell r="C5353" t="str">
            <v>Operando</v>
          </cell>
        </row>
        <row r="5354">
          <cell r="B5354" t="str">
            <v>UEV4B14</v>
          </cell>
          <cell r="C5354" t="str">
            <v> </v>
          </cell>
        </row>
        <row r="5355">
          <cell r="B5355" t="str">
            <v>UEW6F87</v>
          </cell>
          <cell r="C5355" t="str">
            <v>Operando</v>
          </cell>
        </row>
        <row r="5356">
          <cell r="B5356" t="str">
            <v>UEW8C55</v>
          </cell>
          <cell r="C5356" t="str">
            <v>Operando</v>
          </cell>
        </row>
        <row r="5357">
          <cell r="B5357" t="str">
            <v>UEW9B34</v>
          </cell>
          <cell r="C5357" t="str">
            <v>Operando</v>
          </cell>
        </row>
        <row r="5358">
          <cell r="B5358" t="str">
            <v>UEY0F58</v>
          </cell>
          <cell r="C5358" t="str">
            <v>Operando</v>
          </cell>
        </row>
        <row r="5359">
          <cell r="B5359" t="str">
            <v>UEY1D74</v>
          </cell>
          <cell r="C5359" t="str">
            <v> </v>
          </cell>
        </row>
        <row r="5360">
          <cell r="B5360" t="str">
            <v>UEY1D74</v>
          </cell>
          <cell r="C5360" t="str">
            <v> </v>
          </cell>
        </row>
        <row r="5361">
          <cell r="B5361" t="str">
            <v>UEY6C67</v>
          </cell>
          <cell r="C5361" t="str">
            <v>Operando</v>
          </cell>
        </row>
        <row r="5362">
          <cell r="B5362" t="str">
            <v>UFA6E04</v>
          </cell>
          <cell r="C5362" t="str">
            <v> </v>
          </cell>
        </row>
        <row r="5363">
          <cell r="B5363" t="str">
            <v>UFC2H60</v>
          </cell>
          <cell r="C5363" t="str">
            <v> </v>
          </cell>
        </row>
        <row r="5364">
          <cell r="B5364" t="str">
            <v>UFD4I27</v>
          </cell>
          <cell r="C5364" t="str">
            <v>Dispensado sem carga</v>
          </cell>
        </row>
        <row r="5365">
          <cell r="B5365" t="str">
            <v>UFF0J89</v>
          </cell>
          <cell r="C5365" t="str">
            <v> </v>
          </cell>
        </row>
        <row r="5366">
          <cell r="B5366" t="str">
            <v>UFG1138</v>
          </cell>
          <cell r="C5366" t="str">
            <v> </v>
          </cell>
        </row>
        <row r="5367">
          <cell r="B5367" t="str">
            <v>UFI7C36</v>
          </cell>
          <cell r="C5367" t="str">
            <v> </v>
          </cell>
        </row>
        <row r="5368">
          <cell r="B5368" t="str">
            <v>UFJ1I70</v>
          </cell>
          <cell r="C5368" t="str">
            <v> </v>
          </cell>
        </row>
        <row r="5369">
          <cell r="B5369" t="str">
            <v>UFJ5E18</v>
          </cell>
          <cell r="C5369" t="str">
            <v> </v>
          </cell>
        </row>
        <row r="5370">
          <cell r="B5370" t="str">
            <v>UFO4F58</v>
          </cell>
          <cell r="C5370" t="str">
            <v> </v>
          </cell>
        </row>
        <row r="5371">
          <cell r="B5371" t="str">
            <v>UFQ0E17</v>
          </cell>
          <cell r="C5371" t="str">
            <v> </v>
          </cell>
        </row>
        <row r="5372">
          <cell r="B5372" t="str">
            <v>UFQ5A40</v>
          </cell>
          <cell r="C5372" t="str">
            <v> </v>
          </cell>
        </row>
        <row r="5373">
          <cell r="B5373" t="str">
            <v>UFU4A96</v>
          </cell>
          <cell r="C5373" t="str">
            <v>Operando</v>
          </cell>
        </row>
        <row r="5374">
          <cell r="B5374" t="str">
            <v>UFY7D98</v>
          </cell>
          <cell r="C5374" t="str">
            <v> </v>
          </cell>
        </row>
        <row r="5375">
          <cell r="B5375" t="str">
            <v>UFZ7D00</v>
          </cell>
          <cell r="C5375" t="str">
            <v>Operando</v>
          </cell>
        </row>
        <row r="5376">
          <cell r="B5376" t="str">
            <v>UGA8B38</v>
          </cell>
          <cell r="C5376" t="str">
            <v> </v>
          </cell>
        </row>
        <row r="5377">
          <cell r="B5377" t="str">
            <v>UGB2D07</v>
          </cell>
          <cell r="C5377" t="str">
            <v>Operando</v>
          </cell>
        </row>
        <row r="5378">
          <cell r="B5378" t="str">
            <v>UGC1B80</v>
          </cell>
          <cell r="C5378" t="str">
            <v>Operando</v>
          </cell>
        </row>
        <row r="5379">
          <cell r="B5379" t="str">
            <v>UGF1A20</v>
          </cell>
          <cell r="C5379" t="str">
            <v> </v>
          </cell>
        </row>
        <row r="5380">
          <cell r="B5380" t="str">
            <v>UGF3J37</v>
          </cell>
          <cell r="C5380" t="str">
            <v> </v>
          </cell>
        </row>
        <row r="5381">
          <cell r="B5381" t="str">
            <v>UGF4F30</v>
          </cell>
          <cell r="C5381" t="str">
            <v>Operando</v>
          </cell>
        </row>
        <row r="5382">
          <cell r="B5382" t="str">
            <v>UGG5I88</v>
          </cell>
          <cell r="C5382" t="str">
            <v> </v>
          </cell>
        </row>
        <row r="5383">
          <cell r="B5383" t="str">
            <v>UGG9A68</v>
          </cell>
          <cell r="C5383" t="str">
            <v> </v>
          </cell>
        </row>
        <row r="5384">
          <cell r="B5384" t="str">
            <v>UGH4A00</v>
          </cell>
          <cell r="C5384" t="str">
            <v> </v>
          </cell>
        </row>
        <row r="5385">
          <cell r="B5385" t="str">
            <v>UGN5A07</v>
          </cell>
          <cell r="C5385" t="str">
            <v> </v>
          </cell>
        </row>
        <row r="5386">
          <cell r="B5386" t="str">
            <v>UGO2I49</v>
          </cell>
          <cell r="C5386" t="str">
            <v> </v>
          </cell>
        </row>
        <row r="5387">
          <cell r="B5387" t="str">
            <v>UGO4F58</v>
          </cell>
          <cell r="C5387" t="str">
            <v>Operando</v>
          </cell>
        </row>
        <row r="5388">
          <cell r="B5388" t="str">
            <v>UGT4A60</v>
          </cell>
          <cell r="C5388" t="str">
            <v>Operando</v>
          </cell>
        </row>
      </sheetData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4BB0F-0AF7-491C-8B5D-AE80D98AA821}" name="DadosViagem5" displayName="DadosViagem5" ref="A1:AJ1991" headerRowDxfId="74" dataDxfId="73" totalsRowDxfId="72">
  <autoFilter ref="A1:AJ1991" xr:uid="{B944BB0F-0AF7-491C-8B5D-AE80D98AA821}"/>
  <tableColumns count="36">
    <tableColumn id="3" xr3:uid="{BFA26913-C567-4270-820B-2890CC78A038}" name="Placa" dataDxfId="70" totalsRowDxfId="71"/>
    <tableColumn id="31" xr3:uid="{DC29FB37-7D74-488C-B33E-27F8B369D629}" name="Prefixo" dataDxfId="68" totalsRowDxfId="69"/>
    <tableColumn id="28" xr3:uid="{B36DA4FF-AFDA-4F14-B812-697D1B75643B}" name="Modelo" dataDxfId="66" totalsRowDxfId="67"/>
    <tableColumn id="27" xr3:uid="{6F4F8AB5-D0EB-4F40-9F91-5CFE30F64542}" name="Perfil cadastro " dataDxfId="64" totalsRowDxfId="65"/>
    <tableColumn id="17" xr3:uid="{7885770B-F571-4A01-8003-8EFC36145A7B}" name="Locadora" dataDxfId="62" totalsRowDxfId="63"/>
    <tableColumn id="6" xr3:uid="{9D176326-5646-4E8B-B51F-70DAEFB1BFD2}" name="Rastreador" dataDxfId="60" totalsRowDxfId="61"/>
    <tableColumn id="29" xr3:uid="{6B5C07FA-8E73-4B18-A3F4-551E8C0A997A}" name="Status Rastreador" dataDxfId="58" totalsRowDxfId="59"/>
    <tableColumn id="5" xr3:uid="{179C9AE2-F0BF-44B6-87D5-EC50EE1FABED}" name="Ano " dataDxfId="56" totalsRowDxfId="57"/>
    <tableColumn id="4" xr3:uid="{9962217C-8500-4C1E-95C6-3DDA14DD3EDA}" name="Estado" dataDxfId="54" totalsRowDxfId="55"/>
    <tableColumn id="1" xr3:uid="{731E06E7-3128-47B3-A324-88B28F9DF351}" name="SVC" dataDxfId="52" totalsRowDxfId="53"/>
    <tableColumn id="7" xr3:uid="{2D1E1593-4464-4684-81BE-DE84DF3066A2}" name="Base" dataDxfId="50" totalsRowDxfId="51"/>
    <tableColumn id="9" xr3:uid="{BDBE2913-C420-4CFC-9817-8D46A17D8922}" name="Operação" dataDxfId="48" totalsRowDxfId="49"/>
    <tableColumn id="10" xr3:uid="{30D5DF36-0C80-427B-8386-884006506596}" name="Focal " dataDxfId="46" totalsRowDxfId="47"/>
    <tableColumn id="12" xr3:uid="{CFDE0D04-0F5B-4F89-BA17-E36C396FE7EB}" name="Líder" dataDxfId="44" totalsRowDxfId="45"/>
    <tableColumn id="13" xr3:uid="{D732DC16-0FB7-4507-BFD1-7C1E45E414CA}" name="Regional" dataDxfId="42" totalsRowDxfId="43"/>
    <tableColumn id="14" xr3:uid="{55F6B5BE-3DC0-4E02-985A-61AA88F3E3A6}" name="BIP" dataDxfId="40" totalsRowDxfId="41">
      <calculatedColumnFormula>IFERROR(VLOOKUP(DadosViagem5[[#This Row],[Placa]],[1]BIP!A:E,5,FALSE),"")</calculatedColumnFormula>
    </tableColumn>
    <tableColumn id="16" xr3:uid="{2646DD8B-1BAB-4FB3-82CE-B2EE5ACF210E}" name="Dias S/ Rodar" dataDxfId="38" totalsRowDxfId="39">
      <calculatedColumnFormula>DATEDIF(DadosViagem5[[#This Row],[BIP]],TODAY(),"D")</calculatedColumnFormula>
    </tableColumn>
    <tableColumn id="38" xr3:uid="{D1E9FA2A-1E20-4D85-AC6A-6CF718A65CB2}" name="Status DDS" dataDxfId="36" totalsRowDxfId="37"/>
    <tableColumn id="15" xr3:uid="{ADE9121E-8391-407C-A484-1219B00AD08B}" name="Status final" dataDxfId="34" totalsRowDxfId="35"/>
    <tableColumn id="18" xr3:uid="{D776F18A-68E6-4E1E-A061-D31B98186FA5}" name="Protocolo" dataDxfId="32" totalsRowDxfId="33"/>
    <tableColumn id="19" xr3:uid="{0F2C4359-F27A-4A4C-A460-E514171C090A}" name="Data da abertura " dataDxfId="30" totalsRowDxfId="31"/>
    <tableColumn id="20" xr3:uid="{D0FDE5B9-6B55-4D45-8ED9-A6A6764AF318}" name="Data de parada" dataDxfId="28" totalsRowDxfId="29"/>
    <tableColumn id="21" xr3:uid="{3CA51351-ED44-4689-953A-78FCC9BF5CED}" name="Observação" dataDxfId="26" totalsRowDxfId="27"/>
    <tableColumn id="22" xr3:uid="{2ACF1F9A-7D06-4274-91F4-AA941802FF19}" name="Status" dataDxfId="24" totalsRowDxfId="25"/>
    <tableColumn id="23" xr3:uid="{F7B497EB-DA1D-4236-A621-AE989FA7C090}" name="Prazo" dataDxfId="22" totalsRowDxfId="23"/>
    <tableColumn id="24" xr3:uid="{BE9E4AB5-FC3A-4A88-8A5A-C4AAB2DF5413}" name="Oficina" dataDxfId="20" totalsRowDxfId="21"/>
    <tableColumn id="25" xr3:uid="{430F053D-A849-4D78-9B66-A394787635B8}" name="Reserva" dataDxfId="18" totalsRowDxfId="19"/>
    <tableColumn id="26" xr3:uid="{E5797CF1-E0FA-4A1C-8C2E-774D4EC80939}" name="Modelo Reseerva" dataDxfId="16" totalsRowDxfId="17"/>
    <tableColumn id="8" xr3:uid="{9C96A871-0B2F-4A3D-A07B-9D1449C7C5BE}" name="Utimo Bip Reserva" dataDxfId="14" totalsRowDxfId="15"/>
    <tableColumn id="11" xr3:uid="{530E22F7-DD8C-4388-9F14-48BC1514A37F}" name="Dias sem Rodar " dataDxfId="12" totalsRowDxfId="13"/>
    <tableColumn id="2" xr3:uid="{AD98535B-0A5E-4581-8F5E-0ADC7D7B6D49}" name="Tratativa força tarefa " dataDxfId="10" totalsRowDxfId="11"/>
    <tableColumn id="34" xr3:uid="{9E9FBF0D-03F3-424C-B2E0-E51BEBA627DC}" name="Data Solicitada" dataDxfId="8" totalsRowDxfId="9"/>
    <tableColumn id="30" xr3:uid="{E55AC8EE-EA75-4A23-B7D1-22D14D796A70}" name="Contato" dataDxfId="6" totalsRowDxfId="7"/>
    <tableColumn id="32" xr3:uid="{069E7EDF-6C75-411B-977B-2588BDF7D029}" name="Dias em manutenção " dataDxfId="4" totalsRowDxfId="5"/>
    <tableColumn id="36" xr3:uid="{6CAC31D8-7D8D-45C6-8353-564E03C631D9}" name="SLA" dataDxfId="2" totalsRowDxfId="3"/>
    <tableColumn id="33" xr3:uid="{960C9B99-1555-4A3B-B277-36065CAB6048}" name="Desmobilização" dataDxfId="0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F116-176C-464F-A47B-A50C39A98075}">
  <dimension ref="A1:AJ1991"/>
  <sheetViews>
    <sheetView tabSelected="1" workbookViewId="0">
      <selection sqref="A1:AJ1991"/>
    </sheetView>
  </sheetViews>
  <sheetFormatPr defaultRowHeight="15"/>
  <sheetData>
    <row r="1" spans="1:36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2" t="s">
        <v>21</v>
      </c>
      <c r="W1" s="12" t="s">
        <v>22</v>
      </c>
      <c r="X1" s="13" t="s">
        <v>23</v>
      </c>
      <c r="Y1" s="13" t="s">
        <v>24</v>
      </c>
      <c r="Z1" s="14" t="s">
        <v>25</v>
      </c>
      <c r="AA1" s="15" t="s">
        <v>26</v>
      </c>
      <c r="AB1" s="7" t="s">
        <v>27</v>
      </c>
      <c r="AC1" s="16" t="s">
        <v>28</v>
      </c>
      <c r="AD1" s="16" t="s">
        <v>29</v>
      </c>
      <c r="AE1" s="7" t="s">
        <v>30</v>
      </c>
      <c r="AF1" s="16" t="s">
        <v>31</v>
      </c>
      <c r="AG1" s="17" t="s">
        <v>32</v>
      </c>
      <c r="AH1" s="18" t="s">
        <v>33</v>
      </c>
      <c r="AI1" s="18" t="s">
        <v>34</v>
      </c>
      <c r="AJ1" s="18" t="s">
        <v>35</v>
      </c>
    </row>
    <row r="2" spans="1:36">
      <c r="A2" s="19" t="s">
        <v>36</v>
      </c>
      <c r="B2" s="20"/>
      <c r="C2" s="19" t="s">
        <v>37</v>
      </c>
      <c r="D2" s="19" t="s">
        <v>38</v>
      </c>
      <c r="E2" s="19" t="s">
        <v>39</v>
      </c>
      <c r="F2" s="19" t="s">
        <v>40</v>
      </c>
      <c r="G2" s="19"/>
      <c r="H2" s="20">
        <v>2023</v>
      </c>
      <c r="I2" s="19" t="s">
        <v>41</v>
      </c>
      <c r="J2" s="19" t="s">
        <v>42</v>
      </c>
      <c r="K2" s="21" t="s">
        <v>43</v>
      </c>
      <c r="L2" s="22" t="s">
        <v>44</v>
      </c>
      <c r="M2" s="23" t="s">
        <v>45</v>
      </c>
      <c r="N2" s="24" t="s">
        <v>46</v>
      </c>
      <c r="O2" s="25" t="s">
        <v>47</v>
      </c>
      <c r="P2" s="26">
        <f ca="1">IFERROR(VLOOKUP(DadosViagem5[[#This Row],[Placa]],[1]BIP!A:E,5,FALSE),"")</f>
        <v>45989</v>
      </c>
      <c r="Q2" s="27">
        <f ca="1">DATEDIF(DadosViagem5[[#This Row],[BIP]],TODAY(),"D")</f>
        <v>1</v>
      </c>
      <c r="R2" s="28" t="str">
        <f>IFERROR(VLOOKUP(DadosViagem5[[#This Row],[Placa]],[1]DDS!B:C,2,FALSE),"Verificar cadastro")</f>
        <v>Carregado</v>
      </c>
      <c r="S2" s="29" t="s">
        <v>48</v>
      </c>
      <c r="T2" s="23"/>
      <c r="U2" s="30"/>
      <c r="V2" s="31"/>
      <c r="W2" s="32"/>
      <c r="X2" s="33"/>
      <c r="Y2" s="34" t="s">
        <v>49</v>
      </c>
      <c r="Z2" s="32"/>
      <c r="AA2" s="20" t="s">
        <v>49</v>
      </c>
      <c r="AB2" s="20" t="s">
        <v>49</v>
      </c>
      <c r="AC2" s="19" t="s">
        <v>49</v>
      </c>
      <c r="AD2" s="19" t="str">
        <f ca="1">IFERROR(DATEDIF(DadosViagem5[[#This Row],[Utimo Bip Reserva]],TODAY(),"D"),"")</f>
        <v/>
      </c>
      <c r="AE2" s="35" t="s">
        <v>49</v>
      </c>
      <c r="AF2" s="35" t="s">
        <v>49</v>
      </c>
      <c r="AG2" s="36"/>
      <c r="AH2" s="25">
        <v>45807</v>
      </c>
      <c r="AI2" s="36" t="str">
        <f>IF(DadosViagem5[[#This Row],[Dias em manutenção ]]&lt;5,"Dentro do Prazo","Fora do Prazo")</f>
        <v>Fora do Prazo</v>
      </c>
      <c r="AJ2" s="36" t="e">
        <v>#REF!</v>
      </c>
    </row>
    <row r="3" spans="1:36">
      <c r="A3" s="19" t="s">
        <v>50</v>
      </c>
      <c r="B3" s="20"/>
      <c r="C3" s="19" t="s">
        <v>51</v>
      </c>
      <c r="D3" s="19" t="s">
        <v>52</v>
      </c>
      <c r="E3" s="19" t="s">
        <v>53</v>
      </c>
      <c r="F3" s="19" t="s">
        <v>40</v>
      </c>
      <c r="G3" s="19"/>
      <c r="H3" s="20">
        <v>2022</v>
      </c>
      <c r="I3" s="19" t="s">
        <v>41</v>
      </c>
      <c r="J3" s="19" t="s">
        <v>42</v>
      </c>
      <c r="K3" s="21" t="s">
        <v>43</v>
      </c>
      <c r="L3" s="22" t="s">
        <v>44</v>
      </c>
      <c r="M3" s="23" t="s">
        <v>45</v>
      </c>
      <c r="N3" s="24" t="s">
        <v>46</v>
      </c>
      <c r="O3" s="25" t="s">
        <v>47</v>
      </c>
      <c r="P3" s="26">
        <f ca="1">IFERROR(VLOOKUP(DadosViagem5[[#This Row],[Placa]],[1]BIP!A:E,5,FALSE),"")</f>
        <v>0</v>
      </c>
      <c r="Q3" s="27">
        <f ca="1">DATEDIF(DadosViagem5[[#This Row],[BIP]],TODAY(),"D")</f>
        <v>45990</v>
      </c>
      <c r="R3" s="28" t="str">
        <f>IFERROR(VLOOKUP(DadosViagem5[[#This Row],[Placa]],[1]DDS!B:C,2,FALSE),"Verificar cadastro")</f>
        <v> </v>
      </c>
      <c r="S3" s="29" t="s">
        <v>48</v>
      </c>
      <c r="T3" s="23"/>
      <c r="U3" s="30"/>
      <c r="V3" s="31"/>
      <c r="W3" s="32" t="s">
        <v>54</v>
      </c>
      <c r="X3" s="33" t="s">
        <v>55</v>
      </c>
      <c r="Y3" s="34" t="s">
        <v>49</v>
      </c>
      <c r="Z3" s="32"/>
      <c r="AA3" s="20" t="s">
        <v>49</v>
      </c>
      <c r="AB3" s="20" t="s">
        <v>49</v>
      </c>
      <c r="AC3" s="19" t="s">
        <v>49</v>
      </c>
      <c r="AD3" s="19" t="str">
        <f ca="1">IFERROR(DATEDIF(DadosViagem5[[#This Row],[Utimo Bip Reserva]],TODAY(),"D"),"")</f>
        <v/>
      </c>
      <c r="AE3" s="36" t="s">
        <v>49</v>
      </c>
      <c r="AF3" s="25" t="s">
        <v>49</v>
      </c>
      <c r="AG3" s="36"/>
      <c r="AH3" s="25">
        <v>45807</v>
      </c>
      <c r="AI3" s="36" t="str">
        <f>IF(DadosViagem5[[#This Row],[Dias em manutenção ]]&lt;5,"Dentro do Prazo","Fora do Prazo")</f>
        <v>Fora do Prazo</v>
      </c>
      <c r="AJ3" s="36" t="e">
        <v>#REF!</v>
      </c>
    </row>
    <row r="4" spans="1:36">
      <c r="A4" s="19" t="s">
        <v>56</v>
      </c>
      <c r="B4" s="20"/>
      <c r="C4" s="19" t="s">
        <v>37</v>
      </c>
      <c r="D4" s="19" t="s">
        <v>38</v>
      </c>
      <c r="E4" s="19" t="s">
        <v>57</v>
      </c>
      <c r="F4" s="19" t="s">
        <v>40</v>
      </c>
      <c r="G4" s="19"/>
      <c r="H4" s="20">
        <v>2022</v>
      </c>
      <c r="I4" s="19" t="s">
        <v>41</v>
      </c>
      <c r="J4" s="37" t="s">
        <v>58</v>
      </c>
      <c r="K4" s="38" t="s">
        <v>59</v>
      </c>
      <c r="L4" s="39" t="s">
        <v>60</v>
      </c>
      <c r="M4" s="23" t="s">
        <v>61</v>
      </c>
      <c r="N4" s="40" t="s">
        <v>62</v>
      </c>
      <c r="O4" s="41" t="s">
        <v>63</v>
      </c>
      <c r="P4" s="26">
        <f ca="1">IFERROR(VLOOKUP(DadosViagem5[[#This Row],[Placa]],[1]BIP!A:E,5,FALSE),"")</f>
        <v>0</v>
      </c>
      <c r="Q4" s="27">
        <f ca="1">DATEDIF(DadosViagem5[[#This Row],[BIP]],TODAY(),"D")</f>
        <v>45990</v>
      </c>
      <c r="R4" s="28" t="str">
        <f>IFERROR(VLOOKUP(DadosViagem5[[#This Row],[Placa]],[1]DDS!B:C,2,FALSE),"Verificar cadastro")</f>
        <v> </v>
      </c>
      <c r="S4" s="29" t="s">
        <v>48</v>
      </c>
      <c r="T4" s="23"/>
      <c r="U4" s="30"/>
      <c r="V4" s="31">
        <v>45692</v>
      </c>
      <c r="W4" s="32" t="s">
        <v>64</v>
      </c>
      <c r="X4" s="33" t="s">
        <v>65</v>
      </c>
      <c r="Y4" s="34" t="s">
        <v>66</v>
      </c>
      <c r="Z4" s="32" t="s">
        <v>67</v>
      </c>
      <c r="AA4" s="20" t="s">
        <v>49</v>
      </c>
      <c r="AB4" s="20" t="s">
        <v>49</v>
      </c>
      <c r="AC4" s="19" t="s">
        <v>49</v>
      </c>
      <c r="AD4" s="19" t="str">
        <f ca="1">IFERROR(DATEDIF(DadosViagem5[[#This Row],[Utimo Bip Reserva]],TODAY(),"D"),"")</f>
        <v/>
      </c>
      <c r="AE4" s="36" t="s">
        <v>68</v>
      </c>
      <c r="AF4" s="25">
        <v>45705</v>
      </c>
      <c r="AG4" s="30"/>
      <c r="AH4" s="25">
        <v>115</v>
      </c>
      <c r="AI4" s="36" t="str">
        <f>IF(DadosViagem5[[#This Row],[Dias em manutenção ]]&lt;5,"Dentro do Prazo","Fora do Prazo")</f>
        <v>Fora do Prazo</v>
      </c>
      <c r="AJ4" s="36" t="e">
        <v>#REF!</v>
      </c>
    </row>
    <row r="5" spans="1:36">
      <c r="A5" s="19" t="s">
        <v>69</v>
      </c>
      <c r="B5" s="20"/>
      <c r="C5" s="19" t="s">
        <v>37</v>
      </c>
      <c r="D5" s="19" t="s">
        <v>38</v>
      </c>
      <c r="E5" s="19" t="s">
        <v>57</v>
      </c>
      <c r="F5" s="19" t="s">
        <v>40</v>
      </c>
      <c r="G5" s="19"/>
      <c r="H5" s="20">
        <v>2021</v>
      </c>
      <c r="I5" s="19" t="s">
        <v>41</v>
      </c>
      <c r="J5" s="19" t="s">
        <v>42</v>
      </c>
      <c r="K5" s="21" t="s">
        <v>43</v>
      </c>
      <c r="L5" s="22" t="s">
        <v>44</v>
      </c>
      <c r="M5" s="23" t="s">
        <v>45</v>
      </c>
      <c r="N5" s="24" t="s">
        <v>46</v>
      </c>
      <c r="O5" s="25" t="s">
        <v>47</v>
      </c>
      <c r="P5" s="26">
        <f ca="1">IFERROR(VLOOKUP(DadosViagem5[[#This Row],[Placa]],[1]BIP!A:E,5,FALSE),"")</f>
        <v>45989</v>
      </c>
      <c r="Q5" s="27">
        <f ca="1">DATEDIF(DadosViagem5[[#This Row],[BIP]],TODAY(),"D")</f>
        <v>1</v>
      </c>
      <c r="R5" s="28" t="str">
        <f>IFERROR(VLOOKUP(DadosViagem5[[#This Row],[Placa]],[1]DDS!B:C,2,FALSE),"Verificar cadastro")</f>
        <v>Carregado</v>
      </c>
      <c r="S5" s="29" t="s">
        <v>48</v>
      </c>
      <c r="T5" s="23"/>
      <c r="U5" s="30"/>
      <c r="V5" s="31"/>
      <c r="W5" s="32"/>
      <c r="X5" s="33"/>
      <c r="Y5" s="34"/>
      <c r="Z5" s="42"/>
      <c r="AA5" s="20" t="s">
        <v>49</v>
      </c>
      <c r="AB5" s="20" t="s">
        <v>49</v>
      </c>
      <c r="AC5" s="19" t="s">
        <v>49</v>
      </c>
      <c r="AD5" s="19" t="str">
        <f ca="1">IFERROR(DATEDIF(DadosViagem5[[#This Row],[Utimo Bip Reserva]],TODAY(),"D"),"")</f>
        <v/>
      </c>
      <c r="AE5" s="36" t="s">
        <v>49</v>
      </c>
      <c r="AF5" s="25" t="s">
        <v>49</v>
      </c>
      <c r="AG5" s="30"/>
      <c r="AH5" s="25">
        <v>2</v>
      </c>
      <c r="AI5" s="36" t="str">
        <f>IF(DadosViagem5[[#This Row],[Dias em manutenção ]]&lt;5,"Dentro do Prazo","Fora do Prazo")</f>
        <v>Dentro do Prazo</v>
      </c>
      <c r="AJ5" s="36" t="e">
        <v>#REF!</v>
      </c>
    </row>
    <row r="6" spans="1:36">
      <c r="A6" s="19" t="s">
        <v>70</v>
      </c>
      <c r="B6" s="20"/>
      <c r="C6" s="19" t="s">
        <v>71</v>
      </c>
      <c r="D6" s="19" t="s">
        <v>38</v>
      </c>
      <c r="E6" s="19" t="s">
        <v>72</v>
      </c>
      <c r="F6" s="19" t="s">
        <v>40</v>
      </c>
      <c r="G6" s="19"/>
      <c r="H6" s="20">
        <v>2023</v>
      </c>
      <c r="I6" s="19" t="s">
        <v>41</v>
      </c>
      <c r="J6" s="19" t="s">
        <v>42</v>
      </c>
      <c r="K6" s="21" t="s">
        <v>43</v>
      </c>
      <c r="L6" s="22" t="s">
        <v>44</v>
      </c>
      <c r="M6" s="23" t="s">
        <v>45</v>
      </c>
      <c r="N6" s="24" t="s">
        <v>46</v>
      </c>
      <c r="O6" s="25" t="s">
        <v>47</v>
      </c>
      <c r="P6" s="26">
        <f ca="1">IFERROR(VLOOKUP(DadosViagem5[[#This Row],[Placa]],[1]BIP!A:E,5,FALSE),"")</f>
        <v>45989</v>
      </c>
      <c r="Q6" s="27">
        <f ca="1">DATEDIF(DadosViagem5[[#This Row],[BIP]],TODAY(),"D")</f>
        <v>1</v>
      </c>
      <c r="R6" s="28" t="str">
        <f>IFERROR(VLOOKUP(DadosViagem5[[#This Row],[Placa]],[1]DDS!B:C,2,FALSE),"Verificar cadastro")</f>
        <v>Operando</v>
      </c>
      <c r="S6" s="29" t="s">
        <v>48</v>
      </c>
      <c r="T6" s="23"/>
      <c r="U6" s="30"/>
      <c r="V6" s="31"/>
      <c r="W6" s="32"/>
      <c r="X6" s="33"/>
      <c r="Y6" s="34"/>
      <c r="Z6" s="42"/>
      <c r="AA6" s="20" t="s">
        <v>49</v>
      </c>
      <c r="AB6" s="20" t="s">
        <v>49</v>
      </c>
      <c r="AC6" s="19" t="s">
        <v>49</v>
      </c>
      <c r="AD6" s="19" t="str">
        <f ca="1">IFERROR(DATEDIF(DadosViagem5[[#This Row],[Utimo Bip Reserva]],TODAY(),"D"),"")</f>
        <v/>
      </c>
      <c r="AE6" s="25" t="s">
        <v>49</v>
      </c>
      <c r="AF6" s="25" t="s">
        <v>49</v>
      </c>
      <c r="AG6" s="36"/>
      <c r="AH6" s="25">
        <v>45807</v>
      </c>
      <c r="AI6" s="36" t="str">
        <f>IF(DadosViagem5[[#This Row],[Dias em manutenção ]]&lt;5,"Dentro do Prazo","Fora do Prazo")</f>
        <v>Fora do Prazo</v>
      </c>
      <c r="AJ6" s="36" t="e">
        <v>#REF!</v>
      </c>
    </row>
    <row r="7" spans="1:36">
      <c r="A7" s="19" t="s">
        <v>73</v>
      </c>
      <c r="B7" s="20"/>
      <c r="C7" s="19" t="s">
        <v>74</v>
      </c>
      <c r="D7" s="19" t="s">
        <v>52</v>
      </c>
      <c r="E7" s="19" t="s">
        <v>75</v>
      </c>
      <c r="F7" s="19" t="s">
        <v>76</v>
      </c>
      <c r="G7" s="19"/>
      <c r="H7" s="20">
        <v>2024</v>
      </c>
      <c r="I7" s="19" t="s">
        <v>41</v>
      </c>
      <c r="J7" s="19" t="s">
        <v>42</v>
      </c>
      <c r="K7" s="38" t="s">
        <v>43</v>
      </c>
      <c r="L7" s="22" t="s">
        <v>44</v>
      </c>
      <c r="M7" s="23" t="s">
        <v>77</v>
      </c>
      <c r="N7" s="36" t="s">
        <v>78</v>
      </c>
      <c r="O7" s="36" t="s">
        <v>47</v>
      </c>
      <c r="P7" s="26">
        <f ca="1">IFERROR(VLOOKUP(DadosViagem5[[#This Row],[Placa]],[1]BIP!A:E,5,FALSE),"")</f>
        <v>45989</v>
      </c>
      <c r="Q7" s="27">
        <f ca="1">DATEDIF(DadosViagem5[[#This Row],[BIP]],TODAY(),"D")</f>
        <v>1</v>
      </c>
      <c r="R7" s="28" t="str">
        <f>IFERROR(VLOOKUP(DadosViagem5[[#This Row],[Placa]],[1]DDS!B:C,2,FALSE),"Verificar cadastro")</f>
        <v>Carregado</v>
      </c>
      <c r="S7" s="29" t="s">
        <v>48</v>
      </c>
      <c r="T7" s="23"/>
      <c r="U7" s="30"/>
      <c r="V7" s="31"/>
      <c r="W7" s="32"/>
      <c r="X7" s="33"/>
      <c r="Y7" s="34"/>
      <c r="Z7" s="43"/>
      <c r="AA7" s="20" t="s">
        <v>49</v>
      </c>
      <c r="AB7" s="20" t="s">
        <v>49</v>
      </c>
      <c r="AC7" s="19"/>
      <c r="AD7" s="19"/>
      <c r="AE7" s="36"/>
      <c r="AF7" s="25"/>
      <c r="AG7" s="36"/>
      <c r="AH7" s="25">
        <v>20</v>
      </c>
      <c r="AI7" s="36" t="str">
        <f>IF(DadosViagem5[[#This Row],[Dias em manutenção ]]&lt;5,"Dentro do Prazo","Fora do Prazo")</f>
        <v>Fora do Prazo</v>
      </c>
      <c r="AJ7" s="36" t="e">
        <v>#REF!</v>
      </c>
    </row>
    <row r="8" spans="1:36">
      <c r="A8" s="19" t="s">
        <v>79</v>
      </c>
      <c r="B8" s="20"/>
      <c r="C8" s="19" t="s">
        <v>51</v>
      </c>
      <c r="D8" s="19" t="s">
        <v>52</v>
      </c>
      <c r="E8" s="19" t="s">
        <v>53</v>
      </c>
      <c r="F8" s="19" t="s">
        <v>40</v>
      </c>
      <c r="G8" s="19"/>
      <c r="H8" s="20">
        <v>2023</v>
      </c>
      <c r="I8" s="19" t="s">
        <v>41</v>
      </c>
      <c r="J8" s="19" t="s">
        <v>42</v>
      </c>
      <c r="K8" s="21" t="s">
        <v>43</v>
      </c>
      <c r="L8" s="22" t="s">
        <v>44</v>
      </c>
      <c r="M8" s="23" t="s">
        <v>45</v>
      </c>
      <c r="N8" s="24" t="s">
        <v>46</v>
      </c>
      <c r="O8" s="36" t="s">
        <v>47</v>
      </c>
      <c r="P8" s="26">
        <f ca="1">IFERROR(VLOOKUP(DadosViagem5[[#This Row],[Placa]],[1]BIP!A:E,5,FALSE),"")</f>
        <v>45989</v>
      </c>
      <c r="Q8" s="27">
        <f ca="1">DATEDIF(DadosViagem5[[#This Row],[BIP]],TODAY(),"D")</f>
        <v>1</v>
      </c>
      <c r="R8" s="28" t="str">
        <f>IFERROR(VLOOKUP(DadosViagem5[[#This Row],[Placa]],[1]DDS!B:C,2,FALSE),"Verificar cadastro")</f>
        <v>Operando</v>
      </c>
      <c r="S8" s="29" t="s">
        <v>48</v>
      </c>
      <c r="T8" s="23"/>
      <c r="U8" s="30"/>
      <c r="V8" s="31"/>
      <c r="W8" s="32"/>
      <c r="X8" s="33"/>
      <c r="Y8" s="34"/>
      <c r="Z8" s="32"/>
      <c r="AA8" s="20" t="s">
        <v>49</v>
      </c>
      <c r="AB8" s="20" t="s">
        <v>49</v>
      </c>
      <c r="AC8" s="19" t="s">
        <v>49</v>
      </c>
      <c r="AD8" s="19" t="str">
        <f ca="1">IFERROR(DATEDIF(DadosViagem5[[#This Row],[Utimo Bip Reserva]],TODAY(),"D"),"")</f>
        <v/>
      </c>
      <c r="AE8" s="36" t="s">
        <v>49</v>
      </c>
      <c r="AF8" s="25" t="s">
        <v>49</v>
      </c>
      <c r="AG8" s="36"/>
      <c r="AH8" s="25">
        <v>9</v>
      </c>
      <c r="AI8" s="36" t="str">
        <f>IF(DadosViagem5[[#This Row],[Dias em manutenção ]]&lt;5,"Dentro do Prazo","Fora do Prazo")</f>
        <v>Fora do Prazo</v>
      </c>
      <c r="AJ8" s="36" t="e">
        <v>#REF!</v>
      </c>
    </row>
    <row r="9" spans="1:36">
      <c r="A9" s="19" t="s">
        <v>80</v>
      </c>
      <c r="B9" s="20"/>
      <c r="C9" s="19" t="s">
        <v>74</v>
      </c>
      <c r="D9" s="19" t="s">
        <v>52</v>
      </c>
      <c r="E9" s="19" t="s">
        <v>75</v>
      </c>
      <c r="F9" s="19" t="s">
        <v>76</v>
      </c>
      <c r="G9" s="19"/>
      <c r="H9" s="20">
        <v>2024</v>
      </c>
      <c r="I9" s="19" t="s">
        <v>41</v>
      </c>
      <c r="J9" s="19" t="s">
        <v>42</v>
      </c>
      <c r="K9" s="21" t="s">
        <v>43</v>
      </c>
      <c r="L9" s="22" t="s">
        <v>44</v>
      </c>
      <c r="M9" s="23" t="s">
        <v>77</v>
      </c>
      <c r="N9" s="36" t="s">
        <v>78</v>
      </c>
      <c r="O9" s="36" t="s">
        <v>47</v>
      </c>
      <c r="P9" s="26">
        <f ca="1">IFERROR(VLOOKUP(DadosViagem5[[#This Row],[Placa]],[1]BIP!A:E,5,FALSE),"")</f>
        <v>45989</v>
      </c>
      <c r="Q9" s="27">
        <f ca="1">DATEDIF(DadosViagem5[[#This Row],[BIP]],TODAY(),"D")</f>
        <v>1</v>
      </c>
      <c r="R9" s="28" t="str">
        <f>IFERROR(VLOOKUP(DadosViagem5[[#This Row],[Placa]],[1]DDS!B:C,2,FALSE),"Verificar cadastro")</f>
        <v>Carregado</v>
      </c>
      <c r="S9" s="29" t="s">
        <v>48</v>
      </c>
      <c r="T9" s="23"/>
      <c r="U9" s="30"/>
      <c r="V9" s="31"/>
      <c r="W9" s="32" t="s">
        <v>81</v>
      </c>
      <c r="X9" s="33"/>
      <c r="Y9" s="34"/>
      <c r="Z9" s="32"/>
      <c r="AA9" s="20" t="s">
        <v>49</v>
      </c>
      <c r="AB9" s="20" t="s">
        <v>49</v>
      </c>
      <c r="AC9" s="19"/>
      <c r="AD9" s="19"/>
      <c r="AE9" s="36"/>
      <c r="AF9" s="25"/>
      <c r="AG9" s="36"/>
      <c r="AH9" s="25">
        <v>45807</v>
      </c>
      <c r="AI9" s="36" t="str">
        <f>IF(DadosViagem5[[#This Row],[Dias em manutenção ]]&lt;5,"Dentro do Prazo","Fora do Prazo")</f>
        <v>Fora do Prazo</v>
      </c>
      <c r="AJ9" s="36" t="e">
        <v>#REF!</v>
      </c>
    </row>
    <row r="10" spans="1:36">
      <c r="A10" s="19" t="s">
        <v>82</v>
      </c>
      <c r="B10" s="20"/>
      <c r="C10" s="19" t="s">
        <v>51</v>
      </c>
      <c r="D10" s="19" t="s">
        <v>52</v>
      </c>
      <c r="E10" s="19" t="s">
        <v>53</v>
      </c>
      <c r="F10" s="19" t="s">
        <v>40</v>
      </c>
      <c r="G10" s="19"/>
      <c r="H10" s="20">
        <v>2023</v>
      </c>
      <c r="I10" s="19" t="s">
        <v>41</v>
      </c>
      <c r="J10" s="19" t="s">
        <v>42</v>
      </c>
      <c r="K10" s="21" t="s">
        <v>43</v>
      </c>
      <c r="L10" s="22" t="s">
        <v>44</v>
      </c>
      <c r="M10" s="23" t="s">
        <v>45</v>
      </c>
      <c r="N10" s="24" t="s">
        <v>46</v>
      </c>
      <c r="O10" s="25" t="s">
        <v>47</v>
      </c>
      <c r="P10" s="26">
        <f ca="1">IFERROR(VLOOKUP(DadosViagem5[[#This Row],[Placa]],[1]BIP!A:E,5,FALSE),"")</f>
        <v>45989</v>
      </c>
      <c r="Q10" s="27">
        <f ca="1">DATEDIF(DadosViagem5[[#This Row],[BIP]],TODAY(),"D")</f>
        <v>1</v>
      </c>
      <c r="R10" s="28" t="str">
        <f>IFERROR(VLOOKUP(DadosViagem5[[#This Row],[Placa]],[1]DDS!B:C,2,FALSE),"Verificar cadastro")</f>
        <v>Carregado</v>
      </c>
      <c r="S10" s="29" t="s">
        <v>48</v>
      </c>
      <c r="T10" s="23"/>
      <c r="U10" s="30"/>
      <c r="V10" s="31"/>
      <c r="W10" s="32"/>
      <c r="X10" s="33"/>
      <c r="Y10" s="34"/>
      <c r="Z10" s="32"/>
      <c r="AA10" s="20" t="s">
        <v>49</v>
      </c>
      <c r="AB10" s="20" t="s">
        <v>49</v>
      </c>
      <c r="AC10" s="20" t="s">
        <v>49</v>
      </c>
      <c r="AD10" s="20" t="s">
        <v>49</v>
      </c>
      <c r="AE10" s="36" t="s">
        <v>83</v>
      </c>
      <c r="AF10" s="25" t="s">
        <v>49</v>
      </c>
      <c r="AG10" s="36"/>
      <c r="AH10" s="25">
        <v>88</v>
      </c>
      <c r="AI10" s="36" t="str">
        <f>IF(DadosViagem5[[#This Row],[Dias em manutenção ]]&lt;5,"Dentro do Prazo","Fora do Prazo")</f>
        <v>Fora do Prazo</v>
      </c>
      <c r="AJ10" s="36" t="e">
        <v>#REF!</v>
      </c>
    </row>
    <row r="11" spans="1:36">
      <c r="A11" s="19" t="s">
        <v>84</v>
      </c>
      <c r="B11" s="20"/>
      <c r="C11" s="19" t="s">
        <v>74</v>
      </c>
      <c r="D11" s="19" t="s">
        <v>52</v>
      </c>
      <c r="E11" s="19" t="s">
        <v>75</v>
      </c>
      <c r="F11" s="19" t="s">
        <v>76</v>
      </c>
      <c r="G11" s="19"/>
      <c r="H11" s="20">
        <v>2024</v>
      </c>
      <c r="I11" s="19" t="s">
        <v>41</v>
      </c>
      <c r="J11" s="19" t="s">
        <v>42</v>
      </c>
      <c r="K11" s="38" t="s">
        <v>43</v>
      </c>
      <c r="L11" s="22" t="s">
        <v>44</v>
      </c>
      <c r="M11" s="23" t="s">
        <v>77</v>
      </c>
      <c r="N11" s="36" t="s">
        <v>78</v>
      </c>
      <c r="O11" s="36" t="s">
        <v>47</v>
      </c>
      <c r="P11" s="26" t="str">
        <f>IFERROR(VLOOKUP(DadosViagem5[[#This Row],[Placa]],[1]BIP!A:E,5,FALSE),"")</f>
        <v/>
      </c>
      <c r="Q11" s="27" t="e">
        <f ca="1">DATEDIF(DadosViagem5[[#This Row],[BIP]],TODAY(),"D")</f>
        <v>#VALUE!</v>
      </c>
      <c r="R11" s="28" t="str">
        <f>IFERROR(VLOOKUP(DadosViagem5[[#This Row],[Placa]],[1]DDS!B:C,2,FALSE),"Verificar cadastro")</f>
        <v>Carregado</v>
      </c>
      <c r="S11" s="29" t="s">
        <v>48</v>
      </c>
      <c r="T11" s="23"/>
      <c r="U11" s="30"/>
      <c r="V11" s="31"/>
      <c r="W11" s="32" t="s">
        <v>85</v>
      </c>
      <c r="X11" s="33"/>
      <c r="Y11" s="34"/>
      <c r="Z11" s="32"/>
      <c r="AA11" s="20" t="s">
        <v>49</v>
      </c>
      <c r="AB11" s="20" t="s">
        <v>49</v>
      </c>
      <c r="AC11" s="20" t="s">
        <v>49</v>
      </c>
      <c r="AD11" s="20" t="s">
        <v>49</v>
      </c>
      <c r="AE11" s="36"/>
      <c r="AF11" s="25"/>
      <c r="AG11" s="36"/>
      <c r="AH11" s="25">
        <v>23</v>
      </c>
      <c r="AI11" s="36" t="str">
        <f>IF(DadosViagem5[[#This Row],[Dias em manutenção ]]&lt;5,"Dentro do Prazo","Fora do Prazo")</f>
        <v>Fora do Prazo</v>
      </c>
      <c r="AJ11" s="36" t="e">
        <v>#REF!</v>
      </c>
    </row>
    <row r="12" spans="1:36" ht="16.5">
      <c r="A12" s="19" t="s">
        <v>86</v>
      </c>
      <c r="B12" s="20"/>
      <c r="C12" s="19" t="s">
        <v>51</v>
      </c>
      <c r="D12" s="19" t="s">
        <v>52</v>
      </c>
      <c r="E12" s="19" t="s">
        <v>53</v>
      </c>
      <c r="F12" s="19" t="s">
        <v>40</v>
      </c>
      <c r="G12" s="19"/>
      <c r="H12" s="20">
        <v>2023</v>
      </c>
      <c r="I12" s="19" t="s">
        <v>41</v>
      </c>
      <c r="J12" s="19" t="s">
        <v>42</v>
      </c>
      <c r="K12" s="38" t="s">
        <v>43</v>
      </c>
      <c r="L12" s="39" t="s">
        <v>44</v>
      </c>
      <c r="M12" s="23" t="s">
        <v>45</v>
      </c>
      <c r="N12" s="24" t="s">
        <v>46</v>
      </c>
      <c r="O12" s="25" t="s">
        <v>47</v>
      </c>
      <c r="P12" s="26">
        <f ca="1">IFERROR(VLOOKUP(DadosViagem5[[#This Row],[Placa]],[1]BIP!A:E,5,FALSE),"")</f>
        <v>45989</v>
      </c>
      <c r="Q12" s="27">
        <f ca="1">DATEDIF(DadosViagem5[[#This Row],[BIP]],TODAY(),"D")</f>
        <v>1</v>
      </c>
      <c r="R12" s="28" t="str">
        <f>IFERROR(VLOOKUP(DadosViagem5[[#This Row],[Placa]],[1]DDS!B:C,2,FALSE),"Verificar cadastro")</f>
        <v>Operando</v>
      </c>
      <c r="S12" s="29" t="s">
        <v>48</v>
      </c>
      <c r="T12" s="44"/>
      <c r="U12" s="30"/>
      <c r="V12" s="31"/>
      <c r="W12" s="32"/>
      <c r="X12" s="33" t="s">
        <v>55</v>
      </c>
      <c r="Y12" s="34"/>
      <c r="Z12" s="32"/>
      <c r="AA12" s="20" t="s">
        <v>49</v>
      </c>
      <c r="AB12" s="20" t="s">
        <v>49</v>
      </c>
      <c r="AC12" s="19" t="s">
        <v>49</v>
      </c>
      <c r="AD12" s="19" t="str">
        <f ca="1">IFERROR(DATEDIF(DadosViagem5[[#This Row],[Utimo Bip Reserva]],TODAY(),"D"),"")</f>
        <v/>
      </c>
      <c r="AE12" s="36" t="s">
        <v>49</v>
      </c>
      <c r="AF12" s="25" t="s">
        <v>49</v>
      </c>
      <c r="AG12" s="36"/>
      <c r="AH12" s="25">
        <v>45807</v>
      </c>
      <c r="AI12" s="36" t="str">
        <f>IF(DadosViagem5[[#This Row],[Dias em manutenção ]]&lt;5,"Dentro do Prazo","Fora do Prazo")</f>
        <v>Fora do Prazo</v>
      </c>
      <c r="AJ12" s="36" t="e">
        <v>#REF!</v>
      </c>
    </row>
    <row r="13" spans="1:36">
      <c r="A13" s="19" t="s">
        <v>87</v>
      </c>
      <c r="B13" s="20"/>
      <c r="C13" s="19" t="s">
        <v>88</v>
      </c>
      <c r="D13" s="19" t="s">
        <v>52</v>
      </c>
      <c r="E13" s="19" t="s">
        <v>57</v>
      </c>
      <c r="F13" s="19" t="s">
        <v>40</v>
      </c>
      <c r="G13" s="19"/>
      <c r="H13" s="20">
        <v>2023</v>
      </c>
      <c r="I13" s="19" t="s">
        <v>41</v>
      </c>
      <c r="J13" s="19" t="s">
        <v>42</v>
      </c>
      <c r="K13" s="21" t="s">
        <v>43</v>
      </c>
      <c r="L13" s="22" t="s">
        <v>44</v>
      </c>
      <c r="M13" s="23" t="s">
        <v>45</v>
      </c>
      <c r="N13" s="24" t="s">
        <v>46</v>
      </c>
      <c r="O13" s="36" t="s">
        <v>47</v>
      </c>
      <c r="P13" s="26">
        <f ca="1">IFERROR(VLOOKUP(DadosViagem5[[#This Row],[Placa]],[1]BIP!A:E,5,FALSE),"")</f>
        <v>0</v>
      </c>
      <c r="Q13" s="27">
        <f ca="1">DATEDIF(DadosViagem5[[#This Row],[BIP]],TODAY(),"D")</f>
        <v>45990</v>
      </c>
      <c r="R13" s="28" t="str">
        <f>IFERROR(VLOOKUP(DadosViagem5[[#This Row],[Placa]],[1]DDS!B:C,2,FALSE),"Verificar cadastro")</f>
        <v> </v>
      </c>
      <c r="S13" s="29" t="s">
        <v>48</v>
      </c>
      <c r="T13" s="23"/>
      <c r="U13" s="30"/>
      <c r="V13" s="31"/>
      <c r="W13" s="32"/>
      <c r="X13" s="33"/>
      <c r="Y13" s="34"/>
      <c r="Z13" s="32"/>
      <c r="AA13" s="20" t="s">
        <v>49</v>
      </c>
      <c r="AB13" s="20" t="s">
        <v>49</v>
      </c>
      <c r="AC13" s="19" t="s">
        <v>49</v>
      </c>
      <c r="AD13" s="19" t="str">
        <f ca="1">IFERROR(DATEDIF(DadosViagem5[[#This Row],[Utimo Bip Reserva]],TODAY(),"D"),"")</f>
        <v/>
      </c>
      <c r="AE13" s="25" t="s">
        <v>49</v>
      </c>
      <c r="AF13" s="25" t="s">
        <v>49</v>
      </c>
      <c r="AG13" s="36"/>
      <c r="AH13" s="25">
        <v>45807</v>
      </c>
      <c r="AI13" s="36" t="str">
        <f>IF(DadosViagem5[[#This Row],[Dias em manutenção ]]&lt;5,"Dentro do Prazo","Fora do Prazo")</f>
        <v>Fora do Prazo</v>
      </c>
      <c r="AJ13" s="36" t="e">
        <v>#REF!</v>
      </c>
    </row>
    <row r="14" spans="1:36">
      <c r="A14" s="19" t="s">
        <v>89</v>
      </c>
      <c r="B14" s="20"/>
      <c r="C14" s="19" t="s">
        <v>71</v>
      </c>
      <c r="D14" s="19" t="s">
        <v>38</v>
      </c>
      <c r="E14" s="19" t="s">
        <v>72</v>
      </c>
      <c r="F14" s="19" t="s">
        <v>40</v>
      </c>
      <c r="G14" s="19"/>
      <c r="H14" s="20">
        <v>2023</v>
      </c>
      <c r="I14" s="19" t="s">
        <v>41</v>
      </c>
      <c r="J14" s="19" t="s">
        <v>42</v>
      </c>
      <c r="K14" s="21" t="s">
        <v>43</v>
      </c>
      <c r="L14" s="22" t="s">
        <v>44</v>
      </c>
      <c r="M14" s="23" t="s">
        <v>45</v>
      </c>
      <c r="N14" s="24" t="s">
        <v>46</v>
      </c>
      <c r="O14" s="25" t="s">
        <v>47</v>
      </c>
      <c r="P14" s="26">
        <f ca="1">IFERROR(VLOOKUP(DadosViagem5[[#This Row],[Placa]],[1]BIP!A:E,5,FALSE),"")</f>
        <v>0</v>
      </c>
      <c r="Q14" s="27">
        <f ca="1">DATEDIF(DadosViagem5[[#This Row],[BIP]],TODAY(),"D")</f>
        <v>45990</v>
      </c>
      <c r="R14" s="28" t="str">
        <f>IFERROR(VLOOKUP(DadosViagem5[[#This Row],[Placa]],[1]DDS!B:C,2,FALSE),"Verificar cadastro")</f>
        <v> </v>
      </c>
      <c r="S14" s="29" t="s">
        <v>48</v>
      </c>
      <c r="T14" s="23"/>
      <c r="U14" s="30"/>
      <c r="V14" s="31"/>
      <c r="W14" s="32"/>
      <c r="X14" s="33"/>
      <c r="Y14" s="34"/>
      <c r="Z14" s="32"/>
      <c r="AA14" s="20" t="s">
        <v>49</v>
      </c>
      <c r="AB14" s="20" t="s">
        <v>49</v>
      </c>
      <c r="AC14" s="19" t="s">
        <v>49</v>
      </c>
      <c r="AD14" s="19" t="str">
        <f ca="1">IFERROR(DATEDIF(DadosViagem5[[#This Row],[Utimo Bip Reserva]],TODAY(),"D"),"")</f>
        <v/>
      </c>
      <c r="AE14" s="25" t="s">
        <v>49</v>
      </c>
      <c r="AF14" s="25" t="s">
        <v>49</v>
      </c>
      <c r="AG14" s="36"/>
      <c r="AH14" s="25">
        <v>45807</v>
      </c>
      <c r="AI14" s="36" t="str">
        <f>IF(DadosViagem5[[#This Row],[Dias em manutenção ]]&lt;5,"Dentro do Prazo","Fora do Prazo")</f>
        <v>Fora do Prazo</v>
      </c>
      <c r="AJ14" s="36" t="e">
        <v>#REF!</v>
      </c>
    </row>
    <row r="15" spans="1:36">
      <c r="A15" s="19" t="s">
        <v>90</v>
      </c>
      <c r="B15" s="20"/>
      <c r="C15" s="19" t="s">
        <v>51</v>
      </c>
      <c r="D15" s="19" t="s">
        <v>52</v>
      </c>
      <c r="E15" s="19" t="s">
        <v>53</v>
      </c>
      <c r="F15" s="19" t="s">
        <v>40</v>
      </c>
      <c r="G15" s="19"/>
      <c r="H15" s="20">
        <v>2022</v>
      </c>
      <c r="I15" s="19" t="s">
        <v>41</v>
      </c>
      <c r="J15" s="37" t="s">
        <v>42</v>
      </c>
      <c r="K15" s="21" t="s">
        <v>43</v>
      </c>
      <c r="L15" s="22" t="s">
        <v>44</v>
      </c>
      <c r="M15" s="23" t="s">
        <v>45</v>
      </c>
      <c r="N15" s="24" t="s">
        <v>46</v>
      </c>
      <c r="O15" s="25" t="s">
        <v>47</v>
      </c>
      <c r="P15" s="26">
        <f ca="1">IFERROR(VLOOKUP(DadosViagem5[[#This Row],[Placa]],[1]BIP!A:E,5,FALSE),"")</f>
        <v>0</v>
      </c>
      <c r="Q15" s="27">
        <f ca="1">DATEDIF(DadosViagem5[[#This Row],[BIP]],TODAY(),"D")</f>
        <v>45990</v>
      </c>
      <c r="R15" s="28"/>
      <c r="S15" s="29" t="s">
        <v>48</v>
      </c>
      <c r="T15" s="23"/>
      <c r="U15" s="30"/>
      <c r="V15" s="31"/>
      <c r="W15" s="32"/>
      <c r="X15" s="33"/>
      <c r="Y15" s="34"/>
      <c r="Z15" s="32"/>
      <c r="AA15" s="20" t="s">
        <v>49</v>
      </c>
      <c r="AB15" s="20" t="s">
        <v>49</v>
      </c>
      <c r="AC15" s="19" t="s">
        <v>49</v>
      </c>
      <c r="AD15" s="19" t="str">
        <f ca="1">IFERROR(DATEDIF(DadosViagem5[[#This Row],[Utimo Bip Reserva]],TODAY(),"D"),"")</f>
        <v/>
      </c>
      <c r="AE15" s="36" t="s">
        <v>83</v>
      </c>
      <c r="AF15" s="25" t="s">
        <v>49</v>
      </c>
      <c r="AG15" s="36" t="s">
        <v>91</v>
      </c>
      <c r="AH15" s="25">
        <v>45807</v>
      </c>
      <c r="AI15" s="36" t="str">
        <f>IF(DadosViagem5[[#This Row],[Dias em manutenção ]]&lt;5,"Dentro do Prazo","Fora do Prazo")</f>
        <v>Fora do Prazo</v>
      </c>
      <c r="AJ15" s="36" t="e">
        <v>#REF!</v>
      </c>
    </row>
    <row r="16" spans="1:36">
      <c r="A16" s="19" t="s">
        <v>92</v>
      </c>
      <c r="B16" s="20"/>
      <c r="C16" s="19" t="s">
        <v>74</v>
      </c>
      <c r="D16" s="19" t="s">
        <v>52</v>
      </c>
      <c r="E16" s="19" t="s">
        <v>75</v>
      </c>
      <c r="F16" s="19" t="s">
        <v>76</v>
      </c>
      <c r="G16" s="19"/>
      <c r="H16" s="20">
        <v>2023</v>
      </c>
      <c r="I16" s="19" t="s">
        <v>41</v>
      </c>
      <c r="J16" s="19" t="s">
        <v>42</v>
      </c>
      <c r="K16" s="38" t="s">
        <v>93</v>
      </c>
      <c r="L16" s="22" t="s">
        <v>44</v>
      </c>
      <c r="M16" s="23" t="s">
        <v>77</v>
      </c>
      <c r="N16" s="36" t="s">
        <v>78</v>
      </c>
      <c r="O16" s="25" t="s">
        <v>47</v>
      </c>
      <c r="P16" s="26">
        <f ca="1">IFERROR(VLOOKUP(DadosViagem5[[#This Row],[Placa]],[1]BIP!A:E,5,FALSE),"")</f>
        <v>0</v>
      </c>
      <c r="Q16" s="27">
        <f ca="1">DATEDIF(DadosViagem5[[#This Row],[BIP]],TODAY(),"D")</f>
        <v>45990</v>
      </c>
      <c r="R16" s="28" t="str">
        <f>IFERROR(VLOOKUP(DadosViagem5[[#This Row],[Placa]],[1]DDS!B:C,2,FALSE),"Verificar cadastro")</f>
        <v>Manutenção</v>
      </c>
      <c r="S16" s="29" t="s">
        <v>48</v>
      </c>
      <c r="T16" s="23"/>
      <c r="U16" s="30"/>
      <c r="V16" s="31"/>
      <c r="W16" s="32"/>
      <c r="X16" s="33"/>
      <c r="Y16" s="34"/>
      <c r="Z16" s="32"/>
      <c r="AA16" s="20" t="s">
        <v>49</v>
      </c>
      <c r="AB16" s="20" t="s">
        <v>49</v>
      </c>
      <c r="AC16" s="19" t="s">
        <v>49</v>
      </c>
      <c r="AD16" s="19" t="str">
        <f ca="1">IFERROR(DATEDIF(DadosViagem5[[#This Row],[Utimo Bip Reserva]],TODAY(),"D"),"")</f>
        <v/>
      </c>
      <c r="AE16" s="36"/>
      <c r="AF16" s="25"/>
      <c r="AG16" s="36"/>
      <c r="AH16" s="25">
        <v>45807</v>
      </c>
      <c r="AI16" s="36" t="str">
        <f>IF(DadosViagem5[[#This Row],[Dias em manutenção ]]&lt;5,"Dentro do Prazo","Fora do Prazo")</f>
        <v>Fora do Prazo</v>
      </c>
      <c r="AJ16" s="36" t="e">
        <v>#REF!</v>
      </c>
    </row>
    <row r="17" spans="1:36">
      <c r="A17" s="19" t="s">
        <v>94</v>
      </c>
      <c r="B17" s="20"/>
      <c r="C17" s="19" t="s">
        <v>71</v>
      </c>
      <c r="D17" s="19" t="s">
        <v>38</v>
      </c>
      <c r="E17" s="19" t="s">
        <v>72</v>
      </c>
      <c r="F17" s="19" t="s">
        <v>40</v>
      </c>
      <c r="G17" s="19"/>
      <c r="H17" s="20">
        <v>2023</v>
      </c>
      <c r="I17" s="19" t="s">
        <v>41</v>
      </c>
      <c r="J17" s="19" t="s">
        <v>42</v>
      </c>
      <c r="K17" s="38" t="s">
        <v>43</v>
      </c>
      <c r="L17" s="22" t="s">
        <v>44</v>
      </c>
      <c r="M17" s="23" t="s">
        <v>45</v>
      </c>
      <c r="N17" s="24" t="s">
        <v>46</v>
      </c>
      <c r="O17" s="25" t="s">
        <v>47</v>
      </c>
      <c r="P17" s="26">
        <f ca="1">IFERROR(VLOOKUP(DadosViagem5[[#This Row],[Placa]],[1]BIP!A:E,5,FALSE),"")</f>
        <v>45989</v>
      </c>
      <c r="Q17" s="27">
        <f ca="1">DATEDIF(DadosViagem5[[#This Row],[BIP]],TODAY(),"D")</f>
        <v>1</v>
      </c>
      <c r="R17" s="28" t="str">
        <f>IFERROR(VLOOKUP(DadosViagem5[[#This Row],[Placa]],[1]DDS!B:C,2,FALSE),"Verificar cadastro")</f>
        <v>Carregado</v>
      </c>
      <c r="S17" s="29" t="s">
        <v>48</v>
      </c>
      <c r="T17" s="23"/>
      <c r="U17" s="30"/>
      <c r="V17" s="31"/>
      <c r="W17" s="32"/>
      <c r="X17" s="33"/>
      <c r="Y17" s="34"/>
      <c r="Z17" s="32"/>
      <c r="AA17" s="20" t="s">
        <v>49</v>
      </c>
      <c r="AB17" s="20" t="s">
        <v>49</v>
      </c>
      <c r="AC17" s="19" t="s">
        <v>49</v>
      </c>
      <c r="AD17" s="19" t="str">
        <f ca="1">IFERROR(DATEDIF(DadosViagem5[[#This Row],[Utimo Bip Reserva]],TODAY(),"D"),"")</f>
        <v/>
      </c>
      <c r="AE17" s="25" t="s">
        <v>49</v>
      </c>
      <c r="AF17" s="25" t="s">
        <v>49</v>
      </c>
      <c r="AG17" s="36"/>
      <c r="AH17" s="25">
        <v>45807</v>
      </c>
      <c r="AI17" s="36" t="str">
        <f>IF(DadosViagem5[[#This Row],[Dias em manutenção ]]&lt;5,"Dentro do Prazo","Fora do Prazo")</f>
        <v>Fora do Prazo</v>
      </c>
      <c r="AJ17" s="36" t="e">
        <v>#REF!</v>
      </c>
    </row>
    <row r="18" spans="1:36">
      <c r="A18" s="19" t="s">
        <v>95</v>
      </c>
      <c r="B18" s="20"/>
      <c r="C18" s="19" t="s">
        <v>51</v>
      </c>
      <c r="D18" s="19" t="s">
        <v>52</v>
      </c>
      <c r="E18" s="19" t="s">
        <v>53</v>
      </c>
      <c r="F18" s="19" t="s">
        <v>40</v>
      </c>
      <c r="G18" s="19"/>
      <c r="H18" s="20">
        <v>2023</v>
      </c>
      <c r="I18" s="19" t="s">
        <v>41</v>
      </c>
      <c r="J18" s="19" t="s">
        <v>42</v>
      </c>
      <c r="K18" s="21" t="s">
        <v>43</v>
      </c>
      <c r="L18" s="22" t="s">
        <v>44</v>
      </c>
      <c r="M18" s="23" t="s">
        <v>45</v>
      </c>
      <c r="N18" s="24" t="s">
        <v>46</v>
      </c>
      <c r="O18" s="25" t="s">
        <v>47</v>
      </c>
      <c r="P18" s="26">
        <f ca="1">IFERROR(VLOOKUP(DadosViagem5[[#This Row],[Placa]],[1]BIP!A:E,5,FALSE),"")</f>
        <v>45989</v>
      </c>
      <c r="Q18" s="27">
        <f ca="1">DATEDIF(DadosViagem5[[#This Row],[BIP]],TODAY(),"D")</f>
        <v>1</v>
      </c>
      <c r="R18" s="28" t="str">
        <f>IFERROR(VLOOKUP(DadosViagem5[[#This Row],[Placa]],[1]DDS!B:C,2,FALSE),"Verificar cadastro")</f>
        <v>Carregado</v>
      </c>
      <c r="S18" s="29" t="s">
        <v>48</v>
      </c>
      <c r="T18" s="23"/>
      <c r="U18" s="30"/>
      <c r="V18" s="31"/>
      <c r="W18" s="32"/>
      <c r="X18" s="33"/>
      <c r="Y18" s="34"/>
      <c r="Z18" s="32"/>
      <c r="AA18" s="20" t="s">
        <v>49</v>
      </c>
      <c r="AB18" s="20" t="s">
        <v>49</v>
      </c>
      <c r="AC18" s="19" t="s">
        <v>49</v>
      </c>
      <c r="AD18" s="19" t="str">
        <f ca="1">IFERROR(DATEDIF(DadosViagem5[[#This Row],[Utimo Bip Reserva]],TODAY(),"D"),"")</f>
        <v/>
      </c>
      <c r="AE18" s="36" t="s">
        <v>49</v>
      </c>
      <c r="AF18" s="25" t="s">
        <v>49</v>
      </c>
      <c r="AG18" s="36"/>
      <c r="AH18" s="25">
        <v>45807</v>
      </c>
      <c r="AI18" s="36" t="str">
        <f>IF(DadosViagem5[[#This Row],[Dias em manutenção ]]&lt;5,"Dentro do Prazo","Fora do Prazo")</f>
        <v>Fora do Prazo</v>
      </c>
      <c r="AJ18" s="36" t="e">
        <v>#REF!</v>
      </c>
    </row>
    <row r="19" spans="1:36">
      <c r="A19" s="19" t="s">
        <v>96</v>
      </c>
      <c r="B19" s="20"/>
      <c r="C19" s="19" t="s">
        <v>97</v>
      </c>
      <c r="D19" s="19" t="s">
        <v>98</v>
      </c>
      <c r="E19" s="19" t="s">
        <v>53</v>
      </c>
      <c r="F19" s="19" t="s">
        <v>40</v>
      </c>
      <c r="G19" s="19"/>
      <c r="H19" s="20">
        <v>2023</v>
      </c>
      <c r="I19" s="19" t="s">
        <v>41</v>
      </c>
      <c r="J19" s="19" t="s">
        <v>42</v>
      </c>
      <c r="K19" s="21" t="s">
        <v>43</v>
      </c>
      <c r="L19" s="22" t="s">
        <v>44</v>
      </c>
      <c r="M19" s="23" t="s">
        <v>45</v>
      </c>
      <c r="N19" s="24" t="s">
        <v>46</v>
      </c>
      <c r="O19" s="25" t="s">
        <v>47</v>
      </c>
      <c r="P19" s="26">
        <f ca="1">IFERROR(VLOOKUP(DadosViagem5[[#This Row],[Placa]],[1]BIP!A:E,5,FALSE),"")</f>
        <v>0</v>
      </c>
      <c r="Q19" s="27">
        <f ca="1">DATEDIF(DadosViagem5[[#This Row],[BIP]],TODAY(),"D")</f>
        <v>45990</v>
      </c>
      <c r="R19" s="28" t="str">
        <f>IFERROR(VLOOKUP(DadosViagem5[[#This Row],[Placa]],[1]DDS!B:C,2,FALSE),"Verificar cadastro")</f>
        <v> </v>
      </c>
      <c r="S19" s="29" t="s">
        <v>48</v>
      </c>
      <c r="T19" s="23"/>
      <c r="U19" s="30"/>
      <c r="V19" s="31"/>
      <c r="W19" s="32"/>
      <c r="X19" s="33"/>
      <c r="Y19" s="34"/>
      <c r="Z19" s="32"/>
      <c r="AA19" s="20" t="s">
        <v>49</v>
      </c>
      <c r="AB19" s="20" t="s">
        <v>49</v>
      </c>
      <c r="AC19" s="19" t="s">
        <v>49</v>
      </c>
      <c r="AD19" s="19" t="str">
        <f ca="1">IFERROR(DATEDIF(DadosViagem5[[#This Row],[Utimo Bip Reserva]],TODAY(),"D"),"")</f>
        <v/>
      </c>
      <c r="AE19" s="36"/>
      <c r="AF19" s="25"/>
      <c r="AG19" s="36"/>
      <c r="AH19" s="25">
        <v>45807</v>
      </c>
      <c r="AI19" s="36" t="str">
        <f>IF(DadosViagem5[[#This Row],[Dias em manutenção ]]&lt;5,"Dentro do Prazo","Fora do Prazo")</f>
        <v>Fora do Prazo</v>
      </c>
      <c r="AJ19" s="36" t="e">
        <v>#REF!</v>
      </c>
    </row>
    <row r="20" spans="1:36">
      <c r="A20" s="19" t="s">
        <v>99</v>
      </c>
      <c r="B20" s="20"/>
      <c r="C20" s="19" t="s">
        <v>37</v>
      </c>
      <c r="D20" s="19" t="s">
        <v>38</v>
      </c>
      <c r="E20" s="19" t="s">
        <v>39</v>
      </c>
      <c r="F20" s="19" t="s">
        <v>40</v>
      </c>
      <c r="G20" s="19"/>
      <c r="H20" s="20">
        <v>2023</v>
      </c>
      <c r="I20" s="19" t="s">
        <v>41</v>
      </c>
      <c r="J20" s="19" t="s">
        <v>42</v>
      </c>
      <c r="K20" s="38" t="s">
        <v>43</v>
      </c>
      <c r="L20" s="22" t="s">
        <v>44</v>
      </c>
      <c r="M20" s="23" t="s">
        <v>45</v>
      </c>
      <c r="N20" s="24" t="s">
        <v>46</v>
      </c>
      <c r="O20" s="36" t="s">
        <v>47</v>
      </c>
      <c r="P20" s="26">
        <f ca="1">IFERROR(VLOOKUP(DadosViagem5[[#This Row],[Placa]],[1]BIP!A:E,5,FALSE),"")</f>
        <v>45989</v>
      </c>
      <c r="Q20" s="27">
        <f ca="1">DATEDIF(DadosViagem5[[#This Row],[BIP]],TODAY(),"D")</f>
        <v>1</v>
      </c>
      <c r="R20" s="28" t="str">
        <f>IFERROR(VLOOKUP(DadosViagem5[[#This Row],[Placa]],[1]DDS!B:C,2,FALSE),"Verificar cadastro")</f>
        <v>Carregado</v>
      </c>
      <c r="S20" s="29" t="s">
        <v>48</v>
      </c>
      <c r="T20" s="23"/>
      <c r="U20" s="30"/>
      <c r="V20" s="31"/>
      <c r="W20" s="32"/>
      <c r="X20" s="33"/>
      <c r="Y20" s="34"/>
      <c r="Z20" s="32"/>
      <c r="AA20" s="20" t="s">
        <v>49</v>
      </c>
      <c r="AB20" s="20" t="s">
        <v>49</v>
      </c>
      <c r="AC20" s="19" t="s">
        <v>49</v>
      </c>
      <c r="AD20" s="19" t="str">
        <f ca="1">IFERROR(DATEDIF(DadosViagem5[[#This Row],[Utimo Bip Reserva]],TODAY(),"D"),"")</f>
        <v/>
      </c>
      <c r="AE20" s="25" t="s">
        <v>49</v>
      </c>
      <c r="AF20" s="25" t="s">
        <v>49</v>
      </c>
      <c r="AG20" s="36"/>
      <c r="AH20" s="25">
        <v>45807</v>
      </c>
      <c r="AI20" s="36" t="str">
        <f>IF(DadosViagem5[[#This Row],[Dias em manutenção ]]&lt;5,"Dentro do Prazo","Fora do Prazo")</f>
        <v>Fora do Prazo</v>
      </c>
      <c r="AJ20" s="36" t="e">
        <v>#REF!</v>
      </c>
    </row>
    <row r="21" spans="1:36">
      <c r="A21" s="19" t="s">
        <v>100</v>
      </c>
      <c r="B21" s="20"/>
      <c r="C21" s="19" t="s">
        <v>71</v>
      </c>
      <c r="D21" s="19" t="s">
        <v>38</v>
      </c>
      <c r="E21" s="19" t="s">
        <v>72</v>
      </c>
      <c r="F21" s="19" t="s">
        <v>40</v>
      </c>
      <c r="G21" s="19"/>
      <c r="H21" s="20">
        <v>2023</v>
      </c>
      <c r="I21" s="19" t="s">
        <v>41</v>
      </c>
      <c r="J21" s="19" t="s">
        <v>42</v>
      </c>
      <c r="K21" s="38" t="s">
        <v>43</v>
      </c>
      <c r="L21" s="22" t="s">
        <v>44</v>
      </c>
      <c r="M21" s="23" t="s">
        <v>45</v>
      </c>
      <c r="N21" s="24" t="s">
        <v>46</v>
      </c>
      <c r="O21" s="25" t="s">
        <v>47</v>
      </c>
      <c r="P21" s="26">
        <f ca="1">IFERROR(VLOOKUP(DadosViagem5[[#This Row],[Placa]],[1]BIP!A:E,5,FALSE),"")</f>
        <v>0</v>
      </c>
      <c r="Q21" s="27">
        <f ca="1">DATEDIF(DadosViagem5[[#This Row],[BIP]],TODAY(),"D")</f>
        <v>45990</v>
      </c>
      <c r="R21" s="28" t="str">
        <f>IFERROR(VLOOKUP(DadosViagem5[[#This Row],[Placa]],[1]DDS!B:C,2,FALSE),"Verificar cadastro")</f>
        <v> </v>
      </c>
      <c r="S21" s="29" t="s">
        <v>48</v>
      </c>
      <c r="T21" s="23"/>
      <c r="U21" s="30"/>
      <c r="V21" s="31"/>
      <c r="W21" s="32"/>
      <c r="X21" s="33"/>
      <c r="Y21" s="34"/>
      <c r="Z21" s="32"/>
      <c r="AA21" s="20" t="s">
        <v>49</v>
      </c>
      <c r="AB21" s="20" t="s">
        <v>49</v>
      </c>
      <c r="AC21" s="19" t="s">
        <v>49</v>
      </c>
      <c r="AD21" s="19" t="str">
        <f ca="1">IFERROR(DATEDIF(DadosViagem5[[#This Row],[Utimo Bip Reserva]],TODAY(),"D"),"")</f>
        <v/>
      </c>
      <c r="AE21" s="25" t="s">
        <v>49</v>
      </c>
      <c r="AF21" s="25" t="s">
        <v>49</v>
      </c>
      <c r="AG21" s="36"/>
      <c r="AH21" s="25">
        <v>45807</v>
      </c>
      <c r="AI21" s="36" t="str">
        <f>IF(DadosViagem5[[#This Row],[Dias em manutenção ]]&lt;5,"Dentro do Prazo","Fora do Prazo")</f>
        <v>Fora do Prazo</v>
      </c>
      <c r="AJ21" s="36" t="e">
        <v>#REF!</v>
      </c>
    </row>
    <row r="22" spans="1:36">
      <c r="A22" s="19" t="s">
        <v>101</v>
      </c>
      <c r="B22" s="20"/>
      <c r="C22" s="19" t="s">
        <v>51</v>
      </c>
      <c r="D22" s="19" t="s">
        <v>52</v>
      </c>
      <c r="E22" s="19" t="s">
        <v>53</v>
      </c>
      <c r="F22" s="19" t="s">
        <v>40</v>
      </c>
      <c r="G22" s="19"/>
      <c r="H22" s="20">
        <v>2022</v>
      </c>
      <c r="I22" s="19" t="s">
        <v>41</v>
      </c>
      <c r="J22" s="19" t="s">
        <v>42</v>
      </c>
      <c r="K22" s="21" t="s">
        <v>43</v>
      </c>
      <c r="L22" s="22" t="s">
        <v>44</v>
      </c>
      <c r="M22" s="23" t="s">
        <v>45</v>
      </c>
      <c r="N22" s="24" t="s">
        <v>46</v>
      </c>
      <c r="O22" s="25" t="s">
        <v>47</v>
      </c>
      <c r="P22" s="26">
        <f ca="1">IFERROR(VLOOKUP(DadosViagem5[[#This Row],[Placa]],[1]BIP!A:E,5,FALSE),"")</f>
        <v>45989</v>
      </c>
      <c r="Q22" s="27">
        <f ca="1">DATEDIF(DadosViagem5[[#This Row],[BIP]],TODAY(),"D")</f>
        <v>1</v>
      </c>
      <c r="R22" s="28" t="str">
        <f>IFERROR(VLOOKUP(DadosViagem5[[#This Row],[Placa]],[1]DDS!B:C,2,FALSE),"Verificar cadastro")</f>
        <v>Carregado</v>
      </c>
      <c r="S22" s="29" t="s">
        <v>48</v>
      </c>
      <c r="T22" s="23"/>
      <c r="U22" s="30"/>
      <c r="V22" s="31"/>
      <c r="W22" s="32"/>
      <c r="X22" s="33"/>
      <c r="Y22" s="34"/>
      <c r="Z22" s="32"/>
      <c r="AA22" s="20" t="s">
        <v>49</v>
      </c>
      <c r="AB22" s="20" t="s">
        <v>49</v>
      </c>
      <c r="AC22" s="19" t="s">
        <v>49</v>
      </c>
      <c r="AD22" s="19" t="str">
        <f ca="1">IFERROR(DATEDIF(DadosViagem5[[#This Row],[Utimo Bip Reserva]],TODAY(),"D"),"")</f>
        <v/>
      </c>
      <c r="AE22" s="36" t="s">
        <v>49</v>
      </c>
      <c r="AF22" s="25" t="s">
        <v>49</v>
      </c>
      <c r="AG22" s="36"/>
      <c r="AH22" s="25">
        <v>45807</v>
      </c>
      <c r="AI22" s="36" t="str">
        <f>IF(DadosViagem5[[#This Row],[Dias em manutenção ]]&lt;5,"Dentro do Prazo","Fora do Prazo")</f>
        <v>Fora do Prazo</v>
      </c>
      <c r="AJ22" s="36" t="e">
        <v>#REF!</v>
      </c>
    </row>
    <row r="23" spans="1:36">
      <c r="A23" s="19" t="s">
        <v>102</v>
      </c>
      <c r="B23" s="20"/>
      <c r="C23" s="19" t="s">
        <v>51</v>
      </c>
      <c r="D23" s="19" t="s">
        <v>52</v>
      </c>
      <c r="E23" s="19" t="s">
        <v>53</v>
      </c>
      <c r="F23" s="19" t="s">
        <v>40</v>
      </c>
      <c r="G23" s="19"/>
      <c r="H23" s="20">
        <v>2023</v>
      </c>
      <c r="I23" s="19" t="s">
        <v>41</v>
      </c>
      <c r="J23" s="19" t="s">
        <v>42</v>
      </c>
      <c r="K23" s="38" t="s">
        <v>43</v>
      </c>
      <c r="L23" s="22" t="s">
        <v>44</v>
      </c>
      <c r="M23" s="23" t="s">
        <v>45</v>
      </c>
      <c r="N23" s="24" t="s">
        <v>46</v>
      </c>
      <c r="O23" s="25" t="s">
        <v>47</v>
      </c>
      <c r="P23" s="26">
        <f ca="1">IFERROR(VLOOKUP(DadosViagem5[[#This Row],[Placa]],[1]BIP!A:E,5,FALSE),"")</f>
        <v>45989</v>
      </c>
      <c r="Q23" s="27">
        <f ca="1">DATEDIF(DadosViagem5[[#This Row],[BIP]],TODAY(),"D")</f>
        <v>1</v>
      </c>
      <c r="R23" s="28" t="str">
        <f>IFERROR(VLOOKUP(DadosViagem5[[#This Row],[Placa]],[1]DDS!B:C,2,FALSE),"Verificar cadastro")</f>
        <v>Operando</v>
      </c>
      <c r="S23" s="29" t="s">
        <v>48</v>
      </c>
      <c r="T23" s="23"/>
      <c r="U23" s="30"/>
      <c r="V23" s="31"/>
      <c r="W23" s="32"/>
      <c r="X23" s="33"/>
      <c r="Y23" s="34"/>
      <c r="Z23" s="32"/>
      <c r="AA23" s="20" t="s">
        <v>49</v>
      </c>
      <c r="AB23" s="20" t="s">
        <v>49</v>
      </c>
      <c r="AC23" s="19" t="s">
        <v>49</v>
      </c>
      <c r="AD23" s="19" t="str">
        <f ca="1">IFERROR(DATEDIF(DadosViagem5[[#This Row],[Utimo Bip Reserva]],TODAY(),"D"),"")</f>
        <v/>
      </c>
      <c r="AE23" s="25" t="s">
        <v>49</v>
      </c>
      <c r="AF23" s="25" t="s">
        <v>49</v>
      </c>
      <c r="AG23" s="36"/>
      <c r="AH23" s="25">
        <v>45807</v>
      </c>
      <c r="AI23" s="36" t="str">
        <f>IF(DadosViagem5[[#This Row],[Dias em manutenção ]]&lt;5,"Dentro do Prazo","Fora do Prazo")</f>
        <v>Fora do Prazo</v>
      </c>
      <c r="AJ23" s="36" t="e">
        <v>#REF!</v>
      </c>
    </row>
    <row r="24" spans="1:36">
      <c r="A24" s="19" t="s">
        <v>103</v>
      </c>
      <c r="B24" s="20"/>
      <c r="C24" s="19" t="s">
        <v>51</v>
      </c>
      <c r="D24" s="19" t="s">
        <v>52</v>
      </c>
      <c r="E24" s="19" t="s">
        <v>53</v>
      </c>
      <c r="F24" s="19" t="s">
        <v>40</v>
      </c>
      <c r="G24" s="19"/>
      <c r="H24" s="20">
        <v>2023</v>
      </c>
      <c r="I24" s="19" t="s">
        <v>41</v>
      </c>
      <c r="J24" s="19" t="s">
        <v>42</v>
      </c>
      <c r="K24" s="21" t="s">
        <v>43</v>
      </c>
      <c r="L24" s="22" t="s">
        <v>44</v>
      </c>
      <c r="M24" s="23" t="s">
        <v>45</v>
      </c>
      <c r="N24" s="24" t="s">
        <v>46</v>
      </c>
      <c r="O24" s="25" t="s">
        <v>47</v>
      </c>
      <c r="P24" s="26">
        <f ca="1">IFERROR(VLOOKUP(DadosViagem5[[#This Row],[Placa]],[1]BIP!A:E,5,FALSE),"")</f>
        <v>45989</v>
      </c>
      <c r="Q24" s="27">
        <f ca="1">DATEDIF(DadosViagem5[[#This Row],[BIP]],TODAY(),"D")</f>
        <v>1</v>
      </c>
      <c r="R24" s="28" t="str">
        <f>IFERROR(VLOOKUP(DadosViagem5[[#This Row],[Placa]],[1]DDS!B:C,2,FALSE),"Verificar cadastro")</f>
        <v>Carregado</v>
      </c>
      <c r="S24" s="29" t="s">
        <v>48</v>
      </c>
      <c r="T24" s="23"/>
      <c r="U24" s="30"/>
      <c r="V24" s="31"/>
      <c r="W24" s="32"/>
      <c r="X24" s="33"/>
      <c r="Y24" s="34"/>
      <c r="Z24" s="32"/>
      <c r="AA24" s="20" t="s">
        <v>49</v>
      </c>
      <c r="AB24" s="20" t="s">
        <v>49</v>
      </c>
      <c r="AC24" s="19" t="s">
        <v>49</v>
      </c>
      <c r="AD24" s="19" t="str">
        <f ca="1">IFERROR(DATEDIF(DadosViagem5[[#This Row],[Utimo Bip Reserva]],TODAY(),"D"),"")</f>
        <v/>
      </c>
      <c r="AE24" s="25" t="s">
        <v>49</v>
      </c>
      <c r="AF24" s="25" t="s">
        <v>49</v>
      </c>
      <c r="AG24" s="36"/>
      <c r="AH24" s="25">
        <v>45807</v>
      </c>
      <c r="AI24" s="36" t="str">
        <f>IF(DadosViagem5[[#This Row],[Dias em manutenção ]]&lt;5,"Dentro do Prazo","Fora do Prazo")</f>
        <v>Fora do Prazo</v>
      </c>
      <c r="AJ24" s="36" t="e">
        <v>#REF!</v>
      </c>
    </row>
    <row r="25" spans="1:36">
      <c r="A25" s="19" t="s">
        <v>104</v>
      </c>
      <c r="B25" s="20"/>
      <c r="C25" s="19" t="s">
        <v>51</v>
      </c>
      <c r="D25" s="19" t="s">
        <v>52</v>
      </c>
      <c r="E25" s="19" t="s">
        <v>53</v>
      </c>
      <c r="F25" s="19" t="s">
        <v>40</v>
      </c>
      <c r="G25" s="19"/>
      <c r="H25" s="20">
        <v>2023</v>
      </c>
      <c r="I25" s="19" t="s">
        <v>41</v>
      </c>
      <c r="J25" s="19" t="s">
        <v>42</v>
      </c>
      <c r="K25" s="21" t="s">
        <v>43</v>
      </c>
      <c r="L25" s="22" t="s">
        <v>44</v>
      </c>
      <c r="M25" s="23" t="s">
        <v>45</v>
      </c>
      <c r="N25" s="24" t="s">
        <v>46</v>
      </c>
      <c r="O25" s="25" t="s">
        <v>47</v>
      </c>
      <c r="P25" s="26">
        <f ca="1">IFERROR(VLOOKUP(DadosViagem5[[#This Row],[Placa]],[1]BIP!A:E,5,FALSE),"")</f>
        <v>45989</v>
      </c>
      <c r="Q25" s="27">
        <f ca="1">DATEDIF(DadosViagem5[[#This Row],[BIP]],TODAY(),"D")</f>
        <v>1</v>
      </c>
      <c r="R25" s="28" t="str">
        <f>IFERROR(VLOOKUP(DadosViagem5[[#This Row],[Placa]],[1]DDS!B:C,2,FALSE),"Verificar cadastro")</f>
        <v>Operando</v>
      </c>
      <c r="S25" s="29" t="s">
        <v>48</v>
      </c>
      <c r="T25" s="23"/>
      <c r="U25" s="30"/>
      <c r="V25" s="31"/>
      <c r="W25" s="32"/>
      <c r="X25" s="33"/>
      <c r="Y25" s="34"/>
      <c r="Z25" s="32"/>
      <c r="AA25" s="20" t="s">
        <v>49</v>
      </c>
      <c r="AB25" s="20" t="s">
        <v>49</v>
      </c>
      <c r="AC25" s="19" t="s">
        <v>49</v>
      </c>
      <c r="AD25" s="19" t="str">
        <f ca="1">IFERROR(DATEDIF(DadosViagem5[[#This Row],[Utimo Bip Reserva]],TODAY(),"D"),"")</f>
        <v/>
      </c>
      <c r="AE25" s="25" t="s">
        <v>49</v>
      </c>
      <c r="AF25" s="25" t="s">
        <v>49</v>
      </c>
      <c r="AG25" s="36"/>
      <c r="AH25" s="25">
        <v>45807</v>
      </c>
      <c r="AI25" s="36" t="str">
        <f>IF(DadosViagem5[[#This Row],[Dias em manutenção ]]&lt;5,"Dentro do Prazo","Fora do Prazo")</f>
        <v>Fora do Prazo</v>
      </c>
      <c r="AJ25" s="36" t="e">
        <v>#REF!</v>
      </c>
    </row>
    <row r="26" spans="1:36">
      <c r="A26" s="19" t="s">
        <v>105</v>
      </c>
      <c r="B26" s="20"/>
      <c r="C26" s="19" t="s">
        <v>37</v>
      </c>
      <c r="D26" s="19" t="s">
        <v>38</v>
      </c>
      <c r="E26" s="19" t="s">
        <v>39</v>
      </c>
      <c r="F26" s="19" t="s">
        <v>106</v>
      </c>
      <c r="G26" s="19"/>
      <c r="H26" s="20">
        <v>2023</v>
      </c>
      <c r="I26" s="19" t="s">
        <v>41</v>
      </c>
      <c r="J26" s="19" t="s">
        <v>42</v>
      </c>
      <c r="K26" s="21" t="s">
        <v>43</v>
      </c>
      <c r="L26" s="22" t="s">
        <v>44</v>
      </c>
      <c r="M26" s="23" t="s">
        <v>45</v>
      </c>
      <c r="N26" s="24" t="s">
        <v>46</v>
      </c>
      <c r="O26" s="36" t="s">
        <v>47</v>
      </c>
      <c r="P26" s="26">
        <f ca="1">IFERROR(VLOOKUP(DadosViagem5[[#This Row],[Placa]],[1]BIP!A:E,5,FALSE),"")</f>
        <v>0</v>
      </c>
      <c r="Q26" s="27">
        <f ca="1">DATEDIF(DadosViagem5[[#This Row],[BIP]],TODAY(),"D")</f>
        <v>45990</v>
      </c>
      <c r="R26" s="28" t="str">
        <f>IFERROR(VLOOKUP(DadosViagem5[[#This Row],[Placa]],[1]DDS!B:C,2,FALSE),"Verificar cadastro")</f>
        <v> </v>
      </c>
      <c r="S26" s="29" t="s">
        <v>48</v>
      </c>
      <c r="T26" s="23"/>
      <c r="U26" s="30"/>
      <c r="V26" s="31"/>
      <c r="W26" s="32"/>
      <c r="X26" s="33"/>
      <c r="Y26" s="34"/>
      <c r="Z26" s="32"/>
      <c r="AA26" s="20" t="s">
        <v>49</v>
      </c>
      <c r="AB26" s="20" t="s">
        <v>49</v>
      </c>
      <c r="AC26" s="19" t="s">
        <v>49</v>
      </c>
      <c r="AD26" s="19" t="str">
        <f ca="1">IFERROR(DATEDIF(DadosViagem5[[#This Row],[Utimo Bip Reserva]],TODAY(),"D"),"")</f>
        <v/>
      </c>
      <c r="AE26" s="25"/>
      <c r="AF26" s="25"/>
      <c r="AG26" s="36"/>
      <c r="AH26" s="25">
        <v>45807</v>
      </c>
      <c r="AI26" s="36" t="str">
        <f>IF(DadosViagem5[[#This Row],[Dias em manutenção ]]&lt;5,"Dentro do Prazo","Fora do Prazo")</f>
        <v>Fora do Prazo</v>
      </c>
      <c r="AJ26" s="36" t="e">
        <v>#REF!</v>
      </c>
    </row>
    <row r="27" spans="1:36">
      <c r="A27" s="19" t="s">
        <v>107</v>
      </c>
      <c r="B27" s="20"/>
      <c r="C27" s="19" t="s">
        <v>71</v>
      </c>
      <c r="D27" s="19" t="s">
        <v>98</v>
      </c>
      <c r="E27" s="19" t="s">
        <v>39</v>
      </c>
      <c r="F27" s="19" t="s">
        <v>106</v>
      </c>
      <c r="G27" s="19"/>
      <c r="H27" s="20">
        <v>2021</v>
      </c>
      <c r="I27" s="19" t="s">
        <v>41</v>
      </c>
      <c r="J27" s="19" t="s">
        <v>42</v>
      </c>
      <c r="K27" s="21" t="s">
        <v>43</v>
      </c>
      <c r="L27" s="22" t="s">
        <v>44</v>
      </c>
      <c r="M27" s="23" t="s">
        <v>45</v>
      </c>
      <c r="N27" s="24" t="s">
        <v>46</v>
      </c>
      <c r="O27" s="40" t="s">
        <v>47</v>
      </c>
      <c r="P27" s="26">
        <f ca="1">IFERROR(VLOOKUP(DadosViagem5[[#This Row],[Placa]],[1]BIP!A:E,5,FALSE),"")</f>
        <v>0</v>
      </c>
      <c r="Q27" s="27">
        <f ca="1">DATEDIF(DadosViagem5[[#This Row],[BIP]],TODAY(),"D")</f>
        <v>45990</v>
      </c>
      <c r="R27" s="28" t="str">
        <f>IFERROR(VLOOKUP(DadosViagem5[[#This Row],[Placa]],[1]DDS!B:C,2,FALSE),"Verificar cadastro")</f>
        <v> </v>
      </c>
      <c r="S27" s="29" t="s">
        <v>48</v>
      </c>
      <c r="T27" s="23"/>
      <c r="U27" s="30"/>
      <c r="V27" s="31" t="s">
        <v>55</v>
      </c>
      <c r="W27" s="32"/>
      <c r="X27" s="33"/>
      <c r="Y27" s="34"/>
      <c r="Z27" s="32"/>
      <c r="AA27" s="20" t="s">
        <v>49</v>
      </c>
      <c r="AB27" s="20" t="s">
        <v>49</v>
      </c>
      <c r="AC27" s="19" t="s">
        <v>49</v>
      </c>
      <c r="AD27" s="19" t="str">
        <f ca="1">IFERROR(DATEDIF(DadosViagem5[[#This Row],[Utimo Bip Reserva]],TODAY(),"D"),"")</f>
        <v/>
      </c>
      <c r="AE27" s="35" t="s">
        <v>49</v>
      </c>
      <c r="AF27" s="35"/>
      <c r="AG27" s="36"/>
      <c r="AH27" s="25" t="e">
        <v>#VALUE!</v>
      </c>
      <c r="AI27" s="36" t="e">
        <f>IF(DadosViagem5[[#This Row],[Dias em manutenção ]]&lt;5,"Dentro do Prazo","Fora do Prazo")</f>
        <v>#VALUE!</v>
      </c>
      <c r="AJ27" s="36" t="e">
        <v>#REF!</v>
      </c>
    </row>
    <row r="28" spans="1:36">
      <c r="A28" s="19" t="s">
        <v>108</v>
      </c>
      <c r="B28" s="20"/>
      <c r="C28" s="19" t="s">
        <v>37</v>
      </c>
      <c r="D28" s="19" t="s">
        <v>38</v>
      </c>
      <c r="E28" s="19" t="s">
        <v>39</v>
      </c>
      <c r="F28" s="19" t="s">
        <v>106</v>
      </c>
      <c r="G28" s="19"/>
      <c r="H28" s="20">
        <v>2023</v>
      </c>
      <c r="I28" s="19" t="s">
        <v>41</v>
      </c>
      <c r="J28" s="19" t="s">
        <v>42</v>
      </c>
      <c r="K28" s="38" t="s">
        <v>43</v>
      </c>
      <c r="L28" s="22" t="s">
        <v>44</v>
      </c>
      <c r="M28" s="23" t="s">
        <v>45</v>
      </c>
      <c r="N28" s="24" t="s">
        <v>46</v>
      </c>
      <c r="O28" s="25" t="s">
        <v>47</v>
      </c>
      <c r="P28" s="26">
        <f ca="1">IFERROR(VLOOKUP(DadosViagem5[[#This Row],[Placa]],[1]BIP!A:E,5,FALSE),"")</f>
        <v>45989</v>
      </c>
      <c r="Q28" s="27">
        <f ca="1">DATEDIF(DadosViagem5[[#This Row],[BIP]],TODAY(),"D")</f>
        <v>1</v>
      </c>
      <c r="R28" s="28" t="str">
        <f>IFERROR(VLOOKUP(DadosViagem5[[#This Row],[Placa]],[1]DDS!B:C,2,FALSE),"Verificar cadastro")</f>
        <v>Carregado</v>
      </c>
      <c r="S28" s="29" t="s">
        <v>48</v>
      </c>
      <c r="T28" s="23"/>
      <c r="U28" s="30"/>
      <c r="V28" s="31"/>
      <c r="W28" s="32"/>
      <c r="X28" s="33"/>
      <c r="Y28" s="34"/>
      <c r="Z28" s="32"/>
      <c r="AA28" s="20" t="s">
        <v>49</v>
      </c>
      <c r="AB28" s="20" t="s">
        <v>49</v>
      </c>
      <c r="AC28" s="19" t="s">
        <v>49</v>
      </c>
      <c r="AD28" s="19" t="str">
        <f ca="1">IFERROR(DATEDIF(DadosViagem5[[#This Row],[Utimo Bip Reserva]],TODAY(),"D"),"")</f>
        <v/>
      </c>
      <c r="AE28" s="35"/>
      <c r="AF28" s="35"/>
      <c r="AG28" s="36"/>
      <c r="AH28" s="25">
        <v>45807</v>
      </c>
      <c r="AI28" s="36" t="str">
        <f>IF(DadosViagem5[[#This Row],[Dias em manutenção ]]&lt;5,"Dentro do Prazo","Fora do Prazo")</f>
        <v>Fora do Prazo</v>
      </c>
      <c r="AJ28" s="36" t="e">
        <v>#REF!</v>
      </c>
    </row>
    <row r="29" spans="1:36">
      <c r="A29" s="19" t="s">
        <v>109</v>
      </c>
      <c r="B29" s="20"/>
      <c r="C29" s="19" t="s">
        <v>37</v>
      </c>
      <c r="D29" s="19" t="s">
        <v>38</v>
      </c>
      <c r="E29" s="19" t="s">
        <v>39</v>
      </c>
      <c r="F29" s="19" t="s">
        <v>106</v>
      </c>
      <c r="G29" s="19"/>
      <c r="H29" s="20">
        <v>2024</v>
      </c>
      <c r="I29" s="19" t="s">
        <v>41</v>
      </c>
      <c r="J29" s="19" t="s">
        <v>42</v>
      </c>
      <c r="K29" s="38" t="s">
        <v>43</v>
      </c>
      <c r="L29" s="22" t="s">
        <v>44</v>
      </c>
      <c r="M29" s="23" t="s">
        <v>45</v>
      </c>
      <c r="N29" s="24" t="s">
        <v>46</v>
      </c>
      <c r="O29" s="25" t="s">
        <v>47</v>
      </c>
      <c r="P29" s="26">
        <f ca="1">IFERROR(VLOOKUP(DadosViagem5[[#This Row],[Placa]],[1]BIP!A:E,5,FALSE),"")</f>
        <v>45989</v>
      </c>
      <c r="Q29" s="27">
        <f ca="1">DATEDIF(DadosViagem5[[#This Row],[BIP]],TODAY(),"D")</f>
        <v>1</v>
      </c>
      <c r="R29" s="28" t="str">
        <f>IFERROR(VLOOKUP(DadosViagem5[[#This Row],[Placa]],[1]DDS!B:C,2,FALSE),"Verificar cadastro")</f>
        <v>Carregado</v>
      </c>
      <c r="S29" s="29" t="s">
        <v>48</v>
      </c>
      <c r="T29" s="23"/>
      <c r="U29" s="30"/>
      <c r="V29" s="31"/>
      <c r="W29" s="32"/>
      <c r="X29" s="33"/>
      <c r="Y29" s="34"/>
      <c r="Z29" s="32"/>
      <c r="AA29" s="20" t="s">
        <v>49</v>
      </c>
      <c r="AB29" s="20" t="s">
        <v>49</v>
      </c>
      <c r="AC29" s="19" t="s">
        <v>49</v>
      </c>
      <c r="AD29" s="19" t="str">
        <f ca="1">IFERROR(DATEDIF(DadosViagem5[[#This Row],[Utimo Bip Reserva]],TODAY(),"D"),"")</f>
        <v/>
      </c>
      <c r="AE29" s="36"/>
      <c r="AF29" s="25"/>
      <c r="AG29" s="36"/>
      <c r="AH29" s="25">
        <v>45807</v>
      </c>
      <c r="AI29" s="36" t="str">
        <f>IF(DadosViagem5[[#This Row],[Dias em manutenção ]]&lt;5,"Dentro do Prazo","Fora do Prazo")</f>
        <v>Fora do Prazo</v>
      </c>
      <c r="AJ29" s="36" t="e">
        <v>#REF!</v>
      </c>
    </row>
    <row r="30" spans="1:36">
      <c r="A30" s="19" t="s">
        <v>110</v>
      </c>
      <c r="B30" s="20"/>
      <c r="C30" s="19" t="s">
        <v>37</v>
      </c>
      <c r="D30" s="19" t="s">
        <v>38</v>
      </c>
      <c r="E30" s="19" t="s">
        <v>39</v>
      </c>
      <c r="F30" s="19" t="s">
        <v>40</v>
      </c>
      <c r="G30" s="19"/>
      <c r="H30" s="20">
        <v>2023</v>
      </c>
      <c r="I30" s="37" t="s">
        <v>41</v>
      </c>
      <c r="J30" s="37" t="s">
        <v>42</v>
      </c>
      <c r="K30" s="38" t="s">
        <v>43</v>
      </c>
      <c r="L30" s="39" t="s">
        <v>44</v>
      </c>
      <c r="M30" s="23" t="s">
        <v>45</v>
      </c>
      <c r="N30" s="24" t="s">
        <v>46</v>
      </c>
      <c r="O30" s="25" t="s">
        <v>47</v>
      </c>
      <c r="P30" s="26">
        <f ca="1">IFERROR(VLOOKUP(DadosViagem5[[#This Row],[Placa]],[1]BIP!A:E,5,FALSE),"")</f>
        <v>45989</v>
      </c>
      <c r="Q30" s="27">
        <f ca="1">DATEDIF(DadosViagem5[[#This Row],[BIP]],TODAY(),"D")</f>
        <v>1</v>
      </c>
      <c r="R30" s="28" t="str">
        <f>IFERROR(VLOOKUP(DadosViagem5[[#This Row],[Placa]],[1]DDS!B:C,2,FALSE),"Verificar cadastro")</f>
        <v>Carregado</v>
      </c>
      <c r="S30" s="29" t="s">
        <v>48</v>
      </c>
      <c r="T30" s="23"/>
      <c r="U30" s="30"/>
      <c r="V30" s="31"/>
      <c r="W30" s="32"/>
      <c r="X30" s="33"/>
      <c r="Y30" s="34"/>
      <c r="Z30" s="32"/>
      <c r="AA30" s="20" t="s">
        <v>49</v>
      </c>
      <c r="AB30" s="20" t="s">
        <v>49</v>
      </c>
      <c r="AC30" s="19" t="s">
        <v>49</v>
      </c>
      <c r="AD30" s="19" t="str">
        <f ca="1">IFERROR(DATEDIF(DadosViagem5[[#This Row],[Utimo Bip Reserva]],TODAY(),"D"),"")</f>
        <v/>
      </c>
      <c r="AE30" s="36" t="s">
        <v>111</v>
      </c>
      <c r="AF30" s="25" t="s">
        <v>49</v>
      </c>
      <c r="AG30" s="36"/>
      <c r="AH30" s="25">
        <v>45807</v>
      </c>
      <c r="AI30" s="36" t="str">
        <f>IF(DadosViagem5[[#This Row],[Dias em manutenção ]]&lt;5,"Dentro do Prazo","Fora do Prazo")</f>
        <v>Fora do Prazo</v>
      </c>
      <c r="AJ30" s="36" t="e">
        <v>#REF!</v>
      </c>
    </row>
    <row r="31" spans="1:36">
      <c r="A31" s="19" t="s">
        <v>112</v>
      </c>
      <c r="B31" s="20"/>
      <c r="C31" s="19" t="s">
        <v>37</v>
      </c>
      <c r="D31" s="19" t="s">
        <v>38</v>
      </c>
      <c r="E31" s="19" t="s">
        <v>39</v>
      </c>
      <c r="F31" s="19" t="s">
        <v>106</v>
      </c>
      <c r="G31" s="19"/>
      <c r="H31" s="20">
        <v>2024</v>
      </c>
      <c r="I31" s="19" t="s">
        <v>41</v>
      </c>
      <c r="J31" s="19" t="s">
        <v>42</v>
      </c>
      <c r="K31" s="45" t="s">
        <v>43</v>
      </c>
      <c r="L31" s="22" t="s">
        <v>44</v>
      </c>
      <c r="M31" s="23" t="s">
        <v>45</v>
      </c>
      <c r="N31" s="24" t="s">
        <v>46</v>
      </c>
      <c r="O31" s="25" t="s">
        <v>47</v>
      </c>
      <c r="P31" s="26">
        <f ca="1">IFERROR(VLOOKUP(DadosViagem5[[#This Row],[Placa]],[1]BIP!A:E,5,FALSE),"")</f>
        <v>0</v>
      </c>
      <c r="Q31" s="27">
        <f ca="1">DATEDIF(DadosViagem5[[#This Row],[BIP]],TODAY(),"D")</f>
        <v>45990</v>
      </c>
      <c r="R31" s="28" t="str">
        <f>IFERROR(VLOOKUP(DadosViagem5[[#This Row],[Placa]],[1]DDS!B:C,2,FALSE),"Verificar cadastro")</f>
        <v> </v>
      </c>
      <c r="S31" s="29" t="s">
        <v>48</v>
      </c>
      <c r="T31" s="23"/>
      <c r="U31" s="30"/>
      <c r="V31" s="31"/>
      <c r="W31" s="32"/>
      <c r="X31" s="33"/>
      <c r="Y31" s="34"/>
      <c r="Z31" s="32"/>
      <c r="AA31" s="20" t="s">
        <v>49</v>
      </c>
      <c r="AB31" s="20" t="s">
        <v>49</v>
      </c>
      <c r="AC31" s="19" t="s">
        <v>49</v>
      </c>
      <c r="AD31" s="19" t="str">
        <f ca="1">IFERROR(DATEDIF(DadosViagem5[[#This Row],[Utimo Bip Reserva]],TODAY(),"D"),"")</f>
        <v/>
      </c>
      <c r="AE31" s="36"/>
      <c r="AF31" s="25"/>
      <c r="AG31" s="36"/>
      <c r="AH31" s="25">
        <v>45807</v>
      </c>
      <c r="AI31" s="36" t="str">
        <f>IF(DadosViagem5[[#This Row],[Dias em manutenção ]]&lt;5,"Dentro do Prazo","Fora do Prazo")</f>
        <v>Fora do Prazo</v>
      </c>
      <c r="AJ31" s="36" t="e">
        <v>#REF!</v>
      </c>
    </row>
    <row r="32" spans="1:36">
      <c r="A32" s="19" t="s">
        <v>113</v>
      </c>
      <c r="B32" s="20"/>
      <c r="C32" s="19" t="s">
        <v>71</v>
      </c>
      <c r="D32" s="19" t="s">
        <v>38</v>
      </c>
      <c r="E32" s="19" t="s">
        <v>114</v>
      </c>
      <c r="F32" s="19" t="s">
        <v>115</v>
      </c>
      <c r="G32" s="19"/>
      <c r="H32" s="20">
        <v>2021</v>
      </c>
      <c r="I32" s="19" t="s">
        <v>41</v>
      </c>
      <c r="J32" s="19" t="s">
        <v>42</v>
      </c>
      <c r="K32" s="38" t="s">
        <v>43</v>
      </c>
      <c r="L32" s="22" t="s">
        <v>44</v>
      </c>
      <c r="M32" s="46" t="s">
        <v>45</v>
      </c>
      <c r="N32" s="24" t="s">
        <v>46</v>
      </c>
      <c r="O32" s="25" t="s">
        <v>47</v>
      </c>
      <c r="P32" s="26">
        <f ca="1">IFERROR(VLOOKUP(DadosViagem5[[#This Row],[Placa]],[1]BIP!A:E,5,FALSE),"")</f>
        <v>45989</v>
      </c>
      <c r="Q32" s="27">
        <f ca="1">DATEDIF(DadosViagem5[[#This Row],[BIP]],TODAY(),"D")</f>
        <v>1</v>
      </c>
      <c r="R32" s="28" t="str">
        <f>IFERROR(VLOOKUP(DadosViagem5[[#This Row],[Placa]],[1]DDS!B:C,2,FALSE),"Verificar cadastro")</f>
        <v>Operando</v>
      </c>
      <c r="S32" s="29" t="s">
        <v>48</v>
      </c>
      <c r="T32" s="23"/>
      <c r="U32" s="30"/>
      <c r="V32" s="31"/>
      <c r="W32" s="32"/>
      <c r="X32" s="33"/>
      <c r="Y32" s="34"/>
      <c r="Z32" s="32"/>
      <c r="AA32" s="20" t="s">
        <v>49</v>
      </c>
      <c r="AB32" s="20" t="s">
        <v>49</v>
      </c>
      <c r="AC32" s="19" t="s">
        <v>49</v>
      </c>
      <c r="AD32" s="19" t="str">
        <f ca="1">IFERROR(DATEDIF(DadosViagem5[[#This Row],[Utimo Bip Reserva]],TODAY(),"D"),"")</f>
        <v/>
      </c>
      <c r="AE32" s="36" t="s">
        <v>49</v>
      </c>
      <c r="AF32" s="25" t="s">
        <v>49</v>
      </c>
      <c r="AG32" s="36"/>
      <c r="AH32" s="25">
        <v>45807</v>
      </c>
      <c r="AI32" s="36" t="str">
        <f>IF(DadosViagem5[[#This Row],[Dias em manutenção ]]&lt;5,"Dentro do Prazo","Fora do Prazo")</f>
        <v>Fora do Prazo</v>
      </c>
      <c r="AJ32" s="36" t="e">
        <v>#REF!</v>
      </c>
    </row>
    <row r="33" spans="1:36">
      <c r="A33" s="19" t="s">
        <v>116</v>
      </c>
      <c r="B33" s="20"/>
      <c r="C33" s="19" t="s">
        <v>74</v>
      </c>
      <c r="D33" s="19" t="s">
        <v>52</v>
      </c>
      <c r="E33" s="19" t="s">
        <v>75</v>
      </c>
      <c r="F33" s="19" t="s">
        <v>76</v>
      </c>
      <c r="G33" s="19"/>
      <c r="H33" s="20">
        <v>2023</v>
      </c>
      <c r="I33" s="19" t="s">
        <v>41</v>
      </c>
      <c r="J33" s="19" t="s">
        <v>42</v>
      </c>
      <c r="K33" s="21" t="s">
        <v>43</v>
      </c>
      <c r="L33" s="22" t="s">
        <v>44</v>
      </c>
      <c r="M33" s="23" t="s">
        <v>77</v>
      </c>
      <c r="N33" s="36" t="s">
        <v>78</v>
      </c>
      <c r="O33" s="25" t="s">
        <v>47</v>
      </c>
      <c r="P33" s="26">
        <f ca="1">IFERROR(VLOOKUP(DadosViagem5[[#This Row],[Placa]],[1]BIP!A:E,5,FALSE),"")</f>
        <v>45989</v>
      </c>
      <c r="Q33" s="27">
        <f ca="1">DATEDIF(DadosViagem5[[#This Row],[BIP]],TODAY(),"D")</f>
        <v>1</v>
      </c>
      <c r="R33" s="28" t="str">
        <f>IFERROR(VLOOKUP(DadosViagem5[[#This Row],[Placa]],[1]DDS!B:C,2,FALSE),"Verificar cadastro")</f>
        <v>Carregado</v>
      </c>
      <c r="S33" s="29" t="s">
        <v>48</v>
      </c>
      <c r="T33" s="23"/>
      <c r="U33" s="30"/>
      <c r="V33" s="31"/>
      <c r="W33" s="32"/>
      <c r="X33" s="33"/>
      <c r="Y33" s="34"/>
      <c r="Z33" s="32"/>
      <c r="AA33" s="20" t="s">
        <v>49</v>
      </c>
      <c r="AB33" s="20" t="s">
        <v>49</v>
      </c>
      <c r="AC33" s="19" t="s">
        <v>49</v>
      </c>
      <c r="AD33" s="19" t="str">
        <f ca="1">IFERROR(DATEDIF(DadosViagem5[[#This Row],[Utimo Bip Reserva]],TODAY(),"D"),"")</f>
        <v/>
      </c>
      <c r="AE33" s="36"/>
      <c r="AF33" s="25"/>
      <c r="AG33" s="36"/>
      <c r="AH33" s="25">
        <v>45807</v>
      </c>
      <c r="AI33" s="36" t="str">
        <f>IF(DadosViagem5[[#This Row],[Dias em manutenção ]]&lt;5,"Dentro do Prazo","Fora do Prazo")</f>
        <v>Fora do Prazo</v>
      </c>
      <c r="AJ33" s="36" t="e">
        <v>#REF!</v>
      </c>
    </row>
    <row r="34" spans="1:36">
      <c r="A34" s="19" t="s">
        <v>117</v>
      </c>
      <c r="B34" s="20"/>
      <c r="C34" s="19" t="s">
        <v>74</v>
      </c>
      <c r="D34" s="19" t="s">
        <v>52</v>
      </c>
      <c r="E34" s="19" t="s">
        <v>75</v>
      </c>
      <c r="F34" s="19" t="s">
        <v>76</v>
      </c>
      <c r="G34" s="19"/>
      <c r="H34" s="20">
        <v>2023</v>
      </c>
      <c r="I34" s="19" t="s">
        <v>41</v>
      </c>
      <c r="J34" s="19" t="s">
        <v>42</v>
      </c>
      <c r="K34" s="38" t="s">
        <v>43</v>
      </c>
      <c r="L34" s="22" t="s">
        <v>44</v>
      </c>
      <c r="M34" s="23" t="s">
        <v>77</v>
      </c>
      <c r="N34" s="36" t="s">
        <v>78</v>
      </c>
      <c r="O34" s="25" t="s">
        <v>47</v>
      </c>
      <c r="P34" s="26">
        <f ca="1">IFERROR(VLOOKUP(DadosViagem5[[#This Row],[Placa]],[1]BIP!A:E,5,FALSE),"")</f>
        <v>45989</v>
      </c>
      <c r="Q34" s="27">
        <f ca="1">DATEDIF(DadosViagem5[[#This Row],[BIP]],TODAY(),"D")</f>
        <v>1</v>
      </c>
      <c r="R34" s="28" t="str">
        <f>IFERROR(VLOOKUP(DadosViagem5[[#This Row],[Placa]],[1]DDS!B:C,2,FALSE),"Verificar cadastro")</f>
        <v>Carregado</v>
      </c>
      <c r="S34" s="29" t="s">
        <v>48</v>
      </c>
      <c r="T34" s="23"/>
      <c r="U34" s="30"/>
      <c r="V34" s="31"/>
      <c r="W34" s="32"/>
      <c r="X34" s="33"/>
      <c r="Y34" s="34"/>
      <c r="Z34" s="32"/>
      <c r="AA34" s="20" t="s">
        <v>49</v>
      </c>
      <c r="AB34" s="20" t="s">
        <v>49</v>
      </c>
      <c r="AC34" s="19" t="s">
        <v>49</v>
      </c>
      <c r="AD34" s="19" t="str">
        <f ca="1">IFERROR(DATEDIF(DadosViagem5[[#This Row],[Utimo Bip Reserva]],TODAY(),"D"),"")</f>
        <v/>
      </c>
      <c r="AE34" s="36"/>
      <c r="AF34" s="25"/>
      <c r="AG34" s="36"/>
      <c r="AH34" s="25">
        <v>45807</v>
      </c>
      <c r="AI34" s="36" t="str">
        <f>IF(DadosViagem5[[#This Row],[Dias em manutenção ]]&lt;5,"Dentro do Prazo","Fora do Prazo")</f>
        <v>Fora do Prazo</v>
      </c>
      <c r="AJ34" s="36" t="e">
        <v>#REF!</v>
      </c>
    </row>
    <row r="35" spans="1:36">
      <c r="A35" s="19" t="s">
        <v>118</v>
      </c>
      <c r="B35" s="20"/>
      <c r="C35" s="19" t="s">
        <v>74</v>
      </c>
      <c r="D35" s="19" t="s">
        <v>52</v>
      </c>
      <c r="E35" s="19" t="s">
        <v>75</v>
      </c>
      <c r="F35" s="19" t="s">
        <v>76</v>
      </c>
      <c r="G35" s="19"/>
      <c r="H35" s="20">
        <v>2024</v>
      </c>
      <c r="I35" s="19" t="s">
        <v>41</v>
      </c>
      <c r="J35" s="19" t="s">
        <v>42</v>
      </c>
      <c r="K35" s="21" t="s">
        <v>43</v>
      </c>
      <c r="L35" s="22" t="s">
        <v>44</v>
      </c>
      <c r="M35" s="23" t="s">
        <v>77</v>
      </c>
      <c r="N35" s="36" t="s">
        <v>78</v>
      </c>
      <c r="O35" s="25" t="s">
        <v>47</v>
      </c>
      <c r="P35" s="26">
        <f ca="1">IFERROR(VLOOKUP(DadosViagem5[[#This Row],[Placa]],[1]BIP!A:E,5,FALSE),"")</f>
        <v>45989</v>
      </c>
      <c r="Q35" s="27">
        <f ca="1">DATEDIF(DadosViagem5[[#This Row],[BIP]],TODAY(),"D")</f>
        <v>1</v>
      </c>
      <c r="R35" s="28" t="str">
        <f>IFERROR(VLOOKUP(DadosViagem5[[#This Row],[Placa]],[1]DDS!B:C,2,FALSE),"Verificar cadastro")</f>
        <v>Operando</v>
      </c>
      <c r="S35" s="29" t="s">
        <v>48</v>
      </c>
      <c r="T35" s="23"/>
      <c r="U35" s="30"/>
      <c r="V35" s="31"/>
      <c r="W35" s="32"/>
      <c r="X35" s="33"/>
      <c r="Y35" s="34"/>
      <c r="Z35" s="32"/>
      <c r="AA35" s="20" t="s">
        <v>49</v>
      </c>
      <c r="AB35" s="20" t="s">
        <v>49</v>
      </c>
      <c r="AC35" s="20" t="s">
        <v>49</v>
      </c>
      <c r="AD35" s="20" t="s">
        <v>49</v>
      </c>
      <c r="AE35" s="36"/>
      <c r="AF35" s="25"/>
      <c r="AG35" s="36"/>
      <c r="AH35" s="25">
        <v>45807</v>
      </c>
      <c r="AI35" s="36" t="str">
        <f>IF(DadosViagem5[[#This Row],[Dias em manutenção ]]&lt;5,"Dentro do Prazo","Fora do Prazo")</f>
        <v>Fora do Prazo</v>
      </c>
      <c r="AJ35" s="36" t="e">
        <v>#REF!</v>
      </c>
    </row>
    <row r="36" spans="1:36">
      <c r="A36" s="19" t="s">
        <v>119</v>
      </c>
      <c r="B36" s="20"/>
      <c r="C36" s="19" t="s">
        <v>37</v>
      </c>
      <c r="D36" s="19" t="s">
        <v>38</v>
      </c>
      <c r="E36" s="19" t="s">
        <v>39</v>
      </c>
      <c r="F36" s="19" t="s">
        <v>106</v>
      </c>
      <c r="G36" s="19"/>
      <c r="H36" s="20">
        <v>2024</v>
      </c>
      <c r="I36" s="19" t="s">
        <v>41</v>
      </c>
      <c r="J36" s="19" t="s">
        <v>42</v>
      </c>
      <c r="K36" s="38" t="s">
        <v>43</v>
      </c>
      <c r="L36" s="22" t="s">
        <v>44</v>
      </c>
      <c r="M36" s="23" t="s">
        <v>45</v>
      </c>
      <c r="N36" s="24" t="s">
        <v>46</v>
      </c>
      <c r="O36" s="40" t="s">
        <v>47</v>
      </c>
      <c r="P36" s="26">
        <f ca="1">IFERROR(VLOOKUP(DadosViagem5[[#This Row],[Placa]],[1]BIP!A:E,5,FALSE),"")</f>
        <v>45989</v>
      </c>
      <c r="Q36" s="27">
        <f ca="1">DATEDIF(DadosViagem5[[#This Row],[BIP]],TODAY(),"D")</f>
        <v>1</v>
      </c>
      <c r="R36" s="28" t="str">
        <f>IFERROR(VLOOKUP(DadosViagem5[[#This Row],[Placa]],[1]DDS!B:C,2,FALSE),"Verificar cadastro")</f>
        <v>Carregado</v>
      </c>
      <c r="S36" s="29" t="s">
        <v>48</v>
      </c>
      <c r="T36" s="23"/>
      <c r="U36" s="30"/>
      <c r="V36" s="47"/>
      <c r="W36" s="32" t="s">
        <v>85</v>
      </c>
      <c r="X36" s="33"/>
      <c r="Y36" s="34"/>
      <c r="Z36" s="32"/>
      <c r="AA36" s="20" t="s">
        <v>49</v>
      </c>
      <c r="AB36" s="20" t="s">
        <v>49</v>
      </c>
      <c r="AC36" s="19" t="s">
        <v>49</v>
      </c>
      <c r="AD36" s="19" t="str">
        <f ca="1">IFERROR(DATEDIF(DadosViagem5[[#This Row],[Utimo Bip Reserva]],TODAY(),"D"),"")</f>
        <v/>
      </c>
      <c r="AE36" s="36" t="s">
        <v>120</v>
      </c>
      <c r="AF36" s="25" t="s">
        <v>49</v>
      </c>
      <c r="AG36" s="36"/>
      <c r="AH36" s="25">
        <v>45807</v>
      </c>
      <c r="AI36" s="36" t="str">
        <f>IF(DadosViagem5[[#This Row],[Dias em manutenção ]]&lt;5,"Dentro do Prazo","Fora do Prazo")</f>
        <v>Fora do Prazo</v>
      </c>
      <c r="AJ36" s="36" t="e">
        <v>#REF!</v>
      </c>
    </row>
    <row r="37" spans="1:36">
      <c r="A37" s="19" t="s">
        <v>121</v>
      </c>
      <c r="B37" s="20"/>
      <c r="C37" s="19" t="s">
        <v>71</v>
      </c>
      <c r="D37" s="19" t="s">
        <v>38</v>
      </c>
      <c r="E37" s="19" t="s">
        <v>114</v>
      </c>
      <c r="F37" s="19" t="s">
        <v>115</v>
      </c>
      <c r="G37" s="19"/>
      <c r="H37" s="20">
        <v>2021</v>
      </c>
      <c r="I37" s="19" t="s">
        <v>41</v>
      </c>
      <c r="J37" s="19" t="s">
        <v>42</v>
      </c>
      <c r="K37" s="21" t="s">
        <v>43</v>
      </c>
      <c r="L37" s="22" t="s">
        <v>44</v>
      </c>
      <c r="M37" s="23" t="s">
        <v>45</v>
      </c>
      <c r="N37" s="24" t="s">
        <v>46</v>
      </c>
      <c r="O37" s="25" t="s">
        <v>47</v>
      </c>
      <c r="P37" s="26">
        <f ca="1">IFERROR(VLOOKUP(DadosViagem5[[#This Row],[Placa]],[1]BIP!A:E,5,FALSE),"")</f>
        <v>0</v>
      </c>
      <c r="Q37" s="27">
        <f ca="1">DATEDIF(DadosViagem5[[#This Row],[BIP]],TODAY(),"D")</f>
        <v>45990</v>
      </c>
      <c r="R37" s="28" t="str">
        <f>IFERROR(VLOOKUP(DadosViagem5[[#This Row],[Placa]],[1]DDS!B:C,2,FALSE),"Verificar cadastro")</f>
        <v> </v>
      </c>
      <c r="S37" s="29" t="s">
        <v>48</v>
      </c>
      <c r="T37" s="23"/>
      <c r="U37" s="30"/>
      <c r="V37" s="31"/>
      <c r="W37" s="32" t="s">
        <v>122</v>
      </c>
      <c r="X37" s="33"/>
      <c r="Y37" s="34"/>
      <c r="Z37" s="32"/>
      <c r="AA37" s="20" t="s">
        <v>49</v>
      </c>
      <c r="AB37" s="20" t="s">
        <v>49</v>
      </c>
      <c r="AC37" s="19" t="s">
        <v>49</v>
      </c>
      <c r="AD37" s="19" t="str">
        <f ca="1">IFERROR(DATEDIF(DadosViagem5[[#This Row],[Utimo Bip Reserva]],TODAY(),"D"),"")</f>
        <v/>
      </c>
      <c r="AE37" s="36" t="s">
        <v>49</v>
      </c>
      <c r="AF37" s="25" t="s">
        <v>49</v>
      </c>
      <c r="AG37" s="36"/>
      <c r="AH37" s="25">
        <v>45807</v>
      </c>
      <c r="AI37" s="36" t="str">
        <f>IF(DadosViagem5[[#This Row],[Dias em manutenção ]]&lt;5,"Dentro do Prazo","Fora do Prazo")</f>
        <v>Fora do Prazo</v>
      </c>
      <c r="AJ37" s="36" t="e">
        <v>#REF!</v>
      </c>
    </row>
    <row r="38" spans="1:36">
      <c r="A38" s="19" t="s">
        <v>123</v>
      </c>
      <c r="B38" s="20"/>
      <c r="C38" s="19" t="s">
        <v>71</v>
      </c>
      <c r="D38" s="19" t="s">
        <v>38</v>
      </c>
      <c r="E38" s="19" t="s">
        <v>114</v>
      </c>
      <c r="F38" s="19" t="s">
        <v>115</v>
      </c>
      <c r="G38" s="19"/>
      <c r="H38" s="20">
        <v>2021</v>
      </c>
      <c r="I38" s="19" t="s">
        <v>41</v>
      </c>
      <c r="J38" s="19" t="s">
        <v>42</v>
      </c>
      <c r="K38" s="21" t="s">
        <v>43</v>
      </c>
      <c r="L38" s="22" t="s">
        <v>44</v>
      </c>
      <c r="M38" s="23" t="s">
        <v>45</v>
      </c>
      <c r="N38" s="24" t="s">
        <v>46</v>
      </c>
      <c r="O38" s="25" t="s">
        <v>47</v>
      </c>
      <c r="P38" s="26">
        <f ca="1">IFERROR(VLOOKUP(DadosViagem5[[#This Row],[Placa]],[1]BIP!A:E,5,FALSE),"")</f>
        <v>45989</v>
      </c>
      <c r="Q38" s="27">
        <f ca="1">DATEDIF(DadosViagem5[[#This Row],[BIP]],TODAY(),"D")</f>
        <v>1</v>
      </c>
      <c r="R38" s="28" t="str">
        <f>IFERROR(VLOOKUP(DadosViagem5[[#This Row],[Placa]],[1]DDS!B:C,2,FALSE),"Verificar cadastro")</f>
        <v>Carregado</v>
      </c>
      <c r="S38" s="29" t="s">
        <v>48</v>
      </c>
      <c r="T38" s="23"/>
      <c r="U38" s="30"/>
      <c r="V38" s="31"/>
      <c r="W38" s="32"/>
      <c r="X38" s="33"/>
      <c r="Y38" s="34"/>
      <c r="Z38" s="32"/>
      <c r="AA38" s="20" t="s">
        <v>49</v>
      </c>
      <c r="AB38" s="20" t="s">
        <v>49</v>
      </c>
      <c r="AC38" s="19" t="s">
        <v>49</v>
      </c>
      <c r="AD38" s="19" t="str">
        <f ca="1">IFERROR(DATEDIF(DadosViagem5[[#This Row],[Utimo Bip Reserva]],TODAY(),"D"),"")</f>
        <v/>
      </c>
      <c r="AE38" s="36" t="s">
        <v>49</v>
      </c>
      <c r="AF38" s="25" t="s">
        <v>49</v>
      </c>
      <c r="AG38" s="36"/>
      <c r="AH38" s="25">
        <v>45807</v>
      </c>
      <c r="AI38" s="36" t="str">
        <f>IF(DadosViagem5[[#This Row],[Dias em manutenção ]]&lt;5,"Dentro do Prazo","Fora do Prazo")</f>
        <v>Fora do Prazo</v>
      </c>
      <c r="AJ38" s="36" t="e">
        <v>#REF!</v>
      </c>
    </row>
    <row r="39" spans="1:36">
      <c r="A39" s="19" t="s">
        <v>124</v>
      </c>
      <c r="B39" s="20">
        <v>774</v>
      </c>
      <c r="C39" s="19" t="s">
        <v>74</v>
      </c>
      <c r="D39" s="19" t="s">
        <v>52</v>
      </c>
      <c r="E39" s="19" t="s">
        <v>75</v>
      </c>
      <c r="F39" s="19" t="s">
        <v>76</v>
      </c>
      <c r="G39" s="19"/>
      <c r="H39" s="20">
        <v>2024</v>
      </c>
      <c r="I39" s="19" t="s">
        <v>41</v>
      </c>
      <c r="J39" s="19" t="s">
        <v>42</v>
      </c>
      <c r="K39" s="21" t="s">
        <v>43</v>
      </c>
      <c r="L39" s="22" t="s">
        <v>44</v>
      </c>
      <c r="M39" s="23" t="s">
        <v>77</v>
      </c>
      <c r="N39" s="36" t="s">
        <v>78</v>
      </c>
      <c r="O39" s="25" t="s">
        <v>47</v>
      </c>
      <c r="P39" s="26" t="str">
        <f>IFERROR(VLOOKUP(DadosViagem5[[#This Row],[Placa]],[1]BIP!A:E,5,FALSE),"")</f>
        <v/>
      </c>
      <c r="Q39" s="27" t="e">
        <f ca="1">DATEDIF(DadosViagem5[[#This Row],[BIP]],TODAY(),"D")</f>
        <v>#VALUE!</v>
      </c>
      <c r="R39" s="28" t="str">
        <f>IFERROR(VLOOKUP(DadosViagem5[[#This Row],[Placa]],[1]DDS!B:C,2,FALSE),"Verificar cadastro")</f>
        <v>Carregado</v>
      </c>
      <c r="S39" s="29" t="s">
        <v>48</v>
      </c>
      <c r="T39" s="23"/>
      <c r="U39" s="30"/>
      <c r="V39" s="31"/>
      <c r="W39" s="32"/>
      <c r="X39" s="33"/>
      <c r="Y39" s="34"/>
      <c r="Z39" s="32"/>
      <c r="AA39" s="20" t="s">
        <v>49</v>
      </c>
      <c r="AB39" s="20" t="s">
        <v>49</v>
      </c>
      <c r="AC39" s="20" t="s">
        <v>49</v>
      </c>
      <c r="AD39" s="20" t="s">
        <v>49</v>
      </c>
      <c r="AE39" s="36"/>
      <c r="AF39" s="25"/>
      <c r="AG39" s="36"/>
      <c r="AH39" s="25">
        <v>45807</v>
      </c>
      <c r="AI39" s="36" t="str">
        <f>IF(DadosViagem5[[#This Row],[Dias em manutenção ]]&lt;5,"Dentro do Prazo","Fora do Prazo")</f>
        <v>Fora do Prazo</v>
      </c>
      <c r="AJ39" s="36" t="e">
        <v>#REF!</v>
      </c>
    </row>
    <row r="40" spans="1:36">
      <c r="A40" s="19" t="s">
        <v>125</v>
      </c>
      <c r="B40" s="20">
        <v>769</v>
      </c>
      <c r="C40" s="19" t="s">
        <v>74</v>
      </c>
      <c r="D40" s="19" t="s">
        <v>52</v>
      </c>
      <c r="E40" s="19" t="s">
        <v>75</v>
      </c>
      <c r="F40" s="19" t="s">
        <v>76</v>
      </c>
      <c r="G40" s="19"/>
      <c r="H40" s="20">
        <v>2023</v>
      </c>
      <c r="I40" s="19" t="s">
        <v>41</v>
      </c>
      <c r="J40" s="19" t="s">
        <v>42</v>
      </c>
      <c r="K40" s="21" t="s">
        <v>43</v>
      </c>
      <c r="L40" s="22" t="s">
        <v>44</v>
      </c>
      <c r="M40" s="23" t="s">
        <v>77</v>
      </c>
      <c r="N40" s="36" t="s">
        <v>78</v>
      </c>
      <c r="O40" s="25" t="s">
        <v>47</v>
      </c>
      <c r="P40" s="26" t="str">
        <f>IFERROR(VLOOKUP(DadosViagem5[[#This Row],[Placa]],[1]BIP!A:E,5,FALSE),"")</f>
        <v/>
      </c>
      <c r="Q40" s="27" t="e">
        <f ca="1">DATEDIF(DadosViagem5[[#This Row],[BIP]],TODAY(),"D")</f>
        <v>#VALUE!</v>
      </c>
      <c r="R40" s="28" t="str">
        <f>IFERROR(VLOOKUP(DadosViagem5[[#This Row],[Placa]],[1]DDS!B:C,2,FALSE),"Verificar cadastro")</f>
        <v>Carregado</v>
      </c>
      <c r="S40" s="29" t="s">
        <v>48</v>
      </c>
      <c r="T40" s="23"/>
      <c r="U40" s="30"/>
      <c r="V40" s="31"/>
      <c r="W40" s="32"/>
      <c r="X40" s="33"/>
      <c r="Y40" s="34"/>
      <c r="Z40" s="32"/>
      <c r="AA40" s="20" t="s">
        <v>49</v>
      </c>
      <c r="AB40" s="20" t="s">
        <v>49</v>
      </c>
      <c r="AC40" s="20" t="s">
        <v>49</v>
      </c>
      <c r="AD40" s="20" t="s">
        <v>49</v>
      </c>
      <c r="AE40" s="36"/>
      <c r="AF40" s="25"/>
      <c r="AG40" s="36"/>
      <c r="AH40" s="25">
        <v>45807</v>
      </c>
      <c r="AI40" s="36" t="str">
        <f>IF(DadosViagem5[[#This Row],[Dias em manutenção ]]&lt;5,"Dentro do Prazo","Fora do Prazo")</f>
        <v>Fora do Prazo</v>
      </c>
      <c r="AJ40" s="36" t="e">
        <v>#REF!</v>
      </c>
    </row>
    <row r="41" spans="1:36">
      <c r="A41" s="19" t="s">
        <v>126</v>
      </c>
      <c r="B41" s="20">
        <v>773</v>
      </c>
      <c r="C41" s="19" t="s">
        <v>74</v>
      </c>
      <c r="D41" s="19" t="s">
        <v>52</v>
      </c>
      <c r="E41" s="19" t="s">
        <v>75</v>
      </c>
      <c r="F41" s="19" t="s">
        <v>76</v>
      </c>
      <c r="G41" s="19"/>
      <c r="H41" s="20">
        <v>2023</v>
      </c>
      <c r="I41" s="19" t="s">
        <v>41</v>
      </c>
      <c r="J41" s="19" t="s">
        <v>42</v>
      </c>
      <c r="K41" s="21" t="s">
        <v>43</v>
      </c>
      <c r="L41" s="22" t="s">
        <v>44</v>
      </c>
      <c r="M41" s="23" t="s">
        <v>77</v>
      </c>
      <c r="N41" s="36" t="s">
        <v>78</v>
      </c>
      <c r="O41" s="25" t="s">
        <v>47</v>
      </c>
      <c r="P41" s="26" t="str">
        <f>IFERROR(VLOOKUP(DadosViagem5[[#This Row],[Placa]],[1]BIP!A:E,5,FALSE),"")</f>
        <v/>
      </c>
      <c r="Q41" s="27" t="e">
        <f ca="1">DATEDIF(DadosViagem5[[#This Row],[BIP]],TODAY(),"D")</f>
        <v>#VALUE!</v>
      </c>
      <c r="R41" s="28" t="str">
        <f>IFERROR(VLOOKUP(DadosViagem5[[#This Row],[Placa]],[1]DDS!B:C,2,FALSE),"Verificar cadastro")</f>
        <v> </v>
      </c>
      <c r="S41" s="29" t="s">
        <v>48</v>
      </c>
      <c r="T41" s="23"/>
      <c r="U41" s="30"/>
      <c r="V41" s="31"/>
      <c r="W41" s="32"/>
      <c r="X41" s="33"/>
      <c r="Y41" s="34"/>
      <c r="Z41" s="32"/>
      <c r="AA41" s="20" t="s">
        <v>49</v>
      </c>
      <c r="AB41" s="20" t="s">
        <v>49</v>
      </c>
      <c r="AC41" s="20" t="s">
        <v>49</v>
      </c>
      <c r="AD41" s="20" t="s">
        <v>49</v>
      </c>
      <c r="AE41" s="36"/>
      <c r="AF41" s="25"/>
      <c r="AG41" s="36"/>
      <c r="AH41" s="25">
        <v>45807</v>
      </c>
      <c r="AI41" s="36" t="str">
        <f>IF(DadosViagem5[[#This Row],[Dias em manutenção ]]&lt;5,"Dentro do Prazo","Fora do Prazo")</f>
        <v>Fora do Prazo</v>
      </c>
      <c r="AJ41" s="36" t="e">
        <v>#REF!</v>
      </c>
    </row>
    <row r="42" spans="1:36">
      <c r="A42" s="19" t="s">
        <v>127</v>
      </c>
      <c r="B42" s="20"/>
      <c r="C42" s="19" t="s">
        <v>74</v>
      </c>
      <c r="D42" s="19" t="s">
        <v>52</v>
      </c>
      <c r="E42" s="19" t="s">
        <v>75</v>
      </c>
      <c r="F42" s="19" t="s">
        <v>40</v>
      </c>
      <c r="G42" s="19"/>
      <c r="H42" s="20">
        <v>2024</v>
      </c>
      <c r="I42" s="19" t="s">
        <v>41</v>
      </c>
      <c r="J42" s="19" t="s">
        <v>42</v>
      </c>
      <c r="K42" s="21" t="s">
        <v>43</v>
      </c>
      <c r="L42" s="22" t="s">
        <v>44</v>
      </c>
      <c r="M42" s="23" t="s">
        <v>77</v>
      </c>
      <c r="N42" s="36" t="s">
        <v>78</v>
      </c>
      <c r="O42" s="25" t="s">
        <v>47</v>
      </c>
      <c r="P42" s="26" t="str">
        <f>IFERROR(VLOOKUP(DadosViagem5[[#This Row],[Placa]],[1]BIP!A:E,5,FALSE),"")</f>
        <v/>
      </c>
      <c r="Q42" s="27" t="e">
        <f ca="1">DATEDIF(DadosViagem5[[#This Row],[BIP]],TODAY(),"D")</f>
        <v>#VALUE!</v>
      </c>
      <c r="R42" s="28" t="str">
        <f>IFERROR(VLOOKUP(DadosViagem5[[#This Row],[Placa]],[1]DDS!B:C,2,FALSE),"Verificar cadastro")</f>
        <v>Carregado</v>
      </c>
      <c r="S42" s="29" t="s">
        <v>48</v>
      </c>
      <c r="T42" s="23"/>
      <c r="U42" s="30"/>
      <c r="V42" s="31"/>
      <c r="W42" s="32" t="s">
        <v>128</v>
      </c>
      <c r="X42" s="33"/>
      <c r="Y42" s="34"/>
      <c r="Z42" s="32"/>
      <c r="AA42" s="20" t="s">
        <v>49</v>
      </c>
      <c r="AB42" s="20" t="s">
        <v>49</v>
      </c>
      <c r="AC42" s="20" t="s">
        <v>49</v>
      </c>
      <c r="AD42" s="20" t="s">
        <v>49</v>
      </c>
      <c r="AE42" s="36"/>
      <c r="AF42" s="25"/>
      <c r="AG42" s="36"/>
      <c r="AH42" s="25">
        <v>45807</v>
      </c>
      <c r="AI42" s="36" t="str">
        <f>IF(DadosViagem5[[#This Row],[Dias em manutenção ]]&lt;5,"Dentro do Prazo","Fora do Prazo")</f>
        <v>Fora do Prazo</v>
      </c>
      <c r="AJ42" s="36" t="e">
        <v>#REF!</v>
      </c>
    </row>
    <row r="43" spans="1:36">
      <c r="A43" s="19" t="s">
        <v>129</v>
      </c>
      <c r="B43" s="20"/>
      <c r="C43" s="19" t="s">
        <v>74</v>
      </c>
      <c r="D43" s="19" t="s">
        <v>38</v>
      </c>
      <c r="E43" s="19" t="s">
        <v>75</v>
      </c>
      <c r="F43" s="19" t="s">
        <v>40</v>
      </c>
      <c r="G43" s="19"/>
      <c r="H43" s="20">
        <v>2024</v>
      </c>
      <c r="I43" s="19" t="s">
        <v>41</v>
      </c>
      <c r="J43" s="19" t="s">
        <v>42</v>
      </c>
      <c r="K43" s="21" t="s">
        <v>43</v>
      </c>
      <c r="L43" s="22" t="s">
        <v>44</v>
      </c>
      <c r="M43" s="23" t="s">
        <v>77</v>
      </c>
      <c r="N43" s="36" t="s">
        <v>78</v>
      </c>
      <c r="O43" s="25" t="s">
        <v>47</v>
      </c>
      <c r="P43" s="26" t="str">
        <f>IFERROR(VLOOKUP(DadosViagem5[[#This Row],[Placa]],[1]BIP!A:E,5,FALSE),"")</f>
        <v/>
      </c>
      <c r="Q43" s="27" t="e">
        <f ca="1">DATEDIF(DadosViagem5[[#This Row],[BIP]],TODAY(),"D")</f>
        <v>#VALUE!</v>
      </c>
      <c r="R43" s="28" t="str">
        <f>IFERROR(VLOOKUP(DadosViagem5[[#This Row],[Placa]],[1]DDS!B:C,2,FALSE),"Verificar cadastro")</f>
        <v> </v>
      </c>
      <c r="S43" s="29" t="s">
        <v>48</v>
      </c>
      <c r="T43" s="23"/>
      <c r="U43" s="30"/>
      <c r="V43" s="31"/>
      <c r="W43" s="32"/>
      <c r="X43" s="33"/>
      <c r="Y43" s="34"/>
      <c r="Z43" s="32"/>
      <c r="AA43" s="20" t="s">
        <v>49</v>
      </c>
      <c r="AB43" s="20" t="s">
        <v>49</v>
      </c>
      <c r="AC43" s="20" t="s">
        <v>49</v>
      </c>
      <c r="AD43" s="20" t="s">
        <v>49</v>
      </c>
      <c r="AE43" s="36"/>
      <c r="AF43" s="25"/>
      <c r="AG43" s="36"/>
      <c r="AH43" s="25">
        <v>45807</v>
      </c>
      <c r="AI43" s="36" t="str">
        <f>IF(DadosViagem5[[#This Row],[Dias em manutenção ]]&lt;5,"Dentro do Prazo","Fora do Prazo")</f>
        <v>Fora do Prazo</v>
      </c>
      <c r="AJ43" s="36" t="e">
        <v>#REF!</v>
      </c>
    </row>
    <row r="44" spans="1:36">
      <c r="A44" s="19" t="s">
        <v>130</v>
      </c>
      <c r="B44" s="20"/>
      <c r="C44" s="19" t="s">
        <v>131</v>
      </c>
      <c r="D44" s="19" t="s">
        <v>132</v>
      </c>
      <c r="E44" s="19" t="s">
        <v>57</v>
      </c>
      <c r="F44" s="19" t="s">
        <v>40</v>
      </c>
      <c r="G44" s="19"/>
      <c r="H44" s="20">
        <v>2025</v>
      </c>
      <c r="I44" s="19" t="s">
        <v>41</v>
      </c>
      <c r="J44" s="19" t="s">
        <v>42</v>
      </c>
      <c r="K44" s="21" t="s">
        <v>43</v>
      </c>
      <c r="L44" s="22" t="s">
        <v>44</v>
      </c>
      <c r="M44" s="23" t="s">
        <v>45</v>
      </c>
      <c r="N44" s="24" t="s">
        <v>46</v>
      </c>
      <c r="O44" s="25" t="s">
        <v>47</v>
      </c>
      <c r="P44" s="26" t="str">
        <f>IFERROR(VLOOKUP(DadosViagem5[[#This Row],[Placa]],[1]BIP!A:E,5,FALSE),"")</f>
        <v/>
      </c>
      <c r="Q44" s="27" t="e">
        <f ca="1">DATEDIF(DadosViagem5[[#This Row],[BIP]],TODAY(),"D")</f>
        <v>#VALUE!</v>
      </c>
      <c r="R44" s="28" t="str">
        <f>IFERROR(VLOOKUP(DadosViagem5[[#This Row],[Placa]],[1]DDS!B:C,2,FALSE),"Verificar cadastro")</f>
        <v> </v>
      </c>
      <c r="S44" s="29" t="s">
        <v>48</v>
      </c>
      <c r="T44" s="23"/>
      <c r="U44" s="30"/>
      <c r="V44" s="31"/>
      <c r="W44" s="32" t="s">
        <v>85</v>
      </c>
      <c r="X44" s="33"/>
      <c r="Y44" s="34"/>
      <c r="Z44" s="32"/>
      <c r="AA44" s="20" t="s">
        <v>49</v>
      </c>
      <c r="AB44" s="20" t="s">
        <v>49</v>
      </c>
      <c r="AC44" s="19" t="s">
        <v>49</v>
      </c>
      <c r="AD44" s="19" t="str">
        <f ca="1">IFERROR(DATEDIF(DadosViagem5[[#This Row],[Utimo Bip Reserva]],TODAY(),"D"),"")</f>
        <v/>
      </c>
      <c r="AE44" s="36" t="s">
        <v>120</v>
      </c>
      <c r="AF44" s="25" t="s">
        <v>49</v>
      </c>
      <c r="AG44" s="36"/>
      <c r="AH44" s="25">
        <v>45807</v>
      </c>
      <c r="AI44" s="36" t="str">
        <f>IF(DadosViagem5[[#This Row],[Dias em manutenção ]]&lt;5,"Dentro do Prazo","Fora do Prazo")</f>
        <v>Fora do Prazo</v>
      </c>
      <c r="AJ44" s="36" t="e">
        <v>#REF!</v>
      </c>
    </row>
    <row r="45" spans="1:36">
      <c r="A45" s="19" t="s">
        <v>133</v>
      </c>
      <c r="B45" s="20"/>
      <c r="C45" s="19" t="s">
        <v>131</v>
      </c>
      <c r="D45" s="19" t="s">
        <v>132</v>
      </c>
      <c r="E45" s="19" t="s">
        <v>57</v>
      </c>
      <c r="F45" s="19" t="s">
        <v>40</v>
      </c>
      <c r="G45" s="19"/>
      <c r="H45" s="20">
        <v>2025</v>
      </c>
      <c r="I45" s="19" t="s">
        <v>41</v>
      </c>
      <c r="J45" s="19" t="s">
        <v>42</v>
      </c>
      <c r="K45" s="21" t="s">
        <v>43</v>
      </c>
      <c r="L45" s="22" t="s">
        <v>44</v>
      </c>
      <c r="M45" s="23" t="s">
        <v>45</v>
      </c>
      <c r="N45" s="24" t="s">
        <v>46</v>
      </c>
      <c r="O45" s="25" t="s">
        <v>47</v>
      </c>
      <c r="P45" s="26" t="str">
        <f>IFERROR(VLOOKUP(DadosViagem5[[#This Row],[Placa]],[1]BIP!A:E,5,FALSE),"")</f>
        <v/>
      </c>
      <c r="Q45" s="27" t="e">
        <f ca="1">DATEDIF(DadosViagem5[[#This Row],[BIP]],TODAY(),"D")</f>
        <v>#VALUE!</v>
      </c>
      <c r="R45" s="28" t="str">
        <f>IFERROR(VLOOKUP(DadosViagem5[[#This Row],[Placa]],[1]DDS!B:C,2,FALSE),"Verificar cadastro")</f>
        <v>Verificar cadastro</v>
      </c>
      <c r="S45" s="29" t="s">
        <v>48</v>
      </c>
      <c r="T45" s="23"/>
      <c r="U45" s="30"/>
      <c r="V45" s="31"/>
      <c r="W45" s="32" t="s">
        <v>134</v>
      </c>
      <c r="X45" s="33"/>
      <c r="Y45" s="34"/>
      <c r="Z45" s="32"/>
      <c r="AA45" s="20" t="s">
        <v>49</v>
      </c>
      <c r="AB45" s="20" t="s">
        <v>49</v>
      </c>
      <c r="AC45" s="19" t="s">
        <v>49</v>
      </c>
      <c r="AD45" s="19" t="str">
        <f ca="1">IFERROR(DATEDIF(DadosViagem5[[#This Row],[Utimo Bip Reserva]],TODAY(),"D"),"")</f>
        <v/>
      </c>
      <c r="AE45" s="36" t="s">
        <v>120</v>
      </c>
      <c r="AF45" s="25" t="s">
        <v>49</v>
      </c>
      <c r="AG45" s="36"/>
      <c r="AH45" s="25">
        <v>45807</v>
      </c>
      <c r="AI45" s="36" t="str">
        <f>IF(DadosViagem5[[#This Row],[Dias em manutenção ]]&lt;5,"Dentro do Prazo","Fora do Prazo")</f>
        <v>Fora do Prazo</v>
      </c>
      <c r="AJ45" s="36" t="e">
        <v>#REF!</v>
      </c>
    </row>
    <row r="46" spans="1:36">
      <c r="A46" s="19" t="s">
        <v>135</v>
      </c>
      <c r="B46" s="20"/>
      <c r="C46" s="19" t="s">
        <v>131</v>
      </c>
      <c r="D46" s="19" t="s">
        <v>132</v>
      </c>
      <c r="E46" s="19" t="s">
        <v>57</v>
      </c>
      <c r="F46" s="19" t="s">
        <v>40</v>
      </c>
      <c r="G46" s="19"/>
      <c r="H46" s="20">
        <v>2025</v>
      </c>
      <c r="I46" s="19" t="s">
        <v>41</v>
      </c>
      <c r="J46" s="19" t="s">
        <v>42</v>
      </c>
      <c r="K46" s="21" t="s">
        <v>43</v>
      </c>
      <c r="L46" s="22" t="s">
        <v>44</v>
      </c>
      <c r="M46" s="23" t="s">
        <v>45</v>
      </c>
      <c r="N46" s="24" t="s">
        <v>46</v>
      </c>
      <c r="O46" s="25" t="s">
        <v>47</v>
      </c>
      <c r="P46" s="26" t="str">
        <f>IFERROR(VLOOKUP(DadosViagem5[[#This Row],[Placa]],[1]BIP!A:E,5,FALSE),"")</f>
        <v/>
      </c>
      <c r="Q46" s="27" t="e">
        <f ca="1">DATEDIF(DadosViagem5[[#This Row],[BIP]],TODAY(),"D")</f>
        <v>#VALUE!</v>
      </c>
      <c r="R46" s="28" t="str">
        <f>IFERROR(VLOOKUP(DadosViagem5[[#This Row],[Placa]],[1]DDS!B:C,2,FALSE),"Verificar cadastro")</f>
        <v>Operando</v>
      </c>
      <c r="S46" s="29" t="s">
        <v>48</v>
      </c>
      <c r="T46" s="23"/>
      <c r="U46" s="30"/>
      <c r="V46" s="31"/>
      <c r="W46" s="32" t="s">
        <v>85</v>
      </c>
      <c r="X46" s="33"/>
      <c r="Y46" s="34"/>
      <c r="Z46" s="32"/>
      <c r="AA46" s="20" t="s">
        <v>49</v>
      </c>
      <c r="AB46" s="20" t="s">
        <v>49</v>
      </c>
      <c r="AC46" s="19" t="s">
        <v>49</v>
      </c>
      <c r="AD46" s="19" t="str">
        <f ca="1">IFERROR(DATEDIF(DadosViagem5[[#This Row],[Utimo Bip Reserva]],TODAY(),"D"),"")</f>
        <v/>
      </c>
      <c r="AE46" s="36" t="s">
        <v>120</v>
      </c>
      <c r="AF46" s="25" t="s">
        <v>49</v>
      </c>
      <c r="AG46" s="36"/>
      <c r="AH46" s="25">
        <v>45807</v>
      </c>
      <c r="AI46" s="36" t="str">
        <f>IF(DadosViagem5[[#This Row],[Dias em manutenção ]]&lt;5,"Dentro do Prazo","Fora do Prazo")</f>
        <v>Fora do Prazo</v>
      </c>
      <c r="AJ46" s="36" t="e">
        <v>#REF!</v>
      </c>
    </row>
    <row r="47" spans="1:36">
      <c r="A47" s="19" t="s">
        <v>136</v>
      </c>
      <c r="B47" s="20"/>
      <c r="C47" s="19" t="s">
        <v>131</v>
      </c>
      <c r="D47" s="19" t="s">
        <v>132</v>
      </c>
      <c r="E47" s="19" t="s">
        <v>57</v>
      </c>
      <c r="F47" s="19" t="s">
        <v>40</v>
      </c>
      <c r="G47" s="19"/>
      <c r="H47" s="20">
        <v>2025</v>
      </c>
      <c r="I47" s="19" t="s">
        <v>137</v>
      </c>
      <c r="J47" s="19" t="s">
        <v>138</v>
      </c>
      <c r="K47" s="21" t="s">
        <v>139</v>
      </c>
      <c r="L47" s="22" t="s">
        <v>60</v>
      </c>
      <c r="M47" s="23" t="s">
        <v>140</v>
      </c>
      <c r="N47" s="36" t="s">
        <v>141</v>
      </c>
      <c r="O47" s="25" t="s">
        <v>142</v>
      </c>
      <c r="P47" s="26">
        <v>0</v>
      </c>
      <c r="Q47" s="27">
        <v>45950</v>
      </c>
      <c r="R47" s="28" t="str">
        <f>IFERROR(VLOOKUP(DadosViagem5[[#This Row],[Placa]],[1]DDS!B:C,2,FALSE),"Verificar cadastro")</f>
        <v>Verificar cadastro</v>
      </c>
      <c r="S47" s="29" t="s">
        <v>48</v>
      </c>
      <c r="T47" s="23"/>
      <c r="U47" s="30"/>
      <c r="V47" s="31"/>
      <c r="W47" s="32" t="s">
        <v>134</v>
      </c>
      <c r="X47" s="33"/>
      <c r="Y47" s="34"/>
      <c r="Z47" s="32"/>
      <c r="AA47" s="20" t="s">
        <v>49</v>
      </c>
      <c r="AB47" s="20" t="s">
        <v>49</v>
      </c>
      <c r="AC47" s="19" t="s">
        <v>49</v>
      </c>
      <c r="AD47" s="19" t="str">
        <f ca="1">IFERROR(DATEDIF(DadosViagem5[[#This Row],[Utimo Bip Reserva]],TODAY(),"D"),"")</f>
        <v/>
      </c>
      <c r="AE47" s="36" t="s">
        <v>120</v>
      </c>
      <c r="AF47" s="25" t="s">
        <v>49</v>
      </c>
      <c r="AG47" s="36"/>
      <c r="AH47" s="25">
        <v>45807</v>
      </c>
      <c r="AI47" s="36" t="str">
        <f>IF(DadosViagem5[[#This Row],[Dias em manutenção ]]&lt;5,"Dentro do Prazo","Fora do Prazo")</f>
        <v>Fora do Prazo</v>
      </c>
      <c r="AJ47" s="36" t="e">
        <v>#REF!</v>
      </c>
    </row>
    <row r="48" spans="1:36">
      <c r="A48" s="19" t="s">
        <v>143</v>
      </c>
      <c r="B48" s="20"/>
      <c r="C48" s="19" t="s">
        <v>51</v>
      </c>
      <c r="D48" s="19" t="s">
        <v>52</v>
      </c>
      <c r="E48" s="19" t="s">
        <v>53</v>
      </c>
      <c r="F48" s="19" t="s">
        <v>40</v>
      </c>
      <c r="G48" s="19"/>
      <c r="H48" s="20">
        <v>2023</v>
      </c>
      <c r="I48" s="19" t="s">
        <v>41</v>
      </c>
      <c r="J48" s="19" t="s">
        <v>144</v>
      </c>
      <c r="K48" s="21" t="s">
        <v>145</v>
      </c>
      <c r="L48" s="22" t="s">
        <v>146</v>
      </c>
      <c r="M48" s="48" t="s">
        <v>45</v>
      </c>
      <c r="N48" s="25" t="s">
        <v>147</v>
      </c>
      <c r="O48" s="25" t="s">
        <v>148</v>
      </c>
      <c r="P48" s="26">
        <f ca="1">IFERROR(VLOOKUP(DadosViagem5[[#This Row],[Placa]],[1]BIP!A:E,5,FALSE),"")</f>
        <v>0</v>
      </c>
      <c r="Q48" s="27">
        <f ca="1">DATEDIF(DadosViagem5[[#This Row],[BIP]],TODAY(),"D")</f>
        <v>45990</v>
      </c>
      <c r="R48" s="28" t="str">
        <f>IFERROR(VLOOKUP(DadosViagem5[[#This Row],[Placa]],[1]DDS!B:C,2,FALSE),"Verificar cadastro")</f>
        <v> </v>
      </c>
      <c r="S48" s="29" t="s">
        <v>48</v>
      </c>
      <c r="T48" s="23"/>
      <c r="U48" s="30"/>
      <c r="V48" s="31"/>
      <c r="W48" s="32" t="s">
        <v>149</v>
      </c>
      <c r="X48" s="33"/>
      <c r="Y48" s="34"/>
      <c r="Z48" s="42"/>
      <c r="AA48" s="20" t="s">
        <v>49</v>
      </c>
      <c r="AB48" s="20" t="s">
        <v>49</v>
      </c>
      <c r="AC48" s="19" t="s">
        <v>49</v>
      </c>
      <c r="AD48" s="19" t="str">
        <f ca="1">IFERROR(DATEDIF(DadosViagem5[[#This Row],[Utimo Bip Reserva]],TODAY(),"D"),"")</f>
        <v/>
      </c>
      <c r="AE48" s="28" t="s">
        <v>49</v>
      </c>
      <c r="AF48" s="35" t="s">
        <v>49</v>
      </c>
      <c r="AG48" s="36"/>
      <c r="AH48" s="25">
        <v>45807</v>
      </c>
      <c r="AI48" s="36" t="str">
        <f>IF(DadosViagem5[[#This Row],[Dias em manutenção ]]&lt;5,"Dentro do Prazo","Fora do Prazo")</f>
        <v>Fora do Prazo</v>
      </c>
      <c r="AJ48" s="36" t="e">
        <v>#REF!</v>
      </c>
    </row>
    <row r="49" spans="1:36">
      <c r="A49" s="19" t="s">
        <v>150</v>
      </c>
      <c r="B49" s="20"/>
      <c r="C49" s="19" t="s">
        <v>51</v>
      </c>
      <c r="D49" s="19" t="s">
        <v>52</v>
      </c>
      <c r="E49" s="19" t="s">
        <v>53</v>
      </c>
      <c r="F49" s="19" t="s">
        <v>40</v>
      </c>
      <c r="G49" s="49"/>
      <c r="H49" s="50">
        <v>2023</v>
      </c>
      <c r="I49" s="49" t="s">
        <v>41</v>
      </c>
      <c r="J49" s="49" t="s">
        <v>144</v>
      </c>
      <c r="K49" s="21" t="s">
        <v>145</v>
      </c>
      <c r="L49" s="22" t="s">
        <v>146</v>
      </c>
      <c r="M49" s="23" t="s">
        <v>45</v>
      </c>
      <c r="N49" s="25" t="s">
        <v>147</v>
      </c>
      <c r="O49" s="25" t="s">
        <v>148</v>
      </c>
      <c r="P49" s="26">
        <f ca="1">IFERROR(VLOOKUP(DadosViagem5[[#This Row],[Placa]],[1]BIP!A:E,5,FALSE),"")</f>
        <v>0</v>
      </c>
      <c r="Q49" s="27">
        <f ca="1">DATEDIF(DadosViagem5[[#This Row],[BIP]],TODAY(),"D")</f>
        <v>45990</v>
      </c>
      <c r="R49" s="28" t="str">
        <f>IFERROR(VLOOKUP(DadosViagem5[[#This Row],[Placa]],[1]DDS!B:C,2,FALSE),"Verificar cadastro")</f>
        <v> </v>
      </c>
      <c r="S49" s="29" t="s">
        <v>48</v>
      </c>
      <c r="T49" s="23"/>
      <c r="U49" s="30"/>
      <c r="V49" s="31"/>
      <c r="W49" s="32"/>
      <c r="X49" s="33"/>
      <c r="Y49" s="34"/>
      <c r="Z49" s="32"/>
      <c r="AA49" s="20" t="s">
        <v>49</v>
      </c>
      <c r="AB49" s="20" t="s">
        <v>49</v>
      </c>
      <c r="AC49" s="19" t="s">
        <v>49</v>
      </c>
      <c r="AD49" s="19" t="str">
        <f ca="1">IFERROR(DATEDIF(DadosViagem5[[#This Row],[Utimo Bip Reserva]],TODAY(),"D"),"")</f>
        <v/>
      </c>
      <c r="AE49" s="35" t="s">
        <v>49</v>
      </c>
      <c r="AF49" s="35" t="s">
        <v>49</v>
      </c>
      <c r="AG49" s="36"/>
      <c r="AH49" s="25">
        <v>45807</v>
      </c>
      <c r="AI49" s="36" t="str">
        <f>IF(DadosViagem5[[#This Row],[Dias em manutenção ]]&lt;5,"Dentro do Prazo","Fora do Prazo")</f>
        <v>Fora do Prazo</v>
      </c>
      <c r="AJ49" s="36" t="e">
        <v>#REF!</v>
      </c>
    </row>
    <row r="50" spans="1:36">
      <c r="A50" s="19" t="s">
        <v>151</v>
      </c>
      <c r="B50" s="20"/>
      <c r="C50" s="19" t="s">
        <v>51</v>
      </c>
      <c r="D50" s="19" t="s">
        <v>52</v>
      </c>
      <c r="E50" s="19" t="s">
        <v>53</v>
      </c>
      <c r="F50" s="19" t="s">
        <v>40</v>
      </c>
      <c r="G50" s="19"/>
      <c r="H50" s="20">
        <v>2022</v>
      </c>
      <c r="I50" s="19" t="s">
        <v>41</v>
      </c>
      <c r="J50" s="19" t="s">
        <v>144</v>
      </c>
      <c r="K50" s="21" t="s">
        <v>145</v>
      </c>
      <c r="L50" s="22" t="s">
        <v>146</v>
      </c>
      <c r="M50" s="23" t="s">
        <v>45</v>
      </c>
      <c r="N50" s="25" t="s">
        <v>147</v>
      </c>
      <c r="O50" s="25" t="s">
        <v>148</v>
      </c>
      <c r="P50" s="26">
        <f ca="1">IFERROR(VLOOKUP(DadosViagem5[[#This Row],[Placa]],[1]BIP!A:E,5,FALSE),"")</f>
        <v>0</v>
      </c>
      <c r="Q50" s="27">
        <f ca="1">DATEDIF(DadosViagem5[[#This Row],[BIP]],TODAY(),"D")</f>
        <v>45990</v>
      </c>
      <c r="R50" s="28" t="str">
        <f>IFERROR(VLOOKUP(DadosViagem5[[#This Row],[Placa]],[1]DDS!B:C,2,FALSE),"Verificar cadastro")</f>
        <v>Manutenção</v>
      </c>
      <c r="S50" s="29" t="s">
        <v>48</v>
      </c>
      <c r="T50" s="23"/>
      <c r="U50" s="30"/>
      <c r="V50" s="31"/>
      <c r="W50" s="32" t="s">
        <v>152</v>
      </c>
      <c r="X50" s="33"/>
      <c r="Y50" s="34"/>
      <c r="Z50" s="42"/>
      <c r="AA50" s="20" t="s">
        <v>49</v>
      </c>
      <c r="AB50" s="20" t="s">
        <v>49</v>
      </c>
      <c r="AC50" s="19" t="s">
        <v>49</v>
      </c>
      <c r="AD50" s="19" t="str">
        <f ca="1">IFERROR(DATEDIF(DadosViagem5[[#This Row],[Utimo Bip Reserva]],TODAY(),"D"),"")</f>
        <v/>
      </c>
      <c r="AE50" s="36"/>
      <c r="AF50" s="25" t="s">
        <v>49</v>
      </c>
      <c r="AG50" s="30" t="s">
        <v>153</v>
      </c>
      <c r="AH50" s="25">
        <v>73</v>
      </c>
      <c r="AI50" s="36" t="str">
        <f>IF(DadosViagem5[[#This Row],[Dias em manutenção ]]&lt;5,"Dentro do Prazo","Fora do Prazo")</f>
        <v>Fora do Prazo</v>
      </c>
      <c r="AJ50" s="36" t="e">
        <v>#REF!</v>
      </c>
    </row>
    <row r="51" spans="1:36">
      <c r="A51" s="19" t="s">
        <v>154</v>
      </c>
      <c r="B51" s="20"/>
      <c r="C51" s="19" t="s">
        <v>51</v>
      </c>
      <c r="D51" s="19" t="s">
        <v>52</v>
      </c>
      <c r="E51" s="19" t="s">
        <v>53</v>
      </c>
      <c r="F51" s="19" t="s">
        <v>40</v>
      </c>
      <c r="G51" s="19"/>
      <c r="H51" s="20">
        <v>2022</v>
      </c>
      <c r="I51" s="19" t="s">
        <v>41</v>
      </c>
      <c r="J51" s="19" t="s">
        <v>144</v>
      </c>
      <c r="K51" s="21" t="s">
        <v>145</v>
      </c>
      <c r="L51" s="22" t="s">
        <v>146</v>
      </c>
      <c r="M51" s="23" t="s">
        <v>45</v>
      </c>
      <c r="N51" s="25" t="s">
        <v>147</v>
      </c>
      <c r="O51" s="25" t="s">
        <v>148</v>
      </c>
      <c r="P51" s="26">
        <f ca="1">IFERROR(VLOOKUP(DadosViagem5[[#This Row],[Placa]],[1]BIP!A:E,5,FALSE),"")</f>
        <v>0</v>
      </c>
      <c r="Q51" s="27">
        <f ca="1">DATEDIF(DadosViagem5[[#This Row],[BIP]],TODAY(),"D")</f>
        <v>45990</v>
      </c>
      <c r="R51" s="28" t="str">
        <f>IFERROR(VLOOKUP(DadosViagem5[[#This Row],[Placa]],[1]DDS!B:C,2,FALSE),"Verificar cadastro")</f>
        <v> </v>
      </c>
      <c r="S51" s="29" t="s">
        <v>48</v>
      </c>
      <c r="T51" s="23"/>
      <c r="U51" s="30"/>
      <c r="V51" s="31"/>
      <c r="W51" s="32" t="s">
        <v>155</v>
      </c>
      <c r="X51" s="33"/>
      <c r="Y51" s="34"/>
      <c r="Z51" s="42"/>
      <c r="AA51" s="20" t="s">
        <v>49</v>
      </c>
      <c r="AB51" s="20" t="s">
        <v>49</v>
      </c>
      <c r="AC51" s="19" t="s">
        <v>49</v>
      </c>
      <c r="AD51" s="19" t="str">
        <f ca="1">IFERROR(DATEDIF(DadosViagem5[[#This Row],[Utimo Bip Reserva]],TODAY(),"D"),"")</f>
        <v/>
      </c>
      <c r="AE51" s="36" t="s">
        <v>49</v>
      </c>
      <c r="AF51" s="25" t="s">
        <v>49</v>
      </c>
      <c r="AG51" s="36"/>
      <c r="AH51" s="25">
        <v>45807</v>
      </c>
      <c r="AI51" s="36" t="str">
        <f>IF(DadosViagem5[[#This Row],[Dias em manutenção ]]&lt;5,"Dentro do Prazo","Fora do Prazo")</f>
        <v>Fora do Prazo</v>
      </c>
      <c r="AJ51" s="36" t="e">
        <v>#REF!</v>
      </c>
    </row>
    <row r="52" spans="1:36">
      <c r="A52" s="19" t="s">
        <v>156</v>
      </c>
      <c r="B52" s="20"/>
      <c r="C52" s="19" t="s">
        <v>51</v>
      </c>
      <c r="D52" s="19" t="s">
        <v>52</v>
      </c>
      <c r="E52" s="19" t="s">
        <v>53</v>
      </c>
      <c r="F52" s="19" t="s">
        <v>40</v>
      </c>
      <c r="G52" s="19"/>
      <c r="H52" s="20">
        <v>2023</v>
      </c>
      <c r="I52" s="19" t="s">
        <v>41</v>
      </c>
      <c r="J52" s="19" t="s">
        <v>144</v>
      </c>
      <c r="K52" s="21" t="s">
        <v>145</v>
      </c>
      <c r="L52" s="22" t="s">
        <v>146</v>
      </c>
      <c r="M52" s="23" t="s">
        <v>45</v>
      </c>
      <c r="N52" s="40" t="s">
        <v>147</v>
      </c>
      <c r="O52" s="40" t="s">
        <v>148</v>
      </c>
      <c r="P52" s="26">
        <f ca="1">IFERROR(VLOOKUP(DadosViagem5[[#This Row],[Placa]],[1]BIP!A:E,5,FALSE),"")</f>
        <v>0</v>
      </c>
      <c r="Q52" s="27">
        <f ca="1">DATEDIF(DadosViagem5[[#This Row],[BIP]],TODAY(),"D")</f>
        <v>45990</v>
      </c>
      <c r="R52" s="28"/>
      <c r="S52" s="29" t="s">
        <v>48</v>
      </c>
      <c r="T52" s="23"/>
      <c r="U52" s="30"/>
      <c r="V52" s="31"/>
      <c r="W52" s="32"/>
      <c r="X52" s="33"/>
      <c r="Y52" s="34"/>
      <c r="Z52" s="32"/>
      <c r="AA52" s="20" t="s">
        <v>49</v>
      </c>
      <c r="AB52" s="20" t="s">
        <v>49</v>
      </c>
      <c r="AC52" s="19" t="s">
        <v>49</v>
      </c>
      <c r="AD52" s="19" t="str">
        <f ca="1">IFERROR(DATEDIF(DadosViagem5[[#This Row],[Utimo Bip Reserva]],TODAY(),"D"),"")</f>
        <v/>
      </c>
      <c r="AE52" s="51" t="s">
        <v>49</v>
      </c>
      <c r="AF52" s="35"/>
      <c r="AG52" s="36"/>
      <c r="AH52" s="25">
        <v>45807</v>
      </c>
      <c r="AI52" s="36" t="str">
        <f>IF(DadosViagem5[[#This Row],[Dias em manutenção ]]&lt;5,"Dentro do Prazo","Fora do Prazo")</f>
        <v>Fora do Prazo</v>
      </c>
      <c r="AJ52" s="36" t="e">
        <v>#REF!</v>
      </c>
    </row>
    <row r="53" spans="1:36">
      <c r="A53" s="19" t="s">
        <v>157</v>
      </c>
      <c r="B53" s="20"/>
      <c r="C53" s="19" t="s">
        <v>51</v>
      </c>
      <c r="D53" s="19" t="s">
        <v>52</v>
      </c>
      <c r="E53" s="19" t="s">
        <v>53</v>
      </c>
      <c r="F53" s="19" t="s">
        <v>40</v>
      </c>
      <c r="G53" s="19"/>
      <c r="H53" s="20">
        <v>2023</v>
      </c>
      <c r="I53" s="19" t="s">
        <v>41</v>
      </c>
      <c r="J53" s="19" t="s">
        <v>144</v>
      </c>
      <c r="K53" s="21" t="s">
        <v>145</v>
      </c>
      <c r="L53" s="22" t="s">
        <v>146</v>
      </c>
      <c r="M53" s="23" t="s">
        <v>45</v>
      </c>
      <c r="N53" s="25" t="s">
        <v>147</v>
      </c>
      <c r="O53" s="40" t="s">
        <v>148</v>
      </c>
      <c r="P53" s="26">
        <f ca="1">IFERROR(VLOOKUP(DadosViagem5[[#This Row],[Placa]],[1]BIP!A:E,5,FALSE),"")</f>
        <v>0</v>
      </c>
      <c r="Q53" s="27">
        <f ca="1">DATEDIF(DadosViagem5[[#This Row],[BIP]],TODAY(),"D")</f>
        <v>45990</v>
      </c>
      <c r="R53" s="28" t="str">
        <f>IFERROR(VLOOKUP(DadosViagem5[[#This Row],[Placa]],[1]DDS!B:C,2,FALSE),"Verificar cadastro")</f>
        <v> </v>
      </c>
      <c r="S53" s="29" t="s">
        <v>48</v>
      </c>
      <c r="T53" s="23"/>
      <c r="U53" s="30"/>
      <c r="V53" s="31">
        <v>45875</v>
      </c>
      <c r="W53" s="32" t="s">
        <v>158</v>
      </c>
      <c r="X53" s="33" t="s">
        <v>65</v>
      </c>
      <c r="Y53" s="34" t="s">
        <v>159</v>
      </c>
      <c r="Z53" s="32" t="s">
        <v>67</v>
      </c>
      <c r="AA53" s="20" t="s">
        <v>49</v>
      </c>
      <c r="AB53" s="20" t="s">
        <v>49</v>
      </c>
      <c r="AC53" s="19" t="s">
        <v>49</v>
      </c>
      <c r="AD53" s="19" t="str">
        <f ca="1">IFERROR(DATEDIF(DadosViagem5[[#This Row],[Utimo Bip Reserva]],TODAY(),"D"),"")</f>
        <v/>
      </c>
      <c r="AE53" s="36" t="s">
        <v>49</v>
      </c>
      <c r="AF53" s="25" t="s">
        <v>49</v>
      </c>
      <c r="AG53" s="36"/>
      <c r="AH53" s="25">
        <v>45807</v>
      </c>
      <c r="AI53" s="36" t="str">
        <f>IF(DadosViagem5[[#This Row],[Dias em manutenção ]]&lt;5,"Dentro do Prazo","Fora do Prazo")</f>
        <v>Fora do Prazo</v>
      </c>
      <c r="AJ53" s="36" t="e">
        <v>#REF!</v>
      </c>
    </row>
    <row r="54" spans="1:36">
      <c r="A54" s="52" t="s">
        <v>160</v>
      </c>
      <c r="B54" s="20"/>
      <c r="C54" s="19" t="s">
        <v>51</v>
      </c>
      <c r="D54" s="19" t="s">
        <v>52</v>
      </c>
      <c r="E54" s="19" t="s">
        <v>53</v>
      </c>
      <c r="F54" s="19" t="s">
        <v>40</v>
      </c>
      <c r="G54" s="19"/>
      <c r="H54" s="20">
        <v>2023</v>
      </c>
      <c r="I54" s="19" t="s">
        <v>41</v>
      </c>
      <c r="J54" s="19" t="s">
        <v>144</v>
      </c>
      <c r="K54" s="21" t="s">
        <v>145</v>
      </c>
      <c r="L54" s="22" t="s">
        <v>146</v>
      </c>
      <c r="M54" s="23" t="s">
        <v>45</v>
      </c>
      <c r="N54" s="25" t="s">
        <v>147</v>
      </c>
      <c r="O54" s="25" t="s">
        <v>148</v>
      </c>
      <c r="P54" s="26">
        <f ca="1">IFERROR(VLOOKUP(DadosViagem5[[#This Row],[Placa]],[1]BIP!A:E,5,FALSE),"")</f>
        <v>45989</v>
      </c>
      <c r="Q54" s="27">
        <f ca="1">DATEDIF(DadosViagem5[[#This Row],[BIP]],TODAY(),"D")</f>
        <v>1</v>
      </c>
      <c r="R54" s="28" t="str">
        <f>IFERROR(VLOOKUP(DadosViagem5[[#This Row],[Placa]],[1]DDS!B:C,2,FALSE),"Verificar cadastro")</f>
        <v>Carregado</v>
      </c>
      <c r="S54" s="29" t="s">
        <v>48</v>
      </c>
      <c r="T54" s="23"/>
      <c r="U54" s="30"/>
      <c r="V54" s="31"/>
      <c r="W54" s="32"/>
      <c r="X54" s="33"/>
      <c r="Y54" s="34"/>
      <c r="Z54" s="32"/>
      <c r="AA54" s="20" t="s">
        <v>49</v>
      </c>
      <c r="AB54" s="20" t="s">
        <v>49</v>
      </c>
      <c r="AC54" s="19" t="s">
        <v>49</v>
      </c>
      <c r="AD54" s="19" t="str">
        <f ca="1">IFERROR(DATEDIF(DadosViagem5[[#This Row],[Utimo Bip Reserva]],TODAY(),"D"),"")</f>
        <v/>
      </c>
      <c r="AE54" s="36" t="s">
        <v>49</v>
      </c>
      <c r="AF54" s="25" t="s">
        <v>49</v>
      </c>
      <c r="AG54" s="30"/>
      <c r="AH54" s="25">
        <v>45807</v>
      </c>
      <c r="AI54" s="36" t="str">
        <f>IF(DadosViagem5[[#This Row],[Dias em manutenção ]]&lt;5,"Dentro do Prazo","Fora do Prazo")</f>
        <v>Fora do Prazo</v>
      </c>
      <c r="AJ54" s="36" t="e">
        <v>#REF!</v>
      </c>
    </row>
    <row r="55" spans="1:36">
      <c r="A55" s="19" t="s">
        <v>161</v>
      </c>
      <c r="B55" s="20"/>
      <c r="C55" s="19" t="s">
        <v>51</v>
      </c>
      <c r="D55" s="19" t="s">
        <v>52</v>
      </c>
      <c r="E55" s="19" t="s">
        <v>53</v>
      </c>
      <c r="F55" s="19" t="s">
        <v>40</v>
      </c>
      <c r="G55" s="19"/>
      <c r="H55" s="20">
        <v>2022</v>
      </c>
      <c r="I55" s="19" t="s">
        <v>41</v>
      </c>
      <c r="J55" s="19" t="s">
        <v>144</v>
      </c>
      <c r="K55" s="21" t="s">
        <v>145</v>
      </c>
      <c r="L55" s="22" t="s">
        <v>146</v>
      </c>
      <c r="M55" s="23" t="s">
        <v>45</v>
      </c>
      <c r="N55" s="40" t="s">
        <v>147</v>
      </c>
      <c r="O55" s="25" t="s">
        <v>148</v>
      </c>
      <c r="P55" s="26">
        <f ca="1">IFERROR(VLOOKUP(DadosViagem5[[#This Row],[Placa]],[1]BIP!A:E,5,FALSE),"")</f>
        <v>0</v>
      </c>
      <c r="Q55" s="27">
        <f ca="1">DATEDIF(DadosViagem5[[#This Row],[BIP]],TODAY(),"D")</f>
        <v>45990</v>
      </c>
      <c r="R55" s="28" t="str">
        <f>IFERROR(VLOOKUP(DadosViagem5[[#This Row],[Placa]],[1]DDS!B:C,2,FALSE),"Verificar cadastro")</f>
        <v> </v>
      </c>
      <c r="S55" s="29" t="s">
        <v>48</v>
      </c>
      <c r="T55" s="23"/>
      <c r="U55" s="30"/>
      <c r="V55" s="31"/>
      <c r="W55" s="32"/>
      <c r="X55" s="33"/>
      <c r="Y55" s="34"/>
      <c r="Z55" s="32"/>
      <c r="AA55" s="20" t="s">
        <v>49</v>
      </c>
      <c r="AB55" s="20" t="s">
        <v>49</v>
      </c>
      <c r="AC55" s="19" t="s">
        <v>49</v>
      </c>
      <c r="AD55" s="19" t="str">
        <f ca="1">IFERROR(DATEDIF(DadosViagem5[[#This Row],[Utimo Bip Reserva]],TODAY(),"D"),"")</f>
        <v/>
      </c>
      <c r="AE55" s="36" t="s">
        <v>49</v>
      </c>
      <c r="AF55" s="25" t="s">
        <v>49</v>
      </c>
      <c r="AG55" s="36"/>
      <c r="AH55" s="25">
        <v>45807</v>
      </c>
      <c r="AI55" s="36" t="str">
        <f>IF(DadosViagem5[[#This Row],[Dias em manutenção ]]&lt;5,"Dentro do Prazo","Fora do Prazo")</f>
        <v>Fora do Prazo</v>
      </c>
      <c r="AJ55" s="36" t="e">
        <v>#REF!</v>
      </c>
    </row>
    <row r="56" spans="1:36">
      <c r="A56" s="19" t="s">
        <v>162</v>
      </c>
      <c r="B56" s="20"/>
      <c r="C56" s="19" t="s">
        <v>74</v>
      </c>
      <c r="D56" s="19" t="s">
        <v>52</v>
      </c>
      <c r="E56" s="19" t="s">
        <v>75</v>
      </c>
      <c r="F56" s="19" t="s">
        <v>76</v>
      </c>
      <c r="G56" s="19"/>
      <c r="H56" s="20">
        <v>2023</v>
      </c>
      <c r="I56" s="19" t="s">
        <v>41</v>
      </c>
      <c r="J56" s="19" t="s">
        <v>144</v>
      </c>
      <c r="K56" s="21" t="s">
        <v>145</v>
      </c>
      <c r="L56" s="53" t="s">
        <v>146</v>
      </c>
      <c r="M56" s="23" t="s">
        <v>77</v>
      </c>
      <c r="N56" s="25" t="s">
        <v>147</v>
      </c>
      <c r="O56" s="25" t="s">
        <v>148</v>
      </c>
      <c r="P56" s="26">
        <f ca="1">IFERROR(VLOOKUP(DadosViagem5[[#This Row],[Placa]],[1]BIP!A:E,5,FALSE),"")</f>
        <v>45989</v>
      </c>
      <c r="Q56" s="27">
        <f ca="1">DATEDIF(DadosViagem5[[#This Row],[BIP]],TODAY(),"D")</f>
        <v>1</v>
      </c>
      <c r="R56" s="28" t="str">
        <f>IFERROR(VLOOKUP(DadosViagem5[[#This Row],[Placa]],[1]DDS!B:C,2,FALSE),"Verificar cadastro")</f>
        <v>Carregado</v>
      </c>
      <c r="S56" s="29" t="s">
        <v>48</v>
      </c>
      <c r="T56" s="23"/>
      <c r="U56" s="30"/>
      <c r="V56" s="31"/>
      <c r="W56" s="32"/>
      <c r="X56" s="33"/>
      <c r="Y56" s="34"/>
      <c r="Z56" s="32"/>
      <c r="AA56" s="20" t="s">
        <v>49</v>
      </c>
      <c r="AB56" s="20" t="s">
        <v>49</v>
      </c>
      <c r="AC56" s="20" t="s">
        <v>49</v>
      </c>
      <c r="AD56" s="20" t="s">
        <v>49</v>
      </c>
      <c r="AE56" s="36"/>
      <c r="AF56" s="25"/>
      <c r="AG56" s="36"/>
      <c r="AH56" s="25">
        <v>45807</v>
      </c>
      <c r="AI56" s="36" t="str">
        <f>IF(DadosViagem5[[#This Row],[Dias em manutenção ]]&lt;5,"Dentro do Prazo","Fora do Prazo")</f>
        <v>Fora do Prazo</v>
      </c>
      <c r="AJ56" s="36" t="e">
        <v>#REF!</v>
      </c>
    </row>
    <row r="57" spans="1:36">
      <c r="A57" s="19" t="s">
        <v>163</v>
      </c>
      <c r="B57" s="20"/>
      <c r="C57" s="19" t="s">
        <v>74</v>
      </c>
      <c r="D57" s="19" t="s">
        <v>52</v>
      </c>
      <c r="E57" s="19" t="s">
        <v>75</v>
      </c>
      <c r="F57" s="19" t="s">
        <v>76</v>
      </c>
      <c r="G57" s="19"/>
      <c r="H57" s="20">
        <v>2023</v>
      </c>
      <c r="I57" s="19" t="s">
        <v>41</v>
      </c>
      <c r="J57" s="54" t="s">
        <v>144</v>
      </c>
      <c r="K57" s="54" t="s">
        <v>145</v>
      </c>
      <c r="L57" s="22" t="s">
        <v>146</v>
      </c>
      <c r="M57" s="23" t="s">
        <v>77</v>
      </c>
      <c r="N57" s="25" t="s">
        <v>147</v>
      </c>
      <c r="O57" s="25" t="s">
        <v>148</v>
      </c>
      <c r="P57" s="26">
        <f ca="1">IFERROR(VLOOKUP(DadosViagem5[[#This Row],[Placa]],[1]BIP!A:E,5,FALSE),"")</f>
        <v>0</v>
      </c>
      <c r="Q57" s="27">
        <f ca="1">DATEDIF(DadosViagem5[[#This Row],[BIP]],TODAY(),"D")</f>
        <v>45990</v>
      </c>
      <c r="R57" s="28" t="str">
        <f>IFERROR(VLOOKUP(DadosViagem5[[#This Row],[Placa]],[1]DDS!B:C,2,FALSE),"Verificar cadastro")</f>
        <v>Manutenção</v>
      </c>
      <c r="S57" s="29" t="s">
        <v>48</v>
      </c>
      <c r="T57" s="23"/>
      <c r="U57" s="30"/>
      <c r="V57" s="31"/>
      <c r="W57" s="32"/>
      <c r="X57" s="33"/>
      <c r="Y57" s="34"/>
      <c r="Z57" s="32"/>
      <c r="AA57" s="20" t="s">
        <v>49</v>
      </c>
      <c r="AB57" s="20" t="s">
        <v>49</v>
      </c>
      <c r="AC57" s="19" t="s">
        <v>49</v>
      </c>
      <c r="AD57" s="19" t="str">
        <f ca="1">IFERROR(DATEDIF(DadosViagem5[[#This Row],[Utimo Bip Reserva]],TODAY(),"D"),"")</f>
        <v/>
      </c>
      <c r="AE57" s="36"/>
      <c r="AF57" s="25"/>
      <c r="AG57" s="36"/>
      <c r="AH57" s="25">
        <v>45807</v>
      </c>
      <c r="AI57" s="36" t="str">
        <f>IF(DadosViagem5[[#This Row],[Dias em manutenção ]]&lt;5,"Dentro do Prazo","Fora do Prazo")</f>
        <v>Fora do Prazo</v>
      </c>
      <c r="AJ57" s="36" t="e">
        <v>#REF!</v>
      </c>
    </row>
    <row r="58" spans="1:36">
      <c r="A58" s="19" t="s">
        <v>164</v>
      </c>
      <c r="B58" s="20"/>
      <c r="C58" s="19" t="s">
        <v>51</v>
      </c>
      <c r="D58" s="19" t="s">
        <v>52</v>
      </c>
      <c r="E58" s="19" t="s">
        <v>53</v>
      </c>
      <c r="F58" s="19" t="s">
        <v>40</v>
      </c>
      <c r="G58" s="19"/>
      <c r="H58" s="20">
        <v>2023</v>
      </c>
      <c r="I58" s="19" t="s">
        <v>41</v>
      </c>
      <c r="J58" s="19" t="s">
        <v>144</v>
      </c>
      <c r="K58" s="21" t="s">
        <v>145</v>
      </c>
      <c r="L58" s="22" t="s">
        <v>146</v>
      </c>
      <c r="M58" s="23" t="s">
        <v>45</v>
      </c>
      <c r="N58" s="25" t="s">
        <v>147</v>
      </c>
      <c r="O58" s="25" t="s">
        <v>148</v>
      </c>
      <c r="P58" s="26">
        <f ca="1">IFERROR(VLOOKUP(DadosViagem5[[#This Row],[Placa]],[1]BIP!A:E,5,FALSE),"")</f>
        <v>0</v>
      </c>
      <c r="Q58" s="27">
        <f ca="1">DATEDIF(DadosViagem5[[#This Row],[BIP]],TODAY(),"D")</f>
        <v>45990</v>
      </c>
      <c r="R58" s="28" t="str">
        <f>IFERROR(VLOOKUP(DadosViagem5[[#This Row],[Placa]],[1]DDS!B:C,2,FALSE),"Verificar cadastro")</f>
        <v> </v>
      </c>
      <c r="S58" s="29" t="s">
        <v>48</v>
      </c>
      <c r="T58" s="23"/>
      <c r="U58" s="30"/>
      <c r="V58" s="31"/>
      <c r="W58" s="32"/>
      <c r="X58" s="33"/>
      <c r="Y58" s="34"/>
      <c r="Z58" s="42"/>
      <c r="AA58" s="20" t="s">
        <v>49</v>
      </c>
      <c r="AB58" s="20" t="s">
        <v>49</v>
      </c>
      <c r="AC58" s="19" t="s">
        <v>49</v>
      </c>
      <c r="AD58" s="19" t="str">
        <f ca="1">IFERROR(DATEDIF(DadosViagem5[[#This Row],[Utimo Bip Reserva]],TODAY(),"D"),"")</f>
        <v/>
      </c>
      <c r="AE58" s="51"/>
      <c r="AF58" s="35"/>
      <c r="AG58" s="36" t="s">
        <v>91</v>
      </c>
      <c r="AH58" s="25">
        <v>45807</v>
      </c>
      <c r="AI58" s="36" t="str">
        <f>IF(DadosViagem5[[#This Row],[Dias em manutenção ]]&lt;5,"Dentro do Prazo","Fora do Prazo")</f>
        <v>Fora do Prazo</v>
      </c>
      <c r="AJ58" s="36" t="e">
        <v>#REF!</v>
      </c>
    </row>
    <row r="59" spans="1:36">
      <c r="A59" s="19" t="s">
        <v>165</v>
      </c>
      <c r="B59" s="20"/>
      <c r="C59" s="19" t="s">
        <v>51</v>
      </c>
      <c r="D59" s="19" t="s">
        <v>52</v>
      </c>
      <c r="E59" s="19" t="s">
        <v>53</v>
      </c>
      <c r="F59" s="19" t="s">
        <v>40</v>
      </c>
      <c r="G59" s="19"/>
      <c r="H59" s="20">
        <v>2022</v>
      </c>
      <c r="I59" s="19" t="s">
        <v>41</v>
      </c>
      <c r="J59" s="19" t="s">
        <v>144</v>
      </c>
      <c r="K59" s="21" t="s">
        <v>145</v>
      </c>
      <c r="L59" s="22" t="s">
        <v>146</v>
      </c>
      <c r="M59" s="23" t="s">
        <v>45</v>
      </c>
      <c r="N59" s="25" t="s">
        <v>147</v>
      </c>
      <c r="O59" s="25" t="s">
        <v>148</v>
      </c>
      <c r="P59" s="26">
        <f ca="1">IFERROR(VLOOKUP(DadosViagem5[[#This Row],[Placa]],[1]BIP!A:E,5,FALSE),"")</f>
        <v>0</v>
      </c>
      <c r="Q59" s="27">
        <f ca="1">DATEDIF(DadosViagem5[[#This Row],[BIP]],TODAY(),"D")</f>
        <v>45990</v>
      </c>
      <c r="R59" s="28" t="str">
        <f>IFERROR(VLOOKUP(DadosViagem5[[#This Row],[Placa]],[1]DDS!B:C,2,FALSE),"Verificar cadastro")</f>
        <v> </v>
      </c>
      <c r="S59" s="29" t="s">
        <v>48</v>
      </c>
      <c r="T59" s="23"/>
      <c r="U59" s="30"/>
      <c r="V59" s="31"/>
      <c r="W59" s="32" t="s">
        <v>152</v>
      </c>
      <c r="X59" s="33"/>
      <c r="Y59" s="34"/>
      <c r="Z59" s="32"/>
      <c r="AA59" s="20" t="s">
        <v>49</v>
      </c>
      <c r="AB59" s="20" t="s">
        <v>49</v>
      </c>
      <c r="AC59" s="19" t="s">
        <v>49</v>
      </c>
      <c r="AD59" s="19" t="str">
        <f ca="1">IFERROR(DATEDIF(DadosViagem5[[#This Row],[Utimo Bip Reserva]],TODAY(),"D"),"")</f>
        <v/>
      </c>
      <c r="AE59" s="35"/>
      <c r="AF59" s="35"/>
      <c r="AG59" s="36"/>
      <c r="AH59" s="25">
        <v>45807</v>
      </c>
      <c r="AI59" s="36" t="str">
        <f>IF(DadosViagem5[[#This Row],[Dias em manutenção ]]&lt;5,"Dentro do Prazo","Fora do Prazo")</f>
        <v>Fora do Prazo</v>
      </c>
      <c r="AJ59" s="36" t="e">
        <v>#REF!</v>
      </c>
    </row>
    <row r="60" spans="1:36">
      <c r="A60" s="19" t="s">
        <v>166</v>
      </c>
      <c r="B60" s="20"/>
      <c r="C60" s="19" t="s">
        <v>51</v>
      </c>
      <c r="D60" s="19" t="s">
        <v>52</v>
      </c>
      <c r="E60" s="19" t="s">
        <v>53</v>
      </c>
      <c r="F60" s="19" t="s">
        <v>40</v>
      </c>
      <c r="G60" s="19"/>
      <c r="H60" s="20">
        <v>2022</v>
      </c>
      <c r="I60" s="19" t="s">
        <v>41</v>
      </c>
      <c r="J60" s="19" t="s">
        <v>144</v>
      </c>
      <c r="K60" s="21" t="s">
        <v>145</v>
      </c>
      <c r="L60" s="22" t="s">
        <v>146</v>
      </c>
      <c r="M60" s="23" t="s">
        <v>45</v>
      </c>
      <c r="N60" s="25" t="s">
        <v>147</v>
      </c>
      <c r="O60" s="25" t="s">
        <v>148</v>
      </c>
      <c r="P60" s="26">
        <f ca="1">IFERROR(VLOOKUP(DadosViagem5[[#This Row],[Placa]],[1]BIP!A:E,5,FALSE),"")</f>
        <v>0</v>
      </c>
      <c r="Q60" s="27">
        <f ca="1">DATEDIF(DadosViagem5[[#This Row],[BIP]],TODAY(),"D")</f>
        <v>45990</v>
      </c>
      <c r="R60" s="28" t="str">
        <f>IFERROR(VLOOKUP(DadosViagem5[[#This Row],[Placa]],[1]DDS!B:C,2,FALSE),"Verificar cadastro")</f>
        <v> </v>
      </c>
      <c r="S60" s="29" t="s">
        <v>48</v>
      </c>
      <c r="T60" s="23"/>
      <c r="U60" s="30"/>
      <c r="V60" s="31"/>
      <c r="W60" s="32"/>
      <c r="X60" s="33"/>
      <c r="Y60" s="34"/>
      <c r="Z60" s="32"/>
      <c r="AA60" s="20" t="s">
        <v>49</v>
      </c>
      <c r="AB60" s="20" t="s">
        <v>49</v>
      </c>
      <c r="AC60" s="19" t="s">
        <v>49</v>
      </c>
      <c r="AD60" s="19" t="str">
        <f ca="1">IFERROR(DATEDIF(DadosViagem5[[#This Row],[Utimo Bip Reserva]],TODAY(),"D"),"")</f>
        <v/>
      </c>
      <c r="AE60" s="25" t="s">
        <v>49</v>
      </c>
      <c r="AF60" s="25" t="s">
        <v>49</v>
      </c>
      <c r="AG60" s="36"/>
      <c r="AH60" s="25">
        <v>45807</v>
      </c>
      <c r="AI60" s="36" t="str">
        <f>IF(DadosViagem5[[#This Row],[Dias em manutenção ]]&lt;5,"Dentro do Prazo","Fora do Prazo")</f>
        <v>Fora do Prazo</v>
      </c>
      <c r="AJ60" s="36" t="e">
        <v>#REF!</v>
      </c>
    </row>
    <row r="61" spans="1:36">
      <c r="A61" s="19" t="s">
        <v>167</v>
      </c>
      <c r="B61" s="20"/>
      <c r="C61" s="19" t="s">
        <v>51</v>
      </c>
      <c r="D61" s="19" t="s">
        <v>52</v>
      </c>
      <c r="E61" s="19" t="s">
        <v>53</v>
      </c>
      <c r="F61" s="19" t="s">
        <v>40</v>
      </c>
      <c r="G61" s="19"/>
      <c r="H61" s="20">
        <v>2023</v>
      </c>
      <c r="I61" s="19" t="s">
        <v>41</v>
      </c>
      <c r="J61" s="19" t="s">
        <v>144</v>
      </c>
      <c r="K61" s="21" t="s">
        <v>145</v>
      </c>
      <c r="L61" s="22" t="s">
        <v>146</v>
      </c>
      <c r="M61" s="23" t="s">
        <v>45</v>
      </c>
      <c r="N61" s="40" t="s">
        <v>147</v>
      </c>
      <c r="O61" s="40" t="s">
        <v>148</v>
      </c>
      <c r="P61" s="26">
        <f ca="1">IFERROR(VLOOKUP(DadosViagem5[[#This Row],[Placa]],[1]BIP!A:E,5,FALSE),"")</f>
        <v>0</v>
      </c>
      <c r="Q61" s="27">
        <f ca="1">DATEDIF(DadosViagem5[[#This Row],[BIP]],TODAY(),"D")</f>
        <v>45990</v>
      </c>
      <c r="R61" s="28" t="str">
        <f>IFERROR(VLOOKUP(DadosViagem5[[#This Row],[Placa]],[1]DDS!B:C,2,FALSE),"Verificar cadastro")</f>
        <v> </v>
      </c>
      <c r="S61" s="29" t="s">
        <v>48</v>
      </c>
      <c r="T61" s="23"/>
      <c r="U61" s="30"/>
      <c r="V61" s="31"/>
      <c r="W61" s="32"/>
      <c r="X61" s="33"/>
      <c r="Y61" s="34"/>
      <c r="Z61" s="32"/>
      <c r="AA61" s="20" t="s">
        <v>49</v>
      </c>
      <c r="AB61" s="20" t="s">
        <v>49</v>
      </c>
      <c r="AC61" s="19" t="s">
        <v>49</v>
      </c>
      <c r="AD61" s="19" t="str">
        <f ca="1">IFERROR(DATEDIF(DadosViagem5[[#This Row],[Utimo Bip Reserva]],TODAY(),"D"),"")</f>
        <v/>
      </c>
      <c r="AE61" s="55" t="s">
        <v>49</v>
      </c>
      <c r="AF61" s="25" t="s">
        <v>49</v>
      </c>
      <c r="AG61" s="36"/>
      <c r="AH61" s="25">
        <v>45807</v>
      </c>
      <c r="AI61" s="36" t="str">
        <f>IF(DadosViagem5[[#This Row],[Dias em manutenção ]]&lt;5,"Dentro do Prazo","Fora do Prazo")</f>
        <v>Fora do Prazo</v>
      </c>
      <c r="AJ61" s="36" t="e">
        <v>#REF!</v>
      </c>
    </row>
    <row r="62" spans="1:36">
      <c r="A62" s="19" t="s">
        <v>168</v>
      </c>
      <c r="B62" s="20"/>
      <c r="C62" s="19" t="s">
        <v>51</v>
      </c>
      <c r="D62" s="19" t="s">
        <v>52</v>
      </c>
      <c r="E62" s="19" t="s">
        <v>53</v>
      </c>
      <c r="F62" s="19" t="s">
        <v>40</v>
      </c>
      <c r="G62" s="19"/>
      <c r="H62" s="20">
        <v>2022</v>
      </c>
      <c r="I62" s="19" t="s">
        <v>41</v>
      </c>
      <c r="J62" s="19" t="s">
        <v>144</v>
      </c>
      <c r="K62" s="21" t="s">
        <v>145</v>
      </c>
      <c r="L62" s="22" t="s">
        <v>146</v>
      </c>
      <c r="M62" s="23" t="s">
        <v>45</v>
      </c>
      <c r="N62" s="25" t="s">
        <v>147</v>
      </c>
      <c r="O62" s="40" t="s">
        <v>148</v>
      </c>
      <c r="P62" s="26">
        <f ca="1">IFERROR(VLOOKUP(DadosViagem5[[#This Row],[Placa]],[1]BIP!A:E,5,FALSE),"")</f>
        <v>0</v>
      </c>
      <c r="Q62" s="27">
        <f ca="1">DATEDIF(DadosViagem5[[#This Row],[BIP]],TODAY(),"D")</f>
        <v>45990</v>
      </c>
      <c r="R62" s="28" t="str">
        <f>IFERROR(VLOOKUP(DadosViagem5[[#This Row],[Placa]],[1]DDS!B:C,2,FALSE),"Verificar cadastro")</f>
        <v> </v>
      </c>
      <c r="S62" s="29" t="s">
        <v>48</v>
      </c>
      <c r="T62" s="23"/>
      <c r="U62" s="30"/>
      <c r="V62" s="31"/>
      <c r="W62" s="32"/>
      <c r="X62" s="33"/>
      <c r="Y62" s="34"/>
      <c r="Z62" s="32"/>
      <c r="AA62" s="20" t="s">
        <v>49</v>
      </c>
      <c r="AB62" s="20" t="s">
        <v>49</v>
      </c>
      <c r="AC62" s="19" t="s">
        <v>49</v>
      </c>
      <c r="AD62" s="19" t="str">
        <f ca="1">IFERROR(DATEDIF(DadosViagem5[[#This Row],[Utimo Bip Reserva]],TODAY(),"D"),"")</f>
        <v/>
      </c>
      <c r="AE62" s="25" t="s">
        <v>49</v>
      </c>
      <c r="AF62" s="25" t="s">
        <v>49</v>
      </c>
      <c r="AG62" s="36"/>
      <c r="AH62" s="25">
        <v>45807</v>
      </c>
      <c r="AI62" s="36" t="str">
        <f>IF(DadosViagem5[[#This Row],[Dias em manutenção ]]&lt;5,"Dentro do Prazo","Fora do Prazo")</f>
        <v>Fora do Prazo</v>
      </c>
      <c r="AJ62" s="36" t="e">
        <v>#REF!</v>
      </c>
    </row>
    <row r="63" spans="1:36">
      <c r="A63" s="19" t="s">
        <v>169</v>
      </c>
      <c r="B63" s="20"/>
      <c r="C63" s="19" t="s">
        <v>51</v>
      </c>
      <c r="D63" s="19" t="s">
        <v>52</v>
      </c>
      <c r="E63" s="19" t="s">
        <v>53</v>
      </c>
      <c r="F63" s="19" t="s">
        <v>40</v>
      </c>
      <c r="G63" s="19"/>
      <c r="H63" s="20">
        <v>2023</v>
      </c>
      <c r="I63" s="19" t="s">
        <v>41</v>
      </c>
      <c r="J63" s="19" t="s">
        <v>144</v>
      </c>
      <c r="K63" s="21" t="s">
        <v>145</v>
      </c>
      <c r="L63" s="22" t="s">
        <v>146</v>
      </c>
      <c r="M63" s="23" t="s">
        <v>45</v>
      </c>
      <c r="N63" s="40" t="s">
        <v>147</v>
      </c>
      <c r="O63" s="40" t="s">
        <v>148</v>
      </c>
      <c r="P63" s="26">
        <f ca="1">IFERROR(VLOOKUP(DadosViagem5[[#This Row],[Placa]],[1]BIP!A:E,5,FALSE),"")</f>
        <v>0</v>
      </c>
      <c r="Q63" s="27">
        <f ca="1">DATEDIF(DadosViagem5[[#This Row],[BIP]],TODAY(),"D")</f>
        <v>45990</v>
      </c>
      <c r="R63" s="28"/>
      <c r="S63" s="29" t="s">
        <v>48</v>
      </c>
      <c r="T63" s="23"/>
      <c r="U63" s="30"/>
      <c r="V63" s="31">
        <v>45916</v>
      </c>
      <c r="W63" s="32" t="s">
        <v>170</v>
      </c>
      <c r="X63" s="33" t="s">
        <v>65</v>
      </c>
      <c r="Y63" s="34" t="s">
        <v>159</v>
      </c>
      <c r="Z63" s="42" t="s">
        <v>171</v>
      </c>
      <c r="AA63" s="20" t="s">
        <v>49</v>
      </c>
      <c r="AB63" s="20" t="s">
        <v>49</v>
      </c>
      <c r="AC63" s="19" t="s">
        <v>49</v>
      </c>
      <c r="AD63" s="19" t="str">
        <f ca="1">IFERROR(DATEDIF(DadosViagem5[[#This Row],[Utimo Bip Reserva]],TODAY(),"D"),"")</f>
        <v/>
      </c>
      <c r="AE63" s="25" t="s">
        <v>49</v>
      </c>
      <c r="AF63" s="25" t="s">
        <v>49</v>
      </c>
      <c r="AG63" s="36"/>
      <c r="AH63" s="25">
        <v>45807</v>
      </c>
      <c r="AI63" s="36" t="str">
        <f>IF(DadosViagem5[[#This Row],[Dias em manutenção ]]&lt;5,"Dentro do Prazo","Fora do Prazo")</f>
        <v>Fora do Prazo</v>
      </c>
      <c r="AJ63" s="36" t="e">
        <v>#REF!</v>
      </c>
    </row>
    <row r="64" spans="1:36">
      <c r="A64" s="19" t="s">
        <v>172</v>
      </c>
      <c r="B64" s="20"/>
      <c r="C64" s="19" t="s">
        <v>51</v>
      </c>
      <c r="D64" s="19" t="s">
        <v>52</v>
      </c>
      <c r="E64" s="19" t="s">
        <v>53</v>
      </c>
      <c r="F64" s="19" t="s">
        <v>40</v>
      </c>
      <c r="G64" s="19"/>
      <c r="H64" s="20">
        <v>2023</v>
      </c>
      <c r="I64" s="19" t="s">
        <v>41</v>
      </c>
      <c r="J64" s="19" t="s">
        <v>144</v>
      </c>
      <c r="K64" s="21" t="s">
        <v>145</v>
      </c>
      <c r="L64" s="22" t="s">
        <v>146</v>
      </c>
      <c r="M64" s="23" t="s">
        <v>45</v>
      </c>
      <c r="N64" s="40" t="s">
        <v>147</v>
      </c>
      <c r="O64" s="40" t="s">
        <v>148</v>
      </c>
      <c r="P64" s="26">
        <f ca="1">IFERROR(VLOOKUP(DadosViagem5[[#This Row],[Placa]],[1]BIP!A:E,5,FALSE),"")</f>
        <v>0</v>
      </c>
      <c r="Q64" s="27">
        <f ca="1">DATEDIF(DadosViagem5[[#This Row],[BIP]],TODAY(),"D")</f>
        <v>45990</v>
      </c>
      <c r="R64" s="28" t="str">
        <f>IFERROR(VLOOKUP(DadosViagem5[[#This Row],[Placa]],[1]DDS!B:C,2,FALSE),"Verificar cadastro")</f>
        <v> </v>
      </c>
      <c r="S64" s="29" t="s">
        <v>173</v>
      </c>
      <c r="T64" s="23"/>
      <c r="U64" s="30"/>
      <c r="V64" s="31"/>
      <c r="W64" s="32"/>
      <c r="X64" s="33"/>
      <c r="Y64" s="34"/>
      <c r="Z64" s="32"/>
      <c r="AA64" s="20" t="s">
        <v>49</v>
      </c>
      <c r="AB64" s="20" t="s">
        <v>49</v>
      </c>
      <c r="AC64" s="19" t="s">
        <v>49</v>
      </c>
      <c r="AD64" s="19" t="str">
        <f ca="1">IFERROR(DATEDIF(DadosViagem5[[#This Row],[Utimo Bip Reserva]],TODAY(),"D"),"")</f>
        <v/>
      </c>
      <c r="AE64" s="36" t="s">
        <v>49</v>
      </c>
      <c r="AF64" s="25" t="s">
        <v>49</v>
      </c>
      <c r="AG64" s="36"/>
      <c r="AH64" s="25">
        <v>45807</v>
      </c>
      <c r="AI64" s="36" t="str">
        <f>IF(DadosViagem5[[#This Row],[Dias em manutenção ]]&lt;5,"Dentro do Prazo","Fora do Prazo")</f>
        <v>Fora do Prazo</v>
      </c>
      <c r="AJ64" s="36" t="e">
        <v>#REF!</v>
      </c>
    </row>
    <row r="65" spans="1:36">
      <c r="A65" s="19" t="s">
        <v>174</v>
      </c>
      <c r="B65" s="20"/>
      <c r="C65" s="19" t="s">
        <v>74</v>
      </c>
      <c r="D65" s="19" t="s">
        <v>52</v>
      </c>
      <c r="E65" s="19" t="s">
        <v>75</v>
      </c>
      <c r="F65" s="19" t="s">
        <v>76</v>
      </c>
      <c r="G65" s="19"/>
      <c r="H65" s="20">
        <v>2025</v>
      </c>
      <c r="I65" s="37" t="s">
        <v>41</v>
      </c>
      <c r="J65" s="56" t="s">
        <v>144</v>
      </c>
      <c r="K65" s="38" t="s">
        <v>145</v>
      </c>
      <c r="L65" s="39" t="s">
        <v>146</v>
      </c>
      <c r="M65" s="23" t="s">
        <v>77</v>
      </c>
      <c r="N65" s="40" t="s">
        <v>147</v>
      </c>
      <c r="O65" s="40" t="s">
        <v>148</v>
      </c>
      <c r="P65" s="26">
        <f ca="1">IFERROR(VLOOKUP(DadosViagem5[[#This Row],[Placa]],[1]BIP!A:E,5,FALSE),"")</f>
        <v>0</v>
      </c>
      <c r="Q65" s="27">
        <f ca="1">DATEDIF(DadosViagem5[[#This Row],[BIP]],TODAY(),"D")</f>
        <v>45990</v>
      </c>
      <c r="R65" s="28" t="str">
        <f>IFERROR(VLOOKUP(DadosViagem5[[#This Row],[Placa]],[1]DDS!B:C,2,FALSE),"Verificar cadastro")</f>
        <v> </v>
      </c>
      <c r="S65" s="29" t="s">
        <v>48</v>
      </c>
      <c r="T65" s="23"/>
      <c r="U65" s="30"/>
      <c r="V65" s="31"/>
      <c r="W65" s="32"/>
      <c r="X65" s="33"/>
      <c r="Y65" s="34"/>
      <c r="Z65" s="32"/>
      <c r="AA65" s="20" t="s">
        <v>49</v>
      </c>
      <c r="AB65" s="20" t="s">
        <v>49</v>
      </c>
      <c r="AC65" s="19" t="s">
        <v>49</v>
      </c>
      <c r="AD65" s="19" t="str">
        <f ca="1">IFERROR(DATEDIF(DadosViagem5[[#This Row],[Utimo Bip Reserva]],TODAY(),"D"),"")</f>
        <v/>
      </c>
      <c r="AE65" s="36"/>
      <c r="AF65" s="25"/>
      <c r="AG65" s="36"/>
      <c r="AH65" s="25">
        <v>45807</v>
      </c>
      <c r="AI65" s="36" t="str">
        <f>IF(DadosViagem5[[#This Row],[Dias em manutenção ]]&lt;5,"Dentro do Prazo","Fora do Prazo")</f>
        <v>Fora do Prazo</v>
      </c>
      <c r="AJ65" s="36" t="e">
        <v>#REF!</v>
      </c>
    </row>
    <row r="66" spans="1:36">
      <c r="A66" s="19" t="s">
        <v>175</v>
      </c>
      <c r="B66" s="20"/>
      <c r="C66" s="19" t="s">
        <v>74</v>
      </c>
      <c r="D66" s="19" t="s">
        <v>52</v>
      </c>
      <c r="E66" s="19" t="s">
        <v>75</v>
      </c>
      <c r="F66" s="19" t="s">
        <v>76</v>
      </c>
      <c r="G66" s="19"/>
      <c r="H66" s="20">
        <v>2023</v>
      </c>
      <c r="I66" s="19" t="s">
        <v>41</v>
      </c>
      <c r="J66" s="54" t="s">
        <v>144</v>
      </c>
      <c r="K66" s="21" t="s">
        <v>145</v>
      </c>
      <c r="L66" s="22" t="s">
        <v>146</v>
      </c>
      <c r="M66" s="23" t="s">
        <v>77</v>
      </c>
      <c r="N66" s="25" t="s">
        <v>147</v>
      </c>
      <c r="O66" s="25" t="s">
        <v>148</v>
      </c>
      <c r="P66" s="26">
        <f ca="1">IFERROR(VLOOKUP(DadosViagem5[[#This Row],[Placa]],[1]BIP!A:E,5,FALSE),"")</f>
        <v>0</v>
      </c>
      <c r="Q66" s="27">
        <f ca="1">DATEDIF(DadosViagem5[[#This Row],[BIP]],TODAY(),"D")</f>
        <v>45990</v>
      </c>
      <c r="R66" s="28" t="str">
        <f>IFERROR(VLOOKUP(DadosViagem5[[#This Row],[Placa]],[1]DDS!B:C,2,FALSE),"Verificar cadastro")</f>
        <v> </v>
      </c>
      <c r="S66" s="29" t="s">
        <v>48</v>
      </c>
      <c r="T66" s="23"/>
      <c r="U66" s="30"/>
      <c r="V66" s="31"/>
      <c r="W66" s="32"/>
      <c r="X66" s="33"/>
      <c r="Y66" s="34"/>
      <c r="Z66" s="32"/>
      <c r="AA66" s="20" t="s">
        <v>49</v>
      </c>
      <c r="AB66" s="20" t="s">
        <v>49</v>
      </c>
      <c r="AC66" s="19" t="s">
        <v>49</v>
      </c>
      <c r="AD66" s="19" t="str">
        <f ca="1">IFERROR(DATEDIF(DadosViagem5[[#This Row],[Utimo Bip Reserva]],TODAY(),"D"),"")</f>
        <v/>
      </c>
      <c r="AE66" s="36"/>
      <c r="AF66" s="25"/>
      <c r="AG66" s="36"/>
      <c r="AH66" s="25">
        <v>45807</v>
      </c>
      <c r="AI66" s="36" t="str">
        <f>IF(DadosViagem5[[#This Row],[Dias em manutenção ]]&lt;5,"Dentro do Prazo","Fora do Prazo")</f>
        <v>Fora do Prazo</v>
      </c>
      <c r="AJ66" s="36" t="e">
        <v>#REF!</v>
      </c>
    </row>
    <row r="67" spans="1:36">
      <c r="A67" s="19" t="s">
        <v>176</v>
      </c>
      <c r="B67" s="20"/>
      <c r="C67" s="19" t="s">
        <v>51</v>
      </c>
      <c r="D67" s="19" t="s">
        <v>52</v>
      </c>
      <c r="E67" s="19" t="s">
        <v>53</v>
      </c>
      <c r="F67" s="19" t="s">
        <v>40</v>
      </c>
      <c r="G67" s="19"/>
      <c r="H67" s="20">
        <v>2022</v>
      </c>
      <c r="I67" s="19" t="s">
        <v>41</v>
      </c>
      <c r="J67" s="19" t="s">
        <v>144</v>
      </c>
      <c r="K67" s="21" t="s">
        <v>145</v>
      </c>
      <c r="L67" s="22" t="s">
        <v>146</v>
      </c>
      <c r="M67" s="23" t="s">
        <v>45</v>
      </c>
      <c r="N67" s="25" t="s">
        <v>147</v>
      </c>
      <c r="O67" s="25" t="s">
        <v>148</v>
      </c>
      <c r="P67" s="26">
        <f ca="1">IFERROR(VLOOKUP(DadosViagem5[[#This Row],[Placa]],[1]BIP!A:E,5,FALSE),"")</f>
        <v>0</v>
      </c>
      <c r="Q67" s="27">
        <f ca="1">DATEDIF(DadosViagem5[[#This Row],[BIP]],TODAY(),"D")</f>
        <v>45990</v>
      </c>
      <c r="R67" s="28" t="str">
        <f>IFERROR(VLOOKUP(DadosViagem5[[#This Row],[Placa]],[1]DDS!B:C,2,FALSE),"Verificar cadastro")</f>
        <v> </v>
      </c>
      <c r="S67" s="29" t="s">
        <v>48</v>
      </c>
      <c r="T67" s="23"/>
      <c r="U67" s="30"/>
      <c r="V67" s="31"/>
      <c r="W67" s="32"/>
      <c r="X67" s="33"/>
      <c r="Y67" s="34"/>
      <c r="Z67" s="32"/>
      <c r="AA67" s="20" t="s">
        <v>49</v>
      </c>
      <c r="AB67" s="20" t="s">
        <v>49</v>
      </c>
      <c r="AC67" s="19" t="s">
        <v>49</v>
      </c>
      <c r="AD67" s="19" t="str">
        <f ca="1">IFERROR(DATEDIF(DadosViagem5[[#This Row],[Utimo Bip Reserva]],TODAY(),"D"),"")</f>
        <v/>
      </c>
      <c r="AE67" s="36" t="s">
        <v>177</v>
      </c>
      <c r="AF67" s="25" t="s">
        <v>49</v>
      </c>
      <c r="AG67" s="36"/>
      <c r="AH67" s="25">
        <v>45807</v>
      </c>
      <c r="AI67" s="36" t="str">
        <f>IF(DadosViagem5[[#This Row],[Dias em manutenção ]]&lt;5,"Dentro do Prazo","Fora do Prazo")</f>
        <v>Fora do Prazo</v>
      </c>
      <c r="AJ67" s="36" t="e">
        <v>#REF!</v>
      </c>
    </row>
    <row r="68" spans="1:36">
      <c r="A68" s="19" t="s">
        <v>178</v>
      </c>
      <c r="B68" s="20"/>
      <c r="C68" s="19" t="s">
        <v>51</v>
      </c>
      <c r="D68" s="19" t="s">
        <v>52</v>
      </c>
      <c r="E68" s="19" t="s">
        <v>53</v>
      </c>
      <c r="F68" s="19" t="s">
        <v>40</v>
      </c>
      <c r="G68" s="49"/>
      <c r="H68" s="50">
        <v>2023</v>
      </c>
      <c r="I68" s="49" t="s">
        <v>41</v>
      </c>
      <c r="J68" s="49" t="s">
        <v>144</v>
      </c>
      <c r="K68" s="21" t="s">
        <v>145</v>
      </c>
      <c r="L68" s="22" t="s">
        <v>146</v>
      </c>
      <c r="M68" s="23" t="s">
        <v>45</v>
      </c>
      <c r="N68" s="25" t="s">
        <v>147</v>
      </c>
      <c r="O68" s="25" t="s">
        <v>148</v>
      </c>
      <c r="P68" s="26">
        <f ca="1">IFERROR(VLOOKUP(DadosViagem5[[#This Row],[Placa]],[1]BIP!A:E,5,FALSE),"")</f>
        <v>0</v>
      </c>
      <c r="Q68" s="27">
        <f ca="1">DATEDIF(DadosViagem5[[#This Row],[BIP]],TODAY(),"D")</f>
        <v>45990</v>
      </c>
      <c r="R68" s="28" t="str">
        <f>IFERROR(VLOOKUP(DadosViagem5[[#This Row],[Placa]],[1]DDS!B:C,2,FALSE),"Verificar cadastro")</f>
        <v>Manutenção</v>
      </c>
      <c r="S68" s="29" t="s">
        <v>48</v>
      </c>
      <c r="T68" s="23"/>
      <c r="U68" s="30"/>
      <c r="V68" s="31"/>
      <c r="W68" s="32"/>
      <c r="X68" s="33"/>
      <c r="Y68" s="34"/>
      <c r="Z68" s="32"/>
      <c r="AA68" s="20" t="s">
        <v>49</v>
      </c>
      <c r="AB68" s="20" t="s">
        <v>49</v>
      </c>
      <c r="AC68" s="19" t="s">
        <v>49</v>
      </c>
      <c r="AD68" s="19" t="str">
        <f ca="1">IFERROR(DATEDIF(DadosViagem5[[#This Row],[Utimo Bip Reserva]],TODAY(),"D"),"")</f>
        <v/>
      </c>
      <c r="AE68" s="55" t="s">
        <v>49</v>
      </c>
      <c r="AF68" s="25" t="s">
        <v>49</v>
      </c>
      <c r="AG68" s="36"/>
      <c r="AH68" s="25">
        <v>45807</v>
      </c>
      <c r="AI68" s="36" t="str">
        <f>IF(DadosViagem5[[#This Row],[Dias em manutenção ]]&lt;5,"Dentro do Prazo","Fora do Prazo")</f>
        <v>Fora do Prazo</v>
      </c>
      <c r="AJ68" s="36" t="e">
        <v>#REF!</v>
      </c>
    </row>
    <row r="69" spans="1:36">
      <c r="A69" s="19" t="s">
        <v>179</v>
      </c>
      <c r="B69" s="20">
        <v>768</v>
      </c>
      <c r="C69" s="19" t="s">
        <v>74</v>
      </c>
      <c r="D69" s="19" t="s">
        <v>52</v>
      </c>
      <c r="E69" s="19" t="s">
        <v>75</v>
      </c>
      <c r="F69" s="19" t="s">
        <v>76</v>
      </c>
      <c r="G69" s="19"/>
      <c r="H69" s="20">
        <v>2023</v>
      </c>
      <c r="I69" s="19" t="s">
        <v>41</v>
      </c>
      <c r="J69" s="49" t="s">
        <v>144</v>
      </c>
      <c r="K69" s="21" t="s">
        <v>145</v>
      </c>
      <c r="L69" s="22" t="s">
        <v>146</v>
      </c>
      <c r="M69" s="23" t="s">
        <v>77</v>
      </c>
      <c r="N69" s="25" t="s">
        <v>147</v>
      </c>
      <c r="O69" s="25" t="s">
        <v>148</v>
      </c>
      <c r="P69" s="26" t="str">
        <f>IFERROR(VLOOKUP(DadosViagem5[[#This Row],[Placa]],[1]BIP!A:E,5,FALSE),"")</f>
        <v/>
      </c>
      <c r="Q69" s="27" t="e">
        <f ca="1">DATEDIF(DadosViagem5[[#This Row],[BIP]],TODAY(),"D")</f>
        <v>#VALUE!</v>
      </c>
      <c r="R69" s="28" t="str">
        <f>IFERROR(VLOOKUP(DadosViagem5[[#This Row],[Placa]],[1]DDS!B:C,2,FALSE),"Verificar cadastro")</f>
        <v> </v>
      </c>
      <c r="S69" s="29" t="s">
        <v>48</v>
      </c>
      <c r="T69" s="23"/>
      <c r="U69" s="30"/>
      <c r="V69" s="31"/>
      <c r="W69" s="32"/>
      <c r="X69" s="33"/>
      <c r="Y69" s="34"/>
      <c r="Z69" s="32"/>
      <c r="AA69" s="20" t="s">
        <v>49</v>
      </c>
      <c r="AB69" s="20" t="s">
        <v>49</v>
      </c>
      <c r="AC69" s="19" t="s">
        <v>49</v>
      </c>
      <c r="AD69" s="19" t="str">
        <f ca="1">IFERROR(DATEDIF(DadosViagem5[[#This Row],[Utimo Bip Reserva]],TODAY(),"D"),"")</f>
        <v/>
      </c>
      <c r="AE69" s="36"/>
      <c r="AF69" s="25"/>
      <c r="AG69" s="36"/>
      <c r="AH69" s="25">
        <v>45807</v>
      </c>
      <c r="AI69" s="36" t="str">
        <f>IF(DadosViagem5[[#This Row],[Dias em manutenção ]]&lt;5,"Dentro do Prazo","Fora do Prazo")</f>
        <v>Fora do Prazo</v>
      </c>
      <c r="AJ69" s="36" t="e">
        <v>#REF!</v>
      </c>
    </row>
    <row r="70" spans="1:36">
      <c r="A70" s="19" t="s">
        <v>180</v>
      </c>
      <c r="B70" s="20">
        <v>772</v>
      </c>
      <c r="C70" s="19" t="s">
        <v>74</v>
      </c>
      <c r="D70" s="19" t="s">
        <v>52</v>
      </c>
      <c r="E70" s="19" t="s">
        <v>75</v>
      </c>
      <c r="F70" s="19" t="s">
        <v>76</v>
      </c>
      <c r="G70" s="19"/>
      <c r="H70" s="20">
        <v>2023</v>
      </c>
      <c r="I70" s="19" t="s">
        <v>41</v>
      </c>
      <c r="J70" s="49" t="s">
        <v>144</v>
      </c>
      <c r="K70" s="21" t="s">
        <v>145</v>
      </c>
      <c r="L70" s="22" t="s">
        <v>146</v>
      </c>
      <c r="M70" s="23" t="s">
        <v>77</v>
      </c>
      <c r="N70" s="40" t="s">
        <v>147</v>
      </c>
      <c r="O70" s="25" t="s">
        <v>148</v>
      </c>
      <c r="P70" s="26" t="str">
        <f>IFERROR(VLOOKUP(DadosViagem5[[#This Row],[Placa]],[1]BIP!A:E,5,FALSE),"")</f>
        <v/>
      </c>
      <c r="Q70" s="27" t="e">
        <f ca="1">DATEDIF(DadosViagem5[[#This Row],[BIP]],TODAY(),"D")</f>
        <v>#VALUE!</v>
      </c>
      <c r="R70" s="28" t="str">
        <f>IFERROR(VLOOKUP(DadosViagem5[[#This Row],[Placa]],[1]DDS!B:C,2,FALSE),"Verificar cadastro")</f>
        <v>Carregado</v>
      </c>
      <c r="S70" s="29" t="s">
        <v>48</v>
      </c>
      <c r="T70" s="23"/>
      <c r="U70" s="30"/>
      <c r="V70" s="31"/>
      <c r="W70" s="32"/>
      <c r="X70" s="33"/>
      <c r="Y70" s="34"/>
      <c r="Z70" s="32"/>
      <c r="AA70" s="20" t="s">
        <v>49</v>
      </c>
      <c r="AB70" s="20" t="s">
        <v>49</v>
      </c>
      <c r="AC70" s="20" t="s">
        <v>49</v>
      </c>
      <c r="AD70" s="20" t="s">
        <v>49</v>
      </c>
      <c r="AE70" s="36"/>
      <c r="AF70" s="25"/>
      <c r="AG70" s="36"/>
      <c r="AH70" s="25">
        <v>45807</v>
      </c>
      <c r="AI70" s="36" t="str">
        <f>IF(DadosViagem5[[#This Row],[Dias em manutenção ]]&lt;5,"Dentro do Prazo","Fora do Prazo")</f>
        <v>Fora do Prazo</v>
      </c>
      <c r="AJ70" s="36" t="e">
        <v>#REF!</v>
      </c>
    </row>
    <row r="71" spans="1:36">
      <c r="A71" s="19" t="s">
        <v>181</v>
      </c>
      <c r="B71" s="20"/>
      <c r="C71" s="19" t="s">
        <v>51</v>
      </c>
      <c r="D71" s="19" t="s">
        <v>52</v>
      </c>
      <c r="E71" s="19" t="s">
        <v>53</v>
      </c>
      <c r="F71" s="19" t="s">
        <v>40</v>
      </c>
      <c r="G71" s="19"/>
      <c r="H71" s="20">
        <v>2023</v>
      </c>
      <c r="I71" s="19" t="s">
        <v>41</v>
      </c>
      <c r="J71" s="19" t="s">
        <v>182</v>
      </c>
      <c r="K71" s="21" t="s">
        <v>183</v>
      </c>
      <c r="L71" s="22" t="s">
        <v>146</v>
      </c>
      <c r="M71" s="23" t="s">
        <v>45</v>
      </c>
      <c r="N71" s="25" t="s">
        <v>184</v>
      </c>
      <c r="O71" s="25" t="s">
        <v>148</v>
      </c>
      <c r="P71" s="26">
        <f ca="1">IFERROR(VLOOKUP(DadosViagem5[[#This Row],[Placa]],[1]BIP!A:E,5,FALSE),"")</f>
        <v>45989</v>
      </c>
      <c r="Q71" s="27">
        <f ca="1">DATEDIF(DadosViagem5[[#This Row],[BIP]],TODAY(),"D")</f>
        <v>1</v>
      </c>
      <c r="R71" s="28" t="str">
        <f>IFERROR(VLOOKUP(DadosViagem5[[#This Row],[Placa]],[1]DDS!B:C,2,FALSE),"Verificar cadastro")</f>
        <v>Carregado</v>
      </c>
      <c r="S71" s="29" t="s">
        <v>48</v>
      </c>
      <c r="T71" s="23"/>
      <c r="U71" s="30"/>
      <c r="V71" s="31"/>
      <c r="W71" s="32"/>
      <c r="X71" s="33" t="s">
        <v>55</v>
      </c>
      <c r="Y71" s="34" t="s">
        <v>49</v>
      </c>
      <c r="Z71" s="32"/>
      <c r="AA71" s="20" t="s">
        <v>49</v>
      </c>
      <c r="AB71" s="20" t="s">
        <v>49</v>
      </c>
      <c r="AC71" s="19" t="s">
        <v>49</v>
      </c>
      <c r="AD71" s="19" t="str">
        <f ca="1">IFERROR(DATEDIF(DadosViagem5[[#This Row],[Utimo Bip Reserva]],TODAY(),"D"),"")</f>
        <v/>
      </c>
      <c r="AE71" s="25" t="s">
        <v>49</v>
      </c>
      <c r="AF71" s="25" t="s">
        <v>49</v>
      </c>
      <c r="AG71" s="36"/>
      <c r="AH71" s="25">
        <v>45807</v>
      </c>
      <c r="AI71" s="36" t="str">
        <f>IF(DadosViagem5[[#This Row],[Dias em manutenção ]]&lt;5,"Dentro do Prazo","Fora do Prazo")</f>
        <v>Fora do Prazo</v>
      </c>
      <c r="AJ71" s="36" t="e">
        <v>#REF!</v>
      </c>
    </row>
    <row r="72" spans="1:36">
      <c r="A72" s="19" t="s">
        <v>185</v>
      </c>
      <c r="B72" s="20"/>
      <c r="C72" s="19" t="s">
        <v>51</v>
      </c>
      <c r="D72" s="19" t="s">
        <v>52</v>
      </c>
      <c r="E72" s="19" t="s">
        <v>53</v>
      </c>
      <c r="F72" s="19" t="s">
        <v>40</v>
      </c>
      <c r="G72" s="19"/>
      <c r="H72" s="20">
        <v>2023</v>
      </c>
      <c r="I72" s="19" t="s">
        <v>41</v>
      </c>
      <c r="J72" s="19" t="s">
        <v>182</v>
      </c>
      <c r="K72" s="38" t="s">
        <v>183</v>
      </c>
      <c r="L72" s="22" t="s">
        <v>146</v>
      </c>
      <c r="M72" s="23" t="s">
        <v>45</v>
      </c>
      <c r="N72" s="40" t="s">
        <v>184</v>
      </c>
      <c r="O72" s="40" t="s">
        <v>148</v>
      </c>
      <c r="P72" s="26">
        <f ca="1">IFERROR(VLOOKUP(DadosViagem5[[#This Row],[Placa]],[1]BIP!A:E,5,FALSE),"")</f>
        <v>0</v>
      </c>
      <c r="Q72" s="27">
        <f ca="1">DATEDIF(DadosViagem5[[#This Row],[BIP]],TODAY(),"D")</f>
        <v>45990</v>
      </c>
      <c r="R72" s="28" t="str">
        <f>IFERROR(VLOOKUP(DadosViagem5[[#This Row],[Placa]],[1]DDS!B:C,2,FALSE),"Verificar cadastro")</f>
        <v>Manutenção</v>
      </c>
      <c r="S72" s="36" t="s">
        <v>186</v>
      </c>
      <c r="T72" s="23"/>
      <c r="U72" s="30"/>
      <c r="V72" s="31">
        <v>45847</v>
      </c>
      <c r="W72" s="32" t="s">
        <v>187</v>
      </c>
      <c r="X72" s="57" t="s">
        <v>188</v>
      </c>
      <c r="Y72" s="34" t="s">
        <v>66</v>
      </c>
      <c r="Z72" s="58" t="s">
        <v>189</v>
      </c>
      <c r="AA72" s="20" t="s">
        <v>49</v>
      </c>
      <c r="AB72" s="20" t="s">
        <v>49</v>
      </c>
      <c r="AC72" s="19" t="s">
        <v>49</v>
      </c>
      <c r="AD72" s="19" t="str">
        <f ca="1">IFERROR(DATEDIF(DadosViagem5[[#This Row],[Utimo Bip Reserva]],TODAY(),"D"),"")</f>
        <v/>
      </c>
      <c r="AE72" s="59"/>
      <c r="AF72" s="25"/>
      <c r="AG72" s="36"/>
      <c r="AH72" s="25">
        <v>45807</v>
      </c>
      <c r="AI72" s="36" t="str">
        <f>IF(DadosViagem5[[#This Row],[Dias em manutenção ]]&lt;5,"Dentro do Prazo","Fora do Prazo")</f>
        <v>Fora do Prazo</v>
      </c>
      <c r="AJ72" s="36" t="e">
        <v>#REF!</v>
      </c>
    </row>
    <row r="73" spans="1:36">
      <c r="A73" s="19" t="s">
        <v>190</v>
      </c>
      <c r="B73" s="20"/>
      <c r="C73" s="19" t="s">
        <v>51</v>
      </c>
      <c r="D73" s="19" t="s">
        <v>52</v>
      </c>
      <c r="E73" s="19" t="s">
        <v>53</v>
      </c>
      <c r="F73" s="19" t="s">
        <v>40</v>
      </c>
      <c r="G73" s="19"/>
      <c r="H73" s="20">
        <v>2022</v>
      </c>
      <c r="I73" s="19" t="s">
        <v>41</v>
      </c>
      <c r="J73" s="19" t="s">
        <v>182</v>
      </c>
      <c r="K73" s="21" t="s">
        <v>183</v>
      </c>
      <c r="L73" s="22" t="s">
        <v>146</v>
      </c>
      <c r="M73" s="23" t="s">
        <v>45</v>
      </c>
      <c r="N73" s="25" t="s">
        <v>184</v>
      </c>
      <c r="O73" s="25" t="s">
        <v>148</v>
      </c>
      <c r="P73" s="26">
        <f ca="1">IFERROR(VLOOKUP(DadosViagem5[[#This Row],[Placa]],[1]BIP!A:E,5,FALSE),"")</f>
        <v>0</v>
      </c>
      <c r="Q73" s="27">
        <f ca="1">DATEDIF(DadosViagem5[[#This Row],[BIP]],TODAY(),"D")</f>
        <v>45990</v>
      </c>
      <c r="R73" s="28"/>
      <c r="S73" s="29" t="s">
        <v>48</v>
      </c>
      <c r="T73" s="23"/>
      <c r="U73" s="30"/>
      <c r="V73" s="31"/>
      <c r="W73" s="32"/>
      <c r="X73" s="33"/>
      <c r="Y73" s="34"/>
      <c r="Z73" s="42"/>
      <c r="AA73" s="20" t="s">
        <v>49</v>
      </c>
      <c r="AB73" s="20" t="s">
        <v>49</v>
      </c>
      <c r="AC73" s="19" t="s">
        <v>49</v>
      </c>
      <c r="AD73" s="19" t="str">
        <f ca="1">IFERROR(DATEDIF(DadosViagem5[[#This Row],[Utimo Bip Reserva]],TODAY(),"D"),"")</f>
        <v/>
      </c>
      <c r="AE73" s="36" t="s">
        <v>49</v>
      </c>
      <c r="AF73" s="25" t="s">
        <v>49</v>
      </c>
      <c r="AG73" s="36"/>
      <c r="AH73" s="25">
        <v>45807</v>
      </c>
      <c r="AI73" s="36" t="str">
        <f>IF(DadosViagem5[[#This Row],[Dias em manutenção ]]&lt;5,"Dentro do Prazo","Fora do Prazo")</f>
        <v>Fora do Prazo</v>
      </c>
      <c r="AJ73" s="36" t="e">
        <v>#REF!</v>
      </c>
    </row>
    <row r="74" spans="1:36">
      <c r="A74" s="19" t="s">
        <v>191</v>
      </c>
      <c r="B74" s="20"/>
      <c r="C74" s="19" t="s">
        <v>51</v>
      </c>
      <c r="D74" s="19" t="s">
        <v>52</v>
      </c>
      <c r="E74" s="19" t="s">
        <v>53</v>
      </c>
      <c r="F74" s="19" t="s">
        <v>40</v>
      </c>
      <c r="G74" s="19"/>
      <c r="H74" s="20">
        <v>2023</v>
      </c>
      <c r="I74" s="19" t="s">
        <v>41</v>
      </c>
      <c r="J74" s="19" t="s">
        <v>182</v>
      </c>
      <c r="K74" s="21" t="s">
        <v>183</v>
      </c>
      <c r="L74" s="22" t="s">
        <v>146</v>
      </c>
      <c r="M74" s="23" t="s">
        <v>45</v>
      </c>
      <c r="N74" s="25" t="s">
        <v>184</v>
      </c>
      <c r="O74" s="25" t="s">
        <v>148</v>
      </c>
      <c r="P74" s="26">
        <f ca="1">IFERROR(VLOOKUP(DadosViagem5[[#This Row],[Placa]],[1]BIP!A:E,5,FALSE),"")</f>
        <v>0</v>
      </c>
      <c r="Q74" s="27">
        <f ca="1">DATEDIF(DadosViagem5[[#This Row],[BIP]],TODAY(),"D")</f>
        <v>45990</v>
      </c>
      <c r="R74" s="28"/>
      <c r="S74" s="29" t="s">
        <v>48</v>
      </c>
      <c r="T74" s="23"/>
      <c r="U74" s="30"/>
      <c r="V74" s="31"/>
      <c r="W74" s="32"/>
      <c r="X74" s="33"/>
      <c r="Y74" s="34"/>
      <c r="Z74" s="32"/>
      <c r="AA74" s="20" t="s">
        <v>49</v>
      </c>
      <c r="AB74" s="20" t="s">
        <v>49</v>
      </c>
      <c r="AC74" s="19" t="s">
        <v>49</v>
      </c>
      <c r="AD74" s="19" t="str">
        <f ca="1">IFERROR(DATEDIF(DadosViagem5[[#This Row],[Utimo Bip Reserva]],TODAY(),"D"),"")</f>
        <v/>
      </c>
      <c r="AE74" s="36" t="s">
        <v>49</v>
      </c>
      <c r="AF74" s="25" t="s">
        <v>49</v>
      </c>
      <c r="AG74" s="36"/>
      <c r="AH74" s="25">
        <v>45807</v>
      </c>
      <c r="AI74" s="36" t="str">
        <f>IF(DadosViagem5[[#This Row],[Dias em manutenção ]]&lt;5,"Dentro do Prazo","Fora do Prazo")</f>
        <v>Fora do Prazo</v>
      </c>
      <c r="AJ74" s="36" t="e">
        <v>#REF!</v>
      </c>
    </row>
    <row r="75" spans="1:36">
      <c r="A75" s="19" t="s">
        <v>192</v>
      </c>
      <c r="B75" s="20"/>
      <c r="C75" s="19" t="s">
        <v>51</v>
      </c>
      <c r="D75" s="19" t="s">
        <v>52</v>
      </c>
      <c r="E75" s="19" t="s">
        <v>53</v>
      </c>
      <c r="F75" s="19" t="s">
        <v>40</v>
      </c>
      <c r="G75" s="19"/>
      <c r="H75" s="20">
        <v>2023</v>
      </c>
      <c r="I75" s="19" t="s">
        <v>41</v>
      </c>
      <c r="J75" s="19" t="s">
        <v>182</v>
      </c>
      <c r="K75" s="21" t="s">
        <v>183</v>
      </c>
      <c r="L75" s="22" t="s">
        <v>146</v>
      </c>
      <c r="M75" s="23" t="s">
        <v>45</v>
      </c>
      <c r="N75" s="25" t="s">
        <v>184</v>
      </c>
      <c r="O75" s="40" t="s">
        <v>148</v>
      </c>
      <c r="P75" s="26">
        <f ca="1">IFERROR(VLOOKUP(DadosViagem5[[#This Row],[Placa]],[1]BIP!A:E,5,FALSE),"")</f>
        <v>45989</v>
      </c>
      <c r="Q75" s="27">
        <f ca="1">DATEDIF(DadosViagem5[[#This Row],[BIP]],TODAY(),"D")</f>
        <v>1</v>
      </c>
      <c r="R75" s="28" t="str">
        <f>IFERROR(VLOOKUP(DadosViagem5[[#This Row],[Placa]],[1]DDS!B:C,2,FALSE),"Verificar cadastro")</f>
        <v>Carregado</v>
      </c>
      <c r="S75" s="29" t="s">
        <v>48</v>
      </c>
      <c r="T75" s="23"/>
      <c r="U75" s="30"/>
      <c r="V75" s="31"/>
      <c r="W75" s="32"/>
      <c r="X75" s="33"/>
      <c r="Y75" s="34"/>
      <c r="Z75" s="32"/>
      <c r="AA75" s="20" t="s">
        <v>49</v>
      </c>
      <c r="AB75" s="20" t="s">
        <v>49</v>
      </c>
      <c r="AC75" s="19" t="s">
        <v>49</v>
      </c>
      <c r="AD75" s="19" t="str">
        <f ca="1">IFERROR(DATEDIF(DadosViagem5[[#This Row],[Utimo Bip Reserva]],TODAY(),"D"),"")</f>
        <v/>
      </c>
      <c r="AE75" s="7" t="s">
        <v>49</v>
      </c>
      <c r="AF75" s="16" t="s">
        <v>49</v>
      </c>
      <c r="AG75" s="36"/>
      <c r="AH75" s="25">
        <v>45807</v>
      </c>
      <c r="AI75" s="36" t="str">
        <f>IF(DadosViagem5[[#This Row],[Dias em manutenção ]]&lt;5,"Dentro do Prazo","Fora do Prazo")</f>
        <v>Fora do Prazo</v>
      </c>
      <c r="AJ75" s="36" t="e">
        <v>#REF!</v>
      </c>
    </row>
    <row r="76" spans="1:36">
      <c r="A76" s="19" t="s">
        <v>193</v>
      </c>
      <c r="B76" s="20"/>
      <c r="C76" s="19" t="s">
        <v>51</v>
      </c>
      <c r="D76" s="19" t="s">
        <v>52</v>
      </c>
      <c r="E76" s="19" t="s">
        <v>53</v>
      </c>
      <c r="F76" s="19" t="s">
        <v>40</v>
      </c>
      <c r="G76" s="19"/>
      <c r="H76" s="20">
        <v>2023</v>
      </c>
      <c r="I76" s="19" t="s">
        <v>41</v>
      </c>
      <c r="J76" s="19" t="s">
        <v>182</v>
      </c>
      <c r="K76" s="21" t="s">
        <v>183</v>
      </c>
      <c r="L76" s="22" t="s">
        <v>146</v>
      </c>
      <c r="M76" s="23" t="s">
        <v>45</v>
      </c>
      <c r="N76" s="25" t="s">
        <v>184</v>
      </c>
      <c r="O76" s="25" t="s">
        <v>148</v>
      </c>
      <c r="P76" s="26">
        <f ca="1">IFERROR(VLOOKUP(DadosViagem5[[#This Row],[Placa]],[1]BIP!A:E,5,FALSE),"")</f>
        <v>45989</v>
      </c>
      <c r="Q76" s="27">
        <f ca="1">DATEDIF(DadosViagem5[[#This Row],[BIP]],TODAY(),"D")</f>
        <v>1</v>
      </c>
      <c r="R76" s="28" t="str">
        <f>IFERROR(VLOOKUP(DadosViagem5[[#This Row],[Placa]],[1]DDS!B:C,2,FALSE),"Verificar cadastro")</f>
        <v>Carregado</v>
      </c>
      <c r="S76" s="29" t="s">
        <v>48</v>
      </c>
      <c r="T76" s="23"/>
      <c r="U76" s="30"/>
      <c r="V76" s="31"/>
      <c r="W76" s="32"/>
      <c r="X76" s="33"/>
      <c r="Y76" s="34"/>
      <c r="Z76" s="32"/>
      <c r="AA76" s="20" t="s">
        <v>49</v>
      </c>
      <c r="AB76" s="20" t="s">
        <v>49</v>
      </c>
      <c r="AC76" s="19" t="s">
        <v>49</v>
      </c>
      <c r="AD76" s="19" t="str">
        <f ca="1">IFERROR(DATEDIF(DadosViagem5[[#This Row],[Utimo Bip Reserva]],TODAY(),"D"),"")</f>
        <v/>
      </c>
      <c r="AE76" s="25" t="s">
        <v>49</v>
      </c>
      <c r="AF76" s="25" t="s">
        <v>49</v>
      </c>
      <c r="AG76" s="36"/>
      <c r="AH76" s="25">
        <v>28</v>
      </c>
      <c r="AI76" s="36" t="str">
        <f>IF(DadosViagem5[[#This Row],[Dias em manutenção ]]&lt;5,"Dentro do Prazo","Fora do Prazo")</f>
        <v>Fora do Prazo</v>
      </c>
      <c r="AJ76" s="36" t="e">
        <v>#REF!</v>
      </c>
    </row>
    <row r="77" spans="1:36">
      <c r="A77" s="19" t="s">
        <v>194</v>
      </c>
      <c r="B77" s="20"/>
      <c r="C77" s="19" t="s">
        <v>51</v>
      </c>
      <c r="D77" s="19" t="s">
        <v>52</v>
      </c>
      <c r="E77" s="19" t="s">
        <v>53</v>
      </c>
      <c r="F77" s="19" t="s">
        <v>40</v>
      </c>
      <c r="G77" s="19"/>
      <c r="H77" s="20">
        <v>2023</v>
      </c>
      <c r="I77" s="19" t="s">
        <v>41</v>
      </c>
      <c r="J77" s="19" t="s">
        <v>182</v>
      </c>
      <c r="K77" s="21" t="s">
        <v>183</v>
      </c>
      <c r="L77" s="22" t="s">
        <v>146</v>
      </c>
      <c r="M77" s="23" t="s">
        <v>45</v>
      </c>
      <c r="N77" s="40" t="s">
        <v>184</v>
      </c>
      <c r="O77" s="25" t="s">
        <v>148</v>
      </c>
      <c r="P77" s="26">
        <f ca="1">IFERROR(VLOOKUP(DadosViagem5[[#This Row],[Placa]],[1]BIP!A:E,5,FALSE),"")</f>
        <v>0</v>
      </c>
      <c r="Q77" s="27">
        <f ca="1">DATEDIF(DadosViagem5[[#This Row],[BIP]],TODAY(),"D")</f>
        <v>45990</v>
      </c>
      <c r="R77" s="28" t="str">
        <f>IFERROR(VLOOKUP(DadosViagem5[[#This Row],[Placa]],[1]DDS!B:C,2,FALSE),"Verificar cadastro")</f>
        <v> </v>
      </c>
      <c r="S77" s="29" t="s">
        <v>48</v>
      </c>
      <c r="T77" s="23"/>
      <c r="U77" s="30"/>
      <c r="V77" s="31"/>
      <c r="W77" s="32"/>
      <c r="X77" s="33"/>
      <c r="Y77" s="34"/>
      <c r="Z77" s="32"/>
      <c r="AA77" s="20" t="s">
        <v>49</v>
      </c>
      <c r="AB77" s="20" t="s">
        <v>49</v>
      </c>
      <c r="AC77" s="19" t="s">
        <v>49</v>
      </c>
      <c r="AD77" s="19" t="str">
        <f ca="1">IFERROR(DATEDIF(DadosViagem5[[#This Row],[Utimo Bip Reserva]],TODAY(),"D"),"")</f>
        <v/>
      </c>
      <c r="AE77" s="36" t="s">
        <v>49</v>
      </c>
      <c r="AF77" s="25" t="s">
        <v>49</v>
      </c>
      <c r="AG77" s="36"/>
      <c r="AH77" s="25">
        <v>45807</v>
      </c>
      <c r="AI77" s="36" t="str">
        <f>IF(DadosViagem5[[#This Row],[Dias em manutenção ]]&lt;5,"Dentro do Prazo","Fora do Prazo")</f>
        <v>Fora do Prazo</v>
      </c>
      <c r="AJ77" s="36" t="e">
        <v>#REF!</v>
      </c>
    </row>
    <row r="78" spans="1:36">
      <c r="A78" s="19" t="s">
        <v>195</v>
      </c>
      <c r="B78" s="20"/>
      <c r="C78" s="19" t="s">
        <v>51</v>
      </c>
      <c r="D78" s="19" t="s">
        <v>52</v>
      </c>
      <c r="E78" s="19" t="s">
        <v>53</v>
      </c>
      <c r="F78" s="19" t="s">
        <v>40</v>
      </c>
      <c r="G78" s="19"/>
      <c r="H78" s="20">
        <v>2022</v>
      </c>
      <c r="I78" s="19" t="s">
        <v>41</v>
      </c>
      <c r="J78" s="19" t="s">
        <v>182</v>
      </c>
      <c r="K78" s="21" t="s">
        <v>183</v>
      </c>
      <c r="L78" s="22" t="s">
        <v>146</v>
      </c>
      <c r="M78" s="23" t="s">
        <v>45</v>
      </c>
      <c r="N78" s="40" t="s">
        <v>184</v>
      </c>
      <c r="O78" s="25" t="s">
        <v>148</v>
      </c>
      <c r="P78" s="26">
        <f ca="1">IFERROR(VLOOKUP(DadosViagem5[[#This Row],[Placa]],[1]BIP!A:E,5,FALSE),"")</f>
        <v>45989</v>
      </c>
      <c r="Q78" s="27">
        <f ca="1">DATEDIF(DadosViagem5[[#This Row],[BIP]],TODAY(),"D")</f>
        <v>1</v>
      </c>
      <c r="R78" s="28" t="str">
        <f>IFERROR(VLOOKUP(DadosViagem5[[#This Row],[Placa]],[1]DDS!B:C,2,FALSE),"Verificar cadastro")</f>
        <v>Carregado</v>
      </c>
      <c r="S78" s="29" t="s">
        <v>48</v>
      </c>
      <c r="T78" s="23"/>
      <c r="U78" s="30"/>
      <c r="V78" s="31"/>
      <c r="W78" s="32"/>
      <c r="X78" s="33"/>
      <c r="Y78" s="34"/>
      <c r="Z78" s="32"/>
      <c r="AA78" s="20" t="s">
        <v>49</v>
      </c>
      <c r="AB78" s="20" t="s">
        <v>49</v>
      </c>
      <c r="AC78" s="19" t="s">
        <v>49</v>
      </c>
      <c r="AD78" s="19" t="str">
        <f ca="1">IFERROR(DATEDIF(DadosViagem5[[#This Row],[Utimo Bip Reserva]],TODAY(),"D"),"")</f>
        <v/>
      </c>
      <c r="AE78" s="36" t="s">
        <v>49</v>
      </c>
      <c r="AF78" s="25" t="s">
        <v>49</v>
      </c>
      <c r="AG78" s="36"/>
      <c r="AH78" s="25">
        <v>45807</v>
      </c>
      <c r="AI78" s="36" t="str">
        <f>IF(DadosViagem5[[#This Row],[Dias em manutenção ]]&lt;5,"Dentro do Prazo","Fora do Prazo")</f>
        <v>Fora do Prazo</v>
      </c>
      <c r="AJ78" s="36" t="e">
        <v>#REF!</v>
      </c>
    </row>
    <row r="79" spans="1:36">
      <c r="A79" s="19" t="s">
        <v>196</v>
      </c>
      <c r="B79" s="20"/>
      <c r="C79" s="19" t="s">
        <v>51</v>
      </c>
      <c r="D79" s="19" t="s">
        <v>52</v>
      </c>
      <c r="E79" s="19" t="s">
        <v>53</v>
      </c>
      <c r="F79" s="19" t="s">
        <v>40</v>
      </c>
      <c r="G79" s="60"/>
      <c r="H79" s="21">
        <v>2023</v>
      </c>
      <c r="I79" s="60" t="s">
        <v>41</v>
      </c>
      <c r="J79" s="19" t="s">
        <v>182</v>
      </c>
      <c r="K79" s="38" t="s">
        <v>183</v>
      </c>
      <c r="L79" s="22" t="s">
        <v>146</v>
      </c>
      <c r="M79" s="23" t="s">
        <v>45</v>
      </c>
      <c r="N79" s="25" t="s">
        <v>184</v>
      </c>
      <c r="O79" s="25" t="s">
        <v>148</v>
      </c>
      <c r="P79" s="26">
        <f ca="1">IFERROR(VLOOKUP(DadosViagem5[[#This Row],[Placa]],[1]BIP!A:E,5,FALSE),"")</f>
        <v>0</v>
      </c>
      <c r="Q79" s="27">
        <f ca="1">DATEDIF(DadosViagem5[[#This Row],[BIP]],TODAY(),"D")</f>
        <v>45990</v>
      </c>
      <c r="R79" s="28" t="str">
        <f>IFERROR(VLOOKUP(DadosViagem5[[#This Row],[Placa]],[1]DDS!B:C,2,FALSE),"Verificar cadastro")</f>
        <v> </v>
      </c>
      <c r="S79" s="29" t="s">
        <v>173</v>
      </c>
      <c r="T79" s="23"/>
      <c r="U79" s="30"/>
      <c r="V79" s="31"/>
      <c r="W79" s="32"/>
      <c r="X79" s="33"/>
      <c r="Y79" s="34"/>
      <c r="Z79" s="32"/>
      <c r="AA79" s="20" t="s">
        <v>49</v>
      </c>
      <c r="AB79" s="20" t="s">
        <v>49</v>
      </c>
      <c r="AC79" s="19" t="s">
        <v>49</v>
      </c>
      <c r="AD79" s="19" t="str">
        <f ca="1">IFERROR(DATEDIF(DadosViagem5[[#This Row],[Utimo Bip Reserva]],TODAY(),"D"),"")</f>
        <v/>
      </c>
      <c r="AE79" s="36" t="s">
        <v>49</v>
      </c>
      <c r="AF79" s="25" t="s">
        <v>49</v>
      </c>
      <c r="AG79" s="36"/>
      <c r="AH79" s="25">
        <v>45807</v>
      </c>
      <c r="AI79" s="36" t="str">
        <f>IF(DadosViagem5[[#This Row],[Dias em manutenção ]]&lt;5,"Dentro do Prazo","Fora do Prazo")</f>
        <v>Fora do Prazo</v>
      </c>
      <c r="AJ79" s="36" t="e">
        <v>#REF!</v>
      </c>
    </row>
    <row r="80" spans="1:36">
      <c r="A80" s="19" t="s">
        <v>197</v>
      </c>
      <c r="B80" s="20"/>
      <c r="C80" s="19" t="s">
        <v>51</v>
      </c>
      <c r="D80" s="19" t="s">
        <v>52</v>
      </c>
      <c r="E80" s="19" t="s">
        <v>53</v>
      </c>
      <c r="F80" s="19" t="s">
        <v>40</v>
      </c>
      <c r="G80" s="19"/>
      <c r="H80" s="20">
        <v>2023</v>
      </c>
      <c r="I80" s="19" t="s">
        <v>41</v>
      </c>
      <c r="J80" s="19" t="s">
        <v>182</v>
      </c>
      <c r="K80" s="21" t="s">
        <v>183</v>
      </c>
      <c r="L80" s="22" t="s">
        <v>146</v>
      </c>
      <c r="M80" s="23" t="s">
        <v>45</v>
      </c>
      <c r="N80" s="25" t="s">
        <v>184</v>
      </c>
      <c r="O80" s="25" t="s">
        <v>148</v>
      </c>
      <c r="P80" s="26">
        <f ca="1">IFERROR(VLOOKUP(DadosViagem5[[#This Row],[Placa]],[1]BIP!A:E,5,FALSE),"")</f>
        <v>45989</v>
      </c>
      <c r="Q80" s="27">
        <f ca="1">DATEDIF(DadosViagem5[[#This Row],[BIP]],TODAY(),"D")</f>
        <v>1</v>
      </c>
      <c r="R80" s="28" t="str">
        <f>IFERROR(VLOOKUP(DadosViagem5[[#This Row],[Placa]],[1]DDS!B:C,2,FALSE),"Verificar cadastro")</f>
        <v>Carregado</v>
      </c>
      <c r="S80" s="29" t="s">
        <v>48</v>
      </c>
      <c r="T80" s="23"/>
      <c r="U80" s="30"/>
      <c r="V80" s="31"/>
      <c r="W80" s="32"/>
      <c r="X80" s="33"/>
      <c r="Y80" s="34"/>
      <c r="Z80" s="32"/>
      <c r="AA80" s="20" t="s">
        <v>49</v>
      </c>
      <c r="AB80" s="20" t="s">
        <v>49</v>
      </c>
      <c r="AC80" s="19" t="s">
        <v>49</v>
      </c>
      <c r="AD80" s="19" t="str">
        <f ca="1">IFERROR(DATEDIF(DadosViagem5[[#This Row],[Utimo Bip Reserva]],TODAY(),"D"),"")</f>
        <v/>
      </c>
      <c r="AE80" s="36" t="s">
        <v>49</v>
      </c>
      <c r="AF80" s="25" t="s">
        <v>49</v>
      </c>
      <c r="AG80" s="36"/>
      <c r="AH80" s="25">
        <v>45807</v>
      </c>
      <c r="AI80" s="36" t="str">
        <f>IF(DadosViagem5[[#This Row],[Dias em manutenção ]]&lt;5,"Dentro do Prazo","Fora do Prazo")</f>
        <v>Fora do Prazo</v>
      </c>
      <c r="AJ80" s="36" t="e">
        <v>#REF!</v>
      </c>
    </row>
    <row r="81" spans="1:36">
      <c r="A81" s="19" t="s">
        <v>198</v>
      </c>
      <c r="B81" s="20"/>
      <c r="C81" s="19" t="s">
        <v>51</v>
      </c>
      <c r="D81" s="19" t="s">
        <v>52</v>
      </c>
      <c r="E81" s="19" t="s">
        <v>53</v>
      </c>
      <c r="F81" s="19" t="s">
        <v>40</v>
      </c>
      <c r="G81" s="19"/>
      <c r="H81" s="20">
        <v>2023</v>
      </c>
      <c r="I81" s="19" t="s">
        <v>41</v>
      </c>
      <c r="J81" s="19" t="s">
        <v>182</v>
      </c>
      <c r="K81" s="21" t="s">
        <v>183</v>
      </c>
      <c r="L81" s="22" t="s">
        <v>146</v>
      </c>
      <c r="M81" s="23" t="s">
        <v>45</v>
      </c>
      <c r="N81" s="25" t="s">
        <v>184</v>
      </c>
      <c r="O81" s="25" t="s">
        <v>148</v>
      </c>
      <c r="P81" s="26">
        <f ca="1">IFERROR(VLOOKUP(DadosViagem5[[#This Row],[Placa]],[1]BIP!A:E,5,FALSE),"")</f>
        <v>45989</v>
      </c>
      <c r="Q81" s="27">
        <f ca="1">DATEDIF(DadosViagem5[[#This Row],[BIP]],TODAY(),"D")</f>
        <v>1</v>
      </c>
      <c r="R81" s="28" t="str">
        <f>IFERROR(VLOOKUP(DadosViagem5[[#This Row],[Placa]],[1]DDS!B:C,2,FALSE),"Verificar cadastro")</f>
        <v>Carregado</v>
      </c>
      <c r="S81" s="29" t="s">
        <v>48</v>
      </c>
      <c r="T81" s="23"/>
      <c r="U81" s="30"/>
      <c r="V81" s="31"/>
      <c r="W81" s="32" t="s">
        <v>199</v>
      </c>
      <c r="X81" s="33"/>
      <c r="Y81" s="34"/>
      <c r="Z81" s="32"/>
      <c r="AA81" s="20" t="s">
        <v>49</v>
      </c>
      <c r="AB81" s="20" t="s">
        <v>49</v>
      </c>
      <c r="AC81" s="19" t="s">
        <v>49</v>
      </c>
      <c r="AD81" s="19" t="str">
        <f ca="1">IFERROR(DATEDIF(DadosViagem5[[#This Row],[Utimo Bip Reserva]],TODAY(),"D"),"")</f>
        <v/>
      </c>
      <c r="AE81" s="29" t="s">
        <v>49</v>
      </c>
      <c r="AF81" s="35" t="s">
        <v>49</v>
      </c>
      <c r="AG81" s="36"/>
      <c r="AH81" s="25">
        <v>45807</v>
      </c>
      <c r="AI81" s="36" t="str">
        <f>IF(DadosViagem5[[#This Row],[Dias em manutenção ]]&lt;5,"Dentro do Prazo","Fora do Prazo")</f>
        <v>Fora do Prazo</v>
      </c>
      <c r="AJ81" s="36" t="e">
        <v>#REF!</v>
      </c>
    </row>
    <row r="82" spans="1:36">
      <c r="A82" s="19" t="s">
        <v>200</v>
      </c>
      <c r="B82" s="20"/>
      <c r="C82" s="19" t="s">
        <v>51</v>
      </c>
      <c r="D82" s="19" t="s">
        <v>52</v>
      </c>
      <c r="E82" s="19" t="s">
        <v>53</v>
      </c>
      <c r="F82" s="19" t="s">
        <v>40</v>
      </c>
      <c r="G82" s="19"/>
      <c r="H82" s="20">
        <v>2022</v>
      </c>
      <c r="I82" s="19" t="s">
        <v>41</v>
      </c>
      <c r="J82" s="19" t="s">
        <v>182</v>
      </c>
      <c r="K82" s="21" t="s">
        <v>183</v>
      </c>
      <c r="L82" s="22" t="s">
        <v>146</v>
      </c>
      <c r="M82" s="23" t="s">
        <v>45</v>
      </c>
      <c r="N82" s="25" t="s">
        <v>184</v>
      </c>
      <c r="O82" s="25" t="s">
        <v>148</v>
      </c>
      <c r="P82" s="26">
        <f ca="1">IFERROR(VLOOKUP(DadosViagem5[[#This Row],[Placa]],[1]BIP!A:E,5,FALSE),"")</f>
        <v>45989</v>
      </c>
      <c r="Q82" s="27">
        <f ca="1">DATEDIF(DadosViagem5[[#This Row],[BIP]],TODAY(),"D")</f>
        <v>1</v>
      </c>
      <c r="R82" s="28" t="str">
        <f>IFERROR(VLOOKUP(DadosViagem5[[#This Row],[Placa]],[1]DDS!B:C,2,FALSE),"Verificar cadastro")</f>
        <v>Carregado</v>
      </c>
      <c r="S82" s="29" t="s">
        <v>48</v>
      </c>
      <c r="T82" s="23"/>
      <c r="U82" s="30"/>
      <c r="V82" s="31"/>
      <c r="W82" s="32"/>
      <c r="X82" s="33"/>
      <c r="Y82" s="34"/>
      <c r="Z82" s="32"/>
      <c r="AA82" s="20" t="s">
        <v>49</v>
      </c>
      <c r="AB82" s="20" t="s">
        <v>49</v>
      </c>
      <c r="AC82" s="19" t="s">
        <v>49</v>
      </c>
      <c r="AD82" s="19" t="str">
        <f ca="1">IFERROR(DATEDIF(DadosViagem5[[#This Row],[Utimo Bip Reserva]],TODAY(),"D"),"")</f>
        <v/>
      </c>
      <c r="AE82" s="36" t="s">
        <v>49</v>
      </c>
      <c r="AF82" s="25" t="s">
        <v>49</v>
      </c>
      <c r="AG82" s="36"/>
      <c r="AH82" s="25">
        <v>45807</v>
      </c>
      <c r="AI82" s="36" t="str">
        <f>IF(DadosViagem5[[#This Row],[Dias em manutenção ]]&lt;5,"Dentro do Prazo","Fora do Prazo")</f>
        <v>Fora do Prazo</v>
      </c>
      <c r="AJ82" s="36" t="e">
        <v>#REF!</v>
      </c>
    </row>
    <row r="83" spans="1:36">
      <c r="A83" s="19" t="s">
        <v>201</v>
      </c>
      <c r="B83" s="20"/>
      <c r="C83" s="19" t="s">
        <v>51</v>
      </c>
      <c r="D83" s="19" t="s">
        <v>52</v>
      </c>
      <c r="E83" s="19" t="s">
        <v>53</v>
      </c>
      <c r="F83" s="19" t="s">
        <v>40</v>
      </c>
      <c r="G83" s="19"/>
      <c r="H83" s="20">
        <v>2023</v>
      </c>
      <c r="I83" s="19" t="s">
        <v>41</v>
      </c>
      <c r="J83" s="19" t="s">
        <v>182</v>
      </c>
      <c r="K83" s="21" t="s">
        <v>183</v>
      </c>
      <c r="L83" s="22" t="s">
        <v>146</v>
      </c>
      <c r="M83" s="46" t="s">
        <v>45</v>
      </c>
      <c r="N83" s="25" t="s">
        <v>184</v>
      </c>
      <c r="O83" s="25" t="s">
        <v>148</v>
      </c>
      <c r="P83" s="26">
        <f ca="1">IFERROR(VLOOKUP(DadosViagem5[[#This Row],[Placa]],[1]BIP!A:E,5,FALSE),"")</f>
        <v>0</v>
      </c>
      <c r="Q83" s="27">
        <f ca="1">DATEDIF(DadosViagem5[[#This Row],[BIP]],TODAY(),"D")</f>
        <v>45990</v>
      </c>
      <c r="R83" s="28" t="str">
        <f>IFERROR(VLOOKUP(DadosViagem5[[#This Row],[Placa]],[1]DDS!B:C,2,FALSE),"Verificar cadastro")</f>
        <v>Manutenção</v>
      </c>
      <c r="S83" s="29" t="s">
        <v>48</v>
      </c>
      <c r="T83" s="23"/>
      <c r="U83" s="30"/>
      <c r="V83" s="31"/>
      <c r="W83" s="32"/>
      <c r="X83" s="33"/>
      <c r="Y83" s="34"/>
      <c r="Z83" s="32"/>
      <c r="AA83" s="20" t="s">
        <v>49</v>
      </c>
      <c r="AB83" s="20" t="s">
        <v>49</v>
      </c>
      <c r="AC83" s="19" t="s">
        <v>49</v>
      </c>
      <c r="AD83" s="19" t="str">
        <f ca="1">IFERROR(DATEDIF(DadosViagem5[[#This Row],[Utimo Bip Reserva]],TODAY(),"D"),"")</f>
        <v/>
      </c>
      <c r="AE83" s="36" t="s">
        <v>49</v>
      </c>
      <c r="AF83" s="25" t="s">
        <v>49</v>
      </c>
      <c r="AG83" s="36"/>
      <c r="AH83" s="25">
        <v>45807</v>
      </c>
      <c r="AI83" s="36" t="str">
        <f>IF(DadosViagem5[[#This Row],[Dias em manutenção ]]&lt;5,"Dentro do Prazo","Fora do Prazo")</f>
        <v>Fora do Prazo</v>
      </c>
      <c r="AJ83" s="36" t="e">
        <v>#REF!</v>
      </c>
    </row>
    <row r="84" spans="1:36">
      <c r="A84" s="19" t="s">
        <v>202</v>
      </c>
      <c r="B84" s="20"/>
      <c r="C84" s="19" t="s">
        <v>51</v>
      </c>
      <c r="D84" s="19" t="s">
        <v>52</v>
      </c>
      <c r="E84" s="19" t="s">
        <v>53</v>
      </c>
      <c r="F84" s="19" t="s">
        <v>40</v>
      </c>
      <c r="G84" s="19"/>
      <c r="H84" s="20">
        <v>2022</v>
      </c>
      <c r="I84" s="19" t="s">
        <v>41</v>
      </c>
      <c r="J84" s="19" t="s">
        <v>182</v>
      </c>
      <c r="K84" s="21" t="s">
        <v>183</v>
      </c>
      <c r="L84" s="22" t="s">
        <v>146</v>
      </c>
      <c r="M84" s="46" t="s">
        <v>45</v>
      </c>
      <c r="N84" s="25" t="s">
        <v>184</v>
      </c>
      <c r="O84" s="25" t="s">
        <v>148</v>
      </c>
      <c r="P84" s="26">
        <f ca="1">IFERROR(VLOOKUP(DadosViagem5[[#This Row],[Placa]],[1]BIP!A:E,5,FALSE),"")</f>
        <v>45989</v>
      </c>
      <c r="Q84" s="27">
        <f ca="1">DATEDIF(DadosViagem5[[#This Row],[BIP]],TODAY(),"D")</f>
        <v>1</v>
      </c>
      <c r="R84" s="28" t="str">
        <f>IFERROR(VLOOKUP(DadosViagem5[[#This Row],[Placa]],[1]DDS!B:C,2,FALSE),"Verificar cadastro")</f>
        <v>Carregado</v>
      </c>
      <c r="S84" s="29" t="s">
        <v>48</v>
      </c>
      <c r="T84" s="23"/>
      <c r="U84" s="30"/>
      <c r="V84" s="31"/>
      <c r="W84" s="32"/>
      <c r="X84" s="33"/>
      <c r="Y84" s="34"/>
      <c r="Z84" s="43"/>
      <c r="AA84" s="20" t="s">
        <v>49</v>
      </c>
      <c r="AB84" s="20" t="s">
        <v>49</v>
      </c>
      <c r="AC84" s="19" t="s">
        <v>49</v>
      </c>
      <c r="AD84" s="19" t="str">
        <f ca="1">IFERROR(DATEDIF(DadosViagem5[[#This Row],[Utimo Bip Reserva]],TODAY(),"D"),"")</f>
        <v/>
      </c>
      <c r="AE84" s="25" t="s">
        <v>49</v>
      </c>
      <c r="AF84" s="25" t="s">
        <v>49</v>
      </c>
      <c r="AG84" s="36"/>
      <c r="AH84" s="25">
        <v>45807</v>
      </c>
      <c r="AI84" s="36" t="str">
        <f>IF(DadosViagem5[[#This Row],[Dias em manutenção ]]&lt;5,"Dentro do Prazo","Fora do Prazo")</f>
        <v>Fora do Prazo</v>
      </c>
      <c r="AJ84" s="36" t="e">
        <v>#REF!</v>
      </c>
    </row>
    <row r="85" spans="1:36">
      <c r="A85" s="19" t="s">
        <v>203</v>
      </c>
      <c r="B85" s="20"/>
      <c r="C85" s="19" t="s">
        <v>51</v>
      </c>
      <c r="D85" s="19" t="s">
        <v>52</v>
      </c>
      <c r="E85" s="19" t="s">
        <v>53</v>
      </c>
      <c r="F85" s="19" t="s">
        <v>40</v>
      </c>
      <c r="G85" s="19"/>
      <c r="H85" s="20">
        <v>2022</v>
      </c>
      <c r="I85" s="19" t="s">
        <v>41</v>
      </c>
      <c r="J85" s="19" t="s">
        <v>182</v>
      </c>
      <c r="K85" s="21" t="s">
        <v>183</v>
      </c>
      <c r="L85" s="22" t="s">
        <v>146</v>
      </c>
      <c r="M85" s="23" t="s">
        <v>45</v>
      </c>
      <c r="N85" s="25" t="s">
        <v>184</v>
      </c>
      <c r="O85" s="25" t="s">
        <v>148</v>
      </c>
      <c r="P85" s="26">
        <f ca="1">IFERROR(VLOOKUP(DadosViagem5[[#This Row],[Placa]],[1]BIP!A:E,5,FALSE),"")</f>
        <v>45989</v>
      </c>
      <c r="Q85" s="27">
        <f ca="1">DATEDIF(DadosViagem5[[#This Row],[BIP]],TODAY(),"D")</f>
        <v>1</v>
      </c>
      <c r="R85" s="28" t="str">
        <f>IFERROR(VLOOKUP(DadosViagem5[[#This Row],[Placa]],[1]DDS!B:C,2,FALSE),"Verificar cadastro")</f>
        <v>Carregado</v>
      </c>
      <c r="S85" s="29" t="s">
        <v>48</v>
      </c>
      <c r="T85" s="23"/>
      <c r="U85" s="30"/>
      <c r="V85" s="31"/>
      <c r="W85" s="32"/>
      <c r="X85" s="33"/>
      <c r="Y85" s="34"/>
      <c r="Z85" s="32"/>
      <c r="AA85" s="20" t="s">
        <v>49</v>
      </c>
      <c r="AB85" s="20" t="s">
        <v>49</v>
      </c>
      <c r="AC85" s="20" t="s">
        <v>49</v>
      </c>
      <c r="AD85" s="20" t="s">
        <v>49</v>
      </c>
      <c r="AE85" s="61" t="s">
        <v>204</v>
      </c>
      <c r="AF85" s="25" t="s">
        <v>49</v>
      </c>
      <c r="AG85" s="36" t="s">
        <v>205</v>
      </c>
      <c r="AH85" s="25">
        <v>45807</v>
      </c>
      <c r="AI85" s="36" t="str">
        <f>IF(DadosViagem5[[#This Row],[Dias em manutenção ]]&lt;5,"Dentro do Prazo","Fora do Prazo")</f>
        <v>Fora do Prazo</v>
      </c>
      <c r="AJ85" s="36" t="e">
        <v>#REF!</v>
      </c>
    </row>
    <row r="86" spans="1:36">
      <c r="A86" s="19" t="s">
        <v>206</v>
      </c>
      <c r="B86" s="20"/>
      <c r="C86" s="19" t="s">
        <v>51</v>
      </c>
      <c r="D86" s="19" t="s">
        <v>52</v>
      </c>
      <c r="E86" s="19" t="s">
        <v>53</v>
      </c>
      <c r="F86" s="19" t="s">
        <v>40</v>
      </c>
      <c r="G86" s="19"/>
      <c r="H86" s="20">
        <v>2022</v>
      </c>
      <c r="I86" s="19" t="s">
        <v>41</v>
      </c>
      <c r="J86" s="19" t="s">
        <v>182</v>
      </c>
      <c r="K86" s="38" t="s">
        <v>183</v>
      </c>
      <c r="L86" s="22" t="s">
        <v>146</v>
      </c>
      <c r="M86" s="23" t="s">
        <v>45</v>
      </c>
      <c r="N86" s="25" t="s">
        <v>184</v>
      </c>
      <c r="O86" s="25" t="s">
        <v>148</v>
      </c>
      <c r="P86" s="26">
        <f ca="1">IFERROR(VLOOKUP(DadosViagem5[[#This Row],[Placa]],[1]BIP!A:E,5,FALSE),"")</f>
        <v>0</v>
      </c>
      <c r="Q86" s="27">
        <f ca="1">DATEDIF(DadosViagem5[[#This Row],[BIP]],TODAY(),"D")</f>
        <v>45990</v>
      </c>
      <c r="R86" s="28" t="str">
        <f>IFERROR(VLOOKUP(DadosViagem5[[#This Row],[Placa]],[1]DDS!B:C,2,FALSE),"Verificar cadastro")</f>
        <v> </v>
      </c>
      <c r="S86" s="29" t="s">
        <v>48</v>
      </c>
      <c r="T86" s="23"/>
      <c r="U86" s="30"/>
      <c r="V86" s="31"/>
      <c r="W86" s="32"/>
      <c r="X86" s="33"/>
      <c r="Y86" s="34"/>
      <c r="Z86" s="42"/>
      <c r="AA86" s="20" t="s">
        <v>49</v>
      </c>
      <c r="AB86" s="20" t="s">
        <v>49</v>
      </c>
      <c r="AC86" s="20" t="s">
        <v>49</v>
      </c>
      <c r="AD86" s="20" t="s">
        <v>49</v>
      </c>
      <c r="AE86" s="36" t="s">
        <v>49</v>
      </c>
      <c r="AF86" s="25" t="s">
        <v>49</v>
      </c>
      <c r="AG86" s="36"/>
      <c r="AH86" s="25">
        <v>45807</v>
      </c>
      <c r="AI86" s="36" t="str">
        <f>IF(DadosViagem5[[#This Row],[Dias em manutenção ]]&lt;5,"Dentro do Prazo","Fora do Prazo")</f>
        <v>Fora do Prazo</v>
      </c>
      <c r="AJ86" s="36" t="e">
        <v>#REF!</v>
      </c>
    </row>
    <row r="87" spans="1:36">
      <c r="A87" s="19" t="s">
        <v>207</v>
      </c>
      <c r="B87" s="20"/>
      <c r="C87" s="19" t="s">
        <v>51</v>
      </c>
      <c r="D87" s="19" t="s">
        <v>52</v>
      </c>
      <c r="E87" s="19" t="s">
        <v>53</v>
      </c>
      <c r="F87" s="19" t="s">
        <v>40</v>
      </c>
      <c r="G87" s="19"/>
      <c r="H87" s="20">
        <v>2023</v>
      </c>
      <c r="I87" s="19" t="s">
        <v>41</v>
      </c>
      <c r="J87" s="19" t="s">
        <v>182</v>
      </c>
      <c r="K87" s="21" t="s">
        <v>183</v>
      </c>
      <c r="L87" s="22" t="s">
        <v>146</v>
      </c>
      <c r="M87" s="23" t="s">
        <v>45</v>
      </c>
      <c r="N87" s="25" t="s">
        <v>184</v>
      </c>
      <c r="O87" s="25" t="s">
        <v>148</v>
      </c>
      <c r="P87" s="26">
        <f ca="1">IFERROR(VLOOKUP(DadosViagem5[[#This Row],[Placa]],[1]BIP!A:E,5,FALSE),"")</f>
        <v>45989</v>
      </c>
      <c r="Q87" s="27">
        <f ca="1">DATEDIF(DadosViagem5[[#This Row],[BIP]],TODAY(),"D")</f>
        <v>1</v>
      </c>
      <c r="R87" s="28" t="str">
        <f>IFERROR(VLOOKUP(DadosViagem5[[#This Row],[Placa]],[1]DDS!B:C,2,FALSE),"Verificar cadastro")</f>
        <v>Carregado</v>
      </c>
      <c r="S87" s="29" t="s">
        <v>48</v>
      </c>
      <c r="T87" s="23"/>
      <c r="U87" s="30"/>
      <c r="V87" s="31"/>
      <c r="W87" s="32" t="s">
        <v>208</v>
      </c>
      <c r="X87" s="33"/>
      <c r="Y87" s="34"/>
      <c r="Z87" s="32"/>
      <c r="AA87" s="20" t="s">
        <v>49</v>
      </c>
      <c r="AB87" s="20" t="s">
        <v>49</v>
      </c>
      <c r="AC87" s="19" t="s">
        <v>49</v>
      </c>
      <c r="AD87" s="19" t="str">
        <f ca="1">IFERROR(DATEDIF(DadosViagem5[[#This Row],[Utimo Bip Reserva]],TODAY(),"D"),"")</f>
        <v/>
      </c>
      <c r="AE87" s="62"/>
      <c r="AF87" s="25"/>
      <c r="AG87" s="36"/>
      <c r="AH87" s="25">
        <v>45807</v>
      </c>
      <c r="AI87" s="36" t="str">
        <f>IF(DadosViagem5[[#This Row],[Dias em manutenção ]]&lt;5,"Dentro do Prazo","Fora do Prazo")</f>
        <v>Fora do Prazo</v>
      </c>
      <c r="AJ87" s="36" t="e">
        <v>#REF!</v>
      </c>
    </row>
    <row r="88" spans="1:36">
      <c r="A88" s="19" t="s">
        <v>209</v>
      </c>
      <c r="B88" s="20"/>
      <c r="C88" s="19" t="s">
        <v>74</v>
      </c>
      <c r="D88" s="19" t="s">
        <v>52</v>
      </c>
      <c r="E88" s="19" t="s">
        <v>75</v>
      </c>
      <c r="F88" s="19" t="s">
        <v>76</v>
      </c>
      <c r="G88" s="19"/>
      <c r="H88" s="20">
        <v>2025</v>
      </c>
      <c r="I88" s="19" t="s">
        <v>41</v>
      </c>
      <c r="J88" s="19" t="s">
        <v>182</v>
      </c>
      <c r="K88" s="21" t="s">
        <v>183</v>
      </c>
      <c r="L88" s="22" t="s">
        <v>146</v>
      </c>
      <c r="M88" s="23" t="s">
        <v>77</v>
      </c>
      <c r="N88" s="25" t="s">
        <v>184</v>
      </c>
      <c r="O88" s="25" t="s">
        <v>148</v>
      </c>
      <c r="P88" s="26">
        <f ca="1">IFERROR(VLOOKUP(DadosViagem5[[#This Row],[Placa]],[1]BIP!A:E,5,FALSE),"")</f>
        <v>45989</v>
      </c>
      <c r="Q88" s="27">
        <f ca="1">DATEDIF(DadosViagem5[[#This Row],[BIP]],TODAY(),"D")</f>
        <v>1</v>
      </c>
      <c r="R88" s="28" t="str">
        <f>IFERROR(VLOOKUP(DadosViagem5[[#This Row],[Placa]],[1]DDS!B:C,2,FALSE),"Verificar cadastro")</f>
        <v>Carregado</v>
      </c>
      <c r="S88" s="29" t="s">
        <v>48</v>
      </c>
      <c r="T88" s="23"/>
      <c r="U88" s="30"/>
      <c r="V88" s="31"/>
      <c r="W88" s="32"/>
      <c r="X88" s="33"/>
      <c r="Y88" s="34"/>
      <c r="Z88" s="32"/>
      <c r="AA88" s="20" t="s">
        <v>49</v>
      </c>
      <c r="AB88" s="20" t="s">
        <v>49</v>
      </c>
      <c r="AC88" s="19" t="s">
        <v>49</v>
      </c>
      <c r="AD88" s="19" t="str">
        <f ca="1">IFERROR(DATEDIF(DadosViagem5[[#This Row],[Utimo Bip Reserva]],TODAY(),"D"),"")</f>
        <v/>
      </c>
      <c r="AE88" s="36"/>
      <c r="AF88" s="25"/>
      <c r="AG88" s="36"/>
      <c r="AH88" s="25">
        <v>45807</v>
      </c>
      <c r="AI88" s="36" t="str">
        <f>IF(DadosViagem5[[#This Row],[Dias em manutenção ]]&lt;5,"Dentro do Prazo","Fora do Prazo")</f>
        <v>Fora do Prazo</v>
      </c>
      <c r="AJ88" s="36" t="e">
        <v>#REF!</v>
      </c>
    </row>
    <row r="89" spans="1:36">
      <c r="A89" s="19" t="s">
        <v>210</v>
      </c>
      <c r="B89" s="20"/>
      <c r="C89" s="19" t="s">
        <v>51</v>
      </c>
      <c r="D89" s="19" t="s">
        <v>52</v>
      </c>
      <c r="E89" s="19" t="s">
        <v>53</v>
      </c>
      <c r="F89" s="19" t="s">
        <v>40</v>
      </c>
      <c r="G89" s="19"/>
      <c r="H89" s="20">
        <v>2022</v>
      </c>
      <c r="I89" s="19" t="s">
        <v>41</v>
      </c>
      <c r="J89" s="19" t="s">
        <v>182</v>
      </c>
      <c r="K89" s="21" t="s">
        <v>183</v>
      </c>
      <c r="L89" s="22" t="s">
        <v>146</v>
      </c>
      <c r="M89" s="23" t="s">
        <v>45</v>
      </c>
      <c r="N89" s="25" t="s">
        <v>184</v>
      </c>
      <c r="O89" s="25" t="s">
        <v>148</v>
      </c>
      <c r="P89" s="26">
        <f ca="1">IFERROR(VLOOKUP(DadosViagem5[[#This Row],[Placa]],[1]BIP!A:E,5,FALSE),"")</f>
        <v>45989</v>
      </c>
      <c r="Q89" s="27">
        <f ca="1">DATEDIF(DadosViagem5[[#This Row],[BIP]],TODAY(),"D")</f>
        <v>1</v>
      </c>
      <c r="R89" s="28" t="str">
        <f>IFERROR(VLOOKUP(DadosViagem5[[#This Row],[Placa]],[1]DDS!B:C,2,FALSE),"Verificar cadastro")</f>
        <v>Carregado</v>
      </c>
      <c r="S89" s="29" t="s">
        <v>48</v>
      </c>
      <c r="T89" s="23"/>
      <c r="U89" s="30"/>
      <c r="V89" s="31"/>
      <c r="W89" s="32"/>
      <c r="X89" s="33"/>
      <c r="Y89" s="34"/>
      <c r="Z89" s="32"/>
      <c r="AA89" s="20" t="s">
        <v>49</v>
      </c>
      <c r="AB89" s="20" t="s">
        <v>49</v>
      </c>
      <c r="AC89" s="19" t="s">
        <v>49</v>
      </c>
      <c r="AD89" s="19" t="str">
        <f ca="1">IFERROR(DATEDIF(DadosViagem5[[#This Row],[Utimo Bip Reserva]],TODAY(),"D"),"")</f>
        <v/>
      </c>
      <c r="AE89" s="36" t="s">
        <v>49</v>
      </c>
      <c r="AF89" s="25" t="s">
        <v>49</v>
      </c>
      <c r="AG89" s="36"/>
      <c r="AH89" s="25">
        <v>45807</v>
      </c>
      <c r="AI89" s="36" t="str">
        <f>IF(DadosViagem5[[#This Row],[Dias em manutenção ]]&lt;5,"Dentro do Prazo","Fora do Prazo")</f>
        <v>Fora do Prazo</v>
      </c>
      <c r="AJ89" s="36" t="e">
        <v>#REF!</v>
      </c>
    </row>
    <row r="90" spans="1:36">
      <c r="A90" s="19" t="s">
        <v>211</v>
      </c>
      <c r="B90" s="20"/>
      <c r="C90" s="19" t="s">
        <v>51</v>
      </c>
      <c r="D90" s="19" t="s">
        <v>52</v>
      </c>
      <c r="E90" s="19" t="s">
        <v>53</v>
      </c>
      <c r="F90" s="19" t="s">
        <v>40</v>
      </c>
      <c r="G90" s="19"/>
      <c r="H90" s="20">
        <v>2022</v>
      </c>
      <c r="I90" s="19" t="s">
        <v>41</v>
      </c>
      <c r="J90" s="19" t="s">
        <v>182</v>
      </c>
      <c r="K90" s="38" t="s">
        <v>183</v>
      </c>
      <c r="L90" s="22" t="s">
        <v>146</v>
      </c>
      <c r="M90" s="23" t="s">
        <v>45</v>
      </c>
      <c r="N90" s="25" t="s">
        <v>184</v>
      </c>
      <c r="O90" s="25" t="s">
        <v>148</v>
      </c>
      <c r="P90" s="26">
        <f ca="1">IFERROR(VLOOKUP(DadosViagem5[[#This Row],[Placa]],[1]BIP!A:E,5,FALSE),"")</f>
        <v>45989</v>
      </c>
      <c r="Q90" s="27">
        <f ca="1">DATEDIF(DadosViagem5[[#This Row],[BIP]],TODAY(),"D")</f>
        <v>1</v>
      </c>
      <c r="R90" s="28" t="str">
        <f>IFERROR(VLOOKUP(DadosViagem5[[#This Row],[Placa]],[1]DDS!B:C,2,FALSE),"Verificar cadastro")</f>
        <v>Carregado</v>
      </c>
      <c r="S90" s="29" t="s">
        <v>48</v>
      </c>
      <c r="T90" s="23"/>
      <c r="U90" s="30"/>
      <c r="V90" s="31"/>
      <c r="W90" s="32"/>
      <c r="X90" s="33"/>
      <c r="Y90" s="34"/>
      <c r="Z90" s="32"/>
      <c r="AA90" s="20" t="s">
        <v>49</v>
      </c>
      <c r="AB90" s="20" t="s">
        <v>49</v>
      </c>
      <c r="AC90" s="19" t="s">
        <v>49</v>
      </c>
      <c r="AD90" s="19" t="str">
        <f ca="1">IFERROR(DATEDIF(DadosViagem5[[#This Row],[Utimo Bip Reserva]],TODAY(),"D"),"")</f>
        <v/>
      </c>
      <c r="AE90" s="35" t="s">
        <v>49</v>
      </c>
      <c r="AF90" s="35" t="s">
        <v>49</v>
      </c>
      <c r="AG90" s="36"/>
      <c r="AH90" s="25">
        <v>45807</v>
      </c>
      <c r="AI90" s="36" t="str">
        <f>IF(DadosViagem5[[#This Row],[Dias em manutenção ]]&lt;5,"Dentro do Prazo","Fora do Prazo")</f>
        <v>Fora do Prazo</v>
      </c>
      <c r="AJ90" s="36" t="e">
        <v>#REF!</v>
      </c>
    </row>
    <row r="91" spans="1:36">
      <c r="A91" s="19" t="s">
        <v>212</v>
      </c>
      <c r="B91" s="20"/>
      <c r="C91" s="19" t="s">
        <v>74</v>
      </c>
      <c r="D91" s="19" t="s">
        <v>52</v>
      </c>
      <c r="E91" s="19" t="s">
        <v>75</v>
      </c>
      <c r="F91" s="19" t="s">
        <v>76</v>
      </c>
      <c r="G91" s="19"/>
      <c r="H91" s="20">
        <v>2023</v>
      </c>
      <c r="I91" s="19" t="s">
        <v>41</v>
      </c>
      <c r="J91" s="19" t="s">
        <v>182</v>
      </c>
      <c r="K91" s="38" t="s">
        <v>183</v>
      </c>
      <c r="L91" s="53" t="s">
        <v>146</v>
      </c>
      <c r="M91" s="23" t="s">
        <v>77</v>
      </c>
      <c r="N91" s="25" t="s">
        <v>184</v>
      </c>
      <c r="O91" s="25" t="s">
        <v>148</v>
      </c>
      <c r="P91" s="26" t="str">
        <f>IFERROR(VLOOKUP(DadosViagem5[[#This Row],[Placa]],[1]BIP!A:E,5,FALSE),"")</f>
        <v/>
      </c>
      <c r="Q91" s="27" t="e">
        <f ca="1">DATEDIF(DadosViagem5[[#This Row],[BIP]],TODAY(),"D")</f>
        <v>#VALUE!</v>
      </c>
      <c r="R91" s="28" t="str">
        <f>IFERROR(VLOOKUP(DadosViagem5[[#This Row],[Placa]],[1]DDS!B:C,2,FALSE),"Verificar cadastro")</f>
        <v>Manutenção</v>
      </c>
      <c r="S91" s="29" t="s">
        <v>48</v>
      </c>
      <c r="T91" s="23"/>
      <c r="U91" s="30"/>
      <c r="V91" s="31"/>
      <c r="W91" s="32"/>
      <c r="X91" s="33"/>
      <c r="Y91" s="34"/>
      <c r="Z91" s="32"/>
      <c r="AA91" s="20" t="s">
        <v>49</v>
      </c>
      <c r="AB91" s="20" t="s">
        <v>49</v>
      </c>
      <c r="AC91" s="20" t="s">
        <v>49</v>
      </c>
      <c r="AD91" s="20" t="s">
        <v>49</v>
      </c>
      <c r="AE91" s="36"/>
      <c r="AF91" s="25"/>
      <c r="AG91" s="36"/>
      <c r="AH91" s="25">
        <v>45807</v>
      </c>
      <c r="AI91" s="36" t="str">
        <f>IF(DadosViagem5[[#This Row],[Dias em manutenção ]]&lt;5,"Dentro do Prazo","Fora do Prazo")</f>
        <v>Fora do Prazo</v>
      </c>
      <c r="AJ91" s="36" t="e">
        <v>#REF!</v>
      </c>
    </row>
    <row r="92" spans="1:36">
      <c r="A92" s="19" t="s">
        <v>213</v>
      </c>
      <c r="B92" s="20"/>
      <c r="C92" s="19" t="s">
        <v>74</v>
      </c>
      <c r="D92" s="19" t="s">
        <v>52</v>
      </c>
      <c r="E92" s="19" t="s">
        <v>75</v>
      </c>
      <c r="F92" s="19" t="s">
        <v>76</v>
      </c>
      <c r="G92" s="19"/>
      <c r="H92" s="20">
        <v>2023</v>
      </c>
      <c r="I92" s="19" t="s">
        <v>41</v>
      </c>
      <c r="J92" s="19" t="s">
        <v>182</v>
      </c>
      <c r="K92" s="21" t="s">
        <v>183</v>
      </c>
      <c r="L92" s="22" t="s">
        <v>146</v>
      </c>
      <c r="M92" s="23" t="s">
        <v>77</v>
      </c>
      <c r="N92" s="25" t="s">
        <v>184</v>
      </c>
      <c r="O92" s="25" t="s">
        <v>148</v>
      </c>
      <c r="P92" s="26">
        <f ca="1">IFERROR(VLOOKUP(DadosViagem5[[#This Row],[Placa]],[1]BIP!A:E,5,FALSE),"")</f>
        <v>0</v>
      </c>
      <c r="Q92" s="27">
        <f ca="1">DATEDIF(DadosViagem5[[#This Row],[BIP]],TODAY(),"D")</f>
        <v>45990</v>
      </c>
      <c r="R92" s="28" t="str">
        <f>IFERROR(VLOOKUP(DadosViagem5[[#This Row],[Placa]],[1]DDS!B:C,2,FALSE),"Verificar cadastro")</f>
        <v>Manutenção</v>
      </c>
      <c r="S92" s="29" t="s">
        <v>48</v>
      </c>
      <c r="T92" s="23"/>
      <c r="U92" s="30"/>
      <c r="V92" s="31"/>
      <c r="W92" s="32"/>
      <c r="X92" s="33"/>
      <c r="Y92" s="34"/>
      <c r="Z92" s="32"/>
      <c r="AA92" s="20" t="s">
        <v>49</v>
      </c>
      <c r="AB92" s="20" t="s">
        <v>49</v>
      </c>
      <c r="AC92" s="20" t="s">
        <v>49</v>
      </c>
      <c r="AD92" s="20" t="s">
        <v>49</v>
      </c>
      <c r="AE92" s="36"/>
      <c r="AF92" s="25"/>
      <c r="AG92" s="36"/>
      <c r="AH92" s="25">
        <v>45807</v>
      </c>
      <c r="AI92" s="36" t="str">
        <f>IF(DadosViagem5[[#This Row],[Dias em manutenção ]]&lt;5,"Dentro do Prazo","Fora do Prazo")</f>
        <v>Fora do Prazo</v>
      </c>
      <c r="AJ92" s="36" t="e">
        <v>#REF!</v>
      </c>
    </row>
    <row r="93" spans="1:36">
      <c r="A93" s="19" t="s">
        <v>214</v>
      </c>
      <c r="B93" s="20"/>
      <c r="C93" s="19" t="s">
        <v>51</v>
      </c>
      <c r="D93" s="19" t="s">
        <v>52</v>
      </c>
      <c r="E93" s="19" t="s">
        <v>53</v>
      </c>
      <c r="F93" s="19" t="s">
        <v>40</v>
      </c>
      <c r="G93" s="19"/>
      <c r="H93" s="20">
        <v>2022</v>
      </c>
      <c r="I93" s="19" t="s">
        <v>41</v>
      </c>
      <c r="J93" s="19" t="s">
        <v>182</v>
      </c>
      <c r="K93" s="21" t="s">
        <v>183</v>
      </c>
      <c r="L93" s="22" t="s">
        <v>146</v>
      </c>
      <c r="M93" s="23" t="s">
        <v>45</v>
      </c>
      <c r="N93" s="25" t="s">
        <v>184</v>
      </c>
      <c r="O93" s="25" t="s">
        <v>148</v>
      </c>
      <c r="P93" s="26">
        <f ca="1">IFERROR(VLOOKUP(DadosViagem5[[#This Row],[Placa]],[1]BIP!A:E,5,FALSE),"")</f>
        <v>0</v>
      </c>
      <c r="Q93" s="27">
        <f ca="1">DATEDIF(DadosViagem5[[#This Row],[BIP]],TODAY(),"D")</f>
        <v>45990</v>
      </c>
      <c r="R93" s="28" t="str">
        <f>IFERROR(VLOOKUP(DadosViagem5[[#This Row],[Placa]],[1]DDS!B:C,2,FALSE),"Verificar cadastro")</f>
        <v> </v>
      </c>
      <c r="S93" s="29" t="s">
        <v>48</v>
      </c>
      <c r="T93" s="23"/>
      <c r="U93" s="30"/>
      <c r="V93" s="31"/>
      <c r="W93" s="32"/>
      <c r="X93" s="33"/>
      <c r="Y93" s="34"/>
      <c r="Z93" s="32"/>
      <c r="AA93" s="20" t="s">
        <v>49</v>
      </c>
      <c r="AB93" s="20" t="s">
        <v>49</v>
      </c>
      <c r="AC93" s="19" t="s">
        <v>49</v>
      </c>
      <c r="AD93" s="19" t="str">
        <f ca="1">IFERROR(DATEDIF(DadosViagem5[[#This Row],[Utimo Bip Reserva]],TODAY(),"D"),"")</f>
        <v/>
      </c>
      <c r="AE93" s="36" t="s">
        <v>215</v>
      </c>
      <c r="AF93" s="25" t="s">
        <v>49</v>
      </c>
      <c r="AG93" s="36"/>
      <c r="AH93" s="25">
        <v>45807</v>
      </c>
      <c r="AI93" s="36" t="str">
        <f>IF(DadosViagem5[[#This Row],[Dias em manutenção ]]&lt;5,"Dentro do Prazo","Fora do Prazo")</f>
        <v>Fora do Prazo</v>
      </c>
      <c r="AJ93" s="36" t="e">
        <v>#REF!</v>
      </c>
    </row>
    <row r="94" spans="1:36">
      <c r="A94" s="19" t="s">
        <v>216</v>
      </c>
      <c r="B94" s="20"/>
      <c r="C94" s="19" t="s">
        <v>217</v>
      </c>
      <c r="D94" s="19" t="s">
        <v>52</v>
      </c>
      <c r="E94" s="19" t="s">
        <v>75</v>
      </c>
      <c r="F94" s="19" t="s">
        <v>76</v>
      </c>
      <c r="G94" s="19"/>
      <c r="H94" s="20">
        <v>2024</v>
      </c>
      <c r="I94" s="19" t="s">
        <v>41</v>
      </c>
      <c r="J94" s="19" t="s">
        <v>182</v>
      </c>
      <c r="K94" s="21" t="s">
        <v>183</v>
      </c>
      <c r="L94" s="22" t="s">
        <v>146</v>
      </c>
      <c r="M94" s="23" t="s">
        <v>77</v>
      </c>
      <c r="N94" s="25" t="s">
        <v>184</v>
      </c>
      <c r="O94" s="25" t="s">
        <v>148</v>
      </c>
      <c r="P94" s="26">
        <f ca="1">IFERROR(VLOOKUP(DadosViagem5[[#This Row],[Placa]],[1]BIP!A:E,5,FALSE),"")</f>
        <v>0</v>
      </c>
      <c r="Q94" s="27">
        <f ca="1">DATEDIF(DadosViagem5[[#This Row],[BIP]],TODAY(),"D")</f>
        <v>45990</v>
      </c>
      <c r="R94" s="28"/>
      <c r="S94" s="29" t="s">
        <v>48</v>
      </c>
      <c r="T94" s="23"/>
      <c r="U94" s="30"/>
      <c r="V94" s="31"/>
      <c r="W94" s="32"/>
      <c r="X94" s="33"/>
      <c r="Y94" s="34"/>
      <c r="Z94" s="32"/>
      <c r="AA94" s="20" t="s">
        <v>49</v>
      </c>
      <c r="AB94" s="20" t="s">
        <v>49</v>
      </c>
      <c r="AC94" s="19" t="s">
        <v>49</v>
      </c>
      <c r="AD94" s="19" t="str">
        <f ca="1">IFERROR(DATEDIF(DadosViagem5[[#This Row],[Utimo Bip Reserva]],TODAY(),"D"),"")</f>
        <v/>
      </c>
      <c r="AE94" s="36"/>
      <c r="AF94" s="25"/>
      <c r="AG94" s="36"/>
      <c r="AH94" s="25">
        <v>45807</v>
      </c>
      <c r="AI94" s="36" t="str">
        <f>IF(DadosViagem5[[#This Row],[Dias em manutenção ]]&lt;5,"Dentro do Prazo","Fora do Prazo")</f>
        <v>Fora do Prazo</v>
      </c>
      <c r="AJ94" s="36" t="e">
        <v>#REF!</v>
      </c>
    </row>
    <row r="95" spans="1:36">
      <c r="A95" s="19" t="s">
        <v>218</v>
      </c>
      <c r="B95" s="20"/>
      <c r="C95" s="19" t="s">
        <v>74</v>
      </c>
      <c r="D95" s="19" t="s">
        <v>52</v>
      </c>
      <c r="E95" s="19" t="s">
        <v>75</v>
      </c>
      <c r="F95" s="19" t="s">
        <v>76</v>
      </c>
      <c r="G95" s="19"/>
      <c r="H95" s="20">
        <v>2025</v>
      </c>
      <c r="I95" s="19" t="s">
        <v>41</v>
      </c>
      <c r="J95" s="19" t="s">
        <v>219</v>
      </c>
      <c r="K95" s="38" t="s">
        <v>220</v>
      </c>
      <c r="L95" s="22" t="s">
        <v>146</v>
      </c>
      <c r="M95" s="23" t="s">
        <v>77</v>
      </c>
      <c r="N95" s="36" t="s">
        <v>221</v>
      </c>
      <c r="O95" s="36" t="s">
        <v>148</v>
      </c>
      <c r="P95" s="26">
        <f ca="1">IFERROR(VLOOKUP(DadosViagem5[[#This Row],[Placa]],[1]BIP!A:E,5,FALSE),"")</f>
        <v>45989</v>
      </c>
      <c r="Q95" s="27">
        <f ca="1">DATEDIF(DadosViagem5[[#This Row],[BIP]],TODAY(),"D")</f>
        <v>1</v>
      </c>
      <c r="R95" s="28" t="str">
        <f>IFERROR(VLOOKUP(DadosViagem5[[#This Row],[Placa]],[1]DDS!B:C,2,FALSE),"Verificar cadastro")</f>
        <v>Carregado</v>
      </c>
      <c r="S95" s="29" t="s">
        <v>48</v>
      </c>
      <c r="T95" s="23"/>
      <c r="U95" s="30"/>
      <c r="V95" s="31"/>
      <c r="W95" s="32"/>
      <c r="X95" s="33"/>
      <c r="Y95" s="34"/>
      <c r="Z95" s="32"/>
      <c r="AA95" s="20" t="s">
        <v>49</v>
      </c>
      <c r="AB95" s="20" t="s">
        <v>49</v>
      </c>
      <c r="AC95" s="19" t="s">
        <v>49</v>
      </c>
      <c r="AD95" s="19" t="str">
        <f ca="1">IFERROR(DATEDIF(DadosViagem5[[#This Row],[Utimo Bip Reserva]],TODAY(),"D"),"")</f>
        <v/>
      </c>
      <c r="AE95" s="36"/>
      <c r="AF95" s="25"/>
      <c r="AG95" s="36"/>
      <c r="AH95" s="25">
        <v>45807</v>
      </c>
      <c r="AI95" s="36" t="str">
        <f>IF(DadosViagem5[[#This Row],[Dias em manutenção ]]&lt;5,"Dentro do Prazo","Fora do Prazo")</f>
        <v>Fora do Prazo</v>
      </c>
      <c r="AJ95" s="36" t="e">
        <v>#REF!</v>
      </c>
    </row>
    <row r="96" spans="1:36">
      <c r="A96" s="19" t="s">
        <v>222</v>
      </c>
      <c r="B96" s="20"/>
      <c r="C96" s="19" t="s">
        <v>74</v>
      </c>
      <c r="D96" s="19" t="s">
        <v>52</v>
      </c>
      <c r="E96" s="19" t="s">
        <v>75</v>
      </c>
      <c r="F96" s="19" t="s">
        <v>76</v>
      </c>
      <c r="G96" s="19"/>
      <c r="H96" s="20">
        <v>2023</v>
      </c>
      <c r="I96" s="19" t="s">
        <v>41</v>
      </c>
      <c r="J96" s="21" t="s">
        <v>219</v>
      </c>
      <c r="K96" s="38" t="s">
        <v>220</v>
      </c>
      <c r="L96" s="53" t="s">
        <v>146</v>
      </c>
      <c r="M96" s="23" t="s">
        <v>77</v>
      </c>
      <c r="N96" s="36" t="s">
        <v>221</v>
      </c>
      <c r="O96" s="25" t="s">
        <v>148</v>
      </c>
      <c r="P96" s="26">
        <f ca="1">IFERROR(VLOOKUP(DadosViagem5[[#This Row],[Placa]],[1]BIP!A:E,5,FALSE),"")</f>
        <v>45989</v>
      </c>
      <c r="Q96" s="27">
        <f ca="1">DATEDIF(DadosViagem5[[#This Row],[BIP]],TODAY(),"D")</f>
        <v>1</v>
      </c>
      <c r="R96" s="28" t="str">
        <f>IFERROR(VLOOKUP(DadosViagem5[[#This Row],[Placa]],[1]DDS!B:C,2,FALSE),"Verificar cadastro")</f>
        <v>Carregado</v>
      </c>
      <c r="S96" s="29" t="s">
        <v>48</v>
      </c>
      <c r="T96" s="23"/>
      <c r="U96" s="30"/>
      <c r="V96" s="31"/>
      <c r="W96" s="32"/>
      <c r="X96" s="33"/>
      <c r="Y96" s="34"/>
      <c r="Z96" s="32"/>
      <c r="AA96" s="20" t="s">
        <v>49</v>
      </c>
      <c r="AB96" s="20" t="s">
        <v>49</v>
      </c>
      <c r="AC96" s="20" t="s">
        <v>49</v>
      </c>
      <c r="AD96" s="20" t="s">
        <v>49</v>
      </c>
      <c r="AE96" s="36"/>
      <c r="AF96" s="25"/>
      <c r="AG96" s="36"/>
      <c r="AH96" s="25">
        <v>45807</v>
      </c>
      <c r="AI96" s="36" t="str">
        <f>IF(DadosViagem5[[#This Row],[Dias em manutenção ]]&lt;5,"Dentro do Prazo","Fora do Prazo")</f>
        <v>Fora do Prazo</v>
      </c>
      <c r="AJ96" s="36" t="e">
        <v>#REF!</v>
      </c>
    </row>
    <row r="97" spans="1:36">
      <c r="A97" s="19" t="s">
        <v>223</v>
      </c>
      <c r="B97" s="20"/>
      <c r="C97" s="19" t="s">
        <v>51</v>
      </c>
      <c r="D97" s="19" t="s">
        <v>52</v>
      </c>
      <c r="E97" s="19" t="s">
        <v>53</v>
      </c>
      <c r="F97" s="19" t="s">
        <v>40</v>
      </c>
      <c r="G97" s="19"/>
      <c r="H97" s="20">
        <v>2022</v>
      </c>
      <c r="I97" s="19" t="s">
        <v>41</v>
      </c>
      <c r="J97" s="19" t="s">
        <v>219</v>
      </c>
      <c r="K97" s="38" t="s">
        <v>220</v>
      </c>
      <c r="L97" s="22" t="s">
        <v>146</v>
      </c>
      <c r="M97" s="23" t="s">
        <v>45</v>
      </c>
      <c r="N97" s="36" t="s">
        <v>221</v>
      </c>
      <c r="O97" s="40" t="s">
        <v>148</v>
      </c>
      <c r="P97" s="26">
        <f ca="1">IFERROR(VLOOKUP(DadosViagem5[[#This Row],[Placa]],[1]BIP!A:E,5,FALSE),"")</f>
        <v>0</v>
      </c>
      <c r="Q97" s="27">
        <f ca="1">DATEDIF(DadosViagem5[[#This Row],[BIP]],TODAY(),"D")</f>
        <v>45990</v>
      </c>
      <c r="R97" s="28" t="str">
        <f>IFERROR(VLOOKUP(DadosViagem5[[#This Row],[Placa]],[1]DDS!B:C,2,FALSE),"Verificar cadastro")</f>
        <v>Verificar cadastro</v>
      </c>
      <c r="S97" s="29" t="s">
        <v>173</v>
      </c>
      <c r="T97" s="23"/>
      <c r="U97" s="30"/>
      <c r="V97" s="31"/>
      <c r="W97" s="32"/>
      <c r="X97" s="33"/>
      <c r="Y97" s="34"/>
      <c r="Z97" s="42"/>
      <c r="AA97" s="20" t="s">
        <v>49</v>
      </c>
      <c r="AB97" s="20" t="s">
        <v>49</v>
      </c>
      <c r="AC97" s="19" t="s">
        <v>49</v>
      </c>
      <c r="AD97" s="19" t="str">
        <f ca="1">IFERROR(DATEDIF(DadosViagem5[[#This Row],[Utimo Bip Reserva]],TODAY(),"D"),"")</f>
        <v/>
      </c>
      <c r="AE97" s="25" t="s">
        <v>49</v>
      </c>
      <c r="AF97" s="25" t="s">
        <v>49</v>
      </c>
      <c r="AG97" s="30" t="s">
        <v>153</v>
      </c>
      <c r="AH97" s="25">
        <v>45</v>
      </c>
      <c r="AI97" s="36" t="str">
        <f>IF(DadosViagem5[[#This Row],[Dias em manutenção ]]&lt;5,"Dentro do Prazo","Fora do Prazo")</f>
        <v>Fora do Prazo</v>
      </c>
      <c r="AJ97" s="36" t="e">
        <v>#REF!</v>
      </c>
    </row>
    <row r="98" spans="1:36">
      <c r="A98" s="19" t="s">
        <v>224</v>
      </c>
      <c r="B98" s="20"/>
      <c r="C98" s="19" t="s">
        <v>225</v>
      </c>
      <c r="D98" s="19" t="s">
        <v>38</v>
      </c>
      <c r="E98" s="19" t="s">
        <v>39</v>
      </c>
      <c r="F98" s="19" t="s">
        <v>40</v>
      </c>
      <c r="G98" s="19"/>
      <c r="H98" s="20">
        <v>2024</v>
      </c>
      <c r="I98" s="19" t="s">
        <v>41</v>
      </c>
      <c r="J98" s="19" t="s">
        <v>219</v>
      </c>
      <c r="K98" s="38" t="s">
        <v>220</v>
      </c>
      <c r="L98" s="22" t="s">
        <v>146</v>
      </c>
      <c r="M98" s="23" t="s">
        <v>45</v>
      </c>
      <c r="N98" s="36" t="s">
        <v>226</v>
      </c>
      <c r="O98" s="25" t="s">
        <v>148</v>
      </c>
      <c r="P98" s="26">
        <f ca="1">IFERROR(VLOOKUP(DadosViagem5[[#This Row],[Placa]],[1]BIP!A:E,5,FALSE),"")</f>
        <v>45989</v>
      </c>
      <c r="Q98" s="27">
        <f ca="1">DATEDIF(DadosViagem5[[#This Row],[BIP]],TODAY(),"D")</f>
        <v>1</v>
      </c>
      <c r="R98" s="28"/>
      <c r="S98" s="29" t="s">
        <v>48</v>
      </c>
      <c r="T98" s="23"/>
      <c r="U98" s="30"/>
      <c r="V98" s="31">
        <v>45905</v>
      </c>
      <c r="W98" s="32" t="s">
        <v>227</v>
      </c>
      <c r="X98" s="33"/>
      <c r="Y98" s="34"/>
      <c r="Z98" s="58"/>
      <c r="AA98" s="20" t="s">
        <v>49</v>
      </c>
      <c r="AB98" s="20" t="s">
        <v>49</v>
      </c>
      <c r="AC98" s="19" t="s">
        <v>49</v>
      </c>
      <c r="AD98" s="19" t="str">
        <f ca="1">IFERROR(DATEDIF(DadosViagem5[[#This Row],[Utimo Bip Reserva]],TODAY(),"D"),"")</f>
        <v/>
      </c>
      <c r="AE98" s="25" t="s">
        <v>49</v>
      </c>
      <c r="AF98" s="25" t="s">
        <v>49</v>
      </c>
      <c r="AG98" s="36"/>
      <c r="AH98" s="25">
        <v>45807</v>
      </c>
      <c r="AI98" s="36" t="str">
        <f>IF(DadosViagem5[[#This Row],[Dias em manutenção ]]&lt;5,"Dentro do Prazo","Fora do Prazo")</f>
        <v>Fora do Prazo</v>
      </c>
      <c r="AJ98" s="36" t="e">
        <v>#REF!</v>
      </c>
    </row>
    <row r="99" spans="1:36">
      <c r="A99" s="19" t="s">
        <v>228</v>
      </c>
      <c r="B99" s="20"/>
      <c r="C99" s="19" t="s">
        <v>51</v>
      </c>
      <c r="D99" s="19" t="s">
        <v>52</v>
      </c>
      <c r="E99" s="19" t="s">
        <v>53</v>
      </c>
      <c r="F99" s="19" t="s">
        <v>40</v>
      </c>
      <c r="G99" s="19"/>
      <c r="H99" s="20">
        <v>2022</v>
      </c>
      <c r="I99" s="19" t="s">
        <v>41</v>
      </c>
      <c r="J99" s="19" t="s">
        <v>219</v>
      </c>
      <c r="K99" s="21" t="s">
        <v>220</v>
      </c>
      <c r="L99" s="22" t="s">
        <v>146</v>
      </c>
      <c r="M99" s="23" t="s">
        <v>45</v>
      </c>
      <c r="N99" s="36" t="s">
        <v>221</v>
      </c>
      <c r="O99" s="25" t="s">
        <v>148</v>
      </c>
      <c r="P99" s="26">
        <f ca="1">IFERROR(VLOOKUP(DadosViagem5[[#This Row],[Placa]],[1]BIP!A:E,5,FALSE),"")</f>
        <v>0</v>
      </c>
      <c r="Q99" s="27">
        <f ca="1">DATEDIF(DadosViagem5[[#This Row],[BIP]],TODAY(),"D")</f>
        <v>45990</v>
      </c>
      <c r="R99" s="28" t="str">
        <f>IFERROR(VLOOKUP(DadosViagem5[[#This Row],[Placa]],[1]DDS!B:C,2,FALSE),"Verificar cadastro")</f>
        <v>Manutenção</v>
      </c>
      <c r="S99" s="29" t="s">
        <v>48</v>
      </c>
      <c r="T99" s="23"/>
      <c r="U99" s="30"/>
      <c r="V99" s="31"/>
      <c r="W99" s="32"/>
      <c r="X99" s="33"/>
      <c r="Y99" s="34"/>
      <c r="Z99" s="32"/>
      <c r="AA99" s="20" t="s">
        <v>49</v>
      </c>
      <c r="AB99" s="20" t="s">
        <v>49</v>
      </c>
      <c r="AC99" s="19" t="s">
        <v>49</v>
      </c>
      <c r="AD99" s="19" t="str">
        <f ca="1">IFERROR(DATEDIF(DadosViagem5[[#This Row],[Utimo Bip Reserva]],TODAY(),"D"),"")</f>
        <v/>
      </c>
      <c r="AE99" s="36" t="s">
        <v>49</v>
      </c>
      <c r="AF99" s="25" t="s">
        <v>49</v>
      </c>
      <c r="AG99" s="36"/>
      <c r="AH99" s="25">
        <v>45807</v>
      </c>
      <c r="AI99" s="36" t="str">
        <f>IF(DadosViagem5[[#This Row],[Dias em manutenção ]]&lt;5,"Dentro do Prazo","Fora do Prazo")</f>
        <v>Fora do Prazo</v>
      </c>
      <c r="AJ99" s="36" t="e">
        <v>#REF!</v>
      </c>
    </row>
    <row r="100" spans="1:36">
      <c r="A100" s="19" t="s">
        <v>229</v>
      </c>
      <c r="B100" s="20"/>
      <c r="C100" s="19" t="s">
        <v>74</v>
      </c>
      <c r="D100" s="19" t="s">
        <v>52</v>
      </c>
      <c r="E100" s="19" t="s">
        <v>75</v>
      </c>
      <c r="F100" s="19" t="s">
        <v>76</v>
      </c>
      <c r="G100" s="19"/>
      <c r="H100" s="20">
        <v>2023</v>
      </c>
      <c r="I100" s="19" t="s">
        <v>41</v>
      </c>
      <c r="J100" s="19" t="s">
        <v>219</v>
      </c>
      <c r="K100" s="21" t="s">
        <v>220</v>
      </c>
      <c r="L100" s="53" t="s">
        <v>146</v>
      </c>
      <c r="M100" s="23" t="s">
        <v>77</v>
      </c>
      <c r="N100" s="36" t="s">
        <v>221</v>
      </c>
      <c r="O100" s="25" t="s">
        <v>148</v>
      </c>
      <c r="P100" s="26" t="str">
        <f>IFERROR(VLOOKUP(DadosViagem5[[#This Row],[Placa]],[1]BIP!A:E,5,FALSE),"")</f>
        <v/>
      </c>
      <c r="Q100" s="27" t="e">
        <f ca="1">DATEDIF(DadosViagem5[[#This Row],[BIP]],TODAY(),"D")</f>
        <v>#VALUE!</v>
      </c>
      <c r="R100" s="28" t="str">
        <f>IFERROR(VLOOKUP(DadosViagem5[[#This Row],[Placa]],[1]DDS!B:C,2,FALSE),"Verificar cadastro")</f>
        <v>Carregado</v>
      </c>
      <c r="S100" s="29" t="s">
        <v>48</v>
      </c>
      <c r="T100" s="23"/>
      <c r="U100" s="30"/>
      <c r="V100" s="31"/>
      <c r="W100" s="32"/>
      <c r="X100" s="33"/>
      <c r="Y100" s="34"/>
      <c r="Z100" s="32"/>
      <c r="AA100" s="20" t="s">
        <v>49</v>
      </c>
      <c r="AB100" s="20" t="s">
        <v>49</v>
      </c>
      <c r="AC100" s="20" t="s">
        <v>49</v>
      </c>
      <c r="AD100" s="20" t="s">
        <v>49</v>
      </c>
      <c r="AE100" s="36"/>
      <c r="AF100" s="25"/>
      <c r="AG100" s="36"/>
      <c r="AH100" s="25">
        <v>14</v>
      </c>
      <c r="AI100" s="36" t="str">
        <f>IF(DadosViagem5[[#This Row],[Dias em manutenção ]]&lt;5,"Dentro do Prazo","Fora do Prazo")</f>
        <v>Fora do Prazo</v>
      </c>
      <c r="AJ100" s="36" t="e">
        <v>#REF!</v>
      </c>
    </row>
    <row r="101" spans="1:36">
      <c r="A101" s="19" t="s">
        <v>230</v>
      </c>
      <c r="B101" s="20"/>
      <c r="C101" s="19" t="s">
        <v>51</v>
      </c>
      <c r="D101" s="19" t="s">
        <v>52</v>
      </c>
      <c r="E101" s="19" t="s">
        <v>53</v>
      </c>
      <c r="F101" s="19" t="s">
        <v>40</v>
      </c>
      <c r="G101" s="19"/>
      <c r="H101" s="20">
        <v>2022</v>
      </c>
      <c r="I101" s="19" t="s">
        <v>41</v>
      </c>
      <c r="J101" s="19" t="s">
        <v>219</v>
      </c>
      <c r="K101" s="21" t="s">
        <v>220</v>
      </c>
      <c r="L101" s="22" t="s">
        <v>146</v>
      </c>
      <c r="M101" s="46" t="s">
        <v>45</v>
      </c>
      <c r="N101" s="36" t="s">
        <v>221</v>
      </c>
      <c r="O101" s="25" t="s">
        <v>148</v>
      </c>
      <c r="P101" s="26">
        <f ca="1">IFERROR(VLOOKUP(DadosViagem5[[#This Row],[Placa]],[1]BIP!A:E,5,FALSE),"")</f>
        <v>45989</v>
      </c>
      <c r="Q101" s="27">
        <f ca="1">DATEDIF(DadosViagem5[[#This Row],[BIP]],TODAY(),"D")</f>
        <v>1</v>
      </c>
      <c r="R101" s="28" t="str">
        <f>IFERROR(VLOOKUP(DadosViagem5[[#This Row],[Placa]],[1]DDS!B:C,2,FALSE),"Verificar cadastro")</f>
        <v>Carregado</v>
      </c>
      <c r="S101" s="29" t="s">
        <v>48</v>
      </c>
      <c r="T101" s="23"/>
      <c r="U101" s="30"/>
      <c r="V101" s="31"/>
      <c r="W101" s="32"/>
      <c r="X101" s="33"/>
      <c r="Y101" s="34"/>
      <c r="Z101" s="32"/>
      <c r="AA101" s="20" t="s">
        <v>49</v>
      </c>
      <c r="AB101" s="20" t="s">
        <v>49</v>
      </c>
      <c r="AC101" s="19" t="s">
        <v>49</v>
      </c>
      <c r="AD101" s="19" t="str">
        <f ca="1">IFERROR(DATEDIF(DadosViagem5[[#This Row],[Utimo Bip Reserva]],TODAY(),"D"),"")</f>
        <v/>
      </c>
      <c r="AE101" s="36" t="s">
        <v>49</v>
      </c>
      <c r="AF101" s="25" t="s">
        <v>49</v>
      </c>
      <c r="AG101" s="36"/>
      <c r="AH101" s="25">
        <v>11</v>
      </c>
      <c r="AI101" s="36" t="str">
        <f>IF(DadosViagem5[[#This Row],[Dias em manutenção ]]&lt;5,"Dentro do Prazo","Fora do Prazo")</f>
        <v>Fora do Prazo</v>
      </c>
      <c r="AJ101" s="36" t="e">
        <v>#REF!</v>
      </c>
    </row>
    <row r="102" spans="1:36">
      <c r="A102" s="19" t="s">
        <v>231</v>
      </c>
      <c r="B102" s="20"/>
      <c r="C102" s="19" t="s">
        <v>51</v>
      </c>
      <c r="D102" s="19" t="s">
        <v>52</v>
      </c>
      <c r="E102" s="19" t="s">
        <v>53</v>
      </c>
      <c r="F102" s="19" t="s">
        <v>40</v>
      </c>
      <c r="G102" s="19"/>
      <c r="H102" s="20">
        <v>2023</v>
      </c>
      <c r="I102" s="19" t="s">
        <v>41</v>
      </c>
      <c r="J102" s="19" t="s">
        <v>219</v>
      </c>
      <c r="K102" s="21" t="s">
        <v>220</v>
      </c>
      <c r="L102" s="22" t="s">
        <v>146</v>
      </c>
      <c r="M102" s="23" t="s">
        <v>45</v>
      </c>
      <c r="N102" s="36" t="s">
        <v>221</v>
      </c>
      <c r="O102" s="25" t="s">
        <v>148</v>
      </c>
      <c r="P102" s="26">
        <f ca="1">IFERROR(VLOOKUP(DadosViagem5[[#This Row],[Placa]],[1]BIP!A:E,5,FALSE),"")</f>
        <v>45989</v>
      </c>
      <c r="Q102" s="27">
        <f ca="1">DATEDIF(DadosViagem5[[#This Row],[BIP]],TODAY(),"D")</f>
        <v>1</v>
      </c>
      <c r="R102" s="28" t="str">
        <f>IFERROR(VLOOKUP(DadosViagem5[[#This Row],[Placa]],[1]DDS!B:C,2,FALSE),"Verificar cadastro")</f>
        <v>Carregado</v>
      </c>
      <c r="S102" s="29" t="s">
        <v>48</v>
      </c>
      <c r="T102" s="23"/>
      <c r="U102" s="30"/>
      <c r="V102" s="31"/>
      <c r="W102" s="32"/>
      <c r="X102" s="33"/>
      <c r="Y102" s="34"/>
      <c r="Z102" s="63"/>
      <c r="AA102" s="20" t="s">
        <v>49</v>
      </c>
      <c r="AB102" s="20" t="s">
        <v>49</v>
      </c>
      <c r="AC102" s="19" t="s">
        <v>49</v>
      </c>
      <c r="AD102" s="19" t="str">
        <f ca="1">IFERROR(DATEDIF(DadosViagem5[[#This Row],[Utimo Bip Reserva]],TODAY(),"D"),"")</f>
        <v/>
      </c>
      <c r="AE102" s="29" t="s">
        <v>49</v>
      </c>
      <c r="AF102" s="35" t="s">
        <v>49</v>
      </c>
      <c r="AG102" s="36"/>
      <c r="AH102" s="25">
        <v>45807</v>
      </c>
      <c r="AI102" s="36" t="str">
        <f>IF(DadosViagem5[[#This Row],[Dias em manutenção ]]&lt;5,"Dentro do Prazo","Fora do Prazo")</f>
        <v>Fora do Prazo</v>
      </c>
      <c r="AJ102" s="36" t="e">
        <v>#REF!</v>
      </c>
    </row>
    <row r="103" spans="1:36">
      <c r="A103" s="19" t="s">
        <v>232</v>
      </c>
      <c r="B103" s="20"/>
      <c r="C103" s="19" t="s">
        <v>51</v>
      </c>
      <c r="D103" s="19" t="s">
        <v>52</v>
      </c>
      <c r="E103" s="19" t="s">
        <v>53</v>
      </c>
      <c r="F103" s="19" t="s">
        <v>40</v>
      </c>
      <c r="G103" s="60"/>
      <c r="H103" s="21">
        <v>2023</v>
      </c>
      <c r="I103" s="60" t="s">
        <v>41</v>
      </c>
      <c r="J103" s="19" t="s">
        <v>219</v>
      </c>
      <c r="K103" s="21" t="s">
        <v>220</v>
      </c>
      <c r="L103" s="22" t="s">
        <v>146</v>
      </c>
      <c r="M103" s="46" t="s">
        <v>45</v>
      </c>
      <c r="N103" s="36" t="s">
        <v>221</v>
      </c>
      <c r="O103" s="25" t="s">
        <v>148</v>
      </c>
      <c r="P103" s="26">
        <f ca="1">IFERROR(VLOOKUP(DadosViagem5[[#This Row],[Placa]],[1]BIP!A:E,5,FALSE),"")</f>
        <v>45989</v>
      </c>
      <c r="Q103" s="27">
        <f ca="1">DATEDIF(DadosViagem5[[#This Row],[BIP]],TODAY(),"D")</f>
        <v>1</v>
      </c>
      <c r="R103" s="28" t="str">
        <f>IFERROR(VLOOKUP(DadosViagem5[[#This Row],[Placa]],[1]DDS!B:C,2,FALSE),"Verificar cadastro")</f>
        <v>Carregado</v>
      </c>
      <c r="S103" s="29" t="s">
        <v>48</v>
      </c>
      <c r="T103" s="23"/>
      <c r="U103" s="30"/>
      <c r="V103" s="31"/>
      <c r="W103" s="32"/>
      <c r="X103" s="33"/>
      <c r="Y103" s="34"/>
      <c r="Z103" s="32"/>
      <c r="AA103" s="20" t="s">
        <v>49</v>
      </c>
      <c r="AB103" s="20" t="s">
        <v>49</v>
      </c>
      <c r="AC103" s="19" t="s">
        <v>49</v>
      </c>
      <c r="AD103" s="19" t="str">
        <f ca="1">IFERROR(DATEDIF(DadosViagem5[[#This Row],[Utimo Bip Reserva]],TODAY(),"D"),"")</f>
        <v/>
      </c>
      <c r="AE103" s="25" t="s">
        <v>49</v>
      </c>
      <c r="AF103" s="25" t="s">
        <v>49</v>
      </c>
      <c r="AG103" s="36"/>
      <c r="AH103" s="25">
        <v>45807</v>
      </c>
      <c r="AI103" s="36" t="str">
        <f>IF(DadosViagem5[[#This Row],[Dias em manutenção ]]&lt;5,"Dentro do Prazo","Fora do Prazo")</f>
        <v>Fora do Prazo</v>
      </c>
      <c r="AJ103" s="36" t="e">
        <v>#REF!</v>
      </c>
    </row>
    <row r="104" spans="1:36">
      <c r="A104" s="19" t="s">
        <v>233</v>
      </c>
      <c r="B104" s="20"/>
      <c r="C104" s="19" t="s">
        <v>74</v>
      </c>
      <c r="D104" s="19" t="s">
        <v>52</v>
      </c>
      <c r="E104" s="19" t="s">
        <v>75</v>
      </c>
      <c r="F104" s="19" t="s">
        <v>76</v>
      </c>
      <c r="G104" s="19"/>
      <c r="H104" s="20">
        <v>2023</v>
      </c>
      <c r="I104" s="19" t="s">
        <v>41</v>
      </c>
      <c r="J104" s="19" t="s">
        <v>219</v>
      </c>
      <c r="K104" s="21" t="s">
        <v>220</v>
      </c>
      <c r="L104" s="22" t="s">
        <v>146</v>
      </c>
      <c r="M104" s="23" t="s">
        <v>77</v>
      </c>
      <c r="N104" s="36" t="s">
        <v>221</v>
      </c>
      <c r="O104" s="25" t="s">
        <v>148</v>
      </c>
      <c r="P104" s="26">
        <f ca="1">IFERROR(VLOOKUP(DadosViagem5[[#This Row],[Placa]],[1]BIP!A:E,5,FALSE),"")</f>
        <v>45989</v>
      </c>
      <c r="Q104" s="27">
        <f ca="1">DATEDIF(DadosViagem5[[#This Row],[BIP]],TODAY(),"D")</f>
        <v>1</v>
      </c>
      <c r="R104" s="28" t="str">
        <f>IFERROR(VLOOKUP(DadosViagem5[[#This Row],[Placa]],[1]DDS!B:C,2,FALSE),"Verificar cadastro")</f>
        <v>Carregado</v>
      </c>
      <c r="S104" s="29" t="s">
        <v>48</v>
      </c>
      <c r="T104" s="23"/>
      <c r="U104" s="30"/>
      <c r="V104" s="31"/>
      <c r="W104" s="32"/>
      <c r="X104" s="33"/>
      <c r="Y104" s="34"/>
      <c r="Z104" s="32"/>
      <c r="AA104" s="20" t="s">
        <v>49</v>
      </c>
      <c r="AB104" s="20" t="s">
        <v>49</v>
      </c>
      <c r="AC104" s="19" t="s">
        <v>49</v>
      </c>
      <c r="AD104" s="19" t="str">
        <f ca="1">IFERROR(DATEDIF(DadosViagem5[[#This Row],[Utimo Bip Reserva]],TODAY(),"D"),"")</f>
        <v/>
      </c>
      <c r="AE104" s="36"/>
      <c r="AF104" s="25"/>
      <c r="AG104" s="36"/>
      <c r="AH104" s="25">
        <v>45807</v>
      </c>
      <c r="AI104" s="36" t="str">
        <f>IF(DadosViagem5[[#This Row],[Dias em manutenção ]]&lt;5,"Dentro do Prazo","Fora do Prazo")</f>
        <v>Fora do Prazo</v>
      </c>
      <c r="AJ104" s="36" t="e">
        <v>#REF!</v>
      </c>
    </row>
    <row r="105" spans="1:36">
      <c r="A105" s="19" t="s">
        <v>234</v>
      </c>
      <c r="B105" s="20"/>
      <c r="C105" s="19" t="s">
        <v>225</v>
      </c>
      <c r="D105" s="19" t="s">
        <v>38</v>
      </c>
      <c r="E105" s="19" t="s">
        <v>39</v>
      </c>
      <c r="F105" s="19" t="s">
        <v>40</v>
      </c>
      <c r="G105" s="19"/>
      <c r="H105" s="20">
        <v>2024</v>
      </c>
      <c r="I105" s="19" t="s">
        <v>41</v>
      </c>
      <c r="J105" s="19" t="s">
        <v>219</v>
      </c>
      <c r="K105" s="21" t="s">
        <v>220</v>
      </c>
      <c r="L105" s="22" t="s">
        <v>146</v>
      </c>
      <c r="M105" s="23" t="s">
        <v>45</v>
      </c>
      <c r="N105" s="36" t="s">
        <v>221</v>
      </c>
      <c r="O105" s="25" t="s">
        <v>148</v>
      </c>
      <c r="P105" s="26">
        <f ca="1">IFERROR(VLOOKUP(DadosViagem5[[#This Row],[Placa]],[1]BIP!A:E,5,FALSE),"")</f>
        <v>0</v>
      </c>
      <c r="Q105" s="27">
        <f ca="1">DATEDIF(DadosViagem5[[#This Row],[BIP]],TODAY(),"D")</f>
        <v>45990</v>
      </c>
      <c r="R105" s="28" t="str">
        <f>IFERROR(VLOOKUP(DadosViagem5[[#This Row],[Placa]],[1]DDS!B:C,2,FALSE),"Verificar cadastro")</f>
        <v> </v>
      </c>
      <c r="S105" s="29" t="s">
        <v>48</v>
      </c>
      <c r="T105" s="23"/>
      <c r="U105" s="30"/>
      <c r="V105" s="31"/>
      <c r="W105" s="32"/>
      <c r="X105" s="33"/>
      <c r="Y105" s="34"/>
      <c r="Z105" s="32"/>
      <c r="AA105" s="20" t="s">
        <v>49</v>
      </c>
      <c r="AB105" s="20" t="s">
        <v>49</v>
      </c>
      <c r="AC105" s="19" t="s">
        <v>49</v>
      </c>
      <c r="AD105" s="19" t="str">
        <f ca="1">IFERROR(DATEDIF(DadosViagem5[[#This Row],[Utimo Bip Reserva]],TODAY(),"D"),"")</f>
        <v/>
      </c>
      <c r="AE105" s="25" t="s">
        <v>49</v>
      </c>
      <c r="AF105" s="25" t="s">
        <v>49</v>
      </c>
      <c r="AG105" s="36"/>
      <c r="AH105" s="25">
        <v>45807</v>
      </c>
      <c r="AI105" s="36" t="str">
        <f>IF(DadosViagem5[[#This Row],[Dias em manutenção ]]&lt;5,"Dentro do Prazo","Fora do Prazo")</f>
        <v>Fora do Prazo</v>
      </c>
      <c r="AJ105" s="36" t="e">
        <v>#REF!</v>
      </c>
    </row>
    <row r="106" spans="1:36">
      <c r="A106" s="19" t="s">
        <v>235</v>
      </c>
      <c r="B106" s="20"/>
      <c r="C106" s="19" t="s">
        <v>225</v>
      </c>
      <c r="D106" s="19" t="s">
        <v>38</v>
      </c>
      <c r="E106" s="19" t="s">
        <v>39</v>
      </c>
      <c r="F106" s="19" t="s">
        <v>40</v>
      </c>
      <c r="G106" s="19"/>
      <c r="H106" s="20">
        <v>2024</v>
      </c>
      <c r="I106" s="19" t="s">
        <v>41</v>
      </c>
      <c r="J106" s="19" t="s">
        <v>219</v>
      </c>
      <c r="K106" s="21" t="s">
        <v>220</v>
      </c>
      <c r="L106" s="22" t="s">
        <v>146</v>
      </c>
      <c r="M106" s="23" t="s">
        <v>45</v>
      </c>
      <c r="N106" s="36" t="s">
        <v>221</v>
      </c>
      <c r="O106" s="25" t="s">
        <v>148</v>
      </c>
      <c r="P106" s="26">
        <f ca="1">IFERROR(VLOOKUP(DadosViagem5[[#This Row],[Placa]],[1]BIP!A:E,5,FALSE),"")</f>
        <v>0</v>
      </c>
      <c r="Q106" s="27">
        <f ca="1">DATEDIF(DadosViagem5[[#This Row],[BIP]],TODAY(),"D")</f>
        <v>45990</v>
      </c>
      <c r="R106" s="28" t="str">
        <f>IFERROR(VLOOKUP(DadosViagem5[[#This Row],[Placa]],[1]DDS!B:C,2,FALSE),"Verificar cadastro")</f>
        <v>Manutenção</v>
      </c>
      <c r="S106" s="29" t="s">
        <v>48</v>
      </c>
      <c r="T106" s="23"/>
      <c r="U106" s="30"/>
      <c r="V106" s="31"/>
      <c r="W106" s="32"/>
      <c r="X106" s="33"/>
      <c r="Y106" s="34"/>
      <c r="Z106" s="32"/>
      <c r="AA106" s="20" t="s">
        <v>49</v>
      </c>
      <c r="AB106" s="20" t="s">
        <v>49</v>
      </c>
      <c r="AC106" s="19" t="s">
        <v>49</v>
      </c>
      <c r="AD106" s="19" t="str">
        <f ca="1">IFERROR(DATEDIF(DadosViagem5[[#This Row],[Utimo Bip Reserva]],TODAY(),"D"),"")</f>
        <v/>
      </c>
      <c r="AE106" s="25" t="s">
        <v>236</v>
      </c>
      <c r="AF106" s="25" t="s">
        <v>49</v>
      </c>
      <c r="AG106" s="36"/>
      <c r="AH106" s="25">
        <v>45807</v>
      </c>
      <c r="AI106" s="36" t="str">
        <f>IF(DadosViagem5[[#This Row],[Dias em manutenção ]]&lt;5,"Dentro do Prazo","Fora do Prazo")</f>
        <v>Fora do Prazo</v>
      </c>
      <c r="AJ106" s="36" t="e">
        <v>#REF!</v>
      </c>
    </row>
    <row r="107" spans="1:36">
      <c r="A107" s="19" t="s">
        <v>237</v>
      </c>
      <c r="B107" s="20"/>
      <c r="C107" s="19" t="s">
        <v>225</v>
      </c>
      <c r="D107" s="19" t="s">
        <v>38</v>
      </c>
      <c r="E107" s="19" t="s">
        <v>39</v>
      </c>
      <c r="F107" s="19" t="s">
        <v>40</v>
      </c>
      <c r="G107" s="19"/>
      <c r="H107" s="20">
        <v>2024</v>
      </c>
      <c r="I107" s="19" t="s">
        <v>41</v>
      </c>
      <c r="J107" s="19" t="s">
        <v>219</v>
      </c>
      <c r="K107" s="21" t="s">
        <v>220</v>
      </c>
      <c r="L107" s="22" t="s">
        <v>146</v>
      </c>
      <c r="M107" s="23" t="s">
        <v>45</v>
      </c>
      <c r="N107" s="36" t="s">
        <v>221</v>
      </c>
      <c r="O107" s="25" t="s">
        <v>148</v>
      </c>
      <c r="P107" s="26">
        <f ca="1">IFERROR(VLOOKUP(DadosViagem5[[#This Row],[Placa]],[1]BIP!A:E,5,FALSE),"")</f>
        <v>45989</v>
      </c>
      <c r="Q107" s="27">
        <f ca="1">DATEDIF(DadosViagem5[[#This Row],[BIP]],TODAY(),"D")</f>
        <v>1</v>
      </c>
      <c r="R107" s="28" t="str">
        <f>IFERROR(VLOOKUP(DadosViagem5[[#This Row],[Placa]],[1]DDS!B:C,2,FALSE),"Verificar cadastro")</f>
        <v>Carregado</v>
      </c>
      <c r="S107" s="29" t="s">
        <v>48</v>
      </c>
      <c r="T107" s="23"/>
      <c r="U107" s="30"/>
      <c r="V107" s="31"/>
      <c r="W107" s="32" t="s">
        <v>238</v>
      </c>
      <c r="X107" s="33"/>
      <c r="Y107" s="34"/>
      <c r="Z107" s="32"/>
      <c r="AA107" s="20" t="s">
        <v>49</v>
      </c>
      <c r="AB107" s="20" t="s">
        <v>49</v>
      </c>
      <c r="AC107" s="19" t="s">
        <v>49</v>
      </c>
      <c r="AD107" s="19" t="str">
        <f ca="1">IFERROR(DATEDIF(DadosViagem5[[#This Row],[Utimo Bip Reserva]],TODAY(),"D"),"")</f>
        <v/>
      </c>
      <c r="AE107" s="25" t="s">
        <v>49</v>
      </c>
      <c r="AF107" s="25" t="s">
        <v>49</v>
      </c>
      <c r="AG107" s="36"/>
      <c r="AH107" s="25">
        <v>45807</v>
      </c>
      <c r="AI107" s="36" t="str">
        <f>IF(DadosViagem5[[#This Row],[Dias em manutenção ]]&lt;5,"Dentro do Prazo","Fora do Prazo")</f>
        <v>Fora do Prazo</v>
      </c>
      <c r="AJ107" s="36" t="e">
        <v>#REF!</v>
      </c>
    </row>
    <row r="108" spans="1:36">
      <c r="A108" s="19" t="s">
        <v>239</v>
      </c>
      <c r="B108" s="20"/>
      <c r="C108" s="19" t="s">
        <v>51</v>
      </c>
      <c r="D108" s="19" t="s">
        <v>52</v>
      </c>
      <c r="E108" s="19" t="s">
        <v>53</v>
      </c>
      <c r="F108" s="19" t="s">
        <v>40</v>
      </c>
      <c r="G108" s="19"/>
      <c r="H108" s="20">
        <v>2023</v>
      </c>
      <c r="I108" s="19" t="s">
        <v>41</v>
      </c>
      <c r="J108" s="19" t="s">
        <v>219</v>
      </c>
      <c r="K108" s="21" t="s">
        <v>220</v>
      </c>
      <c r="L108" s="22" t="s">
        <v>146</v>
      </c>
      <c r="M108" s="23" t="s">
        <v>45</v>
      </c>
      <c r="N108" s="36" t="s">
        <v>221</v>
      </c>
      <c r="O108" s="25" t="s">
        <v>148</v>
      </c>
      <c r="P108" s="26">
        <f ca="1">IFERROR(VLOOKUP(DadosViagem5[[#This Row],[Placa]],[1]BIP!A:E,5,FALSE),"")</f>
        <v>45989</v>
      </c>
      <c r="Q108" s="27">
        <f ca="1">DATEDIF(DadosViagem5[[#This Row],[BIP]],TODAY(),"D")</f>
        <v>1</v>
      </c>
      <c r="R108" s="28" t="str">
        <f>IFERROR(VLOOKUP(DadosViagem5[[#This Row],[Placa]],[1]DDS!B:C,2,FALSE),"Verificar cadastro")</f>
        <v>Carregado</v>
      </c>
      <c r="S108" s="29" t="s">
        <v>48</v>
      </c>
      <c r="T108" s="23"/>
      <c r="U108" s="30"/>
      <c r="V108" s="31"/>
      <c r="W108" s="32"/>
      <c r="X108" s="33"/>
      <c r="Y108" s="34"/>
      <c r="Z108" s="43"/>
      <c r="AA108" s="20" t="s">
        <v>49</v>
      </c>
      <c r="AB108" s="20" t="s">
        <v>49</v>
      </c>
      <c r="AC108" s="19" t="s">
        <v>49</v>
      </c>
      <c r="AD108" s="19" t="str">
        <f ca="1">IFERROR(DATEDIF(DadosViagem5[[#This Row],[Utimo Bip Reserva]],TODAY(),"D"),"")</f>
        <v/>
      </c>
      <c r="AE108" s="36" t="s">
        <v>49</v>
      </c>
      <c r="AF108" s="25" t="s">
        <v>49</v>
      </c>
      <c r="AG108" s="36"/>
      <c r="AH108" s="25">
        <v>45807</v>
      </c>
      <c r="AI108" s="36" t="str">
        <f>IF(DadosViagem5[[#This Row],[Dias em manutenção ]]&lt;5,"Dentro do Prazo","Fora do Prazo")</f>
        <v>Fora do Prazo</v>
      </c>
      <c r="AJ108" s="36" t="e">
        <v>#REF!</v>
      </c>
    </row>
    <row r="109" spans="1:36">
      <c r="A109" s="19" t="s">
        <v>240</v>
      </c>
      <c r="B109" s="20"/>
      <c r="C109" s="19" t="s">
        <v>51</v>
      </c>
      <c r="D109" s="19" t="s">
        <v>52</v>
      </c>
      <c r="E109" s="19" t="s">
        <v>53</v>
      </c>
      <c r="F109" s="19" t="s">
        <v>40</v>
      </c>
      <c r="G109" s="19"/>
      <c r="H109" s="20">
        <v>2022</v>
      </c>
      <c r="I109" s="19" t="s">
        <v>41</v>
      </c>
      <c r="J109" s="19" t="s">
        <v>219</v>
      </c>
      <c r="K109" s="21" t="s">
        <v>220</v>
      </c>
      <c r="L109" s="22" t="s">
        <v>146</v>
      </c>
      <c r="M109" s="23" t="s">
        <v>45</v>
      </c>
      <c r="N109" s="36" t="s">
        <v>221</v>
      </c>
      <c r="O109" s="25" t="s">
        <v>148</v>
      </c>
      <c r="P109" s="26">
        <f ca="1">IFERROR(VLOOKUP(DadosViagem5[[#This Row],[Placa]],[1]BIP!A:E,5,FALSE),"")</f>
        <v>45989</v>
      </c>
      <c r="Q109" s="27">
        <f ca="1">DATEDIF(DadosViagem5[[#This Row],[BIP]],TODAY(),"D")</f>
        <v>1</v>
      </c>
      <c r="R109" s="28" t="str">
        <f>IFERROR(VLOOKUP(DadosViagem5[[#This Row],[Placa]],[1]DDS!B:C,2,FALSE),"Verificar cadastro")</f>
        <v>Carregado</v>
      </c>
      <c r="S109" s="29" t="s">
        <v>48</v>
      </c>
      <c r="T109" s="23"/>
      <c r="U109" s="30"/>
      <c r="V109" s="31"/>
      <c r="W109" s="32"/>
      <c r="X109" s="33"/>
      <c r="Y109" s="34"/>
      <c r="Z109" s="43"/>
      <c r="AA109" s="20" t="s">
        <v>49</v>
      </c>
      <c r="AB109" s="20" t="s">
        <v>49</v>
      </c>
      <c r="AC109" s="19" t="s">
        <v>49</v>
      </c>
      <c r="AD109" s="19" t="str">
        <f ca="1">IFERROR(DATEDIF(DadosViagem5[[#This Row],[Utimo Bip Reserva]],TODAY(),"D"),"")</f>
        <v/>
      </c>
      <c r="AE109" s="25" t="s">
        <v>49</v>
      </c>
      <c r="AF109" s="25" t="s">
        <v>49</v>
      </c>
      <c r="AG109" s="36"/>
      <c r="AH109" s="25">
        <v>45807</v>
      </c>
      <c r="AI109" s="36" t="str">
        <f>IF(DadosViagem5[[#This Row],[Dias em manutenção ]]&lt;5,"Dentro do Prazo","Fora do Prazo")</f>
        <v>Fora do Prazo</v>
      </c>
      <c r="AJ109" s="36" t="e">
        <v>#REF!</v>
      </c>
    </row>
    <row r="110" spans="1:36">
      <c r="A110" s="19" t="s">
        <v>241</v>
      </c>
      <c r="B110" s="20"/>
      <c r="C110" s="19" t="s">
        <v>51</v>
      </c>
      <c r="D110" s="19" t="s">
        <v>52</v>
      </c>
      <c r="E110" s="19" t="s">
        <v>53</v>
      </c>
      <c r="F110" s="19" t="s">
        <v>40</v>
      </c>
      <c r="G110" s="19"/>
      <c r="H110" s="20">
        <v>2010</v>
      </c>
      <c r="I110" s="19" t="s">
        <v>41</v>
      </c>
      <c r="J110" s="19" t="s">
        <v>219</v>
      </c>
      <c r="K110" s="21" t="s">
        <v>220</v>
      </c>
      <c r="L110" s="22" t="s">
        <v>146</v>
      </c>
      <c r="M110" s="23" t="s">
        <v>45</v>
      </c>
      <c r="N110" s="36" t="s">
        <v>221</v>
      </c>
      <c r="O110" s="25" t="s">
        <v>148</v>
      </c>
      <c r="P110" s="26">
        <f ca="1">IFERROR(VLOOKUP(DadosViagem5[[#This Row],[Placa]],[1]BIP!A:E,5,FALSE),"")</f>
        <v>45989</v>
      </c>
      <c r="Q110" s="27">
        <f ca="1">DATEDIF(DadosViagem5[[#This Row],[BIP]],TODAY(),"D")</f>
        <v>1</v>
      </c>
      <c r="R110" s="28" t="str">
        <f>IFERROR(VLOOKUP(DadosViagem5[[#This Row],[Placa]],[1]DDS!B:C,2,FALSE),"Verificar cadastro")</f>
        <v>Carregado</v>
      </c>
      <c r="S110" s="29" t="s">
        <v>48</v>
      </c>
      <c r="T110" s="23"/>
      <c r="U110" s="30"/>
      <c r="V110" s="31"/>
      <c r="W110" s="32"/>
      <c r="X110" s="33"/>
      <c r="Y110" s="34"/>
      <c r="Z110" s="43"/>
      <c r="AA110" s="20" t="s">
        <v>49</v>
      </c>
      <c r="AB110" s="20" t="s">
        <v>49</v>
      </c>
      <c r="AC110" s="19" t="s">
        <v>49</v>
      </c>
      <c r="AD110" s="19" t="str">
        <f ca="1">IFERROR(DATEDIF(DadosViagem5[[#This Row],[Utimo Bip Reserva]],TODAY(),"D"),"")</f>
        <v/>
      </c>
      <c r="AE110" s="36" t="s">
        <v>49</v>
      </c>
      <c r="AF110" s="25" t="s">
        <v>49</v>
      </c>
      <c r="AG110" s="36"/>
      <c r="AH110" s="25">
        <v>45807</v>
      </c>
      <c r="AI110" s="36" t="str">
        <f>IF(DadosViagem5[[#This Row],[Dias em manutenção ]]&lt;5,"Dentro do Prazo","Fora do Prazo")</f>
        <v>Fora do Prazo</v>
      </c>
      <c r="AJ110" s="36" t="e">
        <v>#REF!</v>
      </c>
    </row>
    <row r="111" spans="1:36">
      <c r="A111" s="19" t="s">
        <v>242</v>
      </c>
      <c r="B111" s="20"/>
      <c r="C111" s="19" t="s">
        <v>51</v>
      </c>
      <c r="D111" s="19" t="s">
        <v>52</v>
      </c>
      <c r="E111" s="19" t="s">
        <v>53</v>
      </c>
      <c r="F111" s="19" t="s">
        <v>40</v>
      </c>
      <c r="G111" s="60"/>
      <c r="H111" s="21">
        <v>2022</v>
      </c>
      <c r="I111" s="60" t="s">
        <v>41</v>
      </c>
      <c r="J111" s="19" t="s">
        <v>219</v>
      </c>
      <c r="K111" s="21" t="s">
        <v>220</v>
      </c>
      <c r="L111" s="22" t="s">
        <v>146</v>
      </c>
      <c r="M111" s="23" t="s">
        <v>45</v>
      </c>
      <c r="N111" s="36" t="s">
        <v>221</v>
      </c>
      <c r="O111" s="25" t="s">
        <v>148</v>
      </c>
      <c r="P111" s="26">
        <f ca="1">IFERROR(VLOOKUP(DadosViagem5[[#This Row],[Placa]],[1]BIP!A:E,5,FALSE),"")</f>
        <v>45989</v>
      </c>
      <c r="Q111" s="27">
        <f ca="1">DATEDIF(DadosViagem5[[#This Row],[BIP]],TODAY(),"D")</f>
        <v>1</v>
      </c>
      <c r="R111" s="28" t="str">
        <f>IFERROR(VLOOKUP(DadosViagem5[[#This Row],[Placa]],[1]DDS!B:C,2,FALSE),"Verificar cadastro")</f>
        <v>Carregado</v>
      </c>
      <c r="S111" s="29" t="s">
        <v>48</v>
      </c>
      <c r="T111" s="23"/>
      <c r="U111" s="30"/>
      <c r="V111" s="31"/>
      <c r="W111" s="32"/>
      <c r="X111" s="33"/>
      <c r="Y111" s="34"/>
      <c r="Z111" s="43"/>
      <c r="AA111" s="20" t="s">
        <v>49</v>
      </c>
      <c r="AB111" s="20" t="s">
        <v>49</v>
      </c>
      <c r="AC111" s="19" t="s">
        <v>49</v>
      </c>
      <c r="AD111" s="19" t="str">
        <f ca="1">IFERROR(DATEDIF(DadosViagem5[[#This Row],[Utimo Bip Reserva]],TODAY(),"D"),"")</f>
        <v/>
      </c>
      <c r="AE111" s="36" t="s">
        <v>49</v>
      </c>
      <c r="AF111" s="25" t="s">
        <v>49</v>
      </c>
      <c r="AG111" s="36"/>
      <c r="AH111" s="25">
        <v>45807</v>
      </c>
      <c r="AI111" s="36" t="str">
        <f>IF(DadosViagem5[[#This Row],[Dias em manutenção ]]&lt;5,"Dentro do Prazo","Fora do Prazo")</f>
        <v>Fora do Prazo</v>
      </c>
      <c r="AJ111" s="36" t="e">
        <v>#REF!</v>
      </c>
    </row>
    <row r="112" spans="1:36">
      <c r="A112" s="19" t="s">
        <v>243</v>
      </c>
      <c r="B112" s="20"/>
      <c r="C112" s="19" t="s">
        <v>51</v>
      </c>
      <c r="D112" s="19" t="s">
        <v>52</v>
      </c>
      <c r="E112" s="19" t="s">
        <v>53</v>
      </c>
      <c r="F112" s="19" t="s">
        <v>40</v>
      </c>
      <c r="G112" s="19"/>
      <c r="H112" s="20">
        <v>2023</v>
      </c>
      <c r="I112" s="19" t="s">
        <v>41</v>
      </c>
      <c r="J112" s="19" t="s">
        <v>219</v>
      </c>
      <c r="K112" s="21" t="s">
        <v>220</v>
      </c>
      <c r="L112" s="22" t="s">
        <v>146</v>
      </c>
      <c r="M112" s="23" t="s">
        <v>45</v>
      </c>
      <c r="N112" s="36" t="s">
        <v>221</v>
      </c>
      <c r="O112" s="25" t="s">
        <v>148</v>
      </c>
      <c r="P112" s="26">
        <f ca="1">IFERROR(VLOOKUP(DadosViagem5[[#This Row],[Placa]],[1]BIP!A:E,5,FALSE),"")</f>
        <v>45989</v>
      </c>
      <c r="Q112" s="27">
        <f ca="1">DATEDIF(DadosViagem5[[#This Row],[BIP]],TODAY(),"D")</f>
        <v>1</v>
      </c>
      <c r="R112" s="28" t="str">
        <f>IFERROR(VLOOKUP(DadosViagem5[[#This Row],[Placa]],[1]DDS!B:C,2,FALSE),"Verificar cadastro")</f>
        <v>Carregado</v>
      </c>
      <c r="S112" s="29" t="s">
        <v>48</v>
      </c>
      <c r="T112" s="23"/>
      <c r="U112" s="30"/>
      <c r="V112" s="31"/>
      <c r="W112" s="32"/>
      <c r="X112" s="33"/>
      <c r="Y112" s="34"/>
      <c r="Z112" s="43"/>
      <c r="AA112" s="20" t="s">
        <v>49</v>
      </c>
      <c r="AB112" s="20" t="s">
        <v>49</v>
      </c>
      <c r="AC112" s="19" t="s">
        <v>49</v>
      </c>
      <c r="AD112" s="19" t="str">
        <f ca="1">IFERROR(DATEDIF(DadosViagem5[[#This Row],[Utimo Bip Reserva]],TODAY(),"D"),"")</f>
        <v/>
      </c>
      <c r="AE112" s="25" t="s">
        <v>49</v>
      </c>
      <c r="AF112" s="25" t="s">
        <v>49</v>
      </c>
      <c r="AG112" s="36"/>
      <c r="AH112" s="25">
        <v>45807</v>
      </c>
      <c r="AI112" s="36" t="str">
        <f>IF(DadosViagem5[[#This Row],[Dias em manutenção ]]&lt;5,"Dentro do Prazo","Fora do Prazo")</f>
        <v>Fora do Prazo</v>
      </c>
      <c r="AJ112" s="36" t="e">
        <v>#REF!</v>
      </c>
    </row>
    <row r="113" spans="1:36">
      <c r="A113" s="19" t="s">
        <v>244</v>
      </c>
      <c r="B113" s="20"/>
      <c r="C113" s="19" t="s">
        <v>51</v>
      </c>
      <c r="D113" s="19" t="s">
        <v>52</v>
      </c>
      <c r="E113" s="19" t="s">
        <v>53</v>
      </c>
      <c r="F113" s="19" t="s">
        <v>40</v>
      </c>
      <c r="G113" s="19"/>
      <c r="H113" s="20">
        <v>2023</v>
      </c>
      <c r="I113" s="19" t="s">
        <v>41</v>
      </c>
      <c r="J113" s="19" t="s">
        <v>219</v>
      </c>
      <c r="K113" s="21" t="s">
        <v>220</v>
      </c>
      <c r="L113" s="22" t="s">
        <v>146</v>
      </c>
      <c r="M113" s="23" t="s">
        <v>45</v>
      </c>
      <c r="N113" s="36" t="s">
        <v>221</v>
      </c>
      <c r="O113" s="25" t="s">
        <v>148</v>
      </c>
      <c r="P113" s="26">
        <f ca="1">IFERROR(VLOOKUP(DadosViagem5[[#This Row],[Placa]],[1]BIP!A:E,5,FALSE),"")</f>
        <v>45989</v>
      </c>
      <c r="Q113" s="27">
        <f ca="1">DATEDIF(DadosViagem5[[#This Row],[BIP]],TODAY(),"D")</f>
        <v>1</v>
      </c>
      <c r="R113" s="28" t="str">
        <f>IFERROR(VLOOKUP(DadosViagem5[[#This Row],[Placa]],[1]DDS!B:C,2,FALSE),"Verificar cadastro")</f>
        <v>Carregado</v>
      </c>
      <c r="S113" s="29" t="s">
        <v>48</v>
      </c>
      <c r="T113" s="23"/>
      <c r="U113" s="30"/>
      <c r="V113" s="31"/>
      <c r="W113" s="32"/>
      <c r="X113" s="33"/>
      <c r="Y113" s="34"/>
      <c r="Z113" s="43"/>
      <c r="AA113" s="20" t="s">
        <v>49</v>
      </c>
      <c r="AB113" s="20" t="s">
        <v>49</v>
      </c>
      <c r="AC113" s="19" t="s">
        <v>49</v>
      </c>
      <c r="AD113" s="19" t="str">
        <f ca="1">IFERROR(DATEDIF(DadosViagem5[[#This Row],[Utimo Bip Reserva]],TODAY(),"D"),"")</f>
        <v/>
      </c>
      <c r="AE113" s="25" t="s">
        <v>49</v>
      </c>
      <c r="AF113" s="25" t="s">
        <v>49</v>
      </c>
      <c r="AG113" s="36"/>
      <c r="AH113" s="25">
        <v>45807</v>
      </c>
      <c r="AI113" s="36" t="str">
        <f>IF(DadosViagem5[[#This Row],[Dias em manutenção ]]&lt;5,"Dentro do Prazo","Fora do Prazo")</f>
        <v>Fora do Prazo</v>
      </c>
      <c r="AJ113" s="36" t="e">
        <v>#REF!</v>
      </c>
    </row>
    <row r="114" spans="1:36">
      <c r="A114" s="19" t="s">
        <v>245</v>
      </c>
      <c r="B114" s="20"/>
      <c r="C114" s="19" t="s">
        <v>225</v>
      </c>
      <c r="D114" s="19" t="s">
        <v>38</v>
      </c>
      <c r="E114" s="19" t="s">
        <v>39</v>
      </c>
      <c r="F114" s="19" t="s">
        <v>40</v>
      </c>
      <c r="G114" s="19"/>
      <c r="H114" s="20">
        <v>2024</v>
      </c>
      <c r="I114" s="19" t="s">
        <v>41</v>
      </c>
      <c r="J114" s="19" t="s">
        <v>219</v>
      </c>
      <c r="K114" s="21" t="s">
        <v>220</v>
      </c>
      <c r="L114" s="22" t="s">
        <v>146</v>
      </c>
      <c r="M114" s="23" t="s">
        <v>45</v>
      </c>
      <c r="N114" s="36" t="s">
        <v>221</v>
      </c>
      <c r="O114" s="25" t="s">
        <v>148</v>
      </c>
      <c r="P114" s="26">
        <f ca="1">IFERROR(VLOOKUP(DadosViagem5[[#This Row],[Placa]],[1]BIP!A:E,5,FALSE),"")</f>
        <v>45989</v>
      </c>
      <c r="Q114" s="27">
        <f ca="1">DATEDIF(DadosViagem5[[#This Row],[BIP]],TODAY(),"D")</f>
        <v>1</v>
      </c>
      <c r="R114" s="28" t="str">
        <f>IFERROR(VLOOKUP(DadosViagem5[[#This Row],[Placa]],[1]DDS!B:C,2,FALSE),"Verificar cadastro")</f>
        <v>Carregado</v>
      </c>
      <c r="S114" s="29" t="s">
        <v>48</v>
      </c>
      <c r="T114" s="23"/>
      <c r="U114" s="30"/>
      <c r="V114" s="31"/>
      <c r="W114" s="32"/>
      <c r="X114" s="33"/>
      <c r="Y114" s="34"/>
      <c r="Z114" s="32"/>
      <c r="AA114" s="20" t="s">
        <v>49</v>
      </c>
      <c r="AB114" s="20" t="s">
        <v>49</v>
      </c>
      <c r="AC114" s="19" t="s">
        <v>49</v>
      </c>
      <c r="AD114" s="19" t="str">
        <f ca="1">IFERROR(DATEDIF(DadosViagem5[[#This Row],[Utimo Bip Reserva]],TODAY(),"D"),"")</f>
        <v/>
      </c>
      <c r="AE114" s="25" t="s">
        <v>49</v>
      </c>
      <c r="AF114" s="25" t="s">
        <v>49</v>
      </c>
      <c r="AG114" s="36"/>
      <c r="AH114" s="25">
        <v>45807</v>
      </c>
      <c r="AI114" s="36" t="str">
        <f>IF(DadosViagem5[[#This Row],[Dias em manutenção ]]&lt;5,"Dentro do Prazo","Fora do Prazo")</f>
        <v>Fora do Prazo</v>
      </c>
      <c r="AJ114" s="36" t="e">
        <v>#REF!</v>
      </c>
    </row>
    <row r="115" spans="1:36">
      <c r="A115" s="19" t="s">
        <v>246</v>
      </c>
      <c r="B115" s="20"/>
      <c r="C115" s="19" t="s">
        <v>74</v>
      </c>
      <c r="D115" s="19" t="s">
        <v>52</v>
      </c>
      <c r="E115" s="19" t="s">
        <v>75</v>
      </c>
      <c r="F115" s="19" t="s">
        <v>76</v>
      </c>
      <c r="G115" s="19"/>
      <c r="H115" s="20">
        <v>2025</v>
      </c>
      <c r="I115" s="19" t="s">
        <v>41</v>
      </c>
      <c r="J115" s="19" t="s">
        <v>219</v>
      </c>
      <c r="K115" s="64" t="s">
        <v>220</v>
      </c>
      <c r="L115" s="22" t="s">
        <v>146</v>
      </c>
      <c r="M115" s="23" t="s">
        <v>77</v>
      </c>
      <c r="N115" s="36" t="s">
        <v>221</v>
      </c>
      <c r="O115" s="36" t="s">
        <v>148</v>
      </c>
      <c r="P115" s="26">
        <f ca="1">IFERROR(VLOOKUP(DadosViagem5[[#This Row],[Placa]],[1]BIP!A:E,5,FALSE),"")</f>
        <v>45989</v>
      </c>
      <c r="Q115" s="27">
        <f ca="1">DATEDIF(DadosViagem5[[#This Row],[BIP]],TODAY(),"D")</f>
        <v>1</v>
      </c>
      <c r="R115" s="28" t="str">
        <f>IFERROR(VLOOKUP(DadosViagem5[[#This Row],[Placa]],[1]DDS!B:C,2,FALSE),"Verificar cadastro")</f>
        <v>Carregado</v>
      </c>
      <c r="S115" s="29" t="s">
        <v>48</v>
      </c>
      <c r="T115" s="23"/>
      <c r="U115" s="30"/>
      <c r="V115" s="31"/>
      <c r="W115" s="32"/>
      <c r="X115" s="33"/>
      <c r="Y115" s="34"/>
      <c r="Z115" s="32"/>
      <c r="AA115" s="20" t="s">
        <v>49</v>
      </c>
      <c r="AB115" s="20" t="s">
        <v>49</v>
      </c>
      <c r="AC115" s="19" t="s">
        <v>49</v>
      </c>
      <c r="AD115" s="19" t="str">
        <f ca="1">IFERROR(DATEDIF(DadosViagem5[[#This Row],[Utimo Bip Reserva]],TODAY(),"D"),"")</f>
        <v/>
      </c>
      <c r="AE115" s="36"/>
      <c r="AF115" s="25"/>
      <c r="AG115" s="36"/>
      <c r="AH115" s="25">
        <v>45807</v>
      </c>
      <c r="AI115" s="36" t="str">
        <f>IF(DadosViagem5[[#This Row],[Dias em manutenção ]]&lt;5,"Dentro do Prazo","Fora do Prazo")</f>
        <v>Fora do Prazo</v>
      </c>
      <c r="AJ115" s="36" t="e">
        <v>#REF!</v>
      </c>
    </row>
    <row r="116" spans="1:36">
      <c r="A116" s="19" t="s">
        <v>247</v>
      </c>
      <c r="B116" s="20"/>
      <c r="C116" s="19" t="s">
        <v>74</v>
      </c>
      <c r="D116" s="19" t="s">
        <v>52</v>
      </c>
      <c r="E116" s="19" t="s">
        <v>75</v>
      </c>
      <c r="F116" s="19" t="s">
        <v>76</v>
      </c>
      <c r="G116" s="19"/>
      <c r="H116" s="20">
        <v>2023</v>
      </c>
      <c r="I116" s="19" t="s">
        <v>41</v>
      </c>
      <c r="J116" s="19" t="s">
        <v>219</v>
      </c>
      <c r="K116" s="21" t="s">
        <v>220</v>
      </c>
      <c r="L116" s="53" t="s">
        <v>146</v>
      </c>
      <c r="M116" s="23" t="s">
        <v>77</v>
      </c>
      <c r="N116" s="36" t="s">
        <v>221</v>
      </c>
      <c r="O116" s="25" t="s">
        <v>148</v>
      </c>
      <c r="P116" s="26">
        <f ca="1">IFERROR(VLOOKUP(DadosViagem5[[#This Row],[Placa]],[1]BIP!A:E,5,FALSE),"")</f>
        <v>45989</v>
      </c>
      <c r="Q116" s="27">
        <f ca="1">DATEDIF(DadosViagem5[[#This Row],[BIP]],TODAY(),"D")</f>
        <v>1</v>
      </c>
      <c r="R116" s="28" t="str">
        <f>IFERROR(VLOOKUP(DadosViagem5[[#This Row],[Placa]],[1]DDS!B:C,2,FALSE),"Verificar cadastro")</f>
        <v>Carregado</v>
      </c>
      <c r="S116" s="29" t="s">
        <v>48</v>
      </c>
      <c r="T116" s="23"/>
      <c r="U116" s="30"/>
      <c r="V116" s="31"/>
      <c r="W116" s="32"/>
      <c r="X116" s="33"/>
      <c r="Y116" s="34"/>
      <c r="Z116" s="32"/>
      <c r="AA116" s="20" t="s">
        <v>49</v>
      </c>
      <c r="AB116" s="20" t="s">
        <v>49</v>
      </c>
      <c r="AC116" s="20" t="s">
        <v>49</v>
      </c>
      <c r="AD116" s="20" t="s">
        <v>49</v>
      </c>
      <c r="AE116" s="36"/>
      <c r="AF116" s="25"/>
      <c r="AG116" s="36"/>
      <c r="AH116" s="25">
        <v>45807</v>
      </c>
      <c r="AI116" s="36" t="str">
        <f>IF(DadosViagem5[[#This Row],[Dias em manutenção ]]&lt;5,"Dentro do Prazo","Fora do Prazo")</f>
        <v>Fora do Prazo</v>
      </c>
      <c r="AJ116" s="36" t="e">
        <v>#REF!</v>
      </c>
    </row>
    <row r="117" spans="1:36">
      <c r="A117" s="19" t="s">
        <v>248</v>
      </c>
      <c r="B117" s="20"/>
      <c r="C117" s="19" t="s">
        <v>74</v>
      </c>
      <c r="D117" s="19" t="s">
        <v>52</v>
      </c>
      <c r="E117" s="19" t="s">
        <v>75</v>
      </c>
      <c r="F117" s="19" t="s">
        <v>76</v>
      </c>
      <c r="G117" s="19"/>
      <c r="H117" s="20">
        <v>2023</v>
      </c>
      <c r="I117" s="19" t="s">
        <v>41</v>
      </c>
      <c r="J117" s="19" t="s">
        <v>219</v>
      </c>
      <c r="K117" s="21" t="s">
        <v>220</v>
      </c>
      <c r="L117" s="22" t="s">
        <v>146</v>
      </c>
      <c r="M117" s="23" t="s">
        <v>77</v>
      </c>
      <c r="N117" s="36" t="s">
        <v>221</v>
      </c>
      <c r="O117" s="25" t="s">
        <v>148</v>
      </c>
      <c r="P117" s="26">
        <f ca="1">IFERROR(VLOOKUP(DadosViagem5[[#This Row],[Placa]],[1]BIP!A:E,5,FALSE),"")</f>
        <v>45989</v>
      </c>
      <c r="Q117" s="27">
        <f ca="1">DATEDIF(DadosViagem5[[#This Row],[BIP]],TODAY(),"D")</f>
        <v>1</v>
      </c>
      <c r="R117" s="28" t="str">
        <f>IFERROR(VLOOKUP(DadosViagem5[[#This Row],[Placa]],[1]DDS!B:C,2,FALSE),"Verificar cadastro")</f>
        <v>Carregado</v>
      </c>
      <c r="S117" s="29" t="s">
        <v>48</v>
      </c>
      <c r="T117" s="23"/>
      <c r="U117" s="30"/>
      <c r="V117" s="47"/>
      <c r="W117" s="32" t="s">
        <v>249</v>
      </c>
      <c r="X117" s="33"/>
      <c r="Y117" s="34"/>
      <c r="Z117" s="32"/>
      <c r="AA117" s="20" t="s">
        <v>49</v>
      </c>
      <c r="AB117" s="20" t="s">
        <v>49</v>
      </c>
      <c r="AC117" s="20" t="s">
        <v>49</v>
      </c>
      <c r="AD117" s="20" t="s">
        <v>49</v>
      </c>
      <c r="AE117" s="36"/>
      <c r="AF117" s="25"/>
      <c r="AG117" s="36"/>
      <c r="AH117" s="25">
        <v>45807</v>
      </c>
      <c r="AI117" s="36" t="str">
        <f>IF(DadosViagem5[[#This Row],[Dias em manutenção ]]&lt;5,"Dentro do Prazo","Fora do Prazo")</f>
        <v>Fora do Prazo</v>
      </c>
      <c r="AJ117" s="36" t="e">
        <v>#REF!</v>
      </c>
    </row>
    <row r="118" spans="1:36">
      <c r="A118" s="19" t="s">
        <v>250</v>
      </c>
      <c r="B118" s="20"/>
      <c r="C118" s="19" t="s">
        <v>74</v>
      </c>
      <c r="D118" s="19" t="s">
        <v>52</v>
      </c>
      <c r="E118" s="19" t="s">
        <v>75</v>
      </c>
      <c r="F118" s="19" t="s">
        <v>76</v>
      </c>
      <c r="G118" s="19"/>
      <c r="H118" s="20">
        <v>2023</v>
      </c>
      <c r="I118" s="19" t="s">
        <v>41</v>
      </c>
      <c r="J118" s="19" t="s">
        <v>219</v>
      </c>
      <c r="K118" s="21" t="s">
        <v>220</v>
      </c>
      <c r="L118" s="22" t="s">
        <v>146</v>
      </c>
      <c r="M118" s="23" t="s">
        <v>77</v>
      </c>
      <c r="N118" s="36" t="s">
        <v>221</v>
      </c>
      <c r="O118" s="25" t="s">
        <v>148</v>
      </c>
      <c r="P118" s="26">
        <f ca="1">IFERROR(VLOOKUP(DadosViagem5[[#This Row],[Placa]],[1]BIP!A:E,5,FALSE),"")</f>
        <v>0</v>
      </c>
      <c r="Q118" s="27">
        <f ca="1">DATEDIF(DadosViagem5[[#This Row],[BIP]],TODAY(),"D")</f>
        <v>45990</v>
      </c>
      <c r="R118" s="28" t="str">
        <f>IFERROR(VLOOKUP(DadosViagem5[[#This Row],[Placa]],[1]DDS!B:C,2,FALSE),"Verificar cadastro")</f>
        <v>Manutenção</v>
      </c>
      <c r="S118" s="29" t="s">
        <v>48</v>
      </c>
      <c r="T118" s="23"/>
      <c r="U118" s="30"/>
      <c r="V118" s="31"/>
      <c r="W118" s="32"/>
      <c r="X118" s="33"/>
      <c r="Y118" s="34"/>
      <c r="Z118" s="32"/>
      <c r="AA118" s="20" t="s">
        <v>49</v>
      </c>
      <c r="AB118" s="20" t="s">
        <v>49</v>
      </c>
      <c r="AC118" s="20" t="s">
        <v>49</v>
      </c>
      <c r="AD118" s="20" t="s">
        <v>49</v>
      </c>
      <c r="AE118" s="36"/>
      <c r="AF118" s="25"/>
      <c r="AG118" s="36"/>
      <c r="AH118" s="25">
        <v>45807</v>
      </c>
      <c r="AI118" s="36" t="str">
        <f>IF(DadosViagem5[[#This Row],[Dias em manutenção ]]&lt;5,"Dentro do Prazo","Fora do Prazo")</f>
        <v>Fora do Prazo</v>
      </c>
      <c r="AJ118" s="36" t="e">
        <v>#REF!</v>
      </c>
    </row>
    <row r="119" spans="1:36">
      <c r="A119" s="19" t="s">
        <v>251</v>
      </c>
      <c r="B119" s="20"/>
      <c r="C119" s="19" t="s">
        <v>74</v>
      </c>
      <c r="D119" s="19" t="s">
        <v>52</v>
      </c>
      <c r="E119" s="19" t="s">
        <v>75</v>
      </c>
      <c r="F119" s="19" t="s">
        <v>76</v>
      </c>
      <c r="G119" s="19"/>
      <c r="H119" s="20">
        <v>2024</v>
      </c>
      <c r="I119" s="19" t="s">
        <v>41</v>
      </c>
      <c r="J119" s="19" t="s">
        <v>252</v>
      </c>
      <c r="K119" s="64" t="s">
        <v>253</v>
      </c>
      <c r="L119" s="22" t="s">
        <v>44</v>
      </c>
      <c r="M119" s="23" t="s">
        <v>77</v>
      </c>
      <c r="N119" s="36" t="s">
        <v>78</v>
      </c>
      <c r="O119" s="36" t="s">
        <v>47</v>
      </c>
      <c r="P119" s="26">
        <f ca="1">IFERROR(VLOOKUP(DadosViagem5[[#This Row],[Placa]],[1]BIP!A:E,5,FALSE),"")</f>
        <v>45989</v>
      </c>
      <c r="Q119" s="27">
        <f ca="1">DATEDIF(DadosViagem5[[#This Row],[BIP]],TODAY(),"D")</f>
        <v>1</v>
      </c>
      <c r="R119" s="28" t="str">
        <f>IFERROR(VLOOKUP(DadosViagem5[[#This Row],[Placa]],[1]DDS!B:C,2,FALSE),"Verificar cadastro")</f>
        <v>Carregado</v>
      </c>
      <c r="S119" s="29" t="s">
        <v>48</v>
      </c>
      <c r="T119" s="23"/>
      <c r="U119" s="30"/>
      <c r="V119" s="31"/>
      <c r="W119" s="32"/>
      <c r="X119" s="33"/>
      <c r="Y119" s="34"/>
      <c r="Z119" s="32"/>
      <c r="AA119" s="20" t="s">
        <v>49</v>
      </c>
      <c r="AB119" s="20" t="s">
        <v>49</v>
      </c>
      <c r="AC119" s="20" t="s">
        <v>49</v>
      </c>
      <c r="AD119" s="20" t="s">
        <v>49</v>
      </c>
      <c r="AE119" s="36"/>
      <c r="AF119" s="25"/>
      <c r="AG119" s="36"/>
      <c r="AH119" s="25">
        <v>45807</v>
      </c>
      <c r="AI119" s="36" t="str">
        <f>IF(DadosViagem5[[#This Row],[Dias em manutenção ]]&lt;5,"Dentro do Prazo","Fora do Prazo")</f>
        <v>Fora do Prazo</v>
      </c>
      <c r="AJ119" s="36" t="e">
        <v>#REF!</v>
      </c>
    </row>
    <row r="120" spans="1:36">
      <c r="A120" s="19" t="s">
        <v>254</v>
      </c>
      <c r="B120" s="20"/>
      <c r="C120" s="19" t="s">
        <v>74</v>
      </c>
      <c r="D120" s="19" t="s">
        <v>52</v>
      </c>
      <c r="E120" s="19" t="s">
        <v>75</v>
      </c>
      <c r="F120" s="19" t="s">
        <v>76</v>
      </c>
      <c r="G120" s="19"/>
      <c r="H120" s="20">
        <v>2023</v>
      </c>
      <c r="I120" s="19" t="s">
        <v>41</v>
      </c>
      <c r="J120" s="19" t="s">
        <v>252</v>
      </c>
      <c r="K120" s="64" t="s">
        <v>253</v>
      </c>
      <c r="L120" s="22" t="s">
        <v>44</v>
      </c>
      <c r="M120" s="23" t="s">
        <v>77</v>
      </c>
      <c r="N120" s="36" t="s">
        <v>78</v>
      </c>
      <c r="O120" s="25" t="s">
        <v>47</v>
      </c>
      <c r="P120" s="26">
        <f ca="1">IFERROR(VLOOKUP(DadosViagem5[[#This Row],[Placa]],[1]BIP!A:E,5,FALSE),"")</f>
        <v>0</v>
      </c>
      <c r="Q120" s="27">
        <f ca="1">DATEDIF(DadosViagem5[[#This Row],[BIP]],TODAY(),"D")</f>
        <v>45990</v>
      </c>
      <c r="R120" s="28" t="str">
        <f>IFERROR(VLOOKUP(DadosViagem5[[#This Row],[Placa]],[1]DDS!B:C,2,FALSE),"Verificar cadastro")</f>
        <v> </v>
      </c>
      <c r="S120" s="29" t="s">
        <v>48</v>
      </c>
      <c r="T120" s="23"/>
      <c r="U120" s="30"/>
      <c r="V120" s="31"/>
      <c r="W120" s="32"/>
      <c r="X120" s="33"/>
      <c r="Y120" s="34"/>
      <c r="Z120" s="32"/>
      <c r="AA120" s="20" t="s">
        <v>49</v>
      </c>
      <c r="AB120" s="20" t="s">
        <v>49</v>
      </c>
      <c r="AC120" s="20" t="s">
        <v>49</v>
      </c>
      <c r="AD120" s="20" t="s">
        <v>49</v>
      </c>
      <c r="AE120" s="36"/>
      <c r="AF120" s="25"/>
      <c r="AG120" s="36"/>
      <c r="AH120" s="25">
        <v>45807</v>
      </c>
      <c r="AI120" s="36" t="str">
        <f>IF(DadosViagem5[[#This Row],[Dias em manutenção ]]&lt;5,"Dentro do Prazo","Fora do Prazo")</f>
        <v>Fora do Prazo</v>
      </c>
      <c r="AJ120" s="36" t="e">
        <v>#REF!</v>
      </c>
    </row>
    <row r="121" spans="1:36">
      <c r="A121" s="19" t="s">
        <v>255</v>
      </c>
      <c r="B121" s="20"/>
      <c r="C121" s="19" t="s">
        <v>256</v>
      </c>
      <c r="D121" s="19" t="s">
        <v>257</v>
      </c>
      <c r="E121" s="19" t="s">
        <v>57</v>
      </c>
      <c r="F121" s="19" t="s">
        <v>40</v>
      </c>
      <c r="G121" s="19"/>
      <c r="H121" s="20">
        <v>2022</v>
      </c>
      <c r="I121" s="19" t="s">
        <v>41</v>
      </c>
      <c r="J121" s="19" t="s">
        <v>258</v>
      </c>
      <c r="K121" s="21" t="s">
        <v>259</v>
      </c>
      <c r="L121" s="22" t="s">
        <v>60</v>
      </c>
      <c r="M121" s="23" t="s">
        <v>61</v>
      </c>
      <c r="N121" s="25" t="s">
        <v>260</v>
      </c>
      <c r="O121" s="65" t="s">
        <v>63</v>
      </c>
      <c r="P121" s="26">
        <f ca="1">IFERROR(VLOOKUP(DadosViagem5[[#This Row],[Placa]],[1]BIP!A:E,5,FALSE),"")</f>
        <v>45989</v>
      </c>
      <c r="Q121" s="27">
        <f ca="1">DATEDIF(DadosViagem5[[#This Row],[BIP]],TODAY(),"D")</f>
        <v>1</v>
      </c>
      <c r="R121" s="28" t="str">
        <f>IFERROR(VLOOKUP(DadosViagem5[[#This Row],[Placa]],[1]DDS!B:C,2,FALSE),"Verificar cadastro")</f>
        <v>Carregado</v>
      </c>
      <c r="S121" s="29" t="s">
        <v>48</v>
      </c>
      <c r="T121" s="23"/>
      <c r="U121" s="30"/>
      <c r="V121" s="31"/>
      <c r="W121" s="32"/>
      <c r="X121" s="33"/>
      <c r="Y121" s="34" t="s">
        <v>49</v>
      </c>
      <c r="Z121" s="32"/>
      <c r="AA121" s="20" t="s">
        <v>49</v>
      </c>
      <c r="AB121" s="20" t="s">
        <v>49</v>
      </c>
      <c r="AC121" s="19" t="s">
        <v>49</v>
      </c>
      <c r="AD121" s="19" t="str">
        <f ca="1">IFERROR(DATEDIF(DadosViagem5[[#This Row],[Utimo Bip Reserva]],TODAY(),"D"),"")</f>
        <v/>
      </c>
      <c r="AE121" s="36" t="s">
        <v>49</v>
      </c>
      <c r="AF121" s="25" t="s">
        <v>49</v>
      </c>
      <c r="AG121" s="36"/>
      <c r="AH121" s="25">
        <v>45807</v>
      </c>
      <c r="AI121" s="36" t="str">
        <f>IF(DadosViagem5[[#This Row],[Dias em manutenção ]]&lt;5,"Dentro do Prazo","Fora do Prazo")</f>
        <v>Fora do Prazo</v>
      </c>
      <c r="AJ121" s="36" t="e">
        <v>#REF!</v>
      </c>
    </row>
    <row r="122" spans="1:36">
      <c r="A122" s="19" t="s">
        <v>261</v>
      </c>
      <c r="B122" s="20"/>
      <c r="C122" s="19" t="s">
        <v>256</v>
      </c>
      <c r="D122" s="19" t="s">
        <v>98</v>
      </c>
      <c r="E122" s="19" t="s">
        <v>57</v>
      </c>
      <c r="F122" s="19" t="s">
        <v>40</v>
      </c>
      <c r="G122" s="19"/>
      <c r="H122" s="20">
        <v>2021</v>
      </c>
      <c r="I122" s="19" t="s">
        <v>41</v>
      </c>
      <c r="J122" s="19" t="s">
        <v>258</v>
      </c>
      <c r="K122" s="21" t="s">
        <v>259</v>
      </c>
      <c r="L122" s="22" t="s">
        <v>60</v>
      </c>
      <c r="M122" s="23" t="s">
        <v>61</v>
      </c>
      <c r="N122" s="25" t="s">
        <v>260</v>
      </c>
      <c r="O122" s="65" t="s">
        <v>63</v>
      </c>
      <c r="P122" s="26">
        <f ca="1">IFERROR(VLOOKUP(DadosViagem5[[#This Row],[Placa]],[1]BIP!A:E,5,FALSE),"")</f>
        <v>0</v>
      </c>
      <c r="Q122" s="27">
        <f ca="1">DATEDIF(DadosViagem5[[#This Row],[BIP]],TODAY(),"D")</f>
        <v>45990</v>
      </c>
      <c r="R122" s="28" t="str">
        <f>IFERROR(VLOOKUP(DadosViagem5[[#This Row],[Placa]],[1]DDS!B:C,2,FALSE),"Verificar cadastro")</f>
        <v>Dispensado sem carga</v>
      </c>
      <c r="S122" s="29" t="s">
        <v>48</v>
      </c>
      <c r="T122" s="23"/>
      <c r="U122" s="30"/>
      <c r="V122" s="31"/>
      <c r="W122" s="32"/>
      <c r="X122" s="33"/>
      <c r="Y122" s="34"/>
      <c r="Z122" s="32"/>
      <c r="AA122" s="20" t="s">
        <v>49</v>
      </c>
      <c r="AB122" s="20" t="s">
        <v>49</v>
      </c>
      <c r="AC122" s="19" t="s">
        <v>49</v>
      </c>
      <c r="AD122" s="19" t="str">
        <f ca="1">IFERROR(DATEDIF(DadosViagem5[[#This Row],[Utimo Bip Reserva]],TODAY(),"D"),"")</f>
        <v/>
      </c>
      <c r="AE122" s="29" t="s">
        <v>49</v>
      </c>
      <c r="AF122" s="35" t="s">
        <v>49</v>
      </c>
      <c r="AG122" s="36"/>
      <c r="AH122" s="25">
        <v>45807</v>
      </c>
      <c r="AI122" s="36" t="str">
        <f>IF(DadosViagem5[[#This Row],[Dias em manutenção ]]&lt;5,"Dentro do Prazo","Fora do Prazo")</f>
        <v>Fora do Prazo</v>
      </c>
      <c r="AJ122" s="36" t="e">
        <v>#REF!</v>
      </c>
    </row>
    <row r="123" spans="1:36">
      <c r="A123" s="19" t="s">
        <v>262</v>
      </c>
      <c r="B123" s="20"/>
      <c r="C123" s="19" t="s">
        <v>263</v>
      </c>
      <c r="D123" s="19" t="s">
        <v>264</v>
      </c>
      <c r="E123" s="19" t="s">
        <v>265</v>
      </c>
      <c r="F123" s="19" t="s">
        <v>40</v>
      </c>
      <c r="G123" s="19"/>
      <c r="H123" s="20">
        <v>2023</v>
      </c>
      <c r="I123" s="19" t="s">
        <v>41</v>
      </c>
      <c r="J123" s="19" t="s">
        <v>266</v>
      </c>
      <c r="K123" s="66" t="s">
        <v>267</v>
      </c>
      <c r="L123" s="22" t="s">
        <v>60</v>
      </c>
      <c r="M123" s="23" t="s">
        <v>268</v>
      </c>
      <c r="N123" s="67" t="s">
        <v>269</v>
      </c>
      <c r="O123" s="36" t="s">
        <v>270</v>
      </c>
      <c r="P123" s="26">
        <f ca="1">IFERROR(VLOOKUP(DadosViagem5[[#This Row],[Placa]],[1]BIP!A:E,5,FALSE),"")</f>
        <v>0</v>
      </c>
      <c r="Q123" s="27">
        <f ca="1">DATEDIF(DadosViagem5[[#This Row],[BIP]],TODAY(),"D")</f>
        <v>45990</v>
      </c>
      <c r="R123" s="28" t="str">
        <f>IFERROR(VLOOKUP(DadosViagem5[[#This Row],[Placa]],[1]DDS!B:C,2,FALSE),"Verificar cadastro")</f>
        <v> </v>
      </c>
      <c r="S123" s="29" t="s">
        <v>48</v>
      </c>
      <c r="T123" s="23"/>
      <c r="U123" s="30"/>
      <c r="V123" s="47"/>
      <c r="W123" s="32"/>
      <c r="X123" s="33"/>
      <c r="Y123" s="34"/>
      <c r="Z123" s="32"/>
      <c r="AA123" s="20" t="s">
        <v>49</v>
      </c>
      <c r="AB123" s="20" t="s">
        <v>49</v>
      </c>
      <c r="AC123" s="19"/>
      <c r="AD123" s="19">
        <f ca="1">IFERROR(DATEDIF(DadosViagem5[[#This Row],[Utimo Bip Reserva]],TODAY(),"D"),"")</f>
        <v>45990</v>
      </c>
      <c r="AE123" s="35" t="s">
        <v>49</v>
      </c>
      <c r="AF123" s="35" t="s">
        <v>49</v>
      </c>
      <c r="AG123" s="36"/>
      <c r="AH123" s="25">
        <v>45807</v>
      </c>
      <c r="AI123" s="36" t="str">
        <f>IF(DadosViagem5[[#This Row],[Dias em manutenção ]]&lt;5,"Dentro do Prazo","Fora do Prazo")</f>
        <v>Fora do Prazo</v>
      </c>
      <c r="AJ123" s="36" t="e">
        <v>#REF!</v>
      </c>
    </row>
    <row r="124" spans="1:36">
      <c r="A124" s="19" t="s">
        <v>271</v>
      </c>
      <c r="B124" s="20"/>
      <c r="C124" s="19" t="s">
        <v>272</v>
      </c>
      <c r="D124" s="19" t="s">
        <v>273</v>
      </c>
      <c r="E124" s="19" t="s">
        <v>274</v>
      </c>
      <c r="F124" s="19" t="s">
        <v>275</v>
      </c>
      <c r="G124" s="19"/>
      <c r="H124" s="20">
        <v>2023</v>
      </c>
      <c r="I124" s="19" t="s">
        <v>41</v>
      </c>
      <c r="J124" s="19" t="s">
        <v>276</v>
      </c>
      <c r="K124" s="21" t="s">
        <v>277</v>
      </c>
      <c r="L124" s="22" t="s">
        <v>44</v>
      </c>
      <c r="M124" s="23" t="s">
        <v>268</v>
      </c>
      <c r="N124" s="36" t="s">
        <v>278</v>
      </c>
      <c r="O124" s="25" t="s">
        <v>279</v>
      </c>
      <c r="P124" s="26">
        <f ca="1">IFERROR(VLOOKUP(DadosViagem5[[#This Row],[Placa]],[1]BIP!A:E,5,FALSE),"")</f>
        <v>0</v>
      </c>
      <c r="Q124" s="27">
        <f ca="1">DATEDIF(DadosViagem5[[#This Row],[BIP]],TODAY(),"D")</f>
        <v>45990</v>
      </c>
      <c r="R124" s="28" t="str">
        <f>IFERROR(VLOOKUP(DadosViagem5[[#This Row],[Placa]],[1]DDS!B:C,2,FALSE),"Verificar cadastro")</f>
        <v> </v>
      </c>
      <c r="S124" s="29" t="s">
        <v>48</v>
      </c>
      <c r="T124" s="23"/>
      <c r="U124" s="30"/>
      <c r="V124" s="31"/>
      <c r="W124" s="32"/>
      <c r="X124" s="33"/>
      <c r="Y124" s="34"/>
      <c r="Z124" s="32"/>
      <c r="AA124" s="20" t="s">
        <v>49</v>
      </c>
      <c r="AB124" s="20" t="s">
        <v>49</v>
      </c>
      <c r="AC124" s="19" t="s">
        <v>49</v>
      </c>
      <c r="AD124" s="19" t="str">
        <f ca="1">IFERROR(DATEDIF(DadosViagem5[[#This Row],[Utimo Bip Reserva]],TODAY(),"D"),"")</f>
        <v/>
      </c>
      <c r="AE124" s="25" t="s">
        <v>49</v>
      </c>
      <c r="AF124" s="25" t="s">
        <v>49</v>
      </c>
      <c r="AG124" s="36"/>
      <c r="AH124" s="25">
        <v>45807</v>
      </c>
      <c r="AI124" s="36" t="str">
        <f>IF(DadosViagem5[[#This Row],[Dias em manutenção ]]&lt;5,"Dentro do Prazo","Fora do Prazo")</f>
        <v>Fora do Prazo</v>
      </c>
      <c r="AJ124" s="36" t="e">
        <v>#REF!</v>
      </c>
    </row>
    <row r="125" spans="1:36">
      <c r="A125" s="19" t="s">
        <v>280</v>
      </c>
      <c r="B125" s="20"/>
      <c r="C125" s="19" t="s">
        <v>272</v>
      </c>
      <c r="D125" s="19" t="s">
        <v>273</v>
      </c>
      <c r="E125" s="19" t="s">
        <v>274</v>
      </c>
      <c r="F125" s="19" t="s">
        <v>275</v>
      </c>
      <c r="G125" s="19"/>
      <c r="H125" s="20">
        <v>2023</v>
      </c>
      <c r="I125" s="19" t="s">
        <v>41</v>
      </c>
      <c r="J125" s="19" t="s">
        <v>276</v>
      </c>
      <c r="K125" s="21" t="s">
        <v>277</v>
      </c>
      <c r="L125" s="22" t="s">
        <v>44</v>
      </c>
      <c r="M125" s="23" t="s">
        <v>268</v>
      </c>
      <c r="N125" s="36" t="s">
        <v>278</v>
      </c>
      <c r="O125" s="25" t="s">
        <v>279</v>
      </c>
      <c r="P125" s="26">
        <f ca="1">IFERROR(VLOOKUP(DadosViagem5[[#This Row],[Placa]],[1]BIP!A:E,5,FALSE),"")</f>
        <v>0</v>
      </c>
      <c r="Q125" s="27">
        <f ca="1">DATEDIF(DadosViagem5[[#This Row],[BIP]],TODAY(),"D")</f>
        <v>45990</v>
      </c>
      <c r="R125" s="28" t="str">
        <f>IFERROR(VLOOKUP(DadosViagem5[[#This Row],[Placa]],[1]DDS!B:C,2,FALSE),"Verificar cadastro")</f>
        <v>Verificar cadastro</v>
      </c>
      <c r="S125" s="29" t="s">
        <v>48</v>
      </c>
      <c r="T125" s="23"/>
      <c r="U125" s="30"/>
      <c r="V125" s="31"/>
      <c r="W125" s="32"/>
      <c r="X125" s="33"/>
      <c r="Y125" s="34"/>
      <c r="Z125" s="32"/>
      <c r="AA125" s="20" t="s">
        <v>49</v>
      </c>
      <c r="AB125" s="20" t="s">
        <v>49</v>
      </c>
      <c r="AC125" s="19" t="s">
        <v>49</v>
      </c>
      <c r="AD125" s="19" t="str">
        <f ca="1">IFERROR(DATEDIF(DadosViagem5[[#This Row],[Utimo Bip Reserva]],TODAY(),"D"),"")</f>
        <v/>
      </c>
      <c r="AE125" s="25" t="s">
        <v>49</v>
      </c>
      <c r="AF125" s="25" t="s">
        <v>49</v>
      </c>
      <c r="AG125" s="36"/>
      <c r="AH125" s="25">
        <v>45807</v>
      </c>
      <c r="AI125" s="36" t="str">
        <f>IF(DadosViagem5[[#This Row],[Dias em manutenção ]]&lt;5,"Dentro do Prazo","Fora do Prazo")</f>
        <v>Fora do Prazo</v>
      </c>
      <c r="AJ125" s="36" t="e">
        <v>#REF!</v>
      </c>
    </row>
    <row r="126" spans="1:36">
      <c r="A126" s="19" t="s">
        <v>281</v>
      </c>
      <c r="B126" s="20"/>
      <c r="C126" s="19" t="s">
        <v>272</v>
      </c>
      <c r="D126" s="19" t="s">
        <v>273</v>
      </c>
      <c r="E126" s="19" t="s">
        <v>274</v>
      </c>
      <c r="F126" s="19" t="s">
        <v>275</v>
      </c>
      <c r="G126" s="19"/>
      <c r="H126" s="20">
        <v>2023</v>
      </c>
      <c r="I126" s="19" t="s">
        <v>41</v>
      </c>
      <c r="J126" s="19" t="s">
        <v>276</v>
      </c>
      <c r="K126" s="21" t="s">
        <v>277</v>
      </c>
      <c r="L126" s="22" t="s">
        <v>44</v>
      </c>
      <c r="M126" s="23" t="s">
        <v>268</v>
      </c>
      <c r="N126" s="36" t="s">
        <v>278</v>
      </c>
      <c r="O126" s="25" t="s">
        <v>279</v>
      </c>
      <c r="P126" s="26">
        <f ca="1">IFERROR(VLOOKUP(DadosViagem5[[#This Row],[Placa]],[1]BIP!A:E,5,FALSE),"")</f>
        <v>0</v>
      </c>
      <c r="Q126" s="27">
        <f ca="1">DATEDIF(DadosViagem5[[#This Row],[BIP]],TODAY(),"D")</f>
        <v>45990</v>
      </c>
      <c r="R126" s="28" t="str">
        <f>IFERROR(VLOOKUP(DadosViagem5[[#This Row],[Placa]],[1]DDS!B:C,2,FALSE),"Verificar cadastro")</f>
        <v> </v>
      </c>
      <c r="S126" s="29" t="s">
        <v>48</v>
      </c>
      <c r="T126" s="23"/>
      <c r="U126" s="30"/>
      <c r="V126" s="31"/>
      <c r="W126" s="32"/>
      <c r="X126" s="33"/>
      <c r="Y126" s="34"/>
      <c r="Z126" s="32"/>
      <c r="AA126" s="20" t="s">
        <v>49</v>
      </c>
      <c r="AB126" s="20" t="s">
        <v>49</v>
      </c>
      <c r="AC126" s="19" t="s">
        <v>49</v>
      </c>
      <c r="AD126" s="19" t="str">
        <f ca="1">IFERROR(DATEDIF(DadosViagem5[[#This Row],[Utimo Bip Reserva]],TODAY(),"D"),"")</f>
        <v/>
      </c>
      <c r="AE126" s="25" t="s">
        <v>49</v>
      </c>
      <c r="AF126" s="25" t="s">
        <v>49</v>
      </c>
      <c r="AG126" s="36"/>
      <c r="AH126" s="25">
        <v>45807</v>
      </c>
      <c r="AI126" s="36" t="str">
        <f>IF(DadosViagem5[[#This Row],[Dias em manutenção ]]&lt;5,"Dentro do Prazo","Fora do Prazo")</f>
        <v>Fora do Prazo</v>
      </c>
      <c r="AJ126" s="36" t="e">
        <v>#REF!</v>
      </c>
    </row>
    <row r="127" spans="1:36">
      <c r="A127" s="19" t="s">
        <v>282</v>
      </c>
      <c r="B127" s="20"/>
      <c r="C127" s="19" t="s">
        <v>272</v>
      </c>
      <c r="D127" s="19" t="s">
        <v>273</v>
      </c>
      <c r="E127" s="19" t="s">
        <v>274</v>
      </c>
      <c r="F127" s="19" t="s">
        <v>275</v>
      </c>
      <c r="G127" s="19"/>
      <c r="H127" s="20">
        <v>2023</v>
      </c>
      <c r="I127" s="19" t="s">
        <v>41</v>
      </c>
      <c r="J127" s="19" t="s">
        <v>276</v>
      </c>
      <c r="K127" s="21" t="s">
        <v>277</v>
      </c>
      <c r="L127" s="22" t="s">
        <v>44</v>
      </c>
      <c r="M127" s="23" t="s">
        <v>268</v>
      </c>
      <c r="N127" s="36" t="s">
        <v>278</v>
      </c>
      <c r="O127" s="25" t="s">
        <v>279</v>
      </c>
      <c r="P127" s="26">
        <f ca="1">IFERROR(VLOOKUP(DadosViagem5[[#This Row],[Placa]],[1]BIP!A:E,5,FALSE),"")</f>
        <v>0</v>
      </c>
      <c r="Q127" s="27">
        <f ca="1">DATEDIF(DadosViagem5[[#This Row],[BIP]],TODAY(),"D")</f>
        <v>45990</v>
      </c>
      <c r="R127" s="28" t="str">
        <f>IFERROR(VLOOKUP(DadosViagem5[[#This Row],[Placa]],[1]DDS!B:C,2,FALSE),"Verificar cadastro")</f>
        <v>Verificar cadastro</v>
      </c>
      <c r="S127" s="29" t="s">
        <v>48</v>
      </c>
      <c r="T127" s="23"/>
      <c r="U127" s="30"/>
      <c r="V127" s="47"/>
      <c r="W127" s="32" t="s">
        <v>283</v>
      </c>
      <c r="X127" s="33"/>
      <c r="Y127" s="34"/>
      <c r="Z127" s="32"/>
      <c r="AA127" s="20" t="s">
        <v>49</v>
      </c>
      <c r="AB127" s="20" t="s">
        <v>49</v>
      </c>
      <c r="AC127" s="19" t="s">
        <v>49</v>
      </c>
      <c r="AD127" s="19" t="str">
        <f ca="1">IFERROR(DATEDIF(DadosViagem5[[#This Row],[Utimo Bip Reserva]],TODAY(),"D"),"")</f>
        <v/>
      </c>
      <c r="AE127" s="25" t="s">
        <v>49</v>
      </c>
      <c r="AF127" s="25" t="s">
        <v>49</v>
      </c>
      <c r="AG127" s="36"/>
      <c r="AH127" s="25">
        <v>45807</v>
      </c>
      <c r="AI127" s="36" t="str">
        <f>IF(DadosViagem5[[#This Row],[Dias em manutenção ]]&lt;5,"Dentro do Prazo","Fora do Prazo")</f>
        <v>Fora do Prazo</v>
      </c>
      <c r="AJ127" s="36" t="e">
        <v>#REF!</v>
      </c>
    </row>
    <row r="128" spans="1:36">
      <c r="A128" s="19" t="s">
        <v>284</v>
      </c>
      <c r="B128" s="20"/>
      <c r="C128" s="19" t="s">
        <v>272</v>
      </c>
      <c r="D128" s="19" t="s">
        <v>273</v>
      </c>
      <c r="E128" s="19" t="s">
        <v>274</v>
      </c>
      <c r="F128" s="19" t="s">
        <v>275</v>
      </c>
      <c r="G128" s="19"/>
      <c r="H128" s="20">
        <v>2023</v>
      </c>
      <c r="I128" s="19" t="s">
        <v>41</v>
      </c>
      <c r="J128" s="19" t="s">
        <v>276</v>
      </c>
      <c r="K128" s="21" t="s">
        <v>277</v>
      </c>
      <c r="L128" s="22" t="s">
        <v>44</v>
      </c>
      <c r="M128" s="23" t="s">
        <v>268</v>
      </c>
      <c r="N128" s="36" t="s">
        <v>278</v>
      </c>
      <c r="O128" s="25" t="s">
        <v>279</v>
      </c>
      <c r="P128" s="26">
        <f ca="1">IFERROR(VLOOKUP(DadosViagem5[[#This Row],[Placa]],[1]BIP!A:E,5,FALSE),"")</f>
        <v>0</v>
      </c>
      <c r="Q128" s="27">
        <f ca="1">DATEDIF(DadosViagem5[[#This Row],[BIP]],TODAY(),"D")</f>
        <v>45990</v>
      </c>
      <c r="R128" s="28" t="str">
        <f>IFERROR(VLOOKUP(DadosViagem5[[#This Row],[Placa]],[1]DDS!B:C,2,FALSE),"Verificar cadastro")</f>
        <v>Verificar cadastro</v>
      </c>
      <c r="S128" s="29" t="s">
        <v>48</v>
      </c>
      <c r="T128" s="23"/>
      <c r="U128" s="30"/>
      <c r="V128" s="31"/>
      <c r="W128" s="32"/>
      <c r="X128" s="33"/>
      <c r="Y128" s="34"/>
      <c r="Z128" s="32"/>
      <c r="AA128" s="20" t="s">
        <v>49</v>
      </c>
      <c r="AB128" s="20" t="s">
        <v>49</v>
      </c>
      <c r="AC128" s="19" t="s">
        <v>49</v>
      </c>
      <c r="AD128" s="19" t="str">
        <f ca="1">IFERROR(DATEDIF(DadosViagem5[[#This Row],[Utimo Bip Reserva]],TODAY(),"D"),"")</f>
        <v/>
      </c>
      <c r="AE128" s="25" t="s">
        <v>49</v>
      </c>
      <c r="AF128" s="25" t="s">
        <v>49</v>
      </c>
      <c r="AG128" s="36"/>
      <c r="AH128" s="25">
        <v>45807</v>
      </c>
      <c r="AI128" s="36" t="str">
        <f>IF(DadosViagem5[[#This Row],[Dias em manutenção ]]&lt;5,"Dentro do Prazo","Fora do Prazo")</f>
        <v>Fora do Prazo</v>
      </c>
      <c r="AJ128" s="36" t="e">
        <v>#REF!</v>
      </c>
    </row>
    <row r="129" spans="1:36">
      <c r="A129" s="19" t="s">
        <v>285</v>
      </c>
      <c r="B129" s="20"/>
      <c r="C129" s="19" t="s">
        <v>286</v>
      </c>
      <c r="D129" s="19" t="s">
        <v>273</v>
      </c>
      <c r="E129" s="19" t="s">
        <v>39</v>
      </c>
      <c r="F129" s="19" t="s">
        <v>106</v>
      </c>
      <c r="G129" s="19"/>
      <c r="H129" s="20">
        <v>2022</v>
      </c>
      <c r="I129" s="19" t="s">
        <v>41</v>
      </c>
      <c r="J129" s="19" t="s">
        <v>276</v>
      </c>
      <c r="K129" s="21" t="s">
        <v>277</v>
      </c>
      <c r="L129" s="22" t="s">
        <v>44</v>
      </c>
      <c r="M129" s="23" t="s">
        <v>45</v>
      </c>
      <c r="N129" s="36" t="s">
        <v>287</v>
      </c>
      <c r="O129" s="65" t="s">
        <v>288</v>
      </c>
      <c r="P129" s="26">
        <f ca="1">IFERROR(VLOOKUP(DadosViagem5[[#This Row],[Placa]],[1]BIP!A:E,5,FALSE),"")</f>
        <v>0</v>
      </c>
      <c r="Q129" s="27">
        <f ca="1">DATEDIF(DadosViagem5[[#This Row],[BIP]],TODAY(),"D")</f>
        <v>45990</v>
      </c>
      <c r="R129" s="28" t="str">
        <f>IFERROR(VLOOKUP(DadosViagem5[[#This Row],[Placa]],[1]DDS!B:C,2,FALSE),"Verificar cadastro")</f>
        <v>Verificar cadastro</v>
      </c>
      <c r="S129" s="29" t="s">
        <v>48</v>
      </c>
      <c r="T129" s="23"/>
      <c r="U129" s="30"/>
      <c r="V129" s="47"/>
      <c r="W129" s="32" t="s">
        <v>289</v>
      </c>
      <c r="X129" s="33" t="s">
        <v>55</v>
      </c>
      <c r="Y129" s="34" t="s">
        <v>49</v>
      </c>
      <c r="Z129" s="32"/>
      <c r="AA129" s="20" t="s">
        <v>49</v>
      </c>
      <c r="AB129" s="20" t="s">
        <v>49</v>
      </c>
      <c r="AC129" s="19" t="s">
        <v>49</v>
      </c>
      <c r="AD129" s="19" t="str">
        <f ca="1">IFERROR(DATEDIF(DadosViagem5[[#This Row],[Utimo Bip Reserva]],TODAY(),"D"),"")</f>
        <v/>
      </c>
      <c r="AE129" s="25" t="s">
        <v>49</v>
      </c>
      <c r="AF129" s="25" t="s">
        <v>49</v>
      </c>
      <c r="AG129" s="36" t="s">
        <v>290</v>
      </c>
      <c r="AH129" s="25">
        <v>45807</v>
      </c>
      <c r="AI129" s="36" t="str">
        <f>IF(DadosViagem5[[#This Row],[Dias em manutenção ]]&lt;5,"Dentro do Prazo","Fora do Prazo")</f>
        <v>Fora do Prazo</v>
      </c>
      <c r="AJ129" s="36" t="e">
        <v>#REF!</v>
      </c>
    </row>
    <row r="130" spans="1:36">
      <c r="A130" s="19" t="s">
        <v>291</v>
      </c>
      <c r="B130" s="20"/>
      <c r="C130" s="19" t="s">
        <v>272</v>
      </c>
      <c r="D130" s="19" t="s">
        <v>273</v>
      </c>
      <c r="E130" s="19" t="s">
        <v>274</v>
      </c>
      <c r="F130" s="19" t="s">
        <v>275</v>
      </c>
      <c r="G130" s="19"/>
      <c r="H130" s="20">
        <v>2023</v>
      </c>
      <c r="I130" s="19" t="s">
        <v>41</v>
      </c>
      <c r="J130" s="19" t="s">
        <v>276</v>
      </c>
      <c r="K130" s="21" t="s">
        <v>277</v>
      </c>
      <c r="L130" s="22" t="s">
        <v>44</v>
      </c>
      <c r="M130" s="23" t="s">
        <v>268</v>
      </c>
      <c r="N130" s="36" t="s">
        <v>278</v>
      </c>
      <c r="O130" s="25" t="s">
        <v>279</v>
      </c>
      <c r="P130" s="26">
        <f ca="1">IFERROR(VLOOKUP(DadosViagem5[[#This Row],[Placa]],[1]BIP!A:E,5,FALSE),"")</f>
        <v>0</v>
      </c>
      <c r="Q130" s="27">
        <f ca="1">DATEDIF(DadosViagem5[[#This Row],[BIP]],TODAY(),"D")</f>
        <v>45990</v>
      </c>
      <c r="R130" s="28" t="str">
        <f>IFERROR(VLOOKUP(DadosViagem5[[#This Row],[Placa]],[1]DDS!B:C,2,FALSE),"Verificar cadastro")</f>
        <v> </v>
      </c>
      <c r="S130" s="29" t="s">
        <v>48</v>
      </c>
      <c r="T130" s="23"/>
      <c r="U130" s="30"/>
      <c r="V130" s="31"/>
      <c r="W130" s="32"/>
      <c r="X130" s="33"/>
      <c r="Y130" s="34"/>
      <c r="Z130" s="32"/>
      <c r="AA130" s="20" t="s">
        <v>49</v>
      </c>
      <c r="AB130" s="20" t="s">
        <v>49</v>
      </c>
      <c r="AC130" s="19" t="s">
        <v>49</v>
      </c>
      <c r="AD130" s="19" t="str">
        <f ca="1">IFERROR(DATEDIF(DadosViagem5[[#This Row],[Utimo Bip Reserva]],TODAY(),"D"),"")</f>
        <v/>
      </c>
      <c r="AE130" s="25" t="s">
        <v>49</v>
      </c>
      <c r="AF130" s="25" t="s">
        <v>49</v>
      </c>
      <c r="AG130" s="36"/>
      <c r="AH130" s="25">
        <v>45807</v>
      </c>
      <c r="AI130" s="36" t="str">
        <f>IF(DadosViagem5[[#This Row],[Dias em manutenção ]]&lt;5,"Dentro do Prazo","Fora do Prazo")</f>
        <v>Fora do Prazo</v>
      </c>
      <c r="AJ130" s="36" t="e">
        <v>#REF!</v>
      </c>
    </row>
    <row r="131" spans="1:36">
      <c r="A131" s="19" t="s">
        <v>292</v>
      </c>
      <c r="B131" s="20"/>
      <c r="C131" s="19" t="s">
        <v>272</v>
      </c>
      <c r="D131" s="19" t="s">
        <v>273</v>
      </c>
      <c r="E131" s="19" t="s">
        <v>274</v>
      </c>
      <c r="F131" s="19" t="s">
        <v>275</v>
      </c>
      <c r="G131" s="19"/>
      <c r="H131" s="20">
        <v>2023</v>
      </c>
      <c r="I131" s="19" t="s">
        <v>41</v>
      </c>
      <c r="J131" s="19" t="s">
        <v>276</v>
      </c>
      <c r="K131" s="21" t="s">
        <v>277</v>
      </c>
      <c r="L131" s="22" t="s">
        <v>44</v>
      </c>
      <c r="M131" s="23" t="s">
        <v>268</v>
      </c>
      <c r="N131" s="36" t="s">
        <v>278</v>
      </c>
      <c r="O131" s="25" t="s">
        <v>279</v>
      </c>
      <c r="P131" s="26">
        <f ca="1">IFERROR(VLOOKUP(DadosViagem5[[#This Row],[Placa]],[1]BIP!A:E,5,FALSE),"")</f>
        <v>0</v>
      </c>
      <c r="Q131" s="27">
        <f ca="1">DATEDIF(DadosViagem5[[#This Row],[BIP]],TODAY(),"D")</f>
        <v>45990</v>
      </c>
      <c r="R131" s="28" t="str">
        <f>IFERROR(VLOOKUP(DadosViagem5[[#This Row],[Placa]],[1]DDS!B:C,2,FALSE),"Verificar cadastro")</f>
        <v>Verificar cadastro</v>
      </c>
      <c r="S131" s="29" t="s">
        <v>48</v>
      </c>
      <c r="T131" s="23"/>
      <c r="U131" s="30"/>
      <c r="V131" s="31"/>
      <c r="W131" s="32"/>
      <c r="X131" s="33"/>
      <c r="Y131" s="34"/>
      <c r="Z131" s="32"/>
      <c r="AA131" s="20" t="s">
        <v>49</v>
      </c>
      <c r="AB131" s="20" t="s">
        <v>49</v>
      </c>
      <c r="AC131" s="19" t="s">
        <v>49</v>
      </c>
      <c r="AD131" s="19" t="str">
        <f ca="1">IFERROR(DATEDIF(DadosViagem5[[#This Row],[Utimo Bip Reserva]],TODAY(),"D"),"")</f>
        <v/>
      </c>
      <c r="AE131" s="25" t="s">
        <v>49</v>
      </c>
      <c r="AF131" s="25" t="s">
        <v>49</v>
      </c>
      <c r="AG131" s="36"/>
      <c r="AH131" s="25">
        <v>45807</v>
      </c>
      <c r="AI131" s="36" t="str">
        <f>IF(DadosViagem5[[#This Row],[Dias em manutenção ]]&lt;5,"Dentro do Prazo","Fora do Prazo")</f>
        <v>Fora do Prazo</v>
      </c>
      <c r="AJ131" s="36" t="e">
        <v>#REF!</v>
      </c>
    </row>
    <row r="132" spans="1:36">
      <c r="A132" s="19" t="s">
        <v>293</v>
      </c>
      <c r="B132" s="20"/>
      <c r="C132" s="19" t="s">
        <v>294</v>
      </c>
      <c r="D132" s="19" t="s">
        <v>273</v>
      </c>
      <c r="E132" s="19" t="s">
        <v>274</v>
      </c>
      <c r="F132" s="19" t="s">
        <v>275</v>
      </c>
      <c r="G132" s="19"/>
      <c r="H132" s="20">
        <v>2023</v>
      </c>
      <c r="I132" s="19" t="s">
        <v>41</v>
      </c>
      <c r="J132" s="19" t="s">
        <v>276</v>
      </c>
      <c r="K132" s="21" t="s">
        <v>277</v>
      </c>
      <c r="L132" s="22" t="s">
        <v>44</v>
      </c>
      <c r="M132" s="23" t="s">
        <v>268</v>
      </c>
      <c r="N132" s="36" t="s">
        <v>278</v>
      </c>
      <c r="O132" s="25" t="s">
        <v>279</v>
      </c>
      <c r="P132" s="26">
        <f ca="1">IFERROR(VLOOKUP(DadosViagem5[[#This Row],[Placa]],[1]BIP!A:E,5,FALSE),"")</f>
        <v>0</v>
      </c>
      <c r="Q132" s="27">
        <f ca="1">DATEDIF(DadosViagem5[[#This Row],[BIP]],TODAY(),"D")</f>
        <v>45990</v>
      </c>
      <c r="R132" s="28" t="str">
        <f>IFERROR(VLOOKUP(DadosViagem5[[#This Row],[Placa]],[1]DDS!B:C,2,FALSE),"Verificar cadastro")</f>
        <v> </v>
      </c>
      <c r="S132" s="29" t="s">
        <v>48</v>
      </c>
      <c r="T132" s="23"/>
      <c r="U132" s="30"/>
      <c r="V132" s="31"/>
      <c r="W132" s="32"/>
      <c r="X132" s="33"/>
      <c r="Y132" s="34"/>
      <c r="Z132" s="32"/>
      <c r="AA132" s="20" t="s">
        <v>49</v>
      </c>
      <c r="AB132" s="20" t="s">
        <v>49</v>
      </c>
      <c r="AC132" s="19" t="s">
        <v>49</v>
      </c>
      <c r="AD132" s="19" t="str">
        <f ca="1">IFERROR(DATEDIF(DadosViagem5[[#This Row],[Utimo Bip Reserva]],TODAY(),"D"),"")</f>
        <v/>
      </c>
      <c r="AE132" s="25" t="s">
        <v>49</v>
      </c>
      <c r="AF132" s="25" t="s">
        <v>49</v>
      </c>
      <c r="AG132" s="36"/>
      <c r="AH132" s="25">
        <v>45807</v>
      </c>
      <c r="AI132" s="36" t="str">
        <f>IF(DadosViagem5[[#This Row],[Dias em manutenção ]]&lt;5,"Dentro do Prazo","Fora do Prazo")</f>
        <v>Fora do Prazo</v>
      </c>
      <c r="AJ132" s="36" t="e">
        <v>#REF!</v>
      </c>
    </row>
    <row r="133" spans="1:36">
      <c r="A133" s="19" t="s">
        <v>295</v>
      </c>
      <c r="B133" s="20"/>
      <c r="C133" s="19" t="s">
        <v>294</v>
      </c>
      <c r="D133" s="19" t="s">
        <v>273</v>
      </c>
      <c r="E133" s="19" t="s">
        <v>274</v>
      </c>
      <c r="F133" s="19" t="s">
        <v>275</v>
      </c>
      <c r="G133" s="19"/>
      <c r="H133" s="20">
        <v>2023</v>
      </c>
      <c r="I133" s="19" t="s">
        <v>41</v>
      </c>
      <c r="J133" s="19" t="s">
        <v>276</v>
      </c>
      <c r="K133" s="21" t="s">
        <v>277</v>
      </c>
      <c r="L133" s="22" t="s">
        <v>44</v>
      </c>
      <c r="M133" s="23" t="s">
        <v>268</v>
      </c>
      <c r="N133" s="36" t="s">
        <v>278</v>
      </c>
      <c r="O133" s="25" t="s">
        <v>279</v>
      </c>
      <c r="P133" s="26">
        <f ca="1">IFERROR(VLOOKUP(DadosViagem5[[#This Row],[Placa]],[1]BIP!A:E,5,FALSE),"")</f>
        <v>0</v>
      </c>
      <c r="Q133" s="27">
        <f ca="1">DATEDIF(DadosViagem5[[#This Row],[BIP]],TODAY(),"D")</f>
        <v>45990</v>
      </c>
      <c r="R133" s="28" t="str">
        <f>IFERROR(VLOOKUP(DadosViagem5[[#This Row],[Placa]],[1]DDS!B:C,2,FALSE),"Verificar cadastro")</f>
        <v>Verificar cadastro</v>
      </c>
      <c r="S133" s="29" t="s">
        <v>48</v>
      </c>
      <c r="T133" s="23"/>
      <c r="U133" s="30"/>
      <c r="V133" s="31"/>
      <c r="W133" s="32"/>
      <c r="X133" s="33"/>
      <c r="Y133" s="34"/>
      <c r="Z133" s="32"/>
      <c r="AA133" s="20" t="s">
        <v>49</v>
      </c>
      <c r="AB133" s="20" t="s">
        <v>49</v>
      </c>
      <c r="AC133" s="19" t="s">
        <v>49</v>
      </c>
      <c r="AD133" s="19" t="str">
        <f ca="1">IFERROR(DATEDIF(DadosViagem5[[#This Row],[Utimo Bip Reserva]],TODAY(),"D"),"")</f>
        <v/>
      </c>
      <c r="AE133" s="25" t="s">
        <v>49</v>
      </c>
      <c r="AF133" s="25" t="s">
        <v>49</v>
      </c>
      <c r="AG133" s="36"/>
      <c r="AH133" s="25">
        <v>45807</v>
      </c>
      <c r="AI133" s="36" t="str">
        <f>IF(DadosViagem5[[#This Row],[Dias em manutenção ]]&lt;5,"Dentro do Prazo","Fora do Prazo")</f>
        <v>Fora do Prazo</v>
      </c>
      <c r="AJ133" s="36" t="e">
        <v>#REF!</v>
      </c>
    </row>
    <row r="134" spans="1:36">
      <c r="A134" s="19" t="s">
        <v>296</v>
      </c>
      <c r="B134" s="20"/>
      <c r="C134" s="19" t="s">
        <v>294</v>
      </c>
      <c r="D134" s="19" t="s">
        <v>273</v>
      </c>
      <c r="E134" s="19" t="s">
        <v>274</v>
      </c>
      <c r="F134" s="19" t="s">
        <v>275</v>
      </c>
      <c r="G134" s="19"/>
      <c r="H134" s="20">
        <v>2023</v>
      </c>
      <c r="I134" s="19" t="s">
        <v>41</v>
      </c>
      <c r="J134" s="19" t="s">
        <v>276</v>
      </c>
      <c r="K134" s="21" t="s">
        <v>277</v>
      </c>
      <c r="L134" s="22" t="s">
        <v>44</v>
      </c>
      <c r="M134" s="23" t="s">
        <v>268</v>
      </c>
      <c r="N134" s="36" t="s">
        <v>278</v>
      </c>
      <c r="O134" s="25" t="s">
        <v>279</v>
      </c>
      <c r="P134" s="26">
        <f ca="1">IFERROR(VLOOKUP(DadosViagem5[[#This Row],[Placa]],[1]BIP!A:E,5,FALSE),"")</f>
        <v>0</v>
      </c>
      <c r="Q134" s="27">
        <f ca="1">DATEDIF(DadosViagem5[[#This Row],[BIP]],TODAY(),"D")</f>
        <v>45990</v>
      </c>
      <c r="R134" s="28" t="str">
        <f>IFERROR(VLOOKUP(DadosViagem5[[#This Row],[Placa]],[1]DDS!B:C,2,FALSE),"Verificar cadastro")</f>
        <v> </v>
      </c>
      <c r="S134" s="29" t="s">
        <v>48</v>
      </c>
      <c r="T134" s="23"/>
      <c r="U134" s="30"/>
      <c r="V134" s="31"/>
      <c r="W134" s="32"/>
      <c r="X134" s="33"/>
      <c r="Y134" s="34"/>
      <c r="Z134" s="32"/>
      <c r="AA134" s="20" t="s">
        <v>49</v>
      </c>
      <c r="AB134" s="20" t="s">
        <v>49</v>
      </c>
      <c r="AC134" s="19" t="s">
        <v>49</v>
      </c>
      <c r="AD134" s="19" t="str">
        <f ca="1">IFERROR(DATEDIF(DadosViagem5[[#This Row],[Utimo Bip Reserva]],TODAY(),"D"),"")</f>
        <v/>
      </c>
      <c r="AE134" s="25" t="s">
        <v>49</v>
      </c>
      <c r="AF134" s="25" t="s">
        <v>49</v>
      </c>
      <c r="AG134" s="36"/>
      <c r="AH134" s="25">
        <v>45807</v>
      </c>
      <c r="AI134" s="36" t="str">
        <f>IF(DadosViagem5[[#This Row],[Dias em manutenção ]]&lt;5,"Dentro do Prazo","Fora do Prazo")</f>
        <v>Fora do Prazo</v>
      </c>
      <c r="AJ134" s="36" t="e">
        <v>#REF!</v>
      </c>
    </row>
    <row r="135" spans="1:36">
      <c r="A135" s="19" t="s">
        <v>297</v>
      </c>
      <c r="B135" s="20"/>
      <c r="C135" s="19" t="s">
        <v>294</v>
      </c>
      <c r="D135" s="19" t="s">
        <v>273</v>
      </c>
      <c r="E135" s="19" t="s">
        <v>274</v>
      </c>
      <c r="F135" s="19" t="s">
        <v>275</v>
      </c>
      <c r="G135" s="19"/>
      <c r="H135" s="20">
        <v>2023</v>
      </c>
      <c r="I135" s="19" t="s">
        <v>41</v>
      </c>
      <c r="J135" s="19" t="s">
        <v>276</v>
      </c>
      <c r="K135" s="21" t="s">
        <v>277</v>
      </c>
      <c r="L135" s="22" t="s">
        <v>44</v>
      </c>
      <c r="M135" s="23" t="s">
        <v>268</v>
      </c>
      <c r="N135" s="36" t="s">
        <v>278</v>
      </c>
      <c r="O135" s="25" t="s">
        <v>279</v>
      </c>
      <c r="P135" s="26">
        <f ca="1">IFERROR(VLOOKUP(DadosViagem5[[#This Row],[Placa]],[1]BIP!A:E,5,FALSE),"")</f>
        <v>0</v>
      </c>
      <c r="Q135" s="27">
        <f ca="1">DATEDIF(DadosViagem5[[#This Row],[BIP]],TODAY(),"D")</f>
        <v>45990</v>
      </c>
      <c r="R135" s="28" t="str">
        <f>IFERROR(VLOOKUP(DadosViagem5[[#This Row],[Placa]],[1]DDS!B:C,2,FALSE),"Verificar cadastro")</f>
        <v>Verificar cadastro</v>
      </c>
      <c r="S135" s="29" t="s">
        <v>48</v>
      </c>
      <c r="T135" s="23"/>
      <c r="U135" s="30"/>
      <c r="V135" s="31"/>
      <c r="W135" s="32"/>
      <c r="X135" s="33"/>
      <c r="Y135" s="34"/>
      <c r="Z135" s="32"/>
      <c r="AA135" s="20" t="s">
        <v>49</v>
      </c>
      <c r="AB135" s="20" t="s">
        <v>49</v>
      </c>
      <c r="AC135" s="19" t="s">
        <v>49</v>
      </c>
      <c r="AD135" s="19" t="str">
        <f ca="1">IFERROR(DATEDIF(DadosViagem5[[#This Row],[Utimo Bip Reserva]],TODAY(),"D"),"")</f>
        <v/>
      </c>
      <c r="AE135" s="25" t="s">
        <v>49</v>
      </c>
      <c r="AF135" s="25" t="s">
        <v>49</v>
      </c>
      <c r="AG135" s="36"/>
      <c r="AH135" s="25">
        <v>45807</v>
      </c>
      <c r="AI135" s="36" t="str">
        <f>IF(DadosViagem5[[#This Row],[Dias em manutenção ]]&lt;5,"Dentro do Prazo","Fora do Prazo")</f>
        <v>Fora do Prazo</v>
      </c>
      <c r="AJ135" s="36" t="e">
        <v>#REF!</v>
      </c>
    </row>
    <row r="136" spans="1:36">
      <c r="A136" s="19" t="s">
        <v>298</v>
      </c>
      <c r="B136" s="20"/>
      <c r="C136" s="19" t="s">
        <v>299</v>
      </c>
      <c r="D136" s="19" t="s">
        <v>300</v>
      </c>
      <c r="E136" s="19" t="s">
        <v>39</v>
      </c>
      <c r="F136" s="19" t="s">
        <v>106</v>
      </c>
      <c r="G136" s="19"/>
      <c r="H136" s="20">
        <v>2022</v>
      </c>
      <c r="I136" s="19" t="s">
        <v>41</v>
      </c>
      <c r="J136" s="19" t="s">
        <v>276</v>
      </c>
      <c r="K136" s="21" t="s">
        <v>277</v>
      </c>
      <c r="L136" s="22" t="s">
        <v>44</v>
      </c>
      <c r="M136" s="23" t="s">
        <v>268</v>
      </c>
      <c r="N136" s="36" t="s">
        <v>278</v>
      </c>
      <c r="O136" s="25" t="s">
        <v>279</v>
      </c>
      <c r="P136" s="26">
        <f ca="1">IFERROR(VLOOKUP(DadosViagem5[[#This Row],[Placa]],[1]BIP!A:E,5,FALSE),"")</f>
        <v>0</v>
      </c>
      <c r="Q136" s="27">
        <f ca="1">DATEDIF(DadosViagem5[[#This Row],[BIP]],TODAY(),"D")</f>
        <v>45990</v>
      </c>
      <c r="R136" s="28" t="str">
        <f>IFERROR(VLOOKUP(DadosViagem5[[#This Row],[Placa]],[1]DDS!B:C,2,FALSE),"Verificar cadastro")</f>
        <v> </v>
      </c>
      <c r="S136" s="29" t="s">
        <v>48</v>
      </c>
      <c r="T136" s="23"/>
      <c r="U136" s="30"/>
      <c r="V136" s="31"/>
      <c r="W136" s="32"/>
      <c r="X136" s="33"/>
      <c r="Y136" s="34"/>
      <c r="Z136" s="32"/>
      <c r="AA136" s="20" t="s">
        <v>49</v>
      </c>
      <c r="AB136" s="20" t="s">
        <v>49</v>
      </c>
      <c r="AC136" s="19" t="s">
        <v>49</v>
      </c>
      <c r="AD136" s="19" t="str">
        <f ca="1">IFERROR(DATEDIF(DadosViagem5[[#This Row],[Utimo Bip Reserva]],TODAY(),"D"),"")</f>
        <v/>
      </c>
      <c r="AE136" s="25" t="s">
        <v>49</v>
      </c>
      <c r="AF136" s="25" t="s">
        <v>49</v>
      </c>
      <c r="AG136" s="36"/>
      <c r="AH136" s="25">
        <v>45807</v>
      </c>
      <c r="AI136" s="36" t="str">
        <f>IF(DadosViagem5[[#This Row],[Dias em manutenção ]]&lt;5,"Dentro do Prazo","Fora do Prazo")</f>
        <v>Fora do Prazo</v>
      </c>
      <c r="AJ136" s="36" t="e">
        <v>#REF!</v>
      </c>
    </row>
    <row r="137" spans="1:36">
      <c r="A137" s="19" t="s">
        <v>301</v>
      </c>
      <c r="B137" s="20"/>
      <c r="C137" s="19" t="s">
        <v>299</v>
      </c>
      <c r="D137" s="19" t="s">
        <v>300</v>
      </c>
      <c r="E137" s="19" t="s">
        <v>39</v>
      </c>
      <c r="F137" s="19" t="s">
        <v>106</v>
      </c>
      <c r="G137" s="19"/>
      <c r="H137" s="20">
        <v>2022</v>
      </c>
      <c r="I137" s="19" t="s">
        <v>41</v>
      </c>
      <c r="J137" s="19" t="s">
        <v>276</v>
      </c>
      <c r="K137" s="21" t="s">
        <v>277</v>
      </c>
      <c r="L137" s="22" t="s">
        <v>44</v>
      </c>
      <c r="M137" s="23" t="s">
        <v>268</v>
      </c>
      <c r="N137" s="36" t="s">
        <v>278</v>
      </c>
      <c r="O137" s="25" t="s">
        <v>279</v>
      </c>
      <c r="P137" s="26">
        <f ca="1">IFERROR(VLOOKUP(DadosViagem5[[#This Row],[Placa]],[1]BIP!A:E,5,FALSE),"")</f>
        <v>0</v>
      </c>
      <c r="Q137" s="27">
        <f ca="1">DATEDIF(DadosViagem5[[#This Row],[BIP]],TODAY(),"D")</f>
        <v>45990</v>
      </c>
      <c r="R137" s="28" t="str">
        <f>IFERROR(VLOOKUP(DadosViagem5[[#This Row],[Placa]],[1]DDS!B:C,2,FALSE),"Verificar cadastro")</f>
        <v> </v>
      </c>
      <c r="S137" s="29" t="s">
        <v>48</v>
      </c>
      <c r="T137" s="23"/>
      <c r="U137" s="30"/>
      <c r="V137" s="31"/>
      <c r="W137" s="32"/>
      <c r="X137" s="33"/>
      <c r="Y137" s="34"/>
      <c r="Z137" s="32"/>
      <c r="AA137" s="20" t="s">
        <v>49</v>
      </c>
      <c r="AB137" s="20" t="s">
        <v>49</v>
      </c>
      <c r="AC137" s="19" t="s">
        <v>49</v>
      </c>
      <c r="AD137" s="19" t="str">
        <f ca="1">IFERROR(DATEDIF(DadosViagem5[[#This Row],[Utimo Bip Reserva]],TODAY(),"D"),"")</f>
        <v/>
      </c>
      <c r="AE137" s="35"/>
      <c r="AF137" s="35"/>
      <c r="AG137" s="36"/>
      <c r="AH137" s="25">
        <v>45807</v>
      </c>
      <c r="AI137" s="36" t="str">
        <f>IF(DadosViagem5[[#This Row],[Dias em manutenção ]]&lt;5,"Dentro do Prazo","Fora do Prazo")</f>
        <v>Fora do Prazo</v>
      </c>
      <c r="AJ137" s="36" t="e">
        <v>#REF!</v>
      </c>
    </row>
    <row r="138" spans="1:36">
      <c r="A138" s="19" t="s">
        <v>302</v>
      </c>
      <c r="B138" s="20"/>
      <c r="C138" s="19" t="s">
        <v>303</v>
      </c>
      <c r="D138" s="19" t="s">
        <v>98</v>
      </c>
      <c r="E138" s="19" t="s">
        <v>39</v>
      </c>
      <c r="F138" s="19" t="s">
        <v>106</v>
      </c>
      <c r="G138" s="19"/>
      <c r="H138" s="20">
        <v>2022</v>
      </c>
      <c r="I138" s="19" t="s">
        <v>41</v>
      </c>
      <c r="J138" s="19" t="s">
        <v>276</v>
      </c>
      <c r="K138" s="21" t="s">
        <v>277</v>
      </c>
      <c r="L138" s="22" t="s">
        <v>44</v>
      </c>
      <c r="M138" s="23" t="s">
        <v>268</v>
      </c>
      <c r="N138" s="36" t="s">
        <v>304</v>
      </c>
      <c r="O138" s="25" t="s">
        <v>279</v>
      </c>
      <c r="P138" s="26">
        <f ca="1">IFERROR(VLOOKUP(DadosViagem5[[#This Row],[Placa]],[1]BIP!A:E,5,FALSE),"")</f>
        <v>0</v>
      </c>
      <c r="Q138" s="27">
        <f ca="1">DATEDIF(DadosViagem5[[#This Row],[BIP]],TODAY(),"D")</f>
        <v>45990</v>
      </c>
      <c r="R138" s="28" t="str">
        <f>IFERROR(VLOOKUP(DadosViagem5[[#This Row],[Placa]],[1]DDS!B:C,2,FALSE),"Verificar cadastro")</f>
        <v> </v>
      </c>
      <c r="S138" s="29" t="s">
        <v>48</v>
      </c>
      <c r="T138" s="23"/>
      <c r="U138" s="30"/>
      <c r="V138" s="31"/>
      <c r="W138" s="32"/>
      <c r="X138" s="33"/>
      <c r="Y138" s="34"/>
      <c r="Z138" s="32"/>
      <c r="AA138" s="20" t="s">
        <v>49</v>
      </c>
      <c r="AB138" s="20" t="s">
        <v>49</v>
      </c>
      <c r="AC138" s="19" t="s">
        <v>49</v>
      </c>
      <c r="AD138" s="19" t="str">
        <f ca="1">IFERROR(DATEDIF(DadosViagem5[[#This Row],[Utimo Bip Reserva]],TODAY(),"D"),"")</f>
        <v/>
      </c>
      <c r="AE138" s="25" t="s">
        <v>49</v>
      </c>
      <c r="AF138" s="25" t="s">
        <v>49</v>
      </c>
      <c r="AG138" s="36"/>
      <c r="AH138" s="25">
        <v>45807</v>
      </c>
      <c r="AI138" s="36" t="str">
        <f>IF(DadosViagem5[[#This Row],[Dias em manutenção ]]&lt;5,"Dentro do Prazo","Fora do Prazo")</f>
        <v>Fora do Prazo</v>
      </c>
      <c r="AJ138" s="36" t="e">
        <v>#REF!</v>
      </c>
    </row>
    <row r="139" spans="1:36">
      <c r="A139" s="19" t="s">
        <v>305</v>
      </c>
      <c r="B139" s="20"/>
      <c r="C139" s="19" t="s">
        <v>303</v>
      </c>
      <c r="D139" s="19" t="s">
        <v>98</v>
      </c>
      <c r="E139" s="19" t="s">
        <v>39</v>
      </c>
      <c r="F139" s="19" t="s">
        <v>106</v>
      </c>
      <c r="G139" s="19"/>
      <c r="H139" s="20">
        <v>2023</v>
      </c>
      <c r="I139" s="19" t="s">
        <v>41</v>
      </c>
      <c r="J139" s="19" t="s">
        <v>276</v>
      </c>
      <c r="K139" s="21" t="s">
        <v>277</v>
      </c>
      <c r="L139" s="22" t="s">
        <v>44</v>
      </c>
      <c r="M139" s="23" t="s">
        <v>268</v>
      </c>
      <c r="N139" s="36" t="s">
        <v>304</v>
      </c>
      <c r="O139" s="25" t="s">
        <v>279</v>
      </c>
      <c r="P139" s="26">
        <f ca="1">IFERROR(VLOOKUP(DadosViagem5[[#This Row],[Placa]],[1]BIP!A:E,5,FALSE),"")</f>
        <v>0</v>
      </c>
      <c r="Q139" s="27">
        <f ca="1">DATEDIF(DadosViagem5[[#This Row],[BIP]],TODAY(),"D")</f>
        <v>45990</v>
      </c>
      <c r="R139" s="28" t="str">
        <f>IFERROR(VLOOKUP(DadosViagem5[[#This Row],[Placa]],[1]DDS!B:C,2,FALSE),"Verificar cadastro")</f>
        <v>Verificar cadastro</v>
      </c>
      <c r="S139" s="29" t="s">
        <v>48</v>
      </c>
      <c r="T139" s="23"/>
      <c r="U139" s="30"/>
      <c r="V139" s="31"/>
      <c r="W139" s="32"/>
      <c r="X139" s="33"/>
      <c r="Y139" s="34"/>
      <c r="Z139" s="32"/>
      <c r="AA139" s="20" t="s">
        <v>49</v>
      </c>
      <c r="AB139" s="20" t="s">
        <v>49</v>
      </c>
      <c r="AC139" s="19" t="s">
        <v>49</v>
      </c>
      <c r="AD139" s="19" t="str">
        <f ca="1">IFERROR(DATEDIF(DadosViagem5[[#This Row],[Utimo Bip Reserva]],TODAY(),"D"),"")</f>
        <v/>
      </c>
      <c r="AE139" s="62"/>
      <c r="AF139" s="16"/>
      <c r="AG139" s="36"/>
      <c r="AH139" s="25">
        <v>45807</v>
      </c>
      <c r="AI139" s="36" t="str">
        <f>IF(DadosViagem5[[#This Row],[Dias em manutenção ]]&lt;5,"Dentro do Prazo","Fora do Prazo")</f>
        <v>Fora do Prazo</v>
      </c>
      <c r="AJ139" s="36" t="e">
        <v>#REF!</v>
      </c>
    </row>
    <row r="140" spans="1:36">
      <c r="A140" s="19" t="s">
        <v>306</v>
      </c>
      <c r="B140" s="20"/>
      <c r="C140" s="19" t="s">
        <v>303</v>
      </c>
      <c r="D140" s="19" t="s">
        <v>98</v>
      </c>
      <c r="E140" s="19" t="s">
        <v>39</v>
      </c>
      <c r="F140" s="19" t="s">
        <v>106</v>
      </c>
      <c r="G140" s="19"/>
      <c r="H140" s="20">
        <v>2023</v>
      </c>
      <c r="I140" s="19" t="s">
        <v>41</v>
      </c>
      <c r="J140" s="19" t="s">
        <v>276</v>
      </c>
      <c r="K140" s="21" t="s">
        <v>277</v>
      </c>
      <c r="L140" s="22" t="s">
        <v>44</v>
      </c>
      <c r="M140" s="23" t="s">
        <v>268</v>
      </c>
      <c r="N140" s="36" t="s">
        <v>304</v>
      </c>
      <c r="O140" s="25" t="s">
        <v>279</v>
      </c>
      <c r="P140" s="26">
        <f ca="1">IFERROR(VLOOKUP(DadosViagem5[[#This Row],[Placa]],[1]BIP!A:E,5,FALSE),"")</f>
        <v>0</v>
      </c>
      <c r="Q140" s="27">
        <f ca="1">DATEDIF(DadosViagem5[[#This Row],[BIP]],TODAY(),"D")</f>
        <v>45990</v>
      </c>
      <c r="R140" s="28" t="str">
        <f>IFERROR(VLOOKUP(DadosViagem5[[#This Row],[Placa]],[1]DDS!B:C,2,FALSE),"Verificar cadastro")</f>
        <v> </v>
      </c>
      <c r="S140" s="29" t="s">
        <v>48</v>
      </c>
      <c r="T140" s="23"/>
      <c r="U140" s="30"/>
      <c r="V140" s="47"/>
      <c r="W140" s="32"/>
      <c r="X140" s="33"/>
      <c r="Y140" s="34"/>
      <c r="Z140" s="32"/>
      <c r="AA140" s="20" t="s">
        <v>49</v>
      </c>
      <c r="AB140" s="20" t="s">
        <v>49</v>
      </c>
      <c r="AC140" s="19" t="s">
        <v>49</v>
      </c>
      <c r="AD140" s="19" t="str">
        <f ca="1">IFERROR(DATEDIF(DadosViagem5[[#This Row],[Utimo Bip Reserva]],TODAY(),"D"),"")</f>
        <v/>
      </c>
      <c r="AE140" s="25" t="s">
        <v>49</v>
      </c>
      <c r="AF140" s="25" t="s">
        <v>49</v>
      </c>
      <c r="AG140" s="36"/>
      <c r="AH140" s="25">
        <v>45807</v>
      </c>
      <c r="AI140" s="36" t="str">
        <f>IF(DadosViagem5[[#This Row],[Dias em manutenção ]]&lt;5,"Dentro do Prazo","Fora do Prazo")</f>
        <v>Fora do Prazo</v>
      </c>
      <c r="AJ140" s="36" t="e">
        <v>#REF!</v>
      </c>
    </row>
    <row r="141" spans="1:36">
      <c r="A141" s="19" t="s">
        <v>307</v>
      </c>
      <c r="B141" s="20"/>
      <c r="C141" s="19" t="s">
        <v>303</v>
      </c>
      <c r="D141" s="19" t="s">
        <v>98</v>
      </c>
      <c r="E141" s="19" t="s">
        <v>39</v>
      </c>
      <c r="F141" s="19" t="s">
        <v>106</v>
      </c>
      <c r="G141" s="19"/>
      <c r="H141" s="20">
        <v>2023</v>
      </c>
      <c r="I141" s="19" t="s">
        <v>41</v>
      </c>
      <c r="J141" s="19" t="s">
        <v>276</v>
      </c>
      <c r="K141" s="21" t="s">
        <v>277</v>
      </c>
      <c r="L141" s="22" t="s">
        <v>44</v>
      </c>
      <c r="M141" s="23" t="s">
        <v>268</v>
      </c>
      <c r="N141" s="36" t="s">
        <v>304</v>
      </c>
      <c r="O141" s="25" t="s">
        <v>279</v>
      </c>
      <c r="P141" s="26">
        <f ca="1">IFERROR(VLOOKUP(DadosViagem5[[#This Row],[Placa]],[1]BIP!A:E,5,FALSE),"")</f>
        <v>0</v>
      </c>
      <c r="Q141" s="27">
        <f ca="1">DATEDIF(DadosViagem5[[#This Row],[BIP]],TODAY(),"D")</f>
        <v>45990</v>
      </c>
      <c r="R141" s="28" t="str">
        <f>IFERROR(VLOOKUP(DadosViagem5[[#This Row],[Placa]],[1]DDS!B:C,2,FALSE),"Verificar cadastro")</f>
        <v> </v>
      </c>
      <c r="S141" s="29" t="s">
        <v>48</v>
      </c>
      <c r="T141" s="23"/>
      <c r="U141" s="30"/>
      <c r="V141" s="31"/>
      <c r="W141" s="32"/>
      <c r="X141" s="33"/>
      <c r="Y141" s="34"/>
      <c r="Z141" s="32"/>
      <c r="AA141" s="20" t="s">
        <v>49</v>
      </c>
      <c r="AB141" s="20" t="s">
        <v>49</v>
      </c>
      <c r="AC141" s="19" t="s">
        <v>49</v>
      </c>
      <c r="AD141" s="19" t="str">
        <f ca="1">IFERROR(DATEDIF(DadosViagem5[[#This Row],[Utimo Bip Reserva]],TODAY(),"D"),"")</f>
        <v/>
      </c>
      <c r="AE141" s="25" t="s">
        <v>49</v>
      </c>
      <c r="AF141" s="25" t="s">
        <v>49</v>
      </c>
      <c r="AG141" s="36"/>
      <c r="AH141" s="25">
        <v>45807</v>
      </c>
      <c r="AI141" s="36" t="str">
        <f>IF(DadosViagem5[[#This Row],[Dias em manutenção ]]&lt;5,"Dentro do Prazo","Fora do Prazo")</f>
        <v>Fora do Prazo</v>
      </c>
      <c r="AJ141" s="36" t="e">
        <v>#REF!</v>
      </c>
    </row>
    <row r="142" spans="1:36">
      <c r="A142" s="19" t="s">
        <v>308</v>
      </c>
      <c r="B142" s="20"/>
      <c r="C142" s="19" t="s">
        <v>303</v>
      </c>
      <c r="D142" s="19" t="s">
        <v>98</v>
      </c>
      <c r="E142" s="19" t="s">
        <v>39</v>
      </c>
      <c r="F142" s="19" t="s">
        <v>106</v>
      </c>
      <c r="G142" s="19"/>
      <c r="H142" s="20">
        <v>2023</v>
      </c>
      <c r="I142" s="19" t="s">
        <v>41</v>
      </c>
      <c r="J142" s="19" t="s">
        <v>276</v>
      </c>
      <c r="K142" s="21" t="s">
        <v>277</v>
      </c>
      <c r="L142" s="22" t="s">
        <v>44</v>
      </c>
      <c r="M142" s="23" t="s">
        <v>268</v>
      </c>
      <c r="N142" s="36" t="s">
        <v>304</v>
      </c>
      <c r="O142" s="25" t="s">
        <v>279</v>
      </c>
      <c r="P142" s="26">
        <f ca="1">IFERROR(VLOOKUP(DadosViagem5[[#This Row],[Placa]],[1]BIP!A:E,5,FALSE),"")</f>
        <v>0</v>
      </c>
      <c r="Q142" s="27">
        <f ca="1">DATEDIF(DadosViagem5[[#This Row],[BIP]],TODAY(),"D")</f>
        <v>45990</v>
      </c>
      <c r="R142" s="28" t="str">
        <f>IFERROR(VLOOKUP(DadosViagem5[[#This Row],[Placa]],[1]DDS!B:C,2,FALSE),"Verificar cadastro")</f>
        <v> </v>
      </c>
      <c r="S142" s="29" t="s">
        <v>48</v>
      </c>
      <c r="T142" s="23"/>
      <c r="U142" s="30"/>
      <c r="V142" s="31"/>
      <c r="W142" s="32"/>
      <c r="X142" s="33"/>
      <c r="Y142" s="34"/>
      <c r="Z142" s="32"/>
      <c r="AA142" s="20" t="s">
        <v>49</v>
      </c>
      <c r="AB142" s="20" t="s">
        <v>49</v>
      </c>
      <c r="AC142" s="19" t="s">
        <v>49</v>
      </c>
      <c r="AD142" s="19" t="str">
        <f ca="1">IFERROR(DATEDIF(DadosViagem5[[#This Row],[Utimo Bip Reserva]],TODAY(),"D"),"")</f>
        <v/>
      </c>
      <c r="AE142" s="35"/>
      <c r="AF142" s="35"/>
      <c r="AG142" s="29"/>
      <c r="AH142" s="25">
        <v>45807</v>
      </c>
      <c r="AI142" s="36" t="str">
        <f>IF(DadosViagem5[[#This Row],[Dias em manutenção ]]&lt;5,"Dentro do Prazo","Fora do Prazo")</f>
        <v>Fora do Prazo</v>
      </c>
      <c r="AJ142" s="36" t="e">
        <v>#REF!</v>
      </c>
    </row>
    <row r="143" spans="1:36">
      <c r="A143" s="19" t="s">
        <v>309</v>
      </c>
      <c r="B143" s="20"/>
      <c r="C143" s="19" t="s">
        <v>303</v>
      </c>
      <c r="D143" s="19" t="s">
        <v>98</v>
      </c>
      <c r="E143" s="19" t="s">
        <v>39</v>
      </c>
      <c r="F143" s="19" t="s">
        <v>106</v>
      </c>
      <c r="G143" s="19"/>
      <c r="H143" s="20">
        <v>2023</v>
      </c>
      <c r="I143" s="19" t="s">
        <v>41</v>
      </c>
      <c r="J143" s="19" t="s">
        <v>276</v>
      </c>
      <c r="K143" s="21" t="s">
        <v>277</v>
      </c>
      <c r="L143" s="22" t="s">
        <v>44</v>
      </c>
      <c r="M143" s="23" t="s">
        <v>268</v>
      </c>
      <c r="N143" s="36" t="s">
        <v>304</v>
      </c>
      <c r="O143" s="25" t="s">
        <v>279</v>
      </c>
      <c r="P143" s="26">
        <f ca="1">IFERROR(VLOOKUP(DadosViagem5[[#This Row],[Placa]],[1]BIP!A:E,5,FALSE),"")</f>
        <v>0</v>
      </c>
      <c r="Q143" s="27">
        <f ca="1">DATEDIF(DadosViagem5[[#This Row],[BIP]],TODAY(),"D")</f>
        <v>45990</v>
      </c>
      <c r="R143" s="28" t="str">
        <f>IFERROR(VLOOKUP(DadosViagem5[[#This Row],[Placa]],[1]DDS!B:C,2,FALSE),"Verificar cadastro")</f>
        <v>Verificar cadastro</v>
      </c>
      <c r="S143" s="29" t="s">
        <v>48</v>
      </c>
      <c r="T143" s="23"/>
      <c r="U143" s="30"/>
      <c r="V143" s="31"/>
      <c r="W143" s="32"/>
      <c r="X143" s="33"/>
      <c r="Y143" s="34"/>
      <c r="Z143" s="32"/>
      <c r="AA143" s="20" t="s">
        <v>49</v>
      </c>
      <c r="AB143" s="20" t="s">
        <v>49</v>
      </c>
      <c r="AC143" s="19" t="s">
        <v>49</v>
      </c>
      <c r="AD143" s="19" t="str">
        <f ca="1">IFERROR(DATEDIF(DadosViagem5[[#This Row],[Utimo Bip Reserva]],TODAY(),"D"),"")</f>
        <v/>
      </c>
      <c r="AE143" s="25" t="s">
        <v>49</v>
      </c>
      <c r="AF143" s="25" t="s">
        <v>49</v>
      </c>
      <c r="AG143" s="36"/>
      <c r="AH143" s="25">
        <v>45807</v>
      </c>
      <c r="AI143" s="36" t="str">
        <f>IF(DadosViagem5[[#This Row],[Dias em manutenção ]]&lt;5,"Dentro do Prazo","Fora do Prazo")</f>
        <v>Fora do Prazo</v>
      </c>
      <c r="AJ143" s="36" t="e">
        <v>#REF!</v>
      </c>
    </row>
    <row r="144" spans="1:36">
      <c r="A144" s="19" t="s">
        <v>310</v>
      </c>
      <c r="B144" s="20"/>
      <c r="C144" s="19" t="s">
        <v>303</v>
      </c>
      <c r="D144" s="19" t="s">
        <v>98</v>
      </c>
      <c r="E144" s="19" t="s">
        <v>39</v>
      </c>
      <c r="F144" s="19" t="s">
        <v>106</v>
      </c>
      <c r="G144" s="19"/>
      <c r="H144" s="20">
        <v>2023</v>
      </c>
      <c r="I144" s="19" t="s">
        <v>41</v>
      </c>
      <c r="J144" s="19" t="s">
        <v>276</v>
      </c>
      <c r="K144" s="21" t="s">
        <v>277</v>
      </c>
      <c r="L144" s="22" t="s">
        <v>44</v>
      </c>
      <c r="M144" s="23" t="s">
        <v>268</v>
      </c>
      <c r="N144" s="36" t="s">
        <v>304</v>
      </c>
      <c r="O144" s="25" t="s">
        <v>279</v>
      </c>
      <c r="P144" s="26">
        <f ca="1">IFERROR(VLOOKUP(DadosViagem5[[#This Row],[Placa]],[1]BIP!A:E,5,FALSE),"")</f>
        <v>0</v>
      </c>
      <c r="Q144" s="27">
        <f ca="1">DATEDIF(DadosViagem5[[#This Row],[BIP]],TODAY(),"D")</f>
        <v>45990</v>
      </c>
      <c r="R144" s="28" t="str">
        <f>IFERROR(VLOOKUP(DadosViagem5[[#This Row],[Placa]],[1]DDS!B:C,2,FALSE),"Verificar cadastro")</f>
        <v> </v>
      </c>
      <c r="S144" s="29" t="s">
        <v>48</v>
      </c>
      <c r="T144" s="23"/>
      <c r="U144" s="30"/>
      <c r="V144" s="31"/>
      <c r="W144" s="32"/>
      <c r="X144" s="33"/>
      <c r="Y144" s="34"/>
      <c r="Z144" s="32"/>
      <c r="AA144" s="20" t="s">
        <v>49</v>
      </c>
      <c r="AB144" s="20" t="s">
        <v>49</v>
      </c>
      <c r="AC144" s="19" t="s">
        <v>49</v>
      </c>
      <c r="AD144" s="19" t="str">
        <f ca="1">IFERROR(DATEDIF(DadosViagem5[[#This Row],[Utimo Bip Reserva]],TODAY(),"D"),"")</f>
        <v/>
      </c>
      <c r="AE144" s="25" t="s">
        <v>49</v>
      </c>
      <c r="AF144" s="25" t="s">
        <v>49</v>
      </c>
      <c r="AG144" s="36"/>
      <c r="AH144" s="25">
        <v>45807</v>
      </c>
      <c r="AI144" s="36" t="str">
        <f>IF(DadosViagem5[[#This Row],[Dias em manutenção ]]&lt;5,"Dentro do Prazo","Fora do Prazo")</f>
        <v>Fora do Prazo</v>
      </c>
      <c r="AJ144" s="36" t="e">
        <v>#REF!</v>
      </c>
    </row>
    <row r="145" spans="1:36">
      <c r="A145" s="19" t="s">
        <v>311</v>
      </c>
      <c r="B145" s="20"/>
      <c r="C145" s="19" t="s">
        <v>312</v>
      </c>
      <c r="D145" s="19" t="s">
        <v>313</v>
      </c>
      <c r="E145" s="19" t="s">
        <v>39</v>
      </c>
      <c r="F145" s="19" t="s">
        <v>106</v>
      </c>
      <c r="G145" s="19"/>
      <c r="H145" s="20">
        <v>2024</v>
      </c>
      <c r="I145" s="19" t="s">
        <v>41</v>
      </c>
      <c r="J145" s="19" t="s">
        <v>276</v>
      </c>
      <c r="K145" s="21" t="s">
        <v>277</v>
      </c>
      <c r="L145" s="22" t="s">
        <v>44</v>
      </c>
      <c r="M145" s="23" t="s">
        <v>45</v>
      </c>
      <c r="N145" s="36" t="s">
        <v>287</v>
      </c>
      <c r="O145" s="65" t="s">
        <v>288</v>
      </c>
      <c r="P145" s="26">
        <f ca="1">IFERROR(VLOOKUP(DadosViagem5[[#This Row],[Placa]],[1]BIP!A:E,5,FALSE),"")</f>
        <v>0</v>
      </c>
      <c r="Q145" s="27">
        <f ca="1">DATEDIF(DadosViagem5[[#This Row],[BIP]],TODAY(),"D")</f>
        <v>45990</v>
      </c>
      <c r="R145" s="28" t="str">
        <f>IFERROR(VLOOKUP(DadosViagem5[[#This Row],[Placa]],[1]DDS!B:C,2,FALSE),"Verificar cadastro")</f>
        <v>Verificar cadastro</v>
      </c>
      <c r="S145" s="29" t="s">
        <v>48</v>
      </c>
      <c r="T145" s="23"/>
      <c r="U145" s="30"/>
      <c r="V145" s="47"/>
      <c r="W145" s="32" t="s">
        <v>289</v>
      </c>
      <c r="X145" s="33"/>
      <c r="Y145" s="34"/>
      <c r="Z145" s="32"/>
      <c r="AA145" s="20" t="s">
        <v>49</v>
      </c>
      <c r="AB145" s="20" t="s">
        <v>49</v>
      </c>
      <c r="AC145" s="19" t="s">
        <v>49</v>
      </c>
      <c r="AD145" s="19" t="str">
        <f ca="1">IFERROR(DATEDIF(DadosViagem5[[#This Row],[Utimo Bip Reserva]],TODAY(),"D"),"")</f>
        <v/>
      </c>
      <c r="AE145" s="36"/>
      <c r="AF145" s="25"/>
      <c r="AG145" s="36" t="s">
        <v>290</v>
      </c>
      <c r="AH145" s="25">
        <v>45807</v>
      </c>
      <c r="AI145" s="36" t="str">
        <f>IF(DadosViagem5[[#This Row],[Dias em manutenção ]]&lt;5,"Dentro do Prazo","Fora do Prazo")</f>
        <v>Fora do Prazo</v>
      </c>
      <c r="AJ145" s="36" t="e">
        <v>#REF!</v>
      </c>
    </row>
    <row r="146" spans="1:36">
      <c r="A146" s="19" t="s">
        <v>314</v>
      </c>
      <c r="B146" s="20"/>
      <c r="C146" s="19" t="s">
        <v>286</v>
      </c>
      <c r="D146" s="19" t="s">
        <v>273</v>
      </c>
      <c r="E146" s="19" t="s">
        <v>39</v>
      </c>
      <c r="F146" s="19" t="s">
        <v>106</v>
      </c>
      <c r="G146" s="19"/>
      <c r="H146" s="20">
        <v>2024</v>
      </c>
      <c r="I146" s="19" t="s">
        <v>41</v>
      </c>
      <c r="J146" s="19" t="s">
        <v>276</v>
      </c>
      <c r="K146" s="21" t="s">
        <v>277</v>
      </c>
      <c r="L146" s="22" t="s">
        <v>44</v>
      </c>
      <c r="M146" s="23" t="s">
        <v>45</v>
      </c>
      <c r="N146" s="36" t="s">
        <v>287</v>
      </c>
      <c r="O146" s="65" t="s">
        <v>288</v>
      </c>
      <c r="P146" s="26">
        <f ca="1">IFERROR(VLOOKUP(DadosViagem5[[#This Row],[Placa]],[1]BIP!A:E,5,FALSE),"")</f>
        <v>0</v>
      </c>
      <c r="Q146" s="27">
        <f ca="1">DATEDIF(DadosViagem5[[#This Row],[BIP]],TODAY(),"D")</f>
        <v>45990</v>
      </c>
      <c r="R146" s="28" t="str">
        <f>IFERROR(VLOOKUP(DadosViagem5[[#This Row],[Placa]],[1]DDS!B:C,2,FALSE),"Verificar cadastro")</f>
        <v> </v>
      </c>
      <c r="S146" s="29" t="s">
        <v>48</v>
      </c>
      <c r="T146" s="23"/>
      <c r="U146" s="30"/>
      <c r="V146" s="31"/>
      <c r="W146" s="32" t="s">
        <v>315</v>
      </c>
      <c r="X146" s="33" t="s">
        <v>316</v>
      </c>
      <c r="Y146" s="34">
        <v>45926</v>
      </c>
      <c r="Z146" s="32" t="s">
        <v>317</v>
      </c>
      <c r="AA146" s="20" t="s">
        <v>49</v>
      </c>
      <c r="AB146" s="20" t="s">
        <v>49</v>
      </c>
      <c r="AC146" s="19" t="s">
        <v>49</v>
      </c>
      <c r="AD146" s="19" t="str">
        <f ca="1">IFERROR(DATEDIF(DadosViagem5[[#This Row],[Utimo Bip Reserva]],TODAY(),"D"),"")</f>
        <v/>
      </c>
      <c r="AE146" s="36"/>
      <c r="AF146" s="25"/>
      <c r="AG146" s="36" t="s">
        <v>290</v>
      </c>
      <c r="AH146" s="25">
        <v>45807</v>
      </c>
      <c r="AI146" s="36" t="str">
        <f>IF(DadosViagem5[[#This Row],[Dias em manutenção ]]&lt;5,"Dentro do Prazo","Fora do Prazo")</f>
        <v>Fora do Prazo</v>
      </c>
      <c r="AJ146" s="36" t="e">
        <v>#REF!</v>
      </c>
    </row>
    <row r="147" spans="1:36">
      <c r="A147" s="19" t="s">
        <v>318</v>
      </c>
      <c r="B147" s="20"/>
      <c r="C147" s="19" t="s">
        <v>312</v>
      </c>
      <c r="D147" s="19" t="s">
        <v>313</v>
      </c>
      <c r="E147" s="19" t="s">
        <v>39</v>
      </c>
      <c r="F147" s="19" t="s">
        <v>106</v>
      </c>
      <c r="G147" s="19"/>
      <c r="H147" s="20">
        <v>2024</v>
      </c>
      <c r="I147" s="19" t="s">
        <v>41</v>
      </c>
      <c r="J147" s="19" t="s">
        <v>276</v>
      </c>
      <c r="K147" s="21" t="s">
        <v>277</v>
      </c>
      <c r="L147" s="22" t="s">
        <v>44</v>
      </c>
      <c r="M147" s="23" t="s">
        <v>45</v>
      </c>
      <c r="N147" s="36" t="s">
        <v>287</v>
      </c>
      <c r="O147" s="65" t="s">
        <v>288</v>
      </c>
      <c r="P147" s="26">
        <f ca="1">IFERROR(VLOOKUP(DadosViagem5[[#This Row],[Placa]],[1]BIP!A:E,5,FALSE),"")</f>
        <v>0</v>
      </c>
      <c r="Q147" s="27">
        <f ca="1">DATEDIF(DadosViagem5[[#This Row],[BIP]],TODAY(),"D")</f>
        <v>45990</v>
      </c>
      <c r="R147" s="28" t="str">
        <f>IFERROR(VLOOKUP(DadosViagem5[[#This Row],[Placa]],[1]DDS!B:C,2,FALSE),"Verificar cadastro")</f>
        <v>Verificar cadastro</v>
      </c>
      <c r="S147" s="29" t="s">
        <v>48</v>
      </c>
      <c r="T147" s="23"/>
      <c r="U147" s="30"/>
      <c r="V147" s="31"/>
      <c r="W147" s="32" t="s">
        <v>289</v>
      </c>
      <c r="X147" s="33"/>
      <c r="Y147" s="34"/>
      <c r="Z147" s="32"/>
      <c r="AA147" s="20" t="s">
        <v>49</v>
      </c>
      <c r="AB147" s="20" t="s">
        <v>49</v>
      </c>
      <c r="AC147" s="19" t="s">
        <v>49</v>
      </c>
      <c r="AD147" s="19" t="str">
        <f ca="1">IFERROR(DATEDIF(DadosViagem5[[#This Row],[Utimo Bip Reserva]],TODAY(),"D"),"")</f>
        <v/>
      </c>
      <c r="AE147" s="36"/>
      <c r="AF147" s="25"/>
      <c r="AG147" s="36" t="s">
        <v>290</v>
      </c>
      <c r="AH147" s="25">
        <v>45807</v>
      </c>
      <c r="AI147" s="36" t="str">
        <f>IF(DadosViagem5[[#This Row],[Dias em manutenção ]]&lt;5,"Dentro do Prazo","Fora do Prazo")</f>
        <v>Fora do Prazo</v>
      </c>
      <c r="AJ147" s="36" t="e">
        <v>#REF!</v>
      </c>
    </row>
    <row r="148" spans="1:36">
      <c r="A148" s="19" t="s">
        <v>319</v>
      </c>
      <c r="B148" s="20"/>
      <c r="C148" s="19" t="s">
        <v>312</v>
      </c>
      <c r="D148" s="19" t="s">
        <v>313</v>
      </c>
      <c r="E148" s="19" t="s">
        <v>39</v>
      </c>
      <c r="F148" s="19" t="s">
        <v>106</v>
      </c>
      <c r="G148" s="19"/>
      <c r="H148" s="20">
        <v>2024</v>
      </c>
      <c r="I148" s="19" t="s">
        <v>41</v>
      </c>
      <c r="J148" s="19" t="s">
        <v>276</v>
      </c>
      <c r="K148" s="21" t="s">
        <v>277</v>
      </c>
      <c r="L148" s="22" t="s">
        <v>44</v>
      </c>
      <c r="M148" s="23" t="s">
        <v>45</v>
      </c>
      <c r="N148" s="36" t="s">
        <v>287</v>
      </c>
      <c r="O148" s="65" t="s">
        <v>288</v>
      </c>
      <c r="P148" s="26">
        <f ca="1">IFERROR(VLOOKUP(DadosViagem5[[#This Row],[Placa]],[1]BIP!A:E,5,FALSE),"")</f>
        <v>0</v>
      </c>
      <c r="Q148" s="27">
        <f ca="1">DATEDIF(DadosViagem5[[#This Row],[BIP]],TODAY(),"D")</f>
        <v>45990</v>
      </c>
      <c r="R148" s="28" t="str">
        <f>IFERROR(VLOOKUP(DadosViagem5[[#This Row],[Placa]],[1]DDS!B:C,2,FALSE),"Verificar cadastro")</f>
        <v>Verificar cadastro</v>
      </c>
      <c r="S148" s="29" t="s">
        <v>48</v>
      </c>
      <c r="T148" s="23"/>
      <c r="U148" s="30"/>
      <c r="V148" s="31"/>
      <c r="W148" s="32" t="s">
        <v>289</v>
      </c>
      <c r="X148" s="33"/>
      <c r="Y148" s="34"/>
      <c r="Z148" s="32"/>
      <c r="AA148" s="20" t="s">
        <v>49</v>
      </c>
      <c r="AB148" s="20" t="s">
        <v>49</v>
      </c>
      <c r="AC148" s="19" t="s">
        <v>49</v>
      </c>
      <c r="AD148" s="19" t="str">
        <f ca="1">IFERROR(DATEDIF(DadosViagem5[[#This Row],[Utimo Bip Reserva]],TODAY(),"D"),"")</f>
        <v/>
      </c>
      <c r="AE148" s="36"/>
      <c r="AF148" s="25"/>
      <c r="AG148" s="36" t="s">
        <v>290</v>
      </c>
      <c r="AH148" s="25">
        <v>45807</v>
      </c>
      <c r="AI148" s="36" t="str">
        <f>IF(DadosViagem5[[#This Row],[Dias em manutenção ]]&lt;5,"Dentro do Prazo","Fora do Prazo")</f>
        <v>Fora do Prazo</v>
      </c>
      <c r="AJ148" s="36" t="e">
        <v>#REF!</v>
      </c>
    </row>
    <row r="149" spans="1:36">
      <c r="A149" s="19" t="s">
        <v>320</v>
      </c>
      <c r="B149" s="20"/>
      <c r="C149" s="19" t="s">
        <v>312</v>
      </c>
      <c r="D149" s="19" t="s">
        <v>313</v>
      </c>
      <c r="E149" s="19" t="s">
        <v>39</v>
      </c>
      <c r="F149" s="19" t="s">
        <v>106</v>
      </c>
      <c r="G149" s="19"/>
      <c r="H149" s="20">
        <v>2024</v>
      </c>
      <c r="I149" s="19" t="s">
        <v>41</v>
      </c>
      <c r="J149" s="19" t="s">
        <v>276</v>
      </c>
      <c r="K149" s="21" t="s">
        <v>277</v>
      </c>
      <c r="L149" s="22" t="s">
        <v>44</v>
      </c>
      <c r="M149" s="23" t="s">
        <v>45</v>
      </c>
      <c r="N149" s="36" t="s">
        <v>287</v>
      </c>
      <c r="O149" s="65" t="s">
        <v>288</v>
      </c>
      <c r="P149" s="26">
        <f ca="1">IFERROR(VLOOKUP(DadosViagem5[[#This Row],[Placa]],[1]BIP!A:E,5,FALSE),"")</f>
        <v>0</v>
      </c>
      <c r="Q149" s="27">
        <f ca="1">DATEDIF(DadosViagem5[[#This Row],[BIP]],TODAY(),"D")</f>
        <v>45990</v>
      </c>
      <c r="R149" s="28" t="str">
        <f>IFERROR(VLOOKUP(DadosViagem5[[#This Row],[Placa]],[1]DDS!B:C,2,FALSE),"Verificar cadastro")</f>
        <v>Verificar cadastro</v>
      </c>
      <c r="S149" s="29" t="s">
        <v>48</v>
      </c>
      <c r="T149" s="23"/>
      <c r="U149" s="30"/>
      <c r="V149" s="31"/>
      <c r="W149" s="32" t="s">
        <v>289</v>
      </c>
      <c r="X149" s="33"/>
      <c r="Y149" s="34"/>
      <c r="Z149" s="32"/>
      <c r="AA149" s="20" t="s">
        <v>49</v>
      </c>
      <c r="AB149" s="20" t="s">
        <v>49</v>
      </c>
      <c r="AC149" s="19" t="s">
        <v>49</v>
      </c>
      <c r="AD149" s="19" t="str">
        <f ca="1">IFERROR(DATEDIF(DadosViagem5[[#This Row],[Utimo Bip Reserva]],TODAY(),"D"),"")</f>
        <v/>
      </c>
      <c r="AE149" s="36"/>
      <c r="AF149" s="25"/>
      <c r="AG149" s="36" t="s">
        <v>290</v>
      </c>
      <c r="AH149" s="25">
        <v>45807</v>
      </c>
      <c r="AI149" s="36" t="str">
        <f>IF(DadosViagem5[[#This Row],[Dias em manutenção ]]&lt;5,"Dentro do Prazo","Fora do Prazo")</f>
        <v>Fora do Prazo</v>
      </c>
      <c r="AJ149" s="36" t="e">
        <v>#REF!</v>
      </c>
    </row>
    <row r="150" spans="1:36">
      <c r="A150" s="19" t="s">
        <v>321</v>
      </c>
      <c r="B150" s="20"/>
      <c r="C150" s="19" t="s">
        <v>312</v>
      </c>
      <c r="D150" s="19" t="s">
        <v>313</v>
      </c>
      <c r="E150" s="19" t="s">
        <v>39</v>
      </c>
      <c r="F150" s="19" t="s">
        <v>106</v>
      </c>
      <c r="G150" s="19"/>
      <c r="H150" s="20">
        <v>2024</v>
      </c>
      <c r="I150" s="19" t="s">
        <v>41</v>
      </c>
      <c r="J150" s="19" t="s">
        <v>276</v>
      </c>
      <c r="K150" s="21" t="s">
        <v>277</v>
      </c>
      <c r="L150" s="22" t="s">
        <v>44</v>
      </c>
      <c r="M150" s="23" t="s">
        <v>45</v>
      </c>
      <c r="N150" s="36" t="s">
        <v>287</v>
      </c>
      <c r="O150" s="65" t="s">
        <v>288</v>
      </c>
      <c r="P150" s="26">
        <f ca="1">IFERROR(VLOOKUP(DadosViagem5[[#This Row],[Placa]],[1]BIP!A:E,5,FALSE),"")</f>
        <v>0</v>
      </c>
      <c r="Q150" s="27">
        <f ca="1">DATEDIF(DadosViagem5[[#This Row],[BIP]],TODAY(),"D")</f>
        <v>45990</v>
      </c>
      <c r="R150" s="28" t="str">
        <f>IFERROR(VLOOKUP(DadosViagem5[[#This Row],[Placa]],[1]DDS!B:C,2,FALSE),"Verificar cadastro")</f>
        <v>Verificar cadastro</v>
      </c>
      <c r="S150" s="29" t="s">
        <v>48</v>
      </c>
      <c r="T150" s="23"/>
      <c r="U150" s="30"/>
      <c r="V150" s="31"/>
      <c r="W150" s="32" t="s">
        <v>289</v>
      </c>
      <c r="X150" s="33"/>
      <c r="Y150" s="34"/>
      <c r="Z150" s="32"/>
      <c r="AA150" s="20" t="s">
        <v>49</v>
      </c>
      <c r="AB150" s="20" t="s">
        <v>49</v>
      </c>
      <c r="AC150" s="19" t="s">
        <v>49</v>
      </c>
      <c r="AD150" s="19" t="str">
        <f ca="1">IFERROR(DATEDIF(DadosViagem5[[#This Row],[Utimo Bip Reserva]],TODAY(),"D"),"")</f>
        <v/>
      </c>
      <c r="AE150" s="36"/>
      <c r="AF150" s="25"/>
      <c r="AG150" s="36" t="s">
        <v>290</v>
      </c>
      <c r="AH150" s="25">
        <v>45807</v>
      </c>
      <c r="AI150" s="36" t="str">
        <f>IF(DadosViagem5[[#This Row],[Dias em manutenção ]]&lt;5,"Dentro do Prazo","Fora do Prazo")</f>
        <v>Fora do Prazo</v>
      </c>
      <c r="AJ150" s="36" t="e">
        <v>#REF!</v>
      </c>
    </row>
    <row r="151" spans="1:36">
      <c r="A151" s="19" t="s">
        <v>322</v>
      </c>
      <c r="B151" s="20"/>
      <c r="C151" s="19" t="s">
        <v>312</v>
      </c>
      <c r="D151" s="19" t="s">
        <v>313</v>
      </c>
      <c r="E151" s="19" t="s">
        <v>39</v>
      </c>
      <c r="F151" s="19" t="s">
        <v>106</v>
      </c>
      <c r="G151" s="19"/>
      <c r="H151" s="20">
        <v>2024</v>
      </c>
      <c r="I151" s="19" t="s">
        <v>41</v>
      </c>
      <c r="J151" s="19" t="s">
        <v>276</v>
      </c>
      <c r="K151" s="21" t="s">
        <v>277</v>
      </c>
      <c r="L151" s="22" t="s">
        <v>44</v>
      </c>
      <c r="M151" s="23" t="s">
        <v>45</v>
      </c>
      <c r="N151" s="36" t="s">
        <v>287</v>
      </c>
      <c r="O151" s="65" t="s">
        <v>288</v>
      </c>
      <c r="P151" s="26">
        <f ca="1">IFERROR(VLOOKUP(DadosViagem5[[#This Row],[Placa]],[1]BIP!A:E,5,FALSE),"")</f>
        <v>0</v>
      </c>
      <c r="Q151" s="27">
        <f ca="1">DATEDIF(DadosViagem5[[#This Row],[BIP]],TODAY(),"D")</f>
        <v>45990</v>
      </c>
      <c r="R151" s="28" t="str">
        <f>IFERROR(VLOOKUP(DadosViagem5[[#This Row],[Placa]],[1]DDS!B:C,2,FALSE),"Verificar cadastro")</f>
        <v>Verificar cadastro</v>
      </c>
      <c r="S151" s="29" t="s">
        <v>48</v>
      </c>
      <c r="T151" s="23"/>
      <c r="U151" s="30"/>
      <c r="V151" s="31"/>
      <c r="W151" s="32" t="s">
        <v>289</v>
      </c>
      <c r="X151" s="33"/>
      <c r="Y151" s="34"/>
      <c r="Z151" s="32"/>
      <c r="AA151" s="20" t="s">
        <v>49</v>
      </c>
      <c r="AB151" s="20" t="s">
        <v>49</v>
      </c>
      <c r="AC151" s="19" t="s">
        <v>49</v>
      </c>
      <c r="AD151" s="19" t="str">
        <f ca="1">IFERROR(DATEDIF(DadosViagem5[[#This Row],[Utimo Bip Reserva]],TODAY(),"D"),"")</f>
        <v/>
      </c>
      <c r="AE151" s="36"/>
      <c r="AF151" s="25"/>
      <c r="AG151" s="36" t="s">
        <v>290</v>
      </c>
      <c r="AH151" s="25">
        <v>45807</v>
      </c>
      <c r="AI151" s="36" t="str">
        <f>IF(DadosViagem5[[#This Row],[Dias em manutenção ]]&lt;5,"Dentro do Prazo","Fora do Prazo")</f>
        <v>Fora do Prazo</v>
      </c>
      <c r="AJ151" s="36" t="e">
        <v>#REF!</v>
      </c>
    </row>
    <row r="152" spans="1:36">
      <c r="A152" s="19" t="s">
        <v>323</v>
      </c>
      <c r="B152" s="20"/>
      <c r="C152" s="19" t="s">
        <v>312</v>
      </c>
      <c r="D152" s="19" t="s">
        <v>313</v>
      </c>
      <c r="E152" s="19" t="s">
        <v>39</v>
      </c>
      <c r="F152" s="19" t="s">
        <v>106</v>
      </c>
      <c r="G152" s="19"/>
      <c r="H152" s="20">
        <v>2024</v>
      </c>
      <c r="I152" s="19" t="s">
        <v>41</v>
      </c>
      <c r="J152" s="19" t="s">
        <v>276</v>
      </c>
      <c r="K152" s="21" t="s">
        <v>277</v>
      </c>
      <c r="L152" s="22" t="s">
        <v>44</v>
      </c>
      <c r="M152" s="23" t="s">
        <v>45</v>
      </c>
      <c r="N152" s="36" t="s">
        <v>287</v>
      </c>
      <c r="O152" s="65" t="s">
        <v>288</v>
      </c>
      <c r="P152" s="26">
        <f ca="1">IFERROR(VLOOKUP(DadosViagem5[[#This Row],[Placa]],[1]BIP!A:E,5,FALSE),"")</f>
        <v>0</v>
      </c>
      <c r="Q152" s="27">
        <f ca="1">DATEDIF(DadosViagem5[[#This Row],[BIP]],TODAY(),"D")</f>
        <v>45990</v>
      </c>
      <c r="R152" s="28" t="str">
        <f>IFERROR(VLOOKUP(DadosViagem5[[#This Row],[Placa]],[1]DDS!B:C,2,FALSE),"Verificar cadastro")</f>
        <v>Verificar cadastro</v>
      </c>
      <c r="S152" s="29" t="s">
        <v>48</v>
      </c>
      <c r="T152" s="23"/>
      <c r="U152" s="30"/>
      <c r="V152" s="31"/>
      <c r="W152" s="32" t="s">
        <v>289</v>
      </c>
      <c r="X152" s="33"/>
      <c r="Y152" s="34"/>
      <c r="Z152" s="32"/>
      <c r="AA152" s="20" t="s">
        <v>49</v>
      </c>
      <c r="AB152" s="20" t="s">
        <v>49</v>
      </c>
      <c r="AC152" s="19" t="s">
        <v>49</v>
      </c>
      <c r="AD152" s="19" t="str">
        <f ca="1">IFERROR(DATEDIF(DadosViagem5[[#This Row],[Utimo Bip Reserva]],TODAY(),"D"),"")</f>
        <v/>
      </c>
      <c r="AE152" s="36"/>
      <c r="AF152" s="25"/>
      <c r="AG152" s="36" t="s">
        <v>290</v>
      </c>
      <c r="AH152" s="25">
        <v>45807</v>
      </c>
      <c r="AI152" s="36" t="str">
        <f>IF(DadosViagem5[[#This Row],[Dias em manutenção ]]&lt;5,"Dentro do Prazo","Fora do Prazo")</f>
        <v>Fora do Prazo</v>
      </c>
      <c r="AJ152" s="36" t="e">
        <v>#REF!</v>
      </c>
    </row>
    <row r="153" spans="1:36">
      <c r="A153" s="19" t="s">
        <v>324</v>
      </c>
      <c r="B153" s="20"/>
      <c r="C153" s="19" t="s">
        <v>312</v>
      </c>
      <c r="D153" s="19" t="s">
        <v>313</v>
      </c>
      <c r="E153" s="19" t="s">
        <v>39</v>
      </c>
      <c r="F153" s="19" t="s">
        <v>106</v>
      </c>
      <c r="G153" s="19"/>
      <c r="H153" s="20">
        <v>2024</v>
      </c>
      <c r="I153" s="19" t="s">
        <v>41</v>
      </c>
      <c r="J153" s="19" t="s">
        <v>276</v>
      </c>
      <c r="K153" s="21" t="s">
        <v>277</v>
      </c>
      <c r="L153" s="22" t="s">
        <v>44</v>
      </c>
      <c r="M153" s="23" t="s">
        <v>45</v>
      </c>
      <c r="N153" s="36" t="s">
        <v>287</v>
      </c>
      <c r="O153" s="65" t="s">
        <v>288</v>
      </c>
      <c r="P153" s="26">
        <f ca="1">IFERROR(VLOOKUP(DadosViagem5[[#This Row],[Placa]],[1]BIP!A:E,5,FALSE),"")</f>
        <v>0</v>
      </c>
      <c r="Q153" s="27">
        <f ca="1">DATEDIF(DadosViagem5[[#This Row],[BIP]],TODAY(),"D")</f>
        <v>45990</v>
      </c>
      <c r="R153" s="28" t="str">
        <f>IFERROR(VLOOKUP(DadosViagem5[[#This Row],[Placa]],[1]DDS!B:C,2,FALSE),"Verificar cadastro")</f>
        <v>Verificar cadastro</v>
      </c>
      <c r="S153" s="29" t="s">
        <v>48</v>
      </c>
      <c r="T153" s="23"/>
      <c r="U153" s="30"/>
      <c r="V153" s="31"/>
      <c r="W153" s="32" t="s">
        <v>289</v>
      </c>
      <c r="X153" s="33"/>
      <c r="Y153" s="34"/>
      <c r="Z153" s="32"/>
      <c r="AA153" s="20" t="s">
        <v>49</v>
      </c>
      <c r="AB153" s="20" t="s">
        <v>49</v>
      </c>
      <c r="AC153" s="19" t="s">
        <v>49</v>
      </c>
      <c r="AD153" s="19" t="str">
        <f ca="1">IFERROR(DATEDIF(DadosViagem5[[#This Row],[Utimo Bip Reserva]],TODAY(),"D"),"")</f>
        <v/>
      </c>
      <c r="AE153" s="36"/>
      <c r="AF153" s="25"/>
      <c r="AG153" s="36" t="s">
        <v>290</v>
      </c>
      <c r="AH153" s="25">
        <v>45807</v>
      </c>
      <c r="AI153" s="36" t="str">
        <f>IF(DadosViagem5[[#This Row],[Dias em manutenção ]]&lt;5,"Dentro do Prazo","Fora do Prazo")</f>
        <v>Fora do Prazo</v>
      </c>
      <c r="AJ153" s="36" t="e">
        <v>#REF!</v>
      </c>
    </row>
    <row r="154" spans="1:36">
      <c r="A154" s="19" t="s">
        <v>325</v>
      </c>
      <c r="B154" s="20"/>
      <c r="C154" s="19" t="s">
        <v>312</v>
      </c>
      <c r="D154" s="19" t="s">
        <v>313</v>
      </c>
      <c r="E154" s="19" t="s">
        <v>39</v>
      </c>
      <c r="F154" s="19" t="s">
        <v>106</v>
      </c>
      <c r="G154" s="19"/>
      <c r="H154" s="20">
        <v>2024</v>
      </c>
      <c r="I154" s="19" t="s">
        <v>41</v>
      </c>
      <c r="J154" s="19" t="s">
        <v>276</v>
      </c>
      <c r="K154" s="21" t="s">
        <v>277</v>
      </c>
      <c r="L154" s="22" t="s">
        <v>44</v>
      </c>
      <c r="M154" s="23" t="s">
        <v>45</v>
      </c>
      <c r="N154" s="36" t="s">
        <v>287</v>
      </c>
      <c r="O154" s="65" t="s">
        <v>288</v>
      </c>
      <c r="P154" s="26">
        <f ca="1">IFERROR(VLOOKUP(DadosViagem5[[#This Row],[Placa]],[1]BIP!A:E,5,FALSE),"")</f>
        <v>0</v>
      </c>
      <c r="Q154" s="27">
        <f ca="1">DATEDIF(DadosViagem5[[#This Row],[BIP]],TODAY(),"D")</f>
        <v>45990</v>
      </c>
      <c r="R154" s="28" t="str">
        <f>IFERROR(VLOOKUP(DadosViagem5[[#This Row],[Placa]],[1]DDS!B:C,2,FALSE),"Verificar cadastro")</f>
        <v>Verificar cadastro</v>
      </c>
      <c r="S154" s="29" t="s">
        <v>48</v>
      </c>
      <c r="T154" s="23"/>
      <c r="U154" s="30"/>
      <c r="V154" s="31"/>
      <c r="W154" s="32" t="s">
        <v>289</v>
      </c>
      <c r="X154" s="33"/>
      <c r="Y154" s="34"/>
      <c r="Z154" s="32"/>
      <c r="AA154" s="20" t="s">
        <v>49</v>
      </c>
      <c r="AB154" s="20" t="s">
        <v>49</v>
      </c>
      <c r="AC154" s="19" t="s">
        <v>49</v>
      </c>
      <c r="AD154" s="19" t="str">
        <f ca="1">IFERROR(DATEDIF(DadosViagem5[[#This Row],[Utimo Bip Reserva]],TODAY(),"D"),"")</f>
        <v/>
      </c>
      <c r="AE154" s="36"/>
      <c r="AF154" s="25"/>
      <c r="AG154" s="36" t="s">
        <v>290</v>
      </c>
      <c r="AH154" s="25">
        <v>45807</v>
      </c>
      <c r="AI154" s="36" t="str">
        <f>IF(DadosViagem5[[#This Row],[Dias em manutenção ]]&lt;5,"Dentro do Prazo","Fora do Prazo")</f>
        <v>Fora do Prazo</v>
      </c>
      <c r="AJ154" s="36" t="e">
        <v>#REF!</v>
      </c>
    </row>
    <row r="155" spans="1:36">
      <c r="A155" s="19" t="s">
        <v>326</v>
      </c>
      <c r="B155" s="20"/>
      <c r="C155" s="19" t="s">
        <v>312</v>
      </c>
      <c r="D155" s="19" t="s">
        <v>313</v>
      </c>
      <c r="E155" s="19" t="s">
        <v>39</v>
      </c>
      <c r="F155" s="19" t="s">
        <v>106</v>
      </c>
      <c r="G155" s="19"/>
      <c r="H155" s="20">
        <v>2024</v>
      </c>
      <c r="I155" s="19" t="s">
        <v>41</v>
      </c>
      <c r="J155" s="19" t="s">
        <v>276</v>
      </c>
      <c r="K155" s="21" t="s">
        <v>277</v>
      </c>
      <c r="L155" s="22" t="s">
        <v>44</v>
      </c>
      <c r="M155" s="23" t="s">
        <v>45</v>
      </c>
      <c r="N155" s="36" t="s">
        <v>287</v>
      </c>
      <c r="O155" s="65" t="s">
        <v>288</v>
      </c>
      <c r="P155" s="26">
        <f ca="1">IFERROR(VLOOKUP(DadosViagem5[[#This Row],[Placa]],[1]BIP!A:E,5,FALSE),"")</f>
        <v>0</v>
      </c>
      <c r="Q155" s="27">
        <f ca="1">DATEDIF(DadosViagem5[[#This Row],[BIP]],TODAY(),"D")</f>
        <v>45990</v>
      </c>
      <c r="R155" s="28" t="str">
        <f>IFERROR(VLOOKUP(DadosViagem5[[#This Row],[Placa]],[1]DDS!B:C,2,FALSE),"Verificar cadastro")</f>
        <v>Verificar cadastro</v>
      </c>
      <c r="S155" s="29" t="s">
        <v>48</v>
      </c>
      <c r="T155" s="23"/>
      <c r="U155" s="30"/>
      <c r="V155" s="31"/>
      <c r="W155" s="32" t="s">
        <v>289</v>
      </c>
      <c r="X155" s="33"/>
      <c r="Y155" s="34"/>
      <c r="Z155" s="32"/>
      <c r="AA155" s="20" t="s">
        <v>49</v>
      </c>
      <c r="AB155" s="20" t="s">
        <v>49</v>
      </c>
      <c r="AC155" s="19" t="s">
        <v>49</v>
      </c>
      <c r="AD155" s="19" t="str">
        <f ca="1">IFERROR(DATEDIF(DadosViagem5[[#This Row],[Utimo Bip Reserva]],TODAY(),"D"),"")</f>
        <v/>
      </c>
      <c r="AE155" s="36"/>
      <c r="AF155" s="25"/>
      <c r="AG155" s="36" t="s">
        <v>290</v>
      </c>
      <c r="AH155" s="25">
        <v>45807</v>
      </c>
      <c r="AI155" s="36" t="str">
        <f>IF(DadosViagem5[[#This Row],[Dias em manutenção ]]&lt;5,"Dentro do Prazo","Fora do Prazo")</f>
        <v>Fora do Prazo</v>
      </c>
      <c r="AJ155" s="36" t="e">
        <v>#REF!</v>
      </c>
    </row>
    <row r="156" spans="1:36">
      <c r="A156" s="19" t="s">
        <v>327</v>
      </c>
      <c r="B156" s="20"/>
      <c r="C156" s="19" t="s">
        <v>312</v>
      </c>
      <c r="D156" s="19" t="s">
        <v>313</v>
      </c>
      <c r="E156" s="19" t="s">
        <v>39</v>
      </c>
      <c r="F156" s="19" t="s">
        <v>106</v>
      </c>
      <c r="G156" s="19"/>
      <c r="H156" s="20">
        <v>2024</v>
      </c>
      <c r="I156" s="19" t="s">
        <v>41</v>
      </c>
      <c r="J156" s="19" t="s">
        <v>276</v>
      </c>
      <c r="K156" s="21" t="s">
        <v>277</v>
      </c>
      <c r="L156" s="22" t="s">
        <v>44</v>
      </c>
      <c r="M156" s="23" t="s">
        <v>45</v>
      </c>
      <c r="N156" s="36" t="s">
        <v>287</v>
      </c>
      <c r="O156" s="65" t="s">
        <v>288</v>
      </c>
      <c r="P156" s="26">
        <f ca="1">IFERROR(VLOOKUP(DadosViagem5[[#This Row],[Placa]],[1]BIP!A:E,5,FALSE),"")</f>
        <v>0</v>
      </c>
      <c r="Q156" s="27">
        <f ca="1">DATEDIF(DadosViagem5[[#This Row],[BIP]],TODAY(),"D")</f>
        <v>45990</v>
      </c>
      <c r="R156" s="28" t="str">
        <f>IFERROR(VLOOKUP(DadosViagem5[[#This Row],[Placa]],[1]DDS!B:C,2,FALSE),"Verificar cadastro")</f>
        <v>Verificar cadastro</v>
      </c>
      <c r="S156" s="29" t="s">
        <v>48</v>
      </c>
      <c r="T156" s="23"/>
      <c r="U156" s="30"/>
      <c r="V156" s="31"/>
      <c r="W156" s="32" t="s">
        <v>289</v>
      </c>
      <c r="X156" s="33"/>
      <c r="Y156" s="34"/>
      <c r="Z156" s="32"/>
      <c r="AA156" s="20" t="s">
        <v>49</v>
      </c>
      <c r="AB156" s="20" t="s">
        <v>49</v>
      </c>
      <c r="AC156" s="19" t="s">
        <v>49</v>
      </c>
      <c r="AD156" s="19" t="str">
        <f ca="1">IFERROR(DATEDIF(DadosViagem5[[#This Row],[Utimo Bip Reserva]],TODAY(),"D"),"")</f>
        <v/>
      </c>
      <c r="AE156" s="36"/>
      <c r="AF156" s="25"/>
      <c r="AG156" s="36" t="s">
        <v>290</v>
      </c>
      <c r="AH156" s="25">
        <v>45807</v>
      </c>
      <c r="AI156" s="36" t="str">
        <f>IF(DadosViagem5[[#This Row],[Dias em manutenção ]]&lt;5,"Dentro do Prazo","Fora do Prazo")</f>
        <v>Fora do Prazo</v>
      </c>
      <c r="AJ156" s="36" t="e">
        <v>#REF!</v>
      </c>
    </row>
    <row r="157" spans="1:36">
      <c r="A157" s="19" t="s">
        <v>328</v>
      </c>
      <c r="B157" s="20"/>
      <c r="C157" s="19" t="s">
        <v>312</v>
      </c>
      <c r="D157" s="19" t="s">
        <v>313</v>
      </c>
      <c r="E157" s="19" t="s">
        <v>39</v>
      </c>
      <c r="F157" s="19" t="s">
        <v>106</v>
      </c>
      <c r="G157" s="19"/>
      <c r="H157" s="20">
        <v>2024</v>
      </c>
      <c r="I157" s="19" t="s">
        <v>41</v>
      </c>
      <c r="J157" s="19" t="s">
        <v>276</v>
      </c>
      <c r="K157" s="21" t="s">
        <v>277</v>
      </c>
      <c r="L157" s="22" t="s">
        <v>44</v>
      </c>
      <c r="M157" s="23" t="s">
        <v>45</v>
      </c>
      <c r="N157" s="36" t="s">
        <v>287</v>
      </c>
      <c r="O157" s="65" t="s">
        <v>288</v>
      </c>
      <c r="P157" s="26">
        <f ca="1">IFERROR(VLOOKUP(DadosViagem5[[#This Row],[Placa]],[1]BIP!A:E,5,FALSE),"")</f>
        <v>0</v>
      </c>
      <c r="Q157" s="27">
        <f ca="1">DATEDIF(DadosViagem5[[#This Row],[BIP]],TODAY(),"D")</f>
        <v>45990</v>
      </c>
      <c r="R157" s="28" t="str">
        <f>IFERROR(VLOOKUP(DadosViagem5[[#This Row],[Placa]],[1]DDS!B:C,2,FALSE),"Verificar cadastro")</f>
        <v>Verificar cadastro</v>
      </c>
      <c r="S157" s="29" t="s">
        <v>48</v>
      </c>
      <c r="T157" s="23"/>
      <c r="U157" s="30"/>
      <c r="V157" s="47"/>
      <c r="W157" s="32" t="s">
        <v>289</v>
      </c>
      <c r="X157" s="33"/>
      <c r="Y157" s="34"/>
      <c r="Z157" s="32"/>
      <c r="AA157" s="20" t="s">
        <v>49</v>
      </c>
      <c r="AB157" s="20" t="s">
        <v>49</v>
      </c>
      <c r="AC157" s="19" t="s">
        <v>49</v>
      </c>
      <c r="AD157" s="19" t="str">
        <f ca="1">IFERROR(DATEDIF(DadosViagem5[[#This Row],[Utimo Bip Reserva]],TODAY(),"D"),"")</f>
        <v/>
      </c>
      <c r="AE157" s="36"/>
      <c r="AF157" s="25"/>
      <c r="AG157" s="36" t="s">
        <v>290</v>
      </c>
      <c r="AH157" s="25">
        <v>45807</v>
      </c>
      <c r="AI157" s="36" t="str">
        <f>IF(DadosViagem5[[#This Row],[Dias em manutenção ]]&lt;5,"Dentro do Prazo","Fora do Prazo")</f>
        <v>Fora do Prazo</v>
      </c>
      <c r="AJ157" s="36" t="e">
        <v>#REF!</v>
      </c>
    </row>
    <row r="158" spans="1:36">
      <c r="A158" s="19" t="s">
        <v>329</v>
      </c>
      <c r="B158" s="20"/>
      <c r="C158" s="19" t="s">
        <v>312</v>
      </c>
      <c r="D158" s="19" t="s">
        <v>313</v>
      </c>
      <c r="E158" s="19" t="s">
        <v>39</v>
      </c>
      <c r="F158" s="19" t="s">
        <v>106</v>
      </c>
      <c r="G158" s="19"/>
      <c r="H158" s="20">
        <v>2024</v>
      </c>
      <c r="I158" s="19" t="s">
        <v>41</v>
      </c>
      <c r="J158" s="19" t="s">
        <v>276</v>
      </c>
      <c r="K158" s="21" t="s">
        <v>277</v>
      </c>
      <c r="L158" s="22" t="s">
        <v>44</v>
      </c>
      <c r="M158" s="23" t="s">
        <v>45</v>
      </c>
      <c r="N158" s="36" t="s">
        <v>287</v>
      </c>
      <c r="O158" s="65" t="s">
        <v>288</v>
      </c>
      <c r="P158" s="26">
        <f ca="1">IFERROR(VLOOKUP(DadosViagem5[[#This Row],[Placa]],[1]BIP!A:E,5,FALSE),"")</f>
        <v>0</v>
      </c>
      <c r="Q158" s="27">
        <f ca="1">DATEDIF(DadosViagem5[[#This Row],[BIP]],TODAY(),"D")</f>
        <v>45990</v>
      </c>
      <c r="R158" s="28" t="str">
        <f>IFERROR(VLOOKUP(DadosViagem5[[#This Row],[Placa]],[1]DDS!B:C,2,FALSE),"Verificar cadastro")</f>
        <v>Verificar cadastro</v>
      </c>
      <c r="S158" s="29" t="s">
        <v>48</v>
      </c>
      <c r="T158" s="23"/>
      <c r="U158" s="30"/>
      <c r="V158" s="31"/>
      <c r="W158" s="32" t="s">
        <v>289</v>
      </c>
      <c r="X158" s="33"/>
      <c r="Y158" s="34"/>
      <c r="Z158" s="32"/>
      <c r="AA158" s="20" t="s">
        <v>49</v>
      </c>
      <c r="AB158" s="20" t="s">
        <v>49</v>
      </c>
      <c r="AC158" s="19" t="s">
        <v>49</v>
      </c>
      <c r="AD158" s="19" t="str">
        <f ca="1">IFERROR(DATEDIF(DadosViagem5[[#This Row],[Utimo Bip Reserva]],TODAY(),"D"),"")</f>
        <v/>
      </c>
      <c r="AE158" s="36"/>
      <c r="AF158" s="25"/>
      <c r="AG158" s="36" t="s">
        <v>290</v>
      </c>
      <c r="AH158" s="25">
        <v>45807</v>
      </c>
      <c r="AI158" s="36" t="str">
        <f>IF(DadosViagem5[[#This Row],[Dias em manutenção ]]&lt;5,"Dentro do Prazo","Fora do Prazo")</f>
        <v>Fora do Prazo</v>
      </c>
      <c r="AJ158" s="36" t="e">
        <v>#REF!</v>
      </c>
    </row>
    <row r="159" spans="1:36">
      <c r="A159" s="19" t="s">
        <v>330</v>
      </c>
      <c r="B159" s="20"/>
      <c r="C159" s="19" t="s">
        <v>331</v>
      </c>
      <c r="D159" s="19" t="s">
        <v>313</v>
      </c>
      <c r="E159" s="19" t="s">
        <v>39</v>
      </c>
      <c r="F159" s="19" t="s">
        <v>106</v>
      </c>
      <c r="G159" s="19"/>
      <c r="H159" s="20">
        <v>2024</v>
      </c>
      <c r="I159" s="19" t="s">
        <v>41</v>
      </c>
      <c r="J159" s="19" t="s">
        <v>276</v>
      </c>
      <c r="K159" s="21" t="s">
        <v>277</v>
      </c>
      <c r="L159" s="22" t="s">
        <v>44</v>
      </c>
      <c r="M159" s="23" t="s">
        <v>45</v>
      </c>
      <c r="N159" s="36" t="s">
        <v>287</v>
      </c>
      <c r="O159" s="65" t="s">
        <v>288</v>
      </c>
      <c r="P159" s="26">
        <f ca="1">IFERROR(VLOOKUP(DadosViagem5[[#This Row],[Placa]],[1]BIP!A:E,5,FALSE),"")</f>
        <v>0</v>
      </c>
      <c r="Q159" s="27">
        <f ca="1">DATEDIF(DadosViagem5[[#This Row],[BIP]],TODAY(),"D")</f>
        <v>45990</v>
      </c>
      <c r="R159" s="28" t="str">
        <f>IFERROR(VLOOKUP(DadosViagem5[[#This Row],[Placa]],[1]DDS!B:C,2,FALSE),"Verificar cadastro")</f>
        <v>Verificar cadastro</v>
      </c>
      <c r="S159" s="29" t="s">
        <v>48</v>
      </c>
      <c r="T159" s="23"/>
      <c r="U159" s="30"/>
      <c r="V159" s="31"/>
      <c r="W159" s="32" t="s">
        <v>289</v>
      </c>
      <c r="X159" s="33"/>
      <c r="Y159" s="34"/>
      <c r="Z159" s="32"/>
      <c r="AA159" s="20" t="s">
        <v>49</v>
      </c>
      <c r="AB159" s="20" t="s">
        <v>49</v>
      </c>
      <c r="AC159" s="19" t="s">
        <v>49</v>
      </c>
      <c r="AD159" s="19" t="str">
        <f ca="1">IFERROR(DATEDIF(DadosViagem5[[#This Row],[Utimo Bip Reserva]],TODAY(),"D"),"")</f>
        <v/>
      </c>
      <c r="AE159" s="36"/>
      <c r="AF159" s="25"/>
      <c r="AG159" s="36" t="s">
        <v>290</v>
      </c>
      <c r="AH159" s="25">
        <v>45807</v>
      </c>
      <c r="AI159" s="36" t="str">
        <f>IF(DadosViagem5[[#This Row],[Dias em manutenção ]]&lt;5,"Dentro do Prazo","Fora do Prazo")</f>
        <v>Fora do Prazo</v>
      </c>
      <c r="AJ159" s="36" t="e">
        <v>#REF!</v>
      </c>
    </row>
    <row r="160" spans="1:36">
      <c r="A160" s="19" t="s">
        <v>332</v>
      </c>
      <c r="B160" s="20"/>
      <c r="C160" s="19" t="s">
        <v>333</v>
      </c>
      <c r="D160" s="19" t="s">
        <v>313</v>
      </c>
      <c r="E160" s="19" t="s">
        <v>39</v>
      </c>
      <c r="F160" s="19" t="s">
        <v>106</v>
      </c>
      <c r="G160" s="19"/>
      <c r="H160" s="20">
        <v>2024</v>
      </c>
      <c r="I160" s="19" t="s">
        <v>41</v>
      </c>
      <c r="J160" s="19" t="s">
        <v>276</v>
      </c>
      <c r="K160" s="21" t="s">
        <v>277</v>
      </c>
      <c r="L160" s="22" t="s">
        <v>44</v>
      </c>
      <c r="M160" s="23" t="s">
        <v>45</v>
      </c>
      <c r="N160" s="36" t="s">
        <v>287</v>
      </c>
      <c r="O160" s="65" t="s">
        <v>288</v>
      </c>
      <c r="P160" s="26">
        <f ca="1">IFERROR(VLOOKUP(DadosViagem5[[#This Row],[Placa]],[1]BIP!A:E,5,FALSE),"")</f>
        <v>0</v>
      </c>
      <c r="Q160" s="27">
        <f ca="1">DATEDIF(DadosViagem5[[#This Row],[BIP]],TODAY(),"D")</f>
        <v>45990</v>
      </c>
      <c r="R160" s="28" t="str">
        <f>IFERROR(VLOOKUP(DadosViagem5[[#This Row],[Placa]],[1]DDS!B:C,2,FALSE),"Verificar cadastro")</f>
        <v>Verificar cadastro</v>
      </c>
      <c r="S160" s="29" t="s">
        <v>48</v>
      </c>
      <c r="T160" s="23"/>
      <c r="U160" s="30"/>
      <c r="V160" s="31"/>
      <c r="W160" s="32" t="s">
        <v>289</v>
      </c>
      <c r="X160" s="33"/>
      <c r="Y160" s="34"/>
      <c r="Z160" s="32"/>
      <c r="AA160" s="20" t="s">
        <v>49</v>
      </c>
      <c r="AB160" s="20" t="s">
        <v>49</v>
      </c>
      <c r="AC160" s="19" t="s">
        <v>49</v>
      </c>
      <c r="AD160" s="19" t="str">
        <f ca="1">IFERROR(DATEDIF(DadosViagem5[[#This Row],[Utimo Bip Reserva]],TODAY(),"D"),"")</f>
        <v/>
      </c>
      <c r="AE160" s="36"/>
      <c r="AF160" s="25"/>
      <c r="AG160" s="36" t="s">
        <v>290</v>
      </c>
      <c r="AH160" s="25">
        <v>45807</v>
      </c>
      <c r="AI160" s="36" t="str">
        <f>IF(DadosViagem5[[#This Row],[Dias em manutenção ]]&lt;5,"Dentro do Prazo","Fora do Prazo")</f>
        <v>Fora do Prazo</v>
      </c>
      <c r="AJ160" s="36" t="e">
        <v>#REF!</v>
      </c>
    </row>
    <row r="161" spans="1:36">
      <c r="A161" s="19" t="s">
        <v>334</v>
      </c>
      <c r="B161" s="20"/>
      <c r="C161" s="19" t="s">
        <v>312</v>
      </c>
      <c r="D161" s="19" t="s">
        <v>313</v>
      </c>
      <c r="E161" s="19" t="s">
        <v>39</v>
      </c>
      <c r="F161" s="19" t="s">
        <v>106</v>
      </c>
      <c r="G161" s="19"/>
      <c r="H161" s="20">
        <v>2024</v>
      </c>
      <c r="I161" s="19" t="s">
        <v>41</v>
      </c>
      <c r="J161" s="19" t="s">
        <v>276</v>
      </c>
      <c r="K161" s="21" t="s">
        <v>277</v>
      </c>
      <c r="L161" s="22" t="s">
        <v>44</v>
      </c>
      <c r="M161" s="23" t="s">
        <v>45</v>
      </c>
      <c r="N161" s="36" t="s">
        <v>287</v>
      </c>
      <c r="O161" s="65" t="s">
        <v>288</v>
      </c>
      <c r="P161" s="26">
        <f ca="1">IFERROR(VLOOKUP(DadosViagem5[[#This Row],[Placa]],[1]BIP!A:E,5,FALSE),"")</f>
        <v>0</v>
      </c>
      <c r="Q161" s="27">
        <f ca="1">DATEDIF(DadosViagem5[[#This Row],[BIP]],TODAY(),"D")</f>
        <v>45990</v>
      </c>
      <c r="R161" s="28" t="str">
        <f>IFERROR(VLOOKUP(DadosViagem5[[#This Row],[Placa]],[1]DDS!B:C,2,FALSE),"Verificar cadastro")</f>
        <v>Verificar cadastro</v>
      </c>
      <c r="S161" s="29" t="s">
        <v>48</v>
      </c>
      <c r="T161" s="23"/>
      <c r="U161" s="30"/>
      <c r="V161" s="31"/>
      <c r="W161" s="32" t="s">
        <v>289</v>
      </c>
      <c r="X161" s="33"/>
      <c r="Y161" s="34"/>
      <c r="Z161" s="32"/>
      <c r="AA161" s="20" t="s">
        <v>49</v>
      </c>
      <c r="AB161" s="20" t="s">
        <v>49</v>
      </c>
      <c r="AC161" s="19" t="s">
        <v>49</v>
      </c>
      <c r="AD161" s="19" t="str">
        <f ca="1">IFERROR(DATEDIF(DadosViagem5[[#This Row],[Utimo Bip Reserva]],TODAY(),"D"),"")</f>
        <v/>
      </c>
      <c r="AE161" s="36"/>
      <c r="AF161" s="25"/>
      <c r="AG161" s="36" t="s">
        <v>290</v>
      </c>
      <c r="AH161" s="25">
        <v>45807</v>
      </c>
      <c r="AI161" s="36" t="str">
        <f>IF(DadosViagem5[[#This Row],[Dias em manutenção ]]&lt;5,"Dentro do Prazo","Fora do Prazo")</f>
        <v>Fora do Prazo</v>
      </c>
      <c r="AJ161" s="36" t="e">
        <v>#REF!</v>
      </c>
    </row>
    <row r="162" spans="1:36">
      <c r="A162" s="19" t="s">
        <v>335</v>
      </c>
      <c r="B162" s="20"/>
      <c r="C162" s="19" t="s">
        <v>312</v>
      </c>
      <c r="D162" s="19" t="s">
        <v>313</v>
      </c>
      <c r="E162" s="19" t="s">
        <v>39</v>
      </c>
      <c r="F162" s="19" t="s">
        <v>106</v>
      </c>
      <c r="G162" s="19"/>
      <c r="H162" s="20">
        <v>2024</v>
      </c>
      <c r="I162" s="19" t="s">
        <v>41</v>
      </c>
      <c r="J162" s="19" t="s">
        <v>276</v>
      </c>
      <c r="K162" s="21" t="s">
        <v>277</v>
      </c>
      <c r="L162" s="22" t="s">
        <v>44</v>
      </c>
      <c r="M162" s="23" t="s">
        <v>45</v>
      </c>
      <c r="N162" s="36" t="s">
        <v>287</v>
      </c>
      <c r="O162" s="65" t="s">
        <v>288</v>
      </c>
      <c r="P162" s="26">
        <f ca="1">IFERROR(VLOOKUP(DadosViagem5[[#This Row],[Placa]],[1]BIP!A:E,5,FALSE),"")</f>
        <v>0</v>
      </c>
      <c r="Q162" s="27">
        <f ca="1">DATEDIF(DadosViagem5[[#This Row],[BIP]],TODAY(),"D")</f>
        <v>45990</v>
      </c>
      <c r="R162" s="28" t="str">
        <f>IFERROR(VLOOKUP(DadosViagem5[[#This Row],[Placa]],[1]DDS!B:C,2,FALSE),"Verificar cadastro")</f>
        <v>Verificar cadastro</v>
      </c>
      <c r="S162" s="29" t="s">
        <v>48</v>
      </c>
      <c r="T162" s="23"/>
      <c r="U162" s="30"/>
      <c r="V162" s="31"/>
      <c r="W162" s="32" t="s">
        <v>289</v>
      </c>
      <c r="X162" s="33"/>
      <c r="Y162" s="34"/>
      <c r="Z162" s="32"/>
      <c r="AA162" s="20" t="s">
        <v>49</v>
      </c>
      <c r="AB162" s="20" t="s">
        <v>49</v>
      </c>
      <c r="AC162" s="19" t="s">
        <v>49</v>
      </c>
      <c r="AD162" s="19" t="str">
        <f ca="1">IFERROR(DATEDIF(DadosViagem5[[#This Row],[Utimo Bip Reserva]],TODAY(),"D"),"")</f>
        <v/>
      </c>
      <c r="AE162" s="36"/>
      <c r="AF162" s="25"/>
      <c r="AG162" s="68" t="s">
        <v>290</v>
      </c>
      <c r="AH162" s="25">
        <v>45807</v>
      </c>
      <c r="AI162" s="36" t="str">
        <f>IF(DadosViagem5[[#This Row],[Dias em manutenção ]]&lt;5,"Dentro do Prazo","Fora do Prazo")</f>
        <v>Fora do Prazo</v>
      </c>
      <c r="AJ162" s="36" t="e">
        <v>#REF!</v>
      </c>
    </row>
    <row r="163" spans="1:36">
      <c r="A163" s="19" t="s">
        <v>336</v>
      </c>
      <c r="B163" s="20"/>
      <c r="C163" s="19" t="s">
        <v>312</v>
      </c>
      <c r="D163" s="19" t="s">
        <v>313</v>
      </c>
      <c r="E163" s="19" t="s">
        <v>39</v>
      </c>
      <c r="F163" s="19" t="s">
        <v>106</v>
      </c>
      <c r="G163" s="19"/>
      <c r="H163" s="20">
        <v>2024</v>
      </c>
      <c r="I163" s="19" t="s">
        <v>41</v>
      </c>
      <c r="J163" s="19" t="s">
        <v>276</v>
      </c>
      <c r="K163" s="21" t="s">
        <v>277</v>
      </c>
      <c r="L163" s="22" t="s">
        <v>44</v>
      </c>
      <c r="M163" s="23" t="s">
        <v>45</v>
      </c>
      <c r="N163" s="36" t="s">
        <v>287</v>
      </c>
      <c r="O163" s="65" t="s">
        <v>288</v>
      </c>
      <c r="P163" s="26">
        <f ca="1">IFERROR(VLOOKUP(DadosViagem5[[#This Row],[Placa]],[1]BIP!A:E,5,FALSE),"")</f>
        <v>0</v>
      </c>
      <c r="Q163" s="27">
        <f ca="1">DATEDIF(DadosViagem5[[#This Row],[BIP]],TODAY(),"D")</f>
        <v>45990</v>
      </c>
      <c r="R163" s="28" t="str">
        <f>IFERROR(VLOOKUP(DadosViagem5[[#This Row],[Placa]],[1]DDS!B:C,2,FALSE),"Verificar cadastro")</f>
        <v>Verificar cadastro</v>
      </c>
      <c r="S163" s="29" t="s">
        <v>48</v>
      </c>
      <c r="T163" s="23"/>
      <c r="U163" s="30"/>
      <c r="V163" s="31"/>
      <c r="W163" s="32" t="s">
        <v>289</v>
      </c>
      <c r="X163" s="33"/>
      <c r="Y163" s="34"/>
      <c r="Z163" s="32"/>
      <c r="AA163" s="20" t="s">
        <v>49</v>
      </c>
      <c r="AB163" s="20" t="s">
        <v>49</v>
      </c>
      <c r="AC163" s="19" t="s">
        <v>49</v>
      </c>
      <c r="AD163" s="19" t="str">
        <f ca="1">IFERROR(DATEDIF(DadosViagem5[[#This Row],[Utimo Bip Reserva]],TODAY(),"D"),"")</f>
        <v/>
      </c>
      <c r="AE163" s="36"/>
      <c r="AF163" s="25"/>
      <c r="AG163" s="36" t="s">
        <v>290</v>
      </c>
      <c r="AH163" s="25">
        <v>45807</v>
      </c>
      <c r="AI163" s="36" t="str">
        <f>IF(DadosViagem5[[#This Row],[Dias em manutenção ]]&lt;5,"Dentro do Prazo","Fora do Prazo")</f>
        <v>Fora do Prazo</v>
      </c>
      <c r="AJ163" s="36" t="e">
        <v>#REF!</v>
      </c>
    </row>
    <row r="164" spans="1:36">
      <c r="A164" s="19" t="s">
        <v>337</v>
      </c>
      <c r="B164" s="20"/>
      <c r="C164" s="19" t="s">
        <v>312</v>
      </c>
      <c r="D164" s="19" t="s">
        <v>313</v>
      </c>
      <c r="E164" s="19" t="s">
        <v>39</v>
      </c>
      <c r="F164" s="19" t="s">
        <v>106</v>
      </c>
      <c r="G164" s="19"/>
      <c r="H164" s="20">
        <v>2024</v>
      </c>
      <c r="I164" s="19" t="s">
        <v>41</v>
      </c>
      <c r="J164" s="19" t="s">
        <v>276</v>
      </c>
      <c r="K164" s="21" t="s">
        <v>277</v>
      </c>
      <c r="L164" s="22" t="s">
        <v>44</v>
      </c>
      <c r="M164" s="23" t="s">
        <v>45</v>
      </c>
      <c r="N164" s="24" t="s">
        <v>287</v>
      </c>
      <c r="O164" s="65" t="s">
        <v>288</v>
      </c>
      <c r="P164" s="26">
        <f ca="1">IFERROR(VLOOKUP(DadosViagem5[[#This Row],[Placa]],[1]BIP!A:E,5,FALSE),"")</f>
        <v>0</v>
      </c>
      <c r="Q164" s="27">
        <f ca="1">DATEDIF(DadosViagem5[[#This Row],[BIP]],TODAY(),"D")</f>
        <v>45990</v>
      </c>
      <c r="R164" s="28" t="str">
        <f>IFERROR(VLOOKUP(DadosViagem5[[#This Row],[Placa]],[1]DDS!B:C,2,FALSE),"Verificar cadastro")</f>
        <v>Verificar cadastro</v>
      </c>
      <c r="S164" s="29" t="s">
        <v>48</v>
      </c>
      <c r="T164" s="23"/>
      <c r="U164" s="30"/>
      <c r="V164" s="47"/>
      <c r="W164" s="32" t="s">
        <v>289</v>
      </c>
      <c r="X164" s="33"/>
      <c r="Y164" s="34"/>
      <c r="Z164" s="32"/>
      <c r="AA164" s="20" t="s">
        <v>49</v>
      </c>
      <c r="AB164" s="20" t="s">
        <v>49</v>
      </c>
      <c r="AC164" s="19" t="s">
        <v>49</v>
      </c>
      <c r="AD164" s="19" t="str">
        <f ca="1">IFERROR(DATEDIF(DadosViagem5[[#This Row],[Utimo Bip Reserva]],TODAY(),"D"),"")</f>
        <v/>
      </c>
      <c r="AE164" s="36"/>
      <c r="AF164" s="25"/>
      <c r="AG164" s="36" t="s">
        <v>290</v>
      </c>
      <c r="AH164" s="25">
        <v>45807</v>
      </c>
      <c r="AI164" s="36" t="str">
        <f>IF(DadosViagem5[[#This Row],[Dias em manutenção ]]&lt;5,"Dentro do Prazo","Fora do Prazo")</f>
        <v>Fora do Prazo</v>
      </c>
      <c r="AJ164" s="36" t="e">
        <v>#REF!</v>
      </c>
    </row>
    <row r="165" spans="1:36">
      <c r="A165" s="19" t="s">
        <v>338</v>
      </c>
      <c r="B165" s="20"/>
      <c r="C165" s="19" t="s">
        <v>312</v>
      </c>
      <c r="D165" s="19" t="s">
        <v>313</v>
      </c>
      <c r="E165" s="19" t="s">
        <v>39</v>
      </c>
      <c r="F165" s="19" t="s">
        <v>106</v>
      </c>
      <c r="G165" s="19"/>
      <c r="H165" s="20">
        <v>2024</v>
      </c>
      <c r="I165" s="19" t="s">
        <v>41</v>
      </c>
      <c r="J165" s="19" t="s">
        <v>276</v>
      </c>
      <c r="K165" s="21" t="s">
        <v>277</v>
      </c>
      <c r="L165" s="22" t="s">
        <v>44</v>
      </c>
      <c r="M165" s="23" t="s">
        <v>45</v>
      </c>
      <c r="N165" s="24" t="s">
        <v>287</v>
      </c>
      <c r="O165" s="65" t="s">
        <v>288</v>
      </c>
      <c r="P165" s="26">
        <f ca="1">IFERROR(VLOOKUP(DadosViagem5[[#This Row],[Placa]],[1]BIP!A:E,5,FALSE),"")</f>
        <v>0</v>
      </c>
      <c r="Q165" s="27">
        <f ca="1">DATEDIF(DadosViagem5[[#This Row],[BIP]],TODAY(),"D")</f>
        <v>45990</v>
      </c>
      <c r="R165" s="28" t="str">
        <f>IFERROR(VLOOKUP(DadosViagem5[[#This Row],[Placa]],[1]DDS!B:C,2,FALSE),"Verificar cadastro")</f>
        <v>Verificar cadastro</v>
      </c>
      <c r="S165" s="29" t="s">
        <v>48</v>
      </c>
      <c r="T165" s="23"/>
      <c r="U165" s="30"/>
      <c r="V165" s="31"/>
      <c r="W165" s="32" t="s">
        <v>289</v>
      </c>
      <c r="X165" s="33"/>
      <c r="Y165" s="34"/>
      <c r="Z165" s="32"/>
      <c r="AA165" s="20" t="s">
        <v>49</v>
      </c>
      <c r="AB165" s="20" t="s">
        <v>49</v>
      </c>
      <c r="AC165" s="19" t="s">
        <v>49</v>
      </c>
      <c r="AD165" s="19" t="str">
        <f ca="1">IFERROR(DATEDIF(DadosViagem5[[#This Row],[Utimo Bip Reserva]],TODAY(),"D"),"")</f>
        <v/>
      </c>
      <c r="AE165" s="36"/>
      <c r="AF165" s="25"/>
      <c r="AG165" s="36" t="s">
        <v>290</v>
      </c>
      <c r="AH165" s="25">
        <v>45807</v>
      </c>
      <c r="AI165" s="36" t="str">
        <f>IF(DadosViagem5[[#This Row],[Dias em manutenção ]]&lt;5,"Dentro do Prazo","Fora do Prazo")</f>
        <v>Fora do Prazo</v>
      </c>
      <c r="AJ165" s="36" t="e">
        <v>#REF!</v>
      </c>
    </row>
    <row r="166" spans="1:36">
      <c r="A166" s="19" t="s">
        <v>339</v>
      </c>
      <c r="B166" s="20"/>
      <c r="C166" s="19" t="s">
        <v>312</v>
      </c>
      <c r="D166" s="19" t="s">
        <v>313</v>
      </c>
      <c r="E166" s="19" t="s">
        <v>39</v>
      </c>
      <c r="F166" s="19" t="s">
        <v>106</v>
      </c>
      <c r="G166" s="19"/>
      <c r="H166" s="20">
        <v>2024</v>
      </c>
      <c r="I166" s="19" t="s">
        <v>41</v>
      </c>
      <c r="J166" s="19" t="s">
        <v>276</v>
      </c>
      <c r="K166" s="21" t="s">
        <v>277</v>
      </c>
      <c r="L166" s="22" t="s">
        <v>44</v>
      </c>
      <c r="M166" s="23" t="s">
        <v>45</v>
      </c>
      <c r="N166" s="36" t="s">
        <v>287</v>
      </c>
      <c r="O166" s="65" t="s">
        <v>288</v>
      </c>
      <c r="P166" s="26">
        <f ca="1">IFERROR(VLOOKUP(DadosViagem5[[#This Row],[Placa]],[1]BIP!A:E,5,FALSE),"")</f>
        <v>0</v>
      </c>
      <c r="Q166" s="27">
        <f ca="1">DATEDIF(DadosViagem5[[#This Row],[BIP]],TODAY(),"D")</f>
        <v>45990</v>
      </c>
      <c r="R166" s="28" t="str">
        <f>IFERROR(VLOOKUP(DadosViagem5[[#This Row],[Placa]],[1]DDS!B:C,2,FALSE),"Verificar cadastro")</f>
        <v>Verificar cadastro</v>
      </c>
      <c r="S166" s="29" t="s">
        <v>48</v>
      </c>
      <c r="T166" s="23"/>
      <c r="U166" s="30"/>
      <c r="V166" s="31"/>
      <c r="W166" s="32" t="s">
        <v>289</v>
      </c>
      <c r="X166" s="33"/>
      <c r="Y166" s="34"/>
      <c r="Z166" s="32"/>
      <c r="AA166" s="20" t="s">
        <v>49</v>
      </c>
      <c r="AB166" s="20" t="s">
        <v>49</v>
      </c>
      <c r="AC166" s="19" t="s">
        <v>49</v>
      </c>
      <c r="AD166" s="19" t="str">
        <f ca="1">IFERROR(DATEDIF(DadosViagem5[[#This Row],[Utimo Bip Reserva]],TODAY(),"D"),"")</f>
        <v/>
      </c>
      <c r="AE166" s="36"/>
      <c r="AF166" s="25"/>
      <c r="AG166" s="36" t="s">
        <v>290</v>
      </c>
      <c r="AH166" s="25">
        <v>45807</v>
      </c>
      <c r="AI166" s="36" t="str">
        <f>IF(DadosViagem5[[#This Row],[Dias em manutenção ]]&lt;5,"Dentro do Prazo","Fora do Prazo")</f>
        <v>Fora do Prazo</v>
      </c>
      <c r="AJ166" s="36" t="e">
        <v>#REF!</v>
      </c>
    </row>
    <row r="167" spans="1:36">
      <c r="A167" s="19" t="s">
        <v>340</v>
      </c>
      <c r="B167" s="20"/>
      <c r="C167" s="19" t="s">
        <v>312</v>
      </c>
      <c r="D167" s="19" t="s">
        <v>313</v>
      </c>
      <c r="E167" s="19" t="s">
        <v>39</v>
      </c>
      <c r="F167" s="19" t="s">
        <v>106</v>
      </c>
      <c r="G167" s="19"/>
      <c r="H167" s="20">
        <v>2024</v>
      </c>
      <c r="I167" s="19" t="s">
        <v>41</v>
      </c>
      <c r="J167" s="19" t="s">
        <v>276</v>
      </c>
      <c r="K167" s="21" t="s">
        <v>277</v>
      </c>
      <c r="L167" s="22" t="s">
        <v>44</v>
      </c>
      <c r="M167" s="23" t="s">
        <v>45</v>
      </c>
      <c r="N167" s="36" t="s">
        <v>287</v>
      </c>
      <c r="O167" s="65" t="s">
        <v>288</v>
      </c>
      <c r="P167" s="26">
        <f ca="1">IFERROR(VLOOKUP(DadosViagem5[[#This Row],[Placa]],[1]BIP!A:E,5,FALSE),"")</f>
        <v>0</v>
      </c>
      <c r="Q167" s="27">
        <f ca="1">DATEDIF(DadosViagem5[[#This Row],[BIP]],TODAY(),"D")</f>
        <v>45990</v>
      </c>
      <c r="R167" s="28" t="str">
        <f>IFERROR(VLOOKUP(DadosViagem5[[#This Row],[Placa]],[1]DDS!B:C,2,FALSE),"Verificar cadastro")</f>
        <v>Verificar cadastro</v>
      </c>
      <c r="S167" s="29" t="s">
        <v>48</v>
      </c>
      <c r="T167" s="23"/>
      <c r="U167" s="30"/>
      <c r="V167" s="31"/>
      <c r="W167" s="32" t="s">
        <v>289</v>
      </c>
      <c r="X167" s="33"/>
      <c r="Y167" s="34"/>
      <c r="Z167" s="32"/>
      <c r="AA167" s="20" t="s">
        <v>49</v>
      </c>
      <c r="AB167" s="20" t="s">
        <v>49</v>
      </c>
      <c r="AC167" s="19" t="s">
        <v>49</v>
      </c>
      <c r="AD167" s="19" t="str">
        <f ca="1">IFERROR(DATEDIF(DadosViagem5[[#This Row],[Utimo Bip Reserva]],TODAY(),"D"),"")</f>
        <v/>
      </c>
      <c r="AE167" s="36"/>
      <c r="AF167" s="25"/>
      <c r="AG167" s="36" t="s">
        <v>290</v>
      </c>
      <c r="AH167" s="25">
        <v>45807</v>
      </c>
      <c r="AI167" s="36" t="str">
        <f>IF(DadosViagem5[[#This Row],[Dias em manutenção ]]&lt;5,"Dentro do Prazo","Fora do Prazo")</f>
        <v>Fora do Prazo</v>
      </c>
      <c r="AJ167" s="36" t="e">
        <v>#REF!</v>
      </c>
    </row>
    <row r="168" spans="1:36">
      <c r="A168" s="19" t="s">
        <v>341</v>
      </c>
      <c r="B168" s="20"/>
      <c r="C168" s="19" t="s">
        <v>312</v>
      </c>
      <c r="D168" s="19" t="s">
        <v>313</v>
      </c>
      <c r="E168" s="19" t="s">
        <v>39</v>
      </c>
      <c r="F168" s="19" t="s">
        <v>106</v>
      </c>
      <c r="G168" s="19"/>
      <c r="H168" s="20">
        <v>2024</v>
      </c>
      <c r="I168" s="19" t="s">
        <v>41</v>
      </c>
      <c r="J168" s="19" t="s">
        <v>276</v>
      </c>
      <c r="K168" s="21" t="s">
        <v>277</v>
      </c>
      <c r="L168" s="22" t="s">
        <v>44</v>
      </c>
      <c r="M168" s="23" t="s">
        <v>45</v>
      </c>
      <c r="N168" s="36" t="s">
        <v>287</v>
      </c>
      <c r="O168" s="65" t="s">
        <v>288</v>
      </c>
      <c r="P168" s="26">
        <f ca="1">IFERROR(VLOOKUP(DadosViagem5[[#This Row],[Placa]],[1]BIP!A:E,5,FALSE),"")</f>
        <v>0</v>
      </c>
      <c r="Q168" s="27">
        <f ca="1">DATEDIF(DadosViagem5[[#This Row],[BIP]],TODAY(),"D")</f>
        <v>45990</v>
      </c>
      <c r="R168" s="28" t="str">
        <f>IFERROR(VLOOKUP(DadosViagem5[[#This Row],[Placa]],[1]DDS!B:C,2,FALSE),"Verificar cadastro")</f>
        <v>Verificar cadastro</v>
      </c>
      <c r="S168" s="29" t="s">
        <v>48</v>
      </c>
      <c r="T168" s="23"/>
      <c r="U168" s="30"/>
      <c r="V168" s="31"/>
      <c r="W168" s="32" t="s">
        <v>289</v>
      </c>
      <c r="X168" s="33"/>
      <c r="Y168" s="34"/>
      <c r="Z168" s="32"/>
      <c r="AA168" s="20" t="s">
        <v>49</v>
      </c>
      <c r="AB168" s="20" t="s">
        <v>49</v>
      </c>
      <c r="AC168" s="19" t="s">
        <v>49</v>
      </c>
      <c r="AD168" s="19" t="str">
        <f ca="1">IFERROR(DATEDIF(DadosViagem5[[#This Row],[Utimo Bip Reserva]],TODAY(),"D"),"")</f>
        <v/>
      </c>
      <c r="AE168" s="36"/>
      <c r="AF168" s="25"/>
      <c r="AG168" s="36" t="s">
        <v>290</v>
      </c>
      <c r="AH168" s="25">
        <v>45807</v>
      </c>
      <c r="AI168" s="36" t="str">
        <f>IF(DadosViagem5[[#This Row],[Dias em manutenção ]]&lt;5,"Dentro do Prazo","Fora do Prazo")</f>
        <v>Fora do Prazo</v>
      </c>
      <c r="AJ168" s="36" t="e">
        <v>#REF!</v>
      </c>
    </row>
    <row r="169" spans="1:36">
      <c r="A169" s="19" t="s">
        <v>342</v>
      </c>
      <c r="B169" s="20"/>
      <c r="C169" s="19" t="s">
        <v>312</v>
      </c>
      <c r="D169" s="19" t="s">
        <v>313</v>
      </c>
      <c r="E169" s="19" t="s">
        <v>39</v>
      </c>
      <c r="F169" s="19" t="s">
        <v>106</v>
      </c>
      <c r="G169" s="19"/>
      <c r="H169" s="20">
        <v>2024</v>
      </c>
      <c r="I169" s="19" t="s">
        <v>41</v>
      </c>
      <c r="J169" s="19" t="s">
        <v>276</v>
      </c>
      <c r="K169" s="21" t="s">
        <v>277</v>
      </c>
      <c r="L169" s="22" t="s">
        <v>44</v>
      </c>
      <c r="M169" s="23" t="s">
        <v>45</v>
      </c>
      <c r="N169" s="36" t="s">
        <v>287</v>
      </c>
      <c r="O169" s="65" t="s">
        <v>288</v>
      </c>
      <c r="P169" s="26">
        <f ca="1">IFERROR(VLOOKUP(DadosViagem5[[#This Row],[Placa]],[1]BIP!A:E,5,FALSE),"")</f>
        <v>0</v>
      </c>
      <c r="Q169" s="27">
        <f ca="1">DATEDIF(DadosViagem5[[#This Row],[BIP]],TODAY(),"D")</f>
        <v>45990</v>
      </c>
      <c r="R169" s="28" t="str">
        <f>IFERROR(VLOOKUP(DadosViagem5[[#This Row],[Placa]],[1]DDS!B:C,2,FALSE),"Verificar cadastro")</f>
        <v>Verificar cadastro</v>
      </c>
      <c r="S169" s="29" t="s">
        <v>48</v>
      </c>
      <c r="T169" s="23"/>
      <c r="U169" s="30"/>
      <c r="V169" s="31"/>
      <c r="W169" s="32" t="s">
        <v>289</v>
      </c>
      <c r="X169" s="33"/>
      <c r="Y169" s="34"/>
      <c r="Z169" s="32"/>
      <c r="AA169" s="20" t="s">
        <v>49</v>
      </c>
      <c r="AB169" s="20" t="s">
        <v>49</v>
      </c>
      <c r="AC169" s="19" t="s">
        <v>49</v>
      </c>
      <c r="AD169" s="19" t="str">
        <f ca="1">IFERROR(DATEDIF(DadosViagem5[[#This Row],[Utimo Bip Reserva]],TODAY(),"D"),"")</f>
        <v/>
      </c>
      <c r="AE169" s="36"/>
      <c r="AF169" s="25"/>
      <c r="AG169" s="36" t="s">
        <v>290</v>
      </c>
      <c r="AH169" s="25">
        <v>45807</v>
      </c>
      <c r="AI169" s="36" t="str">
        <f>IF(DadosViagem5[[#This Row],[Dias em manutenção ]]&lt;5,"Dentro do Prazo","Fora do Prazo")</f>
        <v>Fora do Prazo</v>
      </c>
      <c r="AJ169" s="36" t="e">
        <v>#REF!</v>
      </c>
    </row>
    <row r="170" spans="1:36">
      <c r="A170" s="19" t="s">
        <v>343</v>
      </c>
      <c r="B170" s="20"/>
      <c r="C170" s="19" t="s">
        <v>312</v>
      </c>
      <c r="D170" s="19" t="s">
        <v>313</v>
      </c>
      <c r="E170" s="19" t="s">
        <v>39</v>
      </c>
      <c r="F170" s="19" t="s">
        <v>106</v>
      </c>
      <c r="G170" s="19"/>
      <c r="H170" s="20">
        <v>2024</v>
      </c>
      <c r="I170" s="19" t="s">
        <v>41</v>
      </c>
      <c r="J170" s="19" t="s">
        <v>276</v>
      </c>
      <c r="K170" s="21" t="s">
        <v>277</v>
      </c>
      <c r="L170" s="22" t="s">
        <v>44</v>
      </c>
      <c r="M170" s="23" t="s">
        <v>45</v>
      </c>
      <c r="N170" s="36" t="s">
        <v>287</v>
      </c>
      <c r="O170" s="65" t="s">
        <v>288</v>
      </c>
      <c r="P170" s="26">
        <f ca="1">IFERROR(VLOOKUP(DadosViagem5[[#This Row],[Placa]],[1]BIP!A:E,5,FALSE),"")</f>
        <v>0</v>
      </c>
      <c r="Q170" s="27">
        <f ca="1">DATEDIF(DadosViagem5[[#This Row],[BIP]],TODAY(),"D")</f>
        <v>45990</v>
      </c>
      <c r="R170" s="28" t="str">
        <f>IFERROR(VLOOKUP(DadosViagem5[[#This Row],[Placa]],[1]DDS!B:C,2,FALSE),"Verificar cadastro")</f>
        <v>Verificar cadastro</v>
      </c>
      <c r="S170" s="29" t="s">
        <v>48</v>
      </c>
      <c r="T170" s="23"/>
      <c r="U170" s="30"/>
      <c r="V170" s="31"/>
      <c r="W170" s="32" t="s">
        <v>289</v>
      </c>
      <c r="X170" s="33"/>
      <c r="Y170" s="34"/>
      <c r="Z170" s="32"/>
      <c r="AA170" s="20" t="s">
        <v>49</v>
      </c>
      <c r="AB170" s="20" t="s">
        <v>49</v>
      </c>
      <c r="AC170" s="19" t="s">
        <v>49</v>
      </c>
      <c r="AD170" s="19" t="str">
        <f ca="1">IFERROR(DATEDIF(DadosViagem5[[#This Row],[Utimo Bip Reserva]],TODAY(),"D"),"")</f>
        <v/>
      </c>
      <c r="AE170" s="36"/>
      <c r="AF170" s="25"/>
      <c r="AG170" s="36" t="s">
        <v>290</v>
      </c>
      <c r="AH170" s="25">
        <v>45807</v>
      </c>
      <c r="AI170" s="36" t="str">
        <f>IF(DadosViagem5[[#This Row],[Dias em manutenção ]]&lt;5,"Dentro do Prazo","Fora do Prazo")</f>
        <v>Fora do Prazo</v>
      </c>
      <c r="AJ170" s="36" t="e">
        <v>#REF!</v>
      </c>
    </row>
    <row r="171" spans="1:36">
      <c r="A171" s="19" t="s">
        <v>344</v>
      </c>
      <c r="B171" s="20"/>
      <c r="C171" s="19" t="s">
        <v>312</v>
      </c>
      <c r="D171" s="19" t="s">
        <v>313</v>
      </c>
      <c r="E171" s="19" t="s">
        <v>39</v>
      </c>
      <c r="F171" s="19" t="s">
        <v>106</v>
      </c>
      <c r="G171" s="19"/>
      <c r="H171" s="20">
        <v>2024</v>
      </c>
      <c r="I171" s="19" t="s">
        <v>41</v>
      </c>
      <c r="J171" s="19" t="s">
        <v>276</v>
      </c>
      <c r="K171" s="21" t="s">
        <v>277</v>
      </c>
      <c r="L171" s="22" t="s">
        <v>44</v>
      </c>
      <c r="M171" s="23" t="s">
        <v>45</v>
      </c>
      <c r="N171" s="36" t="s">
        <v>287</v>
      </c>
      <c r="O171" s="65" t="s">
        <v>288</v>
      </c>
      <c r="P171" s="26">
        <f ca="1">IFERROR(VLOOKUP(DadosViagem5[[#This Row],[Placa]],[1]BIP!A:E,5,FALSE),"")</f>
        <v>0</v>
      </c>
      <c r="Q171" s="27">
        <f ca="1">DATEDIF(DadosViagem5[[#This Row],[BIP]],TODAY(),"D")</f>
        <v>45990</v>
      </c>
      <c r="R171" s="28" t="str">
        <f>IFERROR(VLOOKUP(DadosViagem5[[#This Row],[Placa]],[1]DDS!B:C,2,FALSE),"Verificar cadastro")</f>
        <v>Verificar cadastro</v>
      </c>
      <c r="S171" s="29" t="s">
        <v>48</v>
      </c>
      <c r="T171" s="23"/>
      <c r="U171" s="30"/>
      <c r="V171" s="31"/>
      <c r="W171" s="32" t="s">
        <v>289</v>
      </c>
      <c r="X171" s="33"/>
      <c r="Y171" s="34"/>
      <c r="Z171" s="32"/>
      <c r="AA171" s="20" t="s">
        <v>49</v>
      </c>
      <c r="AB171" s="20" t="s">
        <v>49</v>
      </c>
      <c r="AC171" s="19" t="s">
        <v>49</v>
      </c>
      <c r="AD171" s="19" t="str">
        <f ca="1">IFERROR(DATEDIF(DadosViagem5[[#This Row],[Utimo Bip Reserva]],TODAY(),"D"),"")</f>
        <v/>
      </c>
      <c r="AE171" s="36"/>
      <c r="AF171" s="25"/>
      <c r="AG171" s="36" t="s">
        <v>290</v>
      </c>
      <c r="AH171" s="25">
        <v>45807</v>
      </c>
      <c r="AI171" s="36" t="str">
        <f>IF(DadosViagem5[[#This Row],[Dias em manutenção ]]&lt;5,"Dentro do Prazo","Fora do Prazo")</f>
        <v>Fora do Prazo</v>
      </c>
      <c r="AJ171" s="36" t="e">
        <v>#REF!</v>
      </c>
    </row>
    <row r="172" spans="1:36">
      <c r="A172" s="19" t="s">
        <v>345</v>
      </c>
      <c r="B172" s="20"/>
      <c r="C172" s="19" t="s">
        <v>312</v>
      </c>
      <c r="D172" s="19" t="s">
        <v>313</v>
      </c>
      <c r="E172" s="19" t="s">
        <v>39</v>
      </c>
      <c r="F172" s="19" t="s">
        <v>106</v>
      </c>
      <c r="G172" s="19"/>
      <c r="H172" s="20">
        <v>2024</v>
      </c>
      <c r="I172" s="19" t="s">
        <v>41</v>
      </c>
      <c r="J172" s="19" t="s">
        <v>276</v>
      </c>
      <c r="K172" s="21" t="s">
        <v>277</v>
      </c>
      <c r="L172" s="22" t="s">
        <v>44</v>
      </c>
      <c r="M172" s="23" t="s">
        <v>45</v>
      </c>
      <c r="N172" s="36" t="s">
        <v>287</v>
      </c>
      <c r="O172" s="65" t="s">
        <v>288</v>
      </c>
      <c r="P172" s="26">
        <f ca="1">IFERROR(VLOOKUP(DadosViagem5[[#This Row],[Placa]],[1]BIP!A:E,5,FALSE),"")</f>
        <v>0</v>
      </c>
      <c r="Q172" s="27">
        <f ca="1">DATEDIF(DadosViagem5[[#This Row],[BIP]],TODAY(),"D")</f>
        <v>45990</v>
      </c>
      <c r="R172" s="28" t="str">
        <f>IFERROR(VLOOKUP(DadosViagem5[[#This Row],[Placa]],[1]DDS!B:C,2,FALSE),"Verificar cadastro")</f>
        <v>Verificar cadastro</v>
      </c>
      <c r="S172" s="29" t="s">
        <v>48</v>
      </c>
      <c r="T172" s="23"/>
      <c r="U172" s="30"/>
      <c r="V172" s="31"/>
      <c r="W172" s="32" t="s">
        <v>289</v>
      </c>
      <c r="X172" s="33"/>
      <c r="Y172" s="34"/>
      <c r="Z172" s="32"/>
      <c r="AA172" s="20" t="s">
        <v>49</v>
      </c>
      <c r="AB172" s="20" t="s">
        <v>49</v>
      </c>
      <c r="AC172" s="19" t="s">
        <v>49</v>
      </c>
      <c r="AD172" s="19" t="str">
        <f ca="1">IFERROR(DATEDIF(DadosViagem5[[#This Row],[Utimo Bip Reserva]],TODAY(),"D"),"")</f>
        <v/>
      </c>
      <c r="AE172" s="36"/>
      <c r="AF172" s="25"/>
      <c r="AG172" s="36" t="s">
        <v>290</v>
      </c>
      <c r="AH172" s="25">
        <v>45807</v>
      </c>
      <c r="AI172" s="36" t="str">
        <f>IF(DadosViagem5[[#This Row],[Dias em manutenção ]]&lt;5,"Dentro do Prazo","Fora do Prazo")</f>
        <v>Fora do Prazo</v>
      </c>
      <c r="AJ172" s="36" t="e">
        <v>#REF!</v>
      </c>
    </row>
    <row r="173" spans="1:36">
      <c r="A173" s="19" t="s">
        <v>346</v>
      </c>
      <c r="B173" s="20"/>
      <c r="C173" s="19" t="s">
        <v>312</v>
      </c>
      <c r="D173" s="19" t="s">
        <v>313</v>
      </c>
      <c r="E173" s="19" t="s">
        <v>39</v>
      </c>
      <c r="F173" s="19" t="s">
        <v>106</v>
      </c>
      <c r="G173" s="19"/>
      <c r="H173" s="20">
        <v>2024</v>
      </c>
      <c r="I173" s="19" t="s">
        <v>41</v>
      </c>
      <c r="J173" s="19" t="s">
        <v>276</v>
      </c>
      <c r="K173" s="21" t="s">
        <v>277</v>
      </c>
      <c r="L173" s="22" t="s">
        <v>44</v>
      </c>
      <c r="M173" s="46" t="s">
        <v>45</v>
      </c>
      <c r="N173" s="36" t="s">
        <v>287</v>
      </c>
      <c r="O173" s="65" t="s">
        <v>288</v>
      </c>
      <c r="P173" s="26">
        <f ca="1">IFERROR(VLOOKUP(DadosViagem5[[#This Row],[Placa]],[1]BIP!A:E,5,FALSE),"")</f>
        <v>0</v>
      </c>
      <c r="Q173" s="27">
        <f ca="1">DATEDIF(DadosViagem5[[#This Row],[BIP]],TODAY(),"D")</f>
        <v>45990</v>
      </c>
      <c r="R173" s="28" t="str">
        <f>IFERROR(VLOOKUP(DadosViagem5[[#This Row],[Placa]],[1]DDS!B:C,2,FALSE),"Verificar cadastro")</f>
        <v>Verificar cadastro</v>
      </c>
      <c r="S173" s="29" t="s">
        <v>48</v>
      </c>
      <c r="T173" s="23"/>
      <c r="U173" s="30"/>
      <c r="V173" s="31"/>
      <c r="W173" s="32" t="s">
        <v>289</v>
      </c>
      <c r="X173" s="33"/>
      <c r="Y173" s="34"/>
      <c r="Z173" s="32"/>
      <c r="AA173" s="20" t="s">
        <v>49</v>
      </c>
      <c r="AB173" s="20" t="s">
        <v>49</v>
      </c>
      <c r="AC173" s="19" t="s">
        <v>49</v>
      </c>
      <c r="AD173" s="19" t="str">
        <f ca="1">IFERROR(DATEDIF(DadosViagem5[[#This Row],[Utimo Bip Reserva]],TODAY(),"D"),"")</f>
        <v/>
      </c>
      <c r="AE173" s="36"/>
      <c r="AF173" s="25"/>
      <c r="AG173" s="36" t="s">
        <v>290</v>
      </c>
      <c r="AH173" s="25">
        <v>45807</v>
      </c>
      <c r="AI173" s="36" t="str">
        <f>IF(DadosViagem5[[#This Row],[Dias em manutenção ]]&lt;5,"Dentro do Prazo","Fora do Prazo")</f>
        <v>Fora do Prazo</v>
      </c>
      <c r="AJ173" s="36" t="e">
        <v>#REF!</v>
      </c>
    </row>
    <row r="174" spans="1:36">
      <c r="A174" s="19" t="s">
        <v>347</v>
      </c>
      <c r="B174" s="20"/>
      <c r="C174" s="19" t="s">
        <v>312</v>
      </c>
      <c r="D174" s="19" t="s">
        <v>313</v>
      </c>
      <c r="E174" s="19" t="s">
        <v>39</v>
      </c>
      <c r="F174" s="19" t="s">
        <v>106</v>
      </c>
      <c r="G174" s="19"/>
      <c r="H174" s="20">
        <v>2024</v>
      </c>
      <c r="I174" s="19" t="s">
        <v>41</v>
      </c>
      <c r="J174" s="19" t="s">
        <v>276</v>
      </c>
      <c r="K174" s="21" t="s">
        <v>277</v>
      </c>
      <c r="L174" s="22" t="s">
        <v>44</v>
      </c>
      <c r="M174" s="46" t="s">
        <v>45</v>
      </c>
      <c r="N174" s="36" t="s">
        <v>287</v>
      </c>
      <c r="O174" s="65" t="s">
        <v>288</v>
      </c>
      <c r="P174" s="26">
        <f ca="1">IFERROR(VLOOKUP(DadosViagem5[[#This Row],[Placa]],[1]BIP!A:E,5,FALSE),"")</f>
        <v>0</v>
      </c>
      <c r="Q174" s="27">
        <f ca="1">DATEDIF(DadosViagem5[[#This Row],[BIP]],TODAY(),"D")</f>
        <v>45990</v>
      </c>
      <c r="R174" s="28" t="str">
        <f>IFERROR(VLOOKUP(DadosViagem5[[#This Row],[Placa]],[1]DDS!B:C,2,FALSE),"Verificar cadastro")</f>
        <v>Verificar cadastro</v>
      </c>
      <c r="S174" s="29" t="s">
        <v>48</v>
      </c>
      <c r="T174" s="23"/>
      <c r="U174" s="30"/>
      <c r="V174" s="31"/>
      <c r="W174" s="32" t="s">
        <v>289</v>
      </c>
      <c r="X174" s="33"/>
      <c r="Y174" s="34"/>
      <c r="Z174" s="32"/>
      <c r="AA174" s="20" t="s">
        <v>49</v>
      </c>
      <c r="AB174" s="20" t="s">
        <v>49</v>
      </c>
      <c r="AC174" s="19" t="s">
        <v>49</v>
      </c>
      <c r="AD174" s="19" t="str">
        <f ca="1">IFERROR(DATEDIF(DadosViagem5[[#This Row],[Utimo Bip Reserva]],TODAY(),"D"),"")</f>
        <v/>
      </c>
      <c r="AE174" s="36"/>
      <c r="AF174" s="25"/>
      <c r="AG174" s="36" t="s">
        <v>290</v>
      </c>
      <c r="AH174" s="25">
        <v>45807</v>
      </c>
      <c r="AI174" s="36" t="str">
        <f>IF(DadosViagem5[[#This Row],[Dias em manutenção ]]&lt;5,"Dentro do Prazo","Fora do Prazo")</f>
        <v>Fora do Prazo</v>
      </c>
      <c r="AJ174" s="36" t="e">
        <v>#REF!</v>
      </c>
    </row>
    <row r="175" spans="1:36">
      <c r="A175" s="19" t="s">
        <v>348</v>
      </c>
      <c r="B175" s="20"/>
      <c r="C175" s="19" t="s">
        <v>312</v>
      </c>
      <c r="D175" s="19" t="s">
        <v>313</v>
      </c>
      <c r="E175" s="19" t="s">
        <v>39</v>
      </c>
      <c r="F175" s="19" t="s">
        <v>106</v>
      </c>
      <c r="G175" s="19"/>
      <c r="H175" s="20">
        <v>2024</v>
      </c>
      <c r="I175" s="19" t="s">
        <v>41</v>
      </c>
      <c r="J175" s="19" t="s">
        <v>276</v>
      </c>
      <c r="K175" s="21" t="s">
        <v>277</v>
      </c>
      <c r="L175" s="22" t="s">
        <v>44</v>
      </c>
      <c r="M175" s="23" t="s">
        <v>45</v>
      </c>
      <c r="N175" s="36" t="s">
        <v>287</v>
      </c>
      <c r="O175" s="65" t="s">
        <v>288</v>
      </c>
      <c r="P175" s="26">
        <f ca="1">IFERROR(VLOOKUP(DadosViagem5[[#This Row],[Placa]],[1]BIP!A:E,5,FALSE),"")</f>
        <v>0</v>
      </c>
      <c r="Q175" s="27">
        <f ca="1">DATEDIF(DadosViagem5[[#This Row],[BIP]],TODAY(),"D")</f>
        <v>45990</v>
      </c>
      <c r="R175" s="28" t="str">
        <f>IFERROR(VLOOKUP(DadosViagem5[[#This Row],[Placa]],[1]DDS!B:C,2,FALSE),"Verificar cadastro")</f>
        <v>Verificar cadastro</v>
      </c>
      <c r="S175" s="29" t="s">
        <v>48</v>
      </c>
      <c r="T175" s="23"/>
      <c r="U175" s="30"/>
      <c r="V175" s="31"/>
      <c r="W175" s="32" t="s">
        <v>289</v>
      </c>
      <c r="X175" s="33"/>
      <c r="Y175" s="34"/>
      <c r="Z175" s="32"/>
      <c r="AA175" s="20" t="s">
        <v>49</v>
      </c>
      <c r="AB175" s="20" t="s">
        <v>49</v>
      </c>
      <c r="AC175" s="19" t="s">
        <v>49</v>
      </c>
      <c r="AD175" s="19" t="str">
        <f ca="1">IFERROR(DATEDIF(DadosViagem5[[#This Row],[Utimo Bip Reserva]],TODAY(),"D"),"")</f>
        <v/>
      </c>
      <c r="AE175" s="36"/>
      <c r="AF175" s="25"/>
      <c r="AG175" s="36" t="s">
        <v>290</v>
      </c>
      <c r="AH175" s="25">
        <v>45807</v>
      </c>
      <c r="AI175" s="36" t="str">
        <f>IF(DadosViagem5[[#This Row],[Dias em manutenção ]]&lt;5,"Dentro do Prazo","Fora do Prazo")</f>
        <v>Fora do Prazo</v>
      </c>
      <c r="AJ175" s="36" t="e">
        <v>#REF!</v>
      </c>
    </row>
    <row r="176" spans="1:36">
      <c r="A176" s="19" t="s">
        <v>349</v>
      </c>
      <c r="B176" s="20"/>
      <c r="C176" s="19" t="s">
        <v>312</v>
      </c>
      <c r="D176" s="19" t="s">
        <v>313</v>
      </c>
      <c r="E176" s="19" t="s">
        <v>39</v>
      </c>
      <c r="F176" s="19" t="s">
        <v>106</v>
      </c>
      <c r="G176" s="19"/>
      <c r="H176" s="20">
        <v>2024</v>
      </c>
      <c r="I176" s="19" t="s">
        <v>41</v>
      </c>
      <c r="J176" s="19" t="s">
        <v>276</v>
      </c>
      <c r="K176" s="21" t="s">
        <v>277</v>
      </c>
      <c r="L176" s="22" t="s">
        <v>44</v>
      </c>
      <c r="M176" s="23" t="s">
        <v>45</v>
      </c>
      <c r="N176" s="36" t="s">
        <v>287</v>
      </c>
      <c r="O176" s="65" t="s">
        <v>288</v>
      </c>
      <c r="P176" s="26">
        <f ca="1">IFERROR(VLOOKUP(DadosViagem5[[#This Row],[Placa]],[1]BIP!A:E,5,FALSE),"")</f>
        <v>0</v>
      </c>
      <c r="Q176" s="27">
        <f ca="1">DATEDIF(DadosViagem5[[#This Row],[BIP]],TODAY(),"D")</f>
        <v>45990</v>
      </c>
      <c r="R176" s="28" t="str">
        <f>IFERROR(VLOOKUP(DadosViagem5[[#This Row],[Placa]],[1]DDS!B:C,2,FALSE),"Verificar cadastro")</f>
        <v>Verificar cadastro</v>
      </c>
      <c r="S176" s="29" t="s">
        <v>48</v>
      </c>
      <c r="T176" s="23"/>
      <c r="U176" s="30"/>
      <c r="V176" s="31"/>
      <c r="W176" s="32" t="s">
        <v>289</v>
      </c>
      <c r="X176" s="33"/>
      <c r="Y176" s="34"/>
      <c r="Z176" s="32"/>
      <c r="AA176" s="20" t="s">
        <v>49</v>
      </c>
      <c r="AB176" s="20" t="s">
        <v>49</v>
      </c>
      <c r="AC176" s="19" t="s">
        <v>49</v>
      </c>
      <c r="AD176" s="19" t="str">
        <f ca="1">IFERROR(DATEDIF(DadosViagem5[[#This Row],[Utimo Bip Reserva]],TODAY(),"D"),"")</f>
        <v/>
      </c>
      <c r="AE176" s="36"/>
      <c r="AF176" s="25"/>
      <c r="AG176" s="36" t="s">
        <v>290</v>
      </c>
      <c r="AH176" s="25">
        <v>45807</v>
      </c>
      <c r="AI176" s="36" t="str">
        <f>IF(DadosViagem5[[#This Row],[Dias em manutenção ]]&lt;5,"Dentro do Prazo","Fora do Prazo")</f>
        <v>Fora do Prazo</v>
      </c>
      <c r="AJ176" s="36" t="e">
        <v>#REF!</v>
      </c>
    </row>
    <row r="177" spans="1:36">
      <c r="A177" s="19" t="s">
        <v>350</v>
      </c>
      <c r="B177" s="20"/>
      <c r="C177" s="19" t="s">
        <v>331</v>
      </c>
      <c r="D177" s="19" t="s">
        <v>313</v>
      </c>
      <c r="E177" s="19" t="s">
        <v>39</v>
      </c>
      <c r="F177" s="19" t="s">
        <v>106</v>
      </c>
      <c r="G177" s="19"/>
      <c r="H177" s="20">
        <v>2024</v>
      </c>
      <c r="I177" s="19" t="s">
        <v>41</v>
      </c>
      <c r="J177" s="19" t="s">
        <v>276</v>
      </c>
      <c r="K177" s="21" t="s">
        <v>277</v>
      </c>
      <c r="L177" s="22" t="s">
        <v>44</v>
      </c>
      <c r="M177" s="23" t="s">
        <v>45</v>
      </c>
      <c r="N177" s="36" t="s">
        <v>287</v>
      </c>
      <c r="O177" s="65" t="s">
        <v>288</v>
      </c>
      <c r="P177" s="26">
        <f ca="1">IFERROR(VLOOKUP(DadosViagem5[[#This Row],[Placa]],[1]BIP!A:E,5,FALSE),"")</f>
        <v>0</v>
      </c>
      <c r="Q177" s="27">
        <f ca="1">DATEDIF(DadosViagem5[[#This Row],[BIP]],TODAY(),"D")</f>
        <v>45990</v>
      </c>
      <c r="R177" s="28" t="str">
        <f>IFERROR(VLOOKUP(DadosViagem5[[#This Row],[Placa]],[1]DDS!B:C,2,FALSE),"Verificar cadastro")</f>
        <v>Verificar cadastro</v>
      </c>
      <c r="S177" s="29" t="s">
        <v>48</v>
      </c>
      <c r="T177" s="23"/>
      <c r="U177" s="30"/>
      <c r="V177" s="31"/>
      <c r="W177" s="32" t="s">
        <v>289</v>
      </c>
      <c r="X177" s="33"/>
      <c r="Y177" s="34"/>
      <c r="Z177" s="32"/>
      <c r="AA177" s="20" t="s">
        <v>49</v>
      </c>
      <c r="AB177" s="20" t="s">
        <v>49</v>
      </c>
      <c r="AC177" s="19" t="s">
        <v>49</v>
      </c>
      <c r="AD177" s="19" t="str">
        <f ca="1">IFERROR(DATEDIF(DadosViagem5[[#This Row],[Utimo Bip Reserva]],TODAY(),"D"),"")</f>
        <v/>
      </c>
      <c r="AE177" s="36"/>
      <c r="AF177" s="25"/>
      <c r="AG177" s="36" t="s">
        <v>290</v>
      </c>
      <c r="AH177" s="25">
        <v>45807</v>
      </c>
      <c r="AI177" s="36" t="str">
        <f>IF(DadosViagem5[[#This Row],[Dias em manutenção ]]&lt;5,"Dentro do Prazo","Fora do Prazo")</f>
        <v>Fora do Prazo</v>
      </c>
      <c r="AJ177" s="36" t="e">
        <v>#REF!</v>
      </c>
    </row>
    <row r="178" spans="1:36">
      <c r="A178" s="19" t="s">
        <v>351</v>
      </c>
      <c r="B178" s="20"/>
      <c r="C178" s="19" t="s">
        <v>331</v>
      </c>
      <c r="D178" s="19" t="s">
        <v>313</v>
      </c>
      <c r="E178" s="19" t="s">
        <v>39</v>
      </c>
      <c r="F178" s="19" t="s">
        <v>106</v>
      </c>
      <c r="G178" s="19"/>
      <c r="H178" s="20">
        <v>2024</v>
      </c>
      <c r="I178" s="19" t="s">
        <v>41</v>
      </c>
      <c r="J178" s="19" t="s">
        <v>276</v>
      </c>
      <c r="K178" s="21" t="s">
        <v>277</v>
      </c>
      <c r="L178" s="22" t="s">
        <v>44</v>
      </c>
      <c r="M178" s="23" t="s">
        <v>45</v>
      </c>
      <c r="N178" s="36" t="s">
        <v>287</v>
      </c>
      <c r="O178" s="65" t="s">
        <v>288</v>
      </c>
      <c r="P178" s="26">
        <f ca="1">IFERROR(VLOOKUP(DadosViagem5[[#This Row],[Placa]],[1]BIP!A:E,5,FALSE),"")</f>
        <v>0</v>
      </c>
      <c r="Q178" s="27">
        <f ca="1">DATEDIF(DadosViagem5[[#This Row],[BIP]],TODAY(),"D")</f>
        <v>45990</v>
      </c>
      <c r="R178" s="28" t="str">
        <f>IFERROR(VLOOKUP(DadosViagem5[[#This Row],[Placa]],[1]DDS!B:C,2,FALSE),"Verificar cadastro")</f>
        <v>Verificar cadastro</v>
      </c>
      <c r="S178" s="29" t="s">
        <v>48</v>
      </c>
      <c r="T178" s="23"/>
      <c r="U178" s="30"/>
      <c r="V178" s="31"/>
      <c r="W178" s="32" t="s">
        <v>289</v>
      </c>
      <c r="X178" s="33"/>
      <c r="Y178" s="34"/>
      <c r="Z178" s="32"/>
      <c r="AA178" s="20" t="s">
        <v>49</v>
      </c>
      <c r="AB178" s="20" t="s">
        <v>49</v>
      </c>
      <c r="AC178" s="19" t="s">
        <v>49</v>
      </c>
      <c r="AD178" s="19" t="str">
        <f ca="1">IFERROR(DATEDIF(DadosViagem5[[#This Row],[Utimo Bip Reserva]],TODAY(),"D"),"")</f>
        <v/>
      </c>
      <c r="AE178" s="36"/>
      <c r="AF178" s="25"/>
      <c r="AG178" s="36" t="s">
        <v>290</v>
      </c>
      <c r="AH178" s="25">
        <v>45807</v>
      </c>
      <c r="AI178" s="36" t="str">
        <f>IF(DadosViagem5[[#This Row],[Dias em manutenção ]]&lt;5,"Dentro do Prazo","Fora do Prazo")</f>
        <v>Fora do Prazo</v>
      </c>
      <c r="AJ178" s="36" t="e">
        <v>#REF!</v>
      </c>
    </row>
    <row r="179" spans="1:36">
      <c r="A179" s="19" t="s">
        <v>352</v>
      </c>
      <c r="B179" s="20"/>
      <c r="C179" s="19" t="s">
        <v>333</v>
      </c>
      <c r="D179" s="19" t="s">
        <v>313</v>
      </c>
      <c r="E179" s="19" t="s">
        <v>39</v>
      </c>
      <c r="F179" s="19" t="s">
        <v>106</v>
      </c>
      <c r="G179" s="19"/>
      <c r="H179" s="20">
        <v>2024</v>
      </c>
      <c r="I179" s="19" t="s">
        <v>41</v>
      </c>
      <c r="J179" s="19" t="s">
        <v>276</v>
      </c>
      <c r="K179" s="21" t="s">
        <v>277</v>
      </c>
      <c r="L179" s="22" t="s">
        <v>44</v>
      </c>
      <c r="M179" s="23" t="s">
        <v>45</v>
      </c>
      <c r="N179" s="36" t="s">
        <v>287</v>
      </c>
      <c r="O179" s="65" t="s">
        <v>288</v>
      </c>
      <c r="P179" s="26">
        <f ca="1">IFERROR(VLOOKUP(DadosViagem5[[#This Row],[Placa]],[1]BIP!A:E,5,FALSE),"")</f>
        <v>0</v>
      </c>
      <c r="Q179" s="27">
        <f ca="1">DATEDIF(DadosViagem5[[#This Row],[BIP]],TODAY(),"D")</f>
        <v>45990</v>
      </c>
      <c r="R179" s="28" t="str">
        <f>IFERROR(VLOOKUP(DadosViagem5[[#This Row],[Placa]],[1]DDS!B:C,2,FALSE),"Verificar cadastro")</f>
        <v>Verificar cadastro</v>
      </c>
      <c r="S179" s="29" t="s">
        <v>48</v>
      </c>
      <c r="T179" s="23"/>
      <c r="U179" s="30"/>
      <c r="V179" s="31"/>
      <c r="W179" s="32" t="s">
        <v>289</v>
      </c>
      <c r="X179" s="33"/>
      <c r="Y179" s="34"/>
      <c r="Z179" s="32"/>
      <c r="AA179" s="20" t="s">
        <v>49</v>
      </c>
      <c r="AB179" s="20" t="s">
        <v>49</v>
      </c>
      <c r="AC179" s="19" t="s">
        <v>49</v>
      </c>
      <c r="AD179" s="19" t="str">
        <f ca="1">IFERROR(DATEDIF(DadosViagem5[[#This Row],[Utimo Bip Reserva]],TODAY(),"D"),"")</f>
        <v/>
      </c>
      <c r="AE179" s="36"/>
      <c r="AF179" s="25"/>
      <c r="AG179" s="36" t="s">
        <v>290</v>
      </c>
      <c r="AH179" s="25">
        <v>45807</v>
      </c>
      <c r="AI179" s="36" t="str">
        <f>IF(DadosViagem5[[#This Row],[Dias em manutenção ]]&lt;5,"Dentro do Prazo","Fora do Prazo")</f>
        <v>Fora do Prazo</v>
      </c>
      <c r="AJ179" s="36" t="e">
        <v>#REF!</v>
      </c>
    </row>
    <row r="180" spans="1:36">
      <c r="A180" s="19" t="s">
        <v>353</v>
      </c>
      <c r="B180" s="20"/>
      <c r="C180" s="19" t="s">
        <v>333</v>
      </c>
      <c r="D180" s="19" t="s">
        <v>313</v>
      </c>
      <c r="E180" s="19" t="s">
        <v>39</v>
      </c>
      <c r="F180" s="19" t="s">
        <v>106</v>
      </c>
      <c r="G180" s="19"/>
      <c r="H180" s="20">
        <v>2024</v>
      </c>
      <c r="I180" s="19" t="s">
        <v>41</v>
      </c>
      <c r="J180" s="19" t="s">
        <v>276</v>
      </c>
      <c r="K180" s="21" t="s">
        <v>277</v>
      </c>
      <c r="L180" s="22" t="s">
        <v>44</v>
      </c>
      <c r="M180" s="23" t="s">
        <v>45</v>
      </c>
      <c r="N180" s="36" t="s">
        <v>287</v>
      </c>
      <c r="O180" s="65" t="s">
        <v>288</v>
      </c>
      <c r="P180" s="26">
        <f ca="1">IFERROR(VLOOKUP(DadosViagem5[[#This Row],[Placa]],[1]BIP!A:E,5,FALSE),"")</f>
        <v>0</v>
      </c>
      <c r="Q180" s="27">
        <f ca="1">DATEDIF(DadosViagem5[[#This Row],[BIP]],TODAY(),"D")</f>
        <v>45990</v>
      </c>
      <c r="R180" s="28" t="str">
        <f>IFERROR(VLOOKUP(DadosViagem5[[#This Row],[Placa]],[1]DDS!B:C,2,FALSE),"Verificar cadastro")</f>
        <v>Verificar cadastro</v>
      </c>
      <c r="S180" s="29" t="s">
        <v>48</v>
      </c>
      <c r="T180" s="23"/>
      <c r="U180" s="30"/>
      <c r="V180" s="31"/>
      <c r="W180" s="32" t="s">
        <v>289</v>
      </c>
      <c r="X180" s="33"/>
      <c r="Y180" s="34"/>
      <c r="Z180" s="32"/>
      <c r="AA180" s="20" t="s">
        <v>49</v>
      </c>
      <c r="AB180" s="20" t="s">
        <v>49</v>
      </c>
      <c r="AC180" s="19" t="s">
        <v>49</v>
      </c>
      <c r="AD180" s="19" t="str">
        <f ca="1">IFERROR(DATEDIF(DadosViagem5[[#This Row],[Utimo Bip Reserva]],TODAY(),"D"),"")</f>
        <v/>
      </c>
      <c r="AE180" s="36"/>
      <c r="AF180" s="25"/>
      <c r="AG180" s="36" t="s">
        <v>290</v>
      </c>
      <c r="AH180" s="25">
        <v>45807</v>
      </c>
      <c r="AI180" s="36" t="str">
        <f>IF(DadosViagem5[[#This Row],[Dias em manutenção ]]&lt;5,"Dentro do Prazo","Fora do Prazo")</f>
        <v>Fora do Prazo</v>
      </c>
      <c r="AJ180" s="36" t="e">
        <v>#REF!</v>
      </c>
    </row>
    <row r="181" spans="1:36">
      <c r="A181" s="19" t="s">
        <v>354</v>
      </c>
      <c r="B181" s="20"/>
      <c r="C181" s="19" t="s">
        <v>312</v>
      </c>
      <c r="D181" s="19" t="s">
        <v>313</v>
      </c>
      <c r="E181" s="19" t="s">
        <v>39</v>
      </c>
      <c r="F181" s="19" t="s">
        <v>106</v>
      </c>
      <c r="G181" s="19"/>
      <c r="H181" s="20">
        <v>2024</v>
      </c>
      <c r="I181" s="19" t="s">
        <v>41</v>
      </c>
      <c r="J181" s="19" t="s">
        <v>276</v>
      </c>
      <c r="K181" s="21" t="s">
        <v>277</v>
      </c>
      <c r="L181" s="22" t="s">
        <v>44</v>
      </c>
      <c r="M181" s="23" t="s">
        <v>45</v>
      </c>
      <c r="N181" s="36" t="s">
        <v>287</v>
      </c>
      <c r="O181" s="65" t="s">
        <v>288</v>
      </c>
      <c r="P181" s="26">
        <f ca="1">IFERROR(VLOOKUP(DadosViagem5[[#This Row],[Placa]],[1]BIP!A:E,5,FALSE),"")</f>
        <v>0</v>
      </c>
      <c r="Q181" s="27">
        <f ca="1">DATEDIF(DadosViagem5[[#This Row],[BIP]],TODAY(),"D")</f>
        <v>45990</v>
      </c>
      <c r="R181" s="28" t="str">
        <f>IFERROR(VLOOKUP(DadosViagem5[[#This Row],[Placa]],[1]DDS!B:C,2,FALSE),"Verificar cadastro")</f>
        <v> </v>
      </c>
      <c r="S181" s="29" t="s">
        <v>48</v>
      </c>
      <c r="T181" s="23"/>
      <c r="U181" s="30"/>
      <c r="V181" s="31"/>
      <c r="W181" s="32" t="s">
        <v>289</v>
      </c>
      <c r="X181" s="33"/>
      <c r="Y181" s="34"/>
      <c r="Z181" s="32"/>
      <c r="AA181" s="20" t="s">
        <v>49</v>
      </c>
      <c r="AB181" s="20" t="s">
        <v>49</v>
      </c>
      <c r="AC181" s="19" t="s">
        <v>49</v>
      </c>
      <c r="AD181" s="19" t="str">
        <f ca="1">IFERROR(DATEDIF(DadosViagem5[[#This Row],[Utimo Bip Reserva]],TODAY(),"D"),"")</f>
        <v/>
      </c>
      <c r="AE181" s="36"/>
      <c r="AF181" s="25"/>
      <c r="AG181" s="36" t="s">
        <v>290</v>
      </c>
      <c r="AH181" s="25">
        <v>45807</v>
      </c>
      <c r="AI181" s="36" t="str">
        <f>IF(DadosViagem5[[#This Row],[Dias em manutenção ]]&lt;5,"Dentro do Prazo","Fora do Prazo")</f>
        <v>Fora do Prazo</v>
      </c>
      <c r="AJ181" s="36" t="e">
        <v>#REF!</v>
      </c>
    </row>
    <row r="182" spans="1:36">
      <c r="A182" s="19" t="s">
        <v>355</v>
      </c>
      <c r="B182" s="20"/>
      <c r="C182" s="19" t="s">
        <v>312</v>
      </c>
      <c r="D182" s="19" t="s">
        <v>313</v>
      </c>
      <c r="E182" s="19" t="s">
        <v>39</v>
      </c>
      <c r="F182" s="19" t="s">
        <v>106</v>
      </c>
      <c r="G182" s="19"/>
      <c r="H182" s="20">
        <v>2024</v>
      </c>
      <c r="I182" s="19" t="s">
        <v>41</v>
      </c>
      <c r="J182" s="19" t="s">
        <v>276</v>
      </c>
      <c r="K182" s="21" t="s">
        <v>277</v>
      </c>
      <c r="L182" s="22" t="s">
        <v>44</v>
      </c>
      <c r="M182" s="23" t="s">
        <v>45</v>
      </c>
      <c r="N182" s="36" t="s">
        <v>287</v>
      </c>
      <c r="O182" s="65" t="s">
        <v>288</v>
      </c>
      <c r="P182" s="26">
        <f ca="1">IFERROR(VLOOKUP(DadosViagem5[[#This Row],[Placa]],[1]BIP!A:E,5,FALSE),"")</f>
        <v>0</v>
      </c>
      <c r="Q182" s="27">
        <f ca="1">DATEDIF(DadosViagem5[[#This Row],[BIP]],TODAY(),"D")</f>
        <v>45990</v>
      </c>
      <c r="R182" s="28" t="str">
        <f>IFERROR(VLOOKUP(DadosViagem5[[#This Row],[Placa]],[1]DDS!B:C,2,FALSE),"Verificar cadastro")</f>
        <v>Verificar cadastro</v>
      </c>
      <c r="S182" s="29" t="s">
        <v>48</v>
      </c>
      <c r="T182" s="23"/>
      <c r="U182" s="30"/>
      <c r="V182" s="31"/>
      <c r="W182" s="32" t="s">
        <v>289</v>
      </c>
      <c r="X182" s="33"/>
      <c r="Y182" s="34"/>
      <c r="Z182" s="32"/>
      <c r="AA182" s="20" t="s">
        <v>49</v>
      </c>
      <c r="AB182" s="20" t="s">
        <v>49</v>
      </c>
      <c r="AC182" s="19" t="s">
        <v>49</v>
      </c>
      <c r="AD182" s="19" t="str">
        <f ca="1">IFERROR(DATEDIF(DadosViagem5[[#This Row],[Utimo Bip Reserva]],TODAY(),"D"),"")</f>
        <v/>
      </c>
      <c r="AE182" s="36"/>
      <c r="AF182" s="25"/>
      <c r="AG182" s="36" t="s">
        <v>290</v>
      </c>
      <c r="AH182" s="25">
        <v>45807</v>
      </c>
      <c r="AI182" s="36" t="str">
        <f>IF(DadosViagem5[[#This Row],[Dias em manutenção ]]&lt;5,"Dentro do Prazo","Fora do Prazo")</f>
        <v>Fora do Prazo</v>
      </c>
      <c r="AJ182" s="36" t="e">
        <v>#REF!</v>
      </c>
    </row>
    <row r="183" spans="1:36">
      <c r="A183" s="19" t="s">
        <v>356</v>
      </c>
      <c r="B183" s="20"/>
      <c r="C183" s="19" t="s">
        <v>312</v>
      </c>
      <c r="D183" s="19" t="s">
        <v>313</v>
      </c>
      <c r="E183" s="19" t="s">
        <v>39</v>
      </c>
      <c r="F183" s="19" t="s">
        <v>106</v>
      </c>
      <c r="G183" s="19"/>
      <c r="H183" s="20">
        <v>2024</v>
      </c>
      <c r="I183" s="19" t="s">
        <v>41</v>
      </c>
      <c r="J183" s="19" t="s">
        <v>276</v>
      </c>
      <c r="K183" s="21" t="s">
        <v>277</v>
      </c>
      <c r="L183" s="22" t="s">
        <v>44</v>
      </c>
      <c r="M183" s="23" t="s">
        <v>45</v>
      </c>
      <c r="N183" s="36" t="s">
        <v>287</v>
      </c>
      <c r="O183" s="65" t="s">
        <v>288</v>
      </c>
      <c r="P183" s="26">
        <f ca="1">IFERROR(VLOOKUP(DadosViagem5[[#This Row],[Placa]],[1]BIP!A:E,5,FALSE),"")</f>
        <v>0</v>
      </c>
      <c r="Q183" s="27">
        <f ca="1">DATEDIF(DadosViagem5[[#This Row],[BIP]],TODAY(),"D")</f>
        <v>45990</v>
      </c>
      <c r="R183" s="28" t="str">
        <f>IFERROR(VLOOKUP(DadosViagem5[[#This Row],[Placa]],[1]DDS!B:C,2,FALSE),"Verificar cadastro")</f>
        <v>Verificar cadastro</v>
      </c>
      <c r="S183" s="29" t="s">
        <v>48</v>
      </c>
      <c r="T183" s="23"/>
      <c r="U183" s="30"/>
      <c r="V183" s="31"/>
      <c r="W183" s="32" t="s">
        <v>289</v>
      </c>
      <c r="X183" s="33"/>
      <c r="Y183" s="34"/>
      <c r="Z183" s="32"/>
      <c r="AA183" s="20" t="s">
        <v>49</v>
      </c>
      <c r="AB183" s="20" t="s">
        <v>49</v>
      </c>
      <c r="AC183" s="19" t="s">
        <v>49</v>
      </c>
      <c r="AD183" s="19" t="str">
        <f ca="1">IFERROR(DATEDIF(DadosViagem5[[#This Row],[Utimo Bip Reserva]],TODAY(),"D"),"")</f>
        <v/>
      </c>
      <c r="AE183" s="36"/>
      <c r="AF183" s="25"/>
      <c r="AG183" s="36" t="s">
        <v>290</v>
      </c>
      <c r="AH183" s="25">
        <v>45807</v>
      </c>
      <c r="AI183" s="36" t="str">
        <f>IF(DadosViagem5[[#This Row],[Dias em manutenção ]]&lt;5,"Dentro do Prazo","Fora do Prazo")</f>
        <v>Fora do Prazo</v>
      </c>
      <c r="AJ183" s="36" t="e">
        <v>#REF!</v>
      </c>
    </row>
    <row r="184" spans="1:36">
      <c r="A184" s="19" t="s">
        <v>357</v>
      </c>
      <c r="B184" s="20"/>
      <c r="C184" s="19" t="s">
        <v>312</v>
      </c>
      <c r="D184" s="19" t="s">
        <v>313</v>
      </c>
      <c r="E184" s="19" t="s">
        <v>39</v>
      </c>
      <c r="F184" s="19" t="s">
        <v>106</v>
      </c>
      <c r="G184" s="19"/>
      <c r="H184" s="20">
        <v>2024</v>
      </c>
      <c r="I184" s="19" t="s">
        <v>41</v>
      </c>
      <c r="J184" s="19" t="s">
        <v>276</v>
      </c>
      <c r="K184" s="21" t="s">
        <v>277</v>
      </c>
      <c r="L184" s="22" t="s">
        <v>44</v>
      </c>
      <c r="M184" s="23" t="s">
        <v>45</v>
      </c>
      <c r="N184" s="36" t="s">
        <v>287</v>
      </c>
      <c r="O184" s="65" t="s">
        <v>288</v>
      </c>
      <c r="P184" s="26">
        <f ca="1">IFERROR(VLOOKUP(DadosViagem5[[#This Row],[Placa]],[1]BIP!A:E,5,FALSE),"")</f>
        <v>0</v>
      </c>
      <c r="Q184" s="27">
        <f ca="1">DATEDIF(DadosViagem5[[#This Row],[BIP]],TODAY(),"D")</f>
        <v>45990</v>
      </c>
      <c r="R184" s="28" t="str">
        <f>IFERROR(VLOOKUP(DadosViagem5[[#This Row],[Placa]],[1]DDS!B:C,2,FALSE),"Verificar cadastro")</f>
        <v>Verificar cadastro</v>
      </c>
      <c r="S184" s="29" t="s">
        <v>48</v>
      </c>
      <c r="T184" s="23"/>
      <c r="U184" s="30"/>
      <c r="V184" s="31"/>
      <c r="W184" s="32" t="s">
        <v>289</v>
      </c>
      <c r="X184" s="33"/>
      <c r="Y184" s="34"/>
      <c r="Z184" s="32"/>
      <c r="AA184" s="20" t="s">
        <v>49</v>
      </c>
      <c r="AB184" s="20" t="s">
        <v>49</v>
      </c>
      <c r="AC184" s="19" t="s">
        <v>49</v>
      </c>
      <c r="AD184" s="19" t="str">
        <f ca="1">IFERROR(DATEDIF(DadosViagem5[[#This Row],[Utimo Bip Reserva]],TODAY(),"D"),"")</f>
        <v/>
      </c>
      <c r="AE184" s="36"/>
      <c r="AF184" s="25"/>
      <c r="AG184" s="36" t="s">
        <v>290</v>
      </c>
      <c r="AH184" s="25">
        <v>45807</v>
      </c>
      <c r="AI184" s="36" t="str">
        <f>IF(DadosViagem5[[#This Row],[Dias em manutenção ]]&lt;5,"Dentro do Prazo","Fora do Prazo")</f>
        <v>Fora do Prazo</v>
      </c>
      <c r="AJ184" s="36" t="e">
        <v>#REF!</v>
      </c>
    </row>
    <row r="185" spans="1:36">
      <c r="A185" s="19" t="s">
        <v>358</v>
      </c>
      <c r="B185" s="20"/>
      <c r="C185" s="19" t="s">
        <v>312</v>
      </c>
      <c r="D185" s="19" t="s">
        <v>313</v>
      </c>
      <c r="E185" s="19" t="s">
        <v>39</v>
      </c>
      <c r="F185" s="19" t="s">
        <v>106</v>
      </c>
      <c r="G185" s="19"/>
      <c r="H185" s="20">
        <v>2024</v>
      </c>
      <c r="I185" s="19" t="s">
        <v>41</v>
      </c>
      <c r="J185" s="19" t="s">
        <v>276</v>
      </c>
      <c r="K185" s="21" t="s">
        <v>277</v>
      </c>
      <c r="L185" s="22" t="s">
        <v>44</v>
      </c>
      <c r="M185" s="23" t="s">
        <v>45</v>
      </c>
      <c r="N185" s="36" t="s">
        <v>287</v>
      </c>
      <c r="O185" s="65" t="s">
        <v>288</v>
      </c>
      <c r="P185" s="26">
        <f ca="1">IFERROR(VLOOKUP(DadosViagem5[[#This Row],[Placa]],[1]BIP!A:E,5,FALSE),"")</f>
        <v>0</v>
      </c>
      <c r="Q185" s="27">
        <f ca="1">DATEDIF(DadosViagem5[[#This Row],[BIP]],TODAY(),"D")</f>
        <v>45990</v>
      </c>
      <c r="R185" s="28" t="str">
        <f>IFERROR(VLOOKUP(DadosViagem5[[#This Row],[Placa]],[1]DDS!B:C,2,FALSE),"Verificar cadastro")</f>
        <v>Verificar cadastro</v>
      </c>
      <c r="S185" s="29" t="s">
        <v>48</v>
      </c>
      <c r="T185" s="23"/>
      <c r="U185" s="30"/>
      <c r="V185" s="31"/>
      <c r="W185" s="32" t="s">
        <v>289</v>
      </c>
      <c r="X185" s="33"/>
      <c r="Y185" s="34"/>
      <c r="Z185" s="32"/>
      <c r="AA185" s="20" t="s">
        <v>49</v>
      </c>
      <c r="AB185" s="20" t="s">
        <v>49</v>
      </c>
      <c r="AC185" s="19" t="s">
        <v>49</v>
      </c>
      <c r="AD185" s="19" t="str">
        <f ca="1">IFERROR(DATEDIF(DadosViagem5[[#This Row],[Utimo Bip Reserva]],TODAY(),"D"),"")</f>
        <v/>
      </c>
      <c r="AE185" s="36"/>
      <c r="AF185" s="25"/>
      <c r="AG185" s="36" t="s">
        <v>290</v>
      </c>
      <c r="AH185" s="25">
        <v>45807</v>
      </c>
      <c r="AI185" s="36" t="str">
        <f>IF(DadosViagem5[[#This Row],[Dias em manutenção ]]&lt;5,"Dentro do Prazo","Fora do Prazo")</f>
        <v>Fora do Prazo</v>
      </c>
      <c r="AJ185" s="36" t="e">
        <v>#REF!</v>
      </c>
    </row>
    <row r="186" spans="1:36">
      <c r="A186" s="19" t="s">
        <v>359</v>
      </c>
      <c r="B186" s="20"/>
      <c r="C186" s="19" t="s">
        <v>312</v>
      </c>
      <c r="D186" s="19" t="s">
        <v>313</v>
      </c>
      <c r="E186" s="19" t="s">
        <v>39</v>
      </c>
      <c r="F186" s="19" t="s">
        <v>106</v>
      </c>
      <c r="G186" s="19"/>
      <c r="H186" s="20">
        <v>2024</v>
      </c>
      <c r="I186" s="19" t="s">
        <v>41</v>
      </c>
      <c r="J186" s="19" t="s">
        <v>276</v>
      </c>
      <c r="K186" s="21" t="s">
        <v>277</v>
      </c>
      <c r="L186" s="22" t="s">
        <v>44</v>
      </c>
      <c r="M186" s="23" t="s">
        <v>45</v>
      </c>
      <c r="N186" s="36" t="s">
        <v>287</v>
      </c>
      <c r="O186" s="65" t="s">
        <v>288</v>
      </c>
      <c r="P186" s="26">
        <f ca="1">IFERROR(VLOOKUP(DadosViagem5[[#This Row],[Placa]],[1]BIP!A:E,5,FALSE),"")</f>
        <v>0</v>
      </c>
      <c r="Q186" s="27">
        <f ca="1">DATEDIF(DadosViagem5[[#This Row],[BIP]],TODAY(),"D")</f>
        <v>45990</v>
      </c>
      <c r="R186" s="28" t="str">
        <f>IFERROR(VLOOKUP(DadosViagem5[[#This Row],[Placa]],[1]DDS!B:C,2,FALSE),"Verificar cadastro")</f>
        <v>Verificar cadastro</v>
      </c>
      <c r="S186" s="29" t="s">
        <v>48</v>
      </c>
      <c r="T186" s="23"/>
      <c r="U186" s="30"/>
      <c r="V186" s="31"/>
      <c r="W186" s="32" t="s">
        <v>289</v>
      </c>
      <c r="X186" s="33"/>
      <c r="Y186" s="34"/>
      <c r="Z186" s="32"/>
      <c r="AA186" s="20" t="s">
        <v>49</v>
      </c>
      <c r="AB186" s="20" t="s">
        <v>49</v>
      </c>
      <c r="AC186" s="19" t="s">
        <v>49</v>
      </c>
      <c r="AD186" s="19" t="str">
        <f ca="1">IFERROR(DATEDIF(DadosViagem5[[#This Row],[Utimo Bip Reserva]],TODAY(),"D"),"")</f>
        <v/>
      </c>
      <c r="AE186" s="36"/>
      <c r="AF186" s="25"/>
      <c r="AG186" s="36" t="s">
        <v>290</v>
      </c>
      <c r="AH186" s="25">
        <v>45807</v>
      </c>
      <c r="AI186" s="36" t="str">
        <f>IF(DadosViagem5[[#This Row],[Dias em manutenção ]]&lt;5,"Dentro do Prazo","Fora do Prazo")</f>
        <v>Fora do Prazo</v>
      </c>
      <c r="AJ186" s="36" t="e">
        <v>#REF!</v>
      </c>
    </row>
    <row r="187" spans="1:36">
      <c r="A187" s="19" t="s">
        <v>360</v>
      </c>
      <c r="B187" s="20"/>
      <c r="C187" s="19" t="s">
        <v>312</v>
      </c>
      <c r="D187" s="19" t="s">
        <v>313</v>
      </c>
      <c r="E187" s="19" t="s">
        <v>39</v>
      </c>
      <c r="F187" s="19" t="s">
        <v>106</v>
      </c>
      <c r="G187" s="19"/>
      <c r="H187" s="20">
        <v>2024</v>
      </c>
      <c r="I187" s="19" t="s">
        <v>41</v>
      </c>
      <c r="J187" s="19" t="s">
        <v>276</v>
      </c>
      <c r="K187" s="21" t="s">
        <v>277</v>
      </c>
      <c r="L187" s="22" t="s">
        <v>44</v>
      </c>
      <c r="M187" s="23" t="s">
        <v>45</v>
      </c>
      <c r="N187" s="36" t="s">
        <v>287</v>
      </c>
      <c r="O187" s="65" t="s">
        <v>288</v>
      </c>
      <c r="P187" s="26">
        <f ca="1">IFERROR(VLOOKUP(DadosViagem5[[#This Row],[Placa]],[1]BIP!A:E,5,FALSE),"")</f>
        <v>0</v>
      </c>
      <c r="Q187" s="27">
        <f ca="1">DATEDIF(DadosViagem5[[#This Row],[BIP]],TODAY(),"D")</f>
        <v>45990</v>
      </c>
      <c r="R187" s="28" t="str">
        <f>IFERROR(VLOOKUP(DadosViagem5[[#This Row],[Placa]],[1]DDS!B:C,2,FALSE),"Verificar cadastro")</f>
        <v>Verificar cadastro</v>
      </c>
      <c r="S187" s="29" t="s">
        <v>48</v>
      </c>
      <c r="T187" s="23"/>
      <c r="U187" s="30"/>
      <c r="V187" s="31"/>
      <c r="W187" s="32" t="s">
        <v>289</v>
      </c>
      <c r="X187" s="33"/>
      <c r="Y187" s="34"/>
      <c r="Z187" s="32"/>
      <c r="AA187" s="20" t="s">
        <v>49</v>
      </c>
      <c r="AB187" s="20" t="s">
        <v>49</v>
      </c>
      <c r="AC187" s="19" t="s">
        <v>49</v>
      </c>
      <c r="AD187" s="19" t="str">
        <f ca="1">IFERROR(DATEDIF(DadosViagem5[[#This Row],[Utimo Bip Reserva]],TODAY(),"D"),"")</f>
        <v/>
      </c>
      <c r="AE187" s="36"/>
      <c r="AF187" s="25"/>
      <c r="AG187" s="36" t="s">
        <v>290</v>
      </c>
      <c r="AH187" s="25">
        <v>45807</v>
      </c>
      <c r="AI187" s="36" t="str">
        <f>IF(DadosViagem5[[#This Row],[Dias em manutenção ]]&lt;5,"Dentro do Prazo","Fora do Prazo")</f>
        <v>Fora do Prazo</v>
      </c>
      <c r="AJ187" s="36" t="e">
        <v>#REF!</v>
      </c>
    </row>
    <row r="188" spans="1:36">
      <c r="A188" s="19" t="s">
        <v>361</v>
      </c>
      <c r="B188" s="20"/>
      <c r="C188" s="19" t="s">
        <v>312</v>
      </c>
      <c r="D188" s="19" t="s">
        <v>313</v>
      </c>
      <c r="E188" s="19" t="s">
        <v>39</v>
      </c>
      <c r="F188" s="19" t="s">
        <v>106</v>
      </c>
      <c r="G188" s="19"/>
      <c r="H188" s="20">
        <v>2024</v>
      </c>
      <c r="I188" s="19" t="s">
        <v>41</v>
      </c>
      <c r="J188" s="19" t="s">
        <v>276</v>
      </c>
      <c r="K188" s="21" t="s">
        <v>277</v>
      </c>
      <c r="L188" s="22" t="s">
        <v>44</v>
      </c>
      <c r="M188" s="23" t="s">
        <v>45</v>
      </c>
      <c r="N188" s="36" t="s">
        <v>287</v>
      </c>
      <c r="O188" s="65" t="s">
        <v>288</v>
      </c>
      <c r="P188" s="26">
        <f ca="1">IFERROR(VLOOKUP(DadosViagem5[[#This Row],[Placa]],[1]BIP!A:E,5,FALSE),"")</f>
        <v>0</v>
      </c>
      <c r="Q188" s="27">
        <f ca="1">DATEDIF(DadosViagem5[[#This Row],[BIP]],TODAY(),"D")</f>
        <v>45990</v>
      </c>
      <c r="R188" s="28" t="str">
        <f>IFERROR(VLOOKUP(DadosViagem5[[#This Row],[Placa]],[1]DDS!B:C,2,FALSE),"Verificar cadastro")</f>
        <v>Verificar cadastro</v>
      </c>
      <c r="S188" s="29" t="s">
        <v>48</v>
      </c>
      <c r="T188" s="23"/>
      <c r="U188" s="30"/>
      <c r="V188" s="31"/>
      <c r="W188" s="32" t="s">
        <v>289</v>
      </c>
      <c r="X188" s="33"/>
      <c r="Y188" s="34"/>
      <c r="Z188" s="32"/>
      <c r="AA188" s="20" t="s">
        <v>49</v>
      </c>
      <c r="AB188" s="20" t="s">
        <v>49</v>
      </c>
      <c r="AC188" s="19" t="s">
        <v>49</v>
      </c>
      <c r="AD188" s="19" t="str">
        <f ca="1">IFERROR(DATEDIF(DadosViagem5[[#This Row],[Utimo Bip Reserva]],TODAY(),"D"),"")</f>
        <v/>
      </c>
      <c r="AE188" s="36"/>
      <c r="AF188" s="25"/>
      <c r="AG188" s="36" t="s">
        <v>290</v>
      </c>
      <c r="AH188" s="25">
        <v>45807</v>
      </c>
      <c r="AI188" s="36" t="str">
        <f>IF(DadosViagem5[[#This Row],[Dias em manutenção ]]&lt;5,"Dentro do Prazo","Fora do Prazo")</f>
        <v>Fora do Prazo</v>
      </c>
      <c r="AJ188" s="36" t="e">
        <v>#REF!</v>
      </c>
    </row>
    <row r="189" spans="1:36">
      <c r="A189" s="19" t="s">
        <v>362</v>
      </c>
      <c r="B189" s="20"/>
      <c r="C189" s="19" t="s">
        <v>312</v>
      </c>
      <c r="D189" s="19" t="s">
        <v>313</v>
      </c>
      <c r="E189" s="19" t="s">
        <v>39</v>
      </c>
      <c r="F189" s="19" t="s">
        <v>106</v>
      </c>
      <c r="G189" s="19"/>
      <c r="H189" s="20">
        <v>2024</v>
      </c>
      <c r="I189" s="19" t="s">
        <v>41</v>
      </c>
      <c r="J189" s="19" t="s">
        <v>276</v>
      </c>
      <c r="K189" s="21" t="s">
        <v>277</v>
      </c>
      <c r="L189" s="22" t="s">
        <v>44</v>
      </c>
      <c r="M189" s="23" t="s">
        <v>45</v>
      </c>
      <c r="N189" s="36" t="s">
        <v>287</v>
      </c>
      <c r="O189" s="65" t="s">
        <v>288</v>
      </c>
      <c r="P189" s="26">
        <f ca="1">IFERROR(VLOOKUP(DadosViagem5[[#This Row],[Placa]],[1]BIP!A:E,5,FALSE),"")</f>
        <v>0</v>
      </c>
      <c r="Q189" s="27">
        <f ca="1">DATEDIF(DadosViagem5[[#This Row],[BIP]],TODAY(),"D")</f>
        <v>45990</v>
      </c>
      <c r="R189" s="28" t="str">
        <f>IFERROR(VLOOKUP(DadosViagem5[[#This Row],[Placa]],[1]DDS!B:C,2,FALSE),"Verificar cadastro")</f>
        <v>Verificar cadastro</v>
      </c>
      <c r="S189" s="29" t="s">
        <v>48</v>
      </c>
      <c r="T189" s="23"/>
      <c r="U189" s="30"/>
      <c r="V189" s="31"/>
      <c r="W189" s="32" t="s">
        <v>289</v>
      </c>
      <c r="X189" s="33"/>
      <c r="Y189" s="34"/>
      <c r="Z189" s="32"/>
      <c r="AA189" s="20" t="s">
        <v>49</v>
      </c>
      <c r="AB189" s="20" t="s">
        <v>49</v>
      </c>
      <c r="AC189" s="19" t="s">
        <v>49</v>
      </c>
      <c r="AD189" s="19" t="str">
        <f ca="1">IFERROR(DATEDIF(DadosViagem5[[#This Row],[Utimo Bip Reserva]],TODAY(),"D"),"")</f>
        <v/>
      </c>
      <c r="AE189" s="36"/>
      <c r="AF189" s="25"/>
      <c r="AG189" s="36" t="s">
        <v>290</v>
      </c>
      <c r="AH189" s="25">
        <v>45807</v>
      </c>
      <c r="AI189" s="36" t="str">
        <f>IF(DadosViagem5[[#This Row],[Dias em manutenção ]]&lt;5,"Dentro do Prazo","Fora do Prazo")</f>
        <v>Fora do Prazo</v>
      </c>
      <c r="AJ189" s="36" t="e">
        <v>#REF!</v>
      </c>
    </row>
    <row r="190" spans="1:36">
      <c r="A190" s="19" t="s">
        <v>363</v>
      </c>
      <c r="B190" s="20"/>
      <c r="C190" s="19" t="s">
        <v>312</v>
      </c>
      <c r="D190" s="19" t="s">
        <v>313</v>
      </c>
      <c r="E190" s="19" t="s">
        <v>39</v>
      </c>
      <c r="F190" s="19" t="s">
        <v>106</v>
      </c>
      <c r="G190" s="19"/>
      <c r="H190" s="20">
        <v>2024</v>
      </c>
      <c r="I190" s="19" t="s">
        <v>41</v>
      </c>
      <c r="J190" s="19" t="s">
        <v>276</v>
      </c>
      <c r="K190" s="21" t="s">
        <v>277</v>
      </c>
      <c r="L190" s="22" t="s">
        <v>44</v>
      </c>
      <c r="M190" s="23" t="s">
        <v>45</v>
      </c>
      <c r="N190" s="36" t="s">
        <v>287</v>
      </c>
      <c r="O190" s="65" t="s">
        <v>288</v>
      </c>
      <c r="P190" s="26">
        <f ca="1">IFERROR(VLOOKUP(DadosViagem5[[#This Row],[Placa]],[1]BIP!A:E,5,FALSE),"")</f>
        <v>0</v>
      </c>
      <c r="Q190" s="27">
        <f ca="1">DATEDIF(DadosViagem5[[#This Row],[BIP]],TODAY(),"D")</f>
        <v>45990</v>
      </c>
      <c r="R190" s="28" t="str">
        <f>IFERROR(VLOOKUP(DadosViagem5[[#This Row],[Placa]],[1]DDS!B:C,2,FALSE),"Verificar cadastro")</f>
        <v>Verificar cadastro</v>
      </c>
      <c r="S190" s="29" t="s">
        <v>48</v>
      </c>
      <c r="T190" s="23"/>
      <c r="U190" s="30"/>
      <c r="V190" s="31"/>
      <c r="W190" s="32" t="s">
        <v>289</v>
      </c>
      <c r="X190" s="33"/>
      <c r="Y190" s="34"/>
      <c r="Z190" s="32"/>
      <c r="AA190" s="20" t="s">
        <v>49</v>
      </c>
      <c r="AB190" s="20" t="s">
        <v>49</v>
      </c>
      <c r="AC190" s="19" t="s">
        <v>49</v>
      </c>
      <c r="AD190" s="19" t="str">
        <f ca="1">IFERROR(DATEDIF(DadosViagem5[[#This Row],[Utimo Bip Reserva]],TODAY(),"D"),"")</f>
        <v/>
      </c>
      <c r="AE190" s="36"/>
      <c r="AF190" s="25"/>
      <c r="AG190" s="36" t="s">
        <v>290</v>
      </c>
      <c r="AH190" s="25">
        <v>45807</v>
      </c>
      <c r="AI190" s="36" t="str">
        <f>IF(DadosViagem5[[#This Row],[Dias em manutenção ]]&lt;5,"Dentro do Prazo","Fora do Prazo")</f>
        <v>Fora do Prazo</v>
      </c>
      <c r="AJ190" s="36" t="e">
        <v>#REF!</v>
      </c>
    </row>
    <row r="191" spans="1:36">
      <c r="A191" s="19" t="s">
        <v>364</v>
      </c>
      <c r="B191" s="20"/>
      <c r="C191" s="19" t="s">
        <v>312</v>
      </c>
      <c r="D191" s="19" t="s">
        <v>313</v>
      </c>
      <c r="E191" s="19" t="s">
        <v>39</v>
      </c>
      <c r="F191" s="19" t="s">
        <v>106</v>
      </c>
      <c r="G191" s="19"/>
      <c r="H191" s="20">
        <v>2024</v>
      </c>
      <c r="I191" s="19" t="s">
        <v>41</v>
      </c>
      <c r="J191" s="19" t="s">
        <v>276</v>
      </c>
      <c r="K191" s="21" t="s">
        <v>277</v>
      </c>
      <c r="L191" s="22" t="s">
        <v>44</v>
      </c>
      <c r="M191" s="23" t="s">
        <v>45</v>
      </c>
      <c r="N191" s="36" t="s">
        <v>287</v>
      </c>
      <c r="O191" s="65" t="s">
        <v>288</v>
      </c>
      <c r="P191" s="26">
        <f ca="1">IFERROR(VLOOKUP(DadosViagem5[[#This Row],[Placa]],[1]BIP!A:E,5,FALSE),"")</f>
        <v>0</v>
      </c>
      <c r="Q191" s="27">
        <f ca="1">DATEDIF(DadosViagem5[[#This Row],[BIP]],TODAY(),"D")</f>
        <v>45990</v>
      </c>
      <c r="R191" s="28" t="str">
        <f>IFERROR(VLOOKUP(DadosViagem5[[#This Row],[Placa]],[1]DDS!B:C,2,FALSE),"Verificar cadastro")</f>
        <v>Verificar cadastro</v>
      </c>
      <c r="S191" s="29" t="s">
        <v>48</v>
      </c>
      <c r="T191" s="23"/>
      <c r="U191" s="30"/>
      <c r="V191" s="31"/>
      <c r="W191" s="32" t="s">
        <v>289</v>
      </c>
      <c r="X191" s="33"/>
      <c r="Y191" s="34"/>
      <c r="Z191" s="32"/>
      <c r="AA191" s="20" t="s">
        <v>49</v>
      </c>
      <c r="AB191" s="20" t="s">
        <v>49</v>
      </c>
      <c r="AC191" s="19" t="s">
        <v>49</v>
      </c>
      <c r="AD191" s="19" t="str">
        <f ca="1">IFERROR(DATEDIF(DadosViagem5[[#This Row],[Utimo Bip Reserva]],TODAY(),"D"),"")</f>
        <v/>
      </c>
      <c r="AE191" s="36"/>
      <c r="AF191" s="25"/>
      <c r="AG191" s="36" t="s">
        <v>290</v>
      </c>
      <c r="AH191" s="25">
        <v>45807</v>
      </c>
      <c r="AI191" s="36" t="str">
        <f>IF(DadosViagem5[[#This Row],[Dias em manutenção ]]&lt;5,"Dentro do Prazo","Fora do Prazo")</f>
        <v>Fora do Prazo</v>
      </c>
      <c r="AJ191" s="36" t="e">
        <v>#REF!</v>
      </c>
    </row>
    <row r="192" spans="1:36">
      <c r="A192" s="19" t="s">
        <v>365</v>
      </c>
      <c r="B192" s="20"/>
      <c r="C192" s="19" t="s">
        <v>312</v>
      </c>
      <c r="D192" s="19" t="s">
        <v>313</v>
      </c>
      <c r="E192" s="19" t="s">
        <v>39</v>
      </c>
      <c r="F192" s="19" t="s">
        <v>106</v>
      </c>
      <c r="G192" s="19"/>
      <c r="H192" s="20">
        <v>2024</v>
      </c>
      <c r="I192" s="19" t="s">
        <v>41</v>
      </c>
      <c r="J192" s="19" t="s">
        <v>276</v>
      </c>
      <c r="K192" s="21" t="s">
        <v>277</v>
      </c>
      <c r="L192" s="22" t="s">
        <v>44</v>
      </c>
      <c r="M192" s="23" t="s">
        <v>45</v>
      </c>
      <c r="N192" s="36" t="s">
        <v>287</v>
      </c>
      <c r="O192" s="65" t="s">
        <v>288</v>
      </c>
      <c r="P192" s="26">
        <f ca="1">IFERROR(VLOOKUP(DadosViagem5[[#This Row],[Placa]],[1]BIP!A:E,5,FALSE),"")</f>
        <v>0</v>
      </c>
      <c r="Q192" s="27">
        <f ca="1">DATEDIF(DadosViagem5[[#This Row],[BIP]],TODAY(),"D")</f>
        <v>45990</v>
      </c>
      <c r="R192" s="28" t="str">
        <f>IFERROR(VLOOKUP(DadosViagem5[[#This Row],[Placa]],[1]DDS!B:C,2,FALSE),"Verificar cadastro")</f>
        <v>Verificar cadastro</v>
      </c>
      <c r="S192" s="29" t="s">
        <v>48</v>
      </c>
      <c r="T192" s="23"/>
      <c r="U192" s="30"/>
      <c r="V192" s="31"/>
      <c r="W192" s="32" t="s">
        <v>289</v>
      </c>
      <c r="X192" s="33"/>
      <c r="Y192" s="34"/>
      <c r="Z192" s="32"/>
      <c r="AA192" s="20" t="s">
        <v>49</v>
      </c>
      <c r="AB192" s="20" t="s">
        <v>49</v>
      </c>
      <c r="AC192" s="19" t="s">
        <v>49</v>
      </c>
      <c r="AD192" s="19" t="str">
        <f ca="1">IFERROR(DATEDIF(DadosViagem5[[#This Row],[Utimo Bip Reserva]],TODAY(),"D"),"")</f>
        <v/>
      </c>
      <c r="AE192" s="36"/>
      <c r="AF192" s="25"/>
      <c r="AG192" s="36" t="s">
        <v>290</v>
      </c>
      <c r="AH192" s="25">
        <v>45807</v>
      </c>
      <c r="AI192" s="36" t="str">
        <f>IF(DadosViagem5[[#This Row],[Dias em manutenção ]]&lt;5,"Dentro do Prazo","Fora do Prazo")</f>
        <v>Fora do Prazo</v>
      </c>
      <c r="AJ192" s="36" t="e">
        <v>#REF!</v>
      </c>
    </row>
    <row r="193" spans="1:36">
      <c r="A193" s="19" t="s">
        <v>366</v>
      </c>
      <c r="B193" s="20"/>
      <c r="C193" s="19" t="s">
        <v>312</v>
      </c>
      <c r="D193" s="19" t="s">
        <v>313</v>
      </c>
      <c r="E193" s="19" t="s">
        <v>39</v>
      </c>
      <c r="F193" s="19" t="s">
        <v>106</v>
      </c>
      <c r="G193" s="19"/>
      <c r="H193" s="20">
        <v>2024</v>
      </c>
      <c r="I193" s="19" t="s">
        <v>41</v>
      </c>
      <c r="J193" s="19" t="s">
        <v>276</v>
      </c>
      <c r="K193" s="21" t="s">
        <v>277</v>
      </c>
      <c r="L193" s="22" t="s">
        <v>44</v>
      </c>
      <c r="M193" s="23" t="s">
        <v>45</v>
      </c>
      <c r="N193" s="36" t="s">
        <v>287</v>
      </c>
      <c r="O193" s="65" t="s">
        <v>288</v>
      </c>
      <c r="P193" s="26">
        <f ca="1">IFERROR(VLOOKUP(DadosViagem5[[#This Row],[Placa]],[1]BIP!A:E,5,FALSE),"")</f>
        <v>0</v>
      </c>
      <c r="Q193" s="27">
        <f ca="1">DATEDIF(DadosViagem5[[#This Row],[BIP]],TODAY(),"D")</f>
        <v>45990</v>
      </c>
      <c r="R193" s="28" t="str">
        <f>IFERROR(VLOOKUP(DadosViagem5[[#This Row],[Placa]],[1]DDS!B:C,2,FALSE),"Verificar cadastro")</f>
        <v>Verificar cadastro</v>
      </c>
      <c r="S193" s="29" t="s">
        <v>48</v>
      </c>
      <c r="T193" s="23"/>
      <c r="U193" s="30"/>
      <c r="V193" s="31"/>
      <c r="W193" s="32" t="s">
        <v>289</v>
      </c>
      <c r="X193" s="33"/>
      <c r="Y193" s="34"/>
      <c r="Z193" s="32"/>
      <c r="AA193" s="20" t="s">
        <v>49</v>
      </c>
      <c r="AB193" s="20" t="s">
        <v>49</v>
      </c>
      <c r="AC193" s="19" t="s">
        <v>49</v>
      </c>
      <c r="AD193" s="19" t="str">
        <f ca="1">IFERROR(DATEDIF(DadosViagem5[[#This Row],[Utimo Bip Reserva]],TODAY(),"D"),"")</f>
        <v/>
      </c>
      <c r="AE193" s="36"/>
      <c r="AF193" s="25"/>
      <c r="AG193" s="36" t="s">
        <v>290</v>
      </c>
      <c r="AH193" s="25">
        <v>45807</v>
      </c>
      <c r="AI193" s="36" t="str">
        <f>IF(DadosViagem5[[#This Row],[Dias em manutenção ]]&lt;5,"Dentro do Prazo","Fora do Prazo")</f>
        <v>Fora do Prazo</v>
      </c>
      <c r="AJ193" s="36" t="e">
        <v>#REF!</v>
      </c>
    </row>
    <row r="194" spans="1:36">
      <c r="A194" s="19" t="s">
        <v>367</v>
      </c>
      <c r="B194" s="20"/>
      <c r="C194" s="19" t="s">
        <v>312</v>
      </c>
      <c r="D194" s="19" t="s">
        <v>313</v>
      </c>
      <c r="E194" s="19" t="s">
        <v>39</v>
      </c>
      <c r="F194" s="19" t="s">
        <v>106</v>
      </c>
      <c r="G194" s="19"/>
      <c r="H194" s="20">
        <v>2024</v>
      </c>
      <c r="I194" s="19" t="s">
        <v>41</v>
      </c>
      <c r="J194" s="19" t="s">
        <v>276</v>
      </c>
      <c r="K194" s="38" t="s">
        <v>277</v>
      </c>
      <c r="L194" s="22" t="s">
        <v>44</v>
      </c>
      <c r="M194" s="23" t="s">
        <v>45</v>
      </c>
      <c r="N194" s="36" t="s">
        <v>287</v>
      </c>
      <c r="O194" s="65" t="s">
        <v>288</v>
      </c>
      <c r="P194" s="26">
        <f ca="1">IFERROR(VLOOKUP(DadosViagem5[[#This Row],[Placa]],[1]BIP!A:E,5,FALSE),"")</f>
        <v>0</v>
      </c>
      <c r="Q194" s="27">
        <f ca="1">DATEDIF(DadosViagem5[[#This Row],[BIP]],TODAY(),"D")</f>
        <v>45990</v>
      </c>
      <c r="R194" s="28" t="str">
        <f>IFERROR(VLOOKUP(DadosViagem5[[#This Row],[Placa]],[1]DDS!B:C,2,FALSE),"Verificar cadastro")</f>
        <v>Verificar cadastro</v>
      </c>
      <c r="S194" s="29" t="s">
        <v>48</v>
      </c>
      <c r="T194" s="23"/>
      <c r="U194" s="30"/>
      <c r="V194" s="31"/>
      <c r="W194" s="32" t="s">
        <v>289</v>
      </c>
      <c r="X194" s="33"/>
      <c r="Y194" s="34"/>
      <c r="Z194" s="32"/>
      <c r="AA194" s="20" t="s">
        <v>49</v>
      </c>
      <c r="AB194" s="20" t="s">
        <v>49</v>
      </c>
      <c r="AC194" s="19" t="s">
        <v>49</v>
      </c>
      <c r="AD194" s="19" t="str">
        <f ca="1">IFERROR(DATEDIF(DadosViagem5[[#This Row],[Utimo Bip Reserva]],TODAY(),"D"),"")</f>
        <v/>
      </c>
      <c r="AE194" s="36"/>
      <c r="AF194" s="25"/>
      <c r="AG194" s="36" t="s">
        <v>290</v>
      </c>
      <c r="AH194" s="25">
        <v>45807</v>
      </c>
      <c r="AI194" s="36" t="str">
        <f>IF(DadosViagem5[[#This Row],[Dias em manutenção ]]&lt;5,"Dentro do Prazo","Fora do Prazo")</f>
        <v>Fora do Prazo</v>
      </c>
      <c r="AJ194" s="36" t="e">
        <v>#REF!</v>
      </c>
    </row>
    <row r="195" spans="1:36">
      <c r="A195" s="19" t="s">
        <v>368</v>
      </c>
      <c r="B195" s="20"/>
      <c r="C195" s="19" t="s">
        <v>312</v>
      </c>
      <c r="D195" s="19" t="s">
        <v>313</v>
      </c>
      <c r="E195" s="19" t="s">
        <v>39</v>
      </c>
      <c r="F195" s="19" t="s">
        <v>106</v>
      </c>
      <c r="G195" s="19"/>
      <c r="H195" s="20">
        <v>2024</v>
      </c>
      <c r="I195" s="19" t="s">
        <v>41</v>
      </c>
      <c r="J195" s="19" t="s">
        <v>276</v>
      </c>
      <c r="K195" s="21" t="s">
        <v>277</v>
      </c>
      <c r="L195" s="22" t="s">
        <v>44</v>
      </c>
      <c r="M195" s="23" t="s">
        <v>45</v>
      </c>
      <c r="N195" s="36" t="s">
        <v>287</v>
      </c>
      <c r="O195" s="65" t="s">
        <v>288</v>
      </c>
      <c r="P195" s="26">
        <f ca="1">IFERROR(VLOOKUP(DadosViagem5[[#This Row],[Placa]],[1]BIP!A:E,5,FALSE),"")</f>
        <v>0</v>
      </c>
      <c r="Q195" s="27">
        <f ca="1">DATEDIF(DadosViagem5[[#This Row],[BIP]],TODAY(),"D")</f>
        <v>45990</v>
      </c>
      <c r="R195" s="28" t="str">
        <f>IFERROR(VLOOKUP(DadosViagem5[[#This Row],[Placa]],[1]DDS!B:C,2,FALSE),"Verificar cadastro")</f>
        <v> </v>
      </c>
      <c r="S195" s="29" t="s">
        <v>48</v>
      </c>
      <c r="T195" s="23"/>
      <c r="U195" s="30"/>
      <c r="V195" s="31"/>
      <c r="W195" s="32" t="s">
        <v>289</v>
      </c>
      <c r="X195" s="33"/>
      <c r="Y195" s="34"/>
      <c r="Z195" s="32"/>
      <c r="AA195" s="20" t="s">
        <v>49</v>
      </c>
      <c r="AB195" s="20" t="s">
        <v>49</v>
      </c>
      <c r="AC195" s="19" t="s">
        <v>49</v>
      </c>
      <c r="AD195" s="19" t="str">
        <f ca="1">IFERROR(DATEDIF(DadosViagem5[[#This Row],[Utimo Bip Reserva]],TODAY(),"D"),"")</f>
        <v/>
      </c>
      <c r="AE195" s="36"/>
      <c r="AF195" s="25"/>
      <c r="AG195" s="36" t="s">
        <v>290</v>
      </c>
      <c r="AH195" s="25">
        <v>45807</v>
      </c>
      <c r="AI195" s="36" t="str">
        <f>IF(DadosViagem5[[#This Row],[Dias em manutenção ]]&lt;5,"Dentro do Prazo","Fora do Prazo")</f>
        <v>Fora do Prazo</v>
      </c>
      <c r="AJ195" s="36" t="e">
        <v>#REF!</v>
      </c>
    </row>
    <row r="196" spans="1:36">
      <c r="A196" s="19" t="s">
        <v>369</v>
      </c>
      <c r="B196" s="20"/>
      <c r="C196" s="19" t="s">
        <v>312</v>
      </c>
      <c r="D196" s="19" t="s">
        <v>313</v>
      </c>
      <c r="E196" s="19" t="s">
        <v>39</v>
      </c>
      <c r="F196" s="19" t="s">
        <v>106</v>
      </c>
      <c r="G196" s="19"/>
      <c r="H196" s="20">
        <v>2024</v>
      </c>
      <c r="I196" s="19" t="s">
        <v>41</v>
      </c>
      <c r="J196" s="19" t="s">
        <v>276</v>
      </c>
      <c r="K196" s="21" t="s">
        <v>277</v>
      </c>
      <c r="L196" s="22" t="s">
        <v>44</v>
      </c>
      <c r="M196" s="23" t="s">
        <v>45</v>
      </c>
      <c r="N196" s="36" t="s">
        <v>287</v>
      </c>
      <c r="O196" s="65" t="s">
        <v>288</v>
      </c>
      <c r="P196" s="26">
        <f ca="1">IFERROR(VLOOKUP(DadosViagem5[[#This Row],[Placa]],[1]BIP!A:E,5,FALSE),"")</f>
        <v>0</v>
      </c>
      <c r="Q196" s="27">
        <f ca="1">DATEDIF(DadosViagem5[[#This Row],[BIP]],TODAY(),"D")</f>
        <v>45990</v>
      </c>
      <c r="R196" s="28" t="str">
        <f>IFERROR(VLOOKUP(DadosViagem5[[#This Row],[Placa]],[1]DDS!B:C,2,FALSE),"Verificar cadastro")</f>
        <v>Verificar cadastro</v>
      </c>
      <c r="S196" s="29" t="s">
        <v>48</v>
      </c>
      <c r="T196" s="23"/>
      <c r="U196" s="30"/>
      <c r="V196" s="31"/>
      <c r="W196" s="32" t="s">
        <v>289</v>
      </c>
      <c r="X196" s="33"/>
      <c r="Y196" s="34"/>
      <c r="Z196" s="32"/>
      <c r="AA196" s="20" t="s">
        <v>49</v>
      </c>
      <c r="AB196" s="20" t="s">
        <v>49</v>
      </c>
      <c r="AC196" s="19" t="s">
        <v>49</v>
      </c>
      <c r="AD196" s="19" t="str">
        <f ca="1">IFERROR(DATEDIF(DadosViagem5[[#This Row],[Utimo Bip Reserva]],TODAY(),"D"),"")</f>
        <v/>
      </c>
      <c r="AE196" s="36"/>
      <c r="AF196" s="25"/>
      <c r="AG196" s="36" t="s">
        <v>290</v>
      </c>
      <c r="AH196" s="25">
        <v>45807</v>
      </c>
      <c r="AI196" s="36" t="str">
        <f>IF(DadosViagem5[[#This Row],[Dias em manutenção ]]&lt;5,"Dentro do Prazo","Fora do Prazo")</f>
        <v>Fora do Prazo</v>
      </c>
      <c r="AJ196" s="36" t="e">
        <v>#REF!</v>
      </c>
    </row>
    <row r="197" spans="1:36">
      <c r="A197" s="19" t="s">
        <v>370</v>
      </c>
      <c r="B197" s="20"/>
      <c r="C197" s="19" t="s">
        <v>312</v>
      </c>
      <c r="D197" s="19" t="s">
        <v>313</v>
      </c>
      <c r="E197" s="19" t="s">
        <v>39</v>
      </c>
      <c r="F197" s="19" t="s">
        <v>106</v>
      </c>
      <c r="G197" s="19"/>
      <c r="H197" s="20">
        <v>2024</v>
      </c>
      <c r="I197" s="19" t="s">
        <v>41</v>
      </c>
      <c r="J197" s="19" t="s">
        <v>276</v>
      </c>
      <c r="K197" s="21" t="s">
        <v>277</v>
      </c>
      <c r="L197" s="22" t="s">
        <v>44</v>
      </c>
      <c r="M197" s="23" t="s">
        <v>45</v>
      </c>
      <c r="N197" s="36" t="s">
        <v>287</v>
      </c>
      <c r="O197" s="65" t="s">
        <v>288</v>
      </c>
      <c r="P197" s="26">
        <f ca="1">IFERROR(VLOOKUP(DadosViagem5[[#This Row],[Placa]],[1]BIP!A:E,5,FALSE),"")</f>
        <v>0</v>
      </c>
      <c r="Q197" s="27">
        <f ca="1">DATEDIF(DadosViagem5[[#This Row],[BIP]],TODAY(),"D")</f>
        <v>45990</v>
      </c>
      <c r="R197" s="28" t="str">
        <f>IFERROR(VLOOKUP(DadosViagem5[[#This Row],[Placa]],[1]DDS!B:C,2,FALSE),"Verificar cadastro")</f>
        <v>Verificar cadastro</v>
      </c>
      <c r="S197" s="29" t="s">
        <v>48</v>
      </c>
      <c r="T197" s="23"/>
      <c r="U197" s="30"/>
      <c r="V197" s="31"/>
      <c r="W197" s="32" t="s">
        <v>289</v>
      </c>
      <c r="X197" s="33"/>
      <c r="Y197" s="34"/>
      <c r="Z197" s="32"/>
      <c r="AA197" s="20" t="s">
        <v>49</v>
      </c>
      <c r="AB197" s="20" t="s">
        <v>49</v>
      </c>
      <c r="AC197" s="19" t="s">
        <v>49</v>
      </c>
      <c r="AD197" s="19" t="str">
        <f ca="1">IFERROR(DATEDIF(DadosViagem5[[#This Row],[Utimo Bip Reserva]],TODAY(),"D"),"")</f>
        <v/>
      </c>
      <c r="AE197" s="36"/>
      <c r="AF197" s="25"/>
      <c r="AG197" s="36" t="s">
        <v>290</v>
      </c>
      <c r="AH197" s="25">
        <v>45807</v>
      </c>
      <c r="AI197" s="36" t="str">
        <f>IF(DadosViagem5[[#This Row],[Dias em manutenção ]]&lt;5,"Dentro do Prazo","Fora do Prazo")</f>
        <v>Fora do Prazo</v>
      </c>
      <c r="AJ197" s="36" t="e">
        <v>#REF!</v>
      </c>
    </row>
    <row r="198" spans="1:36">
      <c r="A198" s="19" t="s">
        <v>371</v>
      </c>
      <c r="B198" s="20"/>
      <c r="C198" s="19" t="s">
        <v>312</v>
      </c>
      <c r="D198" s="19" t="s">
        <v>313</v>
      </c>
      <c r="E198" s="19" t="s">
        <v>39</v>
      </c>
      <c r="F198" s="19" t="s">
        <v>106</v>
      </c>
      <c r="G198" s="19"/>
      <c r="H198" s="20">
        <v>2024</v>
      </c>
      <c r="I198" s="19" t="s">
        <v>41</v>
      </c>
      <c r="J198" s="19" t="s">
        <v>276</v>
      </c>
      <c r="K198" s="21" t="s">
        <v>277</v>
      </c>
      <c r="L198" s="22" t="s">
        <v>44</v>
      </c>
      <c r="M198" s="23" t="s">
        <v>45</v>
      </c>
      <c r="N198" s="36" t="s">
        <v>287</v>
      </c>
      <c r="O198" s="65" t="s">
        <v>288</v>
      </c>
      <c r="P198" s="26">
        <f ca="1">IFERROR(VLOOKUP(DadosViagem5[[#This Row],[Placa]],[1]BIP!A:E,5,FALSE),"")</f>
        <v>0</v>
      </c>
      <c r="Q198" s="27">
        <f ca="1">DATEDIF(DadosViagem5[[#This Row],[BIP]],TODAY(),"D")</f>
        <v>45990</v>
      </c>
      <c r="R198" s="28" t="str">
        <f>IFERROR(VLOOKUP(DadosViagem5[[#This Row],[Placa]],[1]DDS!B:C,2,FALSE),"Verificar cadastro")</f>
        <v>Verificar cadastro</v>
      </c>
      <c r="S198" s="29" t="s">
        <v>48</v>
      </c>
      <c r="T198" s="23"/>
      <c r="U198" s="30"/>
      <c r="V198" s="31"/>
      <c r="W198" s="32" t="s">
        <v>289</v>
      </c>
      <c r="X198" s="33"/>
      <c r="Y198" s="34"/>
      <c r="Z198" s="32"/>
      <c r="AA198" s="20" t="s">
        <v>49</v>
      </c>
      <c r="AB198" s="20" t="s">
        <v>49</v>
      </c>
      <c r="AC198" s="19" t="s">
        <v>49</v>
      </c>
      <c r="AD198" s="19" t="str">
        <f ca="1">IFERROR(DATEDIF(DadosViagem5[[#This Row],[Utimo Bip Reserva]],TODAY(),"D"),"")</f>
        <v/>
      </c>
      <c r="AE198" s="36"/>
      <c r="AF198" s="25"/>
      <c r="AG198" s="36" t="s">
        <v>290</v>
      </c>
      <c r="AH198" s="25">
        <v>45807</v>
      </c>
      <c r="AI198" s="36" t="str">
        <f>IF(DadosViagem5[[#This Row],[Dias em manutenção ]]&lt;5,"Dentro do Prazo","Fora do Prazo")</f>
        <v>Fora do Prazo</v>
      </c>
      <c r="AJ198" s="36" t="e">
        <v>#REF!</v>
      </c>
    </row>
    <row r="199" spans="1:36">
      <c r="A199" s="19" t="s">
        <v>372</v>
      </c>
      <c r="B199" s="20"/>
      <c r="C199" s="19" t="s">
        <v>312</v>
      </c>
      <c r="D199" s="19" t="s">
        <v>313</v>
      </c>
      <c r="E199" s="19" t="s">
        <v>39</v>
      </c>
      <c r="F199" s="19" t="s">
        <v>106</v>
      </c>
      <c r="G199" s="19"/>
      <c r="H199" s="20">
        <v>2024</v>
      </c>
      <c r="I199" s="19" t="s">
        <v>41</v>
      </c>
      <c r="J199" s="19" t="s">
        <v>276</v>
      </c>
      <c r="K199" s="21" t="s">
        <v>277</v>
      </c>
      <c r="L199" s="22" t="s">
        <v>44</v>
      </c>
      <c r="M199" s="23" t="s">
        <v>45</v>
      </c>
      <c r="N199" s="36" t="s">
        <v>287</v>
      </c>
      <c r="O199" s="65" t="s">
        <v>288</v>
      </c>
      <c r="P199" s="26">
        <f ca="1">IFERROR(VLOOKUP(DadosViagem5[[#This Row],[Placa]],[1]BIP!A:E,5,FALSE),"")</f>
        <v>0</v>
      </c>
      <c r="Q199" s="27">
        <f ca="1">DATEDIF(DadosViagem5[[#This Row],[BIP]],TODAY(),"D")</f>
        <v>45990</v>
      </c>
      <c r="R199" s="28" t="str">
        <f>IFERROR(VLOOKUP(DadosViagem5[[#This Row],[Placa]],[1]DDS!B:C,2,FALSE),"Verificar cadastro")</f>
        <v>Verificar cadastro</v>
      </c>
      <c r="S199" s="29" t="s">
        <v>48</v>
      </c>
      <c r="T199" s="23"/>
      <c r="U199" s="30"/>
      <c r="V199" s="31"/>
      <c r="W199" s="32" t="s">
        <v>289</v>
      </c>
      <c r="X199" s="33"/>
      <c r="Y199" s="34"/>
      <c r="Z199" s="32"/>
      <c r="AA199" s="20" t="s">
        <v>49</v>
      </c>
      <c r="AB199" s="20" t="s">
        <v>49</v>
      </c>
      <c r="AC199" s="19" t="s">
        <v>49</v>
      </c>
      <c r="AD199" s="19" t="str">
        <f ca="1">IFERROR(DATEDIF(DadosViagem5[[#This Row],[Utimo Bip Reserva]],TODAY(),"D"),"")</f>
        <v/>
      </c>
      <c r="AE199" s="36"/>
      <c r="AF199" s="25"/>
      <c r="AG199" s="36" t="s">
        <v>290</v>
      </c>
      <c r="AH199" s="25">
        <v>45807</v>
      </c>
      <c r="AI199" s="36" t="str">
        <f>IF(DadosViagem5[[#This Row],[Dias em manutenção ]]&lt;5,"Dentro do Prazo","Fora do Prazo")</f>
        <v>Fora do Prazo</v>
      </c>
      <c r="AJ199" s="36" t="e">
        <v>#REF!</v>
      </c>
    </row>
    <row r="200" spans="1:36">
      <c r="A200" s="19" t="s">
        <v>373</v>
      </c>
      <c r="B200" s="20"/>
      <c r="C200" s="19" t="s">
        <v>312</v>
      </c>
      <c r="D200" s="19" t="s">
        <v>313</v>
      </c>
      <c r="E200" s="19" t="s">
        <v>39</v>
      </c>
      <c r="F200" s="19" t="s">
        <v>106</v>
      </c>
      <c r="G200" s="19"/>
      <c r="H200" s="20">
        <v>2024</v>
      </c>
      <c r="I200" s="19" t="s">
        <v>41</v>
      </c>
      <c r="J200" s="19" t="s">
        <v>276</v>
      </c>
      <c r="K200" s="21" t="s">
        <v>277</v>
      </c>
      <c r="L200" s="22" t="s">
        <v>44</v>
      </c>
      <c r="M200" s="46" t="s">
        <v>45</v>
      </c>
      <c r="N200" s="36" t="s">
        <v>287</v>
      </c>
      <c r="O200" s="65" t="s">
        <v>288</v>
      </c>
      <c r="P200" s="26">
        <f ca="1">IFERROR(VLOOKUP(DadosViagem5[[#This Row],[Placa]],[1]BIP!A:E,5,FALSE),"")</f>
        <v>0</v>
      </c>
      <c r="Q200" s="27">
        <f ca="1">DATEDIF(DadosViagem5[[#This Row],[BIP]],TODAY(),"D")</f>
        <v>45990</v>
      </c>
      <c r="R200" s="28" t="str">
        <f>IFERROR(VLOOKUP(DadosViagem5[[#This Row],[Placa]],[1]DDS!B:C,2,FALSE),"Verificar cadastro")</f>
        <v>Verificar cadastro</v>
      </c>
      <c r="S200" s="29" t="s">
        <v>48</v>
      </c>
      <c r="T200" s="23"/>
      <c r="U200" s="30"/>
      <c r="V200" s="31"/>
      <c r="W200" s="32" t="s">
        <v>289</v>
      </c>
      <c r="X200" s="33"/>
      <c r="Y200" s="34"/>
      <c r="Z200" s="32"/>
      <c r="AA200" s="20" t="s">
        <v>49</v>
      </c>
      <c r="AB200" s="20" t="s">
        <v>49</v>
      </c>
      <c r="AC200" s="19" t="s">
        <v>49</v>
      </c>
      <c r="AD200" s="19" t="str">
        <f ca="1">IFERROR(DATEDIF(DadosViagem5[[#This Row],[Utimo Bip Reserva]],TODAY(),"D"),"")</f>
        <v/>
      </c>
      <c r="AE200" s="36"/>
      <c r="AF200" s="25"/>
      <c r="AG200" s="36" t="s">
        <v>290</v>
      </c>
      <c r="AH200" s="25">
        <v>45807</v>
      </c>
      <c r="AI200" s="36" t="str">
        <f>IF(DadosViagem5[[#This Row],[Dias em manutenção ]]&lt;5,"Dentro do Prazo","Fora do Prazo")</f>
        <v>Fora do Prazo</v>
      </c>
      <c r="AJ200" s="36" t="e">
        <v>#REF!</v>
      </c>
    </row>
    <row r="201" spans="1:36">
      <c r="A201" s="19" t="s">
        <v>374</v>
      </c>
      <c r="B201" s="20"/>
      <c r="C201" s="19" t="s">
        <v>286</v>
      </c>
      <c r="D201" s="19" t="s">
        <v>273</v>
      </c>
      <c r="E201" s="19" t="s">
        <v>39</v>
      </c>
      <c r="F201" s="19" t="s">
        <v>106</v>
      </c>
      <c r="G201" s="19"/>
      <c r="H201" s="20">
        <v>2024</v>
      </c>
      <c r="I201" s="19" t="s">
        <v>41</v>
      </c>
      <c r="J201" s="19" t="s">
        <v>276</v>
      </c>
      <c r="K201" s="21" t="s">
        <v>277</v>
      </c>
      <c r="L201" s="22" t="s">
        <v>44</v>
      </c>
      <c r="M201" s="46" t="s">
        <v>45</v>
      </c>
      <c r="N201" s="36" t="s">
        <v>287</v>
      </c>
      <c r="O201" s="65" t="s">
        <v>288</v>
      </c>
      <c r="P201" s="26">
        <f ca="1">IFERROR(VLOOKUP(DadosViagem5[[#This Row],[Placa]],[1]BIP!A:E,5,FALSE),"")</f>
        <v>0</v>
      </c>
      <c r="Q201" s="27">
        <f ca="1">DATEDIF(DadosViagem5[[#This Row],[BIP]],TODAY(),"D")</f>
        <v>45990</v>
      </c>
      <c r="R201" s="28" t="str">
        <f>IFERROR(VLOOKUP(DadosViagem5[[#This Row],[Placa]],[1]DDS!B:C,2,FALSE),"Verificar cadastro")</f>
        <v> </v>
      </c>
      <c r="S201" s="29" t="s">
        <v>48</v>
      </c>
      <c r="T201" s="23"/>
      <c r="U201" s="30"/>
      <c r="V201" s="31"/>
      <c r="W201" s="32" t="s">
        <v>289</v>
      </c>
      <c r="X201" s="33"/>
      <c r="Y201" s="34"/>
      <c r="Z201" s="32"/>
      <c r="AA201" s="20" t="s">
        <v>49</v>
      </c>
      <c r="AB201" s="20" t="s">
        <v>49</v>
      </c>
      <c r="AC201" s="19" t="s">
        <v>49</v>
      </c>
      <c r="AD201" s="19" t="str">
        <f ca="1">IFERROR(DATEDIF(DadosViagem5[[#This Row],[Utimo Bip Reserva]],TODAY(),"D"),"")</f>
        <v/>
      </c>
      <c r="AE201" s="36"/>
      <c r="AF201" s="25"/>
      <c r="AG201" s="36" t="s">
        <v>290</v>
      </c>
      <c r="AH201" s="25">
        <v>45807</v>
      </c>
      <c r="AI201" s="36" t="str">
        <f>IF(DadosViagem5[[#This Row],[Dias em manutenção ]]&lt;5,"Dentro do Prazo","Fora do Prazo")</f>
        <v>Fora do Prazo</v>
      </c>
      <c r="AJ201" s="36" t="e">
        <v>#REF!</v>
      </c>
    </row>
    <row r="202" spans="1:36">
      <c r="A202" s="19" t="s">
        <v>375</v>
      </c>
      <c r="B202" s="20"/>
      <c r="C202" s="19" t="s">
        <v>286</v>
      </c>
      <c r="D202" s="19" t="s">
        <v>273</v>
      </c>
      <c r="E202" s="19" t="s">
        <v>39</v>
      </c>
      <c r="F202" s="19" t="s">
        <v>106</v>
      </c>
      <c r="G202" s="19"/>
      <c r="H202" s="20">
        <v>2024</v>
      </c>
      <c r="I202" s="19" t="s">
        <v>41</v>
      </c>
      <c r="J202" s="19" t="s">
        <v>276</v>
      </c>
      <c r="K202" s="21" t="s">
        <v>277</v>
      </c>
      <c r="L202" s="22" t="s">
        <v>44</v>
      </c>
      <c r="M202" s="46" t="s">
        <v>45</v>
      </c>
      <c r="N202" s="36" t="s">
        <v>287</v>
      </c>
      <c r="O202" s="65" t="s">
        <v>288</v>
      </c>
      <c r="P202" s="26">
        <f ca="1">IFERROR(VLOOKUP(DadosViagem5[[#This Row],[Placa]],[1]BIP!A:E,5,FALSE),"")</f>
        <v>0</v>
      </c>
      <c r="Q202" s="27">
        <f ca="1">DATEDIF(DadosViagem5[[#This Row],[BIP]],TODAY(),"D")</f>
        <v>45990</v>
      </c>
      <c r="R202" s="28" t="str">
        <f>IFERROR(VLOOKUP(DadosViagem5[[#This Row],[Placa]],[1]DDS!B:C,2,FALSE),"Verificar cadastro")</f>
        <v> </v>
      </c>
      <c r="S202" s="29" t="s">
        <v>48</v>
      </c>
      <c r="T202" s="23"/>
      <c r="U202" s="30"/>
      <c r="V202" s="31"/>
      <c r="W202" s="32" t="s">
        <v>289</v>
      </c>
      <c r="X202" s="33"/>
      <c r="Y202" s="34"/>
      <c r="Z202" s="32"/>
      <c r="AA202" s="20" t="s">
        <v>49</v>
      </c>
      <c r="AB202" s="20" t="s">
        <v>49</v>
      </c>
      <c r="AC202" s="19" t="s">
        <v>49</v>
      </c>
      <c r="AD202" s="19" t="str">
        <f ca="1">IFERROR(DATEDIF(DadosViagem5[[#This Row],[Utimo Bip Reserva]],TODAY(),"D"),"")</f>
        <v/>
      </c>
      <c r="AE202" s="36"/>
      <c r="AF202" s="25"/>
      <c r="AG202" s="36" t="s">
        <v>290</v>
      </c>
      <c r="AH202" s="25">
        <v>45807</v>
      </c>
      <c r="AI202" s="36" t="str">
        <f>IF(DadosViagem5[[#This Row],[Dias em manutenção ]]&lt;5,"Dentro do Prazo","Fora do Prazo")</f>
        <v>Fora do Prazo</v>
      </c>
      <c r="AJ202" s="36" t="e">
        <v>#REF!</v>
      </c>
    </row>
    <row r="203" spans="1:36">
      <c r="A203" s="19" t="s">
        <v>376</v>
      </c>
      <c r="B203" s="20"/>
      <c r="C203" s="19" t="s">
        <v>286</v>
      </c>
      <c r="D203" s="19" t="s">
        <v>273</v>
      </c>
      <c r="E203" s="19" t="s">
        <v>39</v>
      </c>
      <c r="F203" s="19" t="s">
        <v>106</v>
      </c>
      <c r="G203" s="19"/>
      <c r="H203" s="20">
        <v>2024</v>
      </c>
      <c r="I203" s="19" t="s">
        <v>41</v>
      </c>
      <c r="J203" s="19" t="s">
        <v>276</v>
      </c>
      <c r="K203" s="21" t="s">
        <v>277</v>
      </c>
      <c r="L203" s="22" t="s">
        <v>44</v>
      </c>
      <c r="M203" s="46" t="s">
        <v>45</v>
      </c>
      <c r="N203" s="36" t="s">
        <v>287</v>
      </c>
      <c r="O203" s="65" t="s">
        <v>288</v>
      </c>
      <c r="P203" s="26">
        <f ca="1">IFERROR(VLOOKUP(DadosViagem5[[#This Row],[Placa]],[1]BIP!A:E,5,FALSE),"")</f>
        <v>0</v>
      </c>
      <c r="Q203" s="27">
        <f ca="1">DATEDIF(DadosViagem5[[#This Row],[BIP]],TODAY(),"D")</f>
        <v>45990</v>
      </c>
      <c r="R203" s="28" t="str">
        <f>IFERROR(VLOOKUP(DadosViagem5[[#This Row],[Placa]],[1]DDS!B:C,2,FALSE),"Verificar cadastro")</f>
        <v> </v>
      </c>
      <c r="S203" s="29" t="s">
        <v>48</v>
      </c>
      <c r="T203" s="23"/>
      <c r="U203" s="30"/>
      <c r="V203" s="31"/>
      <c r="W203" s="32" t="s">
        <v>289</v>
      </c>
      <c r="X203" s="33"/>
      <c r="Y203" s="34"/>
      <c r="Z203" s="32"/>
      <c r="AA203" s="20" t="s">
        <v>49</v>
      </c>
      <c r="AB203" s="20" t="s">
        <v>49</v>
      </c>
      <c r="AC203" s="19" t="s">
        <v>49</v>
      </c>
      <c r="AD203" s="19" t="str">
        <f ca="1">IFERROR(DATEDIF(DadosViagem5[[#This Row],[Utimo Bip Reserva]],TODAY(),"D"),"")</f>
        <v/>
      </c>
      <c r="AE203" s="36"/>
      <c r="AF203" s="25"/>
      <c r="AG203" s="36" t="s">
        <v>290</v>
      </c>
      <c r="AH203" s="25">
        <v>45807</v>
      </c>
      <c r="AI203" s="36" t="str">
        <f>IF(DadosViagem5[[#This Row],[Dias em manutenção ]]&lt;5,"Dentro do Prazo","Fora do Prazo")</f>
        <v>Fora do Prazo</v>
      </c>
      <c r="AJ203" s="36" t="e">
        <v>#REF!</v>
      </c>
    </row>
    <row r="204" spans="1:36">
      <c r="A204" s="19" t="s">
        <v>377</v>
      </c>
      <c r="B204" s="20"/>
      <c r="C204" s="19" t="s">
        <v>286</v>
      </c>
      <c r="D204" s="19" t="s">
        <v>273</v>
      </c>
      <c r="E204" s="19" t="s">
        <v>39</v>
      </c>
      <c r="F204" s="19" t="s">
        <v>106</v>
      </c>
      <c r="G204" s="19"/>
      <c r="H204" s="20">
        <v>2024</v>
      </c>
      <c r="I204" s="19" t="s">
        <v>41</v>
      </c>
      <c r="J204" s="19" t="s">
        <v>276</v>
      </c>
      <c r="K204" s="21" t="s">
        <v>277</v>
      </c>
      <c r="L204" s="22" t="s">
        <v>44</v>
      </c>
      <c r="M204" s="46" t="s">
        <v>45</v>
      </c>
      <c r="N204" s="36" t="s">
        <v>287</v>
      </c>
      <c r="O204" s="65" t="s">
        <v>288</v>
      </c>
      <c r="P204" s="26">
        <f ca="1">IFERROR(VLOOKUP(DadosViagem5[[#This Row],[Placa]],[1]BIP!A:E,5,FALSE),"")</f>
        <v>0</v>
      </c>
      <c r="Q204" s="27">
        <f ca="1">DATEDIF(DadosViagem5[[#This Row],[BIP]],TODAY(),"D")</f>
        <v>45990</v>
      </c>
      <c r="R204" s="28" t="str">
        <f>IFERROR(VLOOKUP(DadosViagem5[[#This Row],[Placa]],[1]DDS!B:C,2,FALSE),"Verificar cadastro")</f>
        <v>Verificar cadastro</v>
      </c>
      <c r="S204" s="29" t="s">
        <v>48</v>
      </c>
      <c r="T204" s="23"/>
      <c r="U204" s="30"/>
      <c r="V204" s="31"/>
      <c r="W204" s="32" t="s">
        <v>289</v>
      </c>
      <c r="X204" s="33"/>
      <c r="Y204" s="34"/>
      <c r="Z204" s="32"/>
      <c r="AA204" s="20" t="s">
        <v>49</v>
      </c>
      <c r="AB204" s="20" t="s">
        <v>49</v>
      </c>
      <c r="AC204" s="19" t="s">
        <v>49</v>
      </c>
      <c r="AD204" s="19" t="str">
        <f ca="1">IFERROR(DATEDIF(DadosViagem5[[#This Row],[Utimo Bip Reserva]],TODAY(),"D"),"")</f>
        <v/>
      </c>
      <c r="AE204" s="36"/>
      <c r="AF204" s="25"/>
      <c r="AG204" s="36" t="s">
        <v>290</v>
      </c>
      <c r="AH204" s="25">
        <v>45807</v>
      </c>
      <c r="AI204" s="36" t="str">
        <f>IF(DadosViagem5[[#This Row],[Dias em manutenção ]]&lt;5,"Dentro do Prazo","Fora do Prazo")</f>
        <v>Fora do Prazo</v>
      </c>
      <c r="AJ204" s="36" t="e">
        <v>#REF!</v>
      </c>
    </row>
    <row r="205" spans="1:36">
      <c r="A205" s="19" t="s">
        <v>378</v>
      </c>
      <c r="B205" s="20"/>
      <c r="C205" s="19" t="s">
        <v>286</v>
      </c>
      <c r="D205" s="19" t="s">
        <v>273</v>
      </c>
      <c r="E205" s="19" t="s">
        <v>39</v>
      </c>
      <c r="F205" s="19" t="s">
        <v>106</v>
      </c>
      <c r="G205" s="19"/>
      <c r="H205" s="20">
        <v>2024</v>
      </c>
      <c r="I205" s="19" t="s">
        <v>41</v>
      </c>
      <c r="J205" s="19" t="s">
        <v>276</v>
      </c>
      <c r="K205" s="21" t="s">
        <v>277</v>
      </c>
      <c r="L205" s="22" t="s">
        <v>44</v>
      </c>
      <c r="M205" s="23" t="s">
        <v>45</v>
      </c>
      <c r="N205" s="36" t="s">
        <v>287</v>
      </c>
      <c r="O205" s="65" t="s">
        <v>288</v>
      </c>
      <c r="P205" s="26">
        <f ca="1">IFERROR(VLOOKUP(DadosViagem5[[#This Row],[Placa]],[1]BIP!A:E,5,FALSE),"")</f>
        <v>0</v>
      </c>
      <c r="Q205" s="27">
        <f ca="1">DATEDIF(DadosViagem5[[#This Row],[BIP]],TODAY(),"D")</f>
        <v>45990</v>
      </c>
      <c r="R205" s="28" t="str">
        <f>IFERROR(VLOOKUP(DadosViagem5[[#This Row],[Placa]],[1]DDS!B:C,2,FALSE),"Verificar cadastro")</f>
        <v> </v>
      </c>
      <c r="S205" s="29" t="s">
        <v>48</v>
      </c>
      <c r="T205" s="23"/>
      <c r="U205" s="30"/>
      <c r="V205" s="31"/>
      <c r="W205" s="32" t="s">
        <v>289</v>
      </c>
      <c r="X205" s="33"/>
      <c r="Y205" s="34"/>
      <c r="Z205" s="32"/>
      <c r="AA205" s="20" t="s">
        <v>49</v>
      </c>
      <c r="AB205" s="20" t="s">
        <v>49</v>
      </c>
      <c r="AC205" s="19" t="s">
        <v>49</v>
      </c>
      <c r="AD205" s="19" t="str">
        <f ca="1">IFERROR(DATEDIF(DadosViagem5[[#This Row],[Utimo Bip Reserva]],TODAY(),"D"),"")</f>
        <v/>
      </c>
      <c r="AE205" s="36"/>
      <c r="AF205" s="25"/>
      <c r="AG205" s="36" t="s">
        <v>290</v>
      </c>
      <c r="AH205" s="25">
        <v>45807</v>
      </c>
      <c r="AI205" s="36" t="str">
        <f>IF(DadosViagem5[[#This Row],[Dias em manutenção ]]&lt;5,"Dentro do Prazo","Fora do Prazo")</f>
        <v>Fora do Prazo</v>
      </c>
      <c r="AJ205" s="36" t="e">
        <v>#REF!</v>
      </c>
    </row>
    <row r="206" spans="1:36">
      <c r="A206" s="19" t="s">
        <v>379</v>
      </c>
      <c r="B206" s="20"/>
      <c r="C206" s="19" t="s">
        <v>286</v>
      </c>
      <c r="D206" s="19" t="s">
        <v>273</v>
      </c>
      <c r="E206" s="19" t="s">
        <v>39</v>
      </c>
      <c r="F206" s="19" t="s">
        <v>106</v>
      </c>
      <c r="G206" s="19"/>
      <c r="H206" s="20">
        <v>2024</v>
      </c>
      <c r="I206" s="19" t="s">
        <v>41</v>
      </c>
      <c r="J206" s="19" t="s">
        <v>276</v>
      </c>
      <c r="K206" s="21" t="s">
        <v>277</v>
      </c>
      <c r="L206" s="22" t="s">
        <v>44</v>
      </c>
      <c r="M206" s="23" t="s">
        <v>45</v>
      </c>
      <c r="N206" s="36" t="s">
        <v>287</v>
      </c>
      <c r="O206" s="65" t="s">
        <v>288</v>
      </c>
      <c r="P206" s="26">
        <f ca="1">IFERROR(VLOOKUP(DadosViagem5[[#This Row],[Placa]],[1]BIP!A:E,5,FALSE),"")</f>
        <v>0</v>
      </c>
      <c r="Q206" s="27">
        <f ca="1">DATEDIF(DadosViagem5[[#This Row],[BIP]],TODAY(),"D")</f>
        <v>45990</v>
      </c>
      <c r="R206" s="28" t="str">
        <f>IFERROR(VLOOKUP(DadosViagem5[[#This Row],[Placa]],[1]DDS!B:C,2,FALSE),"Verificar cadastro")</f>
        <v> </v>
      </c>
      <c r="S206" s="29" t="s">
        <v>48</v>
      </c>
      <c r="T206" s="23"/>
      <c r="U206" s="30"/>
      <c r="V206" s="31"/>
      <c r="W206" s="32"/>
      <c r="X206" s="33"/>
      <c r="Y206" s="34"/>
      <c r="Z206" s="32"/>
      <c r="AA206" s="20" t="s">
        <v>49</v>
      </c>
      <c r="AB206" s="20" t="s">
        <v>49</v>
      </c>
      <c r="AC206" s="19" t="s">
        <v>49</v>
      </c>
      <c r="AD206" s="19" t="str">
        <f ca="1">IFERROR(DATEDIF(DadosViagem5[[#This Row],[Utimo Bip Reserva]],TODAY(),"D"),"")</f>
        <v/>
      </c>
      <c r="AE206" s="36"/>
      <c r="AF206" s="25"/>
      <c r="AG206" s="36" t="s">
        <v>290</v>
      </c>
      <c r="AH206" s="25">
        <v>45807</v>
      </c>
      <c r="AI206" s="36" t="str">
        <f>IF(DadosViagem5[[#This Row],[Dias em manutenção ]]&lt;5,"Dentro do Prazo","Fora do Prazo")</f>
        <v>Fora do Prazo</v>
      </c>
      <c r="AJ206" s="36" t="e">
        <v>#REF!</v>
      </c>
    </row>
    <row r="207" spans="1:36">
      <c r="A207" s="19" t="s">
        <v>380</v>
      </c>
      <c r="B207" s="20"/>
      <c r="C207" s="19" t="s">
        <v>286</v>
      </c>
      <c r="D207" s="19" t="s">
        <v>273</v>
      </c>
      <c r="E207" s="19" t="s">
        <v>39</v>
      </c>
      <c r="F207" s="19" t="s">
        <v>106</v>
      </c>
      <c r="G207" s="19"/>
      <c r="H207" s="20">
        <v>2024</v>
      </c>
      <c r="I207" s="19" t="s">
        <v>41</v>
      </c>
      <c r="J207" s="19" t="s">
        <v>276</v>
      </c>
      <c r="K207" s="21" t="s">
        <v>277</v>
      </c>
      <c r="L207" s="22" t="s">
        <v>44</v>
      </c>
      <c r="M207" s="23" t="s">
        <v>45</v>
      </c>
      <c r="N207" s="36" t="s">
        <v>287</v>
      </c>
      <c r="O207" s="65" t="s">
        <v>288</v>
      </c>
      <c r="P207" s="26">
        <f ca="1">IFERROR(VLOOKUP(DadosViagem5[[#This Row],[Placa]],[1]BIP!A:E,5,FALSE),"")</f>
        <v>0</v>
      </c>
      <c r="Q207" s="27">
        <f ca="1">DATEDIF(DadosViagem5[[#This Row],[BIP]],TODAY(),"D")</f>
        <v>45990</v>
      </c>
      <c r="R207" s="28" t="str">
        <f>IFERROR(VLOOKUP(DadosViagem5[[#This Row],[Placa]],[1]DDS!B:C,2,FALSE),"Verificar cadastro")</f>
        <v>Verificar cadastro</v>
      </c>
      <c r="S207" s="29" t="s">
        <v>48</v>
      </c>
      <c r="T207" s="23"/>
      <c r="U207" s="30"/>
      <c r="V207" s="31"/>
      <c r="W207" s="32" t="s">
        <v>289</v>
      </c>
      <c r="X207" s="33"/>
      <c r="Y207" s="34"/>
      <c r="Z207" s="43"/>
      <c r="AA207" s="20" t="s">
        <v>49</v>
      </c>
      <c r="AB207" s="20" t="s">
        <v>49</v>
      </c>
      <c r="AC207" s="19" t="s">
        <v>49</v>
      </c>
      <c r="AD207" s="19" t="str">
        <f ca="1">IFERROR(DATEDIF(DadosViagem5[[#This Row],[Utimo Bip Reserva]],TODAY(),"D"),"")</f>
        <v/>
      </c>
      <c r="AE207" s="36"/>
      <c r="AF207" s="25"/>
      <c r="AG207" s="36" t="s">
        <v>290</v>
      </c>
      <c r="AH207" s="25">
        <v>45807</v>
      </c>
      <c r="AI207" s="36" t="str">
        <f>IF(DadosViagem5[[#This Row],[Dias em manutenção ]]&lt;5,"Dentro do Prazo","Fora do Prazo")</f>
        <v>Fora do Prazo</v>
      </c>
      <c r="AJ207" s="36" t="e">
        <v>#REF!</v>
      </c>
    </row>
    <row r="208" spans="1:36">
      <c r="A208" s="19" t="s">
        <v>381</v>
      </c>
      <c r="B208" s="20"/>
      <c r="C208" s="19" t="s">
        <v>286</v>
      </c>
      <c r="D208" s="19" t="s">
        <v>273</v>
      </c>
      <c r="E208" s="19" t="s">
        <v>39</v>
      </c>
      <c r="F208" s="19" t="s">
        <v>106</v>
      </c>
      <c r="G208" s="19"/>
      <c r="H208" s="20">
        <v>2024</v>
      </c>
      <c r="I208" s="19" t="s">
        <v>41</v>
      </c>
      <c r="J208" s="19" t="s">
        <v>276</v>
      </c>
      <c r="K208" s="21" t="s">
        <v>277</v>
      </c>
      <c r="L208" s="22" t="s">
        <v>44</v>
      </c>
      <c r="M208" s="23" t="s">
        <v>45</v>
      </c>
      <c r="N208" s="36" t="s">
        <v>287</v>
      </c>
      <c r="O208" s="65" t="s">
        <v>288</v>
      </c>
      <c r="P208" s="26">
        <f ca="1">IFERROR(VLOOKUP(DadosViagem5[[#This Row],[Placa]],[1]BIP!A:E,5,FALSE),"")</f>
        <v>0</v>
      </c>
      <c r="Q208" s="27">
        <f ca="1">DATEDIF(DadosViagem5[[#This Row],[BIP]],TODAY(),"D")</f>
        <v>45990</v>
      </c>
      <c r="R208" s="28" t="str">
        <f>IFERROR(VLOOKUP(DadosViagem5[[#This Row],[Placa]],[1]DDS!B:C,2,FALSE),"Verificar cadastro")</f>
        <v>Verificar cadastro</v>
      </c>
      <c r="S208" s="29" t="s">
        <v>48</v>
      </c>
      <c r="T208" s="23"/>
      <c r="U208" s="30"/>
      <c r="V208" s="31"/>
      <c r="W208" s="32" t="s">
        <v>289</v>
      </c>
      <c r="X208" s="33"/>
      <c r="Y208" s="34"/>
      <c r="Z208" s="32"/>
      <c r="AA208" s="20" t="s">
        <v>49</v>
      </c>
      <c r="AB208" s="20" t="s">
        <v>49</v>
      </c>
      <c r="AC208" s="19" t="s">
        <v>49</v>
      </c>
      <c r="AD208" s="19" t="str">
        <f ca="1">IFERROR(DATEDIF(DadosViagem5[[#This Row],[Utimo Bip Reserva]],TODAY(),"D"),"")</f>
        <v/>
      </c>
      <c r="AE208" s="36"/>
      <c r="AF208" s="25"/>
      <c r="AG208" s="36" t="s">
        <v>290</v>
      </c>
      <c r="AH208" s="25">
        <v>45807</v>
      </c>
      <c r="AI208" s="36" t="str">
        <f>IF(DadosViagem5[[#This Row],[Dias em manutenção ]]&lt;5,"Dentro do Prazo","Fora do Prazo")</f>
        <v>Fora do Prazo</v>
      </c>
      <c r="AJ208" s="36" t="e">
        <v>#REF!</v>
      </c>
    </row>
    <row r="209" spans="1:36">
      <c r="A209" s="19" t="s">
        <v>382</v>
      </c>
      <c r="B209" s="20"/>
      <c r="C209" s="19" t="s">
        <v>286</v>
      </c>
      <c r="D209" s="19" t="s">
        <v>273</v>
      </c>
      <c r="E209" s="19" t="s">
        <v>39</v>
      </c>
      <c r="F209" s="19" t="s">
        <v>106</v>
      </c>
      <c r="G209" s="19"/>
      <c r="H209" s="20">
        <v>2024</v>
      </c>
      <c r="I209" s="19" t="s">
        <v>41</v>
      </c>
      <c r="J209" s="19" t="s">
        <v>276</v>
      </c>
      <c r="K209" s="21" t="s">
        <v>277</v>
      </c>
      <c r="L209" s="22" t="s">
        <v>44</v>
      </c>
      <c r="M209" s="23" t="s">
        <v>45</v>
      </c>
      <c r="N209" s="36" t="s">
        <v>287</v>
      </c>
      <c r="O209" s="65" t="s">
        <v>288</v>
      </c>
      <c r="P209" s="26">
        <f ca="1">IFERROR(VLOOKUP(DadosViagem5[[#This Row],[Placa]],[1]BIP!A:E,5,FALSE),"")</f>
        <v>0</v>
      </c>
      <c r="Q209" s="27">
        <f ca="1">DATEDIF(DadosViagem5[[#This Row],[BIP]],TODAY(),"D")</f>
        <v>45990</v>
      </c>
      <c r="R209" s="28" t="str">
        <f>IFERROR(VLOOKUP(DadosViagem5[[#This Row],[Placa]],[1]DDS!B:C,2,FALSE),"Verificar cadastro")</f>
        <v>Verificar cadastro</v>
      </c>
      <c r="S209" s="29" t="s">
        <v>48</v>
      </c>
      <c r="T209" s="23"/>
      <c r="U209" s="30"/>
      <c r="V209" s="31"/>
      <c r="W209" s="32" t="s">
        <v>289</v>
      </c>
      <c r="X209" s="33"/>
      <c r="Y209" s="34"/>
      <c r="Z209" s="32"/>
      <c r="AA209" s="20" t="s">
        <v>49</v>
      </c>
      <c r="AB209" s="20" t="s">
        <v>49</v>
      </c>
      <c r="AC209" s="19" t="s">
        <v>49</v>
      </c>
      <c r="AD209" s="19" t="str">
        <f ca="1">IFERROR(DATEDIF(DadosViagem5[[#This Row],[Utimo Bip Reserva]],TODAY(),"D"),"")</f>
        <v/>
      </c>
      <c r="AE209" s="36"/>
      <c r="AF209" s="25"/>
      <c r="AG209" s="36" t="s">
        <v>290</v>
      </c>
      <c r="AH209" s="25">
        <v>45807</v>
      </c>
      <c r="AI209" s="36" t="str">
        <f>IF(DadosViagem5[[#This Row],[Dias em manutenção ]]&lt;5,"Dentro do Prazo","Fora do Prazo")</f>
        <v>Fora do Prazo</v>
      </c>
      <c r="AJ209" s="36" t="e">
        <v>#REF!</v>
      </c>
    </row>
    <row r="210" spans="1:36">
      <c r="A210" s="37" t="s">
        <v>383</v>
      </c>
      <c r="B210" s="20"/>
      <c r="C210" s="19" t="s">
        <v>286</v>
      </c>
      <c r="D210" s="19" t="s">
        <v>273</v>
      </c>
      <c r="E210" s="19" t="s">
        <v>39</v>
      </c>
      <c r="F210" s="19" t="s">
        <v>106</v>
      </c>
      <c r="G210" s="19"/>
      <c r="H210" s="20">
        <v>2024</v>
      </c>
      <c r="I210" s="19" t="s">
        <v>41</v>
      </c>
      <c r="J210" s="19" t="s">
        <v>276</v>
      </c>
      <c r="K210" s="21" t="s">
        <v>277</v>
      </c>
      <c r="L210" s="22" t="s">
        <v>44</v>
      </c>
      <c r="M210" s="46" t="s">
        <v>45</v>
      </c>
      <c r="N210" s="36" t="s">
        <v>287</v>
      </c>
      <c r="O210" s="65" t="s">
        <v>288</v>
      </c>
      <c r="P210" s="26">
        <f ca="1">IFERROR(VLOOKUP(DadosViagem5[[#This Row],[Placa]],[1]BIP!A:E,5,FALSE),"")</f>
        <v>0</v>
      </c>
      <c r="Q210" s="27">
        <f ca="1">DATEDIF(DadosViagem5[[#This Row],[BIP]],TODAY(),"D")</f>
        <v>45990</v>
      </c>
      <c r="R210" s="28" t="str">
        <f>IFERROR(VLOOKUP(DadosViagem5[[#This Row],[Placa]],[1]DDS!B:C,2,FALSE),"Verificar cadastro")</f>
        <v> </v>
      </c>
      <c r="S210" s="29" t="s">
        <v>48</v>
      </c>
      <c r="T210" s="23"/>
      <c r="U210" s="30"/>
      <c r="V210" s="31"/>
      <c r="W210" s="32" t="s">
        <v>384</v>
      </c>
      <c r="X210" s="33"/>
      <c r="Y210" s="34"/>
      <c r="Z210" s="32"/>
      <c r="AA210" s="20" t="s">
        <v>49</v>
      </c>
      <c r="AB210" s="20" t="s">
        <v>49</v>
      </c>
      <c r="AC210" s="19" t="s">
        <v>49</v>
      </c>
      <c r="AD210" s="19" t="str">
        <f ca="1">IFERROR(DATEDIF(DadosViagem5[[#This Row],[Utimo Bip Reserva]],TODAY(),"D"),"")</f>
        <v/>
      </c>
      <c r="AE210" s="36"/>
      <c r="AF210" s="25"/>
      <c r="AG210" s="36" t="s">
        <v>290</v>
      </c>
      <c r="AH210" s="25">
        <v>45807</v>
      </c>
      <c r="AI210" s="36" t="str">
        <f>IF(DadosViagem5[[#This Row],[Dias em manutenção ]]&lt;5,"Dentro do Prazo","Fora do Prazo")</f>
        <v>Fora do Prazo</v>
      </c>
      <c r="AJ210" s="36" t="e">
        <v>#REF!</v>
      </c>
    </row>
    <row r="211" spans="1:36">
      <c r="A211" s="19" t="s">
        <v>385</v>
      </c>
      <c r="B211" s="20"/>
      <c r="C211" s="19" t="s">
        <v>286</v>
      </c>
      <c r="D211" s="19" t="s">
        <v>273</v>
      </c>
      <c r="E211" s="19" t="s">
        <v>39</v>
      </c>
      <c r="F211" s="19" t="s">
        <v>106</v>
      </c>
      <c r="G211" s="19"/>
      <c r="H211" s="20">
        <v>2024</v>
      </c>
      <c r="I211" s="19" t="s">
        <v>41</v>
      </c>
      <c r="J211" s="19" t="s">
        <v>276</v>
      </c>
      <c r="K211" s="21" t="s">
        <v>277</v>
      </c>
      <c r="L211" s="22" t="s">
        <v>44</v>
      </c>
      <c r="M211" s="23" t="s">
        <v>45</v>
      </c>
      <c r="N211" s="36" t="s">
        <v>287</v>
      </c>
      <c r="O211" s="65" t="s">
        <v>288</v>
      </c>
      <c r="P211" s="26">
        <f ca="1">IFERROR(VLOOKUP(DadosViagem5[[#This Row],[Placa]],[1]BIP!A:E,5,FALSE),"")</f>
        <v>0</v>
      </c>
      <c r="Q211" s="27">
        <f ca="1">DATEDIF(DadosViagem5[[#This Row],[BIP]],TODAY(),"D")</f>
        <v>45990</v>
      </c>
      <c r="R211" s="28" t="str">
        <f>IFERROR(VLOOKUP(DadosViagem5[[#This Row],[Placa]],[1]DDS!B:C,2,FALSE),"Verificar cadastro")</f>
        <v> </v>
      </c>
      <c r="S211" s="29" t="s">
        <v>48</v>
      </c>
      <c r="T211" s="23"/>
      <c r="U211" s="30"/>
      <c r="V211" s="31"/>
      <c r="W211" s="32" t="s">
        <v>384</v>
      </c>
      <c r="X211" s="33"/>
      <c r="Y211" s="34"/>
      <c r="Z211" s="32"/>
      <c r="AA211" s="20" t="s">
        <v>49</v>
      </c>
      <c r="AB211" s="20" t="s">
        <v>49</v>
      </c>
      <c r="AC211" s="19" t="s">
        <v>49</v>
      </c>
      <c r="AD211" s="19" t="str">
        <f ca="1">IFERROR(DATEDIF(DadosViagem5[[#This Row],[Utimo Bip Reserva]],TODAY(),"D"),"")</f>
        <v/>
      </c>
      <c r="AE211" s="36"/>
      <c r="AF211" s="25"/>
      <c r="AG211" s="36" t="s">
        <v>290</v>
      </c>
      <c r="AH211" s="25">
        <v>45807</v>
      </c>
      <c r="AI211" s="36" t="str">
        <f>IF(DadosViagem5[[#This Row],[Dias em manutenção ]]&lt;5,"Dentro do Prazo","Fora do Prazo")</f>
        <v>Fora do Prazo</v>
      </c>
      <c r="AJ211" s="36" t="e">
        <v>#REF!</v>
      </c>
    </row>
    <row r="212" spans="1:36">
      <c r="A212" s="19" t="s">
        <v>386</v>
      </c>
      <c r="B212" s="20"/>
      <c r="C212" s="19" t="s">
        <v>286</v>
      </c>
      <c r="D212" s="19" t="s">
        <v>273</v>
      </c>
      <c r="E212" s="19" t="s">
        <v>39</v>
      </c>
      <c r="F212" s="19" t="s">
        <v>106</v>
      </c>
      <c r="G212" s="19"/>
      <c r="H212" s="20">
        <v>2024</v>
      </c>
      <c r="I212" s="19" t="s">
        <v>41</v>
      </c>
      <c r="J212" s="19" t="s">
        <v>276</v>
      </c>
      <c r="K212" s="21" t="s">
        <v>277</v>
      </c>
      <c r="L212" s="22" t="s">
        <v>44</v>
      </c>
      <c r="M212" s="23" t="s">
        <v>45</v>
      </c>
      <c r="N212" s="36" t="s">
        <v>287</v>
      </c>
      <c r="O212" s="65" t="s">
        <v>288</v>
      </c>
      <c r="P212" s="26">
        <f ca="1">IFERROR(VLOOKUP(DadosViagem5[[#This Row],[Placa]],[1]BIP!A:E,5,FALSE),"")</f>
        <v>0</v>
      </c>
      <c r="Q212" s="27">
        <f ca="1">DATEDIF(DadosViagem5[[#This Row],[BIP]],TODAY(),"D")</f>
        <v>45990</v>
      </c>
      <c r="R212" s="28" t="str">
        <f>IFERROR(VLOOKUP(DadosViagem5[[#This Row],[Placa]],[1]DDS!B:C,2,FALSE),"Verificar cadastro")</f>
        <v> </v>
      </c>
      <c r="S212" s="29" t="s">
        <v>48</v>
      </c>
      <c r="T212" s="23"/>
      <c r="U212" s="30"/>
      <c r="V212" s="31"/>
      <c r="W212" s="32" t="s">
        <v>384</v>
      </c>
      <c r="X212" s="33"/>
      <c r="Y212" s="34"/>
      <c r="Z212" s="32"/>
      <c r="AA212" s="20" t="s">
        <v>49</v>
      </c>
      <c r="AB212" s="20" t="s">
        <v>49</v>
      </c>
      <c r="AC212" s="19" t="s">
        <v>49</v>
      </c>
      <c r="AD212" s="19" t="str">
        <f ca="1">IFERROR(DATEDIF(DadosViagem5[[#This Row],[Utimo Bip Reserva]],TODAY(),"D"),"")</f>
        <v/>
      </c>
      <c r="AE212" s="36"/>
      <c r="AF212" s="25"/>
      <c r="AG212" s="36" t="s">
        <v>290</v>
      </c>
      <c r="AH212" s="25">
        <v>45807</v>
      </c>
      <c r="AI212" s="36" t="str">
        <f>IF(DadosViagem5[[#This Row],[Dias em manutenção ]]&lt;5,"Dentro do Prazo","Fora do Prazo")</f>
        <v>Fora do Prazo</v>
      </c>
      <c r="AJ212" s="36" t="e">
        <v>#REF!</v>
      </c>
    </row>
    <row r="213" spans="1:36">
      <c r="A213" s="19" t="s">
        <v>387</v>
      </c>
      <c r="B213" s="20"/>
      <c r="C213" s="19" t="s">
        <v>286</v>
      </c>
      <c r="D213" s="19" t="s">
        <v>273</v>
      </c>
      <c r="E213" s="19" t="s">
        <v>39</v>
      </c>
      <c r="F213" s="19" t="s">
        <v>106</v>
      </c>
      <c r="G213" s="19"/>
      <c r="H213" s="20">
        <v>2024</v>
      </c>
      <c r="I213" s="19" t="s">
        <v>41</v>
      </c>
      <c r="J213" s="19" t="s">
        <v>276</v>
      </c>
      <c r="K213" s="21" t="s">
        <v>277</v>
      </c>
      <c r="L213" s="22" t="s">
        <v>44</v>
      </c>
      <c r="M213" s="23" t="s">
        <v>45</v>
      </c>
      <c r="N213" s="24" t="s">
        <v>287</v>
      </c>
      <c r="O213" s="65" t="s">
        <v>288</v>
      </c>
      <c r="P213" s="26">
        <f ca="1">IFERROR(VLOOKUP(DadosViagem5[[#This Row],[Placa]],[1]BIP!A:E,5,FALSE),"")</f>
        <v>0</v>
      </c>
      <c r="Q213" s="27">
        <f ca="1">DATEDIF(DadosViagem5[[#This Row],[BIP]],TODAY(),"D")</f>
        <v>45990</v>
      </c>
      <c r="R213" s="28" t="str">
        <f>IFERROR(VLOOKUP(DadosViagem5[[#This Row],[Placa]],[1]DDS!B:C,2,FALSE),"Verificar cadastro")</f>
        <v> </v>
      </c>
      <c r="S213" s="29" t="s">
        <v>48</v>
      </c>
      <c r="T213" s="23"/>
      <c r="U213" s="30"/>
      <c r="V213" s="31"/>
      <c r="W213" s="32" t="s">
        <v>384</v>
      </c>
      <c r="X213" s="33"/>
      <c r="Y213" s="34"/>
      <c r="Z213" s="32"/>
      <c r="AA213" s="20" t="s">
        <v>49</v>
      </c>
      <c r="AB213" s="20" t="s">
        <v>49</v>
      </c>
      <c r="AC213" s="19" t="s">
        <v>49</v>
      </c>
      <c r="AD213" s="19" t="str">
        <f ca="1">IFERROR(DATEDIF(DadosViagem5[[#This Row],[Utimo Bip Reserva]],TODAY(),"D"),"")</f>
        <v/>
      </c>
      <c r="AE213" s="36"/>
      <c r="AF213" s="25"/>
      <c r="AG213" s="36" t="s">
        <v>290</v>
      </c>
      <c r="AH213" s="25">
        <v>45807</v>
      </c>
      <c r="AI213" s="36" t="str">
        <f>IF(DadosViagem5[[#This Row],[Dias em manutenção ]]&lt;5,"Dentro do Prazo","Fora do Prazo")</f>
        <v>Fora do Prazo</v>
      </c>
      <c r="AJ213" s="36" t="e">
        <v>#REF!</v>
      </c>
    </row>
    <row r="214" spans="1:36">
      <c r="A214" s="19" t="s">
        <v>388</v>
      </c>
      <c r="B214" s="20"/>
      <c r="C214" s="19" t="s">
        <v>286</v>
      </c>
      <c r="D214" s="19" t="s">
        <v>273</v>
      </c>
      <c r="E214" s="19" t="s">
        <v>39</v>
      </c>
      <c r="F214" s="19" t="s">
        <v>106</v>
      </c>
      <c r="G214" s="19"/>
      <c r="H214" s="20">
        <v>2024</v>
      </c>
      <c r="I214" s="19" t="s">
        <v>41</v>
      </c>
      <c r="J214" s="19" t="s">
        <v>276</v>
      </c>
      <c r="K214" s="21" t="s">
        <v>277</v>
      </c>
      <c r="L214" s="22" t="s">
        <v>44</v>
      </c>
      <c r="M214" s="23" t="s">
        <v>45</v>
      </c>
      <c r="N214" s="36" t="s">
        <v>287</v>
      </c>
      <c r="O214" s="65" t="s">
        <v>288</v>
      </c>
      <c r="P214" s="26">
        <f ca="1">IFERROR(VLOOKUP(DadosViagem5[[#This Row],[Placa]],[1]BIP!A:E,5,FALSE),"")</f>
        <v>0</v>
      </c>
      <c r="Q214" s="27">
        <f ca="1">DATEDIF(DadosViagem5[[#This Row],[BIP]],TODAY(),"D")</f>
        <v>45990</v>
      </c>
      <c r="R214" s="28" t="str">
        <f>IFERROR(VLOOKUP(DadosViagem5[[#This Row],[Placa]],[1]DDS!B:C,2,FALSE),"Verificar cadastro")</f>
        <v> </v>
      </c>
      <c r="S214" s="29" t="s">
        <v>48</v>
      </c>
      <c r="T214" s="23"/>
      <c r="U214" s="30"/>
      <c r="V214" s="31"/>
      <c r="W214" s="32" t="s">
        <v>384</v>
      </c>
      <c r="X214" s="33"/>
      <c r="Y214" s="34"/>
      <c r="Z214" s="32"/>
      <c r="AA214" s="20" t="s">
        <v>49</v>
      </c>
      <c r="AB214" s="20" t="s">
        <v>49</v>
      </c>
      <c r="AC214" s="19" t="s">
        <v>49</v>
      </c>
      <c r="AD214" s="19" t="str">
        <f ca="1">IFERROR(DATEDIF(DadosViagem5[[#This Row],[Utimo Bip Reserva]],TODAY(),"D"),"")</f>
        <v/>
      </c>
      <c r="AE214" s="36"/>
      <c r="AF214" s="25"/>
      <c r="AG214" s="36" t="s">
        <v>290</v>
      </c>
      <c r="AH214" s="25">
        <v>45807</v>
      </c>
      <c r="AI214" s="36" t="str">
        <f>IF(DadosViagem5[[#This Row],[Dias em manutenção ]]&lt;5,"Dentro do Prazo","Fora do Prazo")</f>
        <v>Fora do Prazo</v>
      </c>
      <c r="AJ214" s="36" t="e">
        <v>#REF!</v>
      </c>
    </row>
    <row r="215" spans="1:36">
      <c r="A215" s="19" t="s">
        <v>389</v>
      </c>
      <c r="B215" s="20"/>
      <c r="C215" s="19" t="s">
        <v>286</v>
      </c>
      <c r="D215" s="19" t="s">
        <v>273</v>
      </c>
      <c r="E215" s="19" t="s">
        <v>39</v>
      </c>
      <c r="F215" s="19" t="s">
        <v>106</v>
      </c>
      <c r="G215" s="19"/>
      <c r="H215" s="20">
        <v>2024</v>
      </c>
      <c r="I215" s="19" t="s">
        <v>41</v>
      </c>
      <c r="J215" s="19" t="s">
        <v>276</v>
      </c>
      <c r="K215" s="21" t="s">
        <v>277</v>
      </c>
      <c r="L215" s="22" t="s">
        <v>44</v>
      </c>
      <c r="M215" s="23" t="s">
        <v>45</v>
      </c>
      <c r="N215" s="36" t="s">
        <v>287</v>
      </c>
      <c r="O215" s="65" t="s">
        <v>288</v>
      </c>
      <c r="P215" s="26">
        <f ca="1">IFERROR(VLOOKUP(DadosViagem5[[#This Row],[Placa]],[1]BIP!A:E,5,FALSE),"")</f>
        <v>0</v>
      </c>
      <c r="Q215" s="27">
        <f ca="1">DATEDIF(DadosViagem5[[#This Row],[BIP]],TODAY(),"D")</f>
        <v>45990</v>
      </c>
      <c r="R215" s="28" t="str">
        <f>IFERROR(VLOOKUP(DadosViagem5[[#This Row],[Placa]],[1]DDS!B:C,2,FALSE),"Verificar cadastro")</f>
        <v> </v>
      </c>
      <c r="S215" s="29" t="s">
        <v>48</v>
      </c>
      <c r="T215" s="23"/>
      <c r="U215" s="30"/>
      <c r="V215" s="31"/>
      <c r="W215" s="32" t="s">
        <v>384</v>
      </c>
      <c r="X215" s="33"/>
      <c r="Y215" s="34"/>
      <c r="Z215" s="32"/>
      <c r="AA215" s="20" t="s">
        <v>49</v>
      </c>
      <c r="AB215" s="20" t="s">
        <v>49</v>
      </c>
      <c r="AC215" s="19" t="s">
        <v>49</v>
      </c>
      <c r="AD215" s="19" t="str">
        <f ca="1">IFERROR(DATEDIF(DadosViagem5[[#This Row],[Utimo Bip Reserva]],TODAY(),"D"),"")</f>
        <v/>
      </c>
      <c r="AE215" s="36"/>
      <c r="AF215" s="25"/>
      <c r="AG215" s="36" t="s">
        <v>290</v>
      </c>
      <c r="AH215" s="25">
        <v>45807</v>
      </c>
      <c r="AI215" s="36" t="str">
        <f>IF(DadosViagem5[[#This Row],[Dias em manutenção ]]&lt;5,"Dentro do Prazo","Fora do Prazo")</f>
        <v>Fora do Prazo</v>
      </c>
      <c r="AJ215" s="36" t="e">
        <v>#REF!</v>
      </c>
    </row>
    <row r="216" spans="1:36">
      <c r="A216" s="19" t="s">
        <v>390</v>
      </c>
      <c r="B216" s="20"/>
      <c r="C216" s="19" t="s">
        <v>286</v>
      </c>
      <c r="D216" s="19" t="s">
        <v>273</v>
      </c>
      <c r="E216" s="19" t="s">
        <v>39</v>
      </c>
      <c r="F216" s="19" t="s">
        <v>106</v>
      </c>
      <c r="G216" s="19"/>
      <c r="H216" s="20">
        <v>2024</v>
      </c>
      <c r="I216" s="19" t="s">
        <v>41</v>
      </c>
      <c r="J216" s="19" t="s">
        <v>276</v>
      </c>
      <c r="K216" s="21" t="s">
        <v>277</v>
      </c>
      <c r="L216" s="22" t="s">
        <v>44</v>
      </c>
      <c r="M216" s="23" t="s">
        <v>45</v>
      </c>
      <c r="N216" s="36" t="s">
        <v>287</v>
      </c>
      <c r="O216" s="65" t="s">
        <v>288</v>
      </c>
      <c r="P216" s="26">
        <f ca="1">IFERROR(VLOOKUP(DadosViagem5[[#This Row],[Placa]],[1]BIP!A:E,5,FALSE),"")</f>
        <v>0</v>
      </c>
      <c r="Q216" s="27">
        <f ca="1">DATEDIF(DadosViagem5[[#This Row],[BIP]],TODAY(),"D")</f>
        <v>45990</v>
      </c>
      <c r="R216" s="28" t="str">
        <f>IFERROR(VLOOKUP(DadosViagem5[[#This Row],[Placa]],[1]DDS!B:C,2,FALSE),"Verificar cadastro")</f>
        <v> </v>
      </c>
      <c r="S216" s="29" t="s">
        <v>48</v>
      </c>
      <c r="T216" s="23"/>
      <c r="U216" s="30"/>
      <c r="V216" s="31"/>
      <c r="W216" s="32" t="s">
        <v>384</v>
      </c>
      <c r="X216" s="33"/>
      <c r="Y216" s="34"/>
      <c r="Z216" s="32"/>
      <c r="AA216" s="20" t="s">
        <v>49</v>
      </c>
      <c r="AB216" s="20" t="s">
        <v>49</v>
      </c>
      <c r="AC216" s="19" t="s">
        <v>49</v>
      </c>
      <c r="AD216" s="19" t="str">
        <f ca="1">IFERROR(DATEDIF(DadosViagem5[[#This Row],[Utimo Bip Reserva]],TODAY(),"D"),"")</f>
        <v/>
      </c>
      <c r="AE216" s="36"/>
      <c r="AF216" s="25"/>
      <c r="AG216" s="36" t="s">
        <v>290</v>
      </c>
      <c r="AH216" s="25">
        <v>45807</v>
      </c>
      <c r="AI216" s="36" t="str">
        <f>IF(DadosViagem5[[#This Row],[Dias em manutenção ]]&lt;5,"Dentro do Prazo","Fora do Prazo")</f>
        <v>Fora do Prazo</v>
      </c>
      <c r="AJ216" s="36" t="e">
        <v>#REF!</v>
      </c>
    </row>
    <row r="217" spans="1:36">
      <c r="A217" s="19" t="s">
        <v>391</v>
      </c>
      <c r="B217" s="20"/>
      <c r="C217" s="19" t="s">
        <v>286</v>
      </c>
      <c r="D217" s="19" t="s">
        <v>273</v>
      </c>
      <c r="E217" s="19" t="s">
        <v>39</v>
      </c>
      <c r="F217" s="19" t="s">
        <v>106</v>
      </c>
      <c r="G217" s="19"/>
      <c r="H217" s="20">
        <v>2024</v>
      </c>
      <c r="I217" s="19" t="s">
        <v>41</v>
      </c>
      <c r="J217" s="19" t="s">
        <v>276</v>
      </c>
      <c r="K217" s="21" t="s">
        <v>277</v>
      </c>
      <c r="L217" s="22" t="s">
        <v>44</v>
      </c>
      <c r="M217" s="23" t="s">
        <v>45</v>
      </c>
      <c r="N217" s="36" t="s">
        <v>287</v>
      </c>
      <c r="O217" s="65" t="s">
        <v>288</v>
      </c>
      <c r="P217" s="26">
        <f ca="1">IFERROR(VLOOKUP(DadosViagem5[[#This Row],[Placa]],[1]BIP!A:E,5,FALSE),"")</f>
        <v>0</v>
      </c>
      <c r="Q217" s="27">
        <f ca="1">DATEDIF(DadosViagem5[[#This Row],[BIP]],TODAY(),"D")</f>
        <v>45990</v>
      </c>
      <c r="R217" s="28" t="str">
        <f>IFERROR(VLOOKUP(DadosViagem5[[#This Row],[Placa]],[1]DDS!B:C,2,FALSE),"Verificar cadastro")</f>
        <v> </v>
      </c>
      <c r="S217" s="29" t="s">
        <v>48</v>
      </c>
      <c r="T217" s="23"/>
      <c r="U217" s="30"/>
      <c r="V217" s="31"/>
      <c r="W217" s="32" t="s">
        <v>384</v>
      </c>
      <c r="X217" s="33"/>
      <c r="Y217" s="34"/>
      <c r="Z217" s="43"/>
      <c r="AA217" s="20" t="s">
        <v>49</v>
      </c>
      <c r="AB217" s="20" t="s">
        <v>49</v>
      </c>
      <c r="AC217" s="19" t="s">
        <v>49</v>
      </c>
      <c r="AD217" s="19" t="str">
        <f ca="1">IFERROR(DATEDIF(DadosViagem5[[#This Row],[Utimo Bip Reserva]],TODAY(),"D"),"")</f>
        <v/>
      </c>
      <c r="AE217" s="36"/>
      <c r="AF217" s="25"/>
      <c r="AG217" s="36" t="s">
        <v>290</v>
      </c>
      <c r="AH217" s="25">
        <v>45807</v>
      </c>
      <c r="AI217" s="36" t="str">
        <f>IF(DadosViagem5[[#This Row],[Dias em manutenção ]]&lt;5,"Dentro do Prazo","Fora do Prazo")</f>
        <v>Fora do Prazo</v>
      </c>
      <c r="AJ217" s="36" t="e">
        <v>#REF!</v>
      </c>
    </row>
    <row r="218" spans="1:36">
      <c r="A218" s="19" t="s">
        <v>392</v>
      </c>
      <c r="B218" s="20"/>
      <c r="C218" s="19" t="s">
        <v>286</v>
      </c>
      <c r="D218" s="19" t="s">
        <v>273</v>
      </c>
      <c r="E218" s="19" t="s">
        <v>39</v>
      </c>
      <c r="F218" s="19" t="s">
        <v>106</v>
      </c>
      <c r="G218" s="19"/>
      <c r="H218" s="20">
        <v>2024</v>
      </c>
      <c r="I218" s="19" t="s">
        <v>41</v>
      </c>
      <c r="J218" s="19" t="s">
        <v>276</v>
      </c>
      <c r="K218" s="69" t="s">
        <v>277</v>
      </c>
      <c r="L218" s="22" t="s">
        <v>44</v>
      </c>
      <c r="M218" s="23" t="s">
        <v>45</v>
      </c>
      <c r="N218" s="36" t="s">
        <v>287</v>
      </c>
      <c r="O218" s="65" t="s">
        <v>288</v>
      </c>
      <c r="P218" s="26">
        <f ca="1">IFERROR(VLOOKUP(DadosViagem5[[#This Row],[Placa]],[1]BIP!A:E,5,FALSE),"")</f>
        <v>0</v>
      </c>
      <c r="Q218" s="27">
        <f ca="1">DATEDIF(DadosViagem5[[#This Row],[BIP]],TODAY(),"D")</f>
        <v>45990</v>
      </c>
      <c r="R218" s="28" t="str">
        <f>IFERROR(VLOOKUP(DadosViagem5[[#This Row],[Placa]],[1]DDS!B:C,2,FALSE),"Verificar cadastro")</f>
        <v> </v>
      </c>
      <c r="S218" s="29" t="s">
        <v>48</v>
      </c>
      <c r="T218" s="23"/>
      <c r="U218" s="30"/>
      <c r="V218" s="31"/>
      <c r="W218" s="32" t="s">
        <v>384</v>
      </c>
      <c r="X218" s="33"/>
      <c r="Y218" s="34"/>
      <c r="Z218" s="32"/>
      <c r="AA218" s="20" t="s">
        <v>49</v>
      </c>
      <c r="AB218" s="20" t="s">
        <v>49</v>
      </c>
      <c r="AC218" s="19" t="s">
        <v>49</v>
      </c>
      <c r="AD218" s="19" t="str">
        <f ca="1">IFERROR(DATEDIF(DadosViagem5[[#This Row],[Utimo Bip Reserva]],TODAY(),"D"),"")</f>
        <v/>
      </c>
      <c r="AE218" s="36"/>
      <c r="AF218" s="25"/>
      <c r="AG218" s="36" t="s">
        <v>290</v>
      </c>
      <c r="AH218" s="25">
        <v>45807</v>
      </c>
      <c r="AI218" s="36" t="str">
        <f>IF(DadosViagem5[[#This Row],[Dias em manutenção ]]&lt;5,"Dentro do Prazo","Fora do Prazo")</f>
        <v>Fora do Prazo</v>
      </c>
      <c r="AJ218" s="36" t="e">
        <v>#REF!</v>
      </c>
    </row>
    <row r="219" spans="1:36">
      <c r="A219" s="19" t="s">
        <v>393</v>
      </c>
      <c r="B219" s="20"/>
      <c r="C219" s="19" t="s">
        <v>286</v>
      </c>
      <c r="D219" s="19" t="s">
        <v>273</v>
      </c>
      <c r="E219" s="19" t="s">
        <v>39</v>
      </c>
      <c r="F219" s="19" t="s">
        <v>106</v>
      </c>
      <c r="G219" s="19"/>
      <c r="H219" s="20">
        <v>2024</v>
      </c>
      <c r="I219" s="19" t="s">
        <v>41</v>
      </c>
      <c r="J219" s="19" t="s">
        <v>276</v>
      </c>
      <c r="K219" s="21" t="s">
        <v>277</v>
      </c>
      <c r="L219" s="22" t="s">
        <v>44</v>
      </c>
      <c r="M219" s="23" t="s">
        <v>45</v>
      </c>
      <c r="N219" s="36" t="s">
        <v>287</v>
      </c>
      <c r="O219" s="65" t="s">
        <v>288</v>
      </c>
      <c r="P219" s="26">
        <f ca="1">IFERROR(VLOOKUP(DadosViagem5[[#This Row],[Placa]],[1]BIP!A:E,5,FALSE),"")</f>
        <v>0</v>
      </c>
      <c r="Q219" s="27">
        <f ca="1">DATEDIF(DadosViagem5[[#This Row],[BIP]],TODAY(),"D")</f>
        <v>45990</v>
      </c>
      <c r="R219" s="28" t="str">
        <f>IFERROR(VLOOKUP(DadosViagem5[[#This Row],[Placa]],[1]DDS!B:C,2,FALSE),"Verificar cadastro")</f>
        <v>Verificar cadastro</v>
      </c>
      <c r="S219" s="29" t="s">
        <v>48</v>
      </c>
      <c r="T219" s="23"/>
      <c r="U219" s="30"/>
      <c r="V219" s="31"/>
      <c r="W219" s="32" t="s">
        <v>384</v>
      </c>
      <c r="X219" s="33"/>
      <c r="Y219" s="34"/>
      <c r="Z219" s="32"/>
      <c r="AA219" s="20" t="s">
        <v>49</v>
      </c>
      <c r="AB219" s="20" t="s">
        <v>49</v>
      </c>
      <c r="AC219" s="19" t="s">
        <v>49</v>
      </c>
      <c r="AD219" s="19" t="str">
        <f ca="1">IFERROR(DATEDIF(DadosViagem5[[#This Row],[Utimo Bip Reserva]],TODAY(),"D"),"")</f>
        <v/>
      </c>
      <c r="AE219" s="36"/>
      <c r="AF219" s="25"/>
      <c r="AG219" s="36" t="s">
        <v>290</v>
      </c>
      <c r="AH219" s="25">
        <v>45807</v>
      </c>
      <c r="AI219" s="36" t="str">
        <f>IF(DadosViagem5[[#This Row],[Dias em manutenção ]]&lt;5,"Dentro do Prazo","Fora do Prazo")</f>
        <v>Fora do Prazo</v>
      </c>
      <c r="AJ219" s="36" t="e">
        <v>#REF!</v>
      </c>
    </row>
    <row r="220" spans="1:36">
      <c r="A220" s="19" t="s">
        <v>394</v>
      </c>
      <c r="B220" s="20"/>
      <c r="C220" s="19" t="s">
        <v>286</v>
      </c>
      <c r="D220" s="19" t="s">
        <v>273</v>
      </c>
      <c r="E220" s="19" t="s">
        <v>39</v>
      </c>
      <c r="F220" s="19" t="s">
        <v>106</v>
      </c>
      <c r="G220" s="19"/>
      <c r="H220" s="20">
        <v>2024</v>
      </c>
      <c r="I220" s="19" t="s">
        <v>41</v>
      </c>
      <c r="J220" s="19" t="s">
        <v>276</v>
      </c>
      <c r="K220" s="38" t="s">
        <v>277</v>
      </c>
      <c r="L220" s="39" t="s">
        <v>44</v>
      </c>
      <c r="M220" s="23" t="s">
        <v>45</v>
      </c>
      <c r="N220" s="36" t="s">
        <v>287</v>
      </c>
      <c r="O220" s="65" t="s">
        <v>288</v>
      </c>
      <c r="P220" s="26">
        <f ca="1">IFERROR(VLOOKUP(DadosViagem5[[#This Row],[Placa]],[1]BIP!A:E,5,FALSE),"")</f>
        <v>0</v>
      </c>
      <c r="Q220" s="27">
        <f ca="1">DATEDIF(DadosViagem5[[#This Row],[BIP]],TODAY(),"D")</f>
        <v>45990</v>
      </c>
      <c r="R220" s="28" t="str">
        <f>IFERROR(VLOOKUP(DadosViagem5[[#This Row],[Placa]],[1]DDS!B:C,2,FALSE),"Verificar cadastro")</f>
        <v> </v>
      </c>
      <c r="S220" s="29" t="s">
        <v>48</v>
      </c>
      <c r="T220" s="23"/>
      <c r="U220" s="30"/>
      <c r="V220" s="31"/>
      <c r="W220" s="32" t="s">
        <v>384</v>
      </c>
      <c r="X220" s="33"/>
      <c r="Y220" s="34"/>
      <c r="Z220" s="32"/>
      <c r="AA220" s="20" t="s">
        <v>49</v>
      </c>
      <c r="AB220" s="20" t="s">
        <v>49</v>
      </c>
      <c r="AC220" s="19" t="s">
        <v>49</v>
      </c>
      <c r="AD220" s="19" t="str">
        <f ca="1">IFERROR(DATEDIF(DadosViagem5[[#This Row],[Utimo Bip Reserva]],TODAY(),"D"),"")</f>
        <v/>
      </c>
      <c r="AE220" s="36"/>
      <c r="AF220" s="25"/>
      <c r="AG220" s="36" t="s">
        <v>290</v>
      </c>
      <c r="AH220" s="25">
        <v>45807</v>
      </c>
      <c r="AI220" s="36" t="str">
        <f>IF(DadosViagem5[[#This Row],[Dias em manutenção ]]&lt;5,"Dentro do Prazo","Fora do Prazo")</f>
        <v>Fora do Prazo</v>
      </c>
      <c r="AJ220" s="36" t="e">
        <v>#REF!</v>
      </c>
    </row>
    <row r="221" spans="1:36">
      <c r="A221" s="19" t="s">
        <v>395</v>
      </c>
      <c r="B221" s="20"/>
      <c r="C221" s="19" t="s">
        <v>263</v>
      </c>
      <c r="D221" s="19" t="s">
        <v>264</v>
      </c>
      <c r="E221" s="19" t="s">
        <v>72</v>
      </c>
      <c r="F221" s="19" t="s">
        <v>396</v>
      </c>
      <c r="G221" s="19"/>
      <c r="H221" s="20">
        <v>2022</v>
      </c>
      <c r="I221" s="19" t="s">
        <v>41</v>
      </c>
      <c r="J221" s="19" t="s">
        <v>276</v>
      </c>
      <c r="K221" s="21" t="s">
        <v>277</v>
      </c>
      <c r="L221" s="39" t="s">
        <v>44</v>
      </c>
      <c r="M221" s="23" t="s">
        <v>45</v>
      </c>
      <c r="N221" s="36" t="s">
        <v>287</v>
      </c>
      <c r="O221" s="65" t="s">
        <v>288</v>
      </c>
      <c r="P221" s="26">
        <f ca="1">IFERROR(VLOOKUP(DadosViagem5[[#This Row],[Placa]],[1]BIP!A:E,5,FALSE),"")</f>
        <v>0</v>
      </c>
      <c r="Q221" s="27">
        <f ca="1">DATEDIF(DadosViagem5[[#This Row],[BIP]],TODAY(),"D")</f>
        <v>45990</v>
      </c>
      <c r="R221" s="28" t="str">
        <f>IFERROR(VLOOKUP(DadosViagem5[[#This Row],[Placa]],[1]DDS!B:C,2,FALSE),"Verificar cadastro")</f>
        <v> </v>
      </c>
      <c r="S221" s="29" t="s">
        <v>48</v>
      </c>
      <c r="T221" s="23"/>
      <c r="U221" s="30"/>
      <c r="V221" s="31"/>
      <c r="W221" s="32" t="s">
        <v>384</v>
      </c>
      <c r="X221" s="33"/>
      <c r="Y221" s="34"/>
      <c r="Z221" s="32"/>
      <c r="AA221" s="20" t="s">
        <v>49</v>
      </c>
      <c r="AB221" s="20" t="s">
        <v>49</v>
      </c>
      <c r="AC221" s="19" t="s">
        <v>49</v>
      </c>
      <c r="AD221" s="19" t="str">
        <f ca="1">IFERROR(DATEDIF(DadosViagem5[[#This Row],[Utimo Bip Reserva]],TODAY(),"D"),"")</f>
        <v/>
      </c>
      <c r="AE221" s="16" t="s">
        <v>49</v>
      </c>
      <c r="AF221" s="16" t="s">
        <v>49</v>
      </c>
      <c r="AG221" s="36"/>
      <c r="AH221" s="25">
        <v>45807</v>
      </c>
      <c r="AI221" s="36" t="str">
        <f>IF(DadosViagem5[[#This Row],[Dias em manutenção ]]&lt;5,"Dentro do Prazo","Fora do Prazo")</f>
        <v>Fora do Prazo</v>
      </c>
      <c r="AJ221" s="36" t="e">
        <v>#REF!</v>
      </c>
    </row>
    <row r="222" spans="1:36">
      <c r="A222" s="19" t="s">
        <v>397</v>
      </c>
      <c r="B222" s="20"/>
      <c r="C222" s="19" t="s">
        <v>294</v>
      </c>
      <c r="D222" s="19" t="s">
        <v>273</v>
      </c>
      <c r="E222" s="19" t="s">
        <v>274</v>
      </c>
      <c r="F222" s="19" t="s">
        <v>275</v>
      </c>
      <c r="G222" s="19"/>
      <c r="H222" s="20">
        <v>2022</v>
      </c>
      <c r="I222" s="19" t="s">
        <v>41</v>
      </c>
      <c r="J222" s="19" t="s">
        <v>276</v>
      </c>
      <c r="K222" s="21" t="s">
        <v>277</v>
      </c>
      <c r="L222" s="39" t="s">
        <v>44</v>
      </c>
      <c r="M222" s="23" t="s">
        <v>45</v>
      </c>
      <c r="N222" s="36" t="s">
        <v>287</v>
      </c>
      <c r="O222" s="65" t="s">
        <v>288</v>
      </c>
      <c r="P222" s="26">
        <f ca="1">IFERROR(VLOOKUP(DadosViagem5[[#This Row],[Placa]],[1]BIP!A:E,5,FALSE),"")</f>
        <v>0</v>
      </c>
      <c r="Q222" s="27">
        <f ca="1">DATEDIF(DadosViagem5[[#This Row],[BIP]],TODAY(),"D")</f>
        <v>45990</v>
      </c>
      <c r="R222" s="28" t="str">
        <f>IFERROR(VLOOKUP(DadosViagem5[[#This Row],[Placa]],[1]DDS!B:C,2,FALSE),"Verificar cadastro")</f>
        <v> </v>
      </c>
      <c r="S222" s="29" t="s">
        <v>48</v>
      </c>
      <c r="T222" s="23"/>
      <c r="U222" s="30"/>
      <c r="V222" s="31"/>
      <c r="W222" s="32" t="s">
        <v>384</v>
      </c>
      <c r="X222" s="33"/>
      <c r="Y222" s="34"/>
      <c r="Z222" s="32"/>
      <c r="AA222" s="20" t="s">
        <v>49</v>
      </c>
      <c r="AB222" s="20" t="s">
        <v>49</v>
      </c>
      <c r="AC222" s="19" t="s">
        <v>49</v>
      </c>
      <c r="AD222" s="19" t="str">
        <f ca="1">IFERROR(DATEDIF(DadosViagem5[[#This Row],[Utimo Bip Reserva]],TODAY(),"D"),"")</f>
        <v/>
      </c>
      <c r="AE222" s="25" t="s">
        <v>49</v>
      </c>
      <c r="AF222" s="25" t="s">
        <v>49</v>
      </c>
      <c r="AG222" s="36"/>
      <c r="AH222" s="25">
        <v>45807</v>
      </c>
      <c r="AI222" s="36" t="str">
        <f>IF(DadosViagem5[[#This Row],[Dias em manutenção ]]&lt;5,"Dentro do Prazo","Fora do Prazo")</f>
        <v>Fora do Prazo</v>
      </c>
      <c r="AJ222" s="36" t="e">
        <v>#REF!</v>
      </c>
    </row>
    <row r="223" spans="1:36">
      <c r="A223" s="19" t="s">
        <v>398</v>
      </c>
      <c r="B223" s="20"/>
      <c r="C223" s="19" t="s">
        <v>294</v>
      </c>
      <c r="D223" s="19" t="s">
        <v>273</v>
      </c>
      <c r="E223" s="19" t="s">
        <v>274</v>
      </c>
      <c r="F223" s="19" t="s">
        <v>275</v>
      </c>
      <c r="G223" s="19"/>
      <c r="H223" s="20">
        <v>2022</v>
      </c>
      <c r="I223" s="19" t="s">
        <v>41</v>
      </c>
      <c r="J223" s="19" t="s">
        <v>276</v>
      </c>
      <c r="K223" s="21" t="s">
        <v>277</v>
      </c>
      <c r="L223" s="39" t="s">
        <v>44</v>
      </c>
      <c r="M223" s="23" t="s">
        <v>45</v>
      </c>
      <c r="N223" s="36" t="s">
        <v>287</v>
      </c>
      <c r="O223" s="65" t="s">
        <v>288</v>
      </c>
      <c r="P223" s="26">
        <f ca="1">IFERROR(VLOOKUP(DadosViagem5[[#This Row],[Placa]],[1]BIP!A:E,5,FALSE),"")</f>
        <v>0</v>
      </c>
      <c r="Q223" s="27">
        <f ca="1">DATEDIF(DadosViagem5[[#This Row],[BIP]],TODAY(),"D")</f>
        <v>45990</v>
      </c>
      <c r="R223" s="28" t="str">
        <f>IFERROR(VLOOKUP(DadosViagem5[[#This Row],[Placa]],[1]DDS!B:C,2,FALSE),"Verificar cadastro")</f>
        <v> </v>
      </c>
      <c r="S223" s="29" t="s">
        <v>48</v>
      </c>
      <c r="T223" s="23"/>
      <c r="U223" s="30"/>
      <c r="V223" s="31"/>
      <c r="W223" s="32" t="s">
        <v>384</v>
      </c>
      <c r="X223" s="33"/>
      <c r="Y223" s="34"/>
      <c r="Z223" s="32"/>
      <c r="AA223" s="20" t="s">
        <v>49</v>
      </c>
      <c r="AB223" s="20" t="s">
        <v>49</v>
      </c>
      <c r="AC223" s="19" t="s">
        <v>49</v>
      </c>
      <c r="AD223" s="19" t="str">
        <f ca="1">IFERROR(DATEDIF(DadosViagem5[[#This Row],[Utimo Bip Reserva]],TODAY(),"D"),"")</f>
        <v/>
      </c>
      <c r="AE223" s="25" t="s">
        <v>49</v>
      </c>
      <c r="AF223" s="25" t="s">
        <v>49</v>
      </c>
      <c r="AG223" s="36"/>
      <c r="AH223" s="25">
        <v>45807</v>
      </c>
      <c r="AI223" s="36" t="str">
        <f>IF(DadosViagem5[[#This Row],[Dias em manutenção ]]&lt;5,"Dentro do Prazo","Fora do Prazo")</f>
        <v>Fora do Prazo</v>
      </c>
      <c r="AJ223" s="36" t="e">
        <v>#REF!</v>
      </c>
    </row>
    <row r="224" spans="1:36">
      <c r="A224" s="19" t="s">
        <v>399</v>
      </c>
      <c r="B224" s="20"/>
      <c r="C224" s="19" t="s">
        <v>294</v>
      </c>
      <c r="D224" s="19" t="s">
        <v>273</v>
      </c>
      <c r="E224" s="19" t="s">
        <v>274</v>
      </c>
      <c r="F224" s="19" t="s">
        <v>275</v>
      </c>
      <c r="G224" s="19"/>
      <c r="H224" s="20">
        <v>2022</v>
      </c>
      <c r="I224" s="19" t="s">
        <v>41</v>
      </c>
      <c r="J224" s="19" t="s">
        <v>276</v>
      </c>
      <c r="K224" s="21" t="s">
        <v>277</v>
      </c>
      <c r="L224" s="39" t="s">
        <v>44</v>
      </c>
      <c r="M224" s="23" t="s">
        <v>45</v>
      </c>
      <c r="N224" s="36" t="s">
        <v>287</v>
      </c>
      <c r="O224" s="65" t="s">
        <v>288</v>
      </c>
      <c r="P224" s="26">
        <f ca="1">IFERROR(VLOOKUP(DadosViagem5[[#This Row],[Placa]],[1]BIP!A:E,5,FALSE),"")</f>
        <v>0</v>
      </c>
      <c r="Q224" s="27">
        <f ca="1">DATEDIF(DadosViagem5[[#This Row],[BIP]],TODAY(),"D")</f>
        <v>45990</v>
      </c>
      <c r="R224" s="28" t="str">
        <f>IFERROR(VLOOKUP(DadosViagem5[[#This Row],[Placa]],[1]DDS!B:C,2,FALSE),"Verificar cadastro")</f>
        <v>Verificar cadastro</v>
      </c>
      <c r="S224" s="29" t="s">
        <v>48</v>
      </c>
      <c r="T224" s="23"/>
      <c r="U224" s="30"/>
      <c r="V224" s="31"/>
      <c r="W224" s="32" t="s">
        <v>384</v>
      </c>
      <c r="X224" s="33"/>
      <c r="Y224" s="34"/>
      <c r="Z224" s="32"/>
      <c r="AA224" s="20" t="s">
        <v>49</v>
      </c>
      <c r="AB224" s="20" t="s">
        <v>49</v>
      </c>
      <c r="AC224" s="19" t="s">
        <v>49</v>
      </c>
      <c r="AD224" s="19" t="str">
        <f ca="1">IFERROR(DATEDIF(DadosViagem5[[#This Row],[Utimo Bip Reserva]],TODAY(),"D"),"")</f>
        <v/>
      </c>
      <c r="AE224" s="25" t="s">
        <v>49</v>
      </c>
      <c r="AF224" s="25" t="s">
        <v>49</v>
      </c>
      <c r="AG224" s="36"/>
      <c r="AH224" s="25">
        <v>45807</v>
      </c>
      <c r="AI224" s="36" t="str">
        <f>IF(DadosViagem5[[#This Row],[Dias em manutenção ]]&lt;5,"Dentro do Prazo","Fora do Prazo")</f>
        <v>Fora do Prazo</v>
      </c>
      <c r="AJ224" s="36" t="e">
        <v>#REF!</v>
      </c>
    </row>
    <row r="225" spans="1:36">
      <c r="A225" s="19" t="s">
        <v>400</v>
      </c>
      <c r="B225" s="20"/>
      <c r="C225" s="19" t="s">
        <v>401</v>
      </c>
      <c r="D225" s="19" t="s">
        <v>264</v>
      </c>
      <c r="E225" s="19" t="s">
        <v>72</v>
      </c>
      <c r="F225" s="19" t="s">
        <v>396</v>
      </c>
      <c r="G225" s="19"/>
      <c r="H225" s="20">
        <v>2022</v>
      </c>
      <c r="I225" s="19" t="s">
        <v>41</v>
      </c>
      <c r="J225" s="19" t="s">
        <v>276</v>
      </c>
      <c r="K225" s="21" t="s">
        <v>277</v>
      </c>
      <c r="L225" s="39" t="s">
        <v>44</v>
      </c>
      <c r="M225" s="23" t="s">
        <v>45</v>
      </c>
      <c r="N225" s="36" t="s">
        <v>287</v>
      </c>
      <c r="O225" s="65" t="s">
        <v>288</v>
      </c>
      <c r="P225" s="26">
        <f ca="1">IFERROR(VLOOKUP(DadosViagem5[[#This Row],[Placa]],[1]BIP!A:E,5,FALSE),"")</f>
        <v>0</v>
      </c>
      <c r="Q225" s="27">
        <f ca="1">DATEDIF(DadosViagem5[[#This Row],[BIP]],TODAY(),"D")</f>
        <v>45990</v>
      </c>
      <c r="R225" s="28" t="str">
        <f>IFERROR(VLOOKUP(DadosViagem5[[#This Row],[Placa]],[1]DDS!B:C,2,FALSE),"Verificar cadastro")</f>
        <v> </v>
      </c>
      <c r="S225" s="29" t="s">
        <v>48</v>
      </c>
      <c r="T225" s="23"/>
      <c r="U225" s="30"/>
      <c r="V225" s="31"/>
      <c r="W225" s="32" t="s">
        <v>384</v>
      </c>
      <c r="X225" s="33"/>
      <c r="Y225" s="34"/>
      <c r="Z225" s="32"/>
      <c r="AA225" s="20" t="s">
        <v>49</v>
      </c>
      <c r="AB225" s="20" t="s">
        <v>49</v>
      </c>
      <c r="AC225" s="19" t="s">
        <v>49</v>
      </c>
      <c r="AD225" s="19" t="str">
        <f ca="1">IFERROR(DATEDIF(DadosViagem5[[#This Row],[Utimo Bip Reserva]],TODAY(),"D"),"")</f>
        <v/>
      </c>
      <c r="AE225" s="25" t="s">
        <v>49</v>
      </c>
      <c r="AF225" s="25" t="s">
        <v>49</v>
      </c>
      <c r="AG225" s="36"/>
      <c r="AH225" s="25">
        <v>45807</v>
      </c>
      <c r="AI225" s="36" t="str">
        <f>IF(DadosViagem5[[#This Row],[Dias em manutenção ]]&lt;5,"Dentro do Prazo","Fora do Prazo")</f>
        <v>Fora do Prazo</v>
      </c>
      <c r="AJ225" s="36" t="e">
        <v>#REF!</v>
      </c>
    </row>
    <row r="226" spans="1:36">
      <c r="A226" s="19" t="s">
        <v>402</v>
      </c>
      <c r="B226" s="20"/>
      <c r="C226" s="19" t="s">
        <v>401</v>
      </c>
      <c r="D226" s="19" t="s">
        <v>264</v>
      </c>
      <c r="E226" s="19" t="s">
        <v>72</v>
      </c>
      <c r="F226" s="19" t="s">
        <v>396</v>
      </c>
      <c r="G226" s="19"/>
      <c r="H226" s="20">
        <v>2022</v>
      </c>
      <c r="I226" s="19" t="s">
        <v>41</v>
      </c>
      <c r="J226" s="19" t="s">
        <v>276</v>
      </c>
      <c r="K226" s="21" t="s">
        <v>277</v>
      </c>
      <c r="L226" s="22" t="s">
        <v>44</v>
      </c>
      <c r="M226" s="23" t="s">
        <v>45</v>
      </c>
      <c r="N226" s="36" t="s">
        <v>287</v>
      </c>
      <c r="O226" s="65" t="s">
        <v>288</v>
      </c>
      <c r="P226" s="26">
        <f ca="1">IFERROR(VLOOKUP(DadosViagem5[[#This Row],[Placa]],[1]BIP!A:E,5,FALSE),"")</f>
        <v>0</v>
      </c>
      <c r="Q226" s="27">
        <f ca="1">DATEDIF(DadosViagem5[[#This Row],[BIP]],TODAY(),"D")</f>
        <v>45990</v>
      </c>
      <c r="R226" s="28" t="str">
        <f>IFERROR(VLOOKUP(DadosViagem5[[#This Row],[Placa]],[1]DDS!B:C,2,FALSE),"Verificar cadastro")</f>
        <v>Verificar cadastro</v>
      </c>
      <c r="S226" s="29" t="s">
        <v>48</v>
      </c>
      <c r="T226" s="23"/>
      <c r="U226" s="30"/>
      <c r="V226" s="31"/>
      <c r="W226" s="32" t="s">
        <v>384</v>
      </c>
      <c r="X226" s="33"/>
      <c r="Y226" s="34"/>
      <c r="Z226" s="32"/>
      <c r="AA226" s="20" t="s">
        <v>49</v>
      </c>
      <c r="AB226" s="20" t="s">
        <v>49</v>
      </c>
      <c r="AC226" s="19" t="s">
        <v>49</v>
      </c>
      <c r="AD226" s="19" t="str">
        <f ca="1">IFERROR(DATEDIF(DadosViagem5[[#This Row],[Utimo Bip Reserva]],TODAY(),"D"),"")</f>
        <v/>
      </c>
      <c r="AE226" s="25" t="s">
        <v>49</v>
      </c>
      <c r="AF226" s="25" t="s">
        <v>49</v>
      </c>
      <c r="AG226" s="36"/>
      <c r="AH226" s="25">
        <v>45807</v>
      </c>
      <c r="AI226" s="36" t="str">
        <f>IF(DadosViagem5[[#This Row],[Dias em manutenção ]]&lt;5,"Dentro do Prazo","Fora do Prazo")</f>
        <v>Fora do Prazo</v>
      </c>
      <c r="AJ226" s="36" t="e">
        <v>#REF!</v>
      </c>
    </row>
    <row r="227" spans="1:36">
      <c r="A227" s="19" t="s">
        <v>403</v>
      </c>
      <c r="B227" s="20"/>
      <c r="C227" s="19" t="s">
        <v>286</v>
      </c>
      <c r="D227" s="19" t="s">
        <v>273</v>
      </c>
      <c r="E227" s="19" t="s">
        <v>39</v>
      </c>
      <c r="F227" s="19" t="s">
        <v>106</v>
      </c>
      <c r="G227" s="19"/>
      <c r="H227" s="20">
        <v>2024</v>
      </c>
      <c r="I227" s="19" t="s">
        <v>41</v>
      </c>
      <c r="J227" s="19" t="s">
        <v>276</v>
      </c>
      <c r="K227" s="21" t="s">
        <v>277</v>
      </c>
      <c r="L227" s="22" t="s">
        <v>44</v>
      </c>
      <c r="M227" s="23" t="s">
        <v>45</v>
      </c>
      <c r="N227" s="36" t="s">
        <v>287</v>
      </c>
      <c r="O227" s="65" t="s">
        <v>288</v>
      </c>
      <c r="P227" s="26">
        <f ca="1">IFERROR(VLOOKUP(DadosViagem5[[#This Row],[Placa]],[1]BIP!A:E,5,FALSE),"")</f>
        <v>0</v>
      </c>
      <c r="Q227" s="27">
        <f ca="1">DATEDIF(DadosViagem5[[#This Row],[BIP]],TODAY(),"D")</f>
        <v>45990</v>
      </c>
      <c r="R227" s="28" t="str">
        <f>IFERROR(VLOOKUP(DadosViagem5[[#This Row],[Placa]],[1]DDS!B:C,2,FALSE),"Verificar cadastro")</f>
        <v> </v>
      </c>
      <c r="S227" s="29" t="s">
        <v>48</v>
      </c>
      <c r="T227" s="23"/>
      <c r="U227" s="30"/>
      <c r="V227" s="31"/>
      <c r="W227" s="32" t="s">
        <v>384</v>
      </c>
      <c r="X227" s="33"/>
      <c r="Y227" s="34"/>
      <c r="Z227" s="32"/>
      <c r="AA227" s="20" t="s">
        <v>49</v>
      </c>
      <c r="AB227" s="20" t="s">
        <v>49</v>
      </c>
      <c r="AC227" s="19" t="s">
        <v>49</v>
      </c>
      <c r="AD227" s="19" t="str">
        <f ca="1">IFERROR(DATEDIF(DadosViagem5[[#This Row],[Utimo Bip Reserva]],TODAY(),"D"),"")</f>
        <v/>
      </c>
      <c r="AE227" s="36"/>
      <c r="AF227" s="25"/>
      <c r="AG227" s="36" t="s">
        <v>290</v>
      </c>
      <c r="AH227" s="25">
        <v>45807</v>
      </c>
      <c r="AI227" s="36" t="str">
        <f>IF(DadosViagem5[[#This Row],[Dias em manutenção ]]&lt;5,"Dentro do Prazo","Fora do Prazo")</f>
        <v>Fora do Prazo</v>
      </c>
      <c r="AJ227" s="36" t="e">
        <v>#REF!</v>
      </c>
    </row>
    <row r="228" spans="1:36">
      <c r="A228" s="19" t="s">
        <v>404</v>
      </c>
      <c r="B228" s="20"/>
      <c r="C228" s="19" t="s">
        <v>286</v>
      </c>
      <c r="D228" s="19" t="s">
        <v>273</v>
      </c>
      <c r="E228" s="19" t="s">
        <v>39</v>
      </c>
      <c r="F228" s="19" t="s">
        <v>106</v>
      </c>
      <c r="G228" s="19"/>
      <c r="H228" s="20">
        <v>2024</v>
      </c>
      <c r="I228" s="19" t="s">
        <v>41</v>
      </c>
      <c r="J228" s="19" t="s">
        <v>276</v>
      </c>
      <c r="K228" s="21" t="s">
        <v>277</v>
      </c>
      <c r="L228" s="22" t="s">
        <v>44</v>
      </c>
      <c r="M228" s="23" t="s">
        <v>45</v>
      </c>
      <c r="N228" s="36" t="s">
        <v>287</v>
      </c>
      <c r="O228" s="65" t="s">
        <v>288</v>
      </c>
      <c r="P228" s="26">
        <f ca="1">IFERROR(VLOOKUP(DadosViagem5[[#This Row],[Placa]],[1]BIP!A:E,5,FALSE),"")</f>
        <v>0</v>
      </c>
      <c r="Q228" s="27">
        <f ca="1">DATEDIF(DadosViagem5[[#This Row],[BIP]],TODAY(),"D")</f>
        <v>45990</v>
      </c>
      <c r="R228" s="28" t="str">
        <f>IFERROR(VLOOKUP(DadosViagem5[[#This Row],[Placa]],[1]DDS!B:C,2,FALSE),"Verificar cadastro")</f>
        <v> </v>
      </c>
      <c r="S228" s="29" t="s">
        <v>48</v>
      </c>
      <c r="T228" s="23"/>
      <c r="U228" s="30"/>
      <c r="V228" s="31"/>
      <c r="W228" s="32" t="s">
        <v>384</v>
      </c>
      <c r="X228" s="33"/>
      <c r="Y228" s="34"/>
      <c r="Z228" s="32"/>
      <c r="AA228" s="20" t="s">
        <v>49</v>
      </c>
      <c r="AB228" s="20" t="s">
        <v>49</v>
      </c>
      <c r="AC228" s="19" t="s">
        <v>49</v>
      </c>
      <c r="AD228" s="19" t="str">
        <f ca="1">IFERROR(DATEDIF(DadosViagem5[[#This Row],[Utimo Bip Reserva]],TODAY(),"D"),"")</f>
        <v/>
      </c>
      <c r="AE228" s="36"/>
      <c r="AF228" s="25"/>
      <c r="AG228" s="36" t="s">
        <v>290</v>
      </c>
      <c r="AH228" s="25">
        <v>45807</v>
      </c>
      <c r="AI228" s="36" t="str">
        <f>IF(DadosViagem5[[#This Row],[Dias em manutenção ]]&lt;5,"Dentro do Prazo","Fora do Prazo")</f>
        <v>Fora do Prazo</v>
      </c>
      <c r="AJ228" s="36" t="e">
        <v>#REF!</v>
      </c>
    </row>
    <row r="229" spans="1:36">
      <c r="A229" s="19" t="s">
        <v>405</v>
      </c>
      <c r="B229" s="20"/>
      <c r="C229" s="19" t="s">
        <v>286</v>
      </c>
      <c r="D229" s="19" t="s">
        <v>273</v>
      </c>
      <c r="E229" s="19" t="s">
        <v>39</v>
      </c>
      <c r="F229" s="19" t="s">
        <v>106</v>
      </c>
      <c r="G229" s="19"/>
      <c r="H229" s="20">
        <v>2024</v>
      </c>
      <c r="I229" s="19" t="s">
        <v>41</v>
      </c>
      <c r="J229" s="19" t="s">
        <v>276</v>
      </c>
      <c r="K229" s="21" t="s">
        <v>277</v>
      </c>
      <c r="L229" s="22" t="s">
        <v>44</v>
      </c>
      <c r="M229" s="23" t="s">
        <v>45</v>
      </c>
      <c r="N229" s="36" t="s">
        <v>287</v>
      </c>
      <c r="O229" s="65" t="s">
        <v>288</v>
      </c>
      <c r="P229" s="26">
        <f ca="1">IFERROR(VLOOKUP(DadosViagem5[[#This Row],[Placa]],[1]BIP!A:E,5,FALSE),"")</f>
        <v>0</v>
      </c>
      <c r="Q229" s="27">
        <f ca="1">DATEDIF(DadosViagem5[[#This Row],[BIP]],TODAY(),"D")</f>
        <v>45990</v>
      </c>
      <c r="R229" s="28" t="str">
        <f>IFERROR(VLOOKUP(DadosViagem5[[#This Row],[Placa]],[1]DDS!B:C,2,FALSE),"Verificar cadastro")</f>
        <v>Verificar cadastro</v>
      </c>
      <c r="S229" s="29" t="s">
        <v>48</v>
      </c>
      <c r="T229" s="23"/>
      <c r="U229" s="30"/>
      <c r="V229" s="31"/>
      <c r="W229" s="32" t="s">
        <v>384</v>
      </c>
      <c r="X229" s="33"/>
      <c r="Y229" s="34"/>
      <c r="Z229" s="32"/>
      <c r="AA229" s="20" t="s">
        <v>49</v>
      </c>
      <c r="AB229" s="20" t="s">
        <v>49</v>
      </c>
      <c r="AC229" s="19" t="s">
        <v>49</v>
      </c>
      <c r="AD229" s="19" t="str">
        <f ca="1">IFERROR(DATEDIF(DadosViagem5[[#This Row],[Utimo Bip Reserva]],TODAY(),"D"),"")</f>
        <v/>
      </c>
      <c r="AE229" s="36"/>
      <c r="AF229" s="25"/>
      <c r="AG229" s="36" t="s">
        <v>290</v>
      </c>
      <c r="AH229" s="25">
        <v>45807</v>
      </c>
      <c r="AI229" s="36" t="str">
        <f>IF(DadosViagem5[[#This Row],[Dias em manutenção ]]&lt;5,"Dentro do Prazo","Fora do Prazo")</f>
        <v>Fora do Prazo</v>
      </c>
      <c r="AJ229" s="36" t="e">
        <v>#REF!</v>
      </c>
    </row>
    <row r="230" spans="1:36">
      <c r="A230" s="19" t="s">
        <v>406</v>
      </c>
      <c r="B230" s="20"/>
      <c r="C230" s="19" t="s">
        <v>286</v>
      </c>
      <c r="D230" s="19" t="s">
        <v>273</v>
      </c>
      <c r="E230" s="19" t="s">
        <v>39</v>
      </c>
      <c r="F230" s="19" t="s">
        <v>106</v>
      </c>
      <c r="G230" s="19"/>
      <c r="H230" s="20">
        <v>2024</v>
      </c>
      <c r="I230" s="19" t="s">
        <v>41</v>
      </c>
      <c r="J230" s="19" t="s">
        <v>276</v>
      </c>
      <c r="K230" s="21" t="s">
        <v>277</v>
      </c>
      <c r="L230" s="22" t="s">
        <v>44</v>
      </c>
      <c r="M230" s="23" t="s">
        <v>45</v>
      </c>
      <c r="N230" s="36" t="s">
        <v>287</v>
      </c>
      <c r="O230" s="65" t="s">
        <v>288</v>
      </c>
      <c r="P230" s="26">
        <f ca="1">IFERROR(VLOOKUP(DadosViagem5[[#This Row],[Placa]],[1]BIP!A:E,5,FALSE),"")</f>
        <v>0</v>
      </c>
      <c r="Q230" s="27">
        <f ca="1">DATEDIF(DadosViagem5[[#This Row],[BIP]],TODAY(),"D")</f>
        <v>45990</v>
      </c>
      <c r="R230" s="28" t="str">
        <f>IFERROR(VLOOKUP(DadosViagem5[[#This Row],[Placa]],[1]DDS!B:C,2,FALSE),"Verificar cadastro")</f>
        <v>Verificar cadastro</v>
      </c>
      <c r="S230" s="29" t="s">
        <v>48</v>
      </c>
      <c r="T230" s="23"/>
      <c r="U230" s="30"/>
      <c r="V230" s="31"/>
      <c r="W230" s="32" t="s">
        <v>384</v>
      </c>
      <c r="X230" s="33"/>
      <c r="Y230" s="34"/>
      <c r="Z230" s="32"/>
      <c r="AA230" s="20" t="s">
        <v>49</v>
      </c>
      <c r="AB230" s="20" t="s">
        <v>49</v>
      </c>
      <c r="AC230" s="19" t="s">
        <v>49</v>
      </c>
      <c r="AD230" s="19" t="str">
        <f ca="1">IFERROR(DATEDIF(DadosViagem5[[#This Row],[Utimo Bip Reserva]],TODAY(),"D"),"")</f>
        <v/>
      </c>
      <c r="AE230" s="36"/>
      <c r="AF230" s="25"/>
      <c r="AG230" s="36" t="s">
        <v>290</v>
      </c>
      <c r="AH230" s="25">
        <v>45807</v>
      </c>
      <c r="AI230" s="36" t="str">
        <f>IF(DadosViagem5[[#This Row],[Dias em manutenção ]]&lt;5,"Dentro do Prazo","Fora do Prazo")</f>
        <v>Fora do Prazo</v>
      </c>
      <c r="AJ230" s="36" t="e">
        <v>#REF!</v>
      </c>
    </row>
    <row r="231" spans="1:36">
      <c r="A231" s="19" t="s">
        <v>407</v>
      </c>
      <c r="B231" s="20"/>
      <c r="C231" s="19" t="s">
        <v>408</v>
      </c>
      <c r="D231" s="19" t="s">
        <v>409</v>
      </c>
      <c r="E231" s="19" t="s">
        <v>39</v>
      </c>
      <c r="F231" s="19" t="s">
        <v>106</v>
      </c>
      <c r="G231" s="19"/>
      <c r="H231" s="20">
        <v>2024</v>
      </c>
      <c r="I231" s="19" t="s">
        <v>41</v>
      </c>
      <c r="J231" s="19" t="s">
        <v>276</v>
      </c>
      <c r="K231" s="21" t="s">
        <v>277</v>
      </c>
      <c r="L231" s="22" t="s">
        <v>44</v>
      </c>
      <c r="M231" s="23" t="s">
        <v>45</v>
      </c>
      <c r="N231" s="36" t="s">
        <v>287</v>
      </c>
      <c r="O231" s="65" t="s">
        <v>288</v>
      </c>
      <c r="P231" s="26">
        <f ca="1">IFERROR(VLOOKUP(DadosViagem5[[#This Row],[Placa]],[1]BIP!A:E,5,FALSE),"")</f>
        <v>0</v>
      </c>
      <c r="Q231" s="27">
        <f ca="1">DATEDIF(DadosViagem5[[#This Row],[BIP]],TODAY(),"D")</f>
        <v>45990</v>
      </c>
      <c r="R231" s="28" t="str">
        <f>IFERROR(VLOOKUP(DadosViagem5[[#This Row],[Placa]],[1]DDS!B:C,2,FALSE),"Verificar cadastro")</f>
        <v> </v>
      </c>
      <c r="S231" s="29" t="s">
        <v>48</v>
      </c>
      <c r="T231" s="23"/>
      <c r="U231" s="30"/>
      <c r="V231" s="31"/>
      <c r="W231" s="32" t="s">
        <v>384</v>
      </c>
      <c r="X231" s="33"/>
      <c r="Y231" s="34"/>
      <c r="Z231" s="32"/>
      <c r="AA231" s="20" t="s">
        <v>49</v>
      </c>
      <c r="AB231" s="20" t="s">
        <v>49</v>
      </c>
      <c r="AC231" s="19" t="s">
        <v>49</v>
      </c>
      <c r="AD231" s="19" t="str">
        <f ca="1">IFERROR(DATEDIF(DadosViagem5[[#This Row],[Utimo Bip Reserva]],TODAY(),"D"),"")</f>
        <v/>
      </c>
      <c r="AE231" s="36"/>
      <c r="AF231" s="25"/>
      <c r="AG231" s="36" t="s">
        <v>290</v>
      </c>
      <c r="AH231" s="25">
        <v>45807</v>
      </c>
      <c r="AI231" s="36" t="str">
        <f>IF(DadosViagem5[[#This Row],[Dias em manutenção ]]&lt;5,"Dentro do Prazo","Fora do Prazo")</f>
        <v>Fora do Prazo</v>
      </c>
      <c r="AJ231" s="36" t="e">
        <v>#REF!</v>
      </c>
    </row>
    <row r="232" spans="1:36">
      <c r="A232" s="19" t="s">
        <v>410</v>
      </c>
      <c r="B232" s="20"/>
      <c r="C232" s="19" t="s">
        <v>408</v>
      </c>
      <c r="D232" s="19" t="s">
        <v>409</v>
      </c>
      <c r="E232" s="19" t="s">
        <v>39</v>
      </c>
      <c r="F232" s="19" t="s">
        <v>106</v>
      </c>
      <c r="G232" s="19"/>
      <c r="H232" s="20">
        <v>2024</v>
      </c>
      <c r="I232" s="19" t="s">
        <v>41</v>
      </c>
      <c r="J232" s="19" t="s">
        <v>276</v>
      </c>
      <c r="K232" s="21" t="s">
        <v>277</v>
      </c>
      <c r="L232" s="22" t="s">
        <v>44</v>
      </c>
      <c r="M232" s="23" t="s">
        <v>45</v>
      </c>
      <c r="N232" s="36" t="s">
        <v>287</v>
      </c>
      <c r="O232" s="65" t="s">
        <v>288</v>
      </c>
      <c r="P232" s="26">
        <f ca="1">IFERROR(VLOOKUP(DadosViagem5[[#This Row],[Placa]],[1]BIP!A:E,5,FALSE),"")</f>
        <v>0</v>
      </c>
      <c r="Q232" s="27">
        <f ca="1">DATEDIF(DadosViagem5[[#This Row],[BIP]],TODAY(),"D")</f>
        <v>45990</v>
      </c>
      <c r="R232" s="28" t="str">
        <f>IFERROR(VLOOKUP(DadosViagem5[[#This Row],[Placa]],[1]DDS!B:C,2,FALSE),"Verificar cadastro")</f>
        <v>Verificar cadastro</v>
      </c>
      <c r="S232" s="29" t="s">
        <v>48</v>
      </c>
      <c r="T232" s="23"/>
      <c r="U232" s="30"/>
      <c r="V232" s="31"/>
      <c r="W232" s="32" t="s">
        <v>384</v>
      </c>
      <c r="X232" s="33"/>
      <c r="Y232" s="34"/>
      <c r="Z232" s="32"/>
      <c r="AA232" s="20" t="s">
        <v>49</v>
      </c>
      <c r="AB232" s="20" t="s">
        <v>49</v>
      </c>
      <c r="AC232" s="19" t="s">
        <v>49</v>
      </c>
      <c r="AD232" s="19" t="str">
        <f ca="1">IFERROR(DATEDIF(DadosViagem5[[#This Row],[Utimo Bip Reserva]],TODAY(),"D"),"")</f>
        <v/>
      </c>
      <c r="AE232" s="36"/>
      <c r="AF232" s="25"/>
      <c r="AG232" s="36" t="s">
        <v>290</v>
      </c>
      <c r="AH232" s="25">
        <v>45807</v>
      </c>
      <c r="AI232" s="36" t="str">
        <f>IF(DadosViagem5[[#This Row],[Dias em manutenção ]]&lt;5,"Dentro do Prazo","Fora do Prazo")</f>
        <v>Fora do Prazo</v>
      </c>
      <c r="AJ232" s="36" t="e">
        <v>#REF!</v>
      </c>
    </row>
    <row r="233" spans="1:36">
      <c r="A233" s="19" t="s">
        <v>411</v>
      </c>
      <c r="B233" s="20"/>
      <c r="C233" s="19" t="s">
        <v>408</v>
      </c>
      <c r="D233" s="19" t="s">
        <v>409</v>
      </c>
      <c r="E233" s="19" t="s">
        <v>39</v>
      </c>
      <c r="F233" s="19" t="s">
        <v>106</v>
      </c>
      <c r="G233" s="19"/>
      <c r="H233" s="20">
        <v>2024</v>
      </c>
      <c r="I233" s="19" t="s">
        <v>41</v>
      </c>
      <c r="J233" s="19" t="s">
        <v>276</v>
      </c>
      <c r="K233" s="21" t="s">
        <v>277</v>
      </c>
      <c r="L233" s="22" t="s">
        <v>44</v>
      </c>
      <c r="M233" s="23" t="s">
        <v>45</v>
      </c>
      <c r="N233" s="36" t="s">
        <v>287</v>
      </c>
      <c r="O233" s="65" t="s">
        <v>288</v>
      </c>
      <c r="P233" s="26">
        <f ca="1">IFERROR(VLOOKUP(DadosViagem5[[#This Row],[Placa]],[1]BIP!A:E,5,FALSE),"")</f>
        <v>0</v>
      </c>
      <c r="Q233" s="27">
        <f ca="1">DATEDIF(DadosViagem5[[#This Row],[BIP]],TODAY(),"D")</f>
        <v>45990</v>
      </c>
      <c r="R233" s="28" t="str">
        <f>IFERROR(VLOOKUP(DadosViagem5[[#This Row],[Placa]],[1]DDS!B:C,2,FALSE),"Verificar cadastro")</f>
        <v>Verificar cadastro</v>
      </c>
      <c r="S233" s="29" t="s">
        <v>48</v>
      </c>
      <c r="T233" s="23"/>
      <c r="U233" s="30"/>
      <c r="V233" s="47"/>
      <c r="W233" s="32" t="s">
        <v>384</v>
      </c>
      <c r="X233" s="33"/>
      <c r="Y233" s="34"/>
      <c r="Z233" s="32"/>
      <c r="AA233" s="20" t="s">
        <v>49</v>
      </c>
      <c r="AB233" s="20" t="s">
        <v>49</v>
      </c>
      <c r="AC233" s="19" t="s">
        <v>49</v>
      </c>
      <c r="AD233" s="19" t="str">
        <f ca="1">IFERROR(DATEDIF(DadosViagem5[[#This Row],[Utimo Bip Reserva]],TODAY(),"D"),"")</f>
        <v/>
      </c>
      <c r="AE233" s="36"/>
      <c r="AF233" s="25"/>
      <c r="AG233" s="36" t="s">
        <v>290</v>
      </c>
      <c r="AH233" s="25">
        <v>45807</v>
      </c>
      <c r="AI233" s="36" t="str">
        <f>IF(DadosViagem5[[#This Row],[Dias em manutenção ]]&lt;5,"Dentro do Prazo","Fora do Prazo")</f>
        <v>Fora do Prazo</v>
      </c>
      <c r="AJ233" s="36" t="e">
        <v>#REF!</v>
      </c>
    </row>
    <row r="234" spans="1:36">
      <c r="A234" s="19" t="s">
        <v>412</v>
      </c>
      <c r="B234" s="20"/>
      <c r="C234" s="19" t="s">
        <v>408</v>
      </c>
      <c r="D234" s="19" t="s">
        <v>409</v>
      </c>
      <c r="E234" s="19" t="s">
        <v>39</v>
      </c>
      <c r="F234" s="19" t="s">
        <v>106</v>
      </c>
      <c r="G234" s="19"/>
      <c r="H234" s="20">
        <v>2024</v>
      </c>
      <c r="I234" s="19" t="s">
        <v>41</v>
      </c>
      <c r="J234" s="19" t="s">
        <v>276</v>
      </c>
      <c r="K234" s="21" t="s">
        <v>277</v>
      </c>
      <c r="L234" s="22" t="s">
        <v>44</v>
      </c>
      <c r="M234" s="23" t="s">
        <v>45</v>
      </c>
      <c r="N234" s="36" t="s">
        <v>287</v>
      </c>
      <c r="O234" s="65" t="s">
        <v>288</v>
      </c>
      <c r="P234" s="26">
        <f ca="1">IFERROR(VLOOKUP(DadosViagem5[[#This Row],[Placa]],[1]BIP!A:E,5,FALSE),"")</f>
        <v>0</v>
      </c>
      <c r="Q234" s="27">
        <f ca="1">DATEDIF(DadosViagem5[[#This Row],[BIP]],TODAY(),"D")</f>
        <v>45990</v>
      </c>
      <c r="R234" s="28" t="str">
        <f>IFERROR(VLOOKUP(DadosViagem5[[#This Row],[Placa]],[1]DDS!B:C,2,FALSE),"Verificar cadastro")</f>
        <v>Verificar cadastro</v>
      </c>
      <c r="S234" s="29" t="s">
        <v>48</v>
      </c>
      <c r="T234" s="23"/>
      <c r="U234" s="30"/>
      <c r="V234" s="31"/>
      <c r="W234" s="32" t="s">
        <v>384</v>
      </c>
      <c r="X234" s="33"/>
      <c r="Y234" s="34"/>
      <c r="Z234" s="32"/>
      <c r="AA234" s="20" t="s">
        <v>49</v>
      </c>
      <c r="AB234" s="20" t="s">
        <v>49</v>
      </c>
      <c r="AC234" s="19" t="s">
        <v>49</v>
      </c>
      <c r="AD234" s="19" t="str">
        <f ca="1">IFERROR(DATEDIF(DadosViagem5[[#This Row],[Utimo Bip Reserva]],TODAY(),"D"),"")</f>
        <v/>
      </c>
      <c r="AE234" s="36"/>
      <c r="AF234" s="25"/>
      <c r="AG234" s="36" t="s">
        <v>290</v>
      </c>
      <c r="AH234" s="25">
        <v>45807</v>
      </c>
      <c r="AI234" s="36" t="str">
        <f>IF(DadosViagem5[[#This Row],[Dias em manutenção ]]&lt;5,"Dentro do Prazo","Fora do Prazo")</f>
        <v>Fora do Prazo</v>
      </c>
      <c r="AJ234" s="36" t="e">
        <v>#REF!</v>
      </c>
    </row>
    <row r="235" spans="1:36">
      <c r="A235" s="19" t="s">
        <v>413</v>
      </c>
      <c r="B235" s="20"/>
      <c r="C235" s="19" t="s">
        <v>408</v>
      </c>
      <c r="D235" s="19" t="s">
        <v>409</v>
      </c>
      <c r="E235" s="19" t="s">
        <v>39</v>
      </c>
      <c r="F235" s="19" t="s">
        <v>106</v>
      </c>
      <c r="G235" s="19"/>
      <c r="H235" s="20">
        <v>2024</v>
      </c>
      <c r="I235" s="19" t="s">
        <v>41</v>
      </c>
      <c r="J235" s="19" t="s">
        <v>276</v>
      </c>
      <c r="K235" s="21" t="s">
        <v>277</v>
      </c>
      <c r="L235" s="22" t="s">
        <v>44</v>
      </c>
      <c r="M235" s="23" t="s">
        <v>45</v>
      </c>
      <c r="N235" s="36" t="s">
        <v>287</v>
      </c>
      <c r="O235" s="65" t="s">
        <v>288</v>
      </c>
      <c r="P235" s="26">
        <f ca="1">IFERROR(VLOOKUP(DadosViagem5[[#This Row],[Placa]],[1]BIP!A:E,5,FALSE),"")</f>
        <v>0</v>
      </c>
      <c r="Q235" s="27">
        <f ca="1">DATEDIF(DadosViagem5[[#This Row],[BIP]],TODAY(),"D")</f>
        <v>45990</v>
      </c>
      <c r="R235" s="28" t="str">
        <f>IFERROR(VLOOKUP(DadosViagem5[[#This Row],[Placa]],[1]DDS!B:C,2,FALSE),"Verificar cadastro")</f>
        <v>Verificar cadastro</v>
      </c>
      <c r="S235" s="29" t="s">
        <v>48</v>
      </c>
      <c r="T235" s="23"/>
      <c r="U235" s="30"/>
      <c r="V235" s="47"/>
      <c r="W235" s="32" t="s">
        <v>384</v>
      </c>
      <c r="X235" s="33"/>
      <c r="Y235" s="34"/>
      <c r="Z235" s="32"/>
      <c r="AA235" s="20" t="s">
        <v>49</v>
      </c>
      <c r="AB235" s="20" t="s">
        <v>49</v>
      </c>
      <c r="AC235" s="19" t="s">
        <v>49</v>
      </c>
      <c r="AD235" s="19" t="str">
        <f ca="1">IFERROR(DATEDIF(DadosViagem5[[#This Row],[Utimo Bip Reserva]],TODAY(),"D"),"")</f>
        <v/>
      </c>
      <c r="AE235" s="36"/>
      <c r="AF235" s="25"/>
      <c r="AG235" s="36" t="s">
        <v>290</v>
      </c>
      <c r="AH235" s="25">
        <v>45807</v>
      </c>
      <c r="AI235" s="36" t="str">
        <f>IF(DadosViagem5[[#This Row],[Dias em manutenção ]]&lt;5,"Dentro do Prazo","Fora do Prazo")</f>
        <v>Fora do Prazo</v>
      </c>
      <c r="AJ235" s="36" t="e">
        <v>#REF!</v>
      </c>
    </row>
    <row r="236" spans="1:36">
      <c r="A236" s="19" t="s">
        <v>414</v>
      </c>
      <c r="B236" s="20"/>
      <c r="C236" s="19" t="s">
        <v>408</v>
      </c>
      <c r="D236" s="19" t="s">
        <v>409</v>
      </c>
      <c r="E236" s="19" t="s">
        <v>39</v>
      </c>
      <c r="F236" s="19" t="s">
        <v>106</v>
      </c>
      <c r="G236" s="19"/>
      <c r="H236" s="20">
        <v>2024</v>
      </c>
      <c r="I236" s="19" t="s">
        <v>41</v>
      </c>
      <c r="J236" s="19" t="s">
        <v>276</v>
      </c>
      <c r="K236" s="21" t="s">
        <v>277</v>
      </c>
      <c r="L236" s="22" t="s">
        <v>44</v>
      </c>
      <c r="M236" s="23" t="s">
        <v>45</v>
      </c>
      <c r="N236" s="36" t="s">
        <v>287</v>
      </c>
      <c r="O236" s="65" t="s">
        <v>288</v>
      </c>
      <c r="P236" s="26">
        <f ca="1">IFERROR(VLOOKUP(DadosViagem5[[#This Row],[Placa]],[1]BIP!A:E,5,FALSE),"")</f>
        <v>0</v>
      </c>
      <c r="Q236" s="27">
        <f ca="1">DATEDIF(DadosViagem5[[#This Row],[BIP]],TODAY(),"D")</f>
        <v>45990</v>
      </c>
      <c r="R236" s="28" t="str">
        <f>IFERROR(VLOOKUP(DadosViagem5[[#This Row],[Placa]],[1]DDS!B:C,2,FALSE),"Verificar cadastro")</f>
        <v>Verificar cadastro</v>
      </c>
      <c r="S236" s="29" t="s">
        <v>48</v>
      </c>
      <c r="T236" s="23"/>
      <c r="U236" s="30"/>
      <c r="V236" s="31"/>
      <c r="W236" s="32" t="s">
        <v>384</v>
      </c>
      <c r="X236" s="33"/>
      <c r="Y236" s="34"/>
      <c r="Z236" s="32"/>
      <c r="AA236" s="20" t="s">
        <v>49</v>
      </c>
      <c r="AB236" s="20" t="s">
        <v>49</v>
      </c>
      <c r="AC236" s="19" t="s">
        <v>49</v>
      </c>
      <c r="AD236" s="19" t="str">
        <f ca="1">IFERROR(DATEDIF(DadosViagem5[[#This Row],[Utimo Bip Reserva]],TODAY(),"D"),"")</f>
        <v/>
      </c>
      <c r="AE236" s="36"/>
      <c r="AF236" s="25"/>
      <c r="AG236" s="36" t="s">
        <v>290</v>
      </c>
      <c r="AH236" s="25">
        <v>45807</v>
      </c>
      <c r="AI236" s="36" t="str">
        <f>IF(DadosViagem5[[#This Row],[Dias em manutenção ]]&lt;5,"Dentro do Prazo","Fora do Prazo")</f>
        <v>Fora do Prazo</v>
      </c>
      <c r="AJ236" s="36" t="e">
        <v>#REF!</v>
      </c>
    </row>
    <row r="237" spans="1:36">
      <c r="A237" s="19" t="s">
        <v>415</v>
      </c>
      <c r="B237" s="20"/>
      <c r="C237" s="19" t="s">
        <v>408</v>
      </c>
      <c r="D237" s="19" t="s">
        <v>409</v>
      </c>
      <c r="E237" s="19" t="s">
        <v>39</v>
      </c>
      <c r="F237" s="19" t="s">
        <v>106</v>
      </c>
      <c r="G237" s="19"/>
      <c r="H237" s="20">
        <v>2024</v>
      </c>
      <c r="I237" s="19" t="s">
        <v>41</v>
      </c>
      <c r="J237" s="19" t="s">
        <v>276</v>
      </c>
      <c r="K237" s="21" t="s">
        <v>277</v>
      </c>
      <c r="L237" s="22" t="s">
        <v>44</v>
      </c>
      <c r="M237" s="23" t="s">
        <v>45</v>
      </c>
      <c r="N237" s="36" t="s">
        <v>287</v>
      </c>
      <c r="O237" s="65" t="s">
        <v>288</v>
      </c>
      <c r="P237" s="26">
        <f ca="1">IFERROR(VLOOKUP(DadosViagem5[[#This Row],[Placa]],[1]BIP!A:E,5,FALSE),"")</f>
        <v>0</v>
      </c>
      <c r="Q237" s="27">
        <f ca="1">DATEDIF(DadosViagem5[[#This Row],[BIP]],TODAY(),"D")</f>
        <v>45990</v>
      </c>
      <c r="R237" s="28" t="str">
        <f>IFERROR(VLOOKUP(DadosViagem5[[#This Row],[Placa]],[1]DDS!B:C,2,FALSE),"Verificar cadastro")</f>
        <v>Verificar cadastro</v>
      </c>
      <c r="S237" s="29" t="s">
        <v>48</v>
      </c>
      <c r="T237" s="23"/>
      <c r="U237" s="30"/>
      <c r="V237" s="31"/>
      <c r="W237" s="32" t="s">
        <v>384</v>
      </c>
      <c r="X237" s="33"/>
      <c r="Y237" s="34"/>
      <c r="Z237" s="32"/>
      <c r="AA237" s="20" t="s">
        <v>49</v>
      </c>
      <c r="AB237" s="20" t="s">
        <v>49</v>
      </c>
      <c r="AC237" s="19" t="s">
        <v>49</v>
      </c>
      <c r="AD237" s="19" t="str">
        <f ca="1">IFERROR(DATEDIF(DadosViagem5[[#This Row],[Utimo Bip Reserva]],TODAY(),"D"),"")</f>
        <v/>
      </c>
      <c r="AE237" s="36"/>
      <c r="AF237" s="25"/>
      <c r="AG237" s="36" t="s">
        <v>290</v>
      </c>
      <c r="AH237" s="25">
        <v>45807</v>
      </c>
      <c r="AI237" s="36" t="str">
        <f>IF(DadosViagem5[[#This Row],[Dias em manutenção ]]&lt;5,"Dentro do Prazo","Fora do Prazo")</f>
        <v>Fora do Prazo</v>
      </c>
      <c r="AJ237" s="36" t="e">
        <v>#REF!</v>
      </c>
    </row>
    <row r="238" spans="1:36">
      <c r="A238" s="19" t="s">
        <v>416</v>
      </c>
      <c r="B238" s="20"/>
      <c r="C238" s="19" t="s">
        <v>408</v>
      </c>
      <c r="D238" s="19" t="s">
        <v>409</v>
      </c>
      <c r="E238" s="19" t="s">
        <v>39</v>
      </c>
      <c r="F238" s="19" t="s">
        <v>106</v>
      </c>
      <c r="G238" s="19"/>
      <c r="H238" s="20">
        <v>2024</v>
      </c>
      <c r="I238" s="19" t="s">
        <v>41</v>
      </c>
      <c r="J238" s="19" t="s">
        <v>276</v>
      </c>
      <c r="K238" s="21" t="s">
        <v>277</v>
      </c>
      <c r="L238" s="22" t="s">
        <v>44</v>
      </c>
      <c r="M238" s="23" t="s">
        <v>45</v>
      </c>
      <c r="N238" s="36" t="s">
        <v>287</v>
      </c>
      <c r="O238" s="65" t="s">
        <v>288</v>
      </c>
      <c r="P238" s="26">
        <f ca="1">IFERROR(VLOOKUP(DadosViagem5[[#This Row],[Placa]],[1]BIP!A:E,5,FALSE),"")</f>
        <v>0</v>
      </c>
      <c r="Q238" s="27">
        <f ca="1">DATEDIF(DadosViagem5[[#This Row],[BIP]],TODAY(),"D")</f>
        <v>45990</v>
      </c>
      <c r="R238" s="28" t="str">
        <f>IFERROR(VLOOKUP(DadosViagem5[[#This Row],[Placa]],[1]DDS!B:C,2,FALSE),"Verificar cadastro")</f>
        <v> </v>
      </c>
      <c r="S238" s="29" t="s">
        <v>48</v>
      </c>
      <c r="T238" s="23"/>
      <c r="U238" s="30"/>
      <c r="V238" s="31"/>
      <c r="W238" s="32" t="s">
        <v>384</v>
      </c>
      <c r="X238" s="33"/>
      <c r="Y238" s="34"/>
      <c r="Z238" s="32"/>
      <c r="AA238" s="20" t="s">
        <v>49</v>
      </c>
      <c r="AB238" s="20" t="s">
        <v>49</v>
      </c>
      <c r="AC238" s="19" t="s">
        <v>49</v>
      </c>
      <c r="AD238" s="19" t="str">
        <f ca="1">IFERROR(DATEDIF(DadosViagem5[[#This Row],[Utimo Bip Reserva]],TODAY(),"D"),"")</f>
        <v/>
      </c>
      <c r="AE238" s="36"/>
      <c r="AF238" s="25"/>
      <c r="AG238" s="36" t="s">
        <v>290</v>
      </c>
      <c r="AH238" s="25">
        <v>45807</v>
      </c>
      <c r="AI238" s="36" t="str">
        <f>IF(DadosViagem5[[#This Row],[Dias em manutenção ]]&lt;5,"Dentro do Prazo","Fora do Prazo")</f>
        <v>Fora do Prazo</v>
      </c>
      <c r="AJ238" s="36" t="e">
        <v>#REF!</v>
      </c>
    </row>
    <row r="239" spans="1:36">
      <c r="A239" s="19" t="s">
        <v>417</v>
      </c>
      <c r="B239" s="20"/>
      <c r="C239" s="19" t="s">
        <v>408</v>
      </c>
      <c r="D239" s="19" t="s">
        <v>409</v>
      </c>
      <c r="E239" s="19" t="s">
        <v>39</v>
      </c>
      <c r="F239" s="19" t="s">
        <v>106</v>
      </c>
      <c r="G239" s="19"/>
      <c r="H239" s="20">
        <v>2024</v>
      </c>
      <c r="I239" s="19" t="s">
        <v>41</v>
      </c>
      <c r="J239" s="19" t="s">
        <v>276</v>
      </c>
      <c r="K239" s="21" t="s">
        <v>277</v>
      </c>
      <c r="L239" s="22" t="s">
        <v>44</v>
      </c>
      <c r="M239" s="23" t="s">
        <v>45</v>
      </c>
      <c r="N239" s="36" t="s">
        <v>287</v>
      </c>
      <c r="O239" s="65" t="s">
        <v>288</v>
      </c>
      <c r="P239" s="26">
        <f ca="1">IFERROR(VLOOKUP(DadosViagem5[[#This Row],[Placa]],[1]BIP!A:E,5,FALSE),"")</f>
        <v>0</v>
      </c>
      <c r="Q239" s="27">
        <f ca="1">DATEDIF(DadosViagem5[[#This Row],[BIP]],TODAY(),"D")</f>
        <v>45990</v>
      </c>
      <c r="R239" s="28" t="str">
        <f>IFERROR(VLOOKUP(DadosViagem5[[#This Row],[Placa]],[1]DDS!B:C,2,FALSE),"Verificar cadastro")</f>
        <v>Verificar cadastro</v>
      </c>
      <c r="S239" s="29" t="s">
        <v>48</v>
      </c>
      <c r="T239" s="23"/>
      <c r="U239" s="30"/>
      <c r="V239" s="31"/>
      <c r="W239" s="32" t="s">
        <v>384</v>
      </c>
      <c r="X239" s="33"/>
      <c r="Y239" s="34"/>
      <c r="Z239" s="32"/>
      <c r="AA239" s="20" t="s">
        <v>49</v>
      </c>
      <c r="AB239" s="20" t="s">
        <v>49</v>
      </c>
      <c r="AC239" s="19" t="s">
        <v>49</v>
      </c>
      <c r="AD239" s="19" t="str">
        <f ca="1">IFERROR(DATEDIF(DadosViagem5[[#This Row],[Utimo Bip Reserva]],TODAY(),"D"),"")</f>
        <v/>
      </c>
      <c r="AE239" s="36"/>
      <c r="AF239" s="25"/>
      <c r="AG239" s="36" t="s">
        <v>290</v>
      </c>
      <c r="AH239" s="25">
        <v>45807</v>
      </c>
      <c r="AI239" s="36" t="str">
        <f>IF(DadosViagem5[[#This Row],[Dias em manutenção ]]&lt;5,"Dentro do Prazo","Fora do Prazo")</f>
        <v>Fora do Prazo</v>
      </c>
      <c r="AJ239" s="36" t="e">
        <v>#REF!</v>
      </c>
    </row>
    <row r="240" spans="1:36">
      <c r="A240" s="19" t="s">
        <v>418</v>
      </c>
      <c r="B240" s="20"/>
      <c r="C240" s="19" t="s">
        <v>408</v>
      </c>
      <c r="D240" s="19" t="s">
        <v>409</v>
      </c>
      <c r="E240" s="19" t="s">
        <v>39</v>
      </c>
      <c r="F240" s="19" t="s">
        <v>106</v>
      </c>
      <c r="G240" s="19"/>
      <c r="H240" s="20">
        <v>2024</v>
      </c>
      <c r="I240" s="19" t="s">
        <v>41</v>
      </c>
      <c r="J240" s="19" t="s">
        <v>276</v>
      </c>
      <c r="K240" s="21" t="s">
        <v>277</v>
      </c>
      <c r="L240" s="22" t="s">
        <v>44</v>
      </c>
      <c r="M240" s="23" t="s">
        <v>45</v>
      </c>
      <c r="N240" s="36" t="s">
        <v>287</v>
      </c>
      <c r="O240" s="65" t="s">
        <v>288</v>
      </c>
      <c r="P240" s="26">
        <f ca="1">IFERROR(VLOOKUP(DadosViagem5[[#This Row],[Placa]],[1]BIP!A:E,5,FALSE),"")</f>
        <v>0</v>
      </c>
      <c r="Q240" s="27">
        <f ca="1">DATEDIF(DadosViagem5[[#This Row],[BIP]],TODAY(),"D")</f>
        <v>45990</v>
      </c>
      <c r="R240" s="28" t="str">
        <f>IFERROR(VLOOKUP(DadosViagem5[[#This Row],[Placa]],[1]DDS!B:C,2,FALSE),"Verificar cadastro")</f>
        <v>Verificar cadastro</v>
      </c>
      <c r="S240" s="29" t="s">
        <v>48</v>
      </c>
      <c r="T240" s="23"/>
      <c r="U240" s="30"/>
      <c r="V240" s="31"/>
      <c r="W240" s="32" t="s">
        <v>384</v>
      </c>
      <c r="X240" s="33"/>
      <c r="Y240" s="34"/>
      <c r="Z240" s="32"/>
      <c r="AA240" s="20" t="s">
        <v>49</v>
      </c>
      <c r="AB240" s="20" t="s">
        <v>49</v>
      </c>
      <c r="AC240" s="19" t="s">
        <v>49</v>
      </c>
      <c r="AD240" s="19" t="str">
        <f ca="1">IFERROR(DATEDIF(DadosViagem5[[#This Row],[Utimo Bip Reserva]],TODAY(),"D"),"")</f>
        <v/>
      </c>
      <c r="AE240" s="36"/>
      <c r="AF240" s="25"/>
      <c r="AG240" s="36" t="s">
        <v>290</v>
      </c>
      <c r="AH240" s="25">
        <v>45807</v>
      </c>
      <c r="AI240" s="36" t="str">
        <f>IF(DadosViagem5[[#This Row],[Dias em manutenção ]]&lt;5,"Dentro do Prazo","Fora do Prazo")</f>
        <v>Fora do Prazo</v>
      </c>
      <c r="AJ240" s="36" t="e">
        <v>#REF!</v>
      </c>
    </row>
    <row r="241" spans="1:36">
      <c r="A241" s="19" t="s">
        <v>419</v>
      </c>
      <c r="B241" s="20"/>
      <c r="C241" s="19" t="s">
        <v>408</v>
      </c>
      <c r="D241" s="19" t="s">
        <v>409</v>
      </c>
      <c r="E241" s="19" t="s">
        <v>39</v>
      </c>
      <c r="F241" s="19" t="s">
        <v>106</v>
      </c>
      <c r="G241" s="19"/>
      <c r="H241" s="20">
        <v>2024</v>
      </c>
      <c r="I241" s="19" t="s">
        <v>41</v>
      </c>
      <c r="J241" s="19" t="s">
        <v>276</v>
      </c>
      <c r="K241" s="21" t="s">
        <v>277</v>
      </c>
      <c r="L241" s="22" t="s">
        <v>44</v>
      </c>
      <c r="M241" s="23" t="s">
        <v>45</v>
      </c>
      <c r="N241" s="36" t="s">
        <v>287</v>
      </c>
      <c r="O241" s="65" t="s">
        <v>288</v>
      </c>
      <c r="P241" s="26">
        <f ca="1">IFERROR(VLOOKUP(DadosViagem5[[#This Row],[Placa]],[1]BIP!A:E,5,FALSE),"")</f>
        <v>0</v>
      </c>
      <c r="Q241" s="27">
        <f ca="1">DATEDIF(DadosViagem5[[#This Row],[BIP]],TODAY(),"D")</f>
        <v>45990</v>
      </c>
      <c r="R241" s="28" t="str">
        <f>IFERROR(VLOOKUP(DadosViagem5[[#This Row],[Placa]],[1]DDS!B:C,2,FALSE),"Verificar cadastro")</f>
        <v>Verificar cadastro</v>
      </c>
      <c r="S241" s="29" t="s">
        <v>48</v>
      </c>
      <c r="T241" s="23"/>
      <c r="U241" s="30"/>
      <c r="V241" s="31"/>
      <c r="W241" s="32" t="s">
        <v>384</v>
      </c>
      <c r="X241" s="33"/>
      <c r="Y241" s="34"/>
      <c r="Z241" s="32"/>
      <c r="AA241" s="20" t="s">
        <v>49</v>
      </c>
      <c r="AB241" s="20" t="s">
        <v>49</v>
      </c>
      <c r="AC241" s="19" t="s">
        <v>49</v>
      </c>
      <c r="AD241" s="19" t="str">
        <f ca="1">IFERROR(DATEDIF(DadosViagem5[[#This Row],[Utimo Bip Reserva]],TODAY(),"D"),"")</f>
        <v/>
      </c>
      <c r="AE241" s="36"/>
      <c r="AF241" s="25"/>
      <c r="AG241" s="36" t="s">
        <v>290</v>
      </c>
      <c r="AH241" s="25">
        <v>45807</v>
      </c>
      <c r="AI241" s="36" t="str">
        <f>IF(DadosViagem5[[#This Row],[Dias em manutenção ]]&lt;5,"Dentro do Prazo","Fora do Prazo")</f>
        <v>Fora do Prazo</v>
      </c>
      <c r="AJ241" s="36" t="e">
        <v>#REF!</v>
      </c>
    </row>
    <row r="242" spans="1:36">
      <c r="A242" s="19" t="s">
        <v>420</v>
      </c>
      <c r="B242" s="20"/>
      <c r="C242" s="19" t="s">
        <v>408</v>
      </c>
      <c r="D242" s="19" t="s">
        <v>409</v>
      </c>
      <c r="E242" s="19" t="s">
        <v>39</v>
      </c>
      <c r="F242" s="19" t="s">
        <v>106</v>
      </c>
      <c r="G242" s="19"/>
      <c r="H242" s="20">
        <v>2024</v>
      </c>
      <c r="I242" s="19" t="s">
        <v>41</v>
      </c>
      <c r="J242" s="19" t="s">
        <v>276</v>
      </c>
      <c r="K242" s="21" t="s">
        <v>277</v>
      </c>
      <c r="L242" s="22" t="s">
        <v>44</v>
      </c>
      <c r="M242" s="23" t="s">
        <v>45</v>
      </c>
      <c r="N242" s="36" t="s">
        <v>287</v>
      </c>
      <c r="O242" s="65" t="s">
        <v>288</v>
      </c>
      <c r="P242" s="26">
        <f ca="1">IFERROR(VLOOKUP(DadosViagem5[[#This Row],[Placa]],[1]BIP!A:E,5,FALSE),"")</f>
        <v>0</v>
      </c>
      <c r="Q242" s="27">
        <f ca="1">DATEDIF(DadosViagem5[[#This Row],[BIP]],TODAY(),"D")</f>
        <v>45990</v>
      </c>
      <c r="R242" s="28" t="str">
        <f>IFERROR(VLOOKUP(DadosViagem5[[#This Row],[Placa]],[1]DDS!B:C,2,FALSE),"Verificar cadastro")</f>
        <v> </v>
      </c>
      <c r="S242" s="29" t="s">
        <v>48</v>
      </c>
      <c r="T242" s="23"/>
      <c r="U242" s="30"/>
      <c r="V242" s="31"/>
      <c r="W242" s="32" t="s">
        <v>384</v>
      </c>
      <c r="X242" s="33"/>
      <c r="Y242" s="34"/>
      <c r="Z242" s="32"/>
      <c r="AA242" s="20" t="s">
        <v>49</v>
      </c>
      <c r="AB242" s="20" t="s">
        <v>49</v>
      </c>
      <c r="AC242" s="19" t="s">
        <v>49</v>
      </c>
      <c r="AD242" s="19" t="str">
        <f ca="1">IFERROR(DATEDIF(DadosViagem5[[#This Row],[Utimo Bip Reserva]],TODAY(),"D"),"")</f>
        <v/>
      </c>
      <c r="AE242" s="36"/>
      <c r="AF242" s="25"/>
      <c r="AG242" s="36" t="s">
        <v>290</v>
      </c>
      <c r="AH242" s="25">
        <v>45807</v>
      </c>
      <c r="AI242" s="36" t="str">
        <f>IF(DadosViagem5[[#This Row],[Dias em manutenção ]]&lt;5,"Dentro do Prazo","Fora do Prazo")</f>
        <v>Fora do Prazo</v>
      </c>
      <c r="AJ242" s="36" t="e">
        <v>#REF!</v>
      </c>
    </row>
    <row r="243" spans="1:36">
      <c r="A243" s="19" t="s">
        <v>421</v>
      </c>
      <c r="B243" s="20"/>
      <c r="C243" s="19" t="s">
        <v>408</v>
      </c>
      <c r="D243" s="19" t="s">
        <v>409</v>
      </c>
      <c r="E243" s="19" t="s">
        <v>39</v>
      </c>
      <c r="F243" s="19" t="s">
        <v>106</v>
      </c>
      <c r="G243" s="19"/>
      <c r="H243" s="20">
        <v>2024</v>
      </c>
      <c r="I243" s="19" t="s">
        <v>41</v>
      </c>
      <c r="J243" s="19" t="s">
        <v>276</v>
      </c>
      <c r="K243" s="21" t="s">
        <v>277</v>
      </c>
      <c r="L243" s="22" t="s">
        <v>44</v>
      </c>
      <c r="M243" s="23" t="s">
        <v>45</v>
      </c>
      <c r="N243" s="36" t="s">
        <v>287</v>
      </c>
      <c r="O243" s="65" t="s">
        <v>288</v>
      </c>
      <c r="P243" s="26">
        <f ca="1">IFERROR(VLOOKUP(DadosViagem5[[#This Row],[Placa]],[1]BIP!A:E,5,FALSE),"")</f>
        <v>0</v>
      </c>
      <c r="Q243" s="27">
        <f ca="1">DATEDIF(DadosViagem5[[#This Row],[BIP]],TODAY(),"D")</f>
        <v>45990</v>
      </c>
      <c r="R243" s="28" t="str">
        <f>IFERROR(VLOOKUP(DadosViagem5[[#This Row],[Placa]],[1]DDS!B:C,2,FALSE),"Verificar cadastro")</f>
        <v>Verificar cadastro</v>
      </c>
      <c r="S243" s="29" t="s">
        <v>48</v>
      </c>
      <c r="T243" s="23"/>
      <c r="U243" s="30"/>
      <c r="V243" s="31"/>
      <c r="W243" s="32" t="s">
        <v>384</v>
      </c>
      <c r="X243" s="33"/>
      <c r="Y243" s="34"/>
      <c r="Z243" s="32"/>
      <c r="AA243" s="20" t="s">
        <v>49</v>
      </c>
      <c r="AB243" s="20" t="s">
        <v>49</v>
      </c>
      <c r="AC243" s="19" t="s">
        <v>49</v>
      </c>
      <c r="AD243" s="19" t="str">
        <f ca="1">IFERROR(DATEDIF(DadosViagem5[[#This Row],[Utimo Bip Reserva]],TODAY(),"D"),"")</f>
        <v/>
      </c>
      <c r="AE243" s="36"/>
      <c r="AF243" s="25"/>
      <c r="AG243" s="36" t="s">
        <v>290</v>
      </c>
      <c r="AH243" s="25">
        <v>45807</v>
      </c>
      <c r="AI243" s="36" t="str">
        <f>IF(DadosViagem5[[#This Row],[Dias em manutenção ]]&lt;5,"Dentro do Prazo","Fora do Prazo")</f>
        <v>Fora do Prazo</v>
      </c>
      <c r="AJ243" s="36" t="e">
        <v>#REF!</v>
      </c>
    </row>
    <row r="244" spans="1:36">
      <c r="A244" s="19" t="s">
        <v>422</v>
      </c>
      <c r="B244" s="20"/>
      <c r="C244" s="19" t="s">
        <v>408</v>
      </c>
      <c r="D244" s="19" t="s">
        <v>409</v>
      </c>
      <c r="E244" s="19" t="s">
        <v>39</v>
      </c>
      <c r="F244" s="19" t="s">
        <v>106</v>
      </c>
      <c r="G244" s="19"/>
      <c r="H244" s="20">
        <v>2024</v>
      </c>
      <c r="I244" s="19" t="s">
        <v>41</v>
      </c>
      <c r="J244" s="19" t="s">
        <v>276</v>
      </c>
      <c r="K244" s="21" t="s">
        <v>277</v>
      </c>
      <c r="L244" s="22" t="s">
        <v>44</v>
      </c>
      <c r="M244" s="23" t="s">
        <v>45</v>
      </c>
      <c r="N244" s="36" t="s">
        <v>287</v>
      </c>
      <c r="O244" s="65" t="s">
        <v>288</v>
      </c>
      <c r="P244" s="26">
        <f ca="1">IFERROR(VLOOKUP(DadosViagem5[[#This Row],[Placa]],[1]BIP!A:E,5,FALSE),"")</f>
        <v>0</v>
      </c>
      <c r="Q244" s="27">
        <f ca="1">DATEDIF(DadosViagem5[[#This Row],[BIP]],TODAY(),"D")</f>
        <v>45990</v>
      </c>
      <c r="R244" s="28" t="str">
        <f>IFERROR(VLOOKUP(DadosViagem5[[#This Row],[Placa]],[1]DDS!B:C,2,FALSE),"Verificar cadastro")</f>
        <v>Verificar cadastro</v>
      </c>
      <c r="S244" s="29" t="s">
        <v>48</v>
      </c>
      <c r="T244" s="23"/>
      <c r="U244" s="30"/>
      <c r="V244" s="31"/>
      <c r="W244" s="32" t="s">
        <v>384</v>
      </c>
      <c r="X244" s="33"/>
      <c r="Y244" s="34"/>
      <c r="Z244" s="32"/>
      <c r="AA244" s="20" t="s">
        <v>49</v>
      </c>
      <c r="AB244" s="20" t="s">
        <v>49</v>
      </c>
      <c r="AC244" s="19" t="s">
        <v>49</v>
      </c>
      <c r="AD244" s="19" t="str">
        <f ca="1">IFERROR(DATEDIF(DadosViagem5[[#This Row],[Utimo Bip Reserva]],TODAY(),"D"),"")</f>
        <v/>
      </c>
      <c r="AE244" s="36"/>
      <c r="AF244" s="25"/>
      <c r="AG244" s="36" t="s">
        <v>290</v>
      </c>
      <c r="AH244" s="25">
        <v>45807</v>
      </c>
      <c r="AI244" s="36" t="str">
        <f>IF(DadosViagem5[[#This Row],[Dias em manutenção ]]&lt;5,"Dentro do Prazo","Fora do Prazo")</f>
        <v>Fora do Prazo</v>
      </c>
      <c r="AJ244" s="36" t="e">
        <v>#REF!</v>
      </c>
    </row>
    <row r="245" spans="1:36">
      <c r="A245" s="19" t="s">
        <v>423</v>
      </c>
      <c r="B245" s="20"/>
      <c r="C245" s="19" t="s">
        <v>408</v>
      </c>
      <c r="D245" s="19" t="s">
        <v>409</v>
      </c>
      <c r="E245" s="19" t="s">
        <v>39</v>
      </c>
      <c r="F245" s="19" t="s">
        <v>106</v>
      </c>
      <c r="G245" s="19"/>
      <c r="H245" s="20">
        <v>2024</v>
      </c>
      <c r="I245" s="19" t="s">
        <v>41</v>
      </c>
      <c r="J245" s="19" t="s">
        <v>276</v>
      </c>
      <c r="K245" s="21" t="s">
        <v>277</v>
      </c>
      <c r="L245" s="22" t="s">
        <v>44</v>
      </c>
      <c r="M245" s="23" t="s">
        <v>45</v>
      </c>
      <c r="N245" s="36" t="s">
        <v>287</v>
      </c>
      <c r="O245" s="65" t="s">
        <v>288</v>
      </c>
      <c r="P245" s="26">
        <f ca="1">IFERROR(VLOOKUP(DadosViagem5[[#This Row],[Placa]],[1]BIP!A:E,5,FALSE),"")</f>
        <v>0</v>
      </c>
      <c r="Q245" s="27">
        <f ca="1">DATEDIF(DadosViagem5[[#This Row],[BIP]],TODAY(),"D")</f>
        <v>45990</v>
      </c>
      <c r="R245" s="28" t="str">
        <f>IFERROR(VLOOKUP(DadosViagem5[[#This Row],[Placa]],[1]DDS!B:C,2,FALSE),"Verificar cadastro")</f>
        <v>Verificar cadastro</v>
      </c>
      <c r="S245" s="29" t="s">
        <v>48</v>
      </c>
      <c r="T245" s="23"/>
      <c r="U245" s="30" t="s">
        <v>55</v>
      </c>
      <c r="V245" s="31"/>
      <c r="W245" s="32" t="s">
        <v>384</v>
      </c>
      <c r="X245" s="33"/>
      <c r="Y245" s="34"/>
      <c r="Z245" s="32"/>
      <c r="AA245" s="20" t="s">
        <v>49</v>
      </c>
      <c r="AB245" s="20" t="s">
        <v>49</v>
      </c>
      <c r="AC245" s="19" t="s">
        <v>49</v>
      </c>
      <c r="AD245" s="19" t="str">
        <f ca="1">IFERROR(DATEDIF(DadosViagem5[[#This Row],[Utimo Bip Reserva]],TODAY(),"D"),"")</f>
        <v/>
      </c>
      <c r="AE245" s="36"/>
      <c r="AF245" s="25"/>
      <c r="AG245" s="36" t="s">
        <v>290</v>
      </c>
      <c r="AH245" s="25">
        <v>45807</v>
      </c>
      <c r="AI245" s="36" t="str">
        <f>IF(DadosViagem5[[#This Row],[Dias em manutenção ]]&lt;5,"Dentro do Prazo","Fora do Prazo")</f>
        <v>Fora do Prazo</v>
      </c>
      <c r="AJ245" s="36" t="e">
        <v>#REF!</v>
      </c>
    </row>
    <row r="246" spans="1:36">
      <c r="A246" s="19" t="s">
        <v>424</v>
      </c>
      <c r="B246" s="20"/>
      <c r="C246" s="19" t="s">
        <v>425</v>
      </c>
      <c r="D246" s="19" t="s">
        <v>273</v>
      </c>
      <c r="E246" s="19" t="s">
        <v>39</v>
      </c>
      <c r="F246" s="19" t="s">
        <v>106</v>
      </c>
      <c r="G246" s="19"/>
      <c r="H246" s="20">
        <v>2024</v>
      </c>
      <c r="I246" s="19" t="s">
        <v>41</v>
      </c>
      <c r="J246" s="19" t="s">
        <v>276</v>
      </c>
      <c r="K246" s="21" t="s">
        <v>277</v>
      </c>
      <c r="L246" s="22" t="s">
        <v>44</v>
      </c>
      <c r="M246" s="23" t="s">
        <v>45</v>
      </c>
      <c r="N246" s="70" t="s">
        <v>287</v>
      </c>
      <c r="O246" s="65" t="s">
        <v>288</v>
      </c>
      <c r="P246" s="26">
        <f ca="1">IFERROR(VLOOKUP(DadosViagem5[[#This Row],[Placa]],[1]BIP!A:E,5,FALSE),"")</f>
        <v>0</v>
      </c>
      <c r="Q246" s="27">
        <f ca="1">DATEDIF(DadosViagem5[[#This Row],[BIP]],TODAY(),"D")</f>
        <v>45990</v>
      </c>
      <c r="R246" s="28" t="str">
        <f>IFERROR(VLOOKUP(DadosViagem5[[#This Row],[Placa]],[1]DDS!B:C,2,FALSE),"Verificar cadastro")</f>
        <v>Verificar cadastro</v>
      </c>
      <c r="S246" s="29" t="s">
        <v>48</v>
      </c>
      <c r="T246" s="23"/>
      <c r="U246" s="30"/>
      <c r="V246" s="31"/>
      <c r="W246" s="32" t="s">
        <v>384</v>
      </c>
      <c r="X246" s="33"/>
      <c r="Y246" s="34"/>
      <c r="Z246" s="32"/>
      <c r="AA246" s="20" t="s">
        <v>49</v>
      </c>
      <c r="AB246" s="20" t="s">
        <v>49</v>
      </c>
      <c r="AC246" s="19" t="s">
        <v>49</v>
      </c>
      <c r="AD246" s="19" t="str">
        <f ca="1">IFERROR(DATEDIF(DadosViagem5[[#This Row],[Utimo Bip Reserva]],TODAY(),"D"),"")</f>
        <v/>
      </c>
      <c r="AE246" s="36"/>
      <c r="AF246" s="25"/>
      <c r="AG246" s="36" t="s">
        <v>290</v>
      </c>
      <c r="AH246" s="25">
        <v>45807</v>
      </c>
      <c r="AI246" s="36" t="str">
        <f>IF(DadosViagem5[[#This Row],[Dias em manutenção ]]&lt;5,"Dentro do Prazo","Fora do Prazo")</f>
        <v>Fora do Prazo</v>
      </c>
      <c r="AJ246" s="36" t="e">
        <v>#REF!</v>
      </c>
    </row>
    <row r="247" spans="1:36">
      <c r="A247" s="19" t="s">
        <v>426</v>
      </c>
      <c r="B247" s="20"/>
      <c r="C247" s="19" t="s">
        <v>425</v>
      </c>
      <c r="D247" s="19" t="s">
        <v>273</v>
      </c>
      <c r="E247" s="19" t="s">
        <v>39</v>
      </c>
      <c r="F247" s="19" t="s">
        <v>106</v>
      </c>
      <c r="G247" s="19"/>
      <c r="H247" s="20">
        <v>2024</v>
      </c>
      <c r="I247" s="19" t="s">
        <v>41</v>
      </c>
      <c r="J247" s="19" t="s">
        <v>276</v>
      </c>
      <c r="K247" s="21" t="s">
        <v>277</v>
      </c>
      <c r="L247" s="39" t="s">
        <v>44</v>
      </c>
      <c r="M247" s="23" t="s">
        <v>45</v>
      </c>
      <c r="N247" s="36" t="s">
        <v>287</v>
      </c>
      <c r="O247" s="65" t="s">
        <v>288</v>
      </c>
      <c r="P247" s="26">
        <f ca="1">IFERROR(VLOOKUP(DadosViagem5[[#This Row],[Placa]],[1]BIP!A:E,5,FALSE),"")</f>
        <v>0</v>
      </c>
      <c r="Q247" s="27">
        <f ca="1">DATEDIF(DadosViagem5[[#This Row],[BIP]],TODAY(),"D")</f>
        <v>45990</v>
      </c>
      <c r="R247" s="28" t="str">
        <f>IFERROR(VLOOKUP(DadosViagem5[[#This Row],[Placa]],[1]DDS!B:C,2,FALSE),"Verificar cadastro")</f>
        <v>Verificar cadastro</v>
      </c>
      <c r="S247" s="29" t="s">
        <v>48</v>
      </c>
      <c r="T247" s="23"/>
      <c r="U247" s="30"/>
      <c r="V247" s="31"/>
      <c r="W247" s="32" t="s">
        <v>384</v>
      </c>
      <c r="X247" s="33"/>
      <c r="Y247" s="34"/>
      <c r="Z247" s="32"/>
      <c r="AA247" s="20" t="s">
        <v>49</v>
      </c>
      <c r="AB247" s="20" t="s">
        <v>49</v>
      </c>
      <c r="AC247" s="19" t="s">
        <v>49</v>
      </c>
      <c r="AD247" s="19" t="str">
        <f ca="1">IFERROR(DATEDIF(DadosViagem5[[#This Row],[Utimo Bip Reserva]],TODAY(),"D"),"")</f>
        <v/>
      </c>
      <c r="AE247" s="36"/>
      <c r="AF247" s="25"/>
      <c r="AG247" s="36" t="s">
        <v>290</v>
      </c>
      <c r="AH247" s="25">
        <v>45807</v>
      </c>
      <c r="AI247" s="36" t="str">
        <f>IF(DadosViagem5[[#This Row],[Dias em manutenção ]]&lt;5,"Dentro do Prazo","Fora do Prazo")</f>
        <v>Fora do Prazo</v>
      </c>
      <c r="AJ247" s="36" t="e">
        <v>#REF!</v>
      </c>
    </row>
    <row r="248" spans="1:36">
      <c r="A248" s="19" t="s">
        <v>427</v>
      </c>
      <c r="B248" s="20"/>
      <c r="C248" s="19" t="s">
        <v>312</v>
      </c>
      <c r="D248" s="19" t="s">
        <v>313</v>
      </c>
      <c r="E248" s="19" t="s">
        <v>39</v>
      </c>
      <c r="F248" s="19" t="s">
        <v>106</v>
      </c>
      <c r="G248" s="19"/>
      <c r="H248" s="20">
        <v>2024</v>
      </c>
      <c r="I248" s="19" t="s">
        <v>41</v>
      </c>
      <c r="J248" s="19" t="s">
        <v>276</v>
      </c>
      <c r="K248" s="21" t="s">
        <v>277</v>
      </c>
      <c r="L248" s="22" t="s">
        <v>44</v>
      </c>
      <c r="M248" s="23" t="s">
        <v>45</v>
      </c>
      <c r="N248" s="36" t="s">
        <v>287</v>
      </c>
      <c r="O248" s="65" t="s">
        <v>288</v>
      </c>
      <c r="P248" s="26">
        <f ca="1">IFERROR(VLOOKUP(DadosViagem5[[#This Row],[Placa]],[1]BIP!A:E,5,FALSE),"")</f>
        <v>0</v>
      </c>
      <c r="Q248" s="27">
        <f ca="1">DATEDIF(DadosViagem5[[#This Row],[BIP]],TODAY(),"D")</f>
        <v>45990</v>
      </c>
      <c r="R248" s="28" t="str">
        <f>IFERROR(VLOOKUP(DadosViagem5[[#This Row],[Placa]],[1]DDS!B:C,2,FALSE),"Verificar cadastro")</f>
        <v>Verificar cadastro</v>
      </c>
      <c r="S248" s="29" t="s">
        <v>48</v>
      </c>
      <c r="T248" s="23"/>
      <c r="U248" s="30"/>
      <c r="V248" s="31"/>
      <c r="W248" s="32" t="s">
        <v>384</v>
      </c>
      <c r="X248" s="33"/>
      <c r="Y248" s="34"/>
      <c r="Z248" s="32"/>
      <c r="AA248" s="20" t="s">
        <v>49</v>
      </c>
      <c r="AB248" s="20" t="s">
        <v>49</v>
      </c>
      <c r="AC248" s="19" t="s">
        <v>49</v>
      </c>
      <c r="AD248" s="19" t="str">
        <f ca="1">IFERROR(DATEDIF(DadosViagem5[[#This Row],[Utimo Bip Reserva]],TODAY(),"D"),"")</f>
        <v/>
      </c>
      <c r="AE248" s="36"/>
      <c r="AF248" s="25"/>
      <c r="AG248" s="36" t="s">
        <v>290</v>
      </c>
      <c r="AH248" s="25">
        <v>45807</v>
      </c>
      <c r="AI248" s="36" t="str">
        <f>IF(DadosViagem5[[#This Row],[Dias em manutenção ]]&lt;5,"Dentro do Prazo","Fora do Prazo")</f>
        <v>Fora do Prazo</v>
      </c>
      <c r="AJ248" s="36" t="e">
        <v>#REF!</v>
      </c>
    </row>
    <row r="249" spans="1:36">
      <c r="A249" s="19" t="s">
        <v>428</v>
      </c>
      <c r="B249" s="20"/>
      <c r="C249" s="19" t="s">
        <v>312</v>
      </c>
      <c r="D249" s="19" t="s">
        <v>313</v>
      </c>
      <c r="E249" s="19" t="s">
        <v>39</v>
      </c>
      <c r="F249" s="19" t="s">
        <v>106</v>
      </c>
      <c r="G249" s="19"/>
      <c r="H249" s="20">
        <v>2024</v>
      </c>
      <c r="I249" s="19" t="s">
        <v>41</v>
      </c>
      <c r="J249" s="19" t="s">
        <v>276</v>
      </c>
      <c r="K249" s="21" t="s">
        <v>277</v>
      </c>
      <c r="L249" s="22" t="s">
        <v>44</v>
      </c>
      <c r="M249" s="23" t="s">
        <v>45</v>
      </c>
      <c r="N249" s="36" t="s">
        <v>287</v>
      </c>
      <c r="O249" s="65" t="s">
        <v>288</v>
      </c>
      <c r="P249" s="26">
        <f ca="1">IFERROR(VLOOKUP(DadosViagem5[[#This Row],[Placa]],[1]BIP!A:E,5,FALSE),"")</f>
        <v>0</v>
      </c>
      <c r="Q249" s="27">
        <f ca="1">DATEDIF(DadosViagem5[[#This Row],[BIP]],TODAY(),"D")</f>
        <v>45990</v>
      </c>
      <c r="R249" s="28" t="str">
        <f>IFERROR(VLOOKUP(DadosViagem5[[#This Row],[Placa]],[1]DDS!B:C,2,FALSE),"Verificar cadastro")</f>
        <v>Verificar cadastro</v>
      </c>
      <c r="S249" s="29" t="s">
        <v>48</v>
      </c>
      <c r="T249" s="23"/>
      <c r="U249" s="30"/>
      <c r="V249" s="31"/>
      <c r="W249" s="32" t="s">
        <v>384</v>
      </c>
      <c r="X249" s="33"/>
      <c r="Y249" s="34"/>
      <c r="Z249" s="32"/>
      <c r="AA249" s="20" t="s">
        <v>49</v>
      </c>
      <c r="AB249" s="20" t="s">
        <v>49</v>
      </c>
      <c r="AC249" s="19" t="s">
        <v>49</v>
      </c>
      <c r="AD249" s="19" t="str">
        <f ca="1">IFERROR(DATEDIF(DadosViagem5[[#This Row],[Utimo Bip Reserva]],TODAY(),"D"),"")</f>
        <v/>
      </c>
      <c r="AE249" s="36"/>
      <c r="AF249" s="25"/>
      <c r="AG249" s="36" t="s">
        <v>290</v>
      </c>
      <c r="AH249" s="25">
        <v>45807</v>
      </c>
      <c r="AI249" s="36" t="str">
        <f>IF(DadosViagem5[[#This Row],[Dias em manutenção ]]&lt;5,"Dentro do Prazo","Fora do Prazo")</f>
        <v>Fora do Prazo</v>
      </c>
      <c r="AJ249" s="36" t="e">
        <v>#REF!</v>
      </c>
    </row>
    <row r="250" spans="1:36">
      <c r="A250" s="19" t="s">
        <v>429</v>
      </c>
      <c r="B250" s="20"/>
      <c r="C250" s="19" t="s">
        <v>312</v>
      </c>
      <c r="D250" s="19" t="s">
        <v>313</v>
      </c>
      <c r="E250" s="19" t="s">
        <v>39</v>
      </c>
      <c r="F250" s="19" t="s">
        <v>106</v>
      </c>
      <c r="G250" s="19"/>
      <c r="H250" s="20">
        <v>2024</v>
      </c>
      <c r="I250" s="19" t="s">
        <v>41</v>
      </c>
      <c r="J250" s="19" t="s">
        <v>276</v>
      </c>
      <c r="K250" s="21" t="s">
        <v>277</v>
      </c>
      <c r="L250" s="22" t="s">
        <v>44</v>
      </c>
      <c r="M250" s="23" t="s">
        <v>45</v>
      </c>
      <c r="N250" s="36" t="s">
        <v>287</v>
      </c>
      <c r="O250" s="65" t="s">
        <v>288</v>
      </c>
      <c r="P250" s="26">
        <f ca="1">IFERROR(VLOOKUP(DadosViagem5[[#This Row],[Placa]],[1]BIP!A:E,5,FALSE),"")</f>
        <v>0</v>
      </c>
      <c r="Q250" s="27">
        <f ca="1">DATEDIF(DadosViagem5[[#This Row],[BIP]],TODAY(),"D")</f>
        <v>45990</v>
      </c>
      <c r="R250" s="28" t="str">
        <f>IFERROR(VLOOKUP(DadosViagem5[[#This Row],[Placa]],[1]DDS!B:C,2,FALSE),"Verificar cadastro")</f>
        <v>Verificar cadastro</v>
      </c>
      <c r="S250" s="29" t="s">
        <v>48</v>
      </c>
      <c r="T250" s="23"/>
      <c r="U250" s="30"/>
      <c r="V250" s="31"/>
      <c r="W250" s="32" t="s">
        <v>384</v>
      </c>
      <c r="X250" s="33"/>
      <c r="Y250" s="34"/>
      <c r="Z250" s="32"/>
      <c r="AA250" s="20" t="s">
        <v>49</v>
      </c>
      <c r="AB250" s="20" t="s">
        <v>49</v>
      </c>
      <c r="AC250" s="19" t="s">
        <v>49</v>
      </c>
      <c r="AD250" s="19" t="str">
        <f ca="1">IFERROR(DATEDIF(DadosViagem5[[#This Row],[Utimo Bip Reserva]],TODAY(),"D"),"")</f>
        <v/>
      </c>
      <c r="AE250" s="36"/>
      <c r="AF250" s="25"/>
      <c r="AG250" s="36" t="s">
        <v>290</v>
      </c>
      <c r="AH250" s="25">
        <v>45807</v>
      </c>
      <c r="AI250" s="36" t="str">
        <f>IF(DadosViagem5[[#This Row],[Dias em manutenção ]]&lt;5,"Dentro do Prazo","Fora do Prazo")</f>
        <v>Fora do Prazo</v>
      </c>
      <c r="AJ250" s="36" t="e">
        <v>#REF!</v>
      </c>
    </row>
    <row r="251" spans="1:36">
      <c r="A251" s="19" t="s">
        <v>430</v>
      </c>
      <c r="B251" s="20"/>
      <c r="C251" s="19" t="s">
        <v>286</v>
      </c>
      <c r="D251" s="19" t="s">
        <v>273</v>
      </c>
      <c r="E251" s="19" t="s">
        <v>39</v>
      </c>
      <c r="F251" s="19" t="s">
        <v>106</v>
      </c>
      <c r="G251" s="19"/>
      <c r="H251" s="20">
        <v>2022</v>
      </c>
      <c r="I251" s="19" t="s">
        <v>41</v>
      </c>
      <c r="J251" s="19" t="s">
        <v>276</v>
      </c>
      <c r="K251" s="21" t="s">
        <v>277</v>
      </c>
      <c r="L251" s="22" t="s">
        <v>44</v>
      </c>
      <c r="M251" s="23" t="s">
        <v>45</v>
      </c>
      <c r="N251" s="36" t="s">
        <v>287</v>
      </c>
      <c r="O251" s="65" t="s">
        <v>288</v>
      </c>
      <c r="P251" s="26">
        <f ca="1">IFERROR(VLOOKUP(DadosViagem5[[#This Row],[Placa]],[1]BIP!A:E,5,FALSE),"")</f>
        <v>0</v>
      </c>
      <c r="Q251" s="27">
        <f ca="1">DATEDIF(DadosViagem5[[#This Row],[BIP]],TODAY(),"D")</f>
        <v>45990</v>
      </c>
      <c r="R251" s="28" t="str">
        <f>IFERROR(VLOOKUP(DadosViagem5[[#This Row],[Placa]],[1]DDS!B:C,2,FALSE),"Verificar cadastro")</f>
        <v>Verificar cadastro</v>
      </c>
      <c r="S251" s="29" t="s">
        <v>48</v>
      </c>
      <c r="T251" s="23"/>
      <c r="U251" s="30"/>
      <c r="V251" s="31"/>
      <c r="W251" s="32" t="s">
        <v>384</v>
      </c>
      <c r="X251" s="33"/>
      <c r="Y251" s="34"/>
      <c r="Z251" s="32"/>
      <c r="AA251" s="20" t="s">
        <v>49</v>
      </c>
      <c r="AB251" s="20" t="s">
        <v>49</v>
      </c>
      <c r="AC251" s="19" t="s">
        <v>49</v>
      </c>
      <c r="AD251" s="19" t="str">
        <f ca="1">IFERROR(DATEDIF(DadosViagem5[[#This Row],[Utimo Bip Reserva]],TODAY(),"D"),"")</f>
        <v/>
      </c>
      <c r="AE251" s="35"/>
      <c r="AF251" s="35"/>
      <c r="AG251" s="36" t="s">
        <v>290</v>
      </c>
      <c r="AH251" s="25">
        <v>45807</v>
      </c>
      <c r="AI251" s="36" t="str">
        <f>IF(DadosViagem5[[#This Row],[Dias em manutenção ]]&lt;5,"Dentro do Prazo","Fora do Prazo")</f>
        <v>Fora do Prazo</v>
      </c>
      <c r="AJ251" s="36" t="e">
        <v>#REF!</v>
      </c>
    </row>
    <row r="252" spans="1:36">
      <c r="A252" s="19" t="s">
        <v>431</v>
      </c>
      <c r="B252" s="20"/>
      <c r="C252" s="19" t="s">
        <v>286</v>
      </c>
      <c r="D252" s="19" t="s">
        <v>273</v>
      </c>
      <c r="E252" s="19" t="s">
        <v>39</v>
      </c>
      <c r="F252" s="19" t="s">
        <v>106</v>
      </c>
      <c r="G252" s="19"/>
      <c r="H252" s="20">
        <v>2022</v>
      </c>
      <c r="I252" s="19" t="s">
        <v>41</v>
      </c>
      <c r="J252" s="19" t="s">
        <v>276</v>
      </c>
      <c r="K252" s="21" t="s">
        <v>277</v>
      </c>
      <c r="L252" s="22" t="s">
        <v>44</v>
      </c>
      <c r="M252" s="23" t="s">
        <v>45</v>
      </c>
      <c r="N252" s="36" t="s">
        <v>287</v>
      </c>
      <c r="O252" s="65" t="s">
        <v>288</v>
      </c>
      <c r="P252" s="26">
        <f ca="1">IFERROR(VLOOKUP(DadosViagem5[[#This Row],[Placa]],[1]BIP!A:E,5,FALSE),"")</f>
        <v>0</v>
      </c>
      <c r="Q252" s="27">
        <f ca="1">DATEDIF(DadosViagem5[[#This Row],[BIP]],TODAY(),"D")</f>
        <v>45990</v>
      </c>
      <c r="R252" s="28" t="str">
        <f>IFERROR(VLOOKUP(DadosViagem5[[#This Row],[Placa]],[1]DDS!B:C,2,FALSE),"Verificar cadastro")</f>
        <v> </v>
      </c>
      <c r="S252" s="29" t="s">
        <v>48</v>
      </c>
      <c r="T252" s="23"/>
      <c r="U252" s="30"/>
      <c r="V252" s="31"/>
      <c r="W252" s="32" t="s">
        <v>384</v>
      </c>
      <c r="X252" s="33"/>
      <c r="Y252" s="34"/>
      <c r="Z252" s="32"/>
      <c r="AA252" s="20" t="s">
        <v>49</v>
      </c>
      <c r="AB252" s="20" t="s">
        <v>49</v>
      </c>
      <c r="AC252" s="19" t="s">
        <v>49</v>
      </c>
      <c r="AD252" s="19" t="str">
        <f ca="1">IFERROR(DATEDIF(DadosViagem5[[#This Row],[Utimo Bip Reserva]],TODAY(),"D"),"")</f>
        <v/>
      </c>
      <c r="AE252" s="29"/>
      <c r="AF252" s="35"/>
      <c r="AG252" s="36" t="s">
        <v>290</v>
      </c>
      <c r="AH252" s="25">
        <v>45807</v>
      </c>
      <c r="AI252" s="36" t="str">
        <f>IF(DadosViagem5[[#This Row],[Dias em manutenção ]]&lt;5,"Dentro do Prazo","Fora do Prazo")</f>
        <v>Fora do Prazo</v>
      </c>
      <c r="AJ252" s="36" t="e">
        <v>#REF!</v>
      </c>
    </row>
    <row r="253" spans="1:36">
      <c r="A253" s="19" t="s">
        <v>432</v>
      </c>
      <c r="B253" s="20"/>
      <c r="C253" s="19" t="s">
        <v>286</v>
      </c>
      <c r="D253" s="19" t="s">
        <v>273</v>
      </c>
      <c r="E253" s="19" t="s">
        <v>39</v>
      </c>
      <c r="F253" s="19" t="s">
        <v>106</v>
      </c>
      <c r="G253" s="19"/>
      <c r="H253" s="20">
        <v>2022</v>
      </c>
      <c r="I253" s="19" t="s">
        <v>41</v>
      </c>
      <c r="J253" s="19" t="s">
        <v>276</v>
      </c>
      <c r="K253" s="21" t="s">
        <v>277</v>
      </c>
      <c r="L253" s="22" t="s">
        <v>44</v>
      </c>
      <c r="M253" s="23" t="s">
        <v>45</v>
      </c>
      <c r="N253" s="36" t="s">
        <v>287</v>
      </c>
      <c r="O253" s="65" t="s">
        <v>288</v>
      </c>
      <c r="P253" s="26">
        <f ca="1">IFERROR(VLOOKUP(DadosViagem5[[#This Row],[Placa]],[1]BIP!A:E,5,FALSE),"")</f>
        <v>0</v>
      </c>
      <c r="Q253" s="27">
        <f ca="1">DATEDIF(DadosViagem5[[#This Row],[BIP]],TODAY(),"D")</f>
        <v>45990</v>
      </c>
      <c r="R253" s="28" t="str">
        <f>IFERROR(VLOOKUP(DadosViagem5[[#This Row],[Placa]],[1]DDS!B:C,2,FALSE),"Verificar cadastro")</f>
        <v> </v>
      </c>
      <c r="S253" s="29" t="s">
        <v>48</v>
      </c>
      <c r="T253" s="23"/>
      <c r="U253" s="30"/>
      <c r="V253" s="31"/>
      <c r="W253" s="32" t="s">
        <v>384</v>
      </c>
      <c r="X253" s="33"/>
      <c r="Y253" s="34"/>
      <c r="Z253" s="32"/>
      <c r="AA253" s="20" t="s">
        <v>49</v>
      </c>
      <c r="AB253" s="20" t="s">
        <v>49</v>
      </c>
      <c r="AC253" s="19" t="s">
        <v>49</v>
      </c>
      <c r="AD253" s="19" t="str">
        <f ca="1">IFERROR(DATEDIF(DadosViagem5[[#This Row],[Utimo Bip Reserva]],TODAY(),"D"),"")</f>
        <v/>
      </c>
      <c r="AE253" s="25"/>
      <c r="AF253" s="25"/>
      <c r="AG253" s="36" t="s">
        <v>290</v>
      </c>
      <c r="AH253" s="25">
        <v>45807</v>
      </c>
      <c r="AI253" s="36" t="str">
        <f>IF(DadosViagem5[[#This Row],[Dias em manutenção ]]&lt;5,"Dentro do Prazo","Fora do Prazo")</f>
        <v>Fora do Prazo</v>
      </c>
      <c r="AJ253" s="36" t="e">
        <v>#REF!</v>
      </c>
    </row>
    <row r="254" spans="1:36">
      <c r="A254" s="19" t="s">
        <v>433</v>
      </c>
      <c r="B254" s="20"/>
      <c r="C254" s="19" t="s">
        <v>286</v>
      </c>
      <c r="D254" s="19" t="s">
        <v>273</v>
      </c>
      <c r="E254" s="19" t="s">
        <v>39</v>
      </c>
      <c r="F254" s="19" t="s">
        <v>106</v>
      </c>
      <c r="G254" s="19"/>
      <c r="H254" s="20">
        <v>2022</v>
      </c>
      <c r="I254" s="19" t="s">
        <v>41</v>
      </c>
      <c r="J254" s="19" t="s">
        <v>276</v>
      </c>
      <c r="K254" s="21" t="s">
        <v>277</v>
      </c>
      <c r="L254" s="22" t="s">
        <v>44</v>
      </c>
      <c r="M254" s="23" t="s">
        <v>45</v>
      </c>
      <c r="N254" s="36" t="s">
        <v>287</v>
      </c>
      <c r="O254" s="65" t="s">
        <v>288</v>
      </c>
      <c r="P254" s="26">
        <f ca="1">IFERROR(VLOOKUP(DadosViagem5[[#This Row],[Placa]],[1]BIP!A:E,5,FALSE),"")</f>
        <v>0</v>
      </c>
      <c r="Q254" s="27">
        <f ca="1">DATEDIF(DadosViagem5[[#This Row],[BIP]],TODAY(),"D")</f>
        <v>45990</v>
      </c>
      <c r="R254" s="28" t="str">
        <f>IFERROR(VLOOKUP(DadosViagem5[[#This Row],[Placa]],[1]DDS!B:C,2,FALSE),"Verificar cadastro")</f>
        <v> </v>
      </c>
      <c r="S254" s="29" t="s">
        <v>48</v>
      </c>
      <c r="T254" s="23"/>
      <c r="U254" s="30"/>
      <c r="V254" s="31"/>
      <c r="W254" s="32" t="s">
        <v>384</v>
      </c>
      <c r="X254" s="33"/>
      <c r="Y254" s="34"/>
      <c r="Z254" s="32"/>
      <c r="AA254" s="20" t="s">
        <v>49</v>
      </c>
      <c r="AB254" s="20" t="s">
        <v>49</v>
      </c>
      <c r="AC254" s="19" t="s">
        <v>49</v>
      </c>
      <c r="AD254" s="19" t="str">
        <f ca="1">IFERROR(DATEDIF(DadosViagem5[[#This Row],[Utimo Bip Reserva]],TODAY(),"D"),"")</f>
        <v/>
      </c>
      <c r="AE254" s="25" t="s">
        <v>49</v>
      </c>
      <c r="AF254" s="25" t="s">
        <v>49</v>
      </c>
      <c r="AG254" s="36" t="s">
        <v>290</v>
      </c>
      <c r="AH254" s="25">
        <v>45807</v>
      </c>
      <c r="AI254" s="36" t="str">
        <f>IF(DadosViagem5[[#This Row],[Dias em manutenção ]]&lt;5,"Dentro do Prazo","Fora do Prazo")</f>
        <v>Fora do Prazo</v>
      </c>
      <c r="AJ254" s="36" t="e">
        <v>#REF!</v>
      </c>
    </row>
    <row r="255" spans="1:36">
      <c r="A255" s="19" t="s">
        <v>434</v>
      </c>
      <c r="B255" s="20"/>
      <c r="C255" s="19" t="s">
        <v>286</v>
      </c>
      <c r="D255" s="19" t="s">
        <v>273</v>
      </c>
      <c r="E255" s="19" t="s">
        <v>39</v>
      </c>
      <c r="F255" s="19" t="s">
        <v>106</v>
      </c>
      <c r="G255" s="19"/>
      <c r="H255" s="20">
        <v>2022</v>
      </c>
      <c r="I255" s="19" t="s">
        <v>41</v>
      </c>
      <c r="J255" s="19" t="s">
        <v>276</v>
      </c>
      <c r="K255" s="21" t="s">
        <v>277</v>
      </c>
      <c r="L255" s="22" t="s">
        <v>44</v>
      </c>
      <c r="M255" s="23" t="s">
        <v>45</v>
      </c>
      <c r="N255" s="36" t="s">
        <v>287</v>
      </c>
      <c r="O255" s="65" t="s">
        <v>288</v>
      </c>
      <c r="P255" s="26">
        <f ca="1">IFERROR(VLOOKUP(DadosViagem5[[#This Row],[Placa]],[1]BIP!A:E,5,FALSE),"")</f>
        <v>0</v>
      </c>
      <c r="Q255" s="27">
        <f ca="1">DATEDIF(DadosViagem5[[#This Row],[BIP]],TODAY(),"D")</f>
        <v>45990</v>
      </c>
      <c r="R255" s="28" t="str">
        <f>IFERROR(VLOOKUP(DadosViagem5[[#This Row],[Placa]],[1]DDS!B:C,2,FALSE),"Verificar cadastro")</f>
        <v>Verificar cadastro</v>
      </c>
      <c r="S255" s="29" t="s">
        <v>48</v>
      </c>
      <c r="T255" s="23"/>
      <c r="U255" s="30"/>
      <c r="V255" s="31"/>
      <c r="W255" s="32" t="s">
        <v>384</v>
      </c>
      <c r="X255" s="33"/>
      <c r="Y255" s="34"/>
      <c r="Z255" s="32"/>
      <c r="AA255" s="20" t="s">
        <v>49</v>
      </c>
      <c r="AB255" s="20" t="s">
        <v>49</v>
      </c>
      <c r="AC255" s="19" t="s">
        <v>49</v>
      </c>
      <c r="AD255" s="19" t="str">
        <f ca="1">IFERROR(DATEDIF(DadosViagem5[[#This Row],[Utimo Bip Reserva]],TODAY(),"D"),"")</f>
        <v/>
      </c>
      <c r="AE255" s="35" t="s">
        <v>49</v>
      </c>
      <c r="AF255" s="35" t="s">
        <v>49</v>
      </c>
      <c r="AG255" s="36" t="s">
        <v>290</v>
      </c>
      <c r="AH255" s="25">
        <v>45807</v>
      </c>
      <c r="AI255" s="36" t="str">
        <f>IF(DadosViagem5[[#This Row],[Dias em manutenção ]]&lt;5,"Dentro do Prazo","Fora do Prazo")</f>
        <v>Fora do Prazo</v>
      </c>
      <c r="AJ255" s="36" t="e">
        <v>#REF!</v>
      </c>
    </row>
    <row r="256" spans="1:36">
      <c r="A256" s="19" t="s">
        <v>435</v>
      </c>
      <c r="B256" s="20"/>
      <c r="C256" s="19" t="s">
        <v>286</v>
      </c>
      <c r="D256" s="19" t="s">
        <v>273</v>
      </c>
      <c r="E256" s="19" t="s">
        <v>39</v>
      </c>
      <c r="F256" s="19" t="s">
        <v>106</v>
      </c>
      <c r="G256" s="19"/>
      <c r="H256" s="20">
        <v>2022</v>
      </c>
      <c r="I256" s="19" t="s">
        <v>41</v>
      </c>
      <c r="J256" s="19" t="s">
        <v>276</v>
      </c>
      <c r="K256" s="21" t="s">
        <v>277</v>
      </c>
      <c r="L256" s="22" t="s">
        <v>44</v>
      </c>
      <c r="M256" s="23" t="s">
        <v>45</v>
      </c>
      <c r="N256" s="36" t="s">
        <v>287</v>
      </c>
      <c r="O256" s="65" t="s">
        <v>288</v>
      </c>
      <c r="P256" s="26">
        <f ca="1">IFERROR(VLOOKUP(DadosViagem5[[#This Row],[Placa]],[1]BIP!A:E,5,FALSE),"")</f>
        <v>0</v>
      </c>
      <c r="Q256" s="27">
        <f ca="1">DATEDIF(DadosViagem5[[#This Row],[BIP]],TODAY(),"D")</f>
        <v>45990</v>
      </c>
      <c r="R256" s="28" t="str">
        <f>IFERROR(VLOOKUP(DadosViagem5[[#This Row],[Placa]],[1]DDS!B:C,2,FALSE),"Verificar cadastro")</f>
        <v>Verificar cadastro</v>
      </c>
      <c r="S256" s="29" t="s">
        <v>48</v>
      </c>
      <c r="T256" s="23"/>
      <c r="U256" s="30"/>
      <c r="V256" s="31"/>
      <c r="W256" s="32" t="s">
        <v>384</v>
      </c>
      <c r="X256" s="33"/>
      <c r="Y256" s="34"/>
      <c r="Z256" s="32"/>
      <c r="AA256" s="20" t="s">
        <v>49</v>
      </c>
      <c r="AB256" s="20" t="s">
        <v>49</v>
      </c>
      <c r="AC256" s="19" t="s">
        <v>49</v>
      </c>
      <c r="AD256" s="19" t="str">
        <f ca="1">IFERROR(DATEDIF(DadosViagem5[[#This Row],[Utimo Bip Reserva]],TODAY(),"D"),"")</f>
        <v/>
      </c>
      <c r="AE256" s="25" t="s">
        <v>49</v>
      </c>
      <c r="AF256" s="25" t="s">
        <v>49</v>
      </c>
      <c r="AG256" s="36" t="s">
        <v>290</v>
      </c>
      <c r="AH256" s="25">
        <v>45807</v>
      </c>
      <c r="AI256" s="36" t="str">
        <f>IF(DadosViagem5[[#This Row],[Dias em manutenção ]]&lt;5,"Dentro do Prazo","Fora do Prazo")</f>
        <v>Fora do Prazo</v>
      </c>
      <c r="AJ256" s="36" t="e">
        <v>#REF!</v>
      </c>
    </row>
    <row r="257" spans="1:36">
      <c r="A257" s="19" t="s">
        <v>436</v>
      </c>
      <c r="B257" s="20"/>
      <c r="C257" s="19" t="s">
        <v>286</v>
      </c>
      <c r="D257" s="19" t="s">
        <v>273</v>
      </c>
      <c r="E257" s="19" t="s">
        <v>39</v>
      </c>
      <c r="F257" s="19" t="s">
        <v>106</v>
      </c>
      <c r="G257" s="19"/>
      <c r="H257" s="20">
        <v>2022</v>
      </c>
      <c r="I257" s="19" t="s">
        <v>41</v>
      </c>
      <c r="J257" s="19" t="s">
        <v>276</v>
      </c>
      <c r="K257" s="21" t="s">
        <v>277</v>
      </c>
      <c r="L257" s="22" t="s">
        <v>44</v>
      </c>
      <c r="M257" s="23" t="s">
        <v>45</v>
      </c>
      <c r="N257" s="36" t="s">
        <v>287</v>
      </c>
      <c r="O257" s="65" t="s">
        <v>288</v>
      </c>
      <c r="P257" s="26">
        <f ca="1">IFERROR(VLOOKUP(DadosViagem5[[#This Row],[Placa]],[1]BIP!A:E,5,FALSE),"")</f>
        <v>0</v>
      </c>
      <c r="Q257" s="27">
        <f ca="1">DATEDIF(DadosViagem5[[#This Row],[BIP]],TODAY(),"D")</f>
        <v>45990</v>
      </c>
      <c r="R257" s="28" t="str">
        <f>IFERROR(VLOOKUP(DadosViagem5[[#This Row],[Placa]],[1]DDS!B:C,2,FALSE),"Verificar cadastro")</f>
        <v>Verificar cadastro</v>
      </c>
      <c r="S257" s="29" t="s">
        <v>48</v>
      </c>
      <c r="T257" s="23"/>
      <c r="U257" s="30"/>
      <c r="V257" s="31"/>
      <c r="W257" s="32" t="s">
        <v>384</v>
      </c>
      <c r="X257" s="33"/>
      <c r="Y257" s="34"/>
      <c r="Z257" s="32"/>
      <c r="AA257" s="20" t="s">
        <v>49</v>
      </c>
      <c r="AB257" s="20" t="s">
        <v>49</v>
      </c>
      <c r="AC257" s="19" t="s">
        <v>49</v>
      </c>
      <c r="AD257" s="19" t="str">
        <f ca="1">IFERROR(DATEDIF(DadosViagem5[[#This Row],[Utimo Bip Reserva]],TODAY(),"D"),"")</f>
        <v/>
      </c>
      <c r="AE257" s="16" t="s">
        <v>49</v>
      </c>
      <c r="AF257" s="16" t="s">
        <v>49</v>
      </c>
      <c r="AG257" s="36" t="s">
        <v>290</v>
      </c>
      <c r="AH257" s="25">
        <v>45807</v>
      </c>
      <c r="AI257" s="36" t="str">
        <f>IF(DadosViagem5[[#This Row],[Dias em manutenção ]]&lt;5,"Dentro do Prazo","Fora do Prazo")</f>
        <v>Fora do Prazo</v>
      </c>
      <c r="AJ257" s="36" t="e">
        <v>#REF!</v>
      </c>
    </row>
    <row r="258" spans="1:36">
      <c r="A258" s="19" t="s">
        <v>437</v>
      </c>
      <c r="B258" s="20"/>
      <c r="C258" s="19" t="s">
        <v>286</v>
      </c>
      <c r="D258" s="19" t="s">
        <v>273</v>
      </c>
      <c r="E258" s="19" t="s">
        <v>39</v>
      </c>
      <c r="F258" s="19" t="s">
        <v>106</v>
      </c>
      <c r="G258" s="19"/>
      <c r="H258" s="20">
        <v>2024</v>
      </c>
      <c r="I258" s="19" t="s">
        <v>41</v>
      </c>
      <c r="J258" s="19" t="s">
        <v>276</v>
      </c>
      <c r="K258" s="21" t="s">
        <v>277</v>
      </c>
      <c r="L258" s="22" t="s">
        <v>44</v>
      </c>
      <c r="M258" s="23" t="s">
        <v>45</v>
      </c>
      <c r="N258" s="36" t="s">
        <v>287</v>
      </c>
      <c r="O258" s="65" t="s">
        <v>288</v>
      </c>
      <c r="P258" s="26">
        <f ca="1">IFERROR(VLOOKUP(DadosViagem5[[#This Row],[Placa]],[1]BIP!A:E,5,FALSE),"")</f>
        <v>0</v>
      </c>
      <c r="Q258" s="27">
        <f ca="1">DATEDIF(DadosViagem5[[#This Row],[BIP]],TODAY(),"D")</f>
        <v>45990</v>
      </c>
      <c r="R258" s="28" t="str">
        <f>IFERROR(VLOOKUP(DadosViagem5[[#This Row],[Placa]],[1]DDS!B:C,2,FALSE),"Verificar cadastro")</f>
        <v> </v>
      </c>
      <c r="S258" s="29" t="s">
        <v>48</v>
      </c>
      <c r="T258" s="23"/>
      <c r="U258" s="30"/>
      <c r="V258" s="31"/>
      <c r="W258" s="32" t="s">
        <v>384</v>
      </c>
      <c r="X258" s="33"/>
      <c r="Y258" s="34"/>
      <c r="Z258" s="32"/>
      <c r="AA258" s="20" t="s">
        <v>49</v>
      </c>
      <c r="AB258" s="20" t="s">
        <v>49</v>
      </c>
      <c r="AC258" s="19" t="s">
        <v>49</v>
      </c>
      <c r="AD258" s="19" t="str">
        <f ca="1">IFERROR(DATEDIF(DadosViagem5[[#This Row],[Utimo Bip Reserva]],TODAY(),"D"),"")</f>
        <v/>
      </c>
      <c r="AE258" s="25" t="s">
        <v>49</v>
      </c>
      <c r="AF258" s="25" t="s">
        <v>49</v>
      </c>
      <c r="AG258" s="36" t="s">
        <v>290</v>
      </c>
      <c r="AH258" s="25">
        <v>45807</v>
      </c>
      <c r="AI258" s="36" t="str">
        <f>IF(DadosViagem5[[#This Row],[Dias em manutenção ]]&lt;5,"Dentro do Prazo","Fora do Prazo")</f>
        <v>Fora do Prazo</v>
      </c>
      <c r="AJ258" s="36" t="e">
        <v>#REF!</v>
      </c>
    </row>
    <row r="259" spans="1:36">
      <c r="A259" s="19" t="s">
        <v>438</v>
      </c>
      <c r="B259" s="20"/>
      <c r="C259" s="19" t="s">
        <v>286</v>
      </c>
      <c r="D259" s="19" t="s">
        <v>273</v>
      </c>
      <c r="E259" s="19" t="s">
        <v>39</v>
      </c>
      <c r="F259" s="19" t="s">
        <v>106</v>
      </c>
      <c r="G259" s="19"/>
      <c r="H259" s="20">
        <v>2024</v>
      </c>
      <c r="I259" s="19" t="s">
        <v>41</v>
      </c>
      <c r="J259" s="19" t="s">
        <v>276</v>
      </c>
      <c r="K259" s="21" t="s">
        <v>277</v>
      </c>
      <c r="L259" s="22" t="s">
        <v>44</v>
      </c>
      <c r="M259" s="23" t="s">
        <v>45</v>
      </c>
      <c r="N259" s="36" t="s">
        <v>287</v>
      </c>
      <c r="O259" s="65" t="s">
        <v>288</v>
      </c>
      <c r="P259" s="26">
        <f ca="1">IFERROR(VLOOKUP(DadosViagem5[[#This Row],[Placa]],[1]BIP!A:E,5,FALSE),"")</f>
        <v>0</v>
      </c>
      <c r="Q259" s="27">
        <f ca="1">DATEDIF(DadosViagem5[[#This Row],[BIP]],TODAY(),"D")</f>
        <v>45990</v>
      </c>
      <c r="R259" s="28" t="str">
        <f>IFERROR(VLOOKUP(DadosViagem5[[#This Row],[Placa]],[1]DDS!B:C,2,FALSE),"Verificar cadastro")</f>
        <v> </v>
      </c>
      <c r="S259" s="29" t="s">
        <v>48</v>
      </c>
      <c r="T259" s="23"/>
      <c r="U259" s="30"/>
      <c r="V259" s="31"/>
      <c r="W259" s="32" t="s">
        <v>384</v>
      </c>
      <c r="X259" s="33"/>
      <c r="Y259" s="34"/>
      <c r="Z259" s="32"/>
      <c r="AA259" s="20" t="s">
        <v>49</v>
      </c>
      <c r="AB259" s="20" t="s">
        <v>49</v>
      </c>
      <c r="AC259" s="19" t="s">
        <v>49</v>
      </c>
      <c r="AD259" s="19" t="str">
        <f ca="1">IFERROR(DATEDIF(DadosViagem5[[#This Row],[Utimo Bip Reserva]],TODAY(),"D"),"")</f>
        <v/>
      </c>
      <c r="AE259" s="25" t="s">
        <v>49</v>
      </c>
      <c r="AF259" s="25" t="s">
        <v>49</v>
      </c>
      <c r="AG259" s="36" t="s">
        <v>290</v>
      </c>
      <c r="AH259" s="25">
        <v>45807</v>
      </c>
      <c r="AI259" s="36" t="str">
        <f>IF(DadosViagem5[[#This Row],[Dias em manutenção ]]&lt;5,"Dentro do Prazo","Fora do Prazo")</f>
        <v>Fora do Prazo</v>
      </c>
      <c r="AJ259" s="36" t="e">
        <v>#REF!</v>
      </c>
    </row>
    <row r="260" spans="1:36">
      <c r="A260" s="19" t="s">
        <v>439</v>
      </c>
      <c r="B260" s="20"/>
      <c r="C260" s="19" t="s">
        <v>286</v>
      </c>
      <c r="D260" s="19" t="s">
        <v>273</v>
      </c>
      <c r="E260" s="19" t="s">
        <v>39</v>
      </c>
      <c r="F260" s="19" t="s">
        <v>106</v>
      </c>
      <c r="G260" s="19"/>
      <c r="H260" s="20">
        <v>2024</v>
      </c>
      <c r="I260" s="19" t="s">
        <v>41</v>
      </c>
      <c r="J260" s="19" t="s">
        <v>276</v>
      </c>
      <c r="K260" s="21" t="s">
        <v>277</v>
      </c>
      <c r="L260" s="22" t="s">
        <v>44</v>
      </c>
      <c r="M260" s="23" t="s">
        <v>45</v>
      </c>
      <c r="N260" s="36" t="s">
        <v>287</v>
      </c>
      <c r="O260" s="65" t="s">
        <v>288</v>
      </c>
      <c r="P260" s="26">
        <f ca="1">IFERROR(VLOOKUP(DadosViagem5[[#This Row],[Placa]],[1]BIP!A:E,5,FALSE),"")</f>
        <v>0</v>
      </c>
      <c r="Q260" s="27">
        <f ca="1">DATEDIF(DadosViagem5[[#This Row],[BIP]],TODAY(),"D")</f>
        <v>45990</v>
      </c>
      <c r="R260" s="28" t="str">
        <f>IFERROR(VLOOKUP(DadosViagem5[[#This Row],[Placa]],[1]DDS!B:C,2,FALSE),"Verificar cadastro")</f>
        <v>Verificar cadastro</v>
      </c>
      <c r="S260" s="29" t="s">
        <v>48</v>
      </c>
      <c r="T260" s="23"/>
      <c r="U260" s="30"/>
      <c r="V260" s="31"/>
      <c r="W260" s="32" t="s">
        <v>384</v>
      </c>
      <c r="X260" s="33"/>
      <c r="Y260" s="34"/>
      <c r="Z260" s="32"/>
      <c r="AA260" s="20" t="s">
        <v>49</v>
      </c>
      <c r="AB260" s="20" t="s">
        <v>49</v>
      </c>
      <c r="AC260" s="19" t="s">
        <v>49</v>
      </c>
      <c r="AD260" s="19" t="str">
        <f ca="1">IFERROR(DATEDIF(DadosViagem5[[#This Row],[Utimo Bip Reserva]],TODAY(),"D"),"")</f>
        <v/>
      </c>
      <c r="AE260" s="25" t="s">
        <v>49</v>
      </c>
      <c r="AF260" s="25" t="s">
        <v>49</v>
      </c>
      <c r="AG260" s="36" t="s">
        <v>290</v>
      </c>
      <c r="AH260" s="25">
        <v>45807</v>
      </c>
      <c r="AI260" s="36" t="str">
        <f>IF(DadosViagem5[[#This Row],[Dias em manutenção ]]&lt;5,"Dentro do Prazo","Fora do Prazo")</f>
        <v>Fora do Prazo</v>
      </c>
      <c r="AJ260" s="36" t="e">
        <v>#REF!</v>
      </c>
    </row>
    <row r="261" spans="1:36">
      <c r="A261" s="19" t="s">
        <v>440</v>
      </c>
      <c r="B261" s="20"/>
      <c r="C261" s="19" t="s">
        <v>286</v>
      </c>
      <c r="D261" s="19" t="s">
        <v>273</v>
      </c>
      <c r="E261" s="19" t="s">
        <v>39</v>
      </c>
      <c r="F261" s="19" t="s">
        <v>106</v>
      </c>
      <c r="G261" s="19"/>
      <c r="H261" s="20">
        <v>2024</v>
      </c>
      <c r="I261" s="19" t="s">
        <v>41</v>
      </c>
      <c r="J261" s="19" t="s">
        <v>276</v>
      </c>
      <c r="K261" s="21" t="s">
        <v>277</v>
      </c>
      <c r="L261" s="22" t="s">
        <v>44</v>
      </c>
      <c r="M261" s="23" t="s">
        <v>45</v>
      </c>
      <c r="N261" s="36" t="s">
        <v>287</v>
      </c>
      <c r="O261" s="65" t="s">
        <v>288</v>
      </c>
      <c r="P261" s="26">
        <f ca="1">IFERROR(VLOOKUP(DadosViagem5[[#This Row],[Placa]],[1]BIP!A:E,5,FALSE),"")</f>
        <v>0</v>
      </c>
      <c r="Q261" s="27">
        <f ca="1">DATEDIF(DadosViagem5[[#This Row],[BIP]],TODAY(),"D")</f>
        <v>45990</v>
      </c>
      <c r="R261" s="28" t="str">
        <f>IFERROR(VLOOKUP(DadosViagem5[[#This Row],[Placa]],[1]DDS!B:C,2,FALSE),"Verificar cadastro")</f>
        <v> </v>
      </c>
      <c r="S261" s="29" t="s">
        <v>48</v>
      </c>
      <c r="T261" s="23"/>
      <c r="U261" s="30"/>
      <c r="V261" s="31"/>
      <c r="W261" s="32" t="s">
        <v>384</v>
      </c>
      <c r="X261" s="33"/>
      <c r="Y261" s="34"/>
      <c r="Z261" s="32"/>
      <c r="AA261" s="20" t="s">
        <v>49</v>
      </c>
      <c r="AB261" s="20" t="s">
        <v>49</v>
      </c>
      <c r="AC261" s="19" t="s">
        <v>49</v>
      </c>
      <c r="AD261" s="19" t="str">
        <f ca="1">IFERROR(DATEDIF(DadosViagem5[[#This Row],[Utimo Bip Reserva]],TODAY(),"D"),"")</f>
        <v/>
      </c>
      <c r="AE261" s="25" t="s">
        <v>49</v>
      </c>
      <c r="AF261" s="25" t="s">
        <v>49</v>
      </c>
      <c r="AG261" s="36" t="s">
        <v>290</v>
      </c>
      <c r="AH261" s="25">
        <v>45807</v>
      </c>
      <c r="AI261" s="36" t="str">
        <f>IF(DadosViagem5[[#This Row],[Dias em manutenção ]]&lt;5,"Dentro do Prazo","Fora do Prazo")</f>
        <v>Fora do Prazo</v>
      </c>
      <c r="AJ261" s="36" t="e">
        <v>#REF!</v>
      </c>
    </row>
    <row r="262" spans="1:36">
      <c r="A262" s="19" t="s">
        <v>441</v>
      </c>
      <c r="B262" s="20"/>
      <c r="C262" s="19" t="s">
        <v>286</v>
      </c>
      <c r="D262" s="19" t="s">
        <v>273</v>
      </c>
      <c r="E262" s="19" t="s">
        <v>39</v>
      </c>
      <c r="F262" s="19" t="s">
        <v>106</v>
      </c>
      <c r="G262" s="19"/>
      <c r="H262" s="20">
        <v>2024</v>
      </c>
      <c r="I262" s="19" t="s">
        <v>41</v>
      </c>
      <c r="J262" s="19" t="s">
        <v>276</v>
      </c>
      <c r="K262" s="21" t="s">
        <v>277</v>
      </c>
      <c r="L262" s="22" t="s">
        <v>44</v>
      </c>
      <c r="M262" s="23" t="s">
        <v>45</v>
      </c>
      <c r="N262" s="36" t="s">
        <v>287</v>
      </c>
      <c r="O262" s="65" t="s">
        <v>288</v>
      </c>
      <c r="P262" s="26">
        <f ca="1">IFERROR(VLOOKUP(DadosViagem5[[#This Row],[Placa]],[1]BIP!A:E,5,FALSE),"")</f>
        <v>0</v>
      </c>
      <c r="Q262" s="27">
        <f ca="1">DATEDIF(DadosViagem5[[#This Row],[BIP]],TODAY(),"D")</f>
        <v>45990</v>
      </c>
      <c r="R262" s="28" t="str">
        <f>IFERROR(VLOOKUP(DadosViagem5[[#This Row],[Placa]],[1]DDS!B:C,2,FALSE),"Verificar cadastro")</f>
        <v> </v>
      </c>
      <c r="S262" s="29" t="s">
        <v>48</v>
      </c>
      <c r="T262" s="23"/>
      <c r="U262" s="30"/>
      <c r="V262" s="31"/>
      <c r="W262" s="32" t="s">
        <v>384</v>
      </c>
      <c r="X262" s="33"/>
      <c r="Y262" s="34"/>
      <c r="Z262" s="32"/>
      <c r="AA262" s="20" t="s">
        <v>49</v>
      </c>
      <c r="AB262" s="20" t="s">
        <v>49</v>
      </c>
      <c r="AC262" s="19" t="s">
        <v>49</v>
      </c>
      <c r="AD262" s="19" t="str">
        <f ca="1">IFERROR(DATEDIF(DadosViagem5[[#This Row],[Utimo Bip Reserva]],TODAY(),"D"),"")</f>
        <v/>
      </c>
      <c r="AE262" s="35" t="s">
        <v>49</v>
      </c>
      <c r="AF262" s="35" t="s">
        <v>49</v>
      </c>
      <c r="AG262" s="36" t="s">
        <v>290</v>
      </c>
      <c r="AH262" s="25">
        <v>45807</v>
      </c>
      <c r="AI262" s="36" t="str">
        <f>IF(DadosViagem5[[#This Row],[Dias em manutenção ]]&lt;5,"Dentro do Prazo","Fora do Prazo")</f>
        <v>Fora do Prazo</v>
      </c>
      <c r="AJ262" s="36" t="e">
        <v>#REF!</v>
      </c>
    </row>
    <row r="263" spans="1:36">
      <c r="A263" s="19" t="s">
        <v>442</v>
      </c>
      <c r="B263" s="20"/>
      <c r="C263" s="19" t="s">
        <v>286</v>
      </c>
      <c r="D263" s="19" t="s">
        <v>273</v>
      </c>
      <c r="E263" s="19" t="s">
        <v>39</v>
      </c>
      <c r="F263" s="19" t="s">
        <v>106</v>
      </c>
      <c r="G263" s="19"/>
      <c r="H263" s="20">
        <v>2024</v>
      </c>
      <c r="I263" s="19" t="s">
        <v>41</v>
      </c>
      <c r="J263" s="19" t="s">
        <v>276</v>
      </c>
      <c r="K263" s="21" t="s">
        <v>277</v>
      </c>
      <c r="L263" s="22" t="s">
        <v>44</v>
      </c>
      <c r="M263" s="23" t="s">
        <v>45</v>
      </c>
      <c r="N263" s="36" t="s">
        <v>287</v>
      </c>
      <c r="O263" s="65" t="s">
        <v>288</v>
      </c>
      <c r="P263" s="26">
        <f ca="1">IFERROR(VLOOKUP(DadosViagem5[[#This Row],[Placa]],[1]BIP!A:E,5,FALSE),"")</f>
        <v>0</v>
      </c>
      <c r="Q263" s="27">
        <f ca="1">DATEDIF(DadosViagem5[[#This Row],[BIP]],TODAY(),"D")</f>
        <v>45990</v>
      </c>
      <c r="R263" s="28" t="str">
        <f>IFERROR(VLOOKUP(DadosViagem5[[#This Row],[Placa]],[1]DDS!B:C,2,FALSE),"Verificar cadastro")</f>
        <v>Verificar cadastro</v>
      </c>
      <c r="S263" s="29" t="s">
        <v>48</v>
      </c>
      <c r="T263" s="23"/>
      <c r="U263" s="30"/>
      <c r="V263" s="31"/>
      <c r="W263" s="32" t="s">
        <v>384</v>
      </c>
      <c r="X263" s="33"/>
      <c r="Y263" s="34"/>
      <c r="Z263" s="32"/>
      <c r="AA263" s="20" t="s">
        <v>49</v>
      </c>
      <c r="AB263" s="20" t="s">
        <v>49</v>
      </c>
      <c r="AC263" s="19" t="s">
        <v>49</v>
      </c>
      <c r="AD263" s="19" t="str">
        <f ca="1">IFERROR(DATEDIF(DadosViagem5[[#This Row],[Utimo Bip Reserva]],TODAY(),"D"),"")</f>
        <v/>
      </c>
      <c r="AE263" s="25" t="s">
        <v>49</v>
      </c>
      <c r="AF263" s="25" t="s">
        <v>49</v>
      </c>
      <c r="AG263" s="36" t="s">
        <v>290</v>
      </c>
      <c r="AH263" s="25">
        <v>45807</v>
      </c>
      <c r="AI263" s="36" t="str">
        <f>IF(DadosViagem5[[#This Row],[Dias em manutenção ]]&lt;5,"Dentro do Prazo","Fora do Prazo")</f>
        <v>Fora do Prazo</v>
      </c>
      <c r="AJ263" s="36" t="e">
        <v>#REF!</v>
      </c>
    </row>
    <row r="264" spans="1:36">
      <c r="A264" s="19" t="s">
        <v>443</v>
      </c>
      <c r="B264" s="20"/>
      <c r="C264" s="19" t="s">
        <v>286</v>
      </c>
      <c r="D264" s="19" t="s">
        <v>273</v>
      </c>
      <c r="E264" s="19" t="s">
        <v>39</v>
      </c>
      <c r="F264" s="19" t="s">
        <v>106</v>
      </c>
      <c r="G264" s="19"/>
      <c r="H264" s="20">
        <v>2024</v>
      </c>
      <c r="I264" s="19" t="s">
        <v>41</v>
      </c>
      <c r="J264" s="19" t="s">
        <v>276</v>
      </c>
      <c r="K264" s="21" t="s">
        <v>277</v>
      </c>
      <c r="L264" s="22" t="s">
        <v>44</v>
      </c>
      <c r="M264" s="23" t="s">
        <v>45</v>
      </c>
      <c r="N264" s="36" t="s">
        <v>287</v>
      </c>
      <c r="O264" s="65" t="s">
        <v>288</v>
      </c>
      <c r="P264" s="26">
        <f ca="1">IFERROR(VLOOKUP(DadosViagem5[[#This Row],[Placa]],[1]BIP!A:E,5,FALSE),"")</f>
        <v>0</v>
      </c>
      <c r="Q264" s="27">
        <f ca="1">DATEDIF(DadosViagem5[[#This Row],[BIP]],TODAY(),"D")</f>
        <v>45990</v>
      </c>
      <c r="R264" s="28" t="str">
        <f>IFERROR(VLOOKUP(DadosViagem5[[#This Row],[Placa]],[1]DDS!B:C,2,FALSE),"Verificar cadastro")</f>
        <v> </v>
      </c>
      <c r="S264" s="29" t="s">
        <v>48</v>
      </c>
      <c r="T264" s="23"/>
      <c r="U264" s="30"/>
      <c r="V264" s="31"/>
      <c r="W264" s="32" t="s">
        <v>384</v>
      </c>
      <c r="X264" s="33"/>
      <c r="Y264" s="34"/>
      <c r="Z264" s="32"/>
      <c r="AA264" s="20" t="s">
        <v>49</v>
      </c>
      <c r="AB264" s="20" t="s">
        <v>49</v>
      </c>
      <c r="AC264" s="19" t="s">
        <v>49</v>
      </c>
      <c r="AD264" s="19" t="str">
        <f ca="1">IFERROR(DATEDIF(DadosViagem5[[#This Row],[Utimo Bip Reserva]],TODAY(),"D"),"")</f>
        <v/>
      </c>
      <c r="AE264" s="35" t="s">
        <v>49</v>
      </c>
      <c r="AF264" s="35" t="s">
        <v>49</v>
      </c>
      <c r="AG264" s="36" t="s">
        <v>290</v>
      </c>
      <c r="AH264" s="25">
        <v>45807</v>
      </c>
      <c r="AI264" s="36" t="str">
        <f>IF(DadosViagem5[[#This Row],[Dias em manutenção ]]&lt;5,"Dentro do Prazo","Fora do Prazo")</f>
        <v>Fora do Prazo</v>
      </c>
      <c r="AJ264" s="36" t="e">
        <v>#REF!</v>
      </c>
    </row>
    <row r="265" spans="1:36">
      <c r="A265" s="19" t="s">
        <v>444</v>
      </c>
      <c r="B265" s="20"/>
      <c r="C265" s="19" t="s">
        <v>286</v>
      </c>
      <c r="D265" s="19" t="s">
        <v>273</v>
      </c>
      <c r="E265" s="19" t="s">
        <v>39</v>
      </c>
      <c r="F265" s="19" t="s">
        <v>106</v>
      </c>
      <c r="G265" s="19"/>
      <c r="H265" s="20">
        <v>2024</v>
      </c>
      <c r="I265" s="19" t="s">
        <v>41</v>
      </c>
      <c r="J265" s="19" t="s">
        <v>276</v>
      </c>
      <c r="K265" s="21" t="s">
        <v>277</v>
      </c>
      <c r="L265" s="22" t="s">
        <v>44</v>
      </c>
      <c r="M265" s="23" t="s">
        <v>45</v>
      </c>
      <c r="N265" s="36" t="s">
        <v>287</v>
      </c>
      <c r="O265" s="65" t="s">
        <v>288</v>
      </c>
      <c r="P265" s="26">
        <f ca="1">IFERROR(VLOOKUP(DadosViagem5[[#This Row],[Placa]],[1]BIP!A:E,5,FALSE),"")</f>
        <v>0</v>
      </c>
      <c r="Q265" s="27">
        <f ca="1">DATEDIF(DadosViagem5[[#This Row],[BIP]],TODAY(),"D")</f>
        <v>45990</v>
      </c>
      <c r="R265" s="28" t="str">
        <f>IFERROR(VLOOKUP(DadosViagem5[[#This Row],[Placa]],[1]DDS!B:C,2,FALSE),"Verificar cadastro")</f>
        <v> </v>
      </c>
      <c r="S265" s="29" t="s">
        <v>48</v>
      </c>
      <c r="T265" s="23"/>
      <c r="U265" s="30"/>
      <c r="V265" s="31"/>
      <c r="W265" s="32" t="s">
        <v>384</v>
      </c>
      <c r="X265" s="33"/>
      <c r="Y265" s="34"/>
      <c r="Z265" s="32"/>
      <c r="AA265" s="20" t="s">
        <v>49</v>
      </c>
      <c r="AB265" s="20" t="s">
        <v>49</v>
      </c>
      <c r="AC265" s="19" t="s">
        <v>49</v>
      </c>
      <c r="AD265" s="19" t="str">
        <f ca="1">IFERROR(DATEDIF(DadosViagem5[[#This Row],[Utimo Bip Reserva]],TODAY(),"D"),"")</f>
        <v/>
      </c>
      <c r="AE265" s="25"/>
      <c r="AF265" s="25"/>
      <c r="AG265" s="36" t="s">
        <v>290</v>
      </c>
      <c r="AH265" s="25">
        <v>45807</v>
      </c>
      <c r="AI265" s="36" t="str">
        <f>IF(DadosViagem5[[#This Row],[Dias em manutenção ]]&lt;5,"Dentro do Prazo","Fora do Prazo")</f>
        <v>Fora do Prazo</v>
      </c>
      <c r="AJ265" s="36" t="e">
        <v>#REF!</v>
      </c>
    </row>
    <row r="266" spans="1:36">
      <c r="A266" s="19" t="s">
        <v>445</v>
      </c>
      <c r="B266" s="20"/>
      <c r="C266" s="19" t="s">
        <v>286</v>
      </c>
      <c r="D266" s="19" t="s">
        <v>273</v>
      </c>
      <c r="E266" s="19" t="s">
        <v>39</v>
      </c>
      <c r="F266" s="19" t="s">
        <v>106</v>
      </c>
      <c r="G266" s="19"/>
      <c r="H266" s="20">
        <v>2024</v>
      </c>
      <c r="I266" s="19" t="s">
        <v>41</v>
      </c>
      <c r="J266" s="19" t="s">
        <v>276</v>
      </c>
      <c r="K266" s="21" t="s">
        <v>277</v>
      </c>
      <c r="L266" s="22" t="s">
        <v>44</v>
      </c>
      <c r="M266" s="23" t="s">
        <v>45</v>
      </c>
      <c r="N266" s="36" t="s">
        <v>287</v>
      </c>
      <c r="O266" s="65" t="s">
        <v>288</v>
      </c>
      <c r="P266" s="26">
        <f ca="1">IFERROR(VLOOKUP(DadosViagem5[[#This Row],[Placa]],[1]BIP!A:E,5,FALSE),"")</f>
        <v>0</v>
      </c>
      <c r="Q266" s="27">
        <f ca="1">DATEDIF(DadosViagem5[[#This Row],[BIP]],TODAY(),"D")</f>
        <v>45990</v>
      </c>
      <c r="R266" s="28" t="str">
        <f>IFERROR(VLOOKUP(DadosViagem5[[#This Row],[Placa]],[1]DDS!B:C,2,FALSE),"Verificar cadastro")</f>
        <v> </v>
      </c>
      <c r="S266" s="29" t="s">
        <v>48</v>
      </c>
      <c r="T266" s="23"/>
      <c r="U266" s="30"/>
      <c r="V266" s="31"/>
      <c r="W266" s="32" t="s">
        <v>384</v>
      </c>
      <c r="X266" s="33"/>
      <c r="Y266" s="34"/>
      <c r="Z266" s="32"/>
      <c r="AA266" s="20" t="s">
        <v>49</v>
      </c>
      <c r="AB266" s="20" t="s">
        <v>49</v>
      </c>
      <c r="AC266" s="19" t="s">
        <v>49</v>
      </c>
      <c r="AD266" s="19" t="str">
        <f ca="1">IFERROR(DATEDIF(DadosViagem5[[#This Row],[Utimo Bip Reserva]],TODAY(),"D"),"")</f>
        <v/>
      </c>
      <c r="AE266" s="36"/>
      <c r="AF266" s="25"/>
      <c r="AG266" s="24" t="s">
        <v>290</v>
      </c>
      <c r="AH266" s="25">
        <v>45807</v>
      </c>
      <c r="AI266" s="36" t="str">
        <f>IF(DadosViagem5[[#This Row],[Dias em manutenção ]]&lt;5,"Dentro do Prazo","Fora do Prazo")</f>
        <v>Fora do Prazo</v>
      </c>
      <c r="AJ266" s="36" t="e">
        <v>#REF!</v>
      </c>
    </row>
    <row r="267" spans="1:36">
      <c r="A267" s="19" t="s">
        <v>446</v>
      </c>
      <c r="B267" s="20"/>
      <c r="C267" s="19" t="s">
        <v>286</v>
      </c>
      <c r="D267" s="19" t="s">
        <v>273</v>
      </c>
      <c r="E267" s="19" t="s">
        <v>39</v>
      </c>
      <c r="F267" s="19" t="s">
        <v>106</v>
      </c>
      <c r="G267" s="19"/>
      <c r="H267" s="20">
        <v>2024</v>
      </c>
      <c r="I267" s="19" t="s">
        <v>41</v>
      </c>
      <c r="J267" s="19" t="s">
        <v>276</v>
      </c>
      <c r="K267" s="21" t="s">
        <v>277</v>
      </c>
      <c r="L267" s="22" t="s">
        <v>44</v>
      </c>
      <c r="M267" s="23" t="s">
        <v>45</v>
      </c>
      <c r="N267" s="36" t="s">
        <v>287</v>
      </c>
      <c r="O267" s="65" t="s">
        <v>288</v>
      </c>
      <c r="P267" s="26">
        <f ca="1">IFERROR(VLOOKUP(DadosViagem5[[#This Row],[Placa]],[1]BIP!A:E,5,FALSE),"")</f>
        <v>0</v>
      </c>
      <c r="Q267" s="27">
        <f ca="1">DATEDIF(DadosViagem5[[#This Row],[BIP]],TODAY(),"D")</f>
        <v>45990</v>
      </c>
      <c r="R267" s="28" t="str">
        <f>IFERROR(VLOOKUP(DadosViagem5[[#This Row],[Placa]],[1]DDS!B:C,2,FALSE),"Verificar cadastro")</f>
        <v>Verificar cadastro</v>
      </c>
      <c r="S267" s="29" t="s">
        <v>48</v>
      </c>
      <c r="T267" s="23"/>
      <c r="U267" s="30"/>
      <c r="V267" s="31"/>
      <c r="W267" s="32" t="s">
        <v>384</v>
      </c>
      <c r="X267" s="33"/>
      <c r="Y267" s="34"/>
      <c r="Z267" s="32"/>
      <c r="AA267" s="20" t="s">
        <v>49</v>
      </c>
      <c r="AB267" s="20" t="s">
        <v>49</v>
      </c>
      <c r="AC267" s="19" t="s">
        <v>49</v>
      </c>
      <c r="AD267" s="19" t="str">
        <f ca="1">IFERROR(DATEDIF(DadosViagem5[[#This Row],[Utimo Bip Reserva]],TODAY(),"D"),"")</f>
        <v/>
      </c>
      <c r="AE267" s="29"/>
      <c r="AF267" s="35"/>
      <c r="AG267" s="24" t="s">
        <v>290</v>
      </c>
      <c r="AH267" s="25">
        <v>45807</v>
      </c>
      <c r="AI267" s="36" t="str">
        <f>IF(DadosViagem5[[#This Row],[Dias em manutenção ]]&lt;5,"Dentro do Prazo","Fora do Prazo")</f>
        <v>Fora do Prazo</v>
      </c>
      <c r="AJ267" s="36" t="e">
        <v>#REF!</v>
      </c>
    </row>
    <row r="268" spans="1:36">
      <c r="A268" s="19" t="s">
        <v>447</v>
      </c>
      <c r="B268" s="20"/>
      <c r="C268" s="19" t="s">
        <v>286</v>
      </c>
      <c r="D268" s="19" t="s">
        <v>273</v>
      </c>
      <c r="E268" s="19" t="s">
        <v>39</v>
      </c>
      <c r="F268" s="19" t="s">
        <v>106</v>
      </c>
      <c r="G268" s="19"/>
      <c r="H268" s="20">
        <v>2024</v>
      </c>
      <c r="I268" s="19" t="s">
        <v>41</v>
      </c>
      <c r="J268" s="19" t="s">
        <v>276</v>
      </c>
      <c r="K268" s="71" t="s">
        <v>277</v>
      </c>
      <c r="L268" s="22" t="s">
        <v>44</v>
      </c>
      <c r="M268" s="23" t="s">
        <v>45</v>
      </c>
      <c r="N268" s="36" t="s">
        <v>287</v>
      </c>
      <c r="O268" s="65" t="s">
        <v>288</v>
      </c>
      <c r="P268" s="26">
        <f ca="1">IFERROR(VLOOKUP(DadosViagem5[[#This Row],[Placa]],[1]BIP!A:E,5,FALSE),"")</f>
        <v>0</v>
      </c>
      <c r="Q268" s="27">
        <f ca="1">DATEDIF(DadosViagem5[[#This Row],[BIP]],TODAY(),"D")</f>
        <v>45990</v>
      </c>
      <c r="R268" s="28" t="str">
        <f>IFERROR(VLOOKUP(DadosViagem5[[#This Row],[Placa]],[1]DDS!B:C,2,FALSE),"Verificar cadastro")</f>
        <v>Verificar cadastro</v>
      </c>
      <c r="S268" s="29" t="s">
        <v>48</v>
      </c>
      <c r="T268" s="23"/>
      <c r="U268" s="30"/>
      <c r="V268" s="31"/>
      <c r="W268" s="32" t="s">
        <v>384</v>
      </c>
      <c r="X268" s="33"/>
      <c r="Y268" s="34"/>
      <c r="Z268" s="32"/>
      <c r="AA268" s="20" t="s">
        <v>49</v>
      </c>
      <c r="AB268" s="20" t="s">
        <v>49</v>
      </c>
      <c r="AC268" s="19" t="s">
        <v>49</v>
      </c>
      <c r="AD268" s="19" t="str">
        <f ca="1">IFERROR(DATEDIF(DadosViagem5[[#This Row],[Utimo Bip Reserva]],TODAY(),"D"),"")</f>
        <v/>
      </c>
      <c r="AE268" s="25"/>
      <c r="AF268" s="25"/>
      <c r="AG268" s="36" t="s">
        <v>290</v>
      </c>
      <c r="AH268" s="25">
        <v>45807</v>
      </c>
      <c r="AI268" s="36" t="str">
        <f>IF(DadosViagem5[[#This Row],[Dias em manutenção ]]&lt;5,"Dentro do Prazo","Fora do Prazo")</f>
        <v>Fora do Prazo</v>
      </c>
      <c r="AJ268" s="36" t="e">
        <v>#REF!</v>
      </c>
    </row>
    <row r="269" spans="1:36">
      <c r="A269" s="19" t="s">
        <v>448</v>
      </c>
      <c r="B269" s="20"/>
      <c r="C269" s="19" t="s">
        <v>286</v>
      </c>
      <c r="D269" s="19" t="s">
        <v>273</v>
      </c>
      <c r="E269" s="19" t="s">
        <v>39</v>
      </c>
      <c r="F269" s="19" t="s">
        <v>106</v>
      </c>
      <c r="G269" s="19"/>
      <c r="H269" s="20">
        <v>2024</v>
      </c>
      <c r="I269" s="19" t="s">
        <v>41</v>
      </c>
      <c r="J269" s="19" t="s">
        <v>276</v>
      </c>
      <c r="K269" s="21" t="s">
        <v>277</v>
      </c>
      <c r="L269" s="22" t="s">
        <v>44</v>
      </c>
      <c r="M269" s="23" t="s">
        <v>45</v>
      </c>
      <c r="N269" s="36" t="s">
        <v>287</v>
      </c>
      <c r="O269" s="65" t="s">
        <v>288</v>
      </c>
      <c r="P269" s="26">
        <f ca="1">IFERROR(VLOOKUP(DadosViagem5[[#This Row],[Placa]],[1]BIP!A:E,5,FALSE),"")</f>
        <v>0</v>
      </c>
      <c r="Q269" s="27">
        <f ca="1">DATEDIF(DadosViagem5[[#This Row],[BIP]],TODAY(),"D")</f>
        <v>45990</v>
      </c>
      <c r="R269" s="28" t="str">
        <f>IFERROR(VLOOKUP(DadosViagem5[[#This Row],[Placa]],[1]DDS!B:C,2,FALSE),"Verificar cadastro")</f>
        <v>Verificar cadastro</v>
      </c>
      <c r="S269" s="29" t="s">
        <v>48</v>
      </c>
      <c r="T269" s="23"/>
      <c r="U269" s="30"/>
      <c r="V269" s="47"/>
      <c r="W269" s="32" t="s">
        <v>384</v>
      </c>
      <c r="X269" s="33"/>
      <c r="Y269" s="34"/>
      <c r="Z269" s="32"/>
      <c r="AA269" s="20" t="s">
        <v>49</v>
      </c>
      <c r="AB269" s="20" t="s">
        <v>49</v>
      </c>
      <c r="AC269" s="19" t="s">
        <v>49</v>
      </c>
      <c r="AD269" s="19" t="str">
        <f ca="1">IFERROR(DATEDIF(DadosViagem5[[#This Row],[Utimo Bip Reserva]],TODAY(),"D"),"")</f>
        <v/>
      </c>
      <c r="AE269" s="25" t="s">
        <v>49</v>
      </c>
      <c r="AF269" s="25" t="s">
        <v>49</v>
      </c>
      <c r="AG269" s="36" t="s">
        <v>290</v>
      </c>
      <c r="AH269" s="25">
        <v>45807</v>
      </c>
      <c r="AI269" s="36" t="str">
        <f>IF(DadosViagem5[[#This Row],[Dias em manutenção ]]&lt;5,"Dentro do Prazo","Fora do Prazo")</f>
        <v>Fora do Prazo</v>
      </c>
      <c r="AJ269" s="36" t="e">
        <v>#REF!</v>
      </c>
    </row>
    <row r="270" spans="1:36">
      <c r="A270" s="19" t="s">
        <v>449</v>
      </c>
      <c r="B270" s="20"/>
      <c r="C270" s="19" t="s">
        <v>303</v>
      </c>
      <c r="D270" s="19" t="s">
        <v>98</v>
      </c>
      <c r="E270" s="19" t="s">
        <v>39</v>
      </c>
      <c r="F270" s="19" t="s">
        <v>106</v>
      </c>
      <c r="G270" s="19"/>
      <c r="H270" s="20">
        <v>2022</v>
      </c>
      <c r="I270" s="19" t="s">
        <v>41</v>
      </c>
      <c r="J270" s="19" t="s">
        <v>276</v>
      </c>
      <c r="K270" s="21" t="s">
        <v>277</v>
      </c>
      <c r="L270" s="22" t="s">
        <v>44</v>
      </c>
      <c r="M270" s="23" t="s">
        <v>45</v>
      </c>
      <c r="N270" s="36" t="s">
        <v>287</v>
      </c>
      <c r="O270" s="65" t="s">
        <v>288</v>
      </c>
      <c r="P270" s="26">
        <f ca="1">IFERROR(VLOOKUP(DadosViagem5[[#This Row],[Placa]],[1]BIP!A:E,5,FALSE),"")</f>
        <v>0</v>
      </c>
      <c r="Q270" s="27">
        <f ca="1">DATEDIF(DadosViagem5[[#This Row],[BIP]],TODAY(),"D")</f>
        <v>45990</v>
      </c>
      <c r="R270" s="28" t="str">
        <f>IFERROR(VLOOKUP(DadosViagem5[[#This Row],[Placa]],[1]DDS!B:C,2,FALSE),"Verificar cadastro")</f>
        <v>Verificar cadastro</v>
      </c>
      <c r="S270" s="29" t="s">
        <v>48</v>
      </c>
      <c r="T270" s="23"/>
      <c r="U270" s="30"/>
      <c r="V270" s="31"/>
      <c r="W270" s="32" t="s">
        <v>384</v>
      </c>
      <c r="X270" s="33"/>
      <c r="Y270" s="34"/>
      <c r="Z270" s="32"/>
      <c r="AA270" s="20" t="s">
        <v>49</v>
      </c>
      <c r="AB270" s="20" t="s">
        <v>49</v>
      </c>
      <c r="AC270" s="19" t="s">
        <v>49</v>
      </c>
      <c r="AD270" s="19" t="str">
        <f ca="1">IFERROR(DATEDIF(DadosViagem5[[#This Row],[Utimo Bip Reserva]],TODAY(),"D"),"")</f>
        <v/>
      </c>
      <c r="AE270" s="25" t="s">
        <v>49</v>
      </c>
      <c r="AF270" s="25" t="s">
        <v>49</v>
      </c>
      <c r="AG270" s="36"/>
      <c r="AH270" s="25">
        <v>45807</v>
      </c>
      <c r="AI270" s="36" t="str">
        <f>IF(DadosViagem5[[#This Row],[Dias em manutenção ]]&lt;5,"Dentro do Prazo","Fora do Prazo")</f>
        <v>Fora do Prazo</v>
      </c>
      <c r="AJ270" s="36" t="e">
        <v>#REF!</v>
      </c>
    </row>
    <row r="271" spans="1:36">
      <c r="A271" s="19" t="s">
        <v>450</v>
      </c>
      <c r="B271" s="20"/>
      <c r="C271" s="19" t="s">
        <v>88</v>
      </c>
      <c r="D271" s="19" t="s">
        <v>52</v>
      </c>
      <c r="E271" s="19" t="s">
        <v>57</v>
      </c>
      <c r="F271" s="19" t="s">
        <v>40</v>
      </c>
      <c r="G271" s="19"/>
      <c r="H271" s="20">
        <v>2023</v>
      </c>
      <c r="I271" s="19" t="s">
        <v>41</v>
      </c>
      <c r="J271" s="19" t="s">
        <v>451</v>
      </c>
      <c r="K271" s="21" t="s">
        <v>452</v>
      </c>
      <c r="L271" s="22" t="s">
        <v>60</v>
      </c>
      <c r="M271" s="23" t="s">
        <v>61</v>
      </c>
      <c r="N271" s="36" t="s">
        <v>453</v>
      </c>
      <c r="O271" s="65" t="s">
        <v>454</v>
      </c>
      <c r="P271" s="26">
        <f ca="1">IFERROR(VLOOKUP(DadosViagem5[[#This Row],[Placa]],[1]BIP!A:E,5,FALSE),"")</f>
        <v>45989</v>
      </c>
      <c r="Q271" s="27">
        <f ca="1">DATEDIF(DadosViagem5[[#This Row],[BIP]],TODAY(),"D")</f>
        <v>1</v>
      </c>
      <c r="R271" s="28" t="str">
        <f>IFERROR(VLOOKUP(DadosViagem5[[#This Row],[Placa]],[1]DDS!B:C,2,FALSE),"Verificar cadastro")</f>
        <v>Operando</v>
      </c>
      <c r="S271" s="29" t="s">
        <v>48</v>
      </c>
      <c r="T271" s="23"/>
      <c r="U271" s="30"/>
      <c r="V271" s="31"/>
      <c r="W271" s="32"/>
      <c r="X271" s="33"/>
      <c r="Y271" s="34"/>
      <c r="Z271" s="32"/>
      <c r="AA271" s="20" t="s">
        <v>49</v>
      </c>
      <c r="AB271" s="20" t="s">
        <v>49</v>
      </c>
      <c r="AC271" s="19" t="s">
        <v>49</v>
      </c>
      <c r="AD271" s="19" t="str">
        <f ca="1">IFERROR(DATEDIF(DadosViagem5[[#This Row],[Utimo Bip Reserva]],TODAY(),"D"),"")</f>
        <v/>
      </c>
      <c r="AE271" s="25" t="s">
        <v>49</v>
      </c>
      <c r="AF271" s="25" t="s">
        <v>49</v>
      </c>
      <c r="AG271" s="36"/>
      <c r="AH271" s="25">
        <v>45807</v>
      </c>
      <c r="AI271" s="36" t="str">
        <f>IF(DadosViagem5[[#This Row],[Dias em manutenção ]]&lt;5,"Dentro do Prazo","Fora do Prazo")</f>
        <v>Fora do Prazo</v>
      </c>
      <c r="AJ271" s="36" t="e">
        <v>#REF!</v>
      </c>
    </row>
    <row r="272" spans="1:36">
      <c r="A272" s="19" t="s">
        <v>455</v>
      </c>
      <c r="B272" s="20"/>
      <c r="C272" s="19" t="s">
        <v>131</v>
      </c>
      <c r="D272" s="19" t="s">
        <v>132</v>
      </c>
      <c r="E272" s="19" t="s">
        <v>57</v>
      </c>
      <c r="F272" s="19" t="s">
        <v>40</v>
      </c>
      <c r="G272" s="19"/>
      <c r="H272" s="20">
        <v>2022</v>
      </c>
      <c r="I272" s="19" t="s">
        <v>456</v>
      </c>
      <c r="J272" s="19" t="s">
        <v>457</v>
      </c>
      <c r="K272" s="21" t="s">
        <v>458</v>
      </c>
      <c r="L272" s="72" t="s">
        <v>60</v>
      </c>
      <c r="M272" s="46" t="s">
        <v>268</v>
      </c>
      <c r="N272" s="36" t="s">
        <v>459</v>
      </c>
      <c r="O272" s="36" t="s">
        <v>460</v>
      </c>
      <c r="P272" s="26">
        <f ca="1">IFERROR(VLOOKUP(DadosViagem5[[#This Row],[Placa]],[1]BIP!A:E,5,FALSE),"")</f>
        <v>45989</v>
      </c>
      <c r="Q272" s="27">
        <f ca="1">DATEDIF(DadosViagem5[[#This Row],[BIP]],TODAY(),"D")</f>
        <v>1</v>
      </c>
      <c r="R272" s="28" t="str">
        <f>IFERROR(VLOOKUP(DadosViagem5[[#This Row],[Placa]],[1]DDS!B:C,2,FALSE),"Verificar cadastro")</f>
        <v>Operando</v>
      </c>
      <c r="S272" s="29" t="s">
        <v>48</v>
      </c>
      <c r="T272" s="23"/>
      <c r="U272" s="30"/>
      <c r="V272" s="31"/>
      <c r="W272" s="32"/>
      <c r="X272" s="33" t="s">
        <v>55</v>
      </c>
      <c r="Y272" s="34" t="s">
        <v>49</v>
      </c>
      <c r="Z272" s="32"/>
      <c r="AA272" s="20" t="s">
        <v>49</v>
      </c>
      <c r="AB272" s="20" t="s">
        <v>49</v>
      </c>
      <c r="AC272" s="19" t="s">
        <v>49</v>
      </c>
      <c r="AD272" s="19" t="str">
        <f ca="1">IFERROR(DATEDIF(DadosViagem5[[#This Row],[Utimo Bip Reserva]],TODAY(),"D"),"")</f>
        <v/>
      </c>
      <c r="AE272" s="36" t="s">
        <v>49</v>
      </c>
      <c r="AF272" s="25" t="s">
        <v>49</v>
      </c>
      <c r="AG272" s="36"/>
      <c r="AH272" s="25">
        <v>45807</v>
      </c>
      <c r="AI272" s="36" t="str">
        <f>IF(DadosViagem5[[#This Row],[Dias em manutenção ]]&lt;5,"Dentro do Prazo","Fora do Prazo")</f>
        <v>Fora do Prazo</v>
      </c>
      <c r="AJ272" s="36" t="e">
        <v>#REF!</v>
      </c>
    </row>
    <row r="273" spans="1:36">
      <c r="A273" s="19" t="s">
        <v>461</v>
      </c>
      <c r="B273" s="20"/>
      <c r="C273" s="19" t="s">
        <v>74</v>
      </c>
      <c r="D273" s="19" t="s">
        <v>52</v>
      </c>
      <c r="E273" s="19" t="s">
        <v>75</v>
      </c>
      <c r="F273" s="19" t="s">
        <v>76</v>
      </c>
      <c r="G273" s="19"/>
      <c r="H273" s="20">
        <v>2023</v>
      </c>
      <c r="I273" s="19" t="s">
        <v>41</v>
      </c>
      <c r="J273" s="19" t="s">
        <v>462</v>
      </c>
      <c r="K273" s="53" t="s">
        <v>463</v>
      </c>
      <c r="L273" s="53" t="s">
        <v>464</v>
      </c>
      <c r="M273" s="23" t="s">
        <v>77</v>
      </c>
      <c r="N273" s="36" t="s">
        <v>465</v>
      </c>
      <c r="O273" s="25" t="s">
        <v>148</v>
      </c>
      <c r="P273" s="26" t="str">
        <f>IFERROR(VLOOKUP(DadosViagem5[[#This Row],[Placa]],[1]BIP!A:E,5,FALSE),"")</f>
        <v/>
      </c>
      <c r="Q273" s="27" t="e">
        <f ca="1">DATEDIF(DadosViagem5[[#This Row],[BIP]],TODAY(),"D")</f>
        <v>#VALUE!</v>
      </c>
      <c r="R273" s="28" t="str">
        <f>IFERROR(VLOOKUP(DadosViagem5[[#This Row],[Placa]],[1]DDS!B:C,2,FALSE),"Verificar cadastro")</f>
        <v>Carregado</v>
      </c>
      <c r="S273" s="29" t="s">
        <v>48</v>
      </c>
      <c r="T273" s="23"/>
      <c r="U273" s="30"/>
      <c r="V273" s="31"/>
      <c r="W273" s="32" t="s">
        <v>466</v>
      </c>
      <c r="X273" s="33"/>
      <c r="Y273" s="34"/>
      <c r="Z273" s="32"/>
      <c r="AA273" s="20" t="s">
        <v>49</v>
      </c>
      <c r="AB273" s="20" t="s">
        <v>49</v>
      </c>
      <c r="AC273" s="20" t="s">
        <v>49</v>
      </c>
      <c r="AD273" s="20" t="s">
        <v>49</v>
      </c>
      <c r="AE273" s="36"/>
      <c r="AF273" s="25"/>
      <c r="AG273" s="36"/>
      <c r="AH273" s="25">
        <v>45807</v>
      </c>
      <c r="AI273" s="36" t="str">
        <f>IF(DadosViagem5[[#This Row],[Dias em manutenção ]]&lt;5,"Dentro do Prazo","Fora do Prazo")</f>
        <v>Fora do Prazo</v>
      </c>
      <c r="AJ273" s="36" t="e">
        <v>#REF!</v>
      </c>
    </row>
    <row r="274" spans="1:36">
      <c r="A274" s="19" t="s">
        <v>467</v>
      </c>
      <c r="B274" s="20"/>
      <c r="C274" s="19" t="s">
        <v>88</v>
      </c>
      <c r="D274" s="19" t="s">
        <v>52</v>
      </c>
      <c r="E274" s="19" t="s">
        <v>114</v>
      </c>
      <c r="F274" s="19" t="s">
        <v>115</v>
      </c>
      <c r="G274" s="19"/>
      <c r="H274" s="20">
        <v>2021</v>
      </c>
      <c r="I274" s="19" t="s">
        <v>41</v>
      </c>
      <c r="J274" s="19" t="s">
        <v>468</v>
      </c>
      <c r="K274" s="66" t="s">
        <v>469</v>
      </c>
      <c r="L274" s="22" t="s">
        <v>60</v>
      </c>
      <c r="M274" s="23" t="s">
        <v>470</v>
      </c>
      <c r="N274" s="36" t="s">
        <v>471</v>
      </c>
      <c r="O274" s="36" t="s">
        <v>472</v>
      </c>
      <c r="P274" s="26">
        <f ca="1">IFERROR(VLOOKUP(DadosViagem5[[#This Row],[Placa]],[1]BIP!A:E,5,FALSE),"")</f>
        <v>45989</v>
      </c>
      <c r="Q274" s="27">
        <f ca="1">DATEDIF(DadosViagem5[[#This Row],[BIP]],TODAY(),"D")</f>
        <v>1</v>
      </c>
      <c r="R274" s="28" t="str">
        <f>IFERROR(VLOOKUP(DadosViagem5[[#This Row],[Placa]],[1]DDS!B:C,2,FALSE),"Verificar cadastro")</f>
        <v>Operando</v>
      </c>
      <c r="S274" s="29" t="s">
        <v>48</v>
      </c>
      <c r="T274" s="23"/>
      <c r="U274" s="30"/>
      <c r="V274" s="31"/>
      <c r="W274" s="73"/>
      <c r="X274" s="33"/>
      <c r="Y274" s="34"/>
      <c r="Z274" s="32"/>
      <c r="AA274" s="20" t="s">
        <v>49</v>
      </c>
      <c r="AB274" s="20" t="s">
        <v>49</v>
      </c>
      <c r="AC274" s="19" t="s">
        <v>49</v>
      </c>
      <c r="AD274" s="19" t="str">
        <f ca="1">IFERROR(DATEDIF(DadosViagem5[[#This Row],[Utimo Bip Reserva]],TODAY(),"D"),"")</f>
        <v/>
      </c>
      <c r="AE274" s="36" t="s">
        <v>49</v>
      </c>
      <c r="AF274" s="25" t="s">
        <v>49</v>
      </c>
      <c r="AG274" s="36"/>
      <c r="AH274" s="25">
        <v>45807</v>
      </c>
      <c r="AI274" s="36" t="str">
        <f>IF(DadosViagem5[[#This Row],[Dias em manutenção ]]&lt;5,"Dentro do Prazo","Fora do Prazo")</f>
        <v>Fora do Prazo</v>
      </c>
      <c r="AJ274" s="36" t="e">
        <v>#REF!</v>
      </c>
    </row>
    <row r="275" spans="1:36">
      <c r="A275" s="19" t="s">
        <v>473</v>
      </c>
      <c r="B275" s="20"/>
      <c r="C275" s="19" t="s">
        <v>74</v>
      </c>
      <c r="D275" s="19" t="s">
        <v>38</v>
      </c>
      <c r="E275" s="19" t="s">
        <v>75</v>
      </c>
      <c r="F275" s="19" t="s">
        <v>76</v>
      </c>
      <c r="G275" s="19"/>
      <c r="H275" s="20">
        <v>2023</v>
      </c>
      <c r="I275" s="19" t="s">
        <v>41</v>
      </c>
      <c r="J275" s="19" t="s">
        <v>42</v>
      </c>
      <c r="K275" s="74" t="s">
        <v>93</v>
      </c>
      <c r="L275" s="22" t="s">
        <v>44</v>
      </c>
      <c r="M275" s="23" t="s">
        <v>77</v>
      </c>
      <c r="N275" s="36" t="s">
        <v>78</v>
      </c>
      <c r="O275" s="25" t="s">
        <v>47</v>
      </c>
      <c r="P275" s="26" t="str">
        <f>IFERROR(VLOOKUP(DadosViagem5[[#This Row],[Placa]],[1]BIP!A:E,5,FALSE),"")</f>
        <v/>
      </c>
      <c r="Q275" s="27" t="e">
        <f ca="1">DATEDIF(DadosViagem5[[#This Row],[BIP]],TODAY(),"D")</f>
        <v>#VALUE!</v>
      </c>
      <c r="R275" s="28" t="str">
        <f>IFERROR(VLOOKUP(DadosViagem5[[#This Row],[Placa]],[1]DDS!B:C,2,FALSE),"Verificar cadastro")</f>
        <v>Carregado</v>
      </c>
      <c r="S275" s="29" t="s">
        <v>48</v>
      </c>
      <c r="T275" s="23"/>
      <c r="U275" s="30"/>
      <c r="V275" s="31"/>
      <c r="W275" s="32" t="s">
        <v>474</v>
      </c>
      <c r="X275" s="33"/>
      <c r="Y275" s="34"/>
      <c r="Z275" s="43"/>
      <c r="AA275" s="20" t="s">
        <v>49</v>
      </c>
      <c r="AB275" s="20" t="s">
        <v>49</v>
      </c>
      <c r="AC275" s="20" t="s">
        <v>49</v>
      </c>
      <c r="AD275" s="20" t="s">
        <v>49</v>
      </c>
      <c r="AE275" s="36"/>
      <c r="AF275" s="25"/>
      <c r="AG275" s="36"/>
      <c r="AH275" s="25">
        <v>45807</v>
      </c>
      <c r="AI275" s="36" t="str">
        <f>IF(DadosViagem5[[#This Row],[Dias em manutenção ]]&lt;5,"Dentro do Prazo","Fora do Prazo")</f>
        <v>Fora do Prazo</v>
      </c>
      <c r="AJ275" s="36" t="e">
        <v>#REF!</v>
      </c>
    </row>
    <row r="276" spans="1:36">
      <c r="A276" s="19" t="s">
        <v>475</v>
      </c>
      <c r="B276" s="20"/>
      <c r="C276" s="19" t="s">
        <v>225</v>
      </c>
      <c r="D276" s="19" t="s">
        <v>38</v>
      </c>
      <c r="E276" s="19" t="s">
        <v>39</v>
      </c>
      <c r="F276" s="19" t="s">
        <v>106</v>
      </c>
      <c r="G276" s="19"/>
      <c r="H276" s="20">
        <v>2024</v>
      </c>
      <c r="I276" s="19" t="s">
        <v>41</v>
      </c>
      <c r="J276" s="19" t="s">
        <v>476</v>
      </c>
      <c r="K276" s="21" t="s">
        <v>93</v>
      </c>
      <c r="L276" s="53" t="s">
        <v>477</v>
      </c>
      <c r="M276" s="23" t="s">
        <v>45</v>
      </c>
      <c r="N276" s="25" t="s">
        <v>478</v>
      </c>
      <c r="O276" s="36" t="s">
        <v>479</v>
      </c>
      <c r="P276" s="26">
        <f ca="1">IFERROR(VLOOKUP(DadosViagem5[[#This Row],[Placa]],[1]BIP!A:E,5,FALSE),"")</f>
        <v>0</v>
      </c>
      <c r="Q276" s="27">
        <f ca="1">DATEDIF(DadosViagem5[[#This Row],[BIP]],TODAY(),"D")</f>
        <v>45990</v>
      </c>
      <c r="R276" s="28" t="str">
        <f>IFERROR(VLOOKUP(DadosViagem5[[#This Row],[Placa]],[1]DDS!B:C,2,FALSE),"Verificar cadastro")</f>
        <v>Manutenção</v>
      </c>
      <c r="S276" s="29" t="s">
        <v>48</v>
      </c>
      <c r="T276" s="23"/>
      <c r="U276" s="30"/>
      <c r="V276" s="31">
        <v>45816</v>
      </c>
      <c r="W276" s="32" t="s">
        <v>480</v>
      </c>
      <c r="X276" s="57" t="s">
        <v>65</v>
      </c>
      <c r="Y276" s="34" t="s">
        <v>159</v>
      </c>
      <c r="Z276" s="58" t="s">
        <v>189</v>
      </c>
      <c r="AA276" s="20" t="s">
        <v>49</v>
      </c>
      <c r="AB276" s="20" t="s">
        <v>49</v>
      </c>
      <c r="AC276" s="19" t="s">
        <v>49</v>
      </c>
      <c r="AD276" s="19" t="str">
        <f ca="1">IFERROR(DATEDIF(DadosViagem5[[#This Row],[Utimo Bip Reserva]],TODAY(),"D"),"")</f>
        <v/>
      </c>
      <c r="AE276" s="25" t="s">
        <v>49</v>
      </c>
      <c r="AF276" s="25" t="s">
        <v>49</v>
      </c>
      <c r="AG276" s="36" t="s">
        <v>481</v>
      </c>
      <c r="AH276" s="25">
        <v>45807</v>
      </c>
      <c r="AI276" s="36" t="str">
        <f>IF(DadosViagem5[[#This Row],[Dias em manutenção ]]&lt;5,"Dentro do Prazo","Fora do Prazo")</f>
        <v>Fora do Prazo</v>
      </c>
      <c r="AJ276" s="36" t="e">
        <v>#REF!</v>
      </c>
    </row>
    <row r="277" spans="1:36">
      <c r="A277" s="19" t="s">
        <v>482</v>
      </c>
      <c r="B277" s="20">
        <v>771</v>
      </c>
      <c r="C277" s="19" t="s">
        <v>74</v>
      </c>
      <c r="D277" s="19" t="s">
        <v>52</v>
      </c>
      <c r="E277" s="19" t="s">
        <v>75</v>
      </c>
      <c r="F277" s="19" t="s">
        <v>76</v>
      </c>
      <c r="G277" s="19"/>
      <c r="H277" s="20">
        <v>2024</v>
      </c>
      <c r="I277" s="19" t="s">
        <v>41</v>
      </c>
      <c r="J277" s="19" t="s">
        <v>476</v>
      </c>
      <c r="K277" s="21" t="s">
        <v>93</v>
      </c>
      <c r="L277" s="53" t="s">
        <v>477</v>
      </c>
      <c r="M277" s="23" t="s">
        <v>77</v>
      </c>
      <c r="N277" s="25" t="s">
        <v>478</v>
      </c>
      <c r="O277" s="36" t="s">
        <v>479</v>
      </c>
      <c r="P277" s="26" t="str">
        <f>IFERROR(VLOOKUP(DadosViagem5[[#This Row],[Placa]],[1]BIP!A:E,5,FALSE),"")</f>
        <v/>
      </c>
      <c r="Q277" s="27" t="e">
        <f ca="1">DATEDIF(DadosViagem5[[#This Row],[BIP]],TODAY(),"D")</f>
        <v>#VALUE!</v>
      </c>
      <c r="R277" s="28" t="str">
        <f>IFERROR(VLOOKUP(DadosViagem5[[#This Row],[Placa]],[1]DDS!B:C,2,FALSE),"Verificar cadastro")</f>
        <v>Carregado</v>
      </c>
      <c r="S277" s="29" t="s">
        <v>48</v>
      </c>
      <c r="T277" s="23"/>
      <c r="U277" s="30"/>
      <c r="V277" s="31"/>
      <c r="W277" s="32" t="s">
        <v>483</v>
      </c>
      <c r="X277" s="33"/>
      <c r="Y277" s="34"/>
      <c r="Z277" s="42"/>
      <c r="AA277" s="20" t="s">
        <v>49</v>
      </c>
      <c r="AB277" s="20" t="s">
        <v>49</v>
      </c>
      <c r="AC277" s="20" t="s">
        <v>49</v>
      </c>
      <c r="AD277" s="20" t="s">
        <v>49</v>
      </c>
      <c r="AE277" s="36"/>
      <c r="AF277" s="25"/>
      <c r="AG277" s="36"/>
      <c r="AH277" s="25">
        <v>18</v>
      </c>
      <c r="AI277" s="36" t="str">
        <f>IF(DadosViagem5[[#This Row],[Dias em manutenção ]]&lt;5,"Dentro do Prazo","Fora do Prazo")</f>
        <v>Fora do Prazo</v>
      </c>
      <c r="AJ277" s="36" t="e">
        <v>#REF!</v>
      </c>
    </row>
    <row r="278" spans="1:36">
      <c r="A278" s="19" t="s">
        <v>484</v>
      </c>
      <c r="B278" s="20"/>
      <c r="C278" s="19" t="s">
        <v>71</v>
      </c>
      <c r="D278" s="19" t="s">
        <v>38</v>
      </c>
      <c r="E278" s="19" t="s">
        <v>265</v>
      </c>
      <c r="F278" s="19" t="s">
        <v>40</v>
      </c>
      <c r="G278" s="19"/>
      <c r="H278" s="20">
        <v>2023</v>
      </c>
      <c r="I278" s="19" t="s">
        <v>41</v>
      </c>
      <c r="J278" s="19" t="s">
        <v>476</v>
      </c>
      <c r="K278" s="21" t="s">
        <v>93</v>
      </c>
      <c r="L278" s="53" t="s">
        <v>477</v>
      </c>
      <c r="M278" s="46" t="s">
        <v>45</v>
      </c>
      <c r="N278" s="25" t="s">
        <v>478</v>
      </c>
      <c r="O278" s="36" t="s">
        <v>479</v>
      </c>
      <c r="P278" s="26">
        <f ca="1">IFERROR(VLOOKUP(DadosViagem5[[#This Row],[Placa]],[1]BIP!A:E,5,FALSE),"")</f>
        <v>0</v>
      </c>
      <c r="Q278" s="27">
        <f ca="1">DATEDIF(DadosViagem5[[#This Row],[BIP]],TODAY(),"D")</f>
        <v>45990</v>
      </c>
      <c r="R278" s="28" t="str">
        <f>IFERROR(VLOOKUP(DadosViagem5[[#This Row],[Placa]],[1]DDS!B:C,2,FALSE),"Verificar cadastro")</f>
        <v>Manutenção</v>
      </c>
      <c r="S278" s="29" t="s">
        <v>48</v>
      </c>
      <c r="T278" s="23"/>
      <c r="U278" s="30"/>
      <c r="V278" s="31"/>
      <c r="W278" s="32" t="s">
        <v>485</v>
      </c>
      <c r="X278" s="33"/>
      <c r="Y278" s="34"/>
      <c r="Z278" s="42"/>
      <c r="AA278" s="20" t="s">
        <v>49</v>
      </c>
      <c r="AB278" s="20" t="s">
        <v>49</v>
      </c>
      <c r="AC278" s="19" t="s">
        <v>49</v>
      </c>
      <c r="AD278" s="19" t="str">
        <f ca="1">IFERROR(DATEDIF(DadosViagem5[[#This Row],[Utimo Bip Reserva]],TODAY(),"D"),"")</f>
        <v/>
      </c>
      <c r="AE278" s="36" t="s">
        <v>486</v>
      </c>
      <c r="AF278" s="25" t="s">
        <v>49</v>
      </c>
      <c r="AG278" s="36"/>
      <c r="AH278" s="25">
        <v>72</v>
      </c>
      <c r="AI278" s="36" t="str">
        <f>IF(DadosViagem5[[#This Row],[Dias em manutenção ]]&lt;5,"Dentro do Prazo","Fora do Prazo")</f>
        <v>Fora do Prazo</v>
      </c>
      <c r="AJ278" s="36" t="e">
        <v>#REF!</v>
      </c>
    </row>
    <row r="279" spans="1:36">
      <c r="A279" s="19" t="s">
        <v>487</v>
      </c>
      <c r="B279" s="20"/>
      <c r="C279" s="19" t="s">
        <v>71</v>
      </c>
      <c r="D279" s="19" t="s">
        <v>38</v>
      </c>
      <c r="E279" s="19" t="s">
        <v>265</v>
      </c>
      <c r="F279" s="19" t="s">
        <v>40</v>
      </c>
      <c r="G279" s="19"/>
      <c r="H279" s="20">
        <v>2023</v>
      </c>
      <c r="I279" s="19" t="s">
        <v>41</v>
      </c>
      <c r="J279" s="19" t="s">
        <v>476</v>
      </c>
      <c r="K279" s="21" t="s">
        <v>93</v>
      </c>
      <c r="L279" s="53" t="s">
        <v>477</v>
      </c>
      <c r="M279" s="23" t="s">
        <v>45</v>
      </c>
      <c r="N279" s="25" t="s">
        <v>478</v>
      </c>
      <c r="O279" s="36" t="s">
        <v>479</v>
      </c>
      <c r="P279" s="26">
        <f ca="1">IFERROR(VLOOKUP(DadosViagem5[[#This Row],[Placa]],[1]BIP!A:E,5,FALSE),"")</f>
        <v>0</v>
      </c>
      <c r="Q279" s="27">
        <f ca="1">DATEDIF(DadosViagem5[[#This Row],[BIP]],TODAY(),"D")</f>
        <v>45990</v>
      </c>
      <c r="R279" s="28" t="str">
        <f>IFERROR(VLOOKUP(DadosViagem5[[#This Row],[Placa]],[1]DDS!B:C,2,FALSE),"Verificar cadastro")</f>
        <v> </v>
      </c>
      <c r="S279" s="29" t="s">
        <v>48</v>
      </c>
      <c r="T279" s="23"/>
      <c r="U279" s="30"/>
      <c r="V279" s="31"/>
      <c r="W279" s="32"/>
      <c r="X279" s="33"/>
      <c r="Y279" s="34"/>
      <c r="Z279" s="42"/>
      <c r="AA279" s="20" t="s">
        <v>49</v>
      </c>
      <c r="AB279" s="20" t="s">
        <v>49</v>
      </c>
      <c r="AC279" s="19" t="s">
        <v>49</v>
      </c>
      <c r="AD279" s="19" t="str">
        <f ca="1">IFERROR(DATEDIF(DadosViagem5[[#This Row],[Utimo Bip Reserva]],TODAY(),"D"),"")</f>
        <v/>
      </c>
      <c r="AE279" s="25" t="s">
        <v>49</v>
      </c>
      <c r="AF279" s="25" t="s">
        <v>49</v>
      </c>
      <c r="AG279" s="36"/>
      <c r="AH279" s="25">
        <v>45807</v>
      </c>
      <c r="AI279" s="36" t="str">
        <f>IF(DadosViagem5[[#This Row],[Dias em manutenção ]]&lt;5,"Dentro do Prazo","Fora do Prazo")</f>
        <v>Fora do Prazo</v>
      </c>
      <c r="AJ279" s="36" t="e">
        <v>#REF!</v>
      </c>
    </row>
    <row r="280" spans="1:36">
      <c r="A280" s="19" t="s">
        <v>488</v>
      </c>
      <c r="B280" s="20"/>
      <c r="C280" s="19" t="s">
        <v>71</v>
      </c>
      <c r="D280" s="19" t="s">
        <v>38</v>
      </c>
      <c r="E280" s="19" t="s">
        <v>265</v>
      </c>
      <c r="F280" s="19" t="s">
        <v>40</v>
      </c>
      <c r="G280" s="19"/>
      <c r="H280" s="20">
        <v>2023</v>
      </c>
      <c r="I280" s="19" t="s">
        <v>41</v>
      </c>
      <c r="J280" s="19" t="s">
        <v>476</v>
      </c>
      <c r="K280" s="21" t="s">
        <v>93</v>
      </c>
      <c r="L280" s="53" t="s">
        <v>44</v>
      </c>
      <c r="M280" s="23" t="s">
        <v>45</v>
      </c>
      <c r="N280" s="25" t="s">
        <v>46</v>
      </c>
      <c r="O280" s="36" t="s">
        <v>479</v>
      </c>
      <c r="P280" s="26">
        <f ca="1">IFERROR(VLOOKUP(DadosViagem5[[#This Row],[Placa]],[1]BIP!A:E,5,FALSE),"")</f>
        <v>0</v>
      </c>
      <c r="Q280" s="27">
        <f ca="1">DATEDIF(DadosViagem5[[#This Row],[BIP]],TODAY(),"D")</f>
        <v>45990</v>
      </c>
      <c r="R280" s="28" t="str">
        <f>IFERROR(VLOOKUP(DadosViagem5[[#This Row],[Placa]],[1]DDS!B:C,2,FALSE),"Verificar cadastro")</f>
        <v> </v>
      </c>
      <c r="S280" s="29" t="s">
        <v>173</v>
      </c>
      <c r="T280" s="23"/>
      <c r="U280" s="30"/>
      <c r="V280" s="31"/>
      <c r="W280" s="32"/>
      <c r="X280" s="33"/>
      <c r="Y280" s="34"/>
      <c r="Z280" s="42"/>
      <c r="AA280" s="20" t="s">
        <v>49</v>
      </c>
      <c r="AB280" s="20" t="s">
        <v>49</v>
      </c>
      <c r="AC280" s="19" t="s">
        <v>49</v>
      </c>
      <c r="AD280" s="19" t="str">
        <f ca="1">IFERROR(DATEDIF(DadosViagem5[[#This Row],[Utimo Bip Reserva]],TODAY(),"D"),"")</f>
        <v/>
      </c>
      <c r="AE280" s="25" t="s">
        <v>49</v>
      </c>
      <c r="AF280" s="25" t="s">
        <v>49</v>
      </c>
      <c r="AG280" s="36"/>
      <c r="AH280" s="25">
        <v>45807</v>
      </c>
      <c r="AI280" s="36" t="str">
        <f>IF(DadosViagem5[[#This Row],[Dias em manutenção ]]&lt;5,"Dentro do Prazo","Fora do Prazo")</f>
        <v>Fora do Prazo</v>
      </c>
      <c r="AJ280" s="36" t="e">
        <v>#REF!</v>
      </c>
    </row>
    <row r="281" spans="1:36">
      <c r="A281" s="19" t="s">
        <v>489</v>
      </c>
      <c r="B281" s="20"/>
      <c r="C281" s="19" t="s">
        <v>74</v>
      </c>
      <c r="D281" s="19" t="s">
        <v>52</v>
      </c>
      <c r="E281" s="19" t="s">
        <v>75</v>
      </c>
      <c r="F281" s="19" t="s">
        <v>76</v>
      </c>
      <c r="G281" s="19"/>
      <c r="H281" s="20">
        <v>2023</v>
      </c>
      <c r="I281" s="19" t="s">
        <v>41</v>
      </c>
      <c r="J281" s="19" t="s">
        <v>476</v>
      </c>
      <c r="K281" s="21" t="s">
        <v>93</v>
      </c>
      <c r="L281" s="53" t="s">
        <v>477</v>
      </c>
      <c r="M281" s="23" t="s">
        <v>77</v>
      </c>
      <c r="N281" s="25" t="s">
        <v>478</v>
      </c>
      <c r="O281" s="36" t="s">
        <v>479</v>
      </c>
      <c r="P281" s="26">
        <f ca="1">IFERROR(VLOOKUP(DadosViagem5[[#This Row],[Placa]],[1]BIP!A:E,5,FALSE),"")</f>
        <v>45989</v>
      </c>
      <c r="Q281" s="27">
        <f ca="1">DATEDIF(DadosViagem5[[#This Row],[BIP]],TODAY(),"D")</f>
        <v>1</v>
      </c>
      <c r="R281" s="28" t="str">
        <f>IFERROR(VLOOKUP(DadosViagem5[[#This Row],[Placa]],[1]DDS!B:C,2,FALSE),"Verificar cadastro")</f>
        <v>Carregado</v>
      </c>
      <c r="S281" s="29" t="s">
        <v>48</v>
      </c>
      <c r="T281" s="23"/>
      <c r="U281" s="30"/>
      <c r="V281" s="31"/>
      <c r="W281" s="32"/>
      <c r="X281" s="33"/>
      <c r="Y281" s="34"/>
      <c r="Z281" s="32"/>
      <c r="AA281" s="20" t="s">
        <v>49</v>
      </c>
      <c r="AB281" s="20" t="s">
        <v>49</v>
      </c>
      <c r="AC281" s="19" t="s">
        <v>49</v>
      </c>
      <c r="AD281" s="19" t="str">
        <f ca="1">IFERROR(DATEDIF(DadosViagem5[[#This Row],[Utimo Bip Reserva]],TODAY(),"D"),"")</f>
        <v/>
      </c>
      <c r="AE281" s="36"/>
      <c r="AF281" s="25"/>
      <c r="AG281" s="36"/>
      <c r="AH281" s="25">
        <v>47</v>
      </c>
      <c r="AI281" s="36" t="str">
        <f>IF(DadosViagem5[[#This Row],[Dias em manutenção ]]&lt;5,"Dentro do Prazo","Fora do Prazo")</f>
        <v>Fora do Prazo</v>
      </c>
      <c r="AJ281" s="36" t="e">
        <v>#REF!</v>
      </c>
    </row>
    <row r="282" spans="1:36">
      <c r="A282" s="19" t="s">
        <v>490</v>
      </c>
      <c r="B282" s="20"/>
      <c r="C282" s="19" t="s">
        <v>74</v>
      </c>
      <c r="D282" s="19" t="s">
        <v>52</v>
      </c>
      <c r="E282" s="19" t="s">
        <v>75</v>
      </c>
      <c r="F282" s="19" t="s">
        <v>76</v>
      </c>
      <c r="G282" s="19"/>
      <c r="H282" s="20">
        <v>2024</v>
      </c>
      <c r="I282" s="75" t="s">
        <v>41</v>
      </c>
      <c r="J282" s="75" t="s">
        <v>476</v>
      </c>
      <c r="K282" s="76" t="s">
        <v>93</v>
      </c>
      <c r="L282" s="77" t="s">
        <v>477</v>
      </c>
      <c r="M282" s="23" t="s">
        <v>77</v>
      </c>
      <c r="N282" s="78" t="s">
        <v>478</v>
      </c>
      <c r="O282" s="79" t="s">
        <v>479</v>
      </c>
      <c r="P282" s="26">
        <f ca="1">IFERROR(VLOOKUP(DadosViagem5[[#This Row],[Placa]],[1]BIP!A:E,5,FALSE),"")</f>
        <v>45989</v>
      </c>
      <c r="Q282" s="27">
        <f ca="1">DATEDIF(DadosViagem5[[#This Row],[BIP]],TODAY(),"D")</f>
        <v>1</v>
      </c>
      <c r="R282" s="28" t="str">
        <f>IFERROR(VLOOKUP(DadosViagem5[[#This Row],[Placa]],[1]DDS!B:C,2,FALSE),"Verificar cadastro")</f>
        <v>Operando</v>
      </c>
      <c r="S282" s="29" t="s">
        <v>48</v>
      </c>
      <c r="T282" s="23"/>
      <c r="U282" s="30"/>
      <c r="V282" s="31"/>
      <c r="W282" s="32"/>
      <c r="X282" s="33"/>
      <c r="Y282" s="34"/>
      <c r="Z282" s="32"/>
      <c r="AA282" s="20"/>
      <c r="AB282" s="20" t="s">
        <v>49</v>
      </c>
      <c r="AC282" s="20" t="s">
        <v>49</v>
      </c>
      <c r="AD282" s="20" t="s">
        <v>49</v>
      </c>
      <c r="AE282" s="36"/>
      <c r="AF282" s="25"/>
      <c r="AG282" s="36"/>
      <c r="AH282" s="25">
        <v>45807</v>
      </c>
      <c r="AI282" s="36" t="str">
        <f>IF(DadosViagem5[[#This Row],[Dias em manutenção ]]&lt;5,"Dentro do Prazo","Fora do Prazo")</f>
        <v>Fora do Prazo</v>
      </c>
      <c r="AJ282" s="36" t="e">
        <v>#REF!</v>
      </c>
    </row>
    <row r="283" spans="1:36">
      <c r="A283" s="19" t="s">
        <v>491</v>
      </c>
      <c r="B283" s="20"/>
      <c r="C283" s="19" t="s">
        <v>71</v>
      </c>
      <c r="D283" s="19" t="s">
        <v>38</v>
      </c>
      <c r="E283" s="19" t="s">
        <v>72</v>
      </c>
      <c r="F283" s="19" t="s">
        <v>40</v>
      </c>
      <c r="G283" s="19"/>
      <c r="H283" s="20">
        <v>2022</v>
      </c>
      <c r="I283" s="19" t="s">
        <v>41</v>
      </c>
      <c r="J283" s="19" t="s">
        <v>476</v>
      </c>
      <c r="K283" s="21" t="s">
        <v>93</v>
      </c>
      <c r="L283" s="53" t="s">
        <v>477</v>
      </c>
      <c r="M283" s="23" t="s">
        <v>45</v>
      </c>
      <c r="N283" s="25" t="s">
        <v>46</v>
      </c>
      <c r="O283" s="36" t="s">
        <v>479</v>
      </c>
      <c r="P283" s="26">
        <f ca="1">IFERROR(VLOOKUP(DadosViagem5[[#This Row],[Placa]],[1]BIP!A:E,5,FALSE),"")</f>
        <v>45989</v>
      </c>
      <c r="Q283" s="27">
        <f ca="1">DATEDIF(DadosViagem5[[#This Row],[BIP]],TODAY(),"D")</f>
        <v>1</v>
      </c>
      <c r="R283" s="28" t="str">
        <f>IFERROR(VLOOKUP(DadosViagem5[[#This Row],[Placa]],[1]DDS!B:C,2,FALSE),"Verificar cadastro")</f>
        <v>Carregado</v>
      </c>
      <c r="S283" s="29" t="s">
        <v>48</v>
      </c>
      <c r="T283" s="23"/>
      <c r="U283" s="30"/>
      <c r="V283" s="31"/>
      <c r="W283" s="32"/>
      <c r="X283" s="33"/>
      <c r="Y283" s="34"/>
      <c r="Z283" s="32"/>
      <c r="AA283" s="20" t="s">
        <v>49</v>
      </c>
      <c r="AB283" s="20" t="s">
        <v>49</v>
      </c>
      <c r="AC283" s="19" t="s">
        <v>49</v>
      </c>
      <c r="AD283" s="19" t="str">
        <f ca="1">IFERROR(DATEDIF(DadosViagem5[[#This Row],[Utimo Bip Reserva]],TODAY(),"D"),"")</f>
        <v/>
      </c>
      <c r="AE283" s="25" t="s">
        <v>49</v>
      </c>
      <c r="AF283" s="25" t="s">
        <v>49</v>
      </c>
      <c r="AG283" s="36" t="s">
        <v>481</v>
      </c>
      <c r="AH283" s="25">
        <v>7</v>
      </c>
      <c r="AI283" s="36" t="str">
        <f>IF(DadosViagem5[[#This Row],[Dias em manutenção ]]&lt;5,"Dentro do Prazo","Fora do Prazo")</f>
        <v>Fora do Prazo</v>
      </c>
      <c r="AJ283" s="36" t="e">
        <v>#REF!</v>
      </c>
    </row>
    <row r="284" spans="1:36">
      <c r="A284" s="19" t="s">
        <v>492</v>
      </c>
      <c r="B284" s="20"/>
      <c r="C284" s="19" t="s">
        <v>71</v>
      </c>
      <c r="D284" s="19" t="s">
        <v>38</v>
      </c>
      <c r="E284" s="19" t="s">
        <v>72</v>
      </c>
      <c r="F284" s="19"/>
      <c r="G284" s="19"/>
      <c r="H284" s="20">
        <v>2021</v>
      </c>
      <c r="I284" s="19" t="s">
        <v>41</v>
      </c>
      <c r="J284" s="19" t="s">
        <v>476</v>
      </c>
      <c r="K284" s="21" t="s">
        <v>93</v>
      </c>
      <c r="L284" s="53" t="s">
        <v>477</v>
      </c>
      <c r="M284" s="23" t="s">
        <v>45</v>
      </c>
      <c r="N284" s="25" t="s">
        <v>478</v>
      </c>
      <c r="O284" s="36" t="s">
        <v>479</v>
      </c>
      <c r="P284" s="26">
        <f ca="1">IFERROR(VLOOKUP(DadosViagem5[[#This Row],[Placa]],[1]BIP!A:E,5,FALSE),"")</f>
        <v>45989</v>
      </c>
      <c r="Q284" s="27">
        <f ca="1">DATEDIF(DadosViagem5[[#This Row],[BIP]],TODAY(),"D")</f>
        <v>1</v>
      </c>
      <c r="R284" s="28" t="str">
        <f>IFERROR(VLOOKUP(DadosViagem5[[#This Row],[Placa]],[1]DDS!B:C,2,FALSE),"Verificar cadastro")</f>
        <v>Carregado</v>
      </c>
      <c r="S284" s="29" t="s">
        <v>48</v>
      </c>
      <c r="T284" s="23"/>
      <c r="U284" s="30"/>
      <c r="V284" s="47"/>
      <c r="W284" s="32" t="s">
        <v>122</v>
      </c>
      <c r="X284" s="33"/>
      <c r="Y284" s="34"/>
      <c r="Z284" s="32"/>
      <c r="AA284" s="20" t="s">
        <v>49</v>
      </c>
      <c r="AB284" s="20" t="s">
        <v>49</v>
      </c>
      <c r="AC284" s="19" t="s">
        <v>49</v>
      </c>
      <c r="AD284" s="19" t="str">
        <f ca="1">IFERROR(DATEDIF(DadosViagem5[[#This Row],[Utimo Bip Reserva]],TODAY(),"D"),"")</f>
        <v/>
      </c>
      <c r="AE284" s="25" t="s">
        <v>49</v>
      </c>
      <c r="AF284" s="25" t="s">
        <v>49</v>
      </c>
      <c r="AG284" s="36"/>
      <c r="AH284" s="25">
        <v>45807</v>
      </c>
      <c r="AI284" s="36" t="str">
        <f>IF(DadosViagem5[[#This Row],[Dias em manutenção ]]&lt;5,"Dentro do Prazo","Fora do Prazo")</f>
        <v>Fora do Prazo</v>
      </c>
      <c r="AJ284" s="36" t="e">
        <v>#REF!</v>
      </c>
    </row>
    <row r="285" spans="1:36">
      <c r="A285" s="19" t="s">
        <v>493</v>
      </c>
      <c r="B285" s="20"/>
      <c r="C285" s="19" t="s">
        <v>225</v>
      </c>
      <c r="D285" s="19" t="s">
        <v>38</v>
      </c>
      <c r="E285" s="19" t="s">
        <v>39</v>
      </c>
      <c r="F285" s="19" t="s">
        <v>106</v>
      </c>
      <c r="G285" s="19"/>
      <c r="H285" s="20">
        <v>2024</v>
      </c>
      <c r="I285" s="19" t="s">
        <v>41</v>
      </c>
      <c r="J285" s="19" t="s">
        <v>476</v>
      </c>
      <c r="K285" s="21" t="s">
        <v>93</v>
      </c>
      <c r="L285" s="53" t="s">
        <v>477</v>
      </c>
      <c r="M285" s="23" t="s">
        <v>45</v>
      </c>
      <c r="N285" s="25" t="s">
        <v>478</v>
      </c>
      <c r="O285" s="36" t="s">
        <v>479</v>
      </c>
      <c r="P285" s="26">
        <f ca="1">IFERROR(VLOOKUP(DadosViagem5[[#This Row],[Placa]],[1]BIP!A:E,5,FALSE),"")</f>
        <v>45989</v>
      </c>
      <c r="Q285" s="27">
        <f ca="1">DATEDIF(DadosViagem5[[#This Row],[BIP]],TODAY(),"D")</f>
        <v>1</v>
      </c>
      <c r="R285" s="28" t="str">
        <f>IFERROR(VLOOKUP(DadosViagem5[[#This Row],[Placa]],[1]DDS!B:C,2,FALSE),"Verificar cadastro")</f>
        <v>Operando</v>
      </c>
      <c r="S285" s="29" t="s">
        <v>48</v>
      </c>
      <c r="T285" s="23"/>
      <c r="U285" s="30"/>
      <c r="V285" s="31"/>
      <c r="W285" s="32" t="s">
        <v>494</v>
      </c>
      <c r="X285" s="33"/>
      <c r="Y285" s="34"/>
      <c r="Z285" s="32"/>
      <c r="AA285" s="20" t="s">
        <v>49</v>
      </c>
      <c r="AB285" s="20" t="s">
        <v>49</v>
      </c>
      <c r="AC285" s="19" t="s">
        <v>49</v>
      </c>
      <c r="AD285" s="19" t="str">
        <f ca="1">IFERROR(DATEDIF(DadosViagem5[[#This Row],[Utimo Bip Reserva]],TODAY(),"D"),"")</f>
        <v/>
      </c>
      <c r="AE285" s="25"/>
      <c r="AF285" s="25"/>
      <c r="AG285" s="36"/>
      <c r="AH285" s="25">
        <v>45807</v>
      </c>
      <c r="AI285" s="36" t="str">
        <f>IF(DadosViagem5[[#This Row],[Dias em manutenção ]]&lt;5,"Dentro do Prazo","Fora do Prazo")</f>
        <v>Fora do Prazo</v>
      </c>
      <c r="AJ285" s="36" t="e">
        <v>#REF!</v>
      </c>
    </row>
    <row r="286" spans="1:36">
      <c r="A286" s="19" t="s">
        <v>495</v>
      </c>
      <c r="B286" s="20"/>
      <c r="C286" s="19" t="s">
        <v>217</v>
      </c>
      <c r="D286" s="19" t="s">
        <v>52</v>
      </c>
      <c r="E286" s="19" t="s">
        <v>75</v>
      </c>
      <c r="F286" s="19" t="s">
        <v>40</v>
      </c>
      <c r="G286" s="19"/>
      <c r="H286" s="20">
        <v>2024</v>
      </c>
      <c r="I286" s="19" t="s">
        <v>41</v>
      </c>
      <c r="J286" s="19" t="s">
        <v>476</v>
      </c>
      <c r="K286" s="21" t="s">
        <v>93</v>
      </c>
      <c r="L286" s="53" t="s">
        <v>477</v>
      </c>
      <c r="M286" s="23" t="s">
        <v>77</v>
      </c>
      <c r="N286" s="25" t="s">
        <v>478</v>
      </c>
      <c r="O286" s="36" t="s">
        <v>479</v>
      </c>
      <c r="P286" s="26">
        <f ca="1">IFERROR(VLOOKUP(DadosViagem5[[#This Row],[Placa]],[1]BIP!A:E,5,FALSE),"")</f>
        <v>45989</v>
      </c>
      <c r="Q286" s="27">
        <f ca="1">DATEDIF(DadosViagem5[[#This Row],[BIP]],TODAY(),"D")</f>
        <v>1</v>
      </c>
      <c r="R286" s="28" t="str">
        <f>IFERROR(VLOOKUP(DadosViagem5[[#This Row],[Placa]],[1]DDS!B:C,2,FALSE),"Verificar cadastro")</f>
        <v>Carregado</v>
      </c>
      <c r="S286" s="29" t="s">
        <v>48</v>
      </c>
      <c r="T286" s="23"/>
      <c r="U286" s="30"/>
      <c r="V286" s="31"/>
      <c r="W286" s="32"/>
      <c r="X286" s="33"/>
      <c r="Y286" s="34"/>
      <c r="Z286" s="32"/>
      <c r="AA286" s="20" t="s">
        <v>49</v>
      </c>
      <c r="AB286" s="20" t="s">
        <v>49</v>
      </c>
      <c r="AC286" s="19" t="s">
        <v>49</v>
      </c>
      <c r="AD286" s="19" t="str">
        <f ca="1">IFERROR(DATEDIF(DadosViagem5[[#This Row],[Utimo Bip Reserva]],TODAY(),"D"),"")</f>
        <v/>
      </c>
      <c r="AE286" s="36"/>
      <c r="AF286" s="25"/>
      <c r="AG286" s="36"/>
      <c r="AH286" s="25">
        <v>45807</v>
      </c>
      <c r="AI286" s="36" t="str">
        <f>IF(DadosViagem5[[#This Row],[Dias em manutenção ]]&lt;5,"Dentro do Prazo","Fora do Prazo")</f>
        <v>Fora do Prazo</v>
      </c>
      <c r="AJ286" s="36" t="e">
        <v>#REF!</v>
      </c>
    </row>
    <row r="287" spans="1:36">
      <c r="A287" s="19" t="s">
        <v>496</v>
      </c>
      <c r="B287" s="20"/>
      <c r="C287" s="19" t="s">
        <v>74</v>
      </c>
      <c r="D287" s="19" t="s">
        <v>38</v>
      </c>
      <c r="E287" s="19" t="s">
        <v>75</v>
      </c>
      <c r="F287" s="19" t="s">
        <v>76</v>
      </c>
      <c r="G287" s="19"/>
      <c r="H287" s="20">
        <v>2023</v>
      </c>
      <c r="I287" s="19" t="s">
        <v>41</v>
      </c>
      <c r="J287" s="19" t="s">
        <v>476</v>
      </c>
      <c r="K287" s="53" t="s">
        <v>93</v>
      </c>
      <c r="L287" s="53" t="s">
        <v>477</v>
      </c>
      <c r="M287" s="23" t="s">
        <v>77</v>
      </c>
      <c r="N287" s="25" t="s">
        <v>478</v>
      </c>
      <c r="O287" s="36" t="s">
        <v>479</v>
      </c>
      <c r="P287" s="26" t="str">
        <f>IFERROR(VLOOKUP(DadosViagem5[[#This Row],[Placa]],[1]BIP!A:E,5,FALSE),"")</f>
        <v/>
      </c>
      <c r="Q287" s="27" t="e">
        <f ca="1">DATEDIF(DadosViagem5[[#This Row],[BIP]],TODAY(),"D")</f>
        <v>#VALUE!</v>
      </c>
      <c r="R287" s="28" t="str">
        <f>IFERROR(VLOOKUP(DadosViagem5[[#This Row],[Placa]],[1]DDS!B:C,2,FALSE),"Verificar cadastro")</f>
        <v>Manutenção</v>
      </c>
      <c r="S287" s="29" t="s">
        <v>48</v>
      </c>
      <c r="T287" s="23"/>
      <c r="U287" s="30"/>
      <c r="V287" s="31"/>
      <c r="W287" s="32"/>
      <c r="X287" s="33"/>
      <c r="Y287" s="34"/>
      <c r="Z287" s="32"/>
      <c r="AA287" s="20" t="s">
        <v>49</v>
      </c>
      <c r="AB287" s="20" t="s">
        <v>49</v>
      </c>
      <c r="AC287" s="20" t="s">
        <v>49</v>
      </c>
      <c r="AD287" s="20" t="s">
        <v>49</v>
      </c>
      <c r="AE287" s="36"/>
      <c r="AF287" s="25"/>
      <c r="AG287" s="36"/>
      <c r="AH287" s="25">
        <v>45807</v>
      </c>
      <c r="AI287" s="36" t="str">
        <f>IF(DadosViagem5[[#This Row],[Dias em manutenção ]]&lt;5,"Dentro do Prazo","Fora do Prazo")</f>
        <v>Fora do Prazo</v>
      </c>
      <c r="AJ287" s="36" t="e">
        <v>#REF!</v>
      </c>
    </row>
    <row r="288" spans="1:36">
      <c r="A288" s="19" t="s">
        <v>497</v>
      </c>
      <c r="B288" s="20"/>
      <c r="C288" s="19" t="s">
        <v>74</v>
      </c>
      <c r="D288" s="19" t="s">
        <v>38</v>
      </c>
      <c r="E288" s="19" t="s">
        <v>75</v>
      </c>
      <c r="F288" s="19" t="s">
        <v>76</v>
      </c>
      <c r="G288" s="19"/>
      <c r="H288" s="20">
        <v>2023</v>
      </c>
      <c r="I288" s="19" t="s">
        <v>41</v>
      </c>
      <c r="J288" s="19" t="s">
        <v>476</v>
      </c>
      <c r="K288" s="53" t="s">
        <v>93</v>
      </c>
      <c r="L288" s="53" t="s">
        <v>477</v>
      </c>
      <c r="M288" s="23" t="s">
        <v>77</v>
      </c>
      <c r="N288" s="25" t="s">
        <v>478</v>
      </c>
      <c r="O288" s="36" t="s">
        <v>479</v>
      </c>
      <c r="P288" s="26" t="str">
        <f>IFERROR(VLOOKUP(DadosViagem5[[#This Row],[Placa]],[1]BIP!A:E,5,FALSE),"")</f>
        <v/>
      </c>
      <c r="Q288" s="27" t="e">
        <f ca="1">DATEDIF(DadosViagem5[[#This Row],[BIP]],TODAY(),"D")</f>
        <v>#VALUE!</v>
      </c>
      <c r="R288" s="28" t="str">
        <f>IFERROR(VLOOKUP(DadosViagem5[[#This Row],[Placa]],[1]DDS!B:C,2,FALSE),"Verificar cadastro")</f>
        <v>Carregado</v>
      </c>
      <c r="S288" s="29" t="s">
        <v>48</v>
      </c>
      <c r="T288" s="23"/>
      <c r="U288" s="30"/>
      <c r="V288" s="31"/>
      <c r="W288" s="32" t="s">
        <v>474</v>
      </c>
      <c r="X288" s="33"/>
      <c r="Y288" s="34"/>
      <c r="Z288" s="32"/>
      <c r="AA288" s="20" t="s">
        <v>49</v>
      </c>
      <c r="AB288" s="20" t="s">
        <v>49</v>
      </c>
      <c r="AC288" s="20" t="s">
        <v>49</v>
      </c>
      <c r="AD288" s="20" t="s">
        <v>49</v>
      </c>
      <c r="AE288" s="36"/>
      <c r="AF288" s="25"/>
      <c r="AG288" s="36"/>
      <c r="AH288" s="25">
        <v>45807</v>
      </c>
      <c r="AI288" s="36" t="str">
        <f>IF(DadosViagem5[[#This Row],[Dias em manutenção ]]&lt;5,"Dentro do Prazo","Fora do Prazo")</f>
        <v>Fora do Prazo</v>
      </c>
      <c r="AJ288" s="36" t="e">
        <v>#REF!</v>
      </c>
    </row>
    <row r="289" spans="1:36">
      <c r="A289" s="19" t="s">
        <v>498</v>
      </c>
      <c r="B289" s="20"/>
      <c r="C289" s="19" t="s">
        <v>74</v>
      </c>
      <c r="D289" s="19" t="s">
        <v>38</v>
      </c>
      <c r="E289" s="19" t="s">
        <v>75</v>
      </c>
      <c r="F289" s="19" t="s">
        <v>76</v>
      </c>
      <c r="G289" s="19"/>
      <c r="H289" s="20">
        <v>2023</v>
      </c>
      <c r="I289" s="19" t="s">
        <v>41</v>
      </c>
      <c r="J289" s="19" t="s">
        <v>476</v>
      </c>
      <c r="K289" s="53" t="s">
        <v>93</v>
      </c>
      <c r="L289" s="53" t="s">
        <v>477</v>
      </c>
      <c r="M289" s="23" t="s">
        <v>77</v>
      </c>
      <c r="N289" s="25" t="s">
        <v>478</v>
      </c>
      <c r="O289" s="36" t="s">
        <v>479</v>
      </c>
      <c r="P289" s="26" t="str">
        <f>IFERROR(VLOOKUP(DadosViagem5[[#This Row],[Placa]],[1]BIP!A:E,5,FALSE),"")</f>
        <v/>
      </c>
      <c r="Q289" s="27" t="e">
        <f ca="1">DATEDIF(DadosViagem5[[#This Row],[BIP]],TODAY(),"D")</f>
        <v>#VALUE!</v>
      </c>
      <c r="R289" s="28" t="str">
        <f>IFERROR(VLOOKUP(DadosViagem5[[#This Row],[Placa]],[1]DDS!B:C,2,FALSE),"Verificar cadastro")</f>
        <v>Carregado</v>
      </c>
      <c r="S289" s="29" t="s">
        <v>48</v>
      </c>
      <c r="T289" s="23"/>
      <c r="U289" s="30"/>
      <c r="V289" s="31"/>
      <c r="W289" s="32" t="s">
        <v>85</v>
      </c>
      <c r="X289" s="33"/>
      <c r="Y289" s="34"/>
      <c r="Z289" s="32"/>
      <c r="AA289" s="20" t="s">
        <v>49</v>
      </c>
      <c r="AB289" s="20" t="s">
        <v>49</v>
      </c>
      <c r="AC289" s="20" t="s">
        <v>49</v>
      </c>
      <c r="AD289" s="20" t="s">
        <v>49</v>
      </c>
      <c r="AE289" s="36"/>
      <c r="AF289" s="25"/>
      <c r="AG289" s="36"/>
      <c r="AH289" s="25">
        <v>45807</v>
      </c>
      <c r="AI289" s="36" t="str">
        <f>IF(DadosViagem5[[#This Row],[Dias em manutenção ]]&lt;5,"Dentro do Prazo","Fora do Prazo")</f>
        <v>Fora do Prazo</v>
      </c>
      <c r="AJ289" s="36" t="e">
        <v>#REF!</v>
      </c>
    </row>
    <row r="290" spans="1:36">
      <c r="A290" s="19" t="s">
        <v>499</v>
      </c>
      <c r="B290" s="20"/>
      <c r="C290" s="19" t="s">
        <v>74</v>
      </c>
      <c r="D290" s="19" t="s">
        <v>38</v>
      </c>
      <c r="E290" s="19" t="s">
        <v>75</v>
      </c>
      <c r="F290" s="19" t="s">
        <v>76</v>
      </c>
      <c r="G290" s="19"/>
      <c r="H290" s="20">
        <v>2023</v>
      </c>
      <c r="I290" s="19" t="s">
        <v>41</v>
      </c>
      <c r="J290" s="19" t="s">
        <v>476</v>
      </c>
      <c r="K290" s="53" t="s">
        <v>93</v>
      </c>
      <c r="L290" s="53" t="s">
        <v>477</v>
      </c>
      <c r="M290" s="23" t="s">
        <v>77</v>
      </c>
      <c r="N290" s="25" t="s">
        <v>478</v>
      </c>
      <c r="O290" s="36" t="s">
        <v>479</v>
      </c>
      <c r="P290" s="26" t="str">
        <f>IFERROR(VLOOKUP(DadosViagem5[[#This Row],[Placa]],[1]BIP!A:E,5,FALSE),"")</f>
        <v/>
      </c>
      <c r="Q290" s="27" t="e">
        <f ca="1">DATEDIF(DadosViagem5[[#This Row],[BIP]],TODAY(),"D")</f>
        <v>#VALUE!</v>
      </c>
      <c r="R290" s="28" t="str">
        <f>IFERROR(VLOOKUP(DadosViagem5[[#This Row],[Placa]],[1]DDS!B:C,2,FALSE),"Verificar cadastro")</f>
        <v>Carregado</v>
      </c>
      <c r="S290" s="29" t="s">
        <v>48</v>
      </c>
      <c r="T290" s="23"/>
      <c r="U290" s="30"/>
      <c r="V290" s="31"/>
      <c r="W290" s="32" t="s">
        <v>494</v>
      </c>
      <c r="X290" s="33"/>
      <c r="Y290" s="34"/>
      <c r="Z290" s="32"/>
      <c r="AA290" s="20" t="s">
        <v>49</v>
      </c>
      <c r="AB290" s="20" t="s">
        <v>49</v>
      </c>
      <c r="AC290" s="20" t="s">
        <v>49</v>
      </c>
      <c r="AD290" s="20" t="s">
        <v>49</v>
      </c>
      <c r="AE290" s="36"/>
      <c r="AF290" s="25"/>
      <c r="AG290" s="36"/>
      <c r="AH290" s="25">
        <v>45807</v>
      </c>
      <c r="AI290" s="36" t="str">
        <f>IF(DadosViagem5[[#This Row],[Dias em manutenção ]]&lt;5,"Dentro do Prazo","Fora do Prazo")</f>
        <v>Fora do Prazo</v>
      </c>
      <c r="AJ290" s="36" t="e">
        <v>#REF!</v>
      </c>
    </row>
    <row r="291" spans="1:36">
      <c r="A291" s="19" t="s">
        <v>500</v>
      </c>
      <c r="B291" s="20"/>
      <c r="C291" s="19" t="s">
        <v>74</v>
      </c>
      <c r="D291" s="19" t="s">
        <v>52</v>
      </c>
      <c r="E291" s="19" t="s">
        <v>75</v>
      </c>
      <c r="F291" s="19" t="s">
        <v>76</v>
      </c>
      <c r="G291" s="19"/>
      <c r="H291" s="20">
        <v>2023</v>
      </c>
      <c r="I291" s="19" t="s">
        <v>41</v>
      </c>
      <c r="J291" s="19" t="s">
        <v>501</v>
      </c>
      <c r="K291" s="21" t="s">
        <v>502</v>
      </c>
      <c r="L291" s="53" t="s">
        <v>477</v>
      </c>
      <c r="M291" s="23" t="s">
        <v>77</v>
      </c>
      <c r="N291" s="36" t="s">
        <v>503</v>
      </c>
      <c r="O291" s="36" t="s">
        <v>479</v>
      </c>
      <c r="P291" s="26">
        <f ca="1">IFERROR(VLOOKUP(DadosViagem5[[#This Row],[Placa]],[1]BIP!A:E,5,FALSE),"")</f>
        <v>0</v>
      </c>
      <c r="Q291" s="27">
        <f ca="1">DATEDIF(DadosViagem5[[#This Row],[BIP]],TODAY(),"D")</f>
        <v>45990</v>
      </c>
      <c r="R291" s="28" t="str">
        <f>IFERROR(VLOOKUP(DadosViagem5[[#This Row],[Placa]],[1]DDS!B:C,2,FALSE),"Verificar cadastro")</f>
        <v>Manutenção</v>
      </c>
      <c r="S291" s="29" t="s">
        <v>48</v>
      </c>
      <c r="T291" s="23"/>
      <c r="U291" s="30"/>
      <c r="V291" s="31"/>
      <c r="W291" s="32"/>
      <c r="X291" s="33"/>
      <c r="Y291" s="34"/>
      <c r="Z291" s="42"/>
      <c r="AA291" s="20" t="s">
        <v>49</v>
      </c>
      <c r="AB291" s="20" t="s">
        <v>49</v>
      </c>
      <c r="AC291" s="19" t="s">
        <v>49</v>
      </c>
      <c r="AD291" s="19" t="str">
        <f ca="1">IFERROR(DATEDIF(DadosViagem5[[#This Row],[Utimo Bip Reserva]],TODAY(),"D"),"")</f>
        <v/>
      </c>
      <c r="AE291" s="36"/>
      <c r="AF291" s="25"/>
      <c r="AG291" s="36"/>
      <c r="AH291" s="25">
        <v>45807</v>
      </c>
      <c r="AI291" s="36" t="str">
        <f>IF(DadosViagem5[[#This Row],[Dias em manutenção ]]&lt;5,"Dentro do Prazo","Fora do Prazo")</f>
        <v>Fora do Prazo</v>
      </c>
      <c r="AJ291" s="36" t="e">
        <v>#REF!</v>
      </c>
    </row>
    <row r="292" spans="1:36">
      <c r="A292" s="19" t="s">
        <v>504</v>
      </c>
      <c r="B292" s="20"/>
      <c r="C292" s="19" t="s">
        <v>74</v>
      </c>
      <c r="D292" s="19" t="s">
        <v>52</v>
      </c>
      <c r="E292" s="19" t="s">
        <v>75</v>
      </c>
      <c r="F292" s="19" t="s">
        <v>76</v>
      </c>
      <c r="G292" s="19"/>
      <c r="H292" s="20">
        <v>2023</v>
      </c>
      <c r="I292" s="19" t="s">
        <v>41</v>
      </c>
      <c r="J292" s="19" t="s">
        <v>501</v>
      </c>
      <c r="K292" s="21" t="s">
        <v>502</v>
      </c>
      <c r="L292" s="53" t="s">
        <v>477</v>
      </c>
      <c r="M292" s="23" t="s">
        <v>77</v>
      </c>
      <c r="N292" s="36" t="s">
        <v>503</v>
      </c>
      <c r="O292" s="36" t="s">
        <v>479</v>
      </c>
      <c r="P292" s="26">
        <f ca="1">IFERROR(VLOOKUP(DadosViagem5[[#This Row],[Placa]],[1]BIP!A:E,5,FALSE),"")</f>
        <v>0</v>
      </c>
      <c r="Q292" s="27">
        <f ca="1">DATEDIF(DadosViagem5[[#This Row],[BIP]],TODAY(),"D")</f>
        <v>45990</v>
      </c>
      <c r="R292" s="28" t="str">
        <f>IFERROR(VLOOKUP(DadosViagem5[[#This Row],[Placa]],[1]DDS!B:C,2,FALSE),"Verificar cadastro")</f>
        <v>Manutenção</v>
      </c>
      <c r="S292" s="29" t="s">
        <v>48</v>
      </c>
      <c r="T292" s="23"/>
      <c r="U292" s="30"/>
      <c r="V292" s="31"/>
      <c r="W292" s="32" t="s">
        <v>505</v>
      </c>
      <c r="X292" s="33"/>
      <c r="Y292" s="34"/>
      <c r="Z292" s="42"/>
      <c r="AA292" s="20" t="s">
        <v>49</v>
      </c>
      <c r="AB292" s="20" t="s">
        <v>49</v>
      </c>
      <c r="AC292" s="19" t="s">
        <v>49</v>
      </c>
      <c r="AD292" s="19" t="str">
        <f ca="1">IFERROR(DATEDIF(DadosViagem5[[#This Row],[Utimo Bip Reserva]],TODAY(),"D"),"")</f>
        <v/>
      </c>
      <c r="AE292" s="36"/>
      <c r="AF292" s="25"/>
      <c r="AG292" s="36"/>
      <c r="AH292" s="25">
        <v>45807</v>
      </c>
      <c r="AI292" s="36" t="str">
        <f>IF(DadosViagem5[[#This Row],[Dias em manutenção ]]&lt;5,"Dentro do Prazo","Fora do Prazo")</f>
        <v>Fora do Prazo</v>
      </c>
      <c r="AJ292" s="36" t="e">
        <v>#REF!</v>
      </c>
    </row>
    <row r="293" spans="1:36">
      <c r="A293" s="19" t="s">
        <v>506</v>
      </c>
      <c r="B293" s="20"/>
      <c r="C293" s="19" t="s">
        <v>74</v>
      </c>
      <c r="D293" s="19" t="s">
        <v>52</v>
      </c>
      <c r="E293" s="19" t="s">
        <v>75</v>
      </c>
      <c r="F293" s="19" t="s">
        <v>76</v>
      </c>
      <c r="G293" s="19"/>
      <c r="H293" s="20">
        <v>2023</v>
      </c>
      <c r="I293" s="19" t="s">
        <v>41</v>
      </c>
      <c r="J293" s="21" t="s">
        <v>507</v>
      </c>
      <c r="K293" s="64" t="s">
        <v>508</v>
      </c>
      <c r="L293" s="53" t="s">
        <v>477</v>
      </c>
      <c r="M293" s="23" t="s">
        <v>77</v>
      </c>
      <c r="N293" s="25" t="s">
        <v>509</v>
      </c>
      <c r="O293" s="25" t="s">
        <v>148</v>
      </c>
      <c r="P293" s="26" t="str">
        <f>IFERROR(VLOOKUP(DadosViagem5[[#This Row],[Placa]],[1]BIP!A:E,5,FALSE),"")</f>
        <v/>
      </c>
      <c r="Q293" s="27" t="e">
        <f ca="1">DATEDIF(DadosViagem5[[#This Row],[BIP]],TODAY(),"D")</f>
        <v>#VALUE!</v>
      </c>
      <c r="R293" s="28"/>
      <c r="S293" s="29" t="s">
        <v>48</v>
      </c>
      <c r="T293" s="23"/>
      <c r="U293" s="30"/>
      <c r="V293" s="31">
        <v>45870</v>
      </c>
      <c r="W293" s="32" t="s">
        <v>510</v>
      </c>
      <c r="X293" s="33" t="s">
        <v>65</v>
      </c>
      <c r="Y293" s="34" t="s">
        <v>159</v>
      </c>
      <c r="Z293" s="42" t="s">
        <v>511</v>
      </c>
      <c r="AA293" s="20" t="s">
        <v>49</v>
      </c>
      <c r="AB293" s="20" t="s">
        <v>49</v>
      </c>
      <c r="AC293" s="19" t="s">
        <v>49</v>
      </c>
      <c r="AD293" s="19" t="str">
        <f ca="1">IFERROR(DATEDIF(DadosViagem5[[#This Row],[Utimo Bip Reserva]],TODAY(),"D"),"")</f>
        <v/>
      </c>
      <c r="AE293" s="36"/>
      <c r="AF293" s="25"/>
      <c r="AG293" s="36"/>
      <c r="AH293" s="25">
        <v>45807</v>
      </c>
      <c r="AI293" s="36" t="str">
        <f>IF(DadosViagem5[[#This Row],[Dias em manutenção ]]&lt;5,"Dentro do Prazo","Fora do Prazo")</f>
        <v>Fora do Prazo</v>
      </c>
      <c r="AJ293" s="36" t="e">
        <v>#REF!</v>
      </c>
    </row>
    <row r="294" spans="1:36">
      <c r="A294" s="19" t="s">
        <v>512</v>
      </c>
      <c r="B294" s="20"/>
      <c r="C294" s="19" t="s">
        <v>74</v>
      </c>
      <c r="D294" s="19" t="s">
        <v>52</v>
      </c>
      <c r="E294" s="19" t="s">
        <v>75</v>
      </c>
      <c r="F294" s="19" t="s">
        <v>76</v>
      </c>
      <c r="G294" s="19"/>
      <c r="H294" s="20">
        <v>2024</v>
      </c>
      <c r="I294" s="19" t="s">
        <v>41</v>
      </c>
      <c r="J294" s="19" t="s">
        <v>501</v>
      </c>
      <c r="K294" s="21" t="s">
        <v>502</v>
      </c>
      <c r="L294" s="53" t="s">
        <v>477</v>
      </c>
      <c r="M294" s="23" t="s">
        <v>77</v>
      </c>
      <c r="N294" s="36" t="s">
        <v>503</v>
      </c>
      <c r="O294" s="36" t="s">
        <v>479</v>
      </c>
      <c r="P294" s="26">
        <f ca="1">IFERROR(VLOOKUP(DadosViagem5[[#This Row],[Placa]],[1]BIP!A:E,5,FALSE),"")</f>
        <v>45989</v>
      </c>
      <c r="Q294" s="27">
        <f ca="1">DATEDIF(DadosViagem5[[#This Row],[BIP]],TODAY(),"D")</f>
        <v>1</v>
      </c>
      <c r="R294" s="28" t="str">
        <f>IFERROR(VLOOKUP(DadosViagem5[[#This Row],[Placa]],[1]DDS!B:C,2,FALSE),"Verificar cadastro")</f>
        <v>Carregado</v>
      </c>
      <c r="S294" s="29" t="s">
        <v>48</v>
      </c>
      <c r="T294" s="23"/>
      <c r="U294" s="30"/>
      <c r="V294" s="31"/>
      <c r="W294" s="32"/>
      <c r="X294" s="33"/>
      <c r="Y294" s="34"/>
      <c r="Z294" s="42"/>
      <c r="AA294" s="20" t="s">
        <v>49</v>
      </c>
      <c r="AB294" s="20" t="s">
        <v>49</v>
      </c>
      <c r="AC294" s="20" t="s">
        <v>49</v>
      </c>
      <c r="AD294" s="20" t="s">
        <v>49</v>
      </c>
      <c r="AE294" s="36"/>
      <c r="AF294" s="25"/>
      <c r="AG294" s="24"/>
      <c r="AH294" s="25">
        <v>45807</v>
      </c>
      <c r="AI294" s="36" t="str">
        <f>IF(DadosViagem5[[#This Row],[Dias em manutenção ]]&lt;5,"Dentro do Prazo","Fora do Prazo")</f>
        <v>Fora do Prazo</v>
      </c>
      <c r="AJ294" s="36" t="e">
        <v>#REF!</v>
      </c>
    </row>
    <row r="295" spans="1:36">
      <c r="A295" s="19" t="s">
        <v>513</v>
      </c>
      <c r="B295" s="20"/>
      <c r="C295" s="19" t="s">
        <v>217</v>
      </c>
      <c r="D295" s="19" t="s">
        <v>52</v>
      </c>
      <c r="E295" s="19" t="s">
        <v>75</v>
      </c>
      <c r="F295" s="19" t="s">
        <v>76</v>
      </c>
      <c r="G295" s="19"/>
      <c r="H295" s="20">
        <v>2024</v>
      </c>
      <c r="I295" s="19" t="s">
        <v>41</v>
      </c>
      <c r="J295" s="19" t="s">
        <v>501</v>
      </c>
      <c r="K295" s="21" t="s">
        <v>502</v>
      </c>
      <c r="L295" s="53" t="s">
        <v>477</v>
      </c>
      <c r="M295" s="23" t="s">
        <v>77</v>
      </c>
      <c r="N295" s="36" t="s">
        <v>503</v>
      </c>
      <c r="O295" s="36" t="s">
        <v>479</v>
      </c>
      <c r="P295" s="26">
        <f ca="1">IFERROR(VLOOKUP(DadosViagem5[[#This Row],[Placa]],[1]BIP!A:E,5,FALSE),"")</f>
        <v>0</v>
      </c>
      <c r="Q295" s="27">
        <f ca="1">DATEDIF(DadosViagem5[[#This Row],[BIP]],TODAY(),"D")</f>
        <v>45990</v>
      </c>
      <c r="R295" s="28" t="str">
        <f>IFERROR(VLOOKUP(DadosViagem5[[#This Row],[Placa]],[1]DDS!B:C,2,FALSE),"Verificar cadastro")</f>
        <v>Manutenção</v>
      </c>
      <c r="S295" s="29" t="s">
        <v>173</v>
      </c>
      <c r="T295" s="23"/>
      <c r="U295" s="30"/>
      <c r="V295" s="30"/>
      <c r="W295" s="32"/>
      <c r="X295" s="33"/>
      <c r="Y295" s="34"/>
      <c r="Z295" s="42"/>
      <c r="AA295" s="20" t="s">
        <v>49</v>
      </c>
      <c r="AB295" s="20" t="s">
        <v>49</v>
      </c>
      <c r="AC295" s="19" t="s">
        <v>49</v>
      </c>
      <c r="AD295" s="19" t="str">
        <f ca="1">IFERROR(DATEDIF(DadosViagem5[[#This Row],[Utimo Bip Reserva]],TODAY(),"D"),"")</f>
        <v/>
      </c>
      <c r="AE295" s="36"/>
      <c r="AF295" s="25"/>
      <c r="AG295" s="36"/>
      <c r="AH295" s="25">
        <v>45807</v>
      </c>
      <c r="AI295" s="36" t="str">
        <f>IF(DadosViagem5[[#This Row],[Dias em manutenção ]]&lt;5,"Dentro do Prazo","Fora do Prazo")</f>
        <v>Fora do Prazo</v>
      </c>
      <c r="AJ295" s="36" t="e">
        <v>#REF!</v>
      </c>
    </row>
    <row r="296" spans="1:36">
      <c r="A296" s="19" t="s">
        <v>514</v>
      </c>
      <c r="B296" s="20"/>
      <c r="C296" s="19" t="s">
        <v>71</v>
      </c>
      <c r="D296" s="19" t="s">
        <v>38</v>
      </c>
      <c r="E296" s="19" t="s">
        <v>72</v>
      </c>
      <c r="F296" s="19" t="s">
        <v>40</v>
      </c>
      <c r="G296" s="19"/>
      <c r="H296" s="20">
        <v>2022</v>
      </c>
      <c r="I296" s="19" t="s">
        <v>41</v>
      </c>
      <c r="J296" s="19" t="s">
        <v>501</v>
      </c>
      <c r="K296" s="21" t="s">
        <v>502</v>
      </c>
      <c r="L296" s="80" t="s">
        <v>477</v>
      </c>
      <c r="M296" s="23" t="s">
        <v>45</v>
      </c>
      <c r="N296" s="25" t="s">
        <v>503</v>
      </c>
      <c r="O296" s="36" t="s">
        <v>479</v>
      </c>
      <c r="P296" s="26">
        <f ca="1">IFERROR(VLOOKUP(DadosViagem5[[#This Row],[Placa]],[1]BIP!A:E,5,FALSE),"")</f>
        <v>45989</v>
      </c>
      <c r="Q296" s="27">
        <f ca="1">DATEDIF(DadosViagem5[[#This Row],[BIP]],TODAY(),"D")</f>
        <v>1</v>
      </c>
      <c r="R296" s="28" t="str">
        <f>IFERROR(VLOOKUP(DadosViagem5[[#This Row],[Placa]],[1]DDS!B:C,2,FALSE),"Verificar cadastro")</f>
        <v>Carregado</v>
      </c>
      <c r="S296" s="29" t="s">
        <v>48</v>
      </c>
      <c r="T296" s="23"/>
      <c r="U296" s="30"/>
      <c r="V296" s="31"/>
      <c r="W296" s="32" t="s">
        <v>515</v>
      </c>
      <c r="X296" s="33"/>
      <c r="Y296" s="34"/>
      <c r="Z296" s="42"/>
      <c r="AA296" s="20"/>
      <c r="AB296" s="20" t="s">
        <v>49</v>
      </c>
      <c r="AC296" s="19" t="s">
        <v>49</v>
      </c>
      <c r="AD296" s="19" t="str">
        <f ca="1">IFERROR(DATEDIF(DadosViagem5[[#This Row],[Utimo Bip Reserva]],TODAY(),"D"),"")</f>
        <v/>
      </c>
      <c r="AE296" s="25" t="s">
        <v>49</v>
      </c>
      <c r="AF296" s="25" t="s">
        <v>49</v>
      </c>
      <c r="AG296" s="36" t="s">
        <v>481</v>
      </c>
      <c r="AH296" s="25">
        <v>45807</v>
      </c>
      <c r="AI296" s="36" t="str">
        <f>IF(DadosViagem5[[#This Row],[Dias em manutenção ]]&lt;5,"Dentro do Prazo","Fora do Prazo")</f>
        <v>Fora do Prazo</v>
      </c>
      <c r="AJ296" s="36" t="e">
        <v>#REF!</v>
      </c>
    </row>
    <row r="297" spans="1:36">
      <c r="A297" s="19" t="s">
        <v>516</v>
      </c>
      <c r="B297" s="20"/>
      <c r="C297" s="19" t="s">
        <v>225</v>
      </c>
      <c r="D297" s="19" t="s">
        <v>38</v>
      </c>
      <c r="E297" s="19" t="s">
        <v>39</v>
      </c>
      <c r="F297" s="19" t="s">
        <v>40</v>
      </c>
      <c r="G297" s="19"/>
      <c r="H297" s="20">
        <v>2024</v>
      </c>
      <c r="I297" s="19" t="s">
        <v>41</v>
      </c>
      <c r="J297" s="19" t="s">
        <v>501</v>
      </c>
      <c r="K297" s="21" t="s">
        <v>502</v>
      </c>
      <c r="L297" s="80" t="s">
        <v>477</v>
      </c>
      <c r="M297" s="23" t="s">
        <v>45</v>
      </c>
      <c r="N297" s="25" t="s">
        <v>503</v>
      </c>
      <c r="O297" s="36" t="s">
        <v>479</v>
      </c>
      <c r="P297" s="26">
        <f ca="1">IFERROR(VLOOKUP(DadosViagem5[[#This Row],[Placa]],[1]BIP!A:E,5,FALSE),"")</f>
        <v>0</v>
      </c>
      <c r="Q297" s="27">
        <f ca="1">DATEDIF(DadosViagem5[[#This Row],[BIP]],TODAY(),"D")</f>
        <v>45990</v>
      </c>
      <c r="R297" s="28" t="str">
        <f>IFERROR(VLOOKUP(DadosViagem5[[#This Row],[Placa]],[1]DDS!B:C,2,FALSE),"Verificar cadastro")</f>
        <v>Manutenção</v>
      </c>
      <c r="S297" s="29" t="s">
        <v>48</v>
      </c>
      <c r="T297" s="23"/>
      <c r="U297" s="30"/>
      <c r="V297" s="31"/>
      <c r="W297" s="32"/>
      <c r="X297" s="33"/>
      <c r="Y297" s="34"/>
      <c r="Z297" s="32"/>
      <c r="AA297" s="20" t="s">
        <v>49</v>
      </c>
      <c r="AB297" s="20" t="s">
        <v>49</v>
      </c>
      <c r="AC297" s="19" t="s">
        <v>49</v>
      </c>
      <c r="AD297" s="19" t="str">
        <f ca="1">IFERROR(DATEDIF(DadosViagem5[[#This Row],[Utimo Bip Reserva]],TODAY(),"D"),"")</f>
        <v/>
      </c>
      <c r="AE297" s="25" t="s">
        <v>49</v>
      </c>
      <c r="AF297" s="25" t="s">
        <v>49</v>
      </c>
      <c r="AG297" s="36"/>
      <c r="AH297" s="25">
        <v>45807</v>
      </c>
      <c r="AI297" s="36" t="str">
        <f>IF(DadosViagem5[[#This Row],[Dias em manutenção ]]&lt;5,"Dentro do Prazo","Fora do Prazo")</f>
        <v>Fora do Prazo</v>
      </c>
      <c r="AJ297" s="36" t="e">
        <v>#REF!</v>
      </c>
    </row>
    <row r="298" spans="1:36">
      <c r="A298" s="19" t="s">
        <v>517</v>
      </c>
      <c r="B298" s="20"/>
      <c r="C298" s="19" t="s">
        <v>518</v>
      </c>
      <c r="D298" s="19" t="s">
        <v>38</v>
      </c>
      <c r="E298" s="19" t="s">
        <v>75</v>
      </c>
      <c r="F298" s="19" t="s">
        <v>76</v>
      </c>
      <c r="G298" s="19"/>
      <c r="H298" s="20">
        <v>2024</v>
      </c>
      <c r="I298" s="19" t="s">
        <v>41</v>
      </c>
      <c r="J298" s="19" t="s">
        <v>501</v>
      </c>
      <c r="K298" s="21" t="s">
        <v>502</v>
      </c>
      <c r="L298" s="53" t="s">
        <v>477</v>
      </c>
      <c r="M298" s="23" t="s">
        <v>77</v>
      </c>
      <c r="N298" s="36" t="s">
        <v>503</v>
      </c>
      <c r="O298" s="36" t="s">
        <v>479</v>
      </c>
      <c r="P298" s="26">
        <f ca="1">IFERROR(VLOOKUP(DadosViagem5[[#This Row],[Placa]],[1]BIP!A:E,5,FALSE),"")</f>
        <v>0</v>
      </c>
      <c r="Q298" s="27">
        <f ca="1">DATEDIF(DadosViagem5[[#This Row],[BIP]],TODAY(),"D")</f>
        <v>45990</v>
      </c>
      <c r="R298" s="28" t="str">
        <f>IFERROR(VLOOKUP(DadosViagem5[[#This Row],[Placa]],[1]DDS!B:C,2,FALSE),"Verificar cadastro")</f>
        <v>Manutenção</v>
      </c>
      <c r="S298" s="29" t="s">
        <v>48</v>
      </c>
      <c r="T298" s="23"/>
      <c r="U298" s="30"/>
      <c r="V298" s="31">
        <v>45896</v>
      </c>
      <c r="W298" s="32" t="s">
        <v>519</v>
      </c>
      <c r="X298" s="33" t="s">
        <v>65</v>
      </c>
      <c r="Y298" s="34" t="s">
        <v>159</v>
      </c>
      <c r="Z298" s="34"/>
      <c r="AA298" s="20" t="s">
        <v>49</v>
      </c>
      <c r="AB298" s="20" t="s">
        <v>49</v>
      </c>
      <c r="AC298" s="19" t="s">
        <v>49</v>
      </c>
      <c r="AD298" s="19" t="str">
        <f ca="1">IFERROR(DATEDIF(DadosViagem5[[#This Row],[Utimo Bip Reserva]],TODAY(),"D"),"")</f>
        <v/>
      </c>
      <c r="AE298" s="36"/>
      <c r="AF298" s="25"/>
      <c r="AG298" s="36"/>
      <c r="AH298" s="25">
        <v>45807</v>
      </c>
      <c r="AI298" s="36" t="str">
        <f>IF(DadosViagem5[[#This Row],[Dias em manutenção ]]&lt;5,"Dentro do Prazo","Fora do Prazo")</f>
        <v>Fora do Prazo</v>
      </c>
      <c r="AJ298" s="36" t="e">
        <v>#REF!</v>
      </c>
    </row>
    <row r="299" spans="1:36">
      <c r="A299" s="19" t="s">
        <v>520</v>
      </c>
      <c r="B299" s="20"/>
      <c r="C299" s="19" t="s">
        <v>74</v>
      </c>
      <c r="D299" s="19" t="s">
        <v>38</v>
      </c>
      <c r="E299" s="19" t="s">
        <v>75</v>
      </c>
      <c r="F299" s="19" t="s">
        <v>76</v>
      </c>
      <c r="G299" s="19"/>
      <c r="H299" s="20">
        <v>2024</v>
      </c>
      <c r="I299" s="19" t="s">
        <v>41</v>
      </c>
      <c r="J299" s="19" t="s">
        <v>501</v>
      </c>
      <c r="K299" s="21" t="s">
        <v>502</v>
      </c>
      <c r="L299" s="53" t="s">
        <v>477</v>
      </c>
      <c r="M299" s="23" t="s">
        <v>77</v>
      </c>
      <c r="N299" s="36" t="s">
        <v>503</v>
      </c>
      <c r="O299" s="36" t="s">
        <v>479</v>
      </c>
      <c r="P299" s="26">
        <f ca="1">IFERROR(VLOOKUP(DadosViagem5[[#This Row],[Placa]],[1]BIP!A:E,5,FALSE),"")</f>
        <v>0</v>
      </c>
      <c r="Q299" s="27">
        <f ca="1">DATEDIF(DadosViagem5[[#This Row],[BIP]],TODAY(),"D")</f>
        <v>45990</v>
      </c>
      <c r="R299" s="28" t="str">
        <f>IFERROR(VLOOKUP(DadosViagem5[[#This Row],[Placa]],[1]DDS!B:C,2,FALSE),"Verificar cadastro")</f>
        <v>Manutenção</v>
      </c>
      <c r="S299" s="29" t="s">
        <v>48</v>
      </c>
      <c r="T299" s="23"/>
      <c r="U299" s="30"/>
      <c r="V299" s="31"/>
      <c r="W299" s="32"/>
      <c r="X299" s="33"/>
      <c r="Y299" s="34"/>
      <c r="Z299" s="32"/>
      <c r="AA299" s="20" t="s">
        <v>49</v>
      </c>
      <c r="AB299" s="20" t="s">
        <v>49</v>
      </c>
      <c r="AC299" s="19" t="s">
        <v>49</v>
      </c>
      <c r="AD299" s="19" t="str">
        <f ca="1">IFERROR(DATEDIF(DadosViagem5[[#This Row],[Utimo Bip Reserva]],TODAY(),"D"),"")</f>
        <v/>
      </c>
      <c r="AE299" s="36"/>
      <c r="AF299" s="25"/>
      <c r="AG299" s="36"/>
      <c r="AH299" s="25">
        <v>45807</v>
      </c>
      <c r="AI299" s="36" t="str">
        <f>IF(DadosViagem5[[#This Row],[Dias em manutenção ]]&lt;5,"Dentro do Prazo","Fora do Prazo")</f>
        <v>Fora do Prazo</v>
      </c>
      <c r="AJ299" s="36" t="e">
        <v>#REF!</v>
      </c>
    </row>
    <row r="300" spans="1:36">
      <c r="A300" s="19" t="s">
        <v>521</v>
      </c>
      <c r="B300" s="20"/>
      <c r="C300" s="19" t="s">
        <v>217</v>
      </c>
      <c r="D300" s="19" t="s">
        <v>52</v>
      </c>
      <c r="E300" s="19" t="s">
        <v>75</v>
      </c>
      <c r="F300" s="19" t="s">
        <v>76</v>
      </c>
      <c r="G300" s="19"/>
      <c r="H300" s="20">
        <v>2024</v>
      </c>
      <c r="I300" s="19" t="s">
        <v>41</v>
      </c>
      <c r="J300" s="19" t="s">
        <v>501</v>
      </c>
      <c r="K300" s="21" t="s">
        <v>502</v>
      </c>
      <c r="L300" s="53" t="s">
        <v>477</v>
      </c>
      <c r="M300" s="23" t="s">
        <v>77</v>
      </c>
      <c r="N300" s="36" t="s">
        <v>503</v>
      </c>
      <c r="O300" s="36" t="s">
        <v>479</v>
      </c>
      <c r="P300" s="26">
        <f ca="1">IFERROR(VLOOKUP(DadosViagem5[[#This Row],[Placa]],[1]BIP!A:E,5,FALSE),"")</f>
        <v>0</v>
      </c>
      <c r="Q300" s="27">
        <f ca="1">DATEDIF(DadosViagem5[[#This Row],[BIP]],TODAY(),"D")</f>
        <v>45990</v>
      </c>
      <c r="R300" s="28" t="str">
        <f>IFERROR(VLOOKUP(DadosViagem5[[#This Row],[Placa]],[1]DDS!B:C,2,FALSE),"Verificar cadastro")</f>
        <v>Manutenção</v>
      </c>
      <c r="S300" s="29" t="s">
        <v>173</v>
      </c>
      <c r="T300" s="23"/>
      <c r="U300" s="30"/>
      <c r="V300" s="31"/>
      <c r="W300" s="32"/>
      <c r="X300" s="33"/>
      <c r="Y300" s="34"/>
      <c r="Z300" s="32"/>
      <c r="AA300" s="20" t="s">
        <v>49</v>
      </c>
      <c r="AB300" s="20" t="s">
        <v>49</v>
      </c>
      <c r="AC300" s="19" t="s">
        <v>49</v>
      </c>
      <c r="AD300" s="19" t="str">
        <f ca="1">IFERROR(DATEDIF(DadosViagem5[[#This Row],[Utimo Bip Reserva]],TODAY(),"D"),"")</f>
        <v/>
      </c>
      <c r="AE300" s="36"/>
      <c r="AF300" s="25"/>
      <c r="AG300" s="36"/>
      <c r="AH300" s="25">
        <v>45807</v>
      </c>
      <c r="AI300" s="36" t="str">
        <f>IF(DadosViagem5[[#This Row],[Dias em manutenção ]]&lt;5,"Dentro do Prazo","Fora do Prazo")</f>
        <v>Fora do Prazo</v>
      </c>
      <c r="AJ300" s="36" t="e">
        <v>#REF!</v>
      </c>
    </row>
    <row r="301" spans="1:36">
      <c r="A301" s="19" t="s">
        <v>522</v>
      </c>
      <c r="B301" s="20"/>
      <c r="C301" s="19" t="s">
        <v>71</v>
      </c>
      <c r="D301" s="19" t="s">
        <v>38</v>
      </c>
      <c r="E301" s="19" t="s">
        <v>72</v>
      </c>
      <c r="F301" s="19" t="s">
        <v>115</v>
      </c>
      <c r="G301" s="19"/>
      <c r="H301" s="20">
        <v>2023</v>
      </c>
      <c r="I301" s="19" t="s">
        <v>41</v>
      </c>
      <c r="J301" s="19" t="s">
        <v>501</v>
      </c>
      <c r="K301" s="21" t="s">
        <v>502</v>
      </c>
      <c r="L301" s="53" t="s">
        <v>477</v>
      </c>
      <c r="M301" s="23" t="s">
        <v>45</v>
      </c>
      <c r="N301" s="36" t="s">
        <v>503</v>
      </c>
      <c r="O301" s="36" t="s">
        <v>479</v>
      </c>
      <c r="P301" s="26">
        <f ca="1">IFERROR(VLOOKUP(DadosViagem5[[#This Row],[Placa]],[1]BIP!A:E,5,FALSE),"")</f>
        <v>45989</v>
      </c>
      <c r="Q301" s="27">
        <f ca="1">DATEDIF(DadosViagem5[[#This Row],[BIP]],TODAY(),"D")</f>
        <v>1</v>
      </c>
      <c r="R301" s="28" t="str">
        <f>IFERROR(VLOOKUP(DadosViagem5[[#This Row],[Placa]],[1]DDS!B:C,2,FALSE),"Verificar cadastro")</f>
        <v>Carregado</v>
      </c>
      <c r="S301" s="29" t="s">
        <v>48</v>
      </c>
      <c r="T301" s="23"/>
      <c r="U301" s="30"/>
      <c r="V301" s="47"/>
      <c r="W301" s="32"/>
      <c r="X301" s="33"/>
      <c r="Y301" s="34"/>
      <c r="Z301" s="32"/>
      <c r="AA301" s="20" t="s">
        <v>49</v>
      </c>
      <c r="AB301" s="20" t="s">
        <v>49</v>
      </c>
      <c r="AC301" s="19" t="s">
        <v>49</v>
      </c>
      <c r="AD301" s="19" t="str">
        <f ca="1">IFERROR(DATEDIF(DadosViagem5[[#This Row],[Utimo Bip Reserva]],TODAY(),"D"),"")</f>
        <v/>
      </c>
      <c r="AE301" s="25" t="s">
        <v>49</v>
      </c>
      <c r="AF301" s="25" t="s">
        <v>49</v>
      </c>
      <c r="AG301" s="36"/>
      <c r="AH301" s="25">
        <v>45807</v>
      </c>
      <c r="AI301" s="36" t="str">
        <f>IF(DadosViagem5[[#This Row],[Dias em manutenção ]]&lt;5,"Dentro do Prazo","Fora do Prazo")</f>
        <v>Fora do Prazo</v>
      </c>
      <c r="AJ301" s="36" t="e">
        <v>#REF!</v>
      </c>
    </row>
    <row r="302" spans="1:36">
      <c r="A302" s="19" t="s">
        <v>523</v>
      </c>
      <c r="B302" s="20"/>
      <c r="C302" s="19" t="s">
        <v>74</v>
      </c>
      <c r="D302" s="19" t="s">
        <v>52</v>
      </c>
      <c r="E302" s="19" t="s">
        <v>75</v>
      </c>
      <c r="F302" s="19" t="s">
        <v>76</v>
      </c>
      <c r="G302" s="19"/>
      <c r="H302" s="20">
        <v>2023</v>
      </c>
      <c r="I302" s="19" t="s">
        <v>41</v>
      </c>
      <c r="J302" s="21" t="s">
        <v>507</v>
      </c>
      <c r="K302" s="21" t="s">
        <v>508</v>
      </c>
      <c r="L302" s="53" t="s">
        <v>477</v>
      </c>
      <c r="M302" s="23" t="s">
        <v>77</v>
      </c>
      <c r="N302" s="25" t="s">
        <v>524</v>
      </c>
      <c r="O302" s="25" t="s">
        <v>148</v>
      </c>
      <c r="P302" s="26">
        <f ca="1">IFERROR(VLOOKUP(DadosViagem5[[#This Row],[Placa]],[1]BIP!A:E,5,FALSE),"")</f>
        <v>45989</v>
      </c>
      <c r="Q302" s="27">
        <f ca="1">DATEDIF(DadosViagem5[[#This Row],[BIP]],TODAY(),"D")</f>
        <v>1</v>
      </c>
      <c r="R302" s="28"/>
      <c r="S302" s="29" t="s">
        <v>48</v>
      </c>
      <c r="T302" s="23"/>
      <c r="U302" s="30"/>
      <c r="V302" s="31"/>
      <c r="W302" s="32"/>
      <c r="X302" s="33"/>
      <c r="Y302" s="34"/>
      <c r="Z302" s="32"/>
      <c r="AA302" s="20" t="s">
        <v>49</v>
      </c>
      <c r="AB302" s="20" t="s">
        <v>49</v>
      </c>
      <c r="AC302" s="20" t="s">
        <v>49</v>
      </c>
      <c r="AD302" s="20" t="s">
        <v>49</v>
      </c>
      <c r="AE302" s="36"/>
      <c r="AF302" s="25"/>
      <c r="AG302" s="36"/>
      <c r="AH302" s="25">
        <v>45807</v>
      </c>
      <c r="AI302" s="36" t="str">
        <f>IF(DadosViagem5[[#This Row],[Dias em manutenção ]]&lt;5,"Dentro do Prazo","Fora do Prazo")</f>
        <v>Fora do Prazo</v>
      </c>
      <c r="AJ302" s="36" t="e">
        <v>#REF!</v>
      </c>
    </row>
    <row r="303" spans="1:36">
      <c r="A303" s="19" t="s">
        <v>525</v>
      </c>
      <c r="B303" s="20"/>
      <c r="C303" s="19" t="s">
        <v>71</v>
      </c>
      <c r="D303" s="19" t="s">
        <v>38</v>
      </c>
      <c r="E303" s="19" t="s">
        <v>265</v>
      </c>
      <c r="F303" s="19" t="s">
        <v>40</v>
      </c>
      <c r="G303" s="19"/>
      <c r="H303" s="20">
        <v>2023</v>
      </c>
      <c r="I303" s="19" t="s">
        <v>41</v>
      </c>
      <c r="J303" s="21" t="s">
        <v>507</v>
      </c>
      <c r="K303" s="64" t="s">
        <v>508</v>
      </c>
      <c r="L303" s="53" t="s">
        <v>477</v>
      </c>
      <c r="M303" s="23" t="s">
        <v>45</v>
      </c>
      <c r="N303" s="40" t="s">
        <v>524</v>
      </c>
      <c r="O303" s="25" t="s">
        <v>148</v>
      </c>
      <c r="P303" s="26">
        <f ca="1">IFERROR(VLOOKUP(DadosViagem5[[#This Row],[Placa]],[1]BIP!A:E,5,FALSE),"")</f>
        <v>0</v>
      </c>
      <c r="Q303" s="27">
        <f ca="1">DATEDIF(DadosViagem5[[#This Row],[BIP]],TODAY(),"D")</f>
        <v>45990</v>
      </c>
      <c r="R303" s="28" t="str">
        <f>IFERROR(VLOOKUP(DadosViagem5[[#This Row],[Placa]],[1]DDS!B:C,2,FALSE),"Verificar cadastro")</f>
        <v> </v>
      </c>
      <c r="S303" s="29" t="s">
        <v>48</v>
      </c>
      <c r="T303" s="23"/>
      <c r="U303" s="30"/>
      <c r="V303" s="31"/>
      <c r="W303" s="32" t="s">
        <v>526</v>
      </c>
      <c r="X303" s="33"/>
      <c r="Y303" s="34"/>
      <c r="Z303" s="32"/>
      <c r="AA303" s="20" t="s">
        <v>49</v>
      </c>
      <c r="AB303" s="20" t="s">
        <v>49</v>
      </c>
      <c r="AC303" s="19" t="s">
        <v>49</v>
      </c>
      <c r="AD303" s="19" t="str">
        <f ca="1">IFERROR(DATEDIF(DadosViagem5[[#This Row],[Utimo Bip Reserva]],TODAY(),"D"),"")</f>
        <v/>
      </c>
      <c r="AE303" s="25"/>
      <c r="AF303" s="25" t="s">
        <v>49</v>
      </c>
      <c r="AG303" s="36" t="s">
        <v>527</v>
      </c>
      <c r="AH303" s="25">
        <v>45807</v>
      </c>
      <c r="AI303" s="36" t="str">
        <f>IF(DadosViagem5[[#This Row],[Dias em manutenção ]]&lt;5,"Dentro do Prazo","Fora do Prazo")</f>
        <v>Fora do Prazo</v>
      </c>
      <c r="AJ303" s="36" t="e">
        <v>#REF!</v>
      </c>
    </row>
    <row r="304" spans="1:36">
      <c r="A304" s="19" t="s">
        <v>528</v>
      </c>
      <c r="B304" s="20"/>
      <c r="C304" s="19" t="s">
        <v>74</v>
      </c>
      <c r="D304" s="19" t="s">
        <v>52</v>
      </c>
      <c r="E304" s="19" t="s">
        <v>75</v>
      </c>
      <c r="F304" s="19" t="s">
        <v>76</v>
      </c>
      <c r="G304" s="19"/>
      <c r="H304" s="20">
        <v>2023</v>
      </c>
      <c r="I304" s="19" t="s">
        <v>41</v>
      </c>
      <c r="J304" s="21" t="s">
        <v>507</v>
      </c>
      <c r="K304" s="21" t="s">
        <v>508</v>
      </c>
      <c r="L304" s="53" t="s">
        <v>477</v>
      </c>
      <c r="M304" s="23" t="s">
        <v>77</v>
      </c>
      <c r="N304" s="25" t="s">
        <v>524</v>
      </c>
      <c r="O304" s="25" t="s">
        <v>148</v>
      </c>
      <c r="P304" s="26">
        <f ca="1">IFERROR(VLOOKUP(DadosViagem5[[#This Row],[Placa]],[1]BIP!A:E,5,FALSE),"")</f>
        <v>0</v>
      </c>
      <c r="Q304" s="27">
        <f ca="1">DATEDIF(DadosViagem5[[#This Row],[BIP]],TODAY(),"D")</f>
        <v>45990</v>
      </c>
      <c r="R304" s="28" t="str">
        <f>IFERROR(VLOOKUP(DadosViagem5[[#This Row],[Placa]],[1]DDS!B:C,2,FALSE),"Verificar cadastro")</f>
        <v>Verificar cadastro</v>
      </c>
      <c r="S304" s="29" t="s">
        <v>48</v>
      </c>
      <c r="T304" s="23"/>
      <c r="U304" s="30"/>
      <c r="V304" s="31"/>
      <c r="W304" s="32"/>
      <c r="X304" s="33"/>
      <c r="Y304" s="34"/>
      <c r="Z304" s="32"/>
      <c r="AA304" s="20" t="s">
        <v>49</v>
      </c>
      <c r="AB304" s="20" t="s">
        <v>49</v>
      </c>
      <c r="AC304" s="20" t="s">
        <v>49</v>
      </c>
      <c r="AD304" s="20" t="s">
        <v>49</v>
      </c>
      <c r="AE304" s="36"/>
      <c r="AF304" s="25"/>
      <c r="AG304" s="36"/>
      <c r="AH304" s="25">
        <v>45807</v>
      </c>
      <c r="AI304" s="36" t="str">
        <f>IF(DadosViagem5[[#This Row],[Dias em manutenção ]]&lt;5,"Dentro do Prazo","Fora do Prazo")</f>
        <v>Fora do Prazo</v>
      </c>
      <c r="AJ304" s="36" t="e">
        <v>#REF!</v>
      </c>
    </row>
    <row r="305" spans="1:36">
      <c r="A305" s="19" t="s">
        <v>529</v>
      </c>
      <c r="B305" s="20"/>
      <c r="C305" s="19" t="s">
        <v>530</v>
      </c>
      <c r="D305" s="19" t="s">
        <v>52</v>
      </c>
      <c r="E305" s="19" t="s">
        <v>75</v>
      </c>
      <c r="F305" s="19" t="s">
        <v>76</v>
      </c>
      <c r="G305" s="19"/>
      <c r="H305" s="20">
        <v>2024</v>
      </c>
      <c r="I305" s="19" t="s">
        <v>41</v>
      </c>
      <c r="J305" s="21" t="s">
        <v>507</v>
      </c>
      <c r="K305" s="21" t="s">
        <v>508</v>
      </c>
      <c r="L305" s="53" t="s">
        <v>477</v>
      </c>
      <c r="M305" s="23" t="s">
        <v>45</v>
      </c>
      <c r="N305" s="25" t="s">
        <v>524</v>
      </c>
      <c r="O305" s="25" t="s">
        <v>148</v>
      </c>
      <c r="P305" s="26">
        <f ca="1">IFERROR(VLOOKUP(DadosViagem5[[#This Row],[Placa]],[1]BIP!A:E,5,FALSE),"")</f>
        <v>45989</v>
      </c>
      <c r="Q305" s="27">
        <f ca="1">DATEDIF(DadosViagem5[[#This Row],[BIP]],TODAY(),"D")</f>
        <v>1</v>
      </c>
      <c r="R305" s="28" t="str">
        <f>IFERROR(VLOOKUP(DadosViagem5[[#This Row],[Placa]],[1]DDS!B:C,2,FALSE),"Verificar cadastro")</f>
        <v>Carregado</v>
      </c>
      <c r="S305" s="29" t="s">
        <v>48</v>
      </c>
      <c r="T305" s="23"/>
      <c r="U305" s="30"/>
      <c r="V305" s="31"/>
      <c r="W305" s="32"/>
      <c r="X305" s="33"/>
      <c r="Y305" s="34"/>
      <c r="Z305" s="43"/>
      <c r="AA305" s="20" t="s">
        <v>49</v>
      </c>
      <c r="AB305" s="20" t="s">
        <v>49</v>
      </c>
      <c r="AC305" s="20" t="s">
        <v>49</v>
      </c>
      <c r="AD305" s="20" t="s">
        <v>49</v>
      </c>
      <c r="AE305" s="36"/>
      <c r="AF305" s="25"/>
      <c r="AG305" s="36"/>
      <c r="AH305" s="25">
        <v>45807</v>
      </c>
      <c r="AI305" s="36" t="str">
        <f>IF(DadosViagem5[[#This Row],[Dias em manutenção ]]&lt;5,"Dentro do Prazo","Fora do Prazo")</f>
        <v>Fora do Prazo</v>
      </c>
      <c r="AJ305" s="36" t="e">
        <v>#REF!</v>
      </c>
    </row>
    <row r="306" spans="1:36">
      <c r="A306" s="19" t="s">
        <v>531</v>
      </c>
      <c r="B306" s="20">
        <v>775</v>
      </c>
      <c r="C306" s="19" t="s">
        <v>74</v>
      </c>
      <c r="D306" s="19" t="s">
        <v>52</v>
      </c>
      <c r="E306" s="19" t="s">
        <v>75</v>
      </c>
      <c r="F306" s="19" t="s">
        <v>76</v>
      </c>
      <c r="G306" s="19"/>
      <c r="H306" s="20">
        <v>2023</v>
      </c>
      <c r="I306" s="19" t="s">
        <v>41</v>
      </c>
      <c r="J306" s="21" t="s">
        <v>507</v>
      </c>
      <c r="K306" s="64" t="s">
        <v>508</v>
      </c>
      <c r="L306" s="53" t="s">
        <v>477</v>
      </c>
      <c r="M306" s="23" t="s">
        <v>77</v>
      </c>
      <c r="N306" s="25" t="s">
        <v>509</v>
      </c>
      <c r="O306" s="25" t="s">
        <v>148</v>
      </c>
      <c r="P306" s="26" t="str">
        <f>IFERROR(VLOOKUP(DadosViagem5[[#This Row],[Placa]],[1]BIP!A:E,5,FALSE),"")</f>
        <v/>
      </c>
      <c r="Q306" s="27" t="e">
        <f ca="1">DATEDIF(DadosViagem5[[#This Row],[BIP]],TODAY(),"D")</f>
        <v>#VALUE!</v>
      </c>
      <c r="R306" s="28" t="str">
        <f>IFERROR(VLOOKUP(DadosViagem5[[#This Row],[Placa]],[1]DDS!B:C,2,FALSE),"Verificar cadastro")</f>
        <v>Carregado</v>
      </c>
      <c r="S306" s="29" t="s">
        <v>48</v>
      </c>
      <c r="T306" s="23"/>
      <c r="U306" s="30"/>
      <c r="V306" s="31"/>
      <c r="W306" s="32" t="s">
        <v>474</v>
      </c>
      <c r="X306" s="33"/>
      <c r="Y306" s="34"/>
      <c r="Z306" s="43"/>
      <c r="AA306" s="20" t="s">
        <v>49</v>
      </c>
      <c r="AB306" s="20" t="s">
        <v>49</v>
      </c>
      <c r="AC306" s="20" t="s">
        <v>49</v>
      </c>
      <c r="AD306" s="20" t="s">
        <v>49</v>
      </c>
      <c r="AE306" s="36"/>
      <c r="AF306" s="25"/>
      <c r="AG306" s="36"/>
      <c r="AH306" s="25">
        <v>45807</v>
      </c>
      <c r="AI306" s="36" t="str">
        <f>IF(DadosViagem5[[#This Row],[Dias em manutenção ]]&lt;5,"Dentro do Prazo","Fora do Prazo")</f>
        <v>Fora do Prazo</v>
      </c>
      <c r="AJ306" s="36" t="e">
        <v>#REF!</v>
      </c>
    </row>
    <row r="307" spans="1:36">
      <c r="A307" s="19" t="s">
        <v>532</v>
      </c>
      <c r="B307" s="20"/>
      <c r="C307" s="19" t="s">
        <v>71</v>
      </c>
      <c r="D307" s="19" t="s">
        <v>38</v>
      </c>
      <c r="E307" s="19" t="s">
        <v>265</v>
      </c>
      <c r="F307" s="19" t="s">
        <v>396</v>
      </c>
      <c r="G307" s="19"/>
      <c r="H307" s="20">
        <v>2023</v>
      </c>
      <c r="I307" s="19" t="s">
        <v>41</v>
      </c>
      <c r="J307" s="19" t="s">
        <v>533</v>
      </c>
      <c r="K307" s="21" t="s">
        <v>534</v>
      </c>
      <c r="L307" s="22" t="s">
        <v>535</v>
      </c>
      <c r="M307" s="23" t="s">
        <v>45</v>
      </c>
      <c r="N307" s="25" t="s">
        <v>78</v>
      </c>
      <c r="O307" s="36" t="s">
        <v>479</v>
      </c>
      <c r="P307" s="26">
        <f ca="1">IFERROR(VLOOKUP(DadosViagem5[[#This Row],[Placa]],[1]BIP!A:E,5,FALSE),"")</f>
        <v>0</v>
      </c>
      <c r="Q307" s="27">
        <f ca="1">DATEDIF(DadosViagem5[[#This Row],[BIP]],TODAY(),"D")</f>
        <v>45990</v>
      </c>
      <c r="R307" s="28" t="str">
        <f>IFERROR(VLOOKUP(DadosViagem5[[#This Row],[Placa]],[1]DDS!B:C,2,FALSE),"Verificar cadastro")</f>
        <v> </v>
      </c>
      <c r="S307" s="29" t="s">
        <v>48</v>
      </c>
      <c r="T307" s="23"/>
      <c r="U307" s="30"/>
      <c r="V307" s="31"/>
      <c r="W307" s="32" t="s">
        <v>536</v>
      </c>
      <c r="X307" s="33"/>
      <c r="Y307" s="34"/>
      <c r="Z307" s="32"/>
      <c r="AA307" s="20" t="s">
        <v>49</v>
      </c>
      <c r="AB307" s="20" t="s">
        <v>49</v>
      </c>
      <c r="AC307" s="19" t="s">
        <v>49</v>
      </c>
      <c r="AD307" s="19" t="str">
        <f ca="1">IFERROR(DATEDIF(DadosViagem5[[#This Row],[Utimo Bip Reserva]],TODAY(),"D"),"")</f>
        <v/>
      </c>
      <c r="AE307" s="25" t="s">
        <v>537</v>
      </c>
      <c r="AF307" s="25" t="s">
        <v>49</v>
      </c>
      <c r="AG307" s="36" t="s">
        <v>290</v>
      </c>
      <c r="AH307" s="25">
        <v>45807</v>
      </c>
      <c r="AI307" s="36" t="str">
        <f>IF(DadosViagem5[[#This Row],[Dias em manutenção ]]&lt;5,"Dentro do Prazo","Fora do Prazo")</f>
        <v>Fora do Prazo</v>
      </c>
      <c r="AJ307" s="36" t="e">
        <v>#REF!</v>
      </c>
    </row>
    <row r="308" spans="1:36">
      <c r="A308" s="19" t="s">
        <v>538</v>
      </c>
      <c r="B308" s="20"/>
      <c r="C308" s="19" t="s">
        <v>97</v>
      </c>
      <c r="D308" s="19" t="s">
        <v>98</v>
      </c>
      <c r="E308" s="19" t="s">
        <v>53</v>
      </c>
      <c r="F308" s="19" t="s">
        <v>40</v>
      </c>
      <c r="G308" s="19"/>
      <c r="H308" s="20">
        <v>2023</v>
      </c>
      <c r="I308" s="19" t="s">
        <v>41</v>
      </c>
      <c r="J308" s="19" t="s">
        <v>533</v>
      </c>
      <c r="K308" s="21" t="s">
        <v>534</v>
      </c>
      <c r="L308" s="22" t="s">
        <v>535</v>
      </c>
      <c r="M308" s="23" t="s">
        <v>45</v>
      </c>
      <c r="N308" s="25" t="s">
        <v>78</v>
      </c>
      <c r="O308" s="36" t="s">
        <v>479</v>
      </c>
      <c r="P308" s="26">
        <f ca="1">IFERROR(VLOOKUP(DadosViagem5[[#This Row],[Placa]],[1]BIP!A:E,5,FALSE),"")</f>
        <v>0</v>
      </c>
      <c r="Q308" s="27">
        <f ca="1">DATEDIF(DadosViagem5[[#This Row],[BIP]],TODAY(),"D")</f>
        <v>45990</v>
      </c>
      <c r="R308" s="28" t="str">
        <f>IFERROR(VLOOKUP(DadosViagem5[[#This Row],[Placa]],[1]DDS!B:C,2,FALSE),"Verificar cadastro")</f>
        <v> </v>
      </c>
      <c r="S308" s="29" t="s">
        <v>48</v>
      </c>
      <c r="T308" s="23"/>
      <c r="U308" s="30"/>
      <c r="V308" s="31"/>
      <c r="W308" s="32"/>
      <c r="X308" s="33"/>
      <c r="Y308" s="34"/>
      <c r="Z308" s="32"/>
      <c r="AA308" s="20" t="s">
        <v>49</v>
      </c>
      <c r="AB308" s="20" t="s">
        <v>49</v>
      </c>
      <c r="AC308" s="19" t="s">
        <v>49</v>
      </c>
      <c r="AD308" s="19" t="str">
        <f ca="1">IFERROR(DATEDIF(DadosViagem5[[#This Row],[Utimo Bip Reserva]],TODAY(),"D"),"")</f>
        <v/>
      </c>
      <c r="AE308" s="25" t="s">
        <v>49</v>
      </c>
      <c r="AF308" s="25" t="s">
        <v>49</v>
      </c>
      <c r="AG308" s="36"/>
      <c r="AH308" s="25">
        <v>45807</v>
      </c>
      <c r="AI308" s="36" t="str">
        <f>IF(DadosViagem5[[#This Row],[Dias em manutenção ]]&lt;5,"Dentro do Prazo","Fora do Prazo")</f>
        <v>Fora do Prazo</v>
      </c>
      <c r="AJ308" s="36" t="e">
        <v>#REF!</v>
      </c>
    </row>
    <row r="309" spans="1:36">
      <c r="A309" s="19" t="s">
        <v>539</v>
      </c>
      <c r="B309" s="20"/>
      <c r="C309" s="19" t="s">
        <v>37</v>
      </c>
      <c r="D309" s="19" t="s">
        <v>38</v>
      </c>
      <c r="E309" s="19" t="s">
        <v>57</v>
      </c>
      <c r="F309" s="19" t="s">
        <v>40</v>
      </c>
      <c r="G309" s="19"/>
      <c r="H309" s="20">
        <v>2023</v>
      </c>
      <c r="I309" s="19" t="s">
        <v>41</v>
      </c>
      <c r="J309" s="19" t="s">
        <v>533</v>
      </c>
      <c r="K309" s="21" t="s">
        <v>534</v>
      </c>
      <c r="L309" s="22" t="s">
        <v>535</v>
      </c>
      <c r="M309" s="23" t="s">
        <v>45</v>
      </c>
      <c r="N309" s="25" t="s">
        <v>78</v>
      </c>
      <c r="O309" s="36" t="s">
        <v>479</v>
      </c>
      <c r="P309" s="26">
        <f ca="1">IFERROR(VLOOKUP(DadosViagem5[[#This Row],[Placa]],[1]BIP!A:E,5,FALSE),"")</f>
        <v>0</v>
      </c>
      <c r="Q309" s="27">
        <f ca="1">DATEDIF(DadosViagem5[[#This Row],[BIP]],TODAY(),"D")</f>
        <v>45990</v>
      </c>
      <c r="R309" s="28" t="str">
        <f>IFERROR(VLOOKUP(DadosViagem5[[#This Row],[Placa]],[1]DDS!B:C,2,FALSE),"Verificar cadastro")</f>
        <v> </v>
      </c>
      <c r="S309" s="29" t="s">
        <v>48</v>
      </c>
      <c r="T309" s="23"/>
      <c r="U309" s="30"/>
      <c r="V309" s="31"/>
      <c r="W309" s="32"/>
      <c r="X309" s="33"/>
      <c r="Y309" s="34"/>
      <c r="Z309" s="42"/>
      <c r="AA309" s="20" t="s">
        <v>49</v>
      </c>
      <c r="AB309" s="20" t="s">
        <v>49</v>
      </c>
      <c r="AC309" s="19" t="s">
        <v>49</v>
      </c>
      <c r="AD309" s="19" t="str">
        <f ca="1">IFERROR(DATEDIF(DadosViagem5[[#This Row],[Utimo Bip Reserva]],TODAY(),"D"),"")</f>
        <v/>
      </c>
      <c r="AE309" s="36" t="s">
        <v>49</v>
      </c>
      <c r="AF309" s="25" t="s">
        <v>49</v>
      </c>
      <c r="AG309" s="36" t="s">
        <v>540</v>
      </c>
      <c r="AH309" s="25">
        <v>7</v>
      </c>
      <c r="AI309" s="36" t="str">
        <f>IF(DadosViagem5[[#This Row],[Dias em manutenção ]]&lt;5,"Dentro do Prazo","Fora do Prazo")</f>
        <v>Fora do Prazo</v>
      </c>
      <c r="AJ309" s="36" t="e">
        <v>#REF!</v>
      </c>
    </row>
    <row r="310" spans="1:36">
      <c r="A310" s="19" t="s">
        <v>541</v>
      </c>
      <c r="B310" s="20"/>
      <c r="C310" s="19" t="s">
        <v>71</v>
      </c>
      <c r="D310" s="19" t="s">
        <v>38</v>
      </c>
      <c r="E310" s="19" t="s">
        <v>265</v>
      </c>
      <c r="F310" s="19" t="s">
        <v>40</v>
      </c>
      <c r="G310" s="19"/>
      <c r="H310" s="20">
        <v>2023</v>
      </c>
      <c r="I310" s="19" t="s">
        <v>41</v>
      </c>
      <c r="J310" s="19" t="s">
        <v>533</v>
      </c>
      <c r="K310" s="21" t="s">
        <v>534</v>
      </c>
      <c r="L310" s="22" t="s">
        <v>535</v>
      </c>
      <c r="M310" s="23" t="s">
        <v>45</v>
      </c>
      <c r="N310" s="25" t="s">
        <v>78</v>
      </c>
      <c r="O310" s="36" t="s">
        <v>479</v>
      </c>
      <c r="P310" s="26">
        <f ca="1">IFERROR(VLOOKUP(DadosViagem5[[#This Row],[Placa]],[1]BIP!A:E,5,FALSE),"")</f>
        <v>0</v>
      </c>
      <c r="Q310" s="27">
        <f ca="1">DATEDIF(DadosViagem5[[#This Row],[BIP]],TODAY(),"D")</f>
        <v>45990</v>
      </c>
      <c r="R310" s="28" t="str">
        <f>IFERROR(VLOOKUP(DadosViagem5[[#This Row],[Placa]],[1]DDS!B:C,2,FALSE),"Verificar cadastro")</f>
        <v> </v>
      </c>
      <c r="S310" s="29" t="s">
        <v>48</v>
      </c>
      <c r="T310" s="23"/>
      <c r="U310" s="30"/>
      <c r="V310" s="31"/>
      <c r="W310" s="73"/>
      <c r="X310" s="33"/>
      <c r="Y310" s="34"/>
      <c r="Z310" s="32"/>
      <c r="AA310" s="20" t="s">
        <v>49</v>
      </c>
      <c r="AB310" s="20" t="s">
        <v>49</v>
      </c>
      <c r="AC310" s="19" t="s">
        <v>49</v>
      </c>
      <c r="AD310" s="19" t="str">
        <f ca="1">IFERROR(DATEDIF(DadosViagem5[[#This Row],[Utimo Bip Reserva]],TODAY(),"D"),"")</f>
        <v/>
      </c>
      <c r="AE310" s="36"/>
      <c r="AF310" s="25"/>
      <c r="AG310" s="36"/>
      <c r="AH310" s="25">
        <v>45807</v>
      </c>
      <c r="AI310" s="36" t="str">
        <f>IF(DadosViagem5[[#This Row],[Dias em manutenção ]]&lt;5,"Dentro do Prazo","Fora do Prazo")</f>
        <v>Fora do Prazo</v>
      </c>
      <c r="AJ310" s="36" t="e">
        <v>#REF!</v>
      </c>
    </row>
    <row r="311" spans="1:36">
      <c r="A311" s="19" t="s">
        <v>542</v>
      </c>
      <c r="B311" s="20"/>
      <c r="C311" s="19" t="s">
        <v>71</v>
      </c>
      <c r="D311" s="19" t="s">
        <v>38</v>
      </c>
      <c r="E311" s="19" t="s">
        <v>265</v>
      </c>
      <c r="F311" s="19" t="s">
        <v>40</v>
      </c>
      <c r="G311" s="19"/>
      <c r="H311" s="20">
        <v>2024</v>
      </c>
      <c r="I311" s="19" t="s">
        <v>41</v>
      </c>
      <c r="J311" s="19" t="s">
        <v>533</v>
      </c>
      <c r="K311" s="21" t="s">
        <v>534</v>
      </c>
      <c r="L311" s="22" t="s">
        <v>535</v>
      </c>
      <c r="M311" s="23" t="s">
        <v>45</v>
      </c>
      <c r="N311" s="25" t="s">
        <v>78</v>
      </c>
      <c r="O311" s="36" t="s">
        <v>479</v>
      </c>
      <c r="P311" s="26">
        <f ca="1">IFERROR(VLOOKUP(DadosViagem5[[#This Row],[Placa]],[1]BIP!A:E,5,FALSE),"")</f>
        <v>0</v>
      </c>
      <c r="Q311" s="27">
        <f ca="1">DATEDIF(DadosViagem5[[#This Row],[BIP]],TODAY(),"D")</f>
        <v>45990</v>
      </c>
      <c r="R311" s="28" t="str">
        <f>IFERROR(VLOOKUP(DadosViagem5[[#This Row],[Placa]],[1]DDS!B:C,2,FALSE),"Verificar cadastro")</f>
        <v> </v>
      </c>
      <c r="S311" s="29" t="s">
        <v>48</v>
      </c>
      <c r="T311" s="23"/>
      <c r="U311" s="30"/>
      <c r="V311" s="31"/>
      <c r="W311" s="32" t="s">
        <v>543</v>
      </c>
      <c r="X311" s="33"/>
      <c r="Y311" s="34"/>
      <c r="Z311" s="32"/>
      <c r="AA311" s="20" t="s">
        <v>49</v>
      </c>
      <c r="AB311" s="20" t="s">
        <v>49</v>
      </c>
      <c r="AC311" s="19" t="s">
        <v>49</v>
      </c>
      <c r="AD311" s="19" t="str">
        <f ca="1">IFERROR(DATEDIF(DadosViagem5[[#This Row],[Utimo Bip Reserva]],TODAY(),"D"),"")</f>
        <v/>
      </c>
      <c r="AE311" s="25" t="s">
        <v>49</v>
      </c>
      <c r="AF311" s="25" t="s">
        <v>49</v>
      </c>
      <c r="AG311" s="36"/>
      <c r="AH311" s="25">
        <v>45807</v>
      </c>
      <c r="AI311" s="36" t="str">
        <f>IF(DadosViagem5[[#This Row],[Dias em manutenção ]]&lt;5,"Dentro do Prazo","Fora do Prazo")</f>
        <v>Fora do Prazo</v>
      </c>
      <c r="AJ311" s="36" t="e">
        <v>#REF!</v>
      </c>
    </row>
    <row r="312" spans="1:36">
      <c r="A312" s="19" t="s">
        <v>544</v>
      </c>
      <c r="B312" s="20"/>
      <c r="C312" s="19" t="s">
        <v>37</v>
      </c>
      <c r="D312" s="19" t="s">
        <v>38</v>
      </c>
      <c r="E312" s="19" t="s">
        <v>57</v>
      </c>
      <c r="F312" s="19" t="s">
        <v>40</v>
      </c>
      <c r="G312" s="19"/>
      <c r="H312" s="20">
        <v>2021</v>
      </c>
      <c r="I312" s="19" t="s">
        <v>41</v>
      </c>
      <c r="J312" s="19" t="s">
        <v>533</v>
      </c>
      <c r="K312" s="21" t="s">
        <v>534</v>
      </c>
      <c r="L312" s="22" t="s">
        <v>535</v>
      </c>
      <c r="M312" s="23" t="s">
        <v>45</v>
      </c>
      <c r="N312" s="25" t="s">
        <v>78</v>
      </c>
      <c r="O312" s="36" t="s">
        <v>479</v>
      </c>
      <c r="P312" s="26">
        <f ca="1">IFERROR(VLOOKUP(DadosViagem5[[#This Row],[Placa]],[1]BIP!A:E,5,FALSE),"")</f>
        <v>0</v>
      </c>
      <c r="Q312" s="27">
        <f ca="1">DATEDIF(DadosViagem5[[#This Row],[BIP]],TODAY(),"D")</f>
        <v>45990</v>
      </c>
      <c r="R312" s="28" t="str">
        <f>IFERROR(VLOOKUP(DadosViagem5[[#This Row],[Placa]],[1]DDS!B:C,2,FALSE),"Verificar cadastro")</f>
        <v> </v>
      </c>
      <c r="S312" s="29" t="s">
        <v>48</v>
      </c>
      <c r="T312" s="23"/>
      <c r="U312" s="30"/>
      <c r="V312" s="31"/>
      <c r="W312" s="32"/>
      <c r="X312" s="33"/>
      <c r="Y312" s="34"/>
      <c r="Z312" s="32"/>
      <c r="AA312" s="20" t="s">
        <v>49</v>
      </c>
      <c r="AB312" s="20" t="s">
        <v>49</v>
      </c>
      <c r="AC312" s="19" t="s">
        <v>49</v>
      </c>
      <c r="AD312" s="19" t="str">
        <f ca="1">IFERROR(DATEDIF(DadosViagem5[[#This Row],[Utimo Bip Reserva]],TODAY(),"D"),"")</f>
        <v/>
      </c>
      <c r="AE312" s="36" t="s">
        <v>49</v>
      </c>
      <c r="AF312" s="25" t="s">
        <v>49</v>
      </c>
      <c r="AG312" s="36"/>
      <c r="AH312" s="25">
        <v>8</v>
      </c>
      <c r="AI312" s="36" t="str">
        <f>IF(DadosViagem5[[#This Row],[Dias em manutenção ]]&lt;5,"Dentro do Prazo","Fora do Prazo")</f>
        <v>Fora do Prazo</v>
      </c>
      <c r="AJ312" s="36" t="e">
        <v>#REF!</v>
      </c>
    </row>
    <row r="313" spans="1:36">
      <c r="A313" s="19" t="s">
        <v>545</v>
      </c>
      <c r="B313" s="20"/>
      <c r="C313" s="19" t="s">
        <v>97</v>
      </c>
      <c r="D313" s="19" t="s">
        <v>98</v>
      </c>
      <c r="E313" s="19" t="s">
        <v>53</v>
      </c>
      <c r="F313" s="19" t="s">
        <v>40</v>
      </c>
      <c r="G313" s="19"/>
      <c r="H313" s="20">
        <v>2023</v>
      </c>
      <c r="I313" s="19" t="s">
        <v>41</v>
      </c>
      <c r="J313" s="19" t="s">
        <v>533</v>
      </c>
      <c r="K313" s="21" t="s">
        <v>534</v>
      </c>
      <c r="L313" s="22" t="s">
        <v>535</v>
      </c>
      <c r="M313" s="23" t="s">
        <v>45</v>
      </c>
      <c r="N313" s="25" t="s">
        <v>78</v>
      </c>
      <c r="O313" s="36" t="s">
        <v>479</v>
      </c>
      <c r="P313" s="26">
        <f ca="1">IFERROR(VLOOKUP(DadosViagem5[[#This Row],[Placa]],[1]BIP!A:E,5,FALSE),"")</f>
        <v>0</v>
      </c>
      <c r="Q313" s="27">
        <f ca="1">DATEDIF(DadosViagem5[[#This Row],[BIP]],TODAY(),"D")</f>
        <v>45990</v>
      </c>
      <c r="R313" s="28" t="str">
        <f>IFERROR(VLOOKUP(DadosViagem5[[#This Row],[Placa]],[1]DDS!B:C,2,FALSE),"Verificar cadastro")</f>
        <v> </v>
      </c>
      <c r="S313" s="29" t="s">
        <v>48</v>
      </c>
      <c r="T313" s="23"/>
      <c r="U313" s="30"/>
      <c r="V313" s="31"/>
      <c r="W313" s="32"/>
      <c r="X313" s="33"/>
      <c r="Y313" s="34"/>
      <c r="Z313" s="32"/>
      <c r="AA313" s="20" t="s">
        <v>49</v>
      </c>
      <c r="AB313" s="20" t="s">
        <v>49</v>
      </c>
      <c r="AC313" s="19" t="s">
        <v>49</v>
      </c>
      <c r="AD313" s="19" t="str">
        <f ca="1">IFERROR(DATEDIF(DadosViagem5[[#This Row],[Utimo Bip Reserva]],TODAY(),"D"),"")</f>
        <v/>
      </c>
      <c r="AE313" s="25" t="s">
        <v>49</v>
      </c>
      <c r="AF313" s="25" t="s">
        <v>49</v>
      </c>
      <c r="AG313" s="24"/>
      <c r="AH313" s="25">
        <v>45807</v>
      </c>
      <c r="AI313" s="36" t="str">
        <f>IF(DadosViagem5[[#This Row],[Dias em manutenção ]]&lt;5,"Dentro do Prazo","Fora do Prazo")</f>
        <v>Fora do Prazo</v>
      </c>
      <c r="AJ313" s="36" t="e">
        <v>#REF!</v>
      </c>
    </row>
    <row r="314" spans="1:36">
      <c r="A314" s="19" t="s">
        <v>546</v>
      </c>
      <c r="B314" s="20"/>
      <c r="C314" s="19" t="s">
        <v>97</v>
      </c>
      <c r="D314" s="19" t="s">
        <v>98</v>
      </c>
      <c r="E314" s="19" t="s">
        <v>53</v>
      </c>
      <c r="F314" s="19" t="s">
        <v>396</v>
      </c>
      <c r="G314" s="19"/>
      <c r="H314" s="20">
        <v>2023</v>
      </c>
      <c r="I314" s="19" t="s">
        <v>41</v>
      </c>
      <c r="J314" s="19" t="s">
        <v>533</v>
      </c>
      <c r="K314" s="21" t="s">
        <v>534</v>
      </c>
      <c r="L314" s="22" t="s">
        <v>535</v>
      </c>
      <c r="M314" s="46" t="s">
        <v>45</v>
      </c>
      <c r="N314" s="25" t="s">
        <v>78</v>
      </c>
      <c r="O314" s="36" t="s">
        <v>479</v>
      </c>
      <c r="P314" s="26">
        <f ca="1">IFERROR(VLOOKUP(DadosViagem5[[#This Row],[Placa]],[1]BIP!A:E,5,FALSE),"")</f>
        <v>0</v>
      </c>
      <c r="Q314" s="27">
        <f ca="1">DATEDIF(DadosViagem5[[#This Row],[BIP]],TODAY(),"D")</f>
        <v>45990</v>
      </c>
      <c r="R314" s="28" t="str">
        <f>IFERROR(VLOOKUP(DadosViagem5[[#This Row],[Placa]],[1]DDS!B:C,2,FALSE),"Verificar cadastro")</f>
        <v> </v>
      </c>
      <c r="S314" s="29" t="s">
        <v>48</v>
      </c>
      <c r="T314" s="23"/>
      <c r="U314" s="30"/>
      <c r="V314" s="31"/>
      <c r="W314" s="32"/>
      <c r="X314" s="33"/>
      <c r="Y314" s="34"/>
      <c r="Z314" s="32"/>
      <c r="AA314" s="20" t="s">
        <v>49</v>
      </c>
      <c r="AB314" s="20" t="s">
        <v>49</v>
      </c>
      <c r="AC314" s="19" t="s">
        <v>49</v>
      </c>
      <c r="AD314" s="19">
        <v>0</v>
      </c>
      <c r="AE314" s="35" t="s">
        <v>49</v>
      </c>
      <c r="AF314" s="35" t="s">
        <v>49</v>
      </c>
      <c r="AG314" s="36" t="s">
        <v>290</v>
      </c>
      <c r="AH314" s="25">
        <v>45807</v>
      </c>
      <c r="AI314" s="36" t="str">
        <f>IF(DadosViagem5[[#This Row],[Dias em manutenção ]]&lt;5,"Dentro do Prazo","Fora do Prazo")</f>
        <v>Fora do Prazo</v>
      </c>
      <c r="AJ314" s="36" t="e">
        <v>#REF!</v>
      </c>
    </row>
    <row r="315" spans="1:36">
      <c r="A315" s="19" t="s">
        <v>547</v>
      </c>
      <c r="B315" s="20"/>
      <c r="C315" s="19" t="s">
        <v>97</v>
      </c>
      <c r="D315" s="19" t="s">
        <v>98</v>
      </c>
      <c r="E315" s="19" t="s">
        <v>53</v>
      </c>
      <c r="F315" s="19" t="s">
        <v>40</v>
      </c>
      <c r="G315" s="19"/>
      <c r="H315" s="20">
        <v>2023</v>
      </c>
      <c r="I315" s="19" t="s">
        <v>41</v>
      </c>
      <c r="J315" s="19" t="s">
        <v>533</v>
      </c>
      <c r="K315" s="21" t="s">
        <v>534</v>
      </c>
      <c r="L315" s="22" t="s">
        <v>535</v>
      </c>
      <c r="M315" s="23" t="s">
        <v>45</v>
      </c>
      <c r="N315" s="25" t="s">
        <v>78</v>
      </c>
      <c r="O315" s="36" t="s">
        <v>479</v>
      </c>
      <c r="P315" s="26">
        <f ca="1">IFERROR(VLOOKUP(DadosViagem5[[#This Row],[Placa]],[1]BIP!A:E,5,FALSE),"")</f>
        <v>45989</v>
      </c>
      <c r="Q315" s="27">
        <f ca="1">DATEDIF(DadosViagem5[[#This Row],[BIP]],TODAY(),"D")</f>
        <v>1</v>
      </c>
      <c r="R315" s="28" t="str">
        <f>IFERROR(VLOOKUP(DadosViagem5[[#This Row],[Placa]],[1]DDS!B:C,2,FALSE),"Verificar cadastro")</f>
        <v>Carregado</v>
      </c>
      <c r="S315" s="29" t="s">
        <v>48</v>
      </c>
      <c r="T315" s="23"/>
      <c r="U315" s="30"/>
      <c r="V315" s="31"/>
      <c r="W315" s="32"/>
      <c r="X315" s="33"/>
      <c r="Y315" s="34"/>
      <c r="Z315" s="32"/>
      <c r="AA315" s="20" t="s">
        <v>49</v>
      </c>
      <c r="AB315" s="20" t="s">
        <v>49</v>
      </c>
      <c r="AC315" s="19" t="s">
        <v>49</v>
      </c>
      <c r="AD315" s="19" t="str">
        <f ca="1">IFERROR(DATEDIF(DadosViagem5[[#This Row],[Utimo Bip Reserva]],TODAY(),"D"),"")</f>
        <v/>
      </c>
      <c r="AE315" s="25" t="s">
        <v>49</v>
      </c>
      <c r="AF315" s="25" t="s">
        <v>49</v>
      </c>
      <c r="AG315" s="36"/>
      <c r="AH315" s="25">
        <v>45807</v>
      </c>
      <c r="AI315" s="36" t="str">
        <f>IF(DadosViagem5[[#This Row],[Dias em manutenção ]]&lt;5,"Dentro do Prazo","Fora do Prazo")</f>
        <v>Fora do Prazo</v>
      </c>
      <c r="AJ315" s="36" t="e">
        <v>#REF!</v>
      </c>
    </row>
    <row r="316" spans="1:36">
      <c r="A316" s="19" t="s">
        <v>548</v>
      </c>
      <c r="B316" s="20"/>
      <c r="C316" s="19" t="s">
        <v>71</v>
      </c>
      <c r="D316" s="19" t="s">
        <v>38</v>
      </c>
      <c r="E316" s="19" t="s">
        <v>265</v>
      </c>
      <c r="F316" s="19" t="s">
        <v>40</v>
      </c>
      <c r="G316" s="19"/>
      <c r="H316" s="20">
        <v>2023</v>
      </c>
      <c r="I316" s="19" t="s">
        <v>41</v>
      </c>
      <c r="J316" s="19" t="s">
        <v>533</v>
      </c>
      <c r="K316" s="21" t="s">
        <v>534</v>
      </c>
      <c r="L316" s="22" t="s">
        <v>535</v>
      </c>
      <c r="M316" s="46" t="s">
        <v>45</v>
      </c>
      <c r="N316" s="25" t="s">
        <v>78</v>
      </c>
      <c r="O316" s="36" t="s">
        <v>479</v>
      </c>
      <c r="P316" s="26">
        <f ca="1">IFERROR(VLOOKUP(DadosViagem5[[#This Row],[Placa]],[1]BIP!A:E,5,FALSE),"")</f>
        <v>0</v>
      </c>
      <c r="Q316" s="27">
        <f ca="1">DATEDIF(DadosViagem5[[#This Row],[BIP]],TODAY(),"D")</f>
        <v>45990</v>
      </c>
      <c r="R316" s="28" t="str">
        <f>IFERROR(VLOOKUP(DadosViagem5[[#This Row],[Placa]],[1]DDS!B:C,2,FALSE),"Verificar cadastro")</f>
        <v>Manutenção</v>
      </c>
      <c r="S316" s="29" t="s">
        <v>48</v>
      </c>
      <c r="T316" s="23"/>
      <c r="U316" s="30"/>
      <c r="V316" s="31"/>
      <c r="W316" s="32"/>
      <c r="X316" s="33"/>
      <c r="Y316" s="34"/>
      <c r="Z316" s="32"/>
      <c r="AA316" s="20" t="s">
        <v>49</v>
      </c>
      <c r="AB316" s="20" t="s">
        <v>49</v>
      </c>
      <c r="AC316" s="19" t="s">
        <v>49</v>
      </c>
      <c r="AD316" s="19" t="str">
        <f ca="1">IFERROR(DATEDIF(DadosViagem5[[#This Row],[Utimo Bip Reserva]],TODAY(),"D"),"")</f>
        <v/>
      </c>
      <c r="AE316" s="29"/>
      <c r="AF316" s="35"/>
      <c r="AG316" s="36"/>
      <c r="AH316" s="25">
        <v>45807</v>
      </c>
      <c r="AI316" s="36" t="str">
        <f>IF(DadosViagem5[[#This Row],[Dias em manutenção ]]&lt;5,"Dentro do Prazo","Fora do Prazo")</f>
        <v>Fora do Prazo</v>
      </c>
      <c r="AJ316" s="36" t="e">
        <v>#REF!</v>
      </c>
    </row>
    <row r="317" spans="1:36">
      <c r="A317" s="19" t="s">
        <v>549</v>
      </c>
      <c r="B317" s="20"/>
      <c r="C317" s="19" t="s">
        <v>37</v>
      </c>
      <c r="D317" s="19" t="s">
        <v>38</v>
      </c>
      <c r="E317" s="19" t="s">
        <v>39</v>
      </c>
      <c r="F317" s="19" t="s">
        <v>40</v>
      </c>
      <c r="G317" s="19"/>
      <c r="H317" s="20">
        <v>2023</v>
      </c>
      <c r="I317" s="19" t="s">
        <v>41</v>
      </c>
      <c r="J317" s="19" t="s">
        <v>533</v>
      </c>
      <c r="K317" s="21" t="s">
        <v>534</v>
      </c>
      <c r="L317" s="22" t="s">
        <v>535</v>
      </c>
      <c r="M317" s="46" t="s">
        <v>45</v>
      </c>
      <c r="N317" s="25" t="s">
        <v>78</v>
      </c>
      <c r="O317" s="36" t="s">
        <v>479</v>
      </c>
      <c r="P317" s="26">
        <f ca="1">IFERROR(VLOOKUP(DadosViagem5[[#This Row],[Placa]],[1]BIP!A:E,5,FALSE),"")</f>
        <v>0</v>
      </c>
      <c r="Q317" s="27">
        <f ca="1">DATEDIF(DadosViagem5[[#This Row],[BIP]],TODAY(),"D")</f>
        <v>45990</v>
      </c>
      <c r="R317" s="28" t="str">
        <f>IFERROR(VLOOKUP(DadosViagem5[[#This Row],[Placa]],[1]DDS!B:C,2,FALSE),"Verificar cadastro")</f>
        <v> </v>
      </c>
      <c r="S317" s="29" t="s">
        <v>48</v>
      </c>
      <c r="T317" s="23"/>
      <c r="U317" s="30"/>
      <c r="V317" s="31"/>
      <c r="W317" s="32"/>
      <c r="X317" s="33"/>
      <c r="Y317" s="34"/>
      <c r="Z317" s="32"/>
      <c r="AA317" s="20" t="s">
        <v>49</v>
      </c>
      <c r="AB317" s="20" t="s">
        <v>49</v>
      </c>
      <c r="AC317" s="19" t="s">
        <v>49</v>
      </c>
      <c r="AD317" s="19" t="str">
        <f ca="1">IFERROR(DATEDIF(DadosViagem5[[#This Row],[Utimo Bip Reserva]],TODAY(),"D"),"")</f>
        <v/>
      </c>
      <c r="AE317" s="25" t="s">
        <v>49</v>
      </c>
      <c r="AF317" s="25" t="s">
        <v>49</v>
      </c>
      <c r="AG317" s="36"/>
      <c r="AH317" s="25">
        <v>45807</v>
      </c>
      <c r="AI317" s="36" t="str">
        <f>IF(DadosViagem5[[#This Row],[Dias em manutenção ]]&lt;5,"Dentro do Prazo","Fora do Prazo")</f>
        <v>Fora do Prazo</v>
      </c>
      <c r="AJ317" s="36" t="e">
        <v>#REF!</v>
      </c>
    </row>
    <row r="318" spans="1:36">
      <c r="A318" s="19" t="s">
        <v>550</v>
      </c>
      <c r="B318" s="20"/>
      <c r="C318" s="19" t="s">
        <v>97</v>
      </c>
      <c r="D318" s="19" t="s">
        <v>98</v>
      </c>
      <c r="E318" s="19" t="s">
        <v>53</v>
      </c>
      <c r="F318" s="19" t="s">
        <v>40</v>
      </c>
      <c r="G318" s="19"/>
      <c r="H318" s="20">
        <v>2023</v>
      </c>
      <c r="I318" s="19" t="s">
        <v>41</v>
      </c>
      <c r="J318" s="19" t="s">
        <v>533</v>
      </c>
      <c r="K318" s="21" t="s">
        <v>534</v>
      </c>
      <c r="L318" s="22" t="s">
        <v>535</v>
      </c>
      <c r="M318" s="23" t="s">
        <v>45</v>
      </c>
      <c r="N318" s="25" t="s">
        <v>78</v>
      </c>
      <c r="O318" s="36" t="s">
        <v>479</v>
      </c>
      <c r="P318" s="26">
        <f ca="1">IFERROR(VLOOKUP(DadosViagem5[[#This Row],[Placa]],[1]BIP!A:E,5,FALSE),"")</f>
        <v>0</v>
      </c>
      <c r="Q318" s="27">
        <f ca="1">DATEDIF(DadosViagem5[[#This Row],[BIP]],TODAY(),"D")</f>
        <v>45990</v>
      </c>
      <c r="R318" s="28" t="str">
        <f>IFERROR(VLOOKUP(DadosViagem5[[#This Row],[Placa]],[1]DDS!B:C,2,FALSE),"Verificar cadastro")</f>
        <v> </v>
      </c>
      <c r="S318" s="29" t="s">
        <v>48</v>
      </c>
      <c r="T318" s="23"/>
      <c r="U318" s="30"/>
      <c r="V318" s="31"/>
      <c r="W318" s="73"/>
      <c r="X318" s="33"/>
      <c r="Y318" s="34"/>
      <c r="Z318" s="32"/>
      <c r="AA318" s="20" t="s">
        <v>49</v>
      </c>
      <c r="AB318" s="20" t="s">
        <v>49</v>
      </c>
      <c r="AC318" s="19" t="s">
        <v>49</v>
      </c>
      <c r="AD318" s="19" t="str">
        <f ca="1">IFERROR(DATEDIF(DadosViagem5[[#This Row],[Utimo Bip Reserva]],TODAY(),"D"),"")</f>
        <v/>
      </c>
      <c r="AE318" s="59"/>
      <c r="AF318" s="35"/>
      <c r="AG318" s="36"/>
      <c r="AH318" s="25">
        <v>45807</v>
      </c>
      <c r="AI318" s="36" t="str">
        <f>IF(DadosViagem5[[#This Row],[Dias em manutenção ]]&lt;5,"Dentro do Prazo","Fora do Prazo")</f>
        <v>Fora do Prazo</v>
      </c>
      <c r="AJ318" s="36" t="e">
        <v>#REF!</v>
      </c>
    </row>
    <row r="319" spans="1:36">
      <c r="A319" s="19" t="s">
        <v>551</v>
      </c>
      <c r="B319" s="20"/>
      <c r="C319" s="19" t="s">
        <v>97</v>
      </c>
      <c r="D319" s="19" t="s">
        <v>98</v>
      </c>
      <c r="E319" s="19" t="s">
        <v>53</v>
      </c>
      <c r="F319" s="19" t="s">
        <v>40</v>
      </c>
      <c r="G319" s="19"/>
      <c r="H319" s="20">
        <v>2023</v>
      </c>
      <c r="I319" s="19" t="s">
        <v>41</v>
      </c>
      <c r="J319" s="19" t="s">
        <v>533</v>
      </c>
      <c r="K319" s="21" t="s">
        <v>534</v>
      </c>
      <c r="L319" s="22" t="s">
        <v>535</v>
      </c>
      <c r="M319" s="23" t="s">
        <v>45</v>
      </c>
      <c r="N319" s="25" t="s">
        <v>78</v>
      </c>
      <c r="O319" s="36" t="s">
        <v>479</v>
      </c>
      <c r="P319" s="26">
        <f ca="1">IFERROR(VLOOKUP(DadosViagem5[[#This Row],[Placa]],[1]BIP!A:E,5,FALSE),"")</f>
        <v>0</v>
      </c>
      <c r="Q319" s="27">
        <f ca="1">DATEDIF(DadosViagem5[[#This Row],[BIP]],TODAY(),"D")</f>
        <v>45990</v>
      </c>
      <c r="R319" s="28" t="str">
        <f>IFERROR(VLOOKUP(DadosViagem5[[#This Row],[Placa]],[1]DDS!B:C,2,FALSE),"Verificar cadastro")</f>
        <v> </v>
      </c>
      <c r="S319" s="29" t="s">
        <v>48</v>
      </c>
      <c r="T319" s="23"/>
      <c r="U319" s="30"/>
      <c r="V319" s="31"/>
      <c r="W319" s="32" t="s">
        <v>543</v>
      </c>
      <c r="X319" s="33"/>
      <c r="Y319" s="34"/>
      <c r="Z319" s="43"/>
      <c r="AA319" s="20" t="s">
        <v>49</v>
      </c>
      <c r="AB319" s="20" t="s">
        <v>49</v>
      </c>
      <c r="AC319" s="19" t="s">
        <v>49</v>
      </c>
      <c r="AD319" s="19" t="str">
        <f ca="1">IFERROR(DATEDIF(DadosViagem5[[#This Row],[Utimo Bip Reserva]],TODAY(),"D"),"")</f>
        <v/>
      </c>
      <c r="AE319" s="25"/>
      <c r="AF319" s="25" t="s">
        <v>49</v>
      </c>
      <c r="AG319" s="36"/>
      <c r="AH319" s="25">
        <v>45807</v>
      </c>
      <c r="AI319" s="36" t="str">
        <f>IF(DadosViagem5[[#This Row],[Dias em manutenção ]]&lt;5,"Dentro do Prazo","Fora do Prazo")</f>
        <v>Fora do Prazo</v>
      </c>
      <c r="AJ319" s="36" t="e">
        <v>#REF!</v>
      </c>
    </row>
    <row r="320" spans="1:36">
      <c r="A320" s="19" t="s">
        <v>552</v>
      </c>
      <c r="B320" s="20"/>
      <c r="C320" s="19" t="s">
        <v>97</v>
      </c>
      <c r="D320" s="19" t="s">
        <v>98</v>
      </c>
      <c r="E320" s="19" t="s">
        <v>53</v>
      </c>
      <c r="F320" s="19" t="s">
        <v>40</v>
      </c>
      <c r="G320" s="19"/>
      <c r="H320" s="20">
        <v>2023</v>
      </c>
      <c r="I320" s="19" t="s">
        <v>41</v>
      </c>
      <c r="J320" s="19" t="s">
        <v>533</v>
      </c>
      <c r="K320" s="21" t="s">
        <v>534</v>
      </c>
      <c r="L320" s="22" t="s">
        <v>535</v>
      </c>
      <c r="M320" s="23" t="s">
        <v>45</v>
      </c>
      <c r="N320" s="25" t="s">
        <v>78</v>
      </c>
      <c r="O320" s="36" t="s">
        <v>479</v>
      </c>
      <c r="P320" s="26">
        <f ca="1">IFERROR(VLOOKUP(DadosViagem5[[#This Row],[Placa]],[1]BIP!A:E,5,FALSE),"")</f>
        <v>0</v>
      </c>
      <c r="Q320" s="27">
        <f ca="1">DATEDIF(DadosViagem5[[#This Row],[BIP]],TODAY(),"D")</f>
        <v>45990</v>
      </c>
      <c r="R320" s="28" t="str">
        <f>IFERROR(VLOOKUP(DadosViagem5[[#This Row],[Placa]],[1]DDS!B:C,2,FALSE),"Verificar cadastro")</f>
        <v> </v>
      </c>
      <c r="S320" s="29" t="s">
        <v>48</v>
      </c>
      <c r="T320" s="23"/>
      <c r="U320" s="30"/>
      <c r="V320" s="47"/>
      <c r="W320" s="32"/>
      <c r="X320" s="33"/>
      <c r="Y320" s="34"/>
      <c r="Z320" s="32"/>
      <c r="AA320" s="20" t="s">
        <v>49</v>
      </c>
      <c r="AB320" s="20" t="s">
        <v>49</v>
      </c>
      <c r="AC320" s="19" t="s">
        <v>49</v>
      </c>
      <c r="AD320" s="19" t="str">
        <f ca="1">IFERROR(DATEDIF(DadosViagem5[[#This Row],[Utimo Bip Reserva]],TODAY(),"D"),"")</f>
        <v/>
      </c>
      <c r="AE320" s="25" t="s">
        <v>49</v>
      </c>
      <c r="AF320" s="25" t="s">
        <v>49</v>
      </c>
      <c r="AG320" s="36"/>
      <c r="AH320" s="25">
        <v>45807</v>
      </c>
      <c r="AI320" s="36" t="str">
        <f>IF(DadosViagem5[[#This Row],[Dias em manutenção ]]&lt;5,"Dentro do Prazo","Fora do Prazo")</f>
        <v>Fora do Prazo</v>
      </c>
      <c r="AJ320" s="36" t="e">
        <v>#REF!</v>
      </c>
    </row>
    <row r="321" spans="1:36">
      <c r="A321" s="19" t="s">
        <v>553</v>
      </c>
      <c r="B321" s="20"/>
      <c r="C321" s="19" t="s">
        <v>37</v>
      </c>
      <c r="D321" s="19" t="s">
        <v>38</v>
      </c>
      <c r="E321" s="19" t="s">
        <v>39</v>
      </c>
      <c r="F321" s="19" t="s">
        <v>40</v>
      </c>
      <c r="G321" s="19"/>
      <c r="H321" s="20">
        <v>2024</v>
      </c>
      <c r="I321" s="19" t="s">
        <v>41</v>
      </c>
      <c r="J321" s="19" t="s">
        <v>533</v>
      </c>
      <c r="K321" s="21" t="s">
        <v>534</v>
      </c>
      <c r="L321" s="22" t="s">
        <v>535</v>
      </c>
      <c r="M321" s="23" t="s">
        <v>45</v>
      </c>
      <c r="N321" s="25" t="s">
        <v>78</v>
      </c>
      <c r="O321" s="36" t="s">
        <v>479</v>
      </c>
      <c r="P321" s="26">
        <f ca="1">IFERROR(VLOOKUP(DadosViagem5[[#This Row],[Placa]],[1]BIP!A:E,5,FALSE),"")</f>
        <v>45989</v>
      </c>
      <c r="Q321" s="27">
        <f ca="1">DATEDIF(DadosViagem5[[#This Row],[BIP]],TODAY(),"D")</f>
        <v>1</v>
      </c>
      <c r="R321" s="28" t="str">
        <f>IFERROR(VLOOKUP(DadosViagem5[[#This Row],[Placa]],[1]DDS!B:C,2,FALSE),"Verificar cadastro")</f>
        <v>Carregado</v>
      </c>
      <c r="S321" s="29" t="s">
        <v>48</v>
      </c>
      <c r="T321" s="23"/>
      <c r="U321" s="30"/>
      <c r="V321" s="31"/>
      <c r="W321" s="32"/>
      <c r="X321" s="33"/>
      <c r="Y321" s="34"/>
      <c r="Z321" s="32"/>
      <c r="AA321" s="20" t="s">
        <v>49</v>
      </c>
      <c r="AB321" s="20" t="s">
        <v>49</v>
      </c>
      <c r="AC321" s="19" t="s">
        <v>49</v>
      </c>
      <c r="AD321" s="19" t="str">
        <f ca="1">IFERROR(DATEDIF(DadosViagem5[[#This Row],[Utimo Bip Reserva]],TODAY(),"D"),"")</f>
        <v/>
      </c>
      <c r="AE321" s="25" t="s">
        <v>49</v>
      </c>
      <c r="AF321" s="25" t="s">
        <v>49</v>
      </c>
      <c r="AG321" s="36"/>
      <c r="AH321" s="25">
        <v>45807</v>
      </c>
      <c r="AI321" s="36" t="str">
        <f>IF(DadosViagem5[[#This Row],[Dias em manutenção ]]&lt;5,"Dentro do Prazo","Fora do Prazo")</f>
        <v>Fora do Prazo</v>
      </c>
      <c r="AJ321" s="36" t="e">
        <v>#REF!</v>
      </c>
    </row>
    <row r="322" spans="1:36">
      <c r="A322" s="19" t="s">
        <v>554</v>
      </c>
      <c r="B322" s="20"/>
      <c r="C322" s="19" t="s">
        <v>37</v>
      </c>
      <c r="D322" s="19" t="s">
        <v>38</v>
      </c>
      <c r="E322" s="19" t="s">
        <v>39</v>
      </c>
      <c r="F322" s="19" t="s">
        <v>40</v>
      </c>
      <c r="G322" s="19"/>
      <c r="H322" s="20">
        <v>2024</v>
      </c>
      <c r="I322" s="19" t="s">
        <v>41</v>
      </c>
      <c r="J322" s="19" t="s">
        <v>533</v>
      </c>
      <c r="K322" s="21" t="s">
        <v>534</v>
      </c>
      <c r="L322" s="22" t="s">
        <v>535</v>
      </c>
      <c r="M322" s="46" t="s">
        <v>45</v>
      </c>
      <c r="N322" s="25" t="s">
        <v>78</v>
      </c>
      <c r="O322" s="36" t="s">
        <v>479</v>
      </c>
      <c r="P322" s="26">
        <f ca="1">IFERROR(VLOOKUP(DadosViagem5[[#This Row],[Placa]],[1]BIP!A:E,5,FALSE),"")</f>
        <v>45989</v>
      </c>
      <c r="Q322" s="27">
        <f ca="1">DATEDIF(DadosViagem5[[#This Row],[BIP]],TODAY(),"D")</f>
        <v>1</v>
      </c>
      <c r="R322" s="28" t="str">
        <f>IFERROR(VLOOKUP(DadosViagem5[[#This Row],[Placa]],[1]DDS!B:C,2,FALSE),"Verificar cadastro")</f>
        <v>Carregado</v>
      </c>
      <c r="S322" s="29" t="s">
        <v>48</v>
      </c>
      <c r="T322" s="23"/>
      <c r="U322" s="30"/>
      <c r="V322" s="31"/>
      <c r="W322" s="32"/>
      <c r="X322" s="33"/>
      <c r="Y322" s="34"/>
      <c r="Z322" s="32"/>
      <c r="AA322" s="20" t="s">
        <v>49</v>
      </c>
      <c r="AB322" s="20" t="s">
        <v>49</v>
      </c>
      <c r="AC322" s="19" t="s">
        <v>49</v>
      </c>
      <c r="AD322" s="19" t="str">
        <f ca="1">IFERROR(DATEDIF(DadosViagem5[[#This Row],[Utimo Bip Reserva]],TODAY(),"D"),"")</f>
        <v/>
      </c>
      <c r="AE322" s="25" t="s">
        <v>49</v>
      </c>
      <c r="AF322" s="25" t="s">
        <v>49</v>
      </c>
      <c r="AG322" s="36"/>
      <c r="AH322" s="25">
        <v>45807</v>
      </c>
      <c r="AI322" s="36" t="str">
        <f>IF(DadosViagem5[[#This Row],[Dias em manutenção ]]&lt;5,"Dentro do Prazo","Fora do Prazo")</f>
        <v>Fora do Prazo</v>
      </c>
      <c r="AJ322" s="36" t="e">
        <v>#REF!</v>
      </c>
    </row>
    <row r="323" spans="1:36">
      <c r="A323" s="19" t="s">
        <v>555</v>
      </c>
      <c r="B323" s="20"/>
      <c r="C323" s="19" t="s">
        <v>131</v>
      </c>
      <c r="D323" s="19" t="s">
        <v>132</v>
      </c>
      <c r="E323" s="19" t="s">
        <v>114</v>
      </c>
      <c r="F323" s="19" t="s">
        <v>115</v>
      </c>
      <c r="G323" s="19"/>
      <c r="H323" s="20">
        <v>2022</v>
      </c>
      <c r="I323" s="19" t="s">
        <v>41</v>
      </c>
      <c r="J323" s="19" t="s">
        <v>556</v>
      </c>
      <c r="K323" s="21" t="s">
        <v>557</v>
      </c>
      <c r="L323" s="53" t="s">
        <v>558</v>
      </c>
      <c r="M323" s="23" t="s">
        <v>45</v>
      </c>
      <c r="N323" s="36" t="s">
        <v>509</v>
      </c>
      <c r="O323" s="25" t="s">
        <v>148</v>
      </c>
      <c r="P323" s="26">
        <f ca="1">IFERROR(VLOOKUP(DadosViagem5[[#This Row],[Placa]],[1]BIP!A:E,5,FALSE),"")</f>
        <v>45914</v>
      </c>
      <c r="Q323" s="27">
        <f ca="1">DATEDIF(DadosViagem5[[#This Row],[BIP]],TODAY(),"D")</f>
        <v>76</v>
      </c>
      <c r="R323" s="28" t="str">
        <f>IFERROR(VLOOKUP(DadosViagem5[[#This Row],[Placa]],[1]DDS!B:C,2,FALSE),"Verificar cadastro")</f>
        <v> </v>
      </c>
      <c r="S323" s="29" t="s">
        <v>48</v>
      </c>
      <c r="T323" s="23"/>
      <c r="U323" s="30"/>
      <c r="V323" s="31"/>
      <c r="W323" s="32" t="s">
        <v>559</v>
      </c>
      <c r="X323" s="81"/>
      <c r="Y323" s="34"/>
      <c r="Z323" s="82"/>
      <c r="AA323" s="20" t="s">
        <v>49</v>
      </c>
      <c r="AB323" s="20" t="s">
        <v>49</v>
      </c>
      <c r="AC323" s="19" t="s">
        <v>49</v>
      </c>
      <c r="AD323" s="19" t="str">
        <f ca="1">IFERROR(DATEDIF(DadosViagem5[[#This Row],[Utimo Bip Reserva]],TODAY(),"D"),"")</f>
        <v/>
      </c>
      <c r="AE323" s="23" t="s">
        <v>49</v>
      </c>
      <c r="AF323" s="30" t="s">
        <v>49</v>
      </c>
      <c r="AG323" s="23"/>
      <c r="AH323" s="25">
        <v>45807</v>
      </c>
      <c r="AI323" s="36" t="str">
        <f>IF(DadosViagem5[[#This Row],[Dias em manutenção ]]&lt;5,"Dentro do Prazo","Fora do Prazo")</f>
        <v>Fora do Prazo</v>
      </c>
      <c r="AJ323" s="36" t="e">
        <v>#REF!</v>
      </c>
    </row>
    <row r="324" spans="1:36">
      <c r="A324" s="19" t="s">
        <v>560</v>
      </c>
      <c r="B324" s="20"/>
      <c r="C324" s="19" t="s">
        <v>131</v>
      </c>
      <c r="D324" s="19" t="s">
        <v>132</v>
      </c>
      <c r="E324" s="19" t="s">
        <v>57</v>
      </c>
      <c r="F324" s="19" t="s">
        <v>40</v>
      </c>
      <c r="G324" s="19"/>
      <c r="H324" s="20">
        <v>2019</v>
      </c>
      <c r="I324" s="19" t="s">
        <v>41</v>
      </c>
      <c r="J324" s="19" t="s">
        <v>556</v>
      </c>
      <c r="K324" s="21" t="s">
        <v>557</v>
      </c>
      <c r="L324" s="53" t="s">
        <v>558</v>
      </c>
      <c r="M324" s="23" t="s">
        <v>45</v>
      </c>
      <c r="N324" s="36" t="s">
        <v>509</v>
      </c>
      <c r="O324" s="25" t="s">
        <v>148</v>
      </c>
      <c r="P324" s="26" t="str">
        <f>IFERROR(VLOOKUP(DadosViagem5[[#This Row],[Placa]],[1]BIP!A:E,5,FALSE),"")</f>
        <v/>
      </c>
      <c r="Q324" s="27" t="e">
        <f ca="1">DATEDIF(DadosViagem5[[#This Row],[BIP]],TODAY(),"D")</f>
        <v>#VALUE!</v>
      </c>
      <c r="R324" s="28" t="str">
        <f>IFERROR(VLOOKUP(DadosViagem5[[#This Row],[Placa]],[1]DDS!B:C,2,FALSE),"Verificar cadastro")</f>
        <v>Verificar cadastro</v>
      </c>
      <c r="S324" s="29" t="s">
        <v>48</v>
      </c>
      <c r="T324" s="23"/>
      <c r="U324" s="30"/>
      <c r="V324" s="31"/>
      <c r="W324" s="32" t="s">
        <v>134</v>
      </c>
      <c r="X324" s="33"/>
      <c r="Y324" s="34"/>
      <c r="Z324" s="32"/>
      <c r="AA324" s="20" t="s">
        <v>49</v>
      </c>
      <c r="AB324" s="20" t="s">
        <v>49</v>
      </c>
      <c r="AC324" s="19" t="s">
        <v>49</v>
      </c>
      <c r="AD324" s="19" t="str">
        <f ca="1">IFERROR(DATEDIF(DadosViagem5[[#This Row],[Utimo Bip Reserva]],TODAY(),"D"),"")</f>
        <v/>
      </c>
      <c r="AE324" s="36" t="s">
        <v>486</v>
      </c>
      <c r="AF324" s="25">
        <v>45705</v>
      </c>
      <c r="AG324" s="36" t="s">
        <v>481</v>
      </c>
      <c r="AH324" s="25">
        <v>45807</v>
      </c>
      <c r="AI324" s="36" t="str">
        <f>IF(DadosViagem5[[#This Row],[Dias em manutenção ]]&lt;5,"Dentro do Prazo","Fora do Prazo")</f>
        <v>Fora do Prazo</v>
      </c>
      <c r="AJ324" s="36" t="e">
        <v>#REF!</v>
      </c>
    </row>
    <row r="325" spans="1:36">
      <c r="A325" s="19" t="s">
        <v>561</v>
      </c>
      <c r="B325" s="20"/>
      <c r="C325" s="19" t="s">
        <v>562</v>
      </c>
      <c r="D325" s="19" t="s">
        <v>563</v>
      </c>
      <c r="E325" s="19" t="s">
        <v>114</v>
      </c>
      <c r="F325" s="19" t="s">
        <v>115</v>
      </c>
      <c r="G325" s="19"/>
      <c r="H325" s="20">
        <v>2021</v>
      </c>
      <c r="I325" s="19" t="s">
        <v>41</v>
      </c>
      <c r="J325" s="19" t="s">
        <v>556</v>
      </c>
      <c r="K325" s="21" t="s">
        <v>557</v>
      </c>
      <c r="L325" s="53" t="s">
        <v>558</v>
      </c>
      <c r="M325" s="23" t="s">
        <v>45</v>
      </c>
      <c r="N325" s="36" t="s">
        <v>509</v>
      </c>
      <c r="O325" s="25" t="s">
        <v>148</v>
      </c>
      <c r="P325" s="26">
        <f ca="1">IFERROR(VLOOKUP(DadosViagem5[[#This Row],[Placa]],[1]BIP!A:E,5,FALSE),"")</f>
        <v>0</v>
      </c>
      <c r="Q325" s="27">
        <f ca="1">DATEDIF(DadosViagem5[[#This Row],[BIP]],TODAY(),"D")</f>
        <v>45990</v>
      </c>
      <c r="R325" s="28" t="str">
        <f>IFERROR(VLOOKUP(DadosViagem5[[#This Row],[Placa]],[1]DDS!B:C,2,FALSE),"Verificar cadastro")</f>
        <v> </v>
      </c>
      <c r="S325" s="29" t="s">
        <v>48</v>
      </c>
      <c r="T325" s="23"/>
      <c r="U325" s="30"/>
      <c r="V325" s="31"/>
      <c r="W325" s="32" t="s">
        <v>564</v>
      </c>
      <c r="X325" s="33"/>
      <c r="Y325" s="34"/>
      <c r="Z325" s="32"/>
      <c r="AA325" s="20" t="s">
        <v>49</v>
      </c>
      <c r="AB325" s="20" t="s">
        <v>49</v>
      </c>
      <c r="AC325" s="19" t="s">
        <v>49</v>
      </c>
      <c r="AD325" s="19" t="str">
        <f ca="1">IFERROR(DATEDIF(DadosViagem5[[#This Row],[Utimo Bip Reserva]],TODAY(),"D"),"")</f>
        <v/>
      </c>
      <c r="AE325" s="36" t="s">
        <v>49</v>
      </c>
      <c r="AF325" s="25" t="s">
        <v>49</v>
      </c>
      <c r="AG325" s="36"/>
      <c r="AH325" s="25">
        <v>45807</v>
      </c>
      <c r="AI325" s="36" t="str">
        <f>IF(DadosViagem5[[#This Row],[Dias em manutenção ]]&lt;5,"Dentro do Prazo","Fora do Prazo")</f>
        <v>Fora do Prazo</v>
      </c>
      <c r="AJ325" s="36" t="e">
        <v>#REF!</v>
      </c>
    </row>
    <row r="326" spans="1:36">
      <c r="A326" s="19" t="s">
        <v>565</v>
      </c>
      <c r="B326" s="20"/>
      <c r="C326" s="19" t="s">
        <v>562</v>
      </c>
      <c r="D326" s="19" t="s">
        <v>563</v>
      </c>
      <c r="E326" s="19" t="s">
        <v>114</v>
      </c>
      <c r="F326" s="19" t="s">
        <v>115</v>
      </c>
      <c r="G326" s="19"/>
      <c r="H326" s="20">
        <v>2021</v>
      </c>
      <c r="I326" s="19" t="s">
        <v>41</v>
      </c>
      <c r="J326" s="19" t="s">
        <v>556</v>
      </c>
      <c r="K326" s="21" t="s">
        <v>557</v>
      </c>
      <c r="L326" s="53" t="s">
        <v>558</v>
      </c>
      <c r="M326" s="23" t="s">
        <v>45</v>
      </c>
      <c r="N326" s="36" t="s">
        <v>509</v>
      </c>
      <c r="O326" s="25" t="s">
        <v>148</v>
      </c>
      <c r="P326" s="26">
        <f ca="1">IFERROR(VLOOKUP(DadosViagem5[[#This Row],[Placa]],[1]BIP!A:E,5,FALSE),"")</f>
        <v>0</v>
      </c>
      <c r="Q326" s="27">
        <f ca="1">DATEDIF(DadosViagem5[[#This Row],[BIP]],TODAY(),"D")</f>
        <v>45990</v>
      </c>
      <c r="R326" s="28" t="str">
        <f>IFERROR(VLOOKUP(DadosViagem5[[#This Row],[Placa]],[1]DDS!B:C,2,FALSE),"Verificar cadastro")</f>
        <v> </v>
      </c>
      <c r="S326" s="29" t="s">
        <v>48</v>
      </c>
      <c r="T326" s="23"/>
      <c r="U326" s="30"/>
      <c r="V326" s="31"/>
      <c r="W326" s="32" t="s">
        <v>564</v>
      </c>
      <c r="X326" s="33"/>
      <c r="Y326" s="34"/>
      <c r="Z326" s="43"/>
      <c r="AA326" s="20" t="s">
        <v>49</v>
      </c>
      <c r="AB326" s="20" t="s">
        <v>49</v>
      </c>
      <c r="AC326" s="20" t="s">
        <v>49</v>
      </c>
      <c r="AD326" s="20" t="s">
        <v>49</v>
      </c>
      <c r="AE326" s="36" t="s">
        <v>49</v>
      </c>
      <c r="AF326" s="25" t="s">
        <v>49</v>
      </c>
      <c r="AG326" s="36"/>
      <c r="AH326" s="25">
        <v>45807</v>
      </c>
      <c r="AI326" s="36" t="str">
        <f>IF(DadosViagem5[[#This Row],[Dias em manutenção ]]&lt;5,"Dentro do Prazo","Fora do Prazo")</f>
        <v>Fora do Prazo</v>
      </c>
      <c r="AJ326" s="36" t="e">
        <v>#REF!</v>
      </c>
    </row>
    <row r="327" spans="1:36">
      <c r="A327" s="19" t="s">
        <v>566</v>
      </c>
      <c r="B327" s="20"/>
      <c r="C327" s="19" t="s">
        <v>562</v>
      </c>
      <c r="D327" s="19" t="s">
        <v>563</v>
      </c>
      <c r="E327" s="19" t="s">
        <v>114</v>
      </c>
      <c r="F327" s="19" t="s">
        <v>115</v>
      </c>
      <c r="G327" s="19"/>
      <c r="H327" s="20">
        <v>2023</v>
      </c>
      <c r="I327" s="19" t="s">
        <v>41</v>
      </c>
      <c r="J327" s="19" t="s">
        <v>556</v>
      </c>
      <c r="K327" s="21" t="s">
        <v>557</v>
      </c>
      <c r="L327" s="53" t="s">
        <v>558</v>
      </c>
      <c r="M327" s="23" t="s">
        <v>45</v>
      </c>
      <c r="N327" s="36" t="s">
        <v>509</v>
      </c>
      <c r="O327" s="25" t="s">
        <v>148</v>
      </c>
      <c r="P327" s="26">
        <f ca="1">IFERROR(VLOOKUP(DadosViagem5[[#This Row],[Placa]],[1]BIP!A:E,5,FALSE),"")</f>
        <v>0</v>
      </c>
      <c r="Q327" s="27">
        <f ca="1">DATEDIF(DadosViagem5[[#This Row],[BIP]],TODAY(),"D")</f>
        <v>45990</v>
      </c>
      <c r="R327" s="28" t="str">
        <f>IFERROR(VLOOKUP(DadosViagem5[[#This Row],[Placa]],[1]DDS!B:C,2,FALSE),"Verificar cadastro")</f>
        <v> </v>
      </c>
      <c r="S327" s="29" t="s">
        <v>48</v>
      </c>
      <c r="T327" s="23"/>
      <c r="U327" s="30"/>
      <c r="V327" s="31"/>
      <c r="W327" s="32" t="s">
        <v>567</v>
      </c>
      <c r="X327" s="33"/>
      <c r="Y327" s="34"/>
      <c r="Z327" s="43"/>
      <c r="AA327" s="20" t="s">
        <v>49</v>
      </c>
      <c r="AB327" s="20" t="s">
        <v>49</v>
      </c>
      <c r="AC327" s="19" t="s">
        <v>49</v>
      </c>
      <c r="AD327" s="19" t="str">
        <f ca="1">IFERROR(DATEDIF(DadosViagem5[[#This Row],[Utimo Bip Reserva]],TODAY(),"D"),"")</f>
        <v/>
      </c>
      <c r="AE327" s="36" t="s">
        <v>49</v>
      </c>
      <c r="AF327" s="25" t="s">
        <v>49</v>
      </c>
      <c r="AG327" s="36"/>
      <c r="AH327" s="25">
        <v>45807</v>
      </c>
      <c r="AI327" s="36" t="str">
        <f>IF(DadosViagem5[[#This Row],[Dias em manutenção ]]&lt;5,"Dentro do Prazo","Fora do Prazo")</f>
        <v>Fora do Prazo</v>
      </c>
      <c r="AJ327" s="36" t="e">
        <v>#REF!</v>
      </c>
    </row>
    <row r="328" spans="1:36">
      <c r="A328" s="19" t="s">
        <v>568</v>
      </c>
      <c r="B328" s="20"/>
      <c r="C328" s="19" t="s">
        <v>131</v>
      </c>
      <c r="D328" s="19" t="s">
        <v>132</v>
      </c>
      <c r="E328" s="19" t="s">
        <v>57</v>
      </c>
      <c r="F328" s="19" t="s">
        <v>40</v>
      </c>
      <c r="G328" s="19"/>
      <c r="H328" s="20">
        <v>2018</v>
      </c>
      <c r="I328" s="19" t="s">
        <v>41</v>
      </c>
      <c r="J328" s="19" t="s">
        <v>569</v>
      </c>
      <c r="K328" s="21" t="s">
        <v>570</v>
      </c>
      <c r="L328" s="53" t="s">
        <v>558</v>
      </c>
      <c r="M328" s="23" t="s">
        <v>45</v>
      </c>
      <c r="N328" s="36" t="s">
        <v>509</v>
      </c>
      <c r="O328" s="25" t="s">
        <v>148</v>
      </c>
      <c r="P328" s="26">
        <f ca="1">IFERROR(VLOOKUP(DadosViagem5[[#This Row],[Placa]],[1]BIP!A:E,5,FALSE),"")</f>
        <v>0</v>
      </c>
      <c r="Q328" s="27">
        <f ca="1">DATEDIF(DadosViagem5[[#This Row],[BIP]],TODAY(),"D")</f>
        <v>45990</v>
      </c>
      <c r="R328" s="28" t="str">
        <f>IFERROR(VLOOKUP(DadosViagem5[[#This Row],[Placa]],[1]DDS!B:C,2,FALSE),"Verificar cadastro")</f>
        <v>Verificar cadastro</v>
      </c>
      <c r="S328" s="29" t="s">
        <v>48</v>
      </c>
      <c r="T328" s="23"/>
      <c r="U328" s="30"/>
      <c r="V328" s="31"/>
      <c r="W328" s="32" t="s">
        <v>571</v>
      </c>
      <c r="X328" s="33"/>
      <c r="Y328" s="34" t="s">
        <v>49</v>
      </c>
      <c r="Z328" s="32"/>
      <c r="AA328" s="20" t="s">
        <v>49</v>
      </c>
      <c r="AB328" s="20" t="s">
        <v>49</v>
      </c>
      <c r="AC328" s="19" t="s">
        <v>49</v>
      </c>
      <c r="AD328" s="19" t="str">
        <f ca="1">IFERROR(DATEDIF(DadosViagem5[[#This Row],[Utimo Bip Reserva]],TODAY(),"D"),"")</f>
        <v/>
      </c>
      <c r="AE328" s="36" t="s">
        <v>49</v>
      </c>
      <c r="AF328" s="25" t="s">
        <v>49</v>
      </c>
      <c r="AG328" s="36"/>
      <c r="AH328" s="25">
        <v>45807</v>
      </c>
      <c r="AI328" s="36" t="str">
        <f>IF(DadosViagem5[[#This Row],[Dias em manutenção ]]&lt;5,"Dentro do Prazo","Fora do Prazo")</f>
        <v>Fora do Prazo</v>
      </c>
      <c r="AJ328" s="36" t="e">
        <v>#REF!</v>
      </c>
    </row>
    <row r="329" spans="1:36">
      <c r="A329" s="19" t="s">
        <v>572</v>
      </c>
      <c r="B329" s="20"/>
      <c r="C329" s="19" t="s">
        <v>131</v>
      </c>
      <c r="D329" s="19" t="s">
        <v>132</v>
      </c>
      <c r="E329" s="19" t="s">
        <v>57</v>
      </c>
      <c r="F329" s="19" t="s">
        <v>573</v>
      </c>
      <c r="G329" s="19"/>
      <c r="H329" s="20">
        <v>2022</v>
      </c>
      <c r="I329" s="19" t="s">
        <v>41</v>
      </c>
      <c r="J329" s="19" t="s">
        <v>569</v>
      </c>
      <c r="K329" s="21" t="s">
        <v>570</v>
      </c>
      <c r="L329" s="53" t="s">
        <v>558</v>
      </c>
      <c r="M329" s="23" t="s">
        <v>45</v>
      </c>
      <c r="N329" s="36" t="s">
        <v>509</v>
      </c>
      <c r="O329" s="25" t="s">
        <v>148</v>
      </c>
      <c r="P329" s="26">
        <f ca="1">IFERROR(VLOOKUP(DadosViagem5[[#This Row],[Placa]],[1]BIP!A:E,5,FALSE),"")</f>
        <v>0</v>
      </c>
      <c r="Q329" s="27">
        <f ca="1">DATEDIF(DadosViagem5[[#This Row],[BIP]],TODAY(),"D")</f>
        <v>45990</v>
      </c>
      <c r="R329" s="28" t="str">
        <f>IFERROR(VLOOKUP(DadosViagem5[[#This Row],[Placa]],[1]DDS!B:C,2,FALSE),"Verificar cadastro")</f>
        <v>Verificar cadastro</v>
      </c>
      <c r="S329" s="36" t="s">
        <v>574</v>
      </c>
      <c r="T329" s="23"/>
      <c r="U329" s="30"/>
      <c r="V329" s="31"/>
      <c r="W329" s="32"/>
      <c r="X329" s="33"/>
      <c r="Y329" s="34"/>
      <c r="Z329" s="32"/>
      <c r="AA329" s="20" t="s">
        <v>49</v>
      </c>
      <c r="AB329" s="20" t="s">
        <v>49</v>
      </c>
      <c r="AC329" s="19" t="s">
        <v>49</v>
      </c>
      <c r="AD329" s="19" t="str">
        <f ca="1">IFERROR(DATEDIF(DadosViagem5[[#This Row],[Utimo Bip Reserva]],TODAY(),"D"),"")</f>
        <v/>
      </c>
      <c r="AE329" s="36" t="s">
        <v>49</v>
      </c>
      <c r="AF329" s="25" t="s">
        <v>49</v>
      </c>
      <c r="AG329" s="36"/>
      <c r="AH329" s="25">
        <v>45807</v>
      </c>
      <c r="AI329" s="36" t="str">
        <f>IF(DadosViagem5[[#This Row],[Dias em manutenção ]]&lt;5,"Dentro do Prazo","Fora do Prazo")</f>
        <v>Fora do Prazo</v>
      </c>
      <c r="AJ329" s="36" t="e">
        <v>#REF!</v>
      </c>
    </row>
    <row r="330" spans="1:36">
      <c r="A330" s="19" t="s">
        <v>575</v>
      </c>
      <c r="B330" s="20"/>
      <c r="C330" s="19" t="s">
        <v>88</v>
      </c>
      <c r="D330" s="19" t="s">
        <v>52</v>
      </c>
      <c r="E330" s="19" t="s">
        <v>57</v>
      </c>
      <c r="F330" s="19" t="s">
        <v>40</v>
      </c>
      <c r="G330" s="19"/>
      <c r="H330" s="20">
        <v>2023</v>
      </c>
      <c r="I330" s="19" t="s">
        <v>41</v>
      </c>
      <c r="J330" s="19" t="s">
        <v>576</v>
      </c>
      <c r="K330" s="64" t="s">
        <v>577</v>
      </c>
      <c r="L330" s="22" t="s">
        <v>60</v>
      </c>
      <c r="M330" s="23" t="s">
        <v>61</v>
      </c>
      <c r="N330" s="36" t="s">
        <v>578</v>
      </c>
      <c r="O330" s="36" t="s">
        <v>63</v>
      </c>
      <c r="P330" s="26">
        <f ca="1">IFERROR(VLOOKUP(DadosViagem5[[#This Row],[Placa]],[1]BIP!A:E,5,FALSE),"")</f>
        <v>0</v>
      </c>
      <c r="Q330" s="27">
        <f ca="1">DATEDIF(DadosViagem5[[#This Row],[BIP]],TODAY(),"D")</f>
        <v>45990</v>
      </c>
      <c r="R330" s="28" t="str">
        <f>IFERROR(VLOOKUP(DadosViagem5[[#This Row],[Placa]],[1]DDS!B:C,2,FALSE),"Verificar cadastro")</f>
        <v> </v>
      </c>
      <c r="S330" s="29" t="s">
        <v>48</v>
      </c>
      <c r="T330" s="23"/>
      <c r="U330" s="30"/>
      <c r="V330" s="31"/>
      <c r="W330" s="32"/>
      <c r="X330" s="33"/>
      <c r="Y330" s="34"/>
      <c r="Z330" s="32"/>
      <c r="AA330" s="20" t="s">
        <v>49</v>
      </c>
      <c r="AB330" s="20" t="s">
        <v>49</v>
      </c>
      <c r="AC330" s="19" t="s">
        <v>49</v>
      </c>
      <c r="AD330" s="19" t="str">
        <f ca="1">IFERROR(DATEDIF(DadosViagem5[[#This Row],[Utimo Bip Reserva]],TODAY(),"D"),"")</f>
        <v/>
      </c>
      <c r="AE330" s="35" t="s">
        <v>49</v>
      </c>
      <c r="AF330" s="35" t="s">
        <v>49</v>
      </c>
      <c r="AG330" s="36"/>
      <c r="AH330" s="25">
        <v>45807</v>
      </c>
      <c r="AI330" s="36" t="str">
        <f>IF(DadosViagem5[[#This Row],[Dias em manutenção ]]&lt;5,"Dentro do Prazo","Fora do Prazo")</f>
        <v>Fora do Prazo</v>
      </c>
      <c r="AJ330" s="36" t="e">
        <v>#REF!</v>
      </c>
    </row>
    <row r="331" spans="1:36">
      <c r="A331" s="19" t="s">
        <v>579</v>
      </c>
      <c r="B331" s="20"/>
      <c r="C331" s="19" t="s">
        <v>88</v>
      </c>
      <c r="D331" s="19" t="s">
        <v>52</v>
      </c>
      <c r="E331" s="19" t="s">
        <v>114</v>
      </c>
      <c r="F331" s="19" t="s">
        <v>115</v>
      </c>
      <c r="G331" s="19"/>
      <c r="H331" s="20">
        <v>2021</v>
      </c>
      <c r="I331" s="19" t="s">
        <v>41</v>
      </c>
      <c r="J331" s="19" t="s">
        <v>580</v>
      </c>
      <c r="K331" s="21" t="s">
        <v>581</v>
      </c>
      <c r="L331" s="22" t="s">
        <v>60</v>
      </c>
      <c r="M331" s="23" t="s">
        <v>470</v>
      </c>
      <c r="N331" s="36" t="s">
        <v>582</v>
      </c>
      <c r="O331" s="36" t="s">
        <v>472</v>
      </c>
      <c r="P331" s="26">
        <f ca="1">IFERROR(VLOOKUP(DadosViagem5[[#This Row],[Placa]],[1]BIP!A:E,5,FALSE),"")</f>
        <v>45576</v>
      </c>
      <c r="Q331" s="27">
        <f ca="1">DATEDIF(DadosViagem5[[#This Row],[BIP]],TODAY(),"D")</f>
        <v>414</v>
      </c>
      <c r="R331" s="28" t="str">
        <f>IFERROR(VLOOKUP(DadosViagem5[[#This Row],[Placa]],[1]DDS!B:C,2,FALSE),"Verificar cadastro")</f>
        <v>Verificar cadastro</v>
      </c>
      <c r="S331" s="36" t="s">
        <v>186</v>
      </c>
      <c r="T331" s="23"/>
      <c r="U331" s="30"/>
      <c r="V331" s="31">
        <v>45576</v>
      </c>
      <c r="W331" s="32" t="s">
        <v>583</v>
      </c>
      <c r="X331" s="57" t="s">
        <v>188</v>
      </c>
      <c r="Y331" s="34" t="s">
        <v>584</v>
      </c>
      <c r="Z331" s="58" t="s">
        <v>585</v>
      </c>
      <c r="AA331" s="20" t="s">
        <v>49</v>
      </c>
      <c r="AB331" s="20" t="s">
        <v>49</v>
      </c>
      <c r="AC331" s="19" t="s">
        <v>49</v>
      </c>
      <c r="AD331" s="19" t="str">
        <f ca="1">IFERROR(DATEDIF(DadosViagem5[[#This Row],[Utimo Bip Reserva]],TODAY(),"D"),"")</f>
        <v/>
      </c>
      <c r="AE331" s="36" t="s">
        <v>586</v>
      </c>
      <c r="AF331" s="25" t="s">
        <v>49</v>
      </c>
      <c r="AG331" s="36" t="s">
        <v>481</v>
      </c>
      <c r="AH331" s="25">
        <v>231</v>
      </c>
      <c r="AI331" s="36" t="str">
        <f>IF(DadosViagem5[[#This Row],[Dias em manutenção ]]&lt;5,"Dentro do Prazo","Fora do Prazo")</f>
        <v>Fora do Prazo</v>
      </c>
      <c r="AJ331" s="36" t="e">
        <v>#REF!</v>
      </c>
    </row>
    <row r="332" spans="1:36">
      <c r="A332" s="19" t="s">
        <v>587</v>
      </c>
      <c r="B332" s="20"/>
      <c r="C332" s="19" t="s">
        <v>88</v>
      </c>
      <c r="D332" s="19" t="s">
        <v>52</v>
      </c>
      <c r="E332" s="19" t="s">
        <v>114</v>
      </c>
      <c r="F332" s="19" t="s">
        <v>115</v>
      </c>
      <c r="G332" s="19"/>
      <c r="H332" s="20">
        <v>2022</v>
      </c>
      <c r="I332" s="19" t="s">
        <v>41</v>
      </c>
      <c r="J332" s="19" t="s">
        <v>580</v>
      </c>
      <c r="K332" s="21" t="s">
        <v>581</v>
      </c>
      <c r="L332" s="22" t="s">
        <v>60</v>
      </c>
      <c r="M332" s="23" t="s">
        <v>470</v>
      </c>
      <c r="N332" s="36" t="s">
        <v>582</v>
      </c>
      <c r="O332" s="36" t="s">
        <v>472</v>
      </c>
      <c r="P332" s="26">
        <f ca="1">IFERROR(VLOOKUP(DadosViagem5[[#This Row],[Placa]],[1]BIP!A:E,5,FALSE),"")</f>
        <v>45900</v>
      </c>
      <c r="Q332" s="27">
        <f ca="1">DATEDIF(DadosViagem5[[#This Row],[BIP]],TODAY(),"D")</f>
        <v>90</v>
      </c>
      <c r="R332" s="28" t="str">
        <f>IFERROR(VLOOKUP(DadosViagem5[[#This Row],[Placa]],[1]DDS!B:C,2,FALSE),"Verificar cadastro")</f>
        <v>Verificar cadastro</v>
      </c>
      <c r="S332" s="36" t="s">
        <v>574</v>
      </c>
      <c r="T332" s="23"/>
      <c r="U332" s="30"/>
      <c r="V332" s="31"/>
      <c r="W332" s="32" t="s">
        <v>588</v>
      </c>
      <c r="X332" s="33"/>
      <c r="Y332" s="34" t="s">
        <v>49</v>
      </c>
      <c r="Z332" s="32"/>
      <c r="AA332" s="20" t="s">
        <v>49</v>
      </c>
      <c r="AB332" s="20" t="s">
        <v>49</v>
      </c>
      <c r="AC332" s="19" t="s">
        <v>49</v>
      </c>
      <c r="AD332" s="19" t="str">
        <f ca="1">IFERROR(DATEDIF(DadosViagem5[[#This Row],[Utimo Bip Reserva]],TODAY(),"D"),"")</f>
        <v/>
      </c>
      <c r="AE332" s="36" t="s">
        <v>49</v>
      </c>
      <c r="AF332" s="25" t="s">
        <v>49</v>
      </c>
      <c r="AG332" s="36"/>
      <c r="AH332" s="25">
        <v>45807</v>
      </c>
      <c r="AI332" s="36" t="str">
        <f>IF(DadosViagem5[[#This Row],[Dias em manutenção ]]&lt;5,"Dentro do Prazo","Fora do Prazo")</f>
        <v>Fora do Prazo</v>
      </c>
      <c r="AJ332" s="36" t="e">
        <v>#REF!</v>
      </c>
    </row>
    <row r="333" spans="1:36">
      <c r="A333" s="19" t="s">
        <v>589</v>
      </c>
      <c r="B333" s="20"/>
      <c r="C333" s="19" t="s">
        <v>88</v>
      </c>
      <c r="D333" s="19" t="s">
        <v>52</v>
      </c>
      <c r="E333" s="19" t="s">
        <v>114</v>
      </c>
      <c r="F333" s="19" t="s">
        <v>115</v>
      </c>
      <c r="G333" s="19"/>
      <c r="H333" s="20">
        <v>2022</v>
      </c>
      <c r="I333" s="19" t="s">
        <v>41</v>
      </c>
      <c r="J333" s="19" t="s">
        <v>580</v>
      </c>
      <c r="K333" s="21" t="s">
        <v>581</v>
      </c>
      <c r="L333" s="22" t="s">
        <v>60</v>
      </c>
      <c r="M333" s="23" t="s">
        <v>470</v>
      </c>
      <c r="N333" s="36" t="s">
        <v>582</v>
      </c>
      <c r="O333" s="36" t="s">
        <v>472</v>
      </c>
      <c r="P333" s="26">
        <f ca="1">IFERROR(VLOOKUP(DadosViagem5[[#This Row],[Placa]],[1]BIP!A:E,5,FALSE),"")</f>
        <v>45908</v>
      </c>
      <c r="Q333" s="27">
        <f ca="1">DATEDIF(DadosViagem5[[#This Row],[BIP]],TODAY(),"D")</f>
        <v>82</v>
      </c>
      <c r="R333" s="28" t="str">
        <f>IFERROR(VLOOKUP(DadosViagem5[[#This Row],[Placa]],[1]DDS!B:C,2,FALSE),"Verificar cadastro")</f>
        <v>Verificar cadastro</v>
      </c>
      <c r="S333" s="36" t="s">
        <v>574</v>
      </c>
      <c r="T333" s="23"/>
      <c r="U333" s="30"/>
      <c r="V333" s="31"/>
      <c r="W333" s="32" t="s">
        <v>588</v>
      </c>
      <c r="X333" s="33"/>
      <c r="Y333" s="34" t="s">
        <v>49</v>
      </c>
      <c r="Z333" s="32"/>
      <c r="AA333" s="20" t="s">
        <v>49</v>
      </c>
      <c r="AB333" s="20" t="s">
        <v>49</v>
      </c>
      <c r="AC333" s="19" t="s">
        <v>49</v>
      </c>
      <c r="AD333" s="19" t="str">
        <f ca="1">IFERROR(DATEDIF(DadosViagem5[[#This Row],[Utimo Bip Reserva]],TODAY(),"D"),"")</f>
        <v/>
      </c>
      <c r="AE333" s="36" t="s">
        <v>49</v>
      </c>
      <c r="AF333" s="25" t="s">
        <v>49</v>
      </c>
      <c r="AG333" s="36"/>
      <c r="AH333" s="25">
        <v>45807</v>
      </c>
      <c r="AI333" s="36" t="str">
        <f>IF(DadosViagem5[[#This Row],[Dias em manutenção ]]&lt;5,"Dentro do Prazo","Fora do Prazo")</f>
        <v>Fora do Prazo</v>
      </c>
      <c r="AJ333" s="36" t="e">
        <v>#REF!</v>
      </c>
    </row>
    <row r="334" spans="1:36">
      <c r="A334" s="19" t="s">
        <v>590</v>
      </c>
      <c r="B334" s="20"/>
      <c r="C334" s="19" t="s">
        <v>591</v>
      </c>
      <c r="D334" s="19" t="s">
        <v>592</v>
      </c>
      <c r="E334" s="19" t="s">
        <v>114</v>
      </c>
      <c r="F334" s="19" t="s">
        <v>115</v>
      </c>
      <c r="G334" s="19"/>
      <c r="H334" s="20">
        <v>2022</v>
      </c>
      <c r="I334" s="19" t="s">
        <v>41</v>
      </c>
      <c r="J334" s="19" t="s">
        <v>580</v>
      </c>
      <c r="K334" s="21" t="s">
        <v>581</v>
      </c>
      <c r="L334" s="22" t="s">
        <v>60</v>
      </c>
      <c r="M334" s="23" t="s">
        <v>470</v>
      </c>
      <c r="N334" s="36" t="s">
        <v>582</v>
      </c>
      <c r="O334" s="36" t="s">
        <v>472</v>
      </c>
      <c r="P334" s="26">
        <f ca="1">IFERROR(VLOOKUP(DadosViagem5[[#This Row],[Placa]],[1]BIP!A:E,5,FALSE),"")</f>
        <v>45989</v>
      </c>
      <c r="Q334" s="27">
        <f ca="1">DATEDIF(DadosViagem5[[#This Row],[BIP]],TODAY(),"D")</f>
        <v>1</v>
      </c>
      <c r="R334" s="28" t="str">
        <f>IFERROR(VLOOKUP(DadosViagem5[[#This Row],[Placa]],[1]DDS!B:C,2,FALSE),"Verificar cadastro")</f>
        <v>Carregado</v>
      </c>
      <c r="S334" s="29" t="s">
        <v>48</v>
      </c>
      <c r="T334" s="23"/>
      <c r="U334" s="30"/>
      <c r="V334" s="31"/>
      <c r="W334" s="32"/>
      <c r="X334" s="33" t="s">
        <v>55</v>
      </c>
      <c r="Y334" s="34" t="s">
        <v>49</v>
      </c>
      <c r="Z334" s="32"/>
      <c r="AA334" s="20" t="s">
        <v>49</v>
      </c>
      <c r="AB334" s="20" t="s">
        <v>49</v>
      </c>
      <c r="AC334" s="19" t="s">
        <v>49</v>
      </c>
      <c r="AD334" s="19" t="str">
        <f ca="1">IFERROR(DATEDIF(DadosViagem5[[#This Row],[Utimo Bip Reserva]],TODAY(),"D"),"")</f>
        <v/>
      </c>
      <c r="AE334" s="36" t="s">
        <v>49</v>
      </c>
      <c r="AF334" s="25" t="s">
        <v>49</v>
      </c>
      <c r="AG334" s="36"/>
      <c r="AH334" s="25">
        <v>45807</v>
      </c>
      <c r="AI334" s="36" t="str">
        <f>IF(DadosViagem5[[#This Row],[Dias em manutenção ]]&lt;5,"Dentro do Prazo","Fora do Prazo")</f>
        <v>Fora do Prazo</v>
      </c>
      <c r="AJ334" s="36" t="e">
        <v>#REF!</v>
      </c>
    </row>
    <row r="335" spans="1:36">
      <c r="A335" s="19" t="s">
        <v>593</v>
      </c>
      <c r="B335" s="20">
        <v>459</v>
      </c>
      <c r="C335" s="19" t="s">
        <v>74</v>
      </c>
      <c r="D335" s="19" t="s">
        <v>52</v>
      </c>
      <c r="E335" s="19" t="s">
        <v>75</v>
      </c>
      <c r="F335" s="19" t="s">
        <v>115</v>
      </c>
      <c r="G335" s="19"/>
      <c r="H335" s="20">
        <v>2023</v>
      </c>
      <c r="I335" s="19" t="s">
        <v>41</v>
      </c>
      <c r="J335" s="19" t="s">
        <v>580</v>
      </c>
      <c r="K335" s="21" t="s">
        <v>581</v>
      </c>
      <c r="L335" s="22" t="s">
        <v>60</v>
      </c>
      <c r="M335" s="23" t="s">
        <v>77</v>
      </c>
      <c r="N335" s="36" t="s">
        <v>582</v>
      </c>
      <c r="O335" s="36" t="s">
        <v>472</v>
      </c>
      <c r="P335" s="26">
        <f ca="1">IFERROR(VLOOKUP(DadosViagem5[[#This Row],[Placa]],[1]BIP!A:E,5,FALSE),"")</f>
        <v>45989</v>
      </c>
      <c r="Q335" s="27">
        <f ca="1">DATEDIF(DadosViagem5[[#This Row],[BIP]],TODAY(),"D")</f>
        <v>1</v>
      </c>
      <c r="R335" s="28" t="str">
        <f>IFERROR(VLOOKUP(DadosViagem5[[#This Row],[Placa]],[1]DDS!B:C,2,FALSE),"Verificar cadastro")</f>
        <v>Operando</v>
      </c>
      <c r="S335" s="29" t="s">
        <v>48</v>
      </c>
      <c r="T335" s="23"/>
      <c r="U335" s="30"/>
      <c r="V335" s="31"/>
      <c r="W335" s="32"/>
      <c r="X335" s="33" t="s">
        <v>55</v>
      </c>
      <c r="Y335" s="34" t="s">
        <v>49</v>
      </c>
      <c r="Z335" s="32"/>
      <c r="AA335" s="20" t="s">
        <v>49</v>
      </c>
      <c r="AB335" s="20" t="s">
        <v>49</v>
      </c>
      <c r="AC335" s="19" t="s">
        <v>49</v>
      </c>
      <c r="AD335" s="19" t="str">
        <f ca="1">IFERROR(DATEDIF(DadosViagem5[[#This Row],[Utimo Bip Reserva]],TODAY(),"D"),"")</f>
        <v/>
      </c>
      <c r="AE335" s="25" t="s">
        <v>49</v>
      </c>
      <c r="AF335" s="25" t="s">
        <v>49</v>
      </c>
      <c r="AG335" s="36"/>
      <c r="AH335" s="25">
        <v>45807</v>
      </c>
      <c r="AI335" s="36" t="str">
        <f>IF(DadosViagem5[[#This Row],[Dias em manutenção ]]&lt;5,"Dentro do Prazo","Fora do Prazo")</f>
        <v>Fora do Prazo</v>
      </c>
      <c r="AJ335" s="36" t="e">
        <v>#REF!</v>
      </c>
    </row>
    <row r="336" spans="1:36">
      <c r="A336" s="19" t="s">
        <v>594</v>
      </c>
      <c r="B336" s="20"/>
      <c r="C336" s="19" t="s">
        <v>88</v>
      </c>
      <c r="D336" s="19" t="s">
        <v>52</v>
      </c>
      <c r="E336" s="19" t="s">
        <v>114</v>
      </c>
      <c r="F336" s="19" t="s">
        <v>115</v>
      </c>
      <c r="G336" s="19"/>
      <c r="H336" s="20">
        <v>2022</v>
      </c>
      <c r="I336" s="19" t="s">
        <v>41</v>
      </c>
      <c r="J336" s="19" t="s">
        <v>580</v>
      </c>
      <c r="K336" s="21" t="s">
        <v>581</v>
      </c>
      <c r="L336" s="22" t="s">
        <v>60</v>
      </c>
      <c r="M336" s="23" t="s">
        <v>470</v>
      </c>
      <c r="N336" s="36" t="s">
        <v>582</v>
      </c>
      <c r="O336" s="36" t="s">
        <v>472</v>
      </c>
      <c r="P336" s="26">
        <f ca="1">IFERROR(VLOOKUP(DadosViagem5[[#This Row],[Placa]],[1]BIP!A:E,5,FALSE),"")</f>
        <v>45989</v>
      </c>
      <c r="Q336" s="27">
        <f ca="1">DATEDIF(DadosViagem5[[#This Row],[BIP]],TODAY(),"D")</f>
        <v>1</v>
      </c>
      <c r="R336" s="28" t="str">
        <f>IFERROR(VLOOKUP(DadosViagem5[[#This Row],[Placa]],[1]DDS!B:C,2,FALSE),"Verificar cadastro")</f>
        <v>Operando</v>
      </c>
      <c r="S336" s="29" t="s">
        <v>48</v>
      </c>
      <c r="T336" s="23"/>
      <c r="U336" s="30"/>
      <c r="V336" s="31"/>
      <c r="W336" s="32"/>
      <c r="X336" s="33" t="s">
        <v>55</v>
      </c>
      <c r="Y336" s="34" t="s">
        <v>49</v>
      </c>
      <c r="Z336" s="32"/>
      <c r="AA336" s="20" t="s">
        <v>49</v>
      </c>
      <c r="AB336" s="20" t="s">
        <v>49</v>
      </c>
      <c r="AC336" s="19" t="s">
        <v>49</v>
      </c>
      <c r="AD336" s="19" t="str">
        <f ca="1">IFERROR(DATEDIF(DadosViagem5[[#This Row],[Utimo Bip Reserva]],TODAY(),"D"),"")</f>
        <v/>
      </c>
      <c r="AE336" s="36" t="s">
        <v>49</v>
      </c>
      <c r="AF336" s="25" t="s">
        <v>49</v>
      </c>
      <c r="AG336" s="36"/>
      <c r="AH336" s="25">
        <v>45807</v>
      </c>
      <c r="AI336" s="36" t="str">
        <f>IF(DadosViagem5[[#This Row],[Dias em manutenção ]]&lt;5,"Dentro do Prazo","Fora do Prazo")</f>
        <v>Fora do Prazo</v>
      </c>
      <c r="AJ336" s="36" t="e">
        <v>#REF!</v>
      </c>
    </row>
    <row r="337" spans="1:36">
      <c r="A337" s="19" t="s">
        <v>595</v>
      </c>
      <c r="B337" s="20"/>
      <c r="C337" s="19" t="s">
        <v>88</v>
      </c>
      <c r="D337" s="19" t="s">
        <v>52</v>
      </c>
      <c r="E337" s="19" t="s">
        <v>114</v>
      </c>
      <c r="F337" s="19" t="s">
        <v>115</v>
      </c>
      <c r="G337" s="19"/>
      <c r="H337" s="20">
        <v>2022</v>
      </c>
      <c r="I337" s="19" t="s">
        <v>41</v>
      </c>
      <c r="J337" s="19" t="s">
        <v>580</v>
      </c>
      <c r="K337" s="21" t="s">
        <v>581</v>
      </c>
      <c r="L337" s="22" t="s">
        <v>60</v>
      </c>
      <c r="M337" s="23" t="s">
        <v>470</v>
      </c>
      <c r="N337" s="36" t="s">
        <v>582</v>
      </c>
      <c r="O337" s="36" t="s">
        <v>472</v>
      </c>
      <c r="P337" s="26">
        <f ca="1">IFERROR(VLOOKUP(DadosViagem5[[#This Row],[Placa]],[1]BIP!A:E,5,FALSE),"")</f>
        <v>45736</v>
      </c>
      <c r="Q337" s="27">
        <f ca="1">DATEDIF(DadosViagem5[[#This Row],[BIP]],TODAY(),"D")</f>
        <v>254</v>
      </c>
      <c r="R337" s="28" t="str">
        <f>IFERROR(VLOOKUP(DadosViagem5[[#This Row],[Placa]],[1]DDS!B:C,2,FALSE),"Verificar cadastro")</f>
        <v>Manutenção</v>
      </c>
      <c r="S337" s="29" t="s">
        <v>173</v>
      </c>
      <c r="T337" s="23"/>
      <c r="U337" s="30"/>
      <c r="V337" s="31">
        <v>45638</v>
      </c>
      <c r="W337" s="32" t="s">
        <v>596</v>
      </c>
      <c r="X337" s="33" t="s">
        <v>65</v>
      </c>
      <c r="Y337" s="34" t="s">
        <v>584</v>
      </c>
      <c r="Z337" s="42" t="s">
        <v>597</v>
      </c>
      <c r="AA337" s="20" t="s">
        <v>49</v>
      </c>
      <c r="AB337" s="20" t="s">
        <v>49</v>
      </c>
      <c r="AC337" s="19" t="s">
        <v>49</v>
      </c>
      <c r="AD337" s="19" t="str">
        <f ca="1">IFERROR(DATEDIF(DadosViagem5[[#This Row],[Utimo Bip Reserva]],TODAY(),"D"),"")</f>
        <v/>
      </c>
      <c r="AE337" s="36" t="s">
        <v>598</v>
      </c>
      <c r="AF337" s="25" t="s">
        <v>49</v>
      </c>
      <c r="AG337" s="36"/>
      <c r="AH337" s="25">
        <v>169</v>
      </c>
      <c r="AI337" s="36" t="str">
        <f>IF(DadosViagem5[[#This Row],[Dias em manutenção ]]&lt;5,"Dentro do Prazo","Fora do Prazo")</f>
        <v>Fora do Prazo</v>
      </c>
      <c r="AJ337" s="36" t="e">
        <v>#REF!</v>
      </c>
    </row>
    <row r="338" spans="1:36">
      <c r="A338" s="19" t="s">
        <v>599</v>
      </c>
      <c r="B338" s="20"/>
      <c r="C338" s="19" t="s">
        <v>88</v>
      </c>
      <c r="D338" s="19" t="s">
        <v>52</v>
      </c>
      <c r="E338" s="19" t="s">
        <v>114</v>
      </c>
      <c r="F338" s="19" t="s">
        <v>115</v>
      </c>
      <c r="G338" s="19"/>
      <c r="H338" s="20">
        <v>2022</v>
      </c>
      <c r="I338" s="19" t="s">
        <v>41</v>
      </c>
      <c r="J338" s="19" t="s">
        <v>580</v>
      </c>
      <c r="K338" s="21" t="s">
        <v>581</v>
      </c>
      <c r="L338" s="22" t="s">
        <v>60</v>
      </c>
      <c r="M338" s="23" t="s">
        <v>470</v>
      </c>
      <c r="N338" s="36" t="s">
        <v>582</v>
      </c>
      <c r="O338" s="36" t="s">
        <v>472</v>
      </c>
      <c r="P338" s="26">
        <f ca="1">IFERROR(VLOOKUP(DadosViagem5[[#This Row],[Placa]],[1]BIP!A:E,5,FALSE),"")</f>
        <v>45714</v>
      </c>
      <c r="Q338" s="27">
        <f ca="1">DATEDIF(DadosViagem5[[#This Row],[BIP]],TODAY(),"D")</f>
        <v>276</v>
      </c>
      <c r="R338" s="28" t="str">
        <f>IFERROR(VLOOKUP(DadosViagem5[[#This Row],[Placa]],[1]DDS!B:C,2,FALSE),"Verificar cadastro")</f>
        <v>Verificar cadastro</v>
      </c>
      <c r="S338" s="36" t="s">
        <v>574</v>
      </c>
      <c r="T338" s="23"/>
      <c r="U338" s="30"/>
      <c r="V338" s="31"/>
      <c r="W338" s="32" t="s">
        <v>600</v>
      </c>
      <c r="X338" s="33"/>
      <c r="Y338" s="34"/>
      <c r="Z338" s="42"/>
      <c r="AA338" s="20" t="s">
        <v>49</v>
      </c>
      <c r="AB338" s="20" t="s">
        <v>49</v>
      </c>
      <c r="AC338" s="19" t="s">
        <v>49</v>
      </c>
      <c r="AD338" s="19" t="str">
        <f ca="1">IFERROR(DATEDIF(DadosViagem5[[#This Row],[Utimo Bip Reserva]],TODAY(),"D"),"")</f>
        <v/>
      </c>
      <c r="AE338" s="36" t="s">
        <v>586</v>
      </c>
      <c r="AF338" s="25" t="s">
        <v>49</v>
      </c>
      <c r="AG338" s="36"/>
      <c r="AH338" s="25">
        <v>92</v>
      </c>
      <c r="AI338" s="36" t="str">
        <f>IF(DadosViagem5[[#This Row],[Dias em manutenção ]]&lt;5,"Dentro do Prazo","Fora do Prazo")</f>
        <v>Fora do Prazo</v>
      </c>
      <c r="AJ338" s="36" t="e">
        <v>#REF!</v>
      </c>
    </row>
    <row r="339" spans="1:36">
      <c r="A339" s="19" t="s">
        <v>601</v>
      </c>
      <c r="B339" s="20"/>
      <c r="C339" s="19" t="s">
        <v>88</v>
      </c>
      <c r="D339" s="19" t="s">
        <v>52</v>
      </c>
      <c r="E339" s="19" t="s">
        <v>114</v>
      </c>
      <c r="F339" s="19" t="s">
        <v>115</v>
      </c>
      <c r="G339" s="19"/>
      <c r="H339" s="20">
        <v>2022</v>
      </c>
      <c r="I339" s="19" t="s">
        <v>41</v>
      </c>
      <c r="J339" s="19" t="s">
        <v>580</v>
      </c>
      <c r="K339" s="21" t="s">
        <v>581</v>
      </c>
      <c r="L339" s="22" t="s">
        <v>60</v>
      </c>
      <c r="M339" s="23" t="s">
        <v>470</v>
      </c>
      <c r="N339" s="36" t="s">
        <v>582</v>
      </c>
      <c r="O339" s="36" t="s">
        <v>472</v>
      </c>
      <c r="P339" s="26">
        <f ca="1">IFERROR(VLOOKUP(DadosViagem5[[#This Row],[Placa]],[1]BIP!A:E,5,FALSE),"")</f>
        <v>45908</v>
      </c>
      <c r="Q339" s="27">
        <f ca="1">DATEDIF(DadosViagem5[[#This Row],[BIP]],TODAY(),"D")</f>
        <v>82</v>
      </c>
      <c r="R339" s="28" t="str">
        <f>IFERROR(VLOOKUP(DadosViagem5[[#This Row],[Placa]],[1]DDS!B:C,2,FALSE),"Verificar cadastro")</f>
        <v>Verificar cadastro</v>
      </c>
      <c r="S339" s="36" t="s">
        <v>35</v>
      </c>
      <c r="T339" s="23"/>
      <c r="U339" s="30"/>
      <c r="V339" s="31"/>
      <c r="W339" s="32" t="s">
        <v>588</v>
      </c>
      <c r="X339" s="33"/>
      <c r="Y339" s="34"/>
      <c r="Z339" s="32"/>
      <c r="AA339" s="20" t="s">
        <v>49</v>
      </c>
      <c r="AB339" s="20" t="s">
        <v>49</v>
      </c>
      <c r="AC339" s="19" t="s">
        <v>49</v>
      </c>
      <c r="AD339" s="19" t="str">
        <f ca="1">IFERROR(DATEDIF(DadosViagem5[[#This Row],[Utimo Bip Reserva]],TODAY(),"D"),"")</f>
        <v/>
      </c>
      <c r="AE339" s="36" t="s">
        <v>49</v>
      </c>
      <c r="AF339" s="25" t="s">
        <v>49</v>
      </c>
      <c r="AG339" s="36"/>
      <c r="AH339" s="25">
        <v>45807</v>
      </c>
      <c r="AI339" s="36" t="str">
        <f>IF(DadosViagem5[[#This Row],[Dias em manutenção ]]&lt;5,"Dentro do Prazo","Fora do Prazo")</f>
        <v>Fora do Prazo</v>
      </c>
      <c r="AJ339" s="36" t="e">
        <v>#REF!</v>
      </c>
    </row>
    <row r="340" spans="1:36">
      <c r="A340" s="19" t="s">
        <v>602</v>
      </c>
      <c r="B340" s="20"/>
      <c r="C340" s="19" t="s">
        <v>88</v>
      </c>
      <c r="D340" s="19" t="s">
        <v>52</v>
      </c>
      <c r="E340" s="19" t="s">
        <v>114</v>
      </c>
      <c r="F340" s="19" t="s">
        <v>115</v>
      </c>
      <c r="G340" s="19"/>
      <c r="H340" s="20">
        <v>2022</v>
      </c>
      <c r="I340" s="19" t="s">
        <v>41</v>
      </c>
      <c r="J340" s="19" t="s">
        <v>580</v>
      </c>
      <c r="K340" s="21" t="s">
        <v>581</v>
      </c>
      <c r="L340" s="22" t="s">
        <v>60</v>
      </c>
      <c r="M340" s="23" t="s">
        <v>470</v>
      </c>
      <c r="N340" s="36" t="s">
        <v>582</v>
      </c>
      <c r="O340" s="36" t="s">
        <v>472</v>
      </c>
      <c r="P340" s="26">
        <f ca="1">IFERROR(VLOOKUP(DadosViagem5[[#This Row],[Placa]],[1]BIP!A:E,5,FALSE),"")</f>
        <v>45899</v>
      </c>
      <c r="Q340" s="27">
        <f ca="1">DATEDIF(DadosViagem5[[#This Row],[BIP]],TODAY(),"D")</f>
        <v>91</v>
      </c>
      <c r="R340" s="28" t="str">
        <f>IFERROR(VLOOKUP(DadosViagem5[[#This Row],[Placa]],[1]DDS!B:C,2,FALSE),"Verificar cadastro")</f>
        <v>Manutenção</v>
      </c>
      <c r="S340" s="36" t="s">
        <v>35</v>
      </c>
      <c r="T340" s="23"/>
      <c r="U340" s="30"/>
      <c r="V340" s="31"/>
      <c r="W340" s="32" t="s">
        <v>603</v>
      </c>
      <c r="X340" s="33"/>
      <c r="Y340" s="34"/>
      <c r="Z340" s="32" t="s">
        <v>604</v>
      </c>
      <c r="AA340" s="20" t="s">
        <v>49</v>
      </c>
      <c r="AB340" s="20" t="s">
        <v>49</v>
      </c>
      <c r="AC340" s="19" t="s">
        <v>49</v>
      </c>
      <c r="AD340" s="19" t="str">
        <f ca="1">IFERROR(DATEDIF(DadosViagem5[[#This Row],[Utimo Bip Reserva]],TODAY(),"D"),"")</f>
        <v/>
      </c>
      <c r="AE340" s="36" t="s">
        <v>49</v>
      </c>
      <c r="AF340" s="25" t="s">
        <v>49</v>
      </c>
      <c r="AG340" s="36"/>
      <c r="AH340" s="25">
        <v>45807</v>
      </c>
      <c r="AI340" s="36" t="str">
        <f>IF(DadosViagem5[[#This Row],[Dias em manutenção ]]&lt;5,"Dentro do Prazo","Fora do Prazo")</f>
        <v>Fora do Prazo</v>
      </c>
      <c r="AJ340" s="36" t="e">
        <v>#REF!</v>
      </c>
    </row>
    <row r="341" spans="1:36">
      <c r="A341" s="19" t="s">
        <v>605</v>
      </c>
      <c r="B341" s="20"/>
      <c r="C341" s="19" t="s">
        <v>88</v>
      </c>
      <c r="D341" s="19" t="s">
        <v>52</v>
      </c>
      <c r="E341" s="19" t="s">
        <v>114</v>
      </c>
      <c r="F341" s="19" t="s">
        <v>115</v>
      </c>
      <c r="G341" s="19"/>
      <c r="H341" s="20">
        <v>2022</v>
      </c>
      <c r="I341" s="19" t="s">
        <v>41</v>
      </c>
      <c r="J341" s="19" t="s">
        <v>580</v>
      </c>
      <c r="K341" s="21" t="s">
        <v>581</v>
      </c>
      <c r="L341" s="22" t="s">
        <v>60</v>
      </c>
      <c r="M341" s="23" t="s">
        <v>470</v>
      </c>
      <c r="N341" s="36" t="s">
        <v>582</v>
      </c>
      <c r="O341" s="36" t="s">
        <v>472</v>
      </c>
      <c r="P341" s="26">
        <f ca="1">IFERROR(VLOOKUP(DadosViagem5[[#This Row],[Placa]],[1]BIP!A:E,5,FALSE),"")</f>
        <v>45989</v>
      </c>
      <c r="Q341" s="27">
        <f ca="1">DATEDIF(DadosViagem5[[#This Row],[BIP]],TODAY(),"D")</f>
        <v>1</v>
      </c>
      <c r="R341" s="28" t="str">
        <f>IFERROR(VLOOKUP(DadosViagem5[[#This Row],[Placa]],[1]DDS!B:C,2,FALSE),"Verificar cadastro")</f>
        <v>Carregado</v>
      </c>
      <c r="S341" s="29" t="s">
        <v>48</v>
      </c>
      <c r="T341" s="23"/>
      <c r="U341" s="30"/>
      <c r="V341" s="31"/>
      <c r="W341" s="32" t="s">
        <v>606</v>
      </c>
      <c r="X341" s="33"/>
      <c r="Y341" s="34"/>
      <c r="Z341" s="83"/>
      <c r="AA341" s="20" t="s">
        <v>49</v>
      </c>
      <c r="AB341" s="20" t="s">
        <v>49</v>
      </c>
      <c r="AC341" s="19" t="s">
        <v>49</v>
      </c>
      <c r="AD341" s="19" t="str">
        <f ca="1">IFERROR(DATEDIF(DadosViagem5[[#This Row],[Utimo Bip Reserva]],TODAY(),"D"),"")</f>
        <v/>
      </c>
      <c r="AE341" s="36" t="s">
        <v>49</v>
      </c>
      <c r="AF341" s="25" t="s">
        <v>49</v>
      </c>
      <c r="AG341" s="36"/>
      <c r="AH341" s="25">
        <v>45807</v>
      </c>
      <c r="AI341" s="36" t="str">
        <f>IF(DadosViagem5[[#This Row],[Dias em manutenção ]]&lt;5,"Dentro do Prazo","Fora do Prazo")</f>
        <v>Fora do Prazo</v>
      </c>
      <c r="AJ341" s="36" t="e">
        <v>#REF!</v>
      </c>
    </row>
    <row r="342" spans="1:36">
      <c r="A342" s="19" t="s">
        <v>607</v>
      </c>
      <c r="B342" s="20"/>
      <c r="C342" s="19" t="s">
        <v>88</v>
      </c>
      <c r="D342" s="19" t="s">
        <v>52</v>
      </c>
      <c r="E342" s="19" t="s">
        <v>114</v>
      </c>
      <c r="F342" s="19" t="s">
        <v>115</v>
      </c>
      <c r="G342" s="19"/>
      <c r="H342" s="20">
        <v>2020</v>
      </c>
      <c r="I342" s="19" t="s">
        <v>41</v>
      </c>
      <c r="J342" s="19" t="s">
        <v>580</v>
      </c>
      <c r="K342" s="21" t="s">
        <v>581</v>
      </c>
      <c r="L342" s="22" t="s">
        <v>60</v>
      </c>
      <c r="M342" s="23" t="s">
        <v>470</v>
      </c>
      <c r="N342" s="36" t="s">
        <v>582</v>
      </c>
      <c r="O342" s="36" t="s">
        <v>472</v>
      </c>
      <c r="P342" s="26">
        <f ca="1">IFERROR(VLOOKUP(DadosViagem5[[#This Row],[Placa]],[1]BIP!A:E,5,FALSE),"")</f>
        <v>45989</v>
      </c>
      <c r="Q342" s="27">
        <f ca="1">DATEDIF(DadosViagem5[[#This Row],[BIP]],TODAY(),"D")</f>
        <v>1</v>
      </c>
      <c r="R342" s="28" t="str">
        <f>IFERROR(VLOOKUP(DadosViagem5[[#This Row],[Placa]],[1]DDS!B:C,2,FALSE),"Verificar cadastro")</f>
        <v>Operando</v>
      </c>
      <c r="S342" s="29" t="s">
        <v>48</v>
      </c>
      <c r="T342" s="23"/>
      <c r="U342" s="30"/>
      <c r="V342" s="31"/>
      <c r="W342" s="32" t="s">
        <v>608</v>
      </c>
      <c r="X342" s="33"/>
      <c r="Y342" s="34"/>
      <c r="Z342" s="42"/>
      <c r="AA342" s="20" t="s">
        <v>49</v>
      </c>
      <c r="AB342" s="20" t="s">
        <v>49</v>
      </c>
      <c r="AC342" s="19" t="s">
        <v>49</v>
      </c>
      <c r="AD342" s="19" t="str">
        <f ca="1">IFERROR(DATEDIF(DadosViagem5[[#This Row],[Utimo Bip Reserva]],TODAY(),"D"),"")</f>
        <v/>
      </c>
      <c r="AE342" s="36" t="s">
        <v>49</v>
      </c>
      <c r="AF342" s="25" t="s">
        <v>49</v>
      </c>
      <c r="AG342" s="36"/>
      <c r="AH342" s="25">
        <v>4</v>
      </c>
      <c r="AI342" s="36" t="str">
        <f>IF(DadosViagem5[[#This Row],[Dias em manutenção ]]&lt;5,"Dentro do Prazo","Fora do Prazo")</f>
        <v>Dentro do Prazo</v>
      </c>
      <c r="AJ342" s="36" t="e">
        <v>#REF!</v>
      </c>
    </row>
    <row r="343" spans="1:36">
      <c r="A343" s="19" t="s">
        <v>609</v>
      </c>
      <c r="B343" s="20"/>
      <c r="C343" s="19" t="s">
        <v>88</v>
      </c>
      <c r="D343" s="19" t="s">
        <v>52</v>
      </c>
      <c r="E343" s="19" t="s">
        <v>114</v>
      </c>
      <c r="F343" s="19" t="s">
        <v>115</v>
      </c>
      <c r="G343" s="19"/>
      <c r="H343" s="20">
        <v>2022</v>
      </c>
      <c r="I343" s="19" t="s">
        <v>41</v>
      </c>
      <c r="J343" s="19" t="s">
        <v>580</v>
      </c>
      <c r="K343" s="21" t="s">
        <v>581</v>
      </c>
      <c r="L343" s="22" t="s">
        <v>60</v>
      </c>
      <c r="M343" s="23" t="s">
        <v>470</v>
      </c>
      <c r="N343" s="36" t="s">
        <v>582</v>
      </c>
      <c r="O343" s="36" t="s">
        <v>472</v>
      </c>
      <c r="P343" s="26">
        <f ca="1">IFERROR(VLOOKUP(DadosViagem5[[#This Row],[Placa]],[1]BIP!A:E,5,FALSE),"")</f>
        <v>45987</v>
      </c>
      <c r="Q343" s="27">
        <f ca="1">DATEDIF(DadosViagem5[[#This Row],[BIP]],TODAY(),"D")</f>
        <v>3</v>
      </c>
      <c r="R343" s="28" t="str">
        <f>IFERROR(VLOOKUP(DadosViagem5[[#This Row],[Placa]],[1]DDS!B:C,2,FALSE),"Verificar cadastro")</f>
        <v>Missão</v>
      </c>
      <c r="S343" s="29" t="s">
        <v>48</v>
      </c>
      <c r="T343" s="23"/>
      <c r="U343" s="30"/>
      <c r="V343" s="31"/>
      <c r="W343" s="32" t="s">
        <v>610</v>
      </c>
      <c r="X343" s="33"/>
      <c r="Y343" s="34"/>
      <c r="Z343" s="42"/>
      <c r="AA343" s="20" t="s">
        <v>49</v>
      </c>
      <c r="AB343" s="20" t="s">
        <v>49</v>
      </c>
      <c r="AC343" s="19" t="s">
        <v>49</v>
      </c>
      <c r="AD343" s="19" t="str">
        <f ca="1">IFERROR(DATEDIF(DadosViagem5[[#This Row],[Utimo Bip Reserva]],TODAY(),"D"),"")</f>
        <v/>
      </c>
      <c r="AE343" s="36" t="s">
        <v>49</v>
      </c>
      <c r="AF343" s="25" t="s">
        <v>49</v>
      </c>
      <c r="AG343" s="36"/>
      <c r="AH343" s="25">
        <v>45807</v>
      </c>
      <c r="AI343" s="36" t="str">
        <f>IF(DadosViagem5[[#This Row],[Dias em manutenção ]]&lt;5,"Dentro do Prazo","Fora do Prazo")</f>
        <v>Fora do Prazo</v>
      </c>
      <c r="AJ343" s="36" t="e">
        <v>#REF!</v>
      </c>
    </row>
    <row r="344" spans="1:36">
      <c r="A344" s="19" t="s">
        <v>611</v>
      </c>
      <c r="B344" s="20"/>
      <c r="C344" s="19" t="s">
        <v>88</v>
      </c>
      <c r="D344" s="19" t="s">
        <v>52</v>
      </c>
      <c r="E344" s="19" t="s">
        <v>114</v>
      </c>
      <c r="F344" s="19" t="s">
        <v>115</v>
      </c>
      <c r="G344" s="19"/>
      <c r="H344" s="20">
        <v>2022</v>
      </c>
      <c r="I344" s="19" t="s">
        <v>41</v>
      </c>
      <c r="J344" s="19" t="s">
        <v>580</v>
      </c>
      <c r="K344" s="21" t="s">
        <v>581</v>
      </c>
      <c r="L344" s="22" t="s">
        <v>60</v>
      </c>
      <c r="M344" s="23" t="s">
        <v>470</v>
      </c>
      <c r="N344" s="36" t="s">
        <v>582</v>
      </c>
      <c r="O344" s="36" t="s">
        <v>472</v>
      </c>
      <c r="P344" s="26">
        <f ca="1">IFERROR(VLOOKUP(DadosViagem5[[#This Row],[Placa]],[1]BIP!A:E,5,FALSE),"")</f>
        <v>45900</v>
      </c>
      <c r="Q344" s="27">
        <f ca="1">DATEDIF(DadosViagem5[[#This Row],[BIP]],TODAY(),"D")</f>
        <v>90</v>
      </c>
      <c r="R344" s="28" t="str">
        <f>IFERROR(VLOOKUP(DadosViagem5[[#This Row],[Placa]],[1]DDS!B:C,2,FALSE),"Verificar cadastro")</f>
        <v>Verificar cadastro</v>
      </c>
      <c r="S344" s="36" t="s">
        <v>574</v>
      </c>
      <c r="T344" s="23"/>
      <c r="U344" s="30"/>
      <c r="V344" s="47"/>
      <c r="W344" s="32" t="s">
        <v>588</v>
      </c>
      <c r="X344" s="33"/>
      <c r="Y344" s="34"/>
      <c r="Z344" s="32"/>
      <c r="AA344" s="20" t="s">
        <v>49</v>
      </c>
      <c r="AB344" s="20" t="s">
        <v>49</v>
      </c>
      <c r="AC344" s="19" t="s">
        <v>49</v>
      </c>
      <c r="AD344" s="19" t="str">
        <f ca="1">IFERROR(DATEDIF(DadosViagem5[[#This Row],[Utimo Bip Reserva]],TODAY(),"D"),"")</f>
        <v/>
      </c>
      <c r="AE344" s="36" t="s">
        <v>49</v>
      </c>
      <c r="AF344" s="25" t="s">
        <v>49</v>
      </c>
      <c r="AG344" s="36" t="s">
        <v>540</v>
      </c>
      <c r="AH344" s="25">
        <v>45807</v>
      </c>
      <c r="AI344" s="36" t="str">
        <f>IF(DadosViagem5[[#This Row],[Dias em manutenção ]]&lt;5,"Dentro do Prazo","Fora do Prazo")</f>
        <v>Fora do Prazo</v>
      </c>
      <c r="AJ344" s="36" t="e">
        <v>#REF!</v>
      </c>
    </row>
    <row r="345" spans="1:36">
      <c r="A345" s="19" t="s">
        <v>612</v>
      </c>
      <c r="B345" s="20"/>
      <c r="C345" s="19" t="s">
        <v>88</v>
      </c>
      <c r="D345" s="19" t="s">
        <v>52</v>
      </c>
      <c r="E345" s="19" t="s">
        <v>114</v>
      </c>
      <c r="F345" s="19" t="s">
        <v>115</v>
      </c>
      <c r="G345" s="19"/>
      <c r="H345" s="20">
        <v>2023</v>
      </c>
      <c r="I345" s="19" t="s">
        <v>41</v>
      </c>
      <c r="J345" s="19" t="s">
        <v>580</v>
      </c>
      <c r="K345" s="21" t="s">
        <v>581</v>
      </c>
      <c r="L345" s="22" t="s">
        <v>60</v>
      </c>
      <c r="M345" s="23" t="s">
        <v>470</v>
      </c>
      <c r="N345" s="36" t="s">
        <v>582</v>
      </c>
      <c r="O345" s="36" t="s">
        <v>472</v>
      </c>
      <c r="P345" s="26">
        <f ca="1">IFERROR(VLOOKUP(DadosViagem5[[#This Row],[Placa]],[1]BIP!A:E,5,FALSE),"")</f>
        <v>45989</v>
      </c>
      <c r="Q345" s="27">
        <f ca="1">DATEDIF(DadosViagem5[[#This Row],[BIP]],TODAY(),"D")</f>
        <v>1</v>
      </c>
      <c r="R345" s="28" t="str">
        <f>IFERROR(VLOOKUP(DadosViagem5[[#This Row],[Placa]],[1]DDS!B:C,2,FALSE),"Verificar cadastro")</f>
        <v>Operando</v>
      </c>
      <c r="S345" s="36" t="s">
        <v>613</v>
      </c>
      <c r="T345" s="23"/>
      <c r="U345" s="30"/>
      <c r="V345" s="31"/>
      <c r="W345" s="32" t="s">
        <v>588</v>
      </c>
      <c r="X345" s="33"/>
      <c r="Y345" s="34"/>
      <c r="Z345" s="32"/>
      <c r="AA345" s="20" t="s">
        <v>49</v>
      </c>
      <c r="AB345" s="20" t="s">
        <v>49</v>
      </c>
      <c r="AC345" s="19" t="s">
        <v>49</v>
      </c>
      <c r="AD345" s="19" t="str">
        <f ca="1">IFERROR(DATEDIF(DadosViagem5[[#This Row],[Utimo Bip Reserva]],TODAY(),"D"),"")</f>
        <v/>
      </c>
      <c r="AE345" s="36" t="s">
        <v>49</v>
      </c>
      <c r="AF345" s="25" t="s">
        <v>49</v>
      </c>
      <c r="AG345" s="36"/>
      <c r="AH345" s="25">
        <v>45807</v>
      </c>
      <c r="AI345" s="36" t="str">
        <f>IF(DadosViagem5[[#This Row],[Dias em manutenção ]]&lt;5,"Dentro do Prazo","Fora do Prazo")</f>
        <v>Fora do Prazo</v>
      </c>
      <c r="AJ345" s="36" t="e">
        <v>#REF!</v>
      </c>
    </row>
    <row r="346" spans="1:36">
      <c r="A346" s="19" t="s">
        <v>614</v>
      </c>
      <c r="B346" s="20"/>
      <c r="C346" s="19" t="s">
        <v>88</v>
      </c>
      <c r="D346" s="19" t="s">
        <v>52</v>
      </c>
      <c r="E346" s="19" t="s">
        <v>114</v>
      </c>
      <c r="F346" s="19" t="s">
        <v>115</v>
      </c>
      <c r="G346" s="19"/>
      <c r="H346" s="20">
        <v>2022</v>
      </c>
      <c r="I346" s="19" t="s">
        <v>41</v>
      </c>
      <c r="J346" s="19" t="s">
        <v>580</v>
      </c>
      <c r="K346" s="38" t="s">
        <v>581</v>
      </c>
      <c r="L346" s="22" t="s">
        <v>60</v>
      </c>
      <c r="M346" s="23" t="s">
        <v>470</v>
      </c>
      <c r="N346" s="36" t="s">
        <v>582</v>
      </c>
      <c r="O346" s="36" t="s">
        <v>472</v>
      </c>
      <c r="P346" s="26">
        <f ca="1">IFERROR(VLOOKUP(DadosViagem5[[#This Row],[Placa]],[1]BIP!A:E,5,FALSE),"")</f>
        <v>45980</v>
      </c>
      <c r="Q346" s="27">
        <f ca="1">DATEDIF(DadosViagem5[[#This Row],[BIP]],TODAY(),"D")</f>
        <v>10</v>
      </c>
      <c r="R346" s="28" t="str">
        <f>IFERROR(VLOOKUP(DadosViagem5[[#This Row],[Placa]],[1]DDS!B:C,2,FALSE),"Verificar cadastro")</f>
        <v>Manutenção</v>
      </c>
      <c r="S346" s="29" t="s">
        <v>48</v>
      </c>
      <c r="T346" s="23"/>
      <c r="U346" s="30"/>
      <c r="V346" s="31"/>
      <c r="W346" s="32"/>
      <c r="X346" s="33"/>
      <c r="Y346" s="34"/>
      <c r="Z346" s="32"/>
      <c r="AA346" s="20" t="s">
        <v>49</v>
      </c>
      <c r="AB346" s="20" t="s">
        <v>49</v>
      </c>
      <c r="AC346" s="19" t="s">
        <v>49</v>
      </c>
      <c r="AD346" s="19" t="str">
        <f ca="1">IFERROR(DATEDIF(DadosViagem5[[#This Row],[Utimo Bip Reserva]],TODAY(),"D"),"")</f>
        <v/>
      </c>
      <c r="AE346" s="36" t="s">
        <v>49</v>
      </c>
      <c r="AF346" s="25" t="s">
        <v>49</v>
      </c>
      <c r="AG346" s="36"/>
      <c r="AH346" s="25">
        <v>45807</v>
      </c>
      <c r="AI346" s="36" t="str">
        <f>IF(DadosViagem5[[#This Row],[Dias em manutenção ]]&lt;5,"Dentro do Prazo","Fora do Prazo")</f>
        <v>Fora do Prazo</v>
      </c>
      <c r="AJ346" s="36" t="e">
        <v>#REF!</v>
      </c>
    </row>
    <row r="347" spans="1:36">
      <c r="A347" s="19" t="s">
        <v>615</v>
      </c>
      <c r="B347" s="20"/>
      <c r="C347" s="19" t="s">
        <v>591</v>
      </c>
      <c r="D347" s="19" t="s">
        <v>592</v>
      </c>
      <c r="E347" s="19" t="s">
        <v>114</v>
      </c>
      <c r="F347" s="19" t="s">
        <v>115</v>
      </c>
      <c r="G347" s="19"/>
      <c r="H347" s="20">
        <v>2021</v>
      </c>
      <c r="I347" s="19" t="s">
        <v>41</v>
      </c>
      <c r="J347" s="19" t="s">
        <v>580</v>
      </c>
      <c r="K347" s="21" t="s">
        <v>581</v>
      </c>
      <c r="L347" s="22" t="s">
        <v>60</v>
      </c>
      <c r="M347" s="23" t="s">
        <v>470</v>
      </c>
      <c r="N347" s="36" t="s">
        <v>582</v>
      </c>
      <c r="O347" s="36" t="s">
        <v>472</v>
      </c>
      <c r="P347" s="26">
        <f ca="1">IFERROR(VLOOKUP(DadosViagem5[[#This Row],[Placa]],[1]BIP!A:E,5,FALSE),"")</f>
        <v>45989</v>
      </c>
      <c r="Q347" s="27">
        <f ca="1">DATEDIF(DadosViagem5[[#This Row],[BIP]],TODAY(),"D")</f>
        <v>1</v>
      </c>
      <c r="R347" s="28" t="str">
        <f>IFERROR(VLOOKUP(DadosViagem5[[#This Row],[Placa]],[1]DDS!B:C,2,FALSE),"Verificar cadastro")</f>
        <v>Carregado</v>
      </c>
      <c r="S347" s="29" t="s">
        <v>48</v>
      </c>
      <c r="T347" s="23"/>
      <c r="U347" s="30"/>
      <c r="V347" s="31"/>
      <c r="W347" s="32" t="s">
        <v>616</v>
      </c>
      <c r="X347" s="33" t="s">
        <v>55</v>
      </c>
      <c r="Y347" s="34"/>
      <c r="Z347" s="32"/>
      <c r="AA347" s="20" t="s">
        <v>49</v>
      </c>
      <c r="AB347" s="20" t="s">
        <v>49</v>
      </c>
      <c r="AC347" s="19" t="s">
        <v>49</v>
      </c>
      <c r="AD347" s="19" t="str">
        <f ca="1">IFERROR(DATEDIF(DadosViagem5[[#This Row],[Utimo Bip Reserva]],TODAY(),"D"),"")</f>
        <v/>
      </c>
      <c r="AE347" s="36" t="s">
        <v>617</v>
      </c>
      <c r="AF347" s="25" t="s">
        <v>49</v>
      </c>
      <c r="AG347" s="36"/>
      <c r="AH347" s="25">
        <v>10</v>
      </c>
      <c r="AI347" s="36" t="str">
        <f>IF(DadosViagem5[[#This Row],[Dias em manutenção ]]&lt;5,"Dentro do Prazo","Fora do Prazo")</f>
        <v>Fora do Prazo</v>
      </c>
      <c r="AJ347" s="36" t="e">
        <v>#REF!</v>
      </c>
    </row>
    <row r="348" spans="1:36">
      <c r="A348" s="19" t="s">
        <v>618</v>
      </c>
      <c r="B348" s="20"/>
      <c r="C348" s="19" t="s">
        <v>88</v>
      </c>
      <c r="D348" s="19" t="s">
        <v>52</v>
      </c>
      <c r="E348" s="19" t="s">
        <v>114</v>
      </c>
      <c r="F348" s="19" t="s">
        <v>115</v>
      </c>
      <c r="G348" s="19"/>
      <c r="H348" s="20">
        <v>2022</v>
      </c>
      <c r="I348" s="19" t="s">
        <v>41</v>
      </c>
      <c r="J348" s="19" t="s">
        <v>580</v>
      </c>
      <c r="K348" s="21" t="s">
        <v>581</v>
      </c>
      <c r="L348" s="22" t="s">
        <v>60</v>
      </c>
      <c r="M348" s="23" t="s">
        <v>470</v>
      </c>
      <c r="N348" s="36" t="s">
        <v>582</v>
      </c>
      <c r="O348" s="36" t="s">
        <v>472</v>
      </c>
      <c r="P348" s="26">
        <f ca="1">IFERROR(VLOOKUP(DadosViagem5[[#This Row],[Placa]],[1]BIP!A:E,5,FALSE),"")</f>
        <v>0</v>
      </c>
      <c r="Q348" s="27">
        <f ca="1">DATEDIF(DadosViagem5[[#This Row],[BIP]],TODAY(),"D")</f>
        <v>45990</v>
      </c>
      <c r="R348" s="28" t="str">
        <f>IFERROR(VLOOKUP(DadosViagem5[[#This Row],[Placa]],[1]DDS!B:C,2,FALSE),"Verificar cadastro")</f>
        <v>Verificar cadastro</v>
      </c>
      <c r="S348" s="36" t="s">
        <v>574</v>
      </c>
      <c r="T348" s="23"/>
      <c r="U348" s="30"/>
      <c r="V348" s="31"/>
      <c r="W348" s="32" t="s">
        <v>619</v>
      </c>
      <c r="X348" s="33"/>
      <c r="Y348" s="34"/>
      <c r="Z348" s="32"/>
      <c r="AA348" s="20" t="s">
        <v>49</v>
      </c>
      <c r="AB348" s="20" t="s">
        <v>49</v>
      </c>
      <c r="AC348" s="19" t="s">
        <v>49</v>
      </c>
      <c r="AD348" s="19" t="str">
        <f ca="1">IFERROR(DATEDIF(DadosViagem5[[#This Row],[Utimo Bip Reserva]],TODAY(),"D"),"")</f>
        <v/>
      </c>
      <c r="AE348" s="36" t="s">
        <v>49</v>
      </c>
      <c r="AF348" s="25" t="s">
        <v>49</v>
      </c>
      <c r="AG348" s="36"/>
      <c r="AH348" s="25">
        <v>2</v>
      </c>
      <c r="AI348" s="36" t="str">
        <f>IF(DadosViagem5[[#This Row],[Dias em manutenção ]]&lt;5,"Dentro do Prazo","Fora do Prazo")</f>
        <v>Dentro do Prazo</v>
      </c>
      <c r="AJ348" s="36" t="e">
        <v>#REF!</v>
      </c>
    </row>
    <row r="349" spans="1:36">
      <c r="A349" s="19" t="s">
        <v>620</v>
      </c>
      <c r="B349" s="20">
        <v>467</v>
      </c>
      <c r="C349" s="19" t="s">
        <v>74</v>
      </c>
      <c r="D349" s="19" t="s">
        <v>52</v>
      </c>
      <c r="E349" s="19" t="s">
        <v>75</v>
      </c>
      <c r="F349" s="19" t="s">
        <v>115</v>
      </c>
      <c r="G349" s="19"/>
      <c r="H349" s="20">
        <v>2023</v>
      </c>
      <c r="I349" s="19" t="s">
        <v>41</v>
      </c>
      <c r="J349" s="19" t="s">
        <v>580</v>
      </c>
      <c r="K349" s="21" t="s">
        <v>581</v>
      </c>
      <c r="L349" s="22" t="s">
        <v>60</v>
      </c>
      <c r="M349" s="23" t="s">
        <v>77</v>
      </c>
      <c r="N349" s="36" t="s">
        <v>582</v>
      </c>
      <c r="O349" s="36" t="s">
        <v>472</v>
      </c>
      <c r="P349" s="26">
        <f ca="1">IFERROR(VLOOKUP(DadosViagem5[[#This Row],[Placa]],[1]BIP!A:E,5,FALSE),"")</f>
        <v>45982</v>
      </c>
      <c r="Q349" s="27">
        <f ca="1">DATEDIF(DadosViagem5[[#This Row],[BIP]],TODAY(),"D")</f>
        <v>8</v>
      </c>
      <c r="R349" s="28" t="str">
        <f>IFERROR(VLOOKUP(DadosViagem5[[#This Row],[Placa]],[1]DDS!B:C,2,FALSE),"Verificar cadastro")</f>
        <v>Manutenção</v>
      </c>
      <c r="S349" s="29" t="s">
        <v>48</v>
      </c>
      <c r="T349" s="23"/>
      <c r="U349" s="30"/>
      <c r="V349" s="31"/>
      <c r="W349" s="32"/>
      <c r="X349" s="33"/>
      <c r="Y349" s="34"/>
      <c r="Z349" s="32"/>
      <c r="AA349" s="20" t="s">
        <v>49</v>
      </c>
      <c r="AB349" s="20" t="s">
        <v>49</v>
      </c>
      <c r="AC349" s="19" t="s">
        <v>49</v>
      </c>
      <c r="AD349" s="19" t="str">
        <f ca="1">IFERROR(DATEDIF(DadosViagem5[[#This Row],[Utimo Bip Reserva]],TODAY(),"D"),"")</f>
        <v/>
      </c>
      <c r="AE349" s="36" t="s">
        <v>49</v>
      </c>
      <c r="AF349" s="25" t="s">
        <v>49</v>
      </c>
      <c r="AG349" s="36"/>
      <c r="AH349" s="25">
        <v>3</v>
      </c>
      <c r="AI349" s="36" t="str">
        <f>IF(DadosViagem5[[#This Row],[Dias em manutenção ]]&lt;5,"Dentro do Prazo","Fora do Prazo")</f>
        <v>Dentro do Prazo</v>
      </c>
      <c r="AJ349" s="36" t="e">
        <v>#REF!</v>
      </c>
    </row>
    <row r="350" spans="1:36">
      <c r="A350" s="19" t="s">
        <v>621</v>
      </c>
      <c r="B350" s="20"/>
      <c r="C350" s="19" t="s">
        <v>88</v>
      </c>
      <c r="D350" s="19" t="s">
        <v>52</v>
      </c>
      <c r="E350" s="19" t="s">
        <v>114</v>
      </c>
      <c r="F350" s="19" t="s">
        <v>115</v>
      </c>
      <c r="G350" s="19"/>
      <c r="H350" s="20">
        <v>2022</v>
      </c>
      <c r="I350" s="19" t="s">
        <v>41</v>
      </c>
      <c r="J350" s="19" t="s">
        <v>580</v>
      </c>
      <c r="K350" s="21" t="s">
        <v>581</v>
      </c>
      <c r="L350" s="22" t="s">
        <v>60</v>
      </c>
      <c r="M350" s="23" t="s">
        <v>470</v>
      </c>
      <c r="N350" s="36" t="s">
        <v>582</v>
      </c>
      <c r="O350" s="36" t="s">
        <v>472</v>
      </c>
      <c r="P350" s="26">
        <f ca="1">IFERROR(VLOOKUP(DadosViagem5[[#This Row],[Placa]],[1]BIP!A:E,5,FALSE),"")</f>
        <v>45989</v>
      </c>
      <c r="Q350" s="27">
        <f ca="1">DATEDIF(DadosViagem5[[#This Row],[BIP]],TODAY(),"D")</f>
        <v>1</v>
      </c>
      <c r="R350" s="28" t="str">
        <f>IFERROR(VLOOKUP(DadosViagem5[[#This Row],[Placa]],[1]DDS!B:C,2,FALSE),"Verificar cadastro")</f>
        <v>Operando</v>
      </c>
      <c r="S350" s="29" t="s">
        <v>48</v>
      </c>
      <c r="T350" s="23"/>
      <c r="U350" s="30"/>
      <c r="V350" s="31"/>
      <c r="W350" s="32"/>
      <c r="X350" s="33"/>
      <c r="Y350" s="34"/>
      <c r="Z350" s="32"/>
      <c r="AA350" s="20" t="s">
        <v>49</v>
      </c>
      <c r="AB350" s="20" t="s">
        <v>49</v>
      </c>
      <c r="AC350" s="19" t="s">
        <v>49</v>
      </c>
      <c r="AD350" s="19" t="str">
        <f ca="1">IFERROR(DATEDIF(DadosViagem5[[#This Row],[Utimo Bip Reserva]],TODAY(),"D"),"")</f>
        <v/>
      </c>
      <c r="AE350" s="36" t="s">
        <v>49</v>
      </c>
      <c r="AF350" s="25" t="s">
        <v>49</v>
      </c>
      <c r="AG350" s="36" t="s">
        <v>481</v>
      </c>
      <c r="AH350" s="25">
        <v>3</v>
      </c>
      <c r="AI350" s="36" t="str">
        <f>IF(DadosViagem5[[#This Row],[Dias em manutenção ]]&lt;5,"Dentro do Prazo","Fora do Prazo")</f>
        <v>Dentro do Prazo</v>
      </c>
      <c r="AJ350" s="36" t="e">
        <v>#REF!</v>
      </c>
    </row>
    <row r="351" spans="1:36">
      <c r="A351" s="19" t="s">
        <v>622</v>
      </c>
      <c r="B351" s="20"/>
      <c r="C351" s="19" t="s">
        <v>88</v>
      </c>
      <c r="D351" s="19" t="s">
        <v>52</v>
      </c>
      <c r="E351" s="19" t="s">
        <v>114</v>
      </c>
      <c r="F351" s="19" t="s">
        <v>115</v>
      </c>
      <c r="G351" s="19"/>
      <c r="H351" s="20">
        <v>2021</v>
      </c>
      <c r="I351" s="19" t="s">
        <v>41</v>
      </c>
      <c r="J351" s="19" t="s">
        <v>580</v>
      </c>
      <c r="K351" s="21" t="s">
        <v>581</v>
      </c>
      <c r="L351" s="22" t="s">
        <v>60</v>
      </c>
      <c r="M351" s="23" t="s">
        <v>470</v>
      </c>
      <c r="N351" s="36" t="s">
        <v>582</v>
      </c>
      <c r="O351" s="36" t="s">
        <v>472</v>
      </c>
      <c r="P351" s="26">
        <f ca="1">IFERROR(VLOOKUP(DadosViagem5[[#This Row],[Placa]],[1]BIP!A:E,5,FALSE),"")</f>
        <v>45989</v>
      </c>
      <c r="Q351" s="27">
        <f ca="1">DATEDIF(DadosViagem5[[#This Row],[BIP]],TODAY(),"D")</f>
        <v>1</v>
      </c>
      <c r="R351" s="28" t="str">
        <f>IFERROR(VLOOKUP(DadosViagem5[[#This Row],[Placa]],[1]DDS!B:C,2,FALSE),"Verificar cadastro")</f>
        <v>Operando</v>
      </c>
      <c r="S351" s="29" t="s">
        <v>48</v>
      </c>
      <c r="T351" s="23"/>
      <c r="U351" s="30"/>
      <c r="V351" s="31"/>
      <c r="W351" s="32"/>
      <c r="X351" s="33"/>
      <c r="Y351" s="34"/>
      <c r="Z351" s="32"/>
      <c r="AA351" s="20" t="s">
        <v>49</v>
      </c>
      <c r="AB351" s="20" t="s">
        <v>49</v>
      </c>
      <c r="AC351" s="19" t="s">
        <v>49</v>
      </c>
      <c r="AD351" s="19" t="str">
        <f ca="1">IFERROR(DATEDIF(DadosViagem5[[#This Row],[Utimo Bip Reserva]],TODAY(),"D"),"")</f>
        <v/>
      </c>
      <c r="AE351" s="36" t="s">
        <v>49</v>
      </c>
      <c r="AF351" s="25" t="s">
        <v>49</v>
      </c>
      <c r="AG351" s="36"/>
      <c r="AH351" s="25">
        <v>45807</v>
      </c>
      <c r="AI351" s="36" t="str">
        <f>IF(DadosViagem5[[#This Row],[Dias em manutenção ]]&lt;5,"Dentro do Prazo","Fora do Prazo")</f>
        <v>Fora do Prazo</v>
      </c>
      <c r="AJ351" s="36" t="e">
        <v>#REF!</v>
      </c>
    </row>
    <row r="352" spans="1:36">
      <c r="A352" s="19" t="s">
        <v>623</v>
      </c>
      <c r="B352" s="20">
        <v>468</v>
      </c>
      <c r="C352" s="19" t="s">
        <v>74</v>
      </c>
      <c r="D352" s="19" t="s">
        <v>52</v>
      </c>
      <c r="E352" s="19" t="s">
        <v>75</v>
      </c>
      <c r="F352" s="19" t="s">
        <v>76</v>
      </c>
      <c r="G352" s="19"/>
      <c r="H352" s="20">
        <v>2023</v>
      </c>
      <c r="I352" s="19" t="s">
        <v>41</v>
      </c>
      <c r="J352" s="19" t="s">
        <v>580</v>
      </c>
      <c r="K352" s="21" t="s">
        <v>581</v>
      </c>
      <c r="L352" s="22" t="s">
        <v>60</v>
      </c>
      <c r="M352" s="23" t="s">
        <v>77</v>
      </c>
      <c r="N352" s="36" t="s">
        <v>582</v>
      </c>
      <c r="O352" s="36" t="s">
        <v>472</v>
      </c>
      <c r="P352" s="26">
        <f ca="1">IFERROR(VLOOKUP(DadosViagem5[[#This Row],[Placa]],[1]BIP!A:E,5,FALSE),"")</f>
        <v>45989</v>
      </c>
      <c r="Q352" s="27">
        <f ca="1">DATEDIF(DadosViagem5[[#This Row],[BIP]],TODAY(),"D")</f>
        <v>1</v>
      </c>
      <c r="R352" s="28" t="str">
        <f>IFERROR(VLOOKUP(DadosViagem5[[#This Row],[Placa]],[1]DDS!B:C,2,FALSE),"Verificar cadastro")</f>
        <v>Operando</v>
      </c>
      <c r="S352" s="29" t="s">
        <v>48</v>
      </c>
      <c r="T352" s="23"/>
      <c r="U352" s="30"/>
      <c r="V352" s="31"/>
      <c r="W352" s="32"/>
      <c r="X352" s="33"/>
      <c r="Y352" s="34"/>
      <c r="Z352" s="32"/>
      <c r="AA352" s="20" t="s">
        <v>49</v>
      </c>
      <c r="AB352" s="20" t="s">
        <v>49</v>
      </c>
      <c r="AC352" s="19" t="s">
        <v>49</v>
      </c>
      <c r="AD352" s="19" t="str">
        <f ca="1">IFERROR(DATEDIF(DadosViagem5[[#This Row],[Utimo Bip Reserva]],TODAY(),"D"),"")</f>
        <v/>
      </c>
      <c r="AE352" s="25" t="s">
        <v>49</v>
      </c>
      <c r="AF352" s="25" t="s">
        <v>49</v>
      </c>
      <c r="AG352" s="36"/>
      <c r="AH352" s="25">
        <v>45807</v>
      </c>
      <c r="AI352" s="36" t="str">
        <f>IF(DadosViagem5[[#This Row],[Dias em manutenção ]]&lt;5,"Dentro do Prazo","Fora do Prazo")</f>
        <v>Fora do Prazo</v>
      </c>
      <c r="AJ352" s="36" t="e">
        <v>#REF!</v>
      </c>
    </row>
    <row r="353" spans="1:36">
      <c r="A353" s="19" t="s">
        <v>624</v>
      </c>
      <c r="B353" s="20"/>
      <c r="C353" s="19" t="s">
        <v>71</v>
      </c>
      <c r="D353" s="19" t="s">
        <v>38</v>
      </c>
      <c r="E353" s="19" t="s">
        <v>265</v>
      </c>
      <c r="F353" s="19" t="s">
        <v>396</v>
      </c>
      <c r="G353" s="19"/>
      <c r="H353" s="20">
        <v>2023</v>
      </c>
      <c r="I353" s="19" t="s">
        <v>41</v>
      </c>
      <c r="J353" s="19" t="s">
        <v>580</v>
      </c>
      <c r="K353" s="66" t="s">
        <v>625</v>
      </c>
      <c r="L353" s="22" t="s">
        <v>60</v>
      </c>
      <c r="M353" s="23" t="s">
        <v>470</v>
      </c>
      <c r="N353" s="36" t="s">
        <v>465</v>
      </c>
      <c r="O353" s="36" t="s">
        <v>472</v>
      </c>
      <c r="P353" s="26">
        <f ca="1">IFERROR(VLOOKUP(DadosViagem5[[#This Row],[Placa]],[1]BIP!A:E,5,FALSE),"")</f>
        <v>45983</v>
      </c>
      <c r="Q353" s="27">
        <f ca="1">DATEDIF(DadosViagem5[[#This Row],[BIP]],TODAY(),"D")</f>
        <v>7</v>
      </c>
      <c r="R353" s="28" t="str">
        <f>IFERROR(VLOOKUP(DadosViagem5[[#This Row],[Placa]],[1]DDS!B:C,2,FALSE),"Verificar cadastro")</f>
        <v>Manutenção</v>
      </c>
      <c r="S353" s="29" t="s">
        <v>48</v>
      </c>
      <c r="T353" s="23"/>
      <c r="U353" s="30"/>
      <c r="V353" s="31"/>
      <c r="W353" s="32" t="s">
        <v>152</v>
      </c>
      <c r="X353" s="33"/>
      <c r="Y353" s="34"/>
      <c r="Z353" s="32"/>
      <c r="AA353" s="20" t="s">
        <v>49</v>
      </c>
      <c r="AB353" s="20" t="s">
        <v>49</v>
      </c>
      <c r="AC353" s="19" t="s">
        <v>49</v>
      </c>
      <c r="AD353" s="19" t="str">
        <f ca="1">IFERROR(DATEDIF(DadosViagem5[[#This Row],[Utimo Bip Reserva]],TODAY(),"D"),"")</f>
        <v/>
      </c>
      <c r="AE353" s="25" t="s">
        <v>49</v>
      </c>
      <c r="AF353" s="25" t="s">
        <v>49</v>
      </c>
      <c r="AG353" s="36"/>
      <c r="AH353" s="25">
        <v>45807</v>
      </c>
      <c r="AI353" s="36" t="str">
        <f>IF(DadosViagem5[[#This Row],[Dias em manutenção ]]&lt;5,"Dentro do Prazo","Fora do Prazo")</f>
        <v>Fora do Prazo</v>
      </c>
      <c r="AJ353" s="36" t="e">
        <v>#REF!</v>
      </c>
    </row>
    <row r="354" spans="1:36">
      <c r="A354" s="19" t="s">
        <v>626</v>
      </c>
      <c r="B354" s="20"/>
      <c r="C354" s="19" t="s">
        <v>88</v>
      </c>
      <c r="D354" s="19" t="s">
        <v>52</v>
      </c>
      <c r="E354" s="19" t="s">
        <v>114</v>
      </c>
      <c r="F354" s="19" t="s">
        <v>115</v>
      </c>
      <c r="G354" s="19"/>
      <c r="H354" s="20">
        <v>2022</v>
      </c>
      <c r="I354" s="19" t="s">
        <v>41</v>
      </c>
      <c r="J354" s="19" t="s">
        <v>580</v>
      </c>
      <c r="K354" s="21" t="s">
        <v>581</v>
      </c>
      <c r="L354" s="22" t="s">
        <v>60</v>
      </c>
      <c r="M354" s="23" t="s">
        <v>470</v>
      </c>
      <c r="N354" s="36" t="s">
        <v>582</v>
      </c>
      <c r="O354" s="36" t="s">
        <v>472</v>
      </c>
      <c r="P354" s="26">
        <f ca="1">IFERROR(VLOOKUP(DadosViagem5[[#This Row],[Placa]],[1]BIP!A:E,5,FALSE),"")</f>
        <v>45989</v>
      </c>
      <c r="Q354" s="27">
        <f ca="1">DATEDIF(DadosViagem5[[#This Row],[BIP]],TODAY(),"D")</f>
        <v>1</v>
      </c>
      <c r="R354" s="28" t="str">
        <f>IFERROR(VLOOKUP(DadosViagem5[[#This Row],[Placa]],[1]DDS!B:C,2,FALSE),"Verificar cadastro")</f>
        <v>Operando</v>
      </c>
      <c r="S354" s="29" t="s">
        <v>48</v>
      </c>
      <c r="T354" s="23"/>
      <c r="U354" s="30"/>
      <c r="V354" s="47"/>
      <c r="W354" s="32" t="s">
        <v>627</v>
      </c>
      <c r="X354" s="33"/>
      <c r="Y354" s="34"/>
      <c r="Z354" s="42"/>
      <c r="AA354" s="20" t="s">
        <v>49</v>
      </c>
      <c r="AB354" s="20" t="s">
        <v>49</v>
      </c>
      <c r="AC354" s="19" t="s">
        <v>49</v>
      </c>
      <c r="AD354" s="19" t="str">
        <f ca="1">IFERROR(DATEDIF(DadosViagem5[[#This Row],[Utimo Bip Reserva]],TODAY(),"D"),"")</f>
        <v/>
      </c>
      <c r="AE354" s="36" t="s">
        <v>49</v>
      </c>
      <c r="AF354" s="25" t="s">
        <v>49</v>
      </c>
      <c r="AG354" s="36" t="s">
        <v>628</v>
      </c>
      <c r="AH354" s="25">
        <v>45807</v>
      </c>
      <c r="AI354" s="36" t="str">
        <f>IF(DadosViagem5[[#This Row],[Dias em manutenção ]]&lt;5,"Dentro do Prazo","Fora do Prazo")</f>
        <v>Fora do Prazo</v>
      </c>
      <c r="AJ354" s="36" t="e">
        <v>#REF!</v>
      </c>
    </row>
    <row r="355" spans="1:36">
      <c r="A355" s="19" t="s">
        <v>629</v>
      </c>
      <c r="B355" s="20"/>
      <c r="C355" s="19" t="s">
        <v>88</v>
      </c>
      <c r="D355" s="19" t="s">
        <v>52</v>
      </c>
      <c r="E355" s="19" t="s">
        <v>114</v>
      </c>
      <c r="F355" s="19" t="s">
        <v>115</v>
      </c>
      <c r="G355" s="19"/>
      <c r="H355" s="20">
        <v>2022</v>
      </c>
      <c r="I355" s="19" t="s">
        <v>41</v>
      </c>
      <c r="J355" s="19" t="s">
        <v>580</v>
      </c>
      <c r="K355" s="21" t="s">
        <v>581</v>
      </c>
      <c r="L355" s="22" t="s">
        <v>60</v>
      </c>
      <c r="M355" s="23" t="s">
        <v>470</v>
      </c>
      <c r="N355" s="36" t="s">
        <v>582</v>
      </c>
      <c r="O355" s="36" t="s">
        <v>472</v>
      </c>
      <c r="P355" s="26">
        <f ca="1">IFERROR(VLOOKUP(DadosViagem5[[#This Row],[Placa]],[1]BIP!A:E,5,FALSE),"")</f>
        <v>45989</v>
      </c>
      <c r="Q355" s="27">
        <f ca="1">DATEDIF(DadosViagem5[[#This Row],[BIP]],TODAY(),"D")</f>
        <v>1</v>
      </c>
      <c r="R355" s="28" t="str">
        <f>IFERROR(VLOOKUP(DadosViagem5[[#This Row],[Placa]],[1]DDS!B:C,2,FALSE),"Verificar cadastro")</f>
        <v>Operando</v>
      </c>
      <c r="S355" s="29" t="s">
        <v>48</v>
      </c>
      <c r="T355" s="23"/>
      <c r="U355" s="30"/>
      <c r="V355" s="31"/>
      <c r="W355" s="32"/>
      <c r="X355" s="33"/>
      <c r="Y355" s="34"/>
      <c r="Z355" s="32"/>
      <c r="AA355" s="20" t="s">
        <v>49</v>
      </c>
      <c r="AB355" s="20" t="s">
        <v>49</v>
      </c>
      <c r="AC355" s="19" t="s">
        <v>49</v>
      </c>
      <c r="AD355" s="19" t="str">
        <f ca="1">IFERROR(DATEDIF(DadosViagem5[[#This Row],[Utimo Bip Reserva]],TODAY(),"D"),"")</f>
        <v/>
      </c>
      <c r="AE355" s="36" t="s">
        <v>49</v>
      </c>
      <c r="AF355" s="25" t="s">
        <v>49</v>
      </c>
      <c r="AG355" s="36"/>
      <c r="AH355" s="25">
        <v>45807</v>
      </c>
      <c r="AI355" s="36" t="str">
        <f>IF(DadosViagem5[[#This Row],[Dias em manutenção ]]&lt;5,"Dentro do Prazo","Fora do Prazo")</f>
        <v>Fora do Prazo</v>
      </c>
      <c r="AJ355" s="36" t="e">
        <v>#REF!</v>
      </c>
    </row>
    <row r="356" spans="1:36">
      <c r="A356" s="19" t="s">
        <v>630</v>
      </c>
      <c r="B356" s="20"/>
      <c r="C356" s="19" t="s">
        <v>88</v>
      </c>
      <c r="D356" s="19" t="s">
        <v>52</v>
      </c>
      <c r="E356" s="19" t="s">
        <v>114</v>
      </c>
      <c r="F356" s="19" t="s">
        <v>115</v>
      </c>
      <c r="G356" s="19"/>
      <c r="H356" s="20">
        <v>2022</v>
      </c>
      <c r="I356" s="19" t="s">
        <v>41</v>
      </c>
      <c r="J356" s="19" t="s">
        <v>580</v>
      </c>
      <c r="K356" s="21" t="s">
        <v>581</v>
      </c>
      <c r="L356" s="22" t="s">
        <v>60</v>
      </c>
      <c r="M356" s="23" t="s">
        <v>470</v>
      </c>
      <c r="N356" s="36" t="s">
        <v>582</v>
      </c>
      <c r="O356" s="36" t="s">
        <v>472</v>
      </c>
      <c r="P356" s="26">
        <f ca="1">IFERROR(VLOOKUP(DadosViagem5[[#This Row],[Placa]],[1]BIP!A:E,5,FALSE),"")</f>
        <v>45989</v>
      </c>
      <c r="Q356" s="27">
        <f ca="1">DATEDIF(DadosViagem5[[#This Row],[BIP]],TODAY(),"D")</f>
        <v>1</v>
      </c>
      <c r="R356" s="28" t="str">
        <f>IFERROR(VLOOKUP(DadosViagem5[[#This Row],[Placa]],[1]DDS!B:C,2,FALSE),"Verificar cadastro")</f>
        <v>Operando</v>
      </c>
      <c r="S356" s="29" t="s">
        <v>48</v>
      </c>
      <c r="T356" s="23"/>
      <c r="U356" s="30"/>
      <c r="V356" s="31"/>
      <c r="W356" s="32"/>
      <c r="X356" s="33"/>
      <c r="Y356" s="34"/>
      <c r="Z356" s="32"/>
      <c r="AA356" s="20" t="s">
        <v>49</v>
      </c>
      <c r="AB356" s="20" t="s">
        <v>49</v>
      </c>
      <c r="AC356" s="19" t="s">
        <v>49</v>
      </c>
      <c r="AD356" s="19" t="str">
        <f ca="1">IFERROR(DATEDIF(DadosViagem5[[#This Row],[Utimo Bip Reserva]],TODAY(),"D"),"")</f>
        <v/>
      </c>
      <c r="AE356" s="36" t="s">
        <v>49</v>
      </c>
      <c r="AF356" s="25" t="s">
        <v>49</v>
      </c>
      <c r="AG356" s="36"/>
      <c r="AH356" s="25">
        <v>45807</v>
      </c>
      <c r="AI356" s="36" t="str">
        <f>IF(DadosViagem5[[#This Row],[Dias em manutenção ]]&lt;5,"Dentro do Prazo","Fora do Prazo")</f>
        <v>Fora do Prazo</v>
      </c>
      <c r="AJ356" s="36" t="e">
        <v>#REF!</v>
      </c>
    </row>
    <row r="357" spans="1:36">
      <c r="A357" s="19" t="s">
        <v>631</v>
      </c>
      <c r="B357" s="20"/>
      <c r="C357" s="19" t="s">
        <v>88</v>
      </c>
      <c r="D357" s="19" t="s">
        <v>52</v>
      </c>
      <c r="E357" s="19" t="s">
        <v>114</v>
      </c>
      <c r="F357" s="19" t="s">
        <v>115</v>
      </c>
      <c r="G357" s="19"/>
      <c r="H357" s="20">
        <v>2022</v>
      </c>
      <c r="I357" s="19" t="s">
        <v>41</v>
      </c>
      <c r="J357" s="19" t="s">
        <v>580</v>
      </c>
      <c r="K357" s="21" t="s">
        <v>581</v>
      </c>
      <c r="L357" s="22" t="s">
        <v>60</v>
      </c>
      <c r="M357" s="23" t="s">
        <v>470</v>
      </c>
      <c r="N357" s="36" t="s">
        <v>582</v>
      </c>
      <c r="O357" s="36" t="s">
        <v>472</v>
      </c>
      <c r="P357" s="26">
        <f ca="1">IFERROR(VLOOKUP(DadosViagem5[[#This Row],[Placa]],[1]BIP!A:E,5,FALSE),"")</f>
        <v>45989</v>
      </c>
      <c r="Q357" s="27">
        <f ca="1">DATEDIF(DadosViagem5[[#This Row],[BIP]],TODAY(),"D")</f>
        <v>1</v>
      </c>
      <c r="R357" s="28" t="str">
        <f>IFERROR(VLOOKUP(DadosViagem5[[#This Row],[Placa]],[1]DDS!B:C,2,FALSE),"Verificar cadastro")</f>
        <v>Operando</v>
      </c>
      <c r="S357" s="29" t="s">
        <v>48</v>
      </c>
      <c r="T357" s="23"/>
      <c r="U357" s="30"/>
      <c r="V357" s="31"/>
      <c r="W357" s="32" t="s">
        <v>632</v>
      </c>
      <c r="X357" s="33"/>
      <c r="Y357" s="34"/>
      <c r="Z357" s="32"/>
      <c r="AA357" s="20" t="s">
        <v>49</v>
      </c>
      <c r="AB357" s="20" t="s">
        <v>49</v>
      </c>
      <c r="AC357" s="19" t="s">
        <v>49</v>
      </c>
      <c r="AD357" s="19" t="str">
        <f ca="1">IFERROR(DATEDIF(DadosViagem5[[#This Row],[Utimo Bip Reserva]],TODAY(),"D"),"")</f>
        <v/>
      </c>
      <c r="AE357" s="36" t="s">
        <v>49</v>
      </c>
      <c r="AF357" s="25" t="s">
        <v>49</v>
      </c>
      <c r="AG357" s="36" t="s">
        <v>633</v>
      </c>
      <c r="AH357" s="25">
        <v>45807</v>
      </c>
      <c r="AI357" s="36" t="str">
        <f>IF(DadosViagem5[[#This Row],[Dias em manutenção ]]&lt;5,"Dentro do Prazo","Fora do Prazo")</f>
        <v>Fora do Prazo</v>
      </c>
      <c r="AJ357" s="36" t="e">
        <v>#REF!</v>
      </c>
    </row>
    <row r="358" spans="1:36">
      <c r="A358" s="19" t="s">
        <v>634</v>
      </c>
      <c r="B358" s="20"/>
      <c r="C358" s="19" t="s">
        <v>88</v>
      </c>
      <c r="D358" s="19" t="s">
        <v>52</v>
      </c>
      <c r="E358" s="19" t="s">
        <v>114</v>
      </c>
      <c r="F358" s="19" t="s">
        <v>115</v>
      </c>
      <c r="G358" s="19"/>
      <c r="H358" s="20">
        <v>2021</v>
      </c>
      <c r="I358" s="19" t="s">
        <v>41</v>
      </c>
      <c r="J358" s="19" t="s">
        <v>580</v>
      </c>
      <c r="K358" s="21" t="s">
        <v>581</v>
      </c>
      <c r="L358" s="22" t="s">
        <v>60</v>
      </c>
      <c r="M358" s="23" t="s">
        <v>470</v>
      </c>
      <c r="N358" s="36" t="s">
        <v>582</v>
      </c>
      <c r="O358" s="36" t="s">
        <v>472</v>
      </c>
      <c r="P358" s="26">
        <f ca="1">IFERROR(VLOOKUP(DadosViagem5[[#This Row],[Placa]],[1]BIP!A:E,5,FALSE),"")</f>
        <v>45989</v>
      </c>
      <c r="Q358" s="27">
        <f ca="1">DATEDIF(DadosViagem5[[#This Row],[BIP]],TODAY(),"D")</f>
        <v>1</v>
      </c>
      <c r="R358" s="28" t="str">
        <f>IFERROR(VLOOKUP(DadosViagem5[[#This Row],[Placa]],[1]DDS!B:C,2,FALSE),"Verificar cadastro")</f>
        <v>Operando</v>
      </c>
      <c r="S358" s="29" t="s">
        <v>48</v>
      </c>
      <c r="T358" s="23"/>
      <c r="U358" s="30"/>
      <c r="V358" s="31"/>
      <c r="W358" s="32"/>
      <c r="X358" s="33"/>
      <c r="Y358" s="34"/>
      <c r="Z358" s="32"/>
      <c r="AA358" s="20" t="s">
        <v>49</v>
      </c>
      <c r="AB358" s="20" t="s">
        <v>49</v>
      </c>
      <c r="AC358" s="19" t="s">
        <v>49</v>
      </c>
      <c r="AD358" s="19" t="str">
        <f ca="1">IFERROR(DATEDIF(DadosViagem5[[#This Row],[Utimo Bip Reserva]],TODAY(),"D"),"")</f>
        <v/>
      </c>
      <c r="AE358" s="36" t="s">
        <v>49</v>
      </c>
      <c r="AF358" s="25" t="s">
        <v>49</v>
      </c>
      <c r="AG358" s="36"/>
      <c r="AH358" s="25">
        <v>45807</v>
      </c>
      <c r="AI358" s="36" t="str">
        <f>IF(DadosViagem5[[#This Row],[Dias em manutenção ]]&lt;5,"Dentro do Prazo","Fora do Prazo")</f>
        <v>Fora do Prazo</v>
      </c>
      <c r="AJ358" s="36" t="e">
        <v>#REF!</v>
      </c>
    </row>
    <row r="359" spans="1:36">
      <c r="A359" s="19" t="s">
        <v>635</v>
      </c>
      <c r="B359" s="20"/>
      <c r="C359" s="19" t="s">
        <v>88</v>
      </c>
      <c r="D359" s="19" t="s">
        <v>52</v>
      </c>
      <c r="E359" s="19" t="s">
        <v>114</v>
      </c>
      <c r="F359" s="19" t="s">
        <v>115</v>
      </c>
      <c r="G359" s="19"/>
      <c r="H359" s="20">
        <v>2021</v>
      </c>
      <c r="I359" s="19" t="s">
        <v>41</v>
      </c>
      <c r="J359" s="19" t="s">
        <v>580</v>
      </c>
      <c r="K359" s="21" t="s">
        <v>581</v>
      </c>
      <c r="L359" s="22" t="s">
        <v>60</v>
      </c>
      <c r="M359" s="23" t="s">
        <v>470</v>
      </c>
      <c r="N359" s="36" t="s">
        <v>582</v>
      </c>
      <c r="O359" s="36" t="s">
        <v>472</v>
      </c>
      <c r="P359" s="26">
        <f ca="1">IFERROR(VLOOKUP(DadosViagem5[[#This Row],[Placa]],[1]BIP!A:E,5,FALSE),"")</f>
        <v>45989</v>
      </c>
      <c r="Q359" s="27">
        <f ca="1">DATEDIF(DadosViagem5[[#This Row],[BIP]],TODAY(),"D")</f>
        <v>1</v>
      </c>
      <c r="R359" s="28" t="str">
        <f>IFERROR(VLOOKUP(DadosViagem5[[#This Row],[Placa]],[1]DDS!B:C,2,FALSE),"Verificar cadastro")</f>
        <v>Operando</v>
      </c>
      <c r="S359" s="29" t="s">
        <v>48</v>
      </c>
      <c r="T359" s="23"/>
      <c r="U359" s="30"/>
      <c r="V359" s="31"/>
      <c r="W359" s="32"/>
      <c r="X359" s="33"/>
      <c r="Y359" s="34"/>
      <c r="Z359" s="32"/>
      <c r="AA359" s="20" t="s">
        <v>49</v>
      </c>
      <c r="AB359" s="20" t="s">
        <v>49</v>
      </c>
      <c r="AC359" s="19" t="s">
        <v>49</v>
      </c>
      <c r="AD359" s="19" t="str">
        <f ca="1">IFERROR(DATEDIF(DadosViagem5[[#This Row],[Utimo Bip Reserva]],TODAY(),"D"),"")</f>
        <v/>
      </c>
      <c r="AE359" s="36" t="s">
        <v>49</v>
      </c>
      <c r="AF359" s="25" t="s">
        <v>49</v>
      </c>
      <c r="AG359" s="36"/>
      <c r="AH359" s="25">
        <v>45807</v>
      </c>
      <c r="AI359" s="36" t="str">
        <f>IF(DadosViagem5[[#This Row],[Dias em manutenção ]]&lt;5,"Dentro do Prazo","Fora do Prazo")</f>
        <v>Fora do Prazo</v>
      </c>
      <c r="AJ359" s="36" t="e">
        <v>#REF!</v>
      </c>
    </row>
    <row r="360" spans="1:36">
      <c r="A360" s="19" t="s">
        <v>636</v>
      </c>
      <c r="B360" s="20"/>
      <c r="C360" s="19" t="s">
        <v>88</v>
      </c>
      <c r="D360" s="19" t="s">
        <v>52</v>
      </c>
      <c r="E360" s="19" t="s">
        <v>114</v>
      </c>
      <c r="F360" s="19" t="s">
        <v>115</v>
      </c>
      <c r="G360" s="19"/>
      <c r="H360" s="20">
        <v>2022</v>
      </c>
      <c r="I360" s="19" t="s">
        <v>41</v>
      </c>
      <c r="J360" s="19" t="s">
        <v>580</v>
      </c>
      <c r="K360" s="21" t="s">
        <v>581</v>
      </c>
      <c r="L360" s="22" t="s">
        <v>60</v>
      </c>
      <c r="M360" s="23" t="s">
        <v>470</v>
      </c>
      <c r="N360" s="36" t="s">
        <v>582</v>
      </c>
      <c r="O360" s="36" t="s">
        <v>472</v>
      </c>
      <c r="P360" s="26">
        <f ca="1">IFERROR(VLOOKUP(DadosViagem5[[#This Row],[Placa]],[1]BIP!A:E,5,FALSE),"")</f>
        <v>45939</v>
      </c>
      <c r="Q360" s="27">
        <f ca="1">DATEDIF(DadosViagem5[[#This Row],[BIP]],TODAY(),"D")</f>
        <v>51</v>
      </c>
      <c r="R360" s="28" t="str">
        <f>IFERROR(VLOOKUP(DadosViagem5[[#This Row],[Placa]],[1]DDS!B:C,2,FALSE),"Verificar cadastro")</f>
        <v>Verificar cadastro</v>
      </c>
      <c r="S360" s="36" t="s">
        <v>574</v>
      </c>
      <c r="T360" s="23"/>
      <c r="U360" s="30"/>
      <c r="V360" s="31"/>
      <c r="W360" s="32" t="s">
        <v>637</v>
      </c>
      <c r="X360" s="33"/>
      <c r="Y360" s="34"/>
      <c r="Z360" s="32"/>
      <c r="AA360" s="20" t="s">
        <v>49</v>
      </c>
      <c r="AB360" s="20" t="s">
        <v>49</v>
      </c>
      <c r="AC360" s="19" t="s">
        <v>49</v>
      </c>
      <c r="AD360" s="19" t="str">
        <f ca="1">IFERROR(DATEDIF(DadosViagem5[[#This Row],[Utimo Bip Reserva]],TODAY(),"D"),"")</f>
        <v/>
      </c>
      <c r="AE360" s="36" t="s">
        <v>49</v>
      </c>
      <c r="AF360" s="25" t="s">
        <v>49</v>
      </c>
      <c r="AG360" s="36"/>
      <c r="AH360" s="25">
        <v>45807</v>
      </c>
      <c r="AI360" s="36" t="str">
        <f>IF(DadosViagem5[[#This Row],[Dias em manutenção ]]&lt;5,"Dentro do Prazo","Fora do Prazo")</f>
        <v>Fora do Prazo</v>
      </c>
      <c r="AJ360" s="36" t="e">
        <v>#REF!</v>
      </c>
    </row>
    <row r="361" spans="1:36">
      <c r="A361" s="19" t="s">
        <v>638</v>
      </c>
      <c r="B361" s="20">
        <v>448</v>
      </c>
      <c r="C361" s="19" t="s">
        <v>74</v>
      </c>
      <c r="D361" s="19" t="s">
        <v>52</v>
      </c>
      <c r="E361" s="19" t="s">
        <v>75</v>
      </c>
      <c r="F361" s="19" t="s">
        <v>115</v>
      </c>
      <c r="G361" s="19"/>
      <c r="H361" s="20">
        <v>2024</v>
      </c>
      <c r="I361" s="19" t="s">
        <v>41</v>
      </c>
      <c r="J361" s="19" t="s">
        <v>639</v>
      </c>
      <c r="K361" s="21" t="s">
        <v>640</v>
      </c>
      <c r="L361" s="22" t="s">
        <v>60</v>
      </c>
      <c r="M361" s="23" t="s">
        <v>77</v>
      </c>
      <c r="N361" s="24" t="s">
        <v>582</v>
      </c>
      <c r="O361" s="36" t="s">
        <v>472</v>
      </c>
      <c r="P361" s="26">
        <f ca="1">IFERROR(VLOOKUP(DadosViagem5[[#This Row],[Placa]],[1]BIP!A:E,5,FALSE),"")</f>
        <v>45985</v>
      </c>
      <c r="Q361" s="27">
        <f ca="1">DATEDIF(DadosViagem5[[#This Row],[BIP]],TODAY(),"D")</f>
        <v>5</v>
      </c>
      <c r="R361" s="28" t="str">
        <f>IFERROR(VLOOKUP(DadosViagem5[[#This Row],[Placa]],[1]DDS!B:C,2,FALSE),"Verificar cadastro")</f>
        <v>Manutenção</v>
      </c>
      <c r="S361" s="29" t="s">
        <v>48</v>
      </c>
      <c r="T361" s="23"/>
      <c r="U361" s="30"/>
      <c r="V361" s="31"/>
      <c r="W361" s="32"/>
      <c r="X361" s="33"/>
      <c r="Y361" s="34"/>
      <c r="Z361" s="42"/>
      <c r="AA361" s="20" t="s">
        <v>49</v>
      </c>
      <c r="AB361" s="20" t="s">
        <v>49</v>
      </c>
      <c r="AC361" s="19" t="s">
        <v>49</v>
      </c>
      <c r="AD361" s="19" t="str">
        <f ca="1">IFERROR(DATEDIF(DadosViagem5[[#This Row],[Utimo Bip Reserva]],TODAY(),"D"),"")</f>
        <v/>
      </c>
      <c r="AE361" s="36"/>
      <c r="AF361" s="25"/>
      <c r="AG361" s="36"/>
      <c r="AH361" s="25">
        <v>45807</v>
      </c>
      <c r="AI361" s="36" t="str">
        <f>IF(DadosViagem5[[#This Row],[Dias em manutenção ]]&lt;5,"Dentro do Prazo","Fora do Prazo")</f>
        <v>Fora do Prazo</v>
      </c>
      <c r="AJ361" s="36" t="e">
        <v>#REF!</v>
      </c>
    </row>
    <row r="362" spans="1:36">
      <c r="A362" s="19" t="s">
        <v>641</v>
      </c>
      <c r="B362" s="20"/>
      <c r="C362" s="19" t="s">
        <v>88</v>
      </c>
      <c r="D362" s="19" t="s">
        <v>52</v>
      </c>
      <c r="E362" s="19" t="s">
        <v>114</v>
      </c>
      <c r="F362" s="19" t="s">
        <v>115</v>
      </c>
      <c r="G362" s="19"/>
      <c r="H362" s="20">
        <v>2023</v>
      </c>
      <c r="I362" s="19" t="s">
        <v>41</v>
      </c>
      <c r="J362" s="19" t="s">
        <v>639</v>
      </c>
      <c r="K362" s="21" t="s">
        <v>640</v>
      </c>
      <c r="L362" s="22" t="s">
        <v>60</v>
      </c>
      <c r="M362" s="23" t="s">
        <v>470</v>
      </c>
      <c r="N362" s="36" t="s">
        <v>582</v>
      </c>
      <c r="O362" s="36" t="s">
        <v>472</v>
      </c>
      <c r="P362" s="26">
        <f ca="1">IFERROR(VLOOKUP(DadosViagem5[[#This Row],[Placa]],[1]BIP!A:E,5,FALSE),"")</f>
        <v>45987</v>
      </c>
      <c r="Q362" s="27">
        <f ca="1">DATEDIF(DadosViagem5[[#This Row],[BIP]],TODAY(),"D")</f>
        <v>3</v>
      </c>
      <c r="R362" s="28" t="str">
        <f>IFERROR(VLOOKUP(DadosViagem5[[#This Row],[Placa]],[1]DDS!B:C,2,FALSE),"Verificar cadastro")</f>
        <v>Verificar cadastro</v>
      </c>
      <c r="S362" s="36" t="s">
        <v>574</v>
      </c>
      <c r="T362" s="23"/>
      <c r="U362" s="30"/>
      <c r="V362" s="31"/>
      <c r="W362" s="32" t="s">
        <v>588</v>
      </c>
      <c r="X362" s="33" t="s">
        <v>55</v>
      </c>
      <c r="Y362" s="34" t="s">
        <v>49</v>
      </c>
      <c r="Z362" s="32"/>
      <c r="AA362" s="20" t="s">
        <v>49</v>
      </c>
      <c r="AB362" s="20" t="s">
        <v>49</v>
      </c>
      <c r="AC362" s="19" t="s">
        <v>49</v>
      </c>
      <c r="AD362" s="19" t="str">
        <f ca="1">IFERROR(DATEDIF(DadosViagem5[[#This Row],[Utimo Bip Reserva]],TODAY(),"D"),"")</f>
        <v/>
      </c>
      <c r="AE362" s="36" t="s">
        <v>49</v>
      </c>
      <c r="AF362" s="25" t="s">
        <v>49</v>
      </c>
      <c r="AG362" s="36"/>
      <c r="AH362" s="25">
        <v>45807</v>
      </c>
      <c r="AI362" s="36" t="str">
        <f>IF(DadosViagem5[[#This Row],[Dias em manutenção ]]&lt;5,"Dentro do Prazo","Fora do Prazo")</f>
        <v>Fora do Prazo</v>
      </c>
      <c r="AJ362" s="36" t="e">
        <v>#REF!</v>
      </c>
    </row>
    <row r="363" spans="1:36">
      <c r="A363" s="19" t="s">
        <v>642</v>
      </c>
      <c r="B363" s="20">
        <v>466</v>
      </c>
      <c r="C363" s="19" t="s">
        <v>74</v>
      </c>
      <c r="D363" s="19" t="s">
        <v>52</v>
      </c>
      <c r="E363" s="19" t="s">
        <v>75</v>
      </c>
      <c r="F363" s="19" t="s">
        <v>76</v>
      </c>
      <c r="G363" s="19"/>
      <c r="H363" s="20">
        <v>2024</v>
      </c>
      <c r="I363" s="19" t="s">
        <v>41</v>
      </c>
      <c r="J363" s="19" t="s">
        <v>639</v>
      </c>
      <c r="K363" s="21" t="s">
        <v>640</v>
      </c>
      <c r="L363" s="22" t="s">
        <v>60</v>
      </c>
      <c r="M363" s="23" t="s">
        <v>77</v>
      </c>
      <c r="N363" s="36" t="s">
        <v>582</v>
      </c>
      <c r="O363" s="36" t="s">
        <v>472</v>
      </c>
      <c r="P363" s="26">
        <f ca="1">IFERROR(VLOOKUP(DadosViagem5[[#This Row],[Placa]],[1]BIP!A:E,5,FALSE),"")</f>
        <v>45989</v>
      </c>
      <c r="Q363" s="27">
        <f ca="1">DATEDIF(DadosViagem5[[#This Row],[BIP]],TODAY(),"D")</f>
        <v>1</v>
      </c>
      <c r="R363" s="28" t="str">
        <f>IFERROR(VLOOKUP(DadosViagem5[[#This Row],[Placa]],[1]DDS!B:C,2,FALSE),"Verificar cadastro")</f>
        <v>Manutenção</v>
      </c>
      <c r="S363" s="29" t="s">
        <v>48</v>
      </c>
      <c r="T363" s="23"/>
      <c r="U363" s="30"/>
      <c r="V363" s="31"/>
      <c r="W363" s="32"/>
      <c r="X363" s="33" t="s">
        <v>55</v>
      </c>
      <c r="Y363" s="34" t="s">
        <v>49</v>
      </c>
      <c r="Z363" s="32"/>
      <c r="AA363" s="20" t="s">
        <v>49</v>
      </c>
      <c r="AB363" s="20" t="s">
        <v>49</v>
      </c>
      <c r="AC363" s="19" t="s">
        <v>49</v>
      </c>
      <c r="AD363" s="19" t="str">
        <f ca="1">IFERROR(DATEDIF(DadosViagem5[[#This Row],[Utimo Bip Reserva]],TODAY(),"D"),"")</f>
        <v/>
      </c>
      <c r="AE363" s="36" t="s">
        <v>49</v>
      </c>
      <c r="AF363" s="25" t="s">
        <v>49</v>
      </c>
      <c r="AG363" s="36"/>
      <c r="AH363" s="25">
        <v>45807</v>
      </c>
      <c r="AI363" s="36" t="str">
        <f>IF(DadosViagem5[[#This Row],[Dias em manutenção ]]&lt;5,"Dentro do Prazo","Fora do Prazo")</f>
        <v>Fora do Prazo</v>
      </c>
      <c r="AJ363" s="36" t="e">
        <v>#REF!</v>
      </c>
    </row>
    <row r="364" spans="1:36">
      <c r="A364" s="19" t="s">
        <v>643</v>
      </c>
      <c r="B364" s="20"/>
      <c r="C364" s="19" t="s">
        <v>88</v>
      </c>
      <c r="D364" s="19" t="s">
        <v>52</v>
      </c>
      <c r="E364" s="19" t="s">
        <v>114</v>
      </c>
      <c r="F364" s="19" t="s">
        <v>115</v>
      </c>
      <c r="G364" s="19"/>
      <c r="H364" s="20">
        <v>2021</v>
      </c>
      <c r="I364" s="19" t="s">
        <v>41</v>
      </c>
      <c r="J364" s="19" t="s">
        <v>639</v>
      </c>
      <c r="K364" s="21" t="s">
        <v>640</v>
      </c>
      <c r="L364" s="22" t="s">
        <v>60</v>
      </c>
      <c r="M364" s="23" t="s">
        <v>470</v>
      </c>
      <c r="N364" s="36" t="s">
        <v>582</v>
      </c>
      <c r="O364" s="36" t="s">
        <v>472</v>
      </c>
      <c r="P364" s="26">
        <f ca="1">IFERROR(VLOOKUP(DadosViagem5[[#This Row],[Placa]],[1]BIP!A:E,5,FALSE),"")</f>
        <v>45989</v>
      </c>
      <c r="Q364" s="27">
        <f ca="1">DATEDIF(DadosViagem5[[#This Row],[BIP]],TODAY(),"D")</f>
        <v>1</v>
      </c>
      <c r="R364" s="28" t="str">
        <f>IFERROR(VLOOKUP(DadosViagem5[[#This Row],[Placa]],[1]DDS!B:C,2,FALSE),"Verificar cadastro")</f>
        <v>Operando</v>
      </c>
      <c r="S364" s="29" t="s">
        <v>48</v>
      </c>
      <c r="T364" s="23"/>
      <c r="U364" s="30"/>
      <c r="V364" s="31"/>
      <c r="W364" s="32"/>
      <c r="X364" s="33" t="s">
        <v>55</v>
      </c>
      <c r="Y364" s="34" t="s">
        <v>49</v>
      </c>
      <c r="Z364" s="32"/>
      <c r="AA364" s="20" t="s">
        <v>49</v>
      </c>
      <c r="AB364" s="20" t="s">
        <v>49</v>
      </c>
      <c r="AC364" s="19" t="s">
        <v>49</v>
      </c>
      <c r="AD364" s="19" t="str">
        <f ca="1">IFERROR(DATEDIF(DadosViagem5[[#This Row],[Utimo Bip Reserva]],TODAY(),"D"),"")</f>
        <v/>
      </c>
      <c r="AE364" s="36" t="s">
        <v>49</v>
      </c>
      <c r="AF364" s="25" t="s">
        <v>49</v>
      </c>
      <c r="AG364" s="36"/>
      <c r="AH364" s="25">
        <v>45807</v>
      </c>
      <c r="AI364" s="36" t="str">
        <f>IF(DadosViagem5[[#This Row],[Dias em manutenção ]]&lt;5,"Dentro do Prazo","Fora do Prazo")</f>
        <v>Fora do Prazo</v>
      </c>
      <c r="AJ364" s="36" t="e">
        <v>#REF!</v>
      </c>
    </row>
    <row r="365" spans="1:36">
      <c r="A365" s="19" t="s">
        <v>644</v>
      </c>
      <c r="B365" s="20"/>
      <c r="C365" s="19" t="s">
        <v>74</v>
      </c>
      <c r="D365" s="19" t="s">
        <v>52</v>
      </c>
      <c r="E365" s="19" t="s">
        <v>75</v>
      </c>
      <c r="F365" s="19" t="s">
        <v>76</v>
      </c>
      <c r="G365" s="19"/>
      <c r="H365" s="20">
        <v>2024</v>
      </c>
      <c r="I365" s="19" t="s">
        <v>41</v>
      </c>
      <c r="J365" s="19" t="s">
        <v>639</v>
      </c>
      <c r="K365" s="21" t="s">
        <v>640</v>
      </c>
      <c r="L365" s="22" t="s">
        <v>60</v>
      </c>
      <c r="M365" s="23" t="s">
        <v>77</v>
      </c>
      <c r="N365" s="36" t="s">
        <v>582</v>
      </c>
      <c r="O365" s="36" t="s">
        <v>472</v>
      </c>
      <c r="P365" s="26">
        <f ca="1">IFERROR(VLOOKUP(DadosViagem5[[#This Row],[Placa]],[1]BIP!A:E,5,FALSE),"")</f>
        <v>45989</v>
      </c>
      <c r="Q365" s="27">
        <f ca="1">DATEDIF(DadosViagem5[[#This Row],[BIP]],TODAY(),"D")</f>
        <v>1</v>
      </c>
      <c r="R365" s="28" t="str">
        <f>IFERROR(VLOOKUP(DadosViagem5[[#This Row],[Placa]],[1]DDS!B:C,2,FALSE),"Verificar cadastro")</f>
        <v>Operando</v>
      </c>
      <c r="S365" s="29" t="s">
        <v>48</v>
      </c>
      <c r="T365" s="23"/>
      <c r="U365" s="30"/>
      <c r="V365" s="31"/>
      <c r="W365" s="32"/>
      <c r="X365" s="33"/>
      <c r="Y365" s="34"/>
      <c r="Z365" s="32"/>
      <c r="AA365" s="20" t="s">
        <v>49</v>
      </c>
      <c r="AB365" s="20" t="s">
        <v>49</v>
      </c>
      <c r="AC365" s="19" t="s">
        <v>49</v>
      </c>
      <c r="AD365" s="19" t="str">
        <f ca="1">IFERROR(DATEDIF(DadosViagem5[[#This Row],[Utimo Bip Reserva]],TODAY(),"D"),"")</f>
        <v/>
      </c>
      <c r="AE365" s="16"/>
      <c r="AF365" s="16"/>
      <c r="AG365" s="36"/>
      <c r="AH365" s="25">
        <v>45807</v>
      </c>
      <c r="AI365" s="36" t="str">
        <f>IF(DadosViagem5[[#This Row],[Dias em manutenção ]]&lt;5,"Dentro do Prazo","Fora do Prazo")</f>
        <v>Fora do Prazo</v>
      </c>
      <c r="AJ365" s="36" t="e">
        <v>#REF!</v>
      </c>
    </row>
    <row r="366" spans="1:36">
      <c r="A366" s="19" t="s">
        <v>645</v>
      </c>
      <c r="B366" s="20">
        <v>463</v>
      </c>
      <c r="C366" s="19" t="s">
        <v>74</v>
      </c>
      <c r="D366" s="19" t="s">
        <v>52</v>
      </c>
      <c r="E366" s="19" t="s">
        <v>75</v>
      </c>
      <c r="F366" s="19" t="s">
        <v>115</v>
      </c>
      <c r="G366" s="19"/>
      <c r="H366" s="20">
        <v>2024</v>
      </c>
      <c r="I366" s="19" t="s">
        <v>41</v>
      </c>
      <c r="J366" s="19" t="s">
        <v>639</v>
      </c>
      <c r="K366" s="21" t="s">
        <v>640</v>
      </c>
      <c r="L366" s="22" t="s">
        <v>60</v>
      </c>
      <c r="M366" s="23" t="s">
        <v>77</v>
      </c>
      <c r="N366" s="36" t="s">
        <v>582</v>
      </c>
      <c r="O366" s="36" t="s">
        <v>472</v>
      </c>
      <c r="P366" s="26">
        <f ca="1">IFERROR(VLOOKUP(DadosViagem5[[#This Row],[Placa]],[1]BIP!A:E,5,FALSE),"")</f>
        <v>45989</v>
      </c>
      <c r="Q366" s="27">
        <f ca="1">DATEDIF(DadosViagem5[[#This Row],[BIP]],TODAY(),"D")</f>
        <v>1</v>
      </c>
      <c r="R366" s="28" t="str">
        <f>IFERROR(VLOOKUP(DadosViagem5[[#This Row],[Placa]],[1]DDS!B:C,2,FALSE),"Verificar cadastro")</f>
        <v>Operando</v>
      </c>
      <c r="S366" s="29" t="s">
        <v>48</v>
      </c>
      <c r="T366" s="23"/>
      <c r="U366" s="30"/>
      <c r="V366" s="31"/>
      <c r="W366" s="32"/>
      <c r="X366" s="33"/>
      <c r="Y366" s="34"/>
      <c r="Z366" s="42"/>
      <c r="AA366" s="20" t="s">
        <v>49</v>
      </c>
      <c r="AB366" s="20" t="s">
        <v>49</v>
      </c>
      <c r="AC366" s="19" t="s">
        <v>49</v>
      </c>
      <c r="AD366" s="19" t="str">
        <f ca="1">IFERROR(DATEDIF(DadosViagem5[[#This Row],[Utimo Bip Reserva]],TODAY(),"D"),"")</f>
        <v/>
      </c>
      <c r="AE366" s="25" t="s">
        <v>49</v>
      </c>
      <c r="AF366" s="25" t="s">
        <v>49</v>
      </c>
      <c r="AG366" s="36"/>
      <c r="AH366" s="25">
        <v>45807</v>
      </c>
      <c r="AI366" s="36" t="str">
        <f>IF(DadosViagem5[[#This Row],[Dias em manutenção ]]&lt;5,"Dentro do Prazo","Fora do Prazo")</f>
        <v>Fora do Prazo</v>
      </c>
      <c r="AJ366" s="36" t="e">
        <v>#REF!</v>
      </c>
    </row>
    <row r="367" spans="1:36">
      <c r="A367" s="19" t="s">
        <v>646</v>
      </c>
      <c r="B367" s="20">
        <v>464</v>
      </c>
      <c r="C367" s="19" t="s">
        <v>74</v>
      </c>
      <c r="D367" s="19" t="s">
        <v>52</v>
      </c>
      <c r="E367" s="19" t="s">
        <v>75</v>
      </c>
      <c r="F367" s="19" t="s">
        <v>115</v>
      </c>
      <c r="G367" s="19"/>
      <c r="H367" s="20">
        <v>2024</v>
      </c>
      <c r="I367" s="19" t="s">
        <v>41</v>
      </c>
      <c r="J367" s="19" t="s">
        <v>639</v>
      </c>
      <c r="K367" s="21" t="s">
        <v>640</v>
      </c>
      <c r="L367" s="22" t="s">
        <v>60</v>
      </c>
      <c r="M367" s="23" t="s">
        <v>77</v>
      </c>
      <c r="N367" s="36" t="s">
        <v>582</v>
      </c>
      <c r="O367" s="36" t="s">
        <v>472</v>
      </c>
      <c r="P367" s="26">
        <f ca="1">IFERROR(VLOOKUP(DadosViagem5[[#This Row],[Placa]],[1]BIP!A:E,5,FALSE),"")</f>
        <v>45989</v>
      </c>
      <c r="Q367" s="27">
        <f ca="1">DATEDIF(DadosViagem5[[#This Row],[BIP]],TODAY(),"D")</f>
        <v>1</v>
      </c>
      <c r="R367" s="28" t="str">
        <f>IFERROR(VLOOKUP(DadosViagem5[[#This Row],[Placa]],[1]DDS!B:C,2,FALSE),"Verificar cadastro")</f>
        <v>Operando</v>
      </c>
      <c r="S367" s="29" t="s">
        <v>48</v>
      </c>
      <c r="T367" s="23"/>
      <c r="U367" s="30"/>
      <c r="V367" s="31"/>
      <c r="W367" s="32"/>
      <c r="X367" s="33"/>
      <c r="Y367" s="34"/>
      <c r="Z367" s="43"/>
      <c r="AA367" s="20" t="s">
        <v>49</v>
      </c>
      <c r="AB367" s="20" t="s">
        <v>49</v>
      </c>
      <c r="AC367" s="19" t="s">
        <v>49</v>
      </c>
      <c r="AD367" s="19" t="str">
        <f ca="1">IFERROR(DATEDIF(DadosViagem5[[#This Row],[Utimo Bip Reserva]],TODAY(),"D"),"")</f>
        <v/>
      </c>
      <c r="AE367" s="36"/>
      <c r="AF367" s="25"/>
      <c r="AG367" s="36"/>
      <c r="AH367" s="25">
        <v>45807</v>
      </c>
      <c r="AI367" s="36" t="str">
        <f>IF(DadosViagem5[[#This Row],[Dias em manutenção ]]&lt;5,"Dentro do Prazo","Fora do Prazo")</f>
        <v>Fora do Prazo</v>
      </c>
      <c r="AJ367" s="36" t="e">
        <v>#REF!</v>
      </c>
    </row>
    <row r="368" spans="1:36">
      <c r="A368" s="19" t="s">
        <v>647</v>
      </c>
      <c r="B368" s="20">
        <v>462</v>
      </c>
      <c r="C368" s="19" t="s">
        <v>74</v>
      </c>
      <c r="D368" s="19" t="s">
        <v>52</v>
      </c>
      <c r="E368" s="19" t="s">
        <v>75</v>
      </c>
      <c r="F368" s="19" t="s">
        <v>115</v>
      </c>
      <c r="G368" s="19"/>
      <c r="H368" s="20">
        <v>2023</v>
      </c>
      <c r="I368" s="19" t="s">
        <v>41</v>
      </c>
      <c r="J368" s="19" t="s">
        <v>639</v>
      </c>
      <c r="K368" s="21" t="s">
        <v>640</v>
      </c>
      <c r="L368" s="22" t="s">
        <v>60</v>
      </c>
      <c r="M368" s="23" t="s">
        <v>77</v>
      </c>
      <c r="N368" s="36" t="s">
        <v>582</v>
      </c>
      <c r="O368" s="36" t="s">
        <v>472</v>
      </c>
      <c r="P368" s="26">
        <f ca="1">IFERROR(VLOOKUP(DadosViagem5[[#This Row],[Placa]],[1]BIP!A:E,5,FALSE),"")</f>
        <v>45989</v>
      </c>
      <c r="Q368" s="27">
        <f ca="1">DATEDIF(DadosViagem5[[#This Row],[BIP]],TODAY(),"D")</f>
        <v>1</v>
      </c>
      <c r="R368" s="28" t="str">
        <f>IFERROR(VLOOKUP(DadosViagem5[[#This Row],[Placa]],[1]DDS!B:C,2,FALSE),"Verificar cadastro")</f>
        <v>Operando</v>
      </c>
      <c r="S368" s="29" t="s">
        <v>48</v>
      </c>
      <c r="T368" s="23"/>
      <c r="U368" s="30"/>
      <c r="V368" s="31"/>
      <c r="W368" s="32"/>
      <c r="X368" s="33"/>
      <c r="Y368" s="34"/>
      <c r="Z368" s="32"/>
      <c r="AA368" s="20" t="s">
        <v>49</v>
      </c>
      <c r="AB368" s="20" t="s">
        <v>49</v>
      </c>
      <c r="AC368" s="19" t="s">
        <v>49</v>
      </c>
      <c r="AD368" s="19" t="str">
        <f ca="1">IFERROR(DATEDIF(DadosViagem5[[#This Row],[Utimo Bip Reserva]],TODAY(),"D"),"")</f>
        <v/>
      </c>
      <c r="AE368" s="36"/>
      <c r="AF368" s="25"/>
      <c r="AG368" s="36"/>
      <c r="AH368" s="25">
        <v>45807</v>
      </c>
      <c r="AI368" s="36" t="str">
        <f>IF(DadosViagem5[[#This Row],[Dias em manutenção ]]&lt;5,"Dentro do Prazo","Fora do Prazo")</f>
        <v>Fora do Prazo</v>
      </c>
      <c r="AJ368" s="36" t="e">
        <v>#REF!</v>
      </c>
    </row>
    <row r="369" spans="1:36">
      <c r="A369" s="19" t="s">
        <v>648</v>
      </c>
      <c r="B369" s="20"/>
      <c r="C369" s="19" t="s">
        <v>74</v>
      </c>
      <c r="D369" s="19" t="s">
        <v>52</v>
      </c>
      <c r="E369" s="19" t="s">
        <v>75</v>
      </c>
      <c r="F369" s="19" t="s">
        <v>76</v>
      </c>
      <c r="G369" s="19"/>
      <c r="H369" s="20">
        <v>2024</v>
      </c>
      <c r="I369" s="19" t="s">
        <v>41</v>
      </c>
      <c r="J369" s="19" t="s">
        <v>580</v>
      </c>
      <c r="K369" s="21" t="s">
        <v>649</v>
      </c>
      <c r="L369" s="22" t="s">
        <v>60</v>
      </c>
      <c r="M369" s="23" t="s">
        <v>77</v>
      </c>
      <c r="N369" s="36" t="s">
        <v>582</v>
      </c>
      <c r="O369" s="36" t="s">
        <v>472</v>
      </c>
      <c r="P369" s="26">
        <f ca="1">IFERROR(VLOOKUP(DadosViagem5[[#This Row],[Placa]],[1]BIP!A:E,5,FALSE),"")</f>
        <v>45925</v>
      </c>
      <c r="Q369" s="27">
        <f ca="1">DATEDIF(DadosViagem5[[#This Row],[BIP]],TODAY(),"D")</f>
        <v>65</v>
      </c>
      <c r="R369" s="28" t="str">
        <f>IFERROR(VLOOKUP(DadosViagem5[[#This Row],[Placa]],[1]DDS!B:C,2,FALSE),"Verificar cadastro")</f>
        <v>Manutenção</v>
      </c>
      <c r="S369" s="29" t="s">
        <v>173</v>
      </c>
      <c r="T369" s="23"/>
      <c r="U369" s="30"/>
      <c r="V369" s="31"/>
      <c r="W369" s="32"/>
      <c r="X369" s="33"/>
      <c r="Y369" s="34"/>
      <c r="Z369" s="32"/>
      <c r="AA369" s="20" t="s">
        <v>49</v>
      </c>
      <c r="AB369" s="20" t="s">
        <v>49</v>
      </c>
      <c r="AC369" s="19" t="s">
        <v>49</v>
      </c>
      <c r="AD369" s="19" t="str">
        <f ca="1">IFERROR(DATEDIF(DadosViagem5[[#This Row],[Utimo Bip Reserva]],TODAY(),"D"),"")</f>
        <v/>
      </c>
      <c r="AE369" s="25"/>
      <c r="AF369" s="25" t="s">
        <v>49</v>
      </c>
      <c r="AG369" s="36"/>
      <c r="AH369" s="25">
        <v>45807</v>
      </c>
      <c r="AI369" s="36" t="str">
        <f>IF(DadosViagem5[[#This Row],[Dias em manutenção ]]&lt;5,"Dentro do Prazo","Fora do Prazo")</f>
        <v>Fora do Prazo</v>
      </c>
      <c r="AJ369" s="36" t="e">
        <v>#REF!</v>
      </c>
    </row>
    <row r="370" spans="1:36">
      <c r="A370" s="19" t="s">
        <v>650</v>
      </c>
      <c r="B370" s="20"/>
      <c r="C370" s="19" t="s">
        <v>74</v>
      </c>
      <c r="D370" s="19" t="s">
        <v>52</v>
      </c>
      <c r="E370" s="19" t="s">
        <v>75</v>
      </c>
      <c r="F370" s="19" t="s">
        <v>76</v>
      </c>
      <c r="G370" s="19"/>
      <c r="H370" s="20">
        <v>2024</v>
      </c>
      <c r="I370" s="19" t="s">
        <v>41</v>
      </c>
      <c r="J370" s="19" t="s">
        <v>639</v>
      </c>
      <c r="K370" s="21" t="s">
        <v>640</v>
      </c>
      <c r="L370" s="22" t="s">
        <v>60</v>
      </c>
      <c r="M370" s="23" t="s">
        <v>77</v>
      </c>
      <c r="N370" s="36" t="s">
        <v>582</v>
      </c>
      <c r="O370" s="36" t="s">
        <v>472</v>
      </c>
      <c r="P370" s="26">
        <f ca="1">IFERROR(VLOOKUP(DadosViagem5[[#This Row],[Placa]],[1]BIP!A:E,5,FALSE),"")</f>
        <v>45989</v>
      </c>
      <c r="Q370" s="27">
        <f ca="1">DATEDIF(DadosViagem5[[#This Row],[BIP]],TODAY(),"D")</f>
        <v>1</v>
      </c>
      <c r="R370" s="28" t="str">
        <f>IFERROR(VLOOKUP(DadosViagem5[[#This Row],[Placa]],[1]DDS!B:C,2,FALSE),"Verificar cadastro")</f>
        <v>Carregado</v>
      </c>
      <c r="S370" s="29" t="s">
        <v>48</v>
      </c>
      <c r="T370" s="23"/>
      <c r="U370" s="30"/>
      <c r="V370" s="31"/>
      <c r="W370" s="32"/>
      <c r="X370" s="33"/>
      <c r="Y370" s="34"/>
      <c r="Z370" s="42"/>
      <c r="AA370" s="20" t="s">
        <v>49</v>
      </c>
      <c r="AB370" s="20" t="s">
        <v>49</v>
      </c>
      <c r="AC370" s="19" t="s">
        <v>49</v>
      </c>
      <c r="AD370" s="19" t="str">
        <f ca="1">IFERROR(DATEDIF(DadosViagem5[[#This Row],[Utimo Bip Reserva]],TODAY(),"D"),"")</f>
        <v/>
      </c>
      <c r="AE370" s="59"/>
      <c r="AF370" s="35"/>
      <c r="AG370" s="36"/>
      <c r="AH370" s="25">
        <v>45807</v>
      </c>
      <c r="AI370" s="36" t="str">
        <f>IF(DadosViagem5[[#This Row],[Dias em manutenção ]]&lt;5,"Dentro do Prazo","Fora do Prazo")</f>
        <v>Fora do Prazo</v>
      </c>
      <c r="AJ370" s="36" t="e">
        <v>#REF!</v>
      </c>
    </row>
    <row r="371" spans="1:36">
      <c r="A371" s="19" t="s">
        <v>651</v>
      </c>
      <c r="B371" s="20">
        <v>447</v>
      </c>
      <c r="C371" s="19" t="s">
        <v>74</v>
      </c>
      <c r="D371" s="19" t="s">
        <v>52</v>
      </c>
      <c r="E371" s="19" t="s">
        <v>75</v>
      </c>
      <c r="F371" s="19" t="s">
        <v>76</v>
      </c>
      <c r="G371" s="19"/>
      <c r="H371" s="20">
        <v>2024</v>
      </c>
      <c r="I371" s="19" t="s">
        <v>41</v>
      </c>
      <c r="J371" s="19" t="s">
        <v>266</v>
      </c>
      <c r="K371" s="66" t="s">
        <v>652</v>
      </c>
      <c r="L371" s="22" t="s">
        <v>60</v>
      </c>
      <c r="M371" s="23" t="s">
        <v>77</v>
      </c>
      <c r="N371" s="36" t="s">
        <v>269</v>
      </c>
      <c r="O371" s="36" t="s">
        <v>270</v>
      </c>
      <c r="P371" s="26">
        <f ca="1">IFERROR(VLOOKUP(DadosViagem5[[#This Row],[Placa]],[1]BIP!A:E,5,FALSE),"")</f>
        <v>45989</v>
      </c>
      <c r="Q371" s="27">
        <f ca="1">DATEDIF(DadosViagem5[[#This Row],[BIP]],TODAY(),"D")</f>
        <v>1</v>
      </c>
      <c r="R371" s="28" t="str">
        <f>IFERROR(VLOOKUP(DadosViagem5[[#This Row],[Placa]],[1]DDS!B:C,2,FALSE),"Verificar cadastro")</f>
        <v>Operando</v>
      </c>
      <c r="S371" s="36" t="s">
        <v>186</v>
      </c>
      <c r="T371" s="23"/>
      <c r="U371" s="30"/>
      <c r="V371" s="31">
        <v>45884</v>
      </c>
      <c r="W371" s="32" t="s">
        <v>653</v>
      </c>
      <c r="X371" s="57" t="s">
        <v>188</v>
      </c>
      <c r="Y371" s="34" t="s">
        <v>66</v>
      </c>
      <c r="Z371" s="58" t="s">
        <v>654</v>
      </c>
      <c r="AA371" s="20" t="s">
        <v>49</v>
      </c>
      <c r="AB371" s="20" t="s">
        <v>49</v>
      </c>
      <c r="AC371" s="19" t="s">
        <v>49</v>
      </c>
      <c r="AD371" s="19" t="str">
        <f ca="1">IFERROR(DATEDIF(DadosViagem5[[#This Row],[Utimo Bip Reserva]],TODAY(),"D"),"")</f>
        <v/>
      </c>
      <c r="AE371" s="25" t="s">
        <v>49</v>
      </c>
      <c r="AF371" s="25" t="s">
        <v>49</v>
      </c>
      <c r="AG371" s="36"/>
      <c r="AH371" s="25">
        <v>45807</v>
      </c>
      <c r="AI371" s="36" t="str">
        <f>IF(DadosViagem5[[#This Row],[Dias em manutenção ]]&lt;5,"Dentro do Prazo","Fora do Prazo")</f>
        <v>Fora do Prazo</v>
      </c>
      <c r="AJ371" s="36" t="e">
        <v>#REF!</v>
      </c>
    </row>
    <row r="372" spans="1:36">
      <c r="A372" s="19" t="s">
        <v>655</v>
      </c>
      <c r="B372" s="20"/>
      <c r="C372" s="19" t="s">
        <v>88</v>
      </c>
      <c r="D372" s="19" t="s">
        <v>38</v>
      </c>
      <c r="E372" s="19" t="s">
        <v>114</v>
      </c>
      <c r="F372" s="19" t="s">
        <v>115</v>
      </c>
      <c r="G372" s="19"/>
      <c r="H372" s="20">
        <v>2021</v>
      </c>
      <c r="I372" s="19" t="s">
        <v>41</v>
      </c>
      <c r="J372" s="19" t="s">
        <v>266</v>
      </c>
      <c r="K372" s="66" t="s">
        <v>652</v>
      </c>
      <c r="L372" s="22" t="s">
        <v>60</v>
      </c>
      <c r="M372" s="46" t="s">
        <v>268</v>
      </c>
      <c r="N372" s="36" t="s">
        <v>269</v>
      </c>
      <c r="O372" s="36" t="s">
        <v>270</v>
      </c>
      <c r="P372" s="26">
        <f ca="1">IFERROR(VLOOKUP(DadosViagem5[[#This Row],[Placa]],[1]BIP!A:E,5,FALSE),"")</f>
        <v>45891</v>
      </c>
      <c r="Q372" s="27">
        <f ca="1">DATEDIF(DadosViagem5[[#This Row],[BIP]],TODAY(),"D")</f>
        <v>99</v>
      </c>
      <c r="R372" s="28" t="str">
        <f>IFERROR(VLOOKUP(DadosViagem5[[#This Row],[Placa]],[1]DDS!B:C,2,FALSE),"Verificar cadastro")</f>
        <v> </v>
      </c>
      <c r="S372" s="36" t="s">
        <v>35</v>
      </c>
      <c r="T372" s="23"/>
      <c r="U372" s="30"/>
      <c r="V372" s="31"/>
      <c r="W372" s="32" t="s">
        <v>656</v>
      </c>
      <c r="X372" s="33"/>
      <c r="Y372" s="34"/>
      <c r="Z372" s="42"/>
      <c r="AA372" s="20" t="s">
        <v>49</v>
      </c>
      <c r="AB372" s="20" t="s">
        <v>49</v>
      </c>
      <c r="AC372" s="19" t="s">
        <v>49</v>
      </c>
      <c r="AD372" s="19" t="str">
        <f ca="1">IFERROR(DATEDIF(DadosViagem5[[#This Row],[Utimo Bip Reserva]],TODAY(),"D"),"")</f>
        <v/>
      </c>
      <c r="AE372" s="36" t="s">
        <v>49</v>
      </c>
      <c r="AF372" s="25">
        <v>45699</v>
      </c>
      <c r="AG372" s="36" t="s">
        <v>540</v>
      </c>
      <c r="AH372" s="25">
        <v>45807</v>
      </c>
      <c r="AI372" s="36" t="str">
        <f>IF(DadosViagem5[[#This Row],[Dias em manutenção ]]&lt;5,"Dentro do Prazo","Fora do Prazo")</f>
        <v>Fora do Prazo</v>
      </c>
      <c r="AJ372" s="36" t="e">
        <v>#REF!</v>
      </c>
    </row>
    <row r="373" spans="1:36">
      <c r="A373" s="19" t="s">
        <v>657</v>
      </c>
      <c r="B373" s="20"/>
      <c r="C373" s="19" t="s">
        <v>88</v>
      </c>
      <c r="D373" s="19" t="s">
        <v>38</v>
      </c>
      <c r="E373" s="19" t="s">
        <v>114</v>
      </c>
      <c r="F373" s="19" t="s">
        <v>115</v>
      </c>
      <c r="G373" s="19"/>
      <c r="H373" s="20">
        <v>2021</v>
      </c>
      <c r="I373" s="19" t="s">
        <v>41</v>
      </c>
      <c r="J373" s="19" t="s">
        <v>266</v>
      </c>
      <c r="K373" s="66" t="s">
        <v>652</v>
      </c>
      <c r="L373" s="22" t="s">
        <v>60</v>
      </c>
      <c r="M373" s="46" t="s">
        <v>268</v>
      </c>
      <c r="N373" s="36" t="s">
        <v>269</v>
      </c>
      <c r="O373" s="36" t="s">
        <v>270</v>
      </c>
      <c r="P373" s="26">
        <f ca="1">IFERROR(VLOOKUP(DadosViagem5[[#This Row],[Placa]],[1]BIP!A:E,5,FALSE),"")</f>
        <v>45989</v>
      </c>
      <c r="Q373" s="27">
        <f ca="1">DATEDIF(DadosViagem5[[#This Row],[BIP]],TODAY(),"D")</f>
        <v>1</v>
      </c>
      <c r="R373" s="28" t="str">
        <f>IFERROR(VLOOKUP(DadosViagem5[[#This Row],[Placa]],[1]DDS!B:C,2,FALSE),"Verificar cadastro")</f>
        <v>Carregado</v>
      </c>
      <c r="S373" s="84" t="s">
        <v>173</v>
      </c>
      <c r="T373" s="23"/>
      <c r="U373" s="30"/>
      <c r="V373" s="31"/>
      <c r="W373" s="85"/>
      <c r="X373" s="33"/>
      <c r="Y373" s="34"/>
      <c r="Z373" s="58"/>
      <c r="AA373" s="20" t="s">
        <v>49</v>
      </c>
      <c r="AB373" s="20" t="s">
        <v>49</v>
      </c>
      <c r="AC373" s="19" t="s">
        <v>49</v>
      </c>
      <c r="AD373" s="19" t="str">
        <f ca="1">IFERROR(DATEDIF(DadosViagem5[[#This Row],[Utimo Bip Reserva]],TODAY(),"D"),"")</f>
        <v/>
      </c>
      <c r="AE373" s="36" t="s">
        <v>49</v>
      </c>
      <c r="AF373" s="25" t="s">
        <v>49</v>
      </c>
      <c r="AG373" s="36" t="s">
        <v>481</v>
      </c>
      <c r="AH373" s="25">
        <v>45807</v>
      </c>
      <c r="AI373" s="36" t="str">
        <f>IF(DadosViagem5[[#This Row],[Dias em manutenção ]]&lt;5,"Dentro do Prazo","Fora do Prazo")</f>
        <v>Fora do Prazo</v>
      </c>
      <c r="AJ373" s="36" t="e">
        <v>#REF!</v>
      </c>
    </row>
    <row r="374" spans="1:36">
      <c r="A374" s="19" t="s">
        <v>658</v>
      </c>
      <c r="B374" s="20"/>
      <c r="C374" s="19" t="s">
        <v>88</v>
      </c>
      <c r="D374" s="19" t="s">
        <v>38</v>
      </c>
      <c r="E374" s="19" t="s">
        <v>114</v>
      </c>
      <c r="F374" s="19" t="s">
        <v>115</v>
      </c>
      <c r="G374" s="19"/>
      <c r="H374" s="20">
        <v>2021</v>
      </c>
      <c r="I374" s="19" t="s">
        <v>41</v>
      </c>
      <c r="J374" s="19" t="s">
        <v>266</v>
      </c>
      <c r="K374" s="66" t="s">
        <v>652</v>
      </c>
      <c r="L374" s="22" t="s">
        <v>60</v>
      </c>
      <c r="M374" s="23" t="s">
        <v>268</v>
      </c>
      <c r="N374" s="36" t="s">
        <v>269</v>
      </c>
      <c r="O374" s="36" t="s">
        <v>270</v>
      </c>
      <c r="P374" s="26">
        <f ca="1">IFERROR(VLOOKUP(DadosViagem5[[#This Row],[Placa]],[1]BIP!A:E,5,FALSE),"")</f>
        <v>45888</v>
      </c>
      <c r="Q374" s="27">
        <f ca="1">DATEDIF(DadosViagem5[[#This Row],[BIP]],TODAY(),"D")</f>
        <v>102</v>
      </c>
      <c r="R374" s="28" t="str">
        <f>IFERROR(VLOOKUP(DadosViagem5[[#This Row],[Placa]],[1]DDS!B:C,2,FALSE),"Verificar cadastro")</f>
        <v>Verificar cadastro</v>
      </c>
      <c r="S374" s="36" t="s">
        <v>35</v>
      </c>
      <c r="T374" s="23"/>
      <c r="U374" s="30"/>
      <c r="V374" s="31"/>
      <c r="W374" s="32" t="s">
        <v>659</v>
      </c>
      <c r="X374" s="33"/>
      <c r="Y374" s="34"/>
      <c r="Z374" s="42"/>
      <c r="AA374" s="20" t="s">
        <v>49</v>
      </c>
      <c r="AB374" s="20" t="s">
        <v>49</v>
      </c>
      <c r="AC374" s="19" t="s">
        <v>49</v>
      </c>
      <c r="AD374" s="19" t="str">
        <f ca="1">IFERROR(DATEDIF(DadosViagem5[[#This Row],[Utimo Bip Reserva]],TODAY(),"D"),"")</f>
        <v/>
      </c>
      <c r="AE374" s="36" t="s">
        <v>660</v>
      </c>
      <c r="AF374" s="25" t="s">
        <v>49</v>
      </c>
      <c r="AG374" s="36"/>
      <c r="AH374" s="25">
        <v>8</v>
      </c>
      <c r="AI374" s="36" t="str">
        <f>IF(DadosViagem5[[#This Row],[Dias em manutenção ]]&lt;5,"Dentro do Prazo","Fora do Prazo")</f>
        <v>Fora do Prazo</v>
      </c>
      <c r="AJ374" s="36" t="e">
        <v>#REF!</v>
      </c>
    </row>
    <row r="375" spans="1:36">
      <c r="A375" s="19" t="s">
        <v>661</v>
      </c>
      <c r="B375" s="20"/>
      <c r="C375" s="19" t="s">
        <v>88</v>
      </c>
      <c r="D375" s="19" t="s">
        <v>52</v>
      </c>
      <c r="E375" s="19" t="s">
        <v>114</v>
      </c>
      <c r="F375" s="19" t="s">
        <v>115</v>
      </c>
      <c r="G375" s="19"/>
      <c r="H375" s="20">
        <v>2021</v>
      </c>
      <c r="I375" s="19" t="s">
        <v>41</v>
      </c>
      <c r="J375" s="19" t="s">
        <v>266</v>
      </c>
      <c r="K375" s="66" t="s">
        <v>652</v>
      </c>
      <c r="L375" s="22" t="s">
        <v>60</v>
      </c>
      <c r="M375" s="23" t="s">
        <v>268</v>
      </c>
      <c r="N375" s="36" t="s">
        <v>269</v>
      </c>
      <c r="O375" s="36" t="s">
        <v>270</v>
      </c>
      <c r="P375" s="26">
        <f ca="1">IFERROR(VLOOKUP(DadosViagem5[[#This Row],[Placa]],[1]BIP!A:E,5,FALSE),"")</f>
        <v>0</v>
      </c>
      <c r="Q375" s="27">
        <f ca="1">DATEDIF(DadosViagem5[[#This Row],[BIP]],TODAY(),"D")</f>
        <v>45990</v>
      </c>
      <c r="R375" s="28" t="str">
        <f>IFERROR(VLOOKUP(DadosViagem5[[#This Row],[Placa]],[1]DDS!B:C,2,FALSE),"Verificar cadastro")</f>
        <v>Verificar cadastro</v>
      </c>
      <c r="S375" s="36" t="s">
        <v>35</v>
      </c>
      <c r="T375" s="23"/>
      <c r="U375" s="30"/>
      <c r="V375" s="31">
        <v>45812</v>
      </c>
      <c r="W375" s="32" t="s">
        <v>662</v>
      </c>
      <c r="X375" s="33" t="s">
        <v>65</v>
      </c>
      <c r="Y375" s="34" t="s">
        <v>159</v>
      </c>
      <c r="Z375" s="42" t="s">
        <v>597</v>
      </c>
      <c r="AA375" s="20" t="s">
        <v>49</v>
      </c>
      <c r="AB375" s="20" t="s">
        <v>49</v>
      </c>
      <c r="AC375" s="19" t="s">
        <v>49</v>
      </c>
      <c r="AD375" s="19" t="str">
        <f ca="1">IFERROR(DATEDIF(DadosViagem5[[#This Row],[Utimo Bip Reserva]],TODAY(),"D"),"")</f>
        <v/>
      </c>
      <c r="AE375" s="36" t="s">
        <v>49</v>
      </c>
      <c r="AF375" s="25" t="s">
        <v>49</v>
      </c>
      <c r="AG375" s="36"/>
      <c r="AH375" s="25">
        <v>45807</v>
      </c>
      <c r="AI375" s="36" t="str">
        <f>IF(DadosViagem5[[#This Row],[Dias em manutenção ]]&lt;5,"Dentro do Prazo","Fora do Prazo")</f>
        <v>Fora do Prazo</v>
      </c>
      <c r="AJ375" s="36" t="e">
        <v>#REF!</v>
      </c>
    </row>
    <row r="376" spans="1:36">
      <c r="A376" s="19" t="s">
        <v>663</v>
      </c>
      <c r="B376" s="20"/>
      <c r="C376" s="19" t="s">
        <v>88</v>
      </c>
      <c r="D376" s="19" t="s">
        <v>38</v>
      </c>
      <c r="E376" s="19" t="s">
        <v>114</v>
      </c>
      <c r="F376" s="19" t="s">
        <v>115</v>
      </c>
      <c r="G376" s="19"/>
      <c r="H376" s="20">
        <v>2021</v>
      </c>
      <c r="I376" s="19" t="s">
        <v>41</v>
      </c>
      <c r="J376" s="19" t="s">
        <v>266</v>
      </c>
      <c r="K376" s="66" t="s">
        <v>652</v>
      </c>
      <c r="L376" s="22" t="s">
        <v>60</v>
      </c>
      <c r="M376" s="46" t="s">
        <v>268</v>
      </c>
      <c r="N376" s="36" t="s">
        <v>269</v>
      </c>
      <c r="O376" s="36" t="s">
        <v>270</v>
      </c>
      <c r="P376" s="26">
        <f ca="1">IFERROR(VLOOKUP(DadosViagem5[[#This Row],[Placa]],[1]BIP!A:E,5,FALSE),"")</f>
        <v>45937</v>
      </c>
      <c r="Q376" s="27">
        <f ca="1">DATEDIF(DadosViagem5[[#This Row],[BIP]],TODAY(),"D")</f>
        <v>53</v>
      </c>
      <c r="R376" s="28" t="str">
        <f>IFERROR(VLOOKUP(DadosViagem5[[#This Row],[Placa]],[1]DDS!B:C,2,FALSE),"Verificar cadastro")</f>
        <v>Verificar cadastro</v>
      </c>
      <c r="S376" s="36" t="s">
        <v>574</v>
      </c>
      <c r="T376" s="23"/>
      <c r="U376" s="30"/>
      <c r="V376" s="47"/>
      <c r="W376" s="32" t="s">
        <v>664</v>
      </c>
      <c r="X376" s="33"/>
      <c r="Y376" s="86"/>
      <c r="Z376" s="42"/>
      <c r="AA376" s="20" t="s">
        <v>49</v>
      </c>
      <c r="AB376" s="20" t="s">
        <v>49</v>
      </c>
      <c r="AC376" s="19" t="s">
        <v>49</v>
      </c>
      <c r="AD376" s="19" t="str">
        <f ca="1">IFERROR(DATEDIF(DadosViagem5[[#This Row],[Utimo Bip Reserva]],TODAY(),"D"),"")</f>
        <v/>
      </c>
      <c r="AE376" s="36" t="s">
        <v>49</v>
      </c>
      <c r="AF376" s="25" t="s">
        <v>49</v>
      </c>
      <c r="AG376" s="36"/>
      <c r="AH376" s="25">
        <v>45807</v>
      </c>
      <c r="AI376" s="36" t="str">
        <f>IF(DadosViagem5[[#This Row],[Dias em manutenção ]]&lt;5,"Dentro do Prazo","Fora do Prazo")</f>
        <v>Fora do Prazo</v>
      </c>
      <c r="AJ376" s="36" t="e">
        <v>#REF!</v>
      </c>
    </row>
    <row r="377" spans="1:36">
      <c r="A377" s="19" t="s">
        <v>665</v>
      </c>
      <c r="B377" s="20"/>
      <c r="C377" s="19" t="s">
        <v>74</v>
      </c>
      <c r="D377" s="19" t="s">
        <v>52</v>
      </c>
      <c r="E377" s="19" t="s">
        <v>75</v>
      </c>
      <c r="F377" s="19" t="s">
        <v>76</v>
      </c>
      <c r="G377" s="19"/>
      <c r="H377" s="20">
        <v>2024</v>
      </c>
      <c r="I377" s="19" t="s">
        <v>41</v>
      </c>
      <c r="J377" s="19" t="s">
        <v>266</v>
      </c>
      <c r="K377" s="21" t="s">
        <v>652</v>
      </c>
      <c r="L377" s="22" t="s">
        <v>60</v>
      </c>
      <c r="M377" s="23" t="s">
        <v>77</v>
      </c>
      <c r="N377" s="36" t="s">
        <v>269</v>
      </c>
      <c r="O377" s="36" t="s">
        <v>270</v>
      </c>
      <c r="P377" s="26">
        <f ca="1">IFERROR(VLOOKUP(DadosViagem5[[#This Row],[Placa]],[1]BIP!A:E,5,FALSE),"")</f>
        <v>45989</v>
      </c>
      <c r="Q377" s="27">
        <f ca="1">DATEDIF(DadosViagem5[[#This Row],[BIP]],TODAY(),"D")</f>
        <v>1</v>
      </c>
      <c r="R377" s="28" t="str">
        <f>IFERROR(VLOOKUP(DadosViagem5[[#This Row],[Placa]],[1]DDS!B:C,2,FALSE),"Verificar cadastro")</f>
        <v>Operando</v>
      </c>
      <c r="S377" s="29" t="s">
        <v>48</v>
      </c>
      <c r="T377" s="23"/>
      <c r="U377" s="30"/>
      <c r="V377" s="31"/>
      <c r="W377" s="32" t="s">
        <v>666</v>
      </c>
      <c r="X377" s="33"/>
      <c r="Y377" s="34"/>
      <c r="Z377" s="58"/>
      <c r="AA377" s="20" t="s">
        <v>49</v>
      </c>
      <c r="AB377" s="20" t="s">
        <v>49</v>
      </c>
      <c r="AC377" s="20" t="s">
        <v>49</v>
      </c>
      <c r="AD377" s="20" t="s">
        <v>49</v>
      </c>
      <c r="AE377" s="36"/>
      <c r="AF377" s="25"/>
      <c r="AG377" s="36"/>
      <c r="AH377" s="25">
        <v>45807</v>
      </c>
      <c r="AI377" s="36" t="str">
        <f>IF(DadosViagem5[[#This Row],[Dias em manutenção ]]&lt;5,"Dentro do Prazo","Fora do Prazo")</f>
        <v>Fora do Prazo</v>
      </c>
      <c r="AJ377" s="36" t="e">
        <v>#REF!</v>
      </c>
    </row>
    <row r="378" spans="1:36">
      <c r="A378" s="19" t="s">
        <v>667</v>
      </c>
      <c r="B378" s="20"/>
      <c r="C378" s="19" t="s">
        <v>88</v>
      </c>
      <c r="D378" s="19" t="s">
        <v>38</v>
      </c>
      <c r="E378" s="19" t="s">
        <v>114</v>
      </c>
      <c r="F378" s="19" t="s">
        <v>115</v>
      </c>
      <c r="G378" s="19"/>
      <c r="H378" s="20">
        <v>2021</v>
      </c>
      <c r="I378" s="19" t="s">
        <v>41</v>
      </c>
      <c r="J378" s="19" t="s">
        <v>266</v>
      </c>
      <c r="K378" s="66" t="s">
        <v>652</v>
      </c>
      <c r="L378" s="22" t="s">
        <v>60</v>
      </c>
      <c r="M378" s="23" t="s">
        <v>268</v>
      </c>
      <c r="N378" s="36" t="s">
        <v>269</v>
      </c>
      <c r="O378" s="36" t="s">
        <v>270</v>
      </c>
      <c r="P378" s="26">
        <f ca="1">IFERROR(VLOOKUP(DadosViagem5[[#This Row],[Placa]],[1]BIP!A:E,5,FALSE),"")</f>
        <v>45924</v>
      </c>
      <c r="Q378" s="27">
        <f ca="1">DATEDIF(DadosViagem5[[#This Row],[BIP]],TODAY(),"D")</f>
        <v>66</v>
      </c>
      <c r="R378" s="28" t="str">
        <f>IFERROR(VLOOKUP(DadosViagem5[[#This Row],[Placa]],[1]DDS!B:C,2,FALSE),"Verificar cadastro")</f>
        <v> </v>
      </c>
      <c r="S378" s="36" t="s">
        <v>35</v>
      </c>
      <c r="T378" s="23"/>
      <c r="U378" s="30"/>
      <c r="V378" s="31"/>
      <c r="W378" s="32"/>
      <c r="X378" s="33"/>
      <c r="Y378" s="34"/>
      <c r="Z378" s="42"/>
      <c r="AA378" s="20" t="s">
        <v>49</v>
      </c>
      <c r="AB378" s="20" t="s">
        <v>49</v>
      </c>
      <c r="AC378" s="19" t="s">
        <v>49</v>
      </c>
      <c r="AD378" s="19" t="str">
        <f ca="1">IFERROR(DATEDIF(DadosViagem5[[#This Row],[Utimo Bip Reserva]],TODAY(),"D"),"")</f>
        <v/>
      </c>
      <c r="AE378" s="36" t="s">
        <v>49</v>
      </c>
      <c r="AF378" s="25" t="s">
        <v>49</v>
      </c>
      <c r="AG378" s="36"/>
      <c r="AH378" s="25">
        <v>45807</v>
      </c>
      <c r="AI378" s="36" t="str">
        <f>IF(DadosViagem5[[#This Row],[Dias em manutenção ]]&lt;5,"Dentro do Prazo","Fora do Prazo")</f>
        <v>Fora do Prazo</v>
      </c>
      <c r="AJ378" s="36" t="e">
        <v>#REF!</v>
      </c>
    </row>
    <row r="379" spans="1:36">
      <c r="A379" s="19" t="s">
        <v>668</v>
      </c>
      <c r="B379" s="20"/>
      <c r="C379" s="19" t="s">
        <v>88</v>
      </c>
      <c r="D379" s="19" t="s">
        <v>38</v>
      </c>
      <c r="E379" s="19" t="s">
        <v>114</v>
      </c>
      <c r="F379" s="19" t="s">
        <v>115</v>
      </c>
      <c r="G379" s="19"/>
      <c r="H379" s="20">
        <v>2021</v>
      </c>
      <c r="I379" s="19" t="s">
        <v>41</v>
      </c>
      <c r="J379" s="19" t="s">
        <v>266</v>
      </c>
      <c r="K379" s="66" t="s">
        <v>652</v>
      </c>
      <c r="L379" s="22" t="s">
        <v>60</v>
      </c>
      <c r="M379" s="23" t="s">
        <v>268</v>
      </c>
      <c r="N379" s="36" t="s">
        <v>269</v>
      </c>
      <c r="O379" s="36" t="s">
        <v>270</v>
      </c>
      <c r="P379" s="26">
        <f ca="1">IFERROR(VLOOKUP(DadosViagem5[[#This Row],[Placa]],[1]BIP!A:E,5,FALSE),"")</f>
        <v>45944</v>
      </c>
      <c r="Q379" s="27">
        <f ca="1">DATEDIF(DadosViagem5[[#This Row],[BIP]],TODAY(),"D")</f>
        <v>46</v>
      </c>
      <c r="R379" s="28" t="str">
        <f>IFERROR(VLOOKUP(DadosViagem5[[#This Row],[Placa]],[1]DDS!B:C,2,FALSE),"Verificar cadastro")</f>
        <v> </v>
      </c>
      <c r="S379" s="36" t="s">
        <v>35</v>
      </c>
      <c r="T379" s="23"/>
      <c r="U379" s="30"/>
      <c r="V379" s="31"/>
      <c r="W379" s="32"/>
      <c r="X379" s="33"/>
      <c r="Y379" s="34"/>
      <c r="Z379" s="42"/>
      <c r="AA379" s="20" t="s">
        <v>49</v>
      </c>
      <c r="AB379" s="20" t="s">
        <v>49</v>
      </c>
      <c r="AC379" s="19" t="s">
        <v>49</v>
      </c>
      <c r="AD379" s="19" t="str">
        <f ca="1">IFERROR(DATEDIF(DadosViagem5[[#This Row],[Utimo Bip Reserva]],TODAY(),"D"),"")</f>
        <v/>
      </c>
      <c r="AE379" s="36" t="s">
        <v>49</v>
      </c>
      <c r="AF379" s="25" t="s">
        <v>49</v>
      </c>
      <c r="AG379" s="30"/>
      <c r="AH379" s="25">
        <v>45807</v>
      </c>
      <c r="AI379" s="36" t="str">
        <f>IF(DadosViagem5[[#This Row],[Dias em manutenção ]]&lt;5,"Dentro do Prazo","Fora do Prazo")</f>
        <v>Fora do Prazo</v>
      </c>
      <c r="AJ379" s="36" t="e">
        <v>#REF!</v>
      </c>
    </row>
    <row r="380" spans="1:36">
      <c r="A380" s="87" t="s">
        <v>669</v>
      </c>
      <c r="B380" s="20">
        <v>433</v>
      </c>
      <c r="C380" s="19" t="s">
        <v>74</v>
      </c>
      <c r="D380" s="19" t="s">
        <v>52</v>
      </c>
      <c r="E380" s="19" t="s">
        <v>75</v>
      </c>
      <c r="F380" s="19" t="s">
        <v>76</v>
      </c>
      <c r="G380" s="19"/>
      <c r="H380" s="20">
        <v>2024</v>
      </c>
      <c r="I380" s="19" t="s">
        <v>41</v>
      </c>
      <c r="J380" s="19" t="s">
        <v>266</v>
      </c>
      <c r="K380" s="66" t="s">
        <v>652</v>
      </c>
      <c r="L380" s="22" t="s">
        <v>60</v>
      </c>
      <c r="M380" s="23" t="s">
        <v>77</v>
      </c>
      <c r="N380" s="36" t="s">
        <v>269</v>
      </c>
      <c r="O380" s="36" t="s">
        <v>270</v>
      </c>
      <c r="P380" s="26">
        <f ca="1">IFERROR(VLOOKUP(DadosViagem5[[#This Row],[Placa]],[1]BIP!A:E,5,FALSE),"")</f>
        <v>45989</v>
      </c>
      <c r="Q380" s="27">
        <f ca="1">DATEDIF(DadosViagem5[[#This Row],[BIP]],TODAY(),"D")</f>
        <v>1</v>
      </c>
      <c r="R380" s="28" t="str">
        <f>IFERROR(VLOOKUP(DadosViagem5[[#This Row],[Placa]],[1]DDS!B:C,2,FALSE),"Verificar cadastro")</f>
        <v>Operando</v>
      </c>
      <c r="S380" s="29" t="s">
        <v>48</v>
      </c>
      <c r="T380" s="23"/>
      <c r="U380" s="30"/>
      <c r="V380" s="31"/>
      <c r="W380" s="32"/>
      <c r="X380" s="33"/>
      <c r="Y380" s="34"/>
      <c r="Z380" s="42"/>
      <c r="AA380" s="20" t="s">
        <v>49</v>
      </c>
      <c r="AB380" s="20" t="s">
        <v>49</v>
      </c>
      <c r="AC380" s="19" t="s">
        <v>49</v>
      </c>
      <c r="AD380" s="19" t="str">
        <f ca="1">IFERROR(DATEDIF(DadosViagem5[[#This Row],[Utimo Bip Reserva]],TODAY(),"D"),"")</f>
        <v/>
      </c>
      <c r="AE380" s="25" t="s">
        <v>49</v>
      </c>
      <c r="AF380" s="25" t="s">
        <v>49</v>
      </c>
      <c r="AG380" s="36"/>
      <c r="AH380" s="25">
        <v>45807</v>
      </c>
      <c r="AI380" s="36" t="str">
        <f>IF(DadosViagem5[[#This Row],[Dias em manutenção ]]&lt;5,"Dentro do Prazo","Fora do Prazo")</f>
        <v>Fora do Prazo</v>
      </c>
      <c r="AJ380" s="36" t="e">
        <v>#REF!</v>
      </c>
    </row>
    <row r="381" spans="1:36">
      <c r="A381" s="19" t="s">
        <v>670</v>
      </c>
      <c r="B381" s="20"/>
      <c r="C381" s="19" t="s">
        <v>671</v>
      </c>
      <c r="D381" s="19" t="s">
        <v>132</v>
      </c>
      <c r="E381" s="19" t="s">
        <v>114</v>
      </c>
      <c r="F381" s="19" t="s">
        <v>115</v>
      </c>
      <c r="G381" s="19"/>
      <c r="H381" s="20">
        <v>2022</v>
      </c>
      <c r="I381" s="19" t="s">
        <v>41</v>
      </c>
      <c r="J381" s="19" t="s">
        <v>266</v>
      </c>
      <c r="K381" s="66" t="s">
        <v>652</v>
      </c>
      <c r="L381" s="22" t="s">
        <v>60</v>
      </c>
      <c r="M381" s="23" t="s">
        <v>268</v>
      </c>
      <c r="N381" s="36" t="s">
        <v>269</v>
      </c>
      <c r="O381" s="36" t="s">
        <v>270</v>
      </c>
      <c r="P381" s="26">
        <f ca="1">IFERROR(VLOOKUP(DadosViagem5[[#This Row],[Placa]],[1]BIP!A:E,5,FALSE),"")</f>
        <v>45780</v>
      </c>
      <c r="Q381" s="27">
        <f ca="1">DATEDIF(DadosViagem5[[#This Row],[BIP]],TODAY(),"D")</f>
        <v>210</v>
      </c>
      <c r="R381" s="28" t="str">
        <f>IFERROR(VLOOKUP(DadosViagem5[[#This Row],[Placa]],[1]DDS!B:C,2,FALSE),"Verificar cadastro")</f>
        <v>Verificar cadastro</v>
      </c>
      <c r="S381" s="36" t="s">
        <v>574</v>
      </c>
      <c r="T381" s="23"/>
      <c r="U381" s="30"/>
      <c r="V381" s="31"/>
      <c r="W381" s="32" t="s">
        <v>672</v>
      </c>
      <c r="X381" s="33"/>
      <c r="Y381" s="34"/>
      <c r="Z381" s="42"/>
      <c r="AA381" s="20" t="s">
        <v>49</v>
      </c>
      <c r="AB381" s="20" t="s">
        <v>49</v>
      </c>
      <c r="AC381" s="19" t="s">
        <v>49</v>
      </c>
      <c r="AD381" s="19" t="str">
        <f ca="1">IFERROR(DATEDIF(DadosViagem5[[#This Row],[Utimo Bip Reserva]],TODAY(),"D"),"")</f>
        <v/>
      </c>
      <c r="AE381" s="36" t="s">
        <v>673</v>
      </c>
      <c r="AF381" s="25">
        <v>45705</v>
      </c>
      <c r="AG381" s="36" t="s">
        <v>540</v>
      </c>
      <c r="AH381" s="25">
        <v>7</v>
      </c>
      <c r="AI381" s="36" t="str">
        <f>IF(DadosViagem5[[#This Row],[Dias em manutenção ]]&lt;5,"Dentro do Prazo","Fora do Prazo")</f>
        <v>Fora do Prazo</v>
      </c>
      <c r="AJ381" s="36" t="e">
        <v>#REF!</v>
      </c>
    </row>
    <row r="382" spans="1:36">
      <c r="A382" s="19" t="s">
        <v>674</v>
      </c>
      <c r="B382" s="20"/>
      <c r="C382" s="19" t="s">
        <v>88</v>
      </c>
      <c r="D382" s="19" t="s">
        <v>38</v>
      </c>
      <c r="E382" s="19" t="s">
        <v>114</v>
      </c>
      <c r="F382" s="19" t="s">
        <v>115</v>
      </c>
      <c r="G382" s="19"/>
      <c r="H382" s="20">
        <v>2021</v>
      </c>
      <c r="I382" s="19" t="s">
        <v>41</v>
      </c>
      <c r="J382" s="19" t="s">
        <v>266</v>
      </c>
      <c r="K382" s="66" t="s">
        <v>652</v>
      </c>
      <c r="L382" s="22" t="s">
        <v>60</v>
      </c>
      <c r="M382" s="23" t="s">
        <v>268</v>
      </c>
      <c r="N382" s="36" t="s">
        <v>269</v>
      </c>
      <c r="O382" s="36" t="s">
        <v>270</v>
      </c>
      <c r="P382" s="26">
        <f ca="1">IFERROR(VLOOKUP(DadosViagem5[[#This Row],[Placa]],[1]BIP!A:E,5,FALSE),"")</f>
        <v>45938</v>
      </c>
      <c r="Q382" s="27">
        <f ca="1">DATEDIF(DadosViagem5[[#This Row],[BIP]],TODAY(),"D")</f>
        <v>52</v>
      </c>
      <c r="R382" s="28" t="str">
        <f>IFERROR(VLOOKUP(DadosViagem5[[#This Row],[Placa]],[1]DDS!B:C,2,FALSE),"Verificar cadastro")</f>
        <v>Verificar cadastro</v>
      </c>
      <c r="S382" s="36" t="s">
        <v>574</v>
      </c>
      <c r="T382" s="23"/>
      <c r="U382" s="30"/>
      <c r="V382" s="31"/>
      <c r="W382" s="32" t="s">
        <v>675</v>
      </c>
      <c r="X382" s="33"/>
      <c r="Y382" s="34"/>
      <c r="Z382" s="42"/>
      <c r="AA382" s="20" t="s">
        <v>49</v>
      </c>
      <c r="AB382" s="20" t="s">
        <v>49</v>
      </c>
      <c r="AC382" s="19" t="s">
        <v>49</v>
      </c>
      <c r="AD382" s="19" t="str">
        <f ca="1">IFERROR(DATEDIF(DadosViagem5[[#This Row],[Utimo Bip Reserva]],TODAY(),"D"),"")</f>
        <v/>
      </c>
      <c r="AE382" s="36" t="s">
        <v>49</v>
      </c>
      <c r="AF382" s="25" t="s">
        <v>49</v>
      </c>
      <c r="AG382" s="36" t="s">
        <v>481</v>
      </c>
      <c r="AH382" s="25">
        <v>45807</v>
      </c>
      <c r="AI382" s="36" t="str">
        <f>IF(DadosViagem5[[#This Row],[Dias em manutenção ]]&lt;5,"Dentro do Prazo","Fora do Prazo")</f>
        <v>Fora do Prazo</v>
      </c>
      <c r="AJ382" s="36" t="e">
        <v>#REF!</v>
      </c>
    </row>
    <row r="383" spans="1:36">
      <c r="A383" s="19" t="s">
        <v>676</v>
      </c>
      <c r="B383" s="20"/>
      <c r="C383" s="19" t="s">
        <v>88</v>
      </c>
      <c r="D383" s="19" t="s">
        <v>38</v>
      </c>
      <c r="E383" s="19" t="s">
        <v>114</v>
      </c>
      <c r="F383" s="19" t="s">
        <v>115</v>
      </c>
      <c r="G383" s="19"/>
      <c r="H383" s="20">
        <v>2021</v>
      </c>
      <c r="I383" s="19" t="s">
        <v>41</v>
      </c>
      <c r="J383" s="19" t="s">
        <v>266</v>
      </c>
      <c r="K383" s="66" t="s">
        <v>652</v>
      </c>
      <c r="L383" s="22" t="s">
        <v>60</v>
      </c>
      <c r="M383" s="23" t="s">
        <v>268</v>
      </c>
      <c r="N383" s="36" t="s">
        <v>269</v>
      </c>
      <c r="O383" s="36" t="s">
        <v>270</v>
      </c>
      <c r="P383" s="26" t="str">
        <f>IFERROR(VLOOKUP(DadosViagem5[[#This Row],[Placa]],[1]BIP!A:E,5,FALSE),"")</f>
        <v/>
      </c>
      <c r="Q383" s="27" t="e">
        <f ca="1">DATEDIF(DadosViagem5[[#This Row],[BIP]],TODAY(),"D")</f>
        <v>#VALUE!</v>
      </c>
      <c r="R383" s="28" t="str">
        <f>IFERROR(VLOOKUP(DadosViagem5[[#This Row],[Placa]],[1]DDS!B:C,2,FALSE),"Verificar cadastro")</f>
        <v>Verificar cadastro</v>
      </c>
      <c r="S383" s="36" t="s">
        <v>574</v>
      </c>
      <c r="T383" s="23"/>
      <c r="U383" s="30"/>
      <c r="V383" s="31"/>
      <c r="W383" s="32" t="s">
        <v>677</v>
      </c>
      <c r="X383" s="33"/>
      <c r="Y383" s="34"/>
      <c r="Z383" s="32"/>
      <c r="AA383" s="20" t="s">
        <v>49</v>
      </c>
      <c r="AB383" s="20" t="s">
        <v>49</v>
      </c>
      <c r="AC383" s="19" t="s">
        <v>49</v>
      </c>
      <c r="AD383" s="19" t="str">
        <f ca="1">IFERROR(DATEDIF(DadosViagem5[[#This Row],[Utimo Bip Reserva]],TODAY(),"D"),"")</f>
        <v/>
      </c>
      <c r="AE383" s="36" t="s">
        <v>49</v>
      </c>
      <c r="AF383" s="25" t="s">
        <v>49</v>
      </c>
      <c r="AG383" s="36" t="s">
        <v>481</v>
      </c>
      <c r="AH383" s="25">
        <v>45807</v>
      </c>
      <c r="AI383" s="36" t="str">
        <f>IF(DadosViagem5[[#This Row],[Dias em manutenção ]]&lt;5,"Dentro do Prazo","Fora do Prazo")</f>
        <v>Fora do Prazo</v>
      </c>
      <c r="AJ383" s="36" t="e">
        <v>#REF!</v>
      </c>
    </row>
    <row r="384" spans="1:36">
      <c r="A384" s="19" t="s">
        <v>678</v>
      </c>
      <c r="B384" s="20"/>
      <c r="C384" s="19" t="s">
        <v>88</v>
      </c>
      <c r="D384" s="19" t="s">
        <v>52</v>
      </c>
      <c r="E384" s="19" t="s">
        <v>114</v>
      </c>
      <c r="F384" s="19" t="s">
        <v>115</v>
      </c>
      <c r="G384" s="19"/>
      <c r="H384" s="20">
        <v>2020</v>
      </c>
      <c r="I384" s="19" t="s">
        <v>41</v>
      </c>
      <c r="J384" s="19" t="s">
        <v>266</v>
      </c>
      <c r="K384" s="66" t="s">
        <v>652</v>
      </c>
      <c r="L384" s="22" t="s">
        <v>60</v>
      </c>
      <c r="M384" s="46" t="s">
        <v>268</v>
      </c>
      <c r="N384" s="36" t="s">
        <v>269</v>
      </c>
      <c r="O384" s="36" t="s">
        <v>270</v>
      </c>
      <c r="P384" s="26">
        <f ca="1">IFERROR(VLOOKUP(DadosViagem5[[#This Row],[Placa]],[1]BIP!A:E,5,FALSE),"")</f>
        <v>45968</v>
      </c>
      <c r="Q384" s="27">
        <f ca="1">DATEDIF(DadosViagem5[[#This Row],[BIP]],TODAY(),"D")</f>
        <v>22</v>
      </c>
      <c r="R384" s="28" t="str">
        <f>IFERROR(VLOOKUP(DadosViagem5[[#This Row],[Placa]],[1]DDS!B:C,2,FALSE),"Verificar cadastro")</f>
        <v> </v>
      </c>
      <c r="S384" s="29" t="s">
        <v>48</v>
      </c>
      <c r="T384" s="23"/>
      <c r="U384" s="30"/>
      <c r="V384" s="31"/>
      <c r="W384" s="32"/>
      <c r="X384" s="33"/>
      <c r="Y384" s="34"/>
      <c r="Z384" s="32"/>
      <c r="AA384" s="20" t="s">
        <v>49</v>
      </c>
      <c r="AB384" s="20" t="s">
        <v>49</v>
      </c>
      <c r="AC384" s="19" t="s">
        <v>49</v>
      </c>
      <c r="AD384" s="19" t="str">
        <f ca="1">IFERROR(DATEDIF(DadosViagem5[[#This Row],[Utimo Bip Reserva]],TODAY(),"D"),"")</f>
        <v/>
      </c>
      <c r="AE384" s="36" t="s">
        <v>49</v>
      </c>
      <c r="AF384" s="25" t="s">
        <v>49</v>
      </c>
      <c r="AG384" s="36"/>
      <c r="AH384" s="25">
        <v>32</v>
      </c>
      <c r="AI384" s="36" t="str">
        <f>IF(DadosViagem5[[#This Row],[Dias em manutenção ]]&lt;5,"Dentro do Prazo","Fora do Prazo")</f>
        <v>Fora do Prazo</v>
      </c>
      <c r="AJ384" s="36" t="e">
        <v>#REF!</v>
      </c>
    </row>
    <row r="385" spans="1:36">
      <c r="A385" s="19" t="s">
        <v>679</v>
      </c>
      <c r="B385" s="20"/>
      <c r="C385" s="19" t="s">
        <v>88</v>
      </c>
      <c r="D385" s="19" t="s">
        <v>38</v>
      </c>
      <c r="E385" s="19" t="s">
        <v>114</v>
      </c>
      <c r="F385" s="19" t="s">
        <v>115</v>
      </c>
      <c r="G385" s="19"/>
      <c r="H385" s="20">
        <v>2021</v>
      </c>
      <c r="I385" s="19" t="s">
        <v>41</v>
      </c>
      <c r="J385" s="19" t="s">
        <v>266</v>
      </c>
      <c r="K385" s="88" t="s">
        <v>652</v>
      </c>
      <c r="L385" s="89" t="s">
        <v>60</v>
      </c>
      <c r="M385" s="23" t="s">
        <v>268</v>
      </c>
      <c r="N385" s="36" t="s">
        <v>269</v>
      </c>
      <c r="O385" s="36" t="s">
        <v>270</v>
      </c>
      <c r="P385" s="26">
        <f ca="1">IFERROR(VLOOKUP(DadosViagem5[[#This Row],[Placa]],[1]BIP!A:E,5,FALSE),"")</f>
        <v>0</v>
      </c>
      <c r="Q385" s="27">
        <f ca="1">DATEDIF(DadosViagem5[[#This Row],[BIP]],TODAY(),"D")</f>
        <v>45990</v>
      </c>
      <c r="R385" s="28" t="str">
        <f>IFERROR(VLOOKUP(DadosViagem5[[#This Row],[Placa]],[1]DDS!B:C,2,FALSE),"Verificar cadastro")</f>
        <v>Verificar cadastro</v>
      </c>
      <c r="S385" s="36" t="s">
        <v>574</v>
      </c>
      <c r="T385" s="23"/>
      <c r="U385" s="30"/>
      <c r="V385" s="31"/>
      <c r="W385" s="32" t="s">
        <v>680</v>
      </c>
      <c r="X385" s="33"/>
      <c r="Y385" s="34"/>
      <c r="Z385" s="32"/>
      <c r="AA385" s="20" t="s">
        <v>49</v>
      </c>
      <c r="AB385" s="20" t="s">
        <v>49</v>
      </c>
      <c r="AC385" s="19" t="s">
        <v>49</v>
      </c>
      <c r="AD385" s="19" t="str">
        <f ca="1">IFERROR(DATEDIF(DadosViagem5[[#This Row],[Utimo Bip Reserva]],TODAY(),"D"),"")</f>
        <v/>
      </c>
      <c r="AE385" s="36" t="s">
        <v>49</v>
      </c>
      <c r="AF385" s="25" t="s">
        <v>49</v>
      </c>
      <c r="AG385" s="36"/>
      <c r="AH385" s="25">
        <v>21</v>
      </c>
      <c r="AI385" s="36" t="str">
        <f>IF(DadosViagem5[[#This Row],[Dias em manutenção ]]&lt;5,"Dentro do Prazo","Fora do Prazo")</f>
        <v>Fora do Prazo</v>
      </c>
      <c r="AJ385" s="36" t="e">
        <v>#REF!</v>
      </c>
    </row>
    <row r="386" spans="1:36">
      <c r="A386" s="19" t="s">
        <v>681</v>
      </c>
      <c r="B386" s="20"/>
      <c r="C386" s="19" t="s">
        <v>88</v>
      </c>
      <c r="D386" s="19" t="s">
        <v>52</v>
      </c>
      <c r="E386" s="19" t="s">
        <v>114</v>
      </c>
      <c r="F386" s="19" t="s">
        <v>115</v>
      </c>
      <c r="G386" s="19"/>
      <c r="H386" s="20">
        <v>2021</v>
      </c>
      <c r="I386" s="19" t="s">
        <v>41</v>
      </c>
      <c r="J386" s="19" t="s">
        <v>266</v>
      </c>
      <c r="K386" s="66" t="s">
        <v>652</v>
      </c>
      <c r="L386" s="22" t="s">
        <v>60</v>
      </c>
      <c r="M386" s="23" t="s">
        <v>268</v>
      </c>
      <c r="N386" s="36" t="s">
        <v>269</v>
      </c>
      <c r="O386" s="36" t="s">
        <v>270</v>
      </c>
      <c r="P386" s="26">
        <f ca="1">IFERROR(VLOOKUP(DadosViagem5[[#This Row],[Placa]],[1]BIP!A:E,5,FALSE),"")</f>
        <v>45870</v>
      </c>
      <c r="Q386" s="27">
        <f ca="1">DATEDIF(DadosViagem5[[#This Row],[BIP]],TODAY(),"D")</f>
        <v>120</v>
      </c>
      <c r="R386" s="28" t="str">
        <f>IFERROR(VLOOKUP(DadosViagem5[[#This Row],[Placa]],[1]DDS!B:C,2,FALSE),"Verificar cadastro")</f>
        <v>Verificar cadastro</v>
      </c>
      <c r="S386" s="36" t="s">
        <v>574</v>
      </c>
      <c r="T386" s="23"/>
      <c r="U386" s="30"/>
      <c r="V386" s="31"/>
      <c r="W386" s="32" t="s">
        <v>682</v>
      </c>
      <c r="X386" s="33"/>
      <c r="Y386" s="34"/>
      <c r="Z386" s="32"/>
      <c r="AA386" s="20" t="s">
        <v>49</v>
      </c>
      <c r="AB386" s="20" t="s">
        <v>49</v>
      </c>
      <c r="AC386" s="19" t="s">
        <v>49</v>
      </c>
      <c r="AD386" s="19" t="str">
        <f ca="1">IFERROR(DATEDIF(DadosViagem5[[#This Row],[Utimo Bip Reserva]],TODAY(),"D"),"")</f>
        <v/>
      </c>
      <c r="AE386" s="36" t="s">
        <v>49</v>
      </c>
      <c r="AF386" s="25" t="s">
        <v>49</v>
      </c>
      <c r="AG386" s="36"/>
      <c r="AH386" s="25">
        <v>45807</v>
      </c>
      <c r="AI386" s="36" t="str">
        <f>IF(DadosViagem5[[#This Row],[Dias em manutenção ]]&lt;5,"Dentro do Prazo","Fora do Prazo")</f>
        <v>Fora do Prazo</v>
      </c>
      <c r="AJ386" s="36" t="e">
        <v>#REF!</v>
      </c>
    </row>
    <row r="387" spans="1:36">
      <c r="A387" s="19" t="s">
        <v>683</v>
      </c>
      <c r="B387" s="20"/>
      <c r="C387" s="19" t="s">
        <v>88</v>
      </c>
      <c r="D387" s="19" t="s">
        <v>52</v>
      </c>
      <c r="E387" s="19" t="s">
        <v>114</v>
      </c>
      <c r="F387" s="19" t="s">
        <v>115</v>
      </c>
      <c r="G387" s="19"/>
      <c r="H387" s="20">
        <v>2021</v>
      </c>
      <c r="I387" s="19" t="s">
        <v>41</v>
      </c>
      <c r="J387" s="19" t="s">
        <v>266</v>
      </c>
      <c r="K387" s="66" t="s">
        <v>652</v>
      </c>
      <c r="L387" s="22" t="s">
        <v>60</v>
      </c>
      <c r="M387" s="46" t="s">
        <v>268</v>
      </c>
      <c r="N387" s="36" t="s">
        <v>269</v>
      </c>
      <c r="O387" s="36" t="s">
        <v>270</v>
      </c>
      <c r="P387" s="26">
        <f ca="1">IFERROR(VLOOKUP(DadosViagem5[[#This Row],[Placa]],[1]BIP!A:E,5,FALSE),"")</f>
        <v>45694</v>
      </c>
      <c r="Q387" s="27">
        <f ca="1">DATEDIF(DadosViagem5[[#This Row],[BIP]],TODAY(),"D")</f>
        <v>296</v>
      </c>
      <c r="R387" s="28" t="str">
        <f>IFERROR(VLOOKUP(DadosViagem5[[#This Row],[Placa]],[1]DDS!B:C,2,FALSE),"Verificar cadastro")</f>
        <v>Verificar cadastro</v>
      </c>
      <c r="S387" s="29" t="s">
        <v>48</v>
      </c>
      <c r="T387" s="23"/>
      <c r="U387" s="30"/>
      <c r="V387" s="31"/>
      <c r="W387" s="32"/>
      <c r="X387" s="33"/>
      <c r="Y387" s="34"/>
      <c r="Z387" s="32"/>
      <c r="AA387" s="20" t="s">
        <v>49</v>
      </c>
      <c r="AB387" s="20" t="s">
        <v>49</v>
      </c>
      <c r="AC387" s="19" t="s">
        <v>49</v>
      </c>
      <c r="AD387" s="19" t="str">
        <f ca="1">IFERROR(DATEDIF(DadosViagem5[[#This Row],[Utimo Bip Reserva]],TODAY(),"D"),"")</f>
        <v/>
      </c>
      <c r="AE387" s="36" t="s">
        <v>49</v>
      </c>
      <c r="AF387" s="25" t="s">
        <v>49</v>
      </c>
      <c r="AG387" s="36"/>
      <c r="AH387" s="25">
        <v>45807</v>
      </c>
      <c r="AI387" s="36" t="str">
        <f>IF(DadosViagem5[[#This Row],[Dias em manutenção ]]&lt;5,"Dentro do Prazo","Fora do Prazo")</f>
        <v>Fora do Prazo</v>
      </c>
      <c r="AJ387" s="36" t="e">
        <v>#REF!</v>
      </c>
    </row>
    <row r="388" spans="1:36">
      <c r="A388" s="19" t="s">
        <v>684</v>
      </c>
      <c r="B388" s="20"/>
      <c r="C388" s="19" t="s">
        <v>88</v>
      </c>
      <c r="D388" s="19" t="s">
        <v>52</v>
      </c>
      <c r="E388" s="19" t="s">
        <v>114</v>
      </c>
      <c r="F388" s="19" t="s">
        <v>115</v>
      </c>
      <c r="G388" s="19"/>
      <c r="H388" s="20">
        <v>2021</v>
      </c>
      <c r="I388" s="19" t="s">
        <v>41</v>
      </c>
      <c r="J388" s="19" t="s">
        <v>266</v>
      </c>
      <c r="K388" s="66" t="s">
        <v>508</v>
      </c>
      <c r="L388" s="22" t="s">
        <v>60</v>
      </c>
      <c r="M388" s="23" t="s">
        <v>45</v>
      </c>
      <c r="N388" s="36" t="s">
        <v>184</v>
      </c>
      <c r="O388" s="25" t="s">
        <v>148</v>
      </c>
      <c r="P388" s="26">
        <f ca="1">IFERROR(VLOOKUP(DadosViagem5[[#This Row],[Placa]],[1]BIP!A:E,5,FALSE),"")</f>
        <v>45989</v>
      </c>
      <c r="Q388" s="27">
        <f ca="1">DATEDIF(DadosViagem5[[#This Row],[BIP]],TODAY(),"D")</f>
        <v>1</v>
      </c>
      <c r="R388" s="28" t="str">
        <f>IFERROR(VLOOKUP(DadosViagem5[[#This Row],[Placa]],[1]DDS!B:C,2,FALSE),"Verificar cadastro")</f>
        <v>Carregado</v>
      </c>
      <c r="S388" s="36" t="s">
        <v>35</v>
      </c>
      <c r="T388" s="23"/>
      <c r="U388" s="30"/>
      <c r="V388" s="31"/>
      <c r="W388" s="32"/>
      <c r="X388" s="33"/>
      <c r="Y388" s="34"/>
      <c r="Z388" s="32"/>
      <c r="AA388" s="20" t="s">
        <v>49</v>
      </c>
      <c r="AB388" s="20" t="s">
        <v>49</v>
      </c>
      <c r="AC388" s="20" t="s">
        <v>49</v>
      </c>
      <c r="AD388" s="20" t="s">
        <v>49</v>
      </c>
      <c r="AE388" s="36" t="s">
        <v>49</v>
      </c>
      <c r="AF388" s="25" t="s">
        <v>49</v>
      </c>
      <c r="AG388" s="36"/>
      <c r="AH388" s="25">
        <v>45807</v>
      </c>
      <c r="AI388" s="36" t="str">
        <f>IF(DadosViagem5[[#This Row],[Dias em manutenção ]]&lt;5,"Dentro do Prazo","Fora do Prazo")</f>
        <v>Fora do Prazo</v>
      </c>
      <c r="AJ388" s="36" t="e">
        <v>#REF!</v>
      </c>
    </row>
    <row r="389" spans="1:36">
      <c r="A389" s="19" t="s">
        <v>685</v>
      </c>
      <c r="B389" s="20"/>
      <c r="C389" s="19" t="s">
        <v>88</v>
      </c>
      <c r="D389" s="19" t="s">
        <v>52</v>
      </c>
      <c r="E389" s="19" t="s">
        <v>114</v>
      </c>
      <c r="F389" s="19" t="s">
        <v>115</v>
      </c>
      <c r="G389" s="19"/>
      <c r="H389" s="20">
        <v>2022</v>
      </c>
      <c r="I389" s="19" t="s">
        <v>41</v>
      </c>
      <c r="J389" s="19" t="s">
        <v>266</v>
      </c>
      <c r="K389" s="66" t="s">
        <v>652</v>
      </c>
      <c r="L389" s="22" t="s">
        <v>60</v>
      </c>
      <c r="M389" s="46" t="s">
        <v>268</v>
      </c>
      <c r="N389" s="36" t="s">
        <v>269</v>
      </c>
      <c r="O389" s="36" t="s">
        <v>270</v>
      </c>
      <c r="P389" s="26">
        <f ca="1">IFERROR(VLOOKUP(DadosViagem5[[#This Row],[Placa]],[1]BIP!A:E,5,FALSE),"")</f>
        <v>45989</v>
      </c>
      <c r="Q389" s="27">
        <f ca="1">DATEDIF(DadosViagem5[[#This Row],[BIP]],TODAY(),"D")</f>
        <v>1</v>
      </c>
      <c r="R389" s="28" t="str">
        <f>IFERROR(VLOOKUP(DadosViagem5[[#This Row],[Placa]],[1]DDS!B:C,2,FALSE),"Verificar cadastro")</f>
        <v>Operando</v>
      </c>
      <c r="S389" s="29" t="s">
        <v>48</v>
      </c>
      <c r="T389" s="23"/>
      <c r="U389" s="30"/>
      <c r="V389" s="31"/>
      <c r="W389" s="32" t="s">
        <v>686</v>
      </c>
      <c r="X389" s="33"/>
      <c r="Y389" s="34"/>
      <c r="Z389" s="32"/>
      <c r="AA389" s="20" t="s">
        <v>49</v>
      </c>
      <c r="AB389" s="20" t="s">
        <v>49</v>
      </c>
      <c r="AC389" s="19" t="s">
        <v>49</v>
      </c>
      <c r="AD389" s="19" t="str">
        <f ca="1">IFERROR(DATEDIF(DadosViagem5[[#This Row],[Utimo Bip Reserva]],TODAY(),"D"),"")</f>
        <v/>
      </c>
      <c r="AE389" s="36" t="s">
        <v>49</v>
      </c>
      <c r="AF389" s="25" t="s">
        <v>49</v>
      </c>
      <c r="AG389" s="36"/>
      <c r="AH389" s="25">
        <v>45807</v>
      </c>
      <c r="AI389" s="36" t="str">
        <f>IF(DadosViagem5[[#This Row],[Dias em manutenção ]]&lt;5,"Dentro do Prazo","Fora do Prazo")</f>
        <v>Fora do Prazo</v>
      </c>
      <c r="AJ389" s="36" t="e">
        <v>#REF!</v>
      </c>
    </row>
    <row r="390" spans="1:36">
      <c r="A390" s="19" t="s">
        <v>687</v>
      </c>
      <c r="B390" s="20"/>
      <c r="C390" s="19" t="s">
        <v>74</v>
      </c>
      <c r="D390" s="19" t="s">
        <v>52</v>
      </c>
      <c r="E390" s="19" t="s">
        <v>75</v>
      </c>
      <c r="F390" s="19" t="s">
        <v>76</v>
      </c>
      <c r="G390" s="19"/>
      <c r="H390" s="20">
        <v>2023</v>
      </c>
      <c r="I390" s="19" t="s">
        <v>41</v>
      </c>
      <c r="J390" s="19" t="s">
        <v>266</v>
      </c>
      <c r="K390" s="66" t="s">
        <v>652</v>
      </c>
      <c r="L390" s="22" t="s">
        <v>60</v>
      </c>
      <c r="M390" s="23" t="s">
        <v>77</v>
      </c>
      <c r="N390" s="36" t="s">
        <v>269</v>
      </c>
      <c r="O390" s="36" t="s">
        <v>270</v>
      </c>
      <c r="P390" s="26">
        <f ca="1">IFERROR(VLOOKUP(DadosViagem5[[#This Row],[Placa]],[1]BIP!A:E,5,FALSE),"")</f>
        <v>45989</v>
      </c>
      <c r="Q390" s="27">
        <f ca="1">DATEDIF(DadosViagem5[[#This Row],[BIP]],TODAY(),"D")</f>
        <v>1</v>
      </c>
      <c r="R390" s="28" t="str">
        <f>IFERROR(VLOOKUP(DadosViagem5[[#This Row],[Placa]],[1]DDS!B:C,2,FALSE),"Verificar cadastro")</f>
        <v>Operando</v>
      </c>
      <c r="S390" s="29" t="s">
        <v>48</v>
      </c>
      <c r="T390" s="23"/>
      <c r="U390" s="30"/>
      <c r="V390" s="31"/>
      <c r="W390" s="32" t="s">
        <v>688</v>
      </c>
      <c r="X390" s="33"/>
      <c r="Y390" s="34"/>
      <c r="Z390" s="32"/>
      <c r="AA390" s="20" t="s">
        <v>49</v>
      </c>
      <c r="AB390" s="20" t="s">
        <v>49</v>
      </c>
      <c r="AC390" s="19" t="s">
        <v>49</v>
      </c>
      <c r="AD390" s="19" t="str">
        <f ca="1">IFERROR(DATEDIF(DadosViagem5[[#This Row],[Utimo Bip Reserva]],TODAY(),"D"),"")</f>
        <v/>
      </c>
      <c r="AE390" s="36"/>
      <c r="AF390" s="25"/>
      <c r="AG390" s="36"/>
      <c r="AH390" s="25">
        <v>45807</v>
      </c>
      <c r="AI390" s="36" t="str">
        <f>IF(DadosViagem5[[#This Row],[Dias em manutenção ]]&lt;5,"Dentro do Prazo","Fora do Prazo")</f>
        <v>Fora do Prazo</v>
      </c>
      <c r="AJ390" s="36" t="e">
        <v>#REF!</v>
      </c>
    </row>
    <row r="391" spans="1:36">
      <c r="A391" s="19" t="s">
        <v>689</v>
      </c>
      <c r="B391" s="20"/>
      <c r="C391" s="19" t="s">
        <v>74</v>
      </c>
      <c r="D391" s="19" t="s">
        <v>52</v>
      </c>
      <c r="E391" s="19" t="s">
        <v>75</v>
      </c>
      <c r="F391" s="19" t="s">
        <v>76</v>
      </c>
      <c r="G391" s="19"/>
      <c r="H391" s="20">
        <v>2023</v>
      </c>
      <c r="I391" s="19" t="s">
        <v>41</v>
      </c>
      <c r="J391" s="19" t="s">
        <v>266</v>
      </c>
      <c r="K391" s="66" t="s">
        <v>652</v>
      </c>
      <c r="L391" s="39" t="s">
        <v>60</v>
      </c>
      <c r="M391" s="23" t="s">
        <v>77</v>
      </c>
      <c r="N391" s="36" t="s">
        <v>269</v>
      </c>
      <c r="O391" s="36" t="s">
        <v>270</v>
      </c>
      <c r="P391" s="26">
        <f ca="1">IFERROR(VLOOKUP(DadosViagem5[[#This Row],[Placa]],[1]BIP!A:E,5,FALSE),"")</f>
        <v>45989</v>
      </c>
      <c r="Q391" s="27">
        <f ca="1">DATEDIF(DadosViagem5[[#This Row],[BIP]],TODAY(),"D")</f>
        <v>1</v>
      </c>
      <c r="R391" s="28" t="str">
        <f>IFERROR(VLOOKUP(DadosViagem5[[#This Row],[Placa]],[1]DDS!B:C,2,FALSE),"Verificar cadastro")</f>
        <v>Operando</v>
      </c>
      <c r="S391" s="29" t="s">
        <v>48</v>
      </c>
      <c r="T391" s="23"/>
      <c r="U391" s="30"/>
      <c r="V391" s="31"/>
      <c r="W391" s="32"/>
      <c r="X391" s="33" t="s">
        <v>55</v>
      </c>
      <c r="Y391" s="34"/>
      <c r="Z391" s="32"/>
      <c r="AA391" s="20" t="s">
        <v>49</v>
      </c>
      <c r="AB391" s="20" t="s">
        <v>49</v>
      </c>
      <c r="AC391" s="19" t="s">
        <v>49</v>
      </c>
      <c r="AD391" s="19" t="str">
        <f ca="1">IFERROR(DATEDIF(DadosViagem5[[#This Row],[Utimo Bip Reserva]],TODAY(),"D"),"")</f>
        <v/>
      </c>
      <c r="AE391" s="36"/>
      <c r="AF391" s="25"/>
      <c r="AG391" s="36"/>
      <c r="AH391" s="25">
        <v>45807</v>
      </c>
      <c r="AI391" s="36" t="str">
        <f>IF(DadosViagem5[[#This Row],[Dias em manutenção ]]&lt;5,"Dentro do Prazo","Fora do Prazo")</f>
        <v>Fora do Prazo</v>
      </c>
      <c r="AJ391" s="36" t="e">
        <v>#REF!</v>
      </c>
    </row>
    <row r="392" spans="1:36">
      <c r="A392" s="19" t="s">
        <v>690</v>
      </c>
      <c r="B392" s="20"/>
      <c r="C392" s="19" t="s">
        <v>74</v>
      </c>
      <c r="D392" s="19" t="s">
        <v>52</v>
      </c>
      <c r="E392" s="19" t="s">
        <v>75</v>
      </c>
      <c r="F392" s="19" t="s">
        <v>76</v>
      </c>
      <c r="G392" s="19"/>
      <c r="H392" s="20">
        <v>2024</v>
      </c>
      <c r="I392" s="19" t="s">
        <v>41</v>
      </c>
      <c r="J392" s="19" t="s">
        <v>266</v>
      </c>
      <c r="K392" s="21" t="s">
        <v>652</v>
      </c>
      <c r="L392" s="21" t="s">
        <v>60</v>
      </c>
      <c r="M392" s="23" t="s">
        <v>77</v>
      </c>
      <c r="N392" s="36" t="s">
        <v>269</v>
      </c>
      <c r="O392" s="36" t="s">
        <v>270</v>
      </c>
      <c r="P392" s="26">
        <f ca="1">IFERROR(VLOOKUP(DadosViagem5[[#This Row],[Placa]],[1]BIP!A:E,5,FALSE),"")</f>
        <v>0</v>
      </c>
      <c r="Q392" s="27">
        <f ca="1">DATEDIF(DadosViagem5[[#This Row],[BIP]],TODAY(),"D")</f>
        <v>45990</v>
      </c>
      <c r="R392" s="28" t="str">
        <f>IFERROR(VLOOKUP(DadosViagem5[[#This Row],[Placa]],[1]DDS!B:C,2,FALSE),"Verificar cadastro")</f>
        <v> </v>
      </c>
      <c r="S392" s="29" t="s">
        <v>48</v>
      </c>
      <c r="T392" s="23"/>
      <c r="U392" s="30"/>
      <c r="V392" s="31"/>
      <c r="W392" s="32"/>
      <c r="X392" s="33"/>
      <c r="Y392" s="34"/>
      <c r="Z392" s="32"/>
      <c r="AA392" s="20" t="s">
        <v>49</v>
      </c>
      <c r="AB392" s="20" t="s">
        <v>49</v>
      </c>
      <c r="AC392" s="20" t="s">
        <v>49</v>
      </c>
      <c r="AD392" s="20" t="s">
        <v>49</v>
      </c>
      <c r="AE392" s="36"/>
      <c r="AF392" s="25"/>
      <c r="AG392" s="36"/>
      <c r="AH392" s="25">
        <v>45807</v>
      </c>
      <c r="AI392" s="36" t="str">
        <f>IF(DadosViagem5[[#This Row],[Dias em manutenção ]]&lt;5,"Dentro do Prazo","Fora do Prazo")</f>
        <v>Fora do Prazo</v>
      </c>
      <c r="AJ392" s="36" t="e">
        <v>#REF!</v>
      </c>
    </row>
    <row r="393" spans="1:36">
      <c r="A393" s="19" t="s">
        <v>691</v>
      </c>
      <c r="B393" s="20">
        <v>428</v>
      </c>
      <c r="C393" s="19" t="s">
        <v>74</v>
      </c>
      <c r="D393" s="19" t="s">
        <v>52</v>
      </c>
      <c r="E393" s="19" t="s">
        <v>75</v>
      </c>
      <c r="F393" s="19" t="s">
        <v>76</v>
      </c>
      <c r="G393" s="19"/>
      <c r="H393" s="20">
        <v>2024</v>
      </c>
      <c r="I393" s="19" t="s">
        <v>41</v>
      </c>
      <c r="J393" s="19" t="s">
        <v>266</v>
      </c>
      <c r="K393" s="66" t="s">
        <v>652</v>
      </c>
      <c r="L393" s="22" t="s">
        <v>60</v>
      </c>
      <c r="M393" s="23" t="s">
        <v>77</v>
      </c>
      <c r="N393" s="36" t="s">
        <v>269</v>
      </c>
      <c r="O393" s="36" t="s">
        <v>270</v>
      </c>
      <c r="P393" s="26">
        <f ca="1">IFERROR(VLOOKUP(DadosViagem5[[#This Row],[Placa]],[1]BIP!A:E,5,FALSE),"")</f>
        <v>45972</v>
      </c>
      <c r="Q393" s="27">
        <f ca="1">DATEDIF(DadosViagem5[[#This Row],[BIP]],TODAY(),"D")</f>
        <v>18</v>
      </c>
      <c r="R393" s="28" t="str">
        <f>IFERROR(VLOOKUP(DadosViagem5[[#This Row],[Placa]],[1]DDS!B:C,2,FALSE),"Verificar cadastro")</f>
        <v> </v>
      </c>
      <c r="S393" s="29" t="s">
        <v>48</v>
      </c>
      <c r="T393" s="23"/>
      <c r="U393" s="30"/>
      <c r="V393" s="31"/>
      <c r="W393" s="32"/>
      <c r="X393" s="33"/>
      <c r="Y393" s="34"/>
      <c r="Z393" s="32"/>
      <c r="AA393" s="20" t="s">
        <v>49</v>
      </c>
      <c r="AB393" s="20" t="s">
        <v>49</v>
      </c>
      <c r="AC393" s="19" t="s">
        <v>49</v>
      </c>
      <c r="AD393" s="19" t="str">
        <f ca="1">IFERROR(DATEDIF(DadosViagem5[[#This Row],[Utimo Bip Reserva]],TODAY(),"D"),"")</f>
        <v/>
      </c>
      <c r="AE393" s="25" t="s">
        <v>49</v>
      </c>
      <c r="AF393" s="25" t="s">
        <v>49</v>
      </c>
      <c r="AG393" s="36"/>
      <c r="AH393" s="25">
        <v>45807</v>
      </c>
      <c r="AI393" s="36" t="str">
        <f>IF(DadosViagem5[[#This Row],[Dias em manutenção ]]&lt;5,"Dentro do Prazo","Fora do Prazo")</f>
        <v>Fora do Prazo</v>
      </c>
      <c r="AJ393" s="36" t="e">
        <v>#REF!</v>
      </c>
    </row>
    <row r="394" spans="1:36">
      <c r="A394" s="19" t="s">
        <v>692</v>
      </c>
      <c r="B394" s="20">
        <v>423</v>
      </c>
      <c r="C394" s="19" t="s">
        <v>74</v>
      </c>
      <c r="D394" s="19" t="s">
        <v>52</v>
      </c>
      <c r="E394" s="19" t="s">
        <v>75</v>
      </c>
      <c r="F394" s="19" t="s">
        <v>76</v>
      </c>
      <c r="G394" s="19"/>
      <c r="H394" s="20">
        <v>2024</v>
      </c>
      <c r="I394" s="19" t="s">
        <v>41</v>
      </c>
      <c r="J394" s="19" t="s">
        <v>266</v>
      </c>
      <c r="K394" s="66" t="s">
        <v>652</v>
      </c>
      <c r="L394" s="22" t="s">
        <v>60</v>
      </c>
      <c r="M394" s="23" t="s">
        <v>77</v>
      </c>
      <c r="N394" s="36" t="s">
        <v>269</v>
      </c>
      <c r="O394" s="36" t="s">
        <v>270</v>
      </c>
      <c r="P394" s="26">
        <f ca="1">IFERROR(VLOOKUP(DadosViagem5[[#This Row],[Placa]],[1]BIP!A:E,5,FALSE),"")</f>
        <v>45974</v>
      </c>
      <c r="Q394" s="27">
        <f ca="1">DATEDIF(DadosViagem5[[#This Row],[BIP]],TODAY(),"D")</f>
        <v>16</v>
      </c>
      <c r="R394" s="28" t="str">
        <f>IFERROR(VLOOKUP(DadosViagem5[[#This Row],[Placa]],[1]DDS!B:C,2,FALSE),"Verificar cadastro")</f>
        <v> </v>
      </c>
      <c r="S394" s="29" t="s">
        <v>48</v>
      </c>
      <c r="T394" s="23"/>
      <c r="U394" s="30"/>
      <c r="V394" s="31"/>
      <c r="W394" s="32"/>
      <c r="X394" s="33"/>
      <c r="Y394" s="34"/>
      <c r="Z394" s="32"/>
      <c r="AA394" s="20" t="s">
        <v>49</v>
      </c>
      <c r="AB394" s="20" t="s">
        <v>49</v>
      </c>
      <c r="AC394" s="19" t="s">
        <v>49</v>
      </c>
      <c r="AD394" s="19" t="str">
        <f ca="1">IFERROR(DATEDIF(DadosViagem5[[#This Row],[Utimo Bip Reserva]],TODAY(),"D"),"")</f>
        <v/>
      </c>
      <c r="AE394" s="29" t="s">
        <v>49</v>
      </c>
      <c r="AF394" s="35" t="s">
        <v>49</v>
      </c>
      <c r="AG394" s="36"/>
      <c r="AH394" s="25">
        <v>45807</v>
      </c>
      <c r="AI394" s="36" t="str">
        <f>IF(DadosViagem5[[#This Row],[Dias em manutenção ]]&lt;5,"Dentro do Prazo","Fora do Prazo")</f>
        <v>Fora do Prazo</v>
      </c>
      <c r="AJ394" s="36" t="e">
        <v>#REF!</v>
      </c>
    </row>
    <row r="395" spans="1:36">
      <c r="A395" s="19" t="s">
        <v>693</v>
      </c>
      <c r="B395" s="20">
        <v>427</v>
      </c>
      <c r="C395" s="19" t="s">
        <v>74</v>
      </c>
      <c r="D395" s="19" t="s">
        <v>52</v>
      </c>
      <c r="E395" s="19" t="s">
        <v>75</v>
      </c>
      <c r="F395" s="19" t="s">
        <v>76</v>
      </c>
      <c r="G395" s="19"/>
      <c r="H395" s="20">
        <v>2024</v>
      </c>
      <c r="I395" s="19" t="s">
        <v>41</v>
      </c>
      <c r="J395" s="19" t="s">
        <v>266</v>
      </c>
      <c r="K395" s="66" t="s">
        <v>652</v>
      </c>
      <c r="L395" s="22" t="s">
        <v>60</v>
      </c>
      <c r="M395" s="23" t="s">
        <v>77</v>
      </c>
      <c r="N395" s="36" t="s">
        <v>269</v>
      </c>
      <c r="O395" s="36" t="s">
        <v>270</v>
      </c>
      <c r="P395" s="26">
        <f ca="1">IFERROR(VLOOKUP(DadosViagem5[[#This Row],[Placa]],[1]BIP!A:E,5,FALSE),"")</f>
        <v>45989</v>
      </c>
      <c r="Q395" s="27">
        <f ca="1">DATEDIF(DadosViagem5[[#This Row],[BIP]],TODAY(),"D")</f>
        <v>1</v>
      </c>
      <c r="R395" s="28" t="str">
        <f>IFERROR(VLOOKUP(DadosViagem5[[#This Row],[Placa]],[1]DDS!B:C,2,FALSE),"Verificar cadastro")</f>
        <v>Operando</v>
      </c>
      <c r="S395" s="29" t="s">
        <v>48</v>
      </c>
      <c r="T395" s="23"/>
      <c r="U395" s="30"/>
      <c r="V395" s="31"/>
      <c r="W395" s="32"/>
      <c r="X395" s="33"/>
      <c r="Y395" s="34"/>
      <c r="Z395" s="32"/>
      <c r="AA395" s="20" t="s">
        <v>49</v>
      </c>
      <c r="AB395" s="20" t="s">
        <v>49</v>
      </c>
      <c r="AC395" s="19" t="s">
        <v>49</v>
      </c>
      <c r="AD395" s="19" t="str">
        <f ca="1">IFERROR(DATEDIF(DadosViagem5[[#This Row],[Utimo Bip Reserva]],TODAY(),"D"),"")</f>
        <v/>
      </c>
      <c r="AE395" s="29"/>
      <c r="AF395" s="35"/>
      <c r="AG395" s="36"/>
      <c r="AH395" s="25">
        <v>45807</v>
      </c>
      <c r="AI395" s="36" t="str">
        <f>IF(DadosViagem5[[#This Row],[Dias em manutenção ]]&lt;5,"Dentro do Prazo","Fora do Prazo")</f>
        <v>Fora do Prazo</v>
      </c>
      <c r="AJ395" s="36" t="e">
        <v>#REF!</v>
      </c>
    </row>
    <row r="396" spans="1:36">
      <c r="A396" s="19" t="s">
        <v>694</v>
      </c>
      <c r="B396" s="20">
        <v>430</v>
      </c>
      <c r="C396" s="19" t="s">
        <v>74</v>
      </c>
      <c r="D396" s="19" t="s">
        <v>52</v>
      </c>
      <c r="E396" s="19" t="s">
        <v>75</v>
      </c>
      <c r="F396" s="19" t="s">
        <v>76</v>
      </c>
      <c r="G396" s="19"/>
      <c r="H396" s="20">
        <v>2024</v>
      </c>
      <c r="I396" s="19" t="s">
        <v>41</v>
      </c>
      <c r="J396" s="19" t="s">
        <v>266</v>
      </c>
      <c r="K396" s="66" t="s">
        <v>652</v>
      </c>
      <c r="L396" s="22" t="s">
        <v>60</v>
      </c>
      <c r="M396" s="23" t="s">
        <v>77</v>
      </c>
      <c r="N396" s="36" t="s">
        <v>269</v>
      </c>
      <c r="O396" s="36" t="s">
        <v>270</v>
      </c>
      <c r="P396" s="26">
        <f ca="1">IFERROR(VLOOKUP(DadosViagem5[[#This Row],[Placa]],[1]BIP!A:E,5,FALSE),"")</f>
        <v>45988</v>
      </c>
      <c r="Q396" s="27">
        <f ca="1">DATEDIF(DadosViagem5[[#This Row],[BIP]],TODAY(),"D")</f>
        <v>2</v>
      </c>
      <c r="R396" s="28" t="str">
        <f>IFERROR(VLOOKUP(DadosViagem5[[#This Row],[Placa]],[1]DDS!B:C,2,FALSE),"Verificar cadastro")</f>
        <v> </v>
      </c>
      <c r="S396" s="29" t="s">
        <v>48</v>
      </c>
      <c r="T396" s="23"/>
      <c r="U396" s="30"/>
      <c r="V396" s="31"/>
      <c r="W396" s="32"/>
      <c r="X396" s="33"/>
      <c r="Y396" s="34"/>
      <c r="Z396" s="32"/>
      <c r="AA396" s="20" t="s">
        <v>49</v>
      </c>
      <c r="AB396" s="20" t="s">
        <v>49</v>
      </c>
      <c r="AC396" s="19" t="s">
        <v>49</v>
      </c>
      <c r="AD396" s="19" t="str">
        <f ca="1">IFERROR(DATEDIF(DadosViagem5[[#This Row],[Utimo Bip Reserva]],TODAY(),"D"),"")</f>
        <v/>
      </c>
      <c r="AE396" s="36" t="s">
        <v>49</v>
      </c>
      <c r="AF396" s="25" t="s">
        <v>49</v>
      </c>
      <c r="AG396" s="36"/>
      <c r="AH396" s="25">
        <v>45807</v>
      </c>
      <c r="AI396" s="36" t="str">
        <f>IF(DadosViagem5[[#This Row],[Dias em manutenção ]]&lt;5,"Dentro do Prazo","Fora do Prazo")</f>
        <v>Fora do Prazo</v>
      </c>
      <c r="AJ396" s="36" t="e">
        <v>#REF!</v>
      </c>
    </row>
    <row r="397" spans="1:36">
      <c r="A397" s="19" t="s">
        <v>695</v>
      </c>
      <c r="B397" s="20">
        <v>455</v>
      </c>
      <c r="C397" s="19" t="s">
        <v>74</v>
      </c>
      <c r="D397" s="19" t="s">
        <v>52</v>
      </c>
      <c r="E397" s="19" t="s">
        <v>57</v>
      </c>
      <c r="F397" s="19" t="s">
        <v>40</v>
      </c>
      <c r="G397" s="19"/>
      <c r="H397" s="20">
        <v>2024</v>
      </c>
      <c r="I397" s="19" t="s">
        <v>41</v>
      </c>
      <c r="J397" s="19" t="s">
        <v>266</v>
      </c>
      <c r="K397" s="66" t="s">
        <v>652</v>
      </c>
      <c r="L397" s="22" t="s">
        <v>60</v>
      </c>
      <c r="M397" s="23" t="s">
        <v>77</v>
      </c>
      <c r="N397" s="36" t="s">
        <v>269</v>
      </c>
      <c r="O397" s="36" t="s">
        <v>270</v>
      </c>
      <c r="P397" s="26">
        <f ca="1">IFERROR(VLOOKUP(DadosViagem5[[#This Row],[Placa]],[1]BIP!A:E,5,FALSE),"")</f>
        <v>45989</v>
      </c>
      <c r="Q397" s="27">
        <f ca="1">DATEDIF(DadosViagem5[[#This Row],[BIP]],TODAY(),"D")</f>
        <v>1</v>
      </c>
      <c r="R397" s="28" t="str">
        <f>IFERROR(VLOOKUP(DadosViagem5[[#This Row],[Placa]],[1]DDS!B:C,2,FALSE),"Verificar cadastro")</f>
        <v>Operando</v>
      </c>
      <c r="S397" s="29" t="s">
        <v>48</v>
      </c>
      <c r="T397" s="23"/>
      <c r="U397" s="30"/>
      <c r="V397" s="31"/>
      <c r="W397" s="32"/>
      <c r="X397" s="33"/>
      <c r="Y397" s="34"/>
      <c r="Z397" s="32"/>
      <c r="AA397" s="20" t="s">
        <v>49</v>
      </c>
      <c r="AB397" s="20" t="s">
        <v>49</v>
      </c>
      <c r="AC397" s="19" t="s">
        <v>49</v>
      </c>
      <c r="AD397" s="19" t="str">
        <f ca="1">IFERROR(DATEDIF(DadosViagem5[[#This Row],[Utimo Bip Reserva]],TODAY(),"D"),"")</f>
        <v/>
      </c>
      <c r="AE397" s="35" t="s">
        <v>49</v>
      </c>
      <c r="AF397" s="35" t="s">
        <v>49</v>
      </c>
      <c r="AG397" s="36"/>
      <c r="AH397" s="25">
        <v>45807</v>
      </c>
      <c r="AI397" s="36" t="str">
        <f>IF(DadosViagem5[[#This Row],[Dias em manutenção ]]&lt;5,"Dentro do Prazo","Fora do Prazo")</f>
        <v>Fora do Prazo</v>
      </c>
      <c r="AJ397" s="36" t="e">
        <v>#REF!</v>
      </c>
    </row>
    <row r="398" spans="1:36">
      <c r="A398" s="19" t="s">
        <v>696</v>
      </c>
      <c r="B398" s="20"/>
      <c r="C398" s="19" t="s">
        <v>131</v>
      </c>
      <c r="D398" s="19" t="s">
        <v>132</v>
      </c>
      <c r="E398" s="19" t="s">
        <v>114</v>
      </c>
      <c r="F398" s="19" t="s">
        <v>115</v>
      </c>
      <c r="G398" s="19"/>
      <c r="H398" s="20">
        <v>2022</v>
      </c>
      <c r="I398" s="19" t="s">
        <v>41</v>
      </c>
      <c r="J398" s="19" t="s">
        <v>266</v>
      </c>
      <c r="K398" s="66" t="s">
        <v>652</v>
      </c>
      <c r="L398" s="22" t="s">
        <v>60</v>
      </c>
      <c r="M398" s="46" t="s">
        <v>268</v>
      </c>
      <c r="N398" s="36" t="s">
        <v>269</v>
      </c>
      <c r="O398" s="36" t="s">
        <v>270</v>
      </c>
      <c r="P398" s="26">
        <f ca="1">IFERROR(VLOOKUP(DadosViagem5[[#This Row],[Placa]],[1]BIP!A:E,5,FALSE),"")</f>
        <v>45926</v>
      </c>
      <c r="Q398" s="27">
        <f ca="1">DATEDIF(DadosViagem5[[#This Row],[BIP]],TODAY(),"D")</f>
        <v>64</v>
      </c>
      <c r="R398" s="28" t="str">
        <f>IFERROR(VLOOKUP(DadosViagem5[[#This Row],[Placa]],[1]DDS!B:C,2,FALSE),"Verificar cadastro")</f>
        <v> </v>
      </c>
      <c r="S398" s="29" t="s">
        <v>48</v>
      </c>
      <c r="T398" s="23"/>
      <c r="U398" s="30"/>
      <c r="V398" s="31"/>
      <c r="W398" s="32"/>
      <c r="X398" s="33"/>
      <c r="Y398" s="34"/>
      <c r="Z398" s="32"/>
      <c r="AA398" s="20" t="s">
        <v>49</v>
      </c>
      <c r="AB398" s="20" t="s">
        <v>49</v>
      </c>
      <c r="AC398" s="19" t="s">
        <v>49</v>
      </c>
      <c r="AD398" s="19" t="str">
        <f ca="1">IFERROR(DATEDIF(DadosViagem5[[#This Row],[Utimo Bip Reserva]],TODAY(),"D"),"")</f>
        <v/>
      </c>
      <c r="AE398" s="36" t="s">
        <v>49</v>
      </c>
      <c r="AF398" s="25" t="s">
        <v>49</v>
      </c>
      <c r="AG398" s="36"/>
      <c r="AH398" s="25">
        <v>45807</v>
      </c>
      <c r="AI398" s="36" t="str">
        <f>IF(DadosViagem5[[#This Row],[Dias em manutenção ]]&lt;5,"Dentro do Prazo","Fora do Prazo")</f>
        <v>Fora do Prazo</v>
      </c>
      <c r="AJ398" s="36" t="e">
        <v>#REF!</v>
      </c>
    </row>
    <row r="399" spans="1:36">
      <c r="A399" s="19" t="s">
        <v>697</v>
      </c>
      <c r="B399" s="20"/>
      <c r="C399" s="19" t="s">
        <v>88</v>
      </c>
      <c r="D399" s="19" t="s">
        <v>52</v>
      </c>
      <c r="E399" s="19" t="s">
        <v>114</v>
      </c>
      <c r="F399" s="19" t="s">
        <v>115</v>
      </c>
      <c r="G399" s="19"/>
      <c r="H399" s="20">
        <v>2020</v>
      </c>
      <c r="I399" s="19" t="s">
        <v>41</v>
      </c>
      <c r="J399" s="19" t="s">
        <v>266</v>
      </c>
      <c r="K399" s="66" t="s">
        <v>652</v>
      </c>
      <c r="L399" s="22" t="s">
        <v>60</v>
      </c>
      <c r="M399" s="46" t="s">
        <v>268</v>
      </c>
      <c r="N399" s="36" t="s">
        <v>269</v>
      </c>
      <c r="O399" s="36" t="s">
        <v>270</v>
      </c>
      <c r="P399" s="26">
        <f ca="1">IFERROR(VLOOKUP(DadosViagem5[[#This Row],[Placa]],[1]BIP!A:E,5,FALSE),"")</f>
        <v>45925</v>
      </c>
      <c r="Q399" s="27">
        <f ca="1">DATEDIF(DadosViagem5[[#This Row],[BIP]],TODAY(),"D")</f>
        <v>65</v>
      </c>
      <c r="R399" s="28" t="str">
        <f>IFERROR(VLOOKUP(DadosViagem5[[#This Row],[Placa]],[1]DDS!B:C,2,FALSE),"Verificar cadastro")</f>
        <v> </v>
      </c>
      <c r="S399" s="29" t="s">
        <v>48</v>
      </c>
      <c r="T399" s="23"/>
      <c r="U399" s="30"/>
      <c r="V399" s="31"/>
      <c r="W399" s="32"/>
      <c r="X399" s="33"/>
      <c r="Y399" s="34"/>
      <c r="Z399" s="32"/>
      <c r="AA399" s="20" t="s">
        <v>49</v>
      </c>
      <c r="AB399" s="20" t="s">
        <v>49</v>
      </c>
      <c r="AC399" s="19" t="s">
        <v>49</v>
      </c>
      <c r="AD399" s="19" t="str">
        <f ca="1">IFERROR(DATEDIF(DadosViagem5[[#This Row],[Utimo Bip Reserva]],TODAY(),"D"),"")</f>
        <v/>
      </c>
      <c r="AE399" s="36"/>
      <c r="AF399" s="25"/>
      <c r="AG399" s="36"/>
      <c r="AH399" s="25">
        <v>23</v>
      </c>
      <c r="AI399" s="36" t="str">
        <f>IF(DadosViagem5[[#This Row],[Dias em manutenção ]]&lt;5,"Dentro do Prazo","Fora do Prazo")</f>
        <v>Fora do Prazo</v>
      </c>
      <c r="AJ399" s="36" t="e">
        <v>#REF!</v>
      </c>
    </row>
    <row r="400" spans="1:36">
      <c r="A400" s="19" t="s">
        <v>698</v>
      </c>
      <c r="B400" s="20"/>
      <c r="C400" s="19" t="s">
        <v>71</v>
      </c>
      <c r="D400" s="19" t="s">
        <v>38</v>
      </c>
      <c r="E400" s="19" t="s">
        <v>699</v>
      </c>
      <c r="F400" s="19" t="s">
        <v>115</v>
      </c>
      <c r="G400" s="19"/>
      <c r="H400" s="20">
        <v>2022</v>
      </c>
      <c r="I400" s="19" t="s">
        <v>41</v>
      </c>
      <c r="J400" s="19" t="s">
        <v>266</v>
      </c>
      <c r="K400" s="66" t="s">
        <v>652</v>
      </c>
      <c r="L400" s="22" t="s">
        <v>60</v>
      </c>
      <c r="M400" s="46" t="s">
        <v>268</v>
      </c>
      <c r="N400" s="36" t="s">
        <v>269</v>
      </c>
      <c r="O400" s="36" t="s">
        <v>270</v>
      </c>
      <c r="P400" s="26">
        <f ca="1">IFERROR(VLOOKUP(DadosViagem5[[#This Row],[Placa]],[1]BIP!A:E,5,FALSE),"")</f>
        <v>45989</v>
      </c>
      <c r="Q400" s="27">
        <f ca="1">DATEDIF(DadosViagem5[[#This Row],[BIP]],TODAY(),"D")</f>
        <v>1</v>
      </c>
      <c r="R400" s="28" t="str">
        <f>IFERROR(VLOOKUP(DadosViagem5[[#This Row],[Placa]],[1]DDS!B:C,2,FALSE),"Verificar cadastro")</f>
        <v>Operando</v>
      </c>
      <c r="S400" s="29" t="s">
        <v>48</v>
      </c>
      <c r="T400" s="23"/>
      <c r="U400" s="30"/>
      <c r="V400" s="31"/>
      <c r="W400" s="31" t="s">
        <v>700</v>
      </c>
      <c r="X400" s="33"/>
      <c r="Y400" s="34"/>
      <c r="Z400" s="32"/>
      <c r="AA400" s="20" t="s">
        <v>49</v>
      </c>
      <c r="AB400" s="20" t="s">
        <v>49</v>
      </c>
      <c r="AC400" s="19" t="s">
        <v>49</v>
      </c>
      <c r="AD400" s="19" t="str">
        <f ca="1">IFERROR(DATEDIF(DadosViagem5[[#This Row],[Utimo Bip Reserva]],TODAY(),"D"),"")</f>
        <v/>
      </c>
      <c r="AE400" s="29" t="s">
        <v>49</v>
      </c>
      <c r="AF400" s="35" t="s">
        <v>49</v>
      </c>
      <c r="AG400" s="36"/>
      <c r="AH400" s="25">
        <v>42</v>
      </c>
      <c r="AI400" s="36" t="str">
        <f>IF(DadosViagem5[[#This Row],[Dias em manutenção ]]&lt;5,"Dentro do Prazo","Fora do Prazo")</f>
        <v>Fora do Prazo</v>
      </c>
      <c r="AJ400" s="36" t="e">
        <v>#REF!</v>
      </c>
    </row>
    <row r="401" spans="1:36">
      <c r="A401" s="19" t="s">
        <v>701</v>
      </c>
      <c r="B401" s="20"/>
      <c r="C401" s="19" t="s">
        <v>88</v>
      </c>
      <c r="D401" s="19" t="s">
        <v>52</v>
      </c>
      <c r="E401" s="19" t="s">
        <v>114</v>
      </c>
      <c r="F401" s="19" t="s">
        <v>115</v>
      </c>
      <c r="G401" s="19"/>
      <c r="H401" s="20">
        <v>2021</v>
      </c>
      <c r="I401" s="19" t="s">
        <v>41</v>
      </c>
      <c r="J401" s="19" t="s">
        <v>266</v>
      </c>
      <c r="K401" s="21" t="s">
        <v>652</v>
      </c>
      <c r="L401" s="22" t="s">
        <v>60</v>
      </c>
      <c r="M401" s="23" t="s">
        <v>268</v>
      </c>
      <c r="N401" s="36" t="s">
        <v>269</v>
      </c>
      <c r="O401" s="65" t="s">
        <v>270</v>
      </c>
      <c r="P401" s="26">
        <f ca="1">IFERROR(VLOOKUP(DadosViagem5[[#This Row],[Placa]],[1]BIP!A:E,5,FALSE),"")</f>
        <v>45808</v>
      </c>
      <c r="Q401" s="27">
        <f ca="1">DATEDIF(DadosViagem5[[#This Row],[BIP]],TODAY(),"D")</f>
        <v>182</v>
      </c>
      <c r="R401" s="28" t="str">
        <f>IFERROR(VLOOKUP(DadosViagem5[[#This Row],[Placa]],[1]DDS!B:C,2,FALSE),"Verificar cadastro")</f>
        <v>Verificar cadastro</v>
      </c>
      <c r="S401" s="36" t="s">
        <v>574</v>
      </c>
      <c r="T401" s="23"/>
      <c r="U401" s="30"/>
      <c r="V401" s="31"/>
      <c r="W401" s="32" t="s">
        <v>702</v>
      </c>
      <c r="X401" s="33"/>
      <c r="Y401" s="34"/>
      <c r="Z401" s="32"/>
      <c r="AA401" s="20" t="s">
        <v>49</v>
      </c>
      <c r="AB401" s="20" t="s">
        <v>49</v>
      </c>
      <c r="AC401" s="19" t="s">
        <v>49</v>
      </c>
      <c r="AD401" s="19" t="str">
        <f ca="1">IFERROR(DATEDIF(DadosViagem5[[#This Row],[Utimo Bip Reserva]],TODAY(),"D"),"")</f>
        <v/>
      </c>
      <c r="AE401" s="36" t="s">
        <v>49</v>
      </c>
      <c r="AF401" s="25">
        <v>45699</v>
      </c>
      <c r="AG401" s="36" t="e">
        <f>_xlfn.TEXTBEFORE(DadosViagem5[[#This Row],[Focal ]], " ", 1)</f>
        <v>#N/A</v>
      </c>
      <c r="AH401" s="25">
        <v>45807</v>
      </c>
      <c r="AI401" s="36" t="str">
        <f>IF(DadosViagem5[[#This Row],[Dias em manutenção ]]&lt;5,"Dentro do Prazo","Fora do Prazo")</f>
        <v>Fora do Prazo</v>
      </c>
      <c r="AJ401" s="36" t="e">
        <v>#REF!</v>
      </c>
    </row>
    <row r="402" spans="1:36">
      <c r="A402" s="19" t="s">
        <v>703</v>
      </c>
      <c r="B402" s="20"/>
      <c r="C402" s="19" t="s">
        <v>71</v>
      </c>
      <c r="D402" s="19" t="s">
        <v>38</v>
      </c>
      <c r="E402" s="19" t="s">
        <v>57</v>
      </c>
      <c r="F402" s="19" t="s">
        <v>40</v>
      </c>
      <c r="G402" s="19"/>
      <c r="H402" s="20">
        <v>2020</v>
      </c>
      <c r="I402" s="19" t="s">
        <v>41</v>
      </c>
      <c r="J402" s="19" t="s">
        <v>266</v>
      </c>
      <c r="K402" s="66" t="s">
        <v>652</v>
      </c>
      <c r="L402" s="22" t="s">
        <v>60</v>
      </c>
      <c r="M402" s="23" t="s">
        <v>268</v>
      </c>
      <c r="N402" s="36" t="s">
        <v>269</v>
      </c>
      <c r="O402" s="36" t="s">
        <v>270</v>
      </c>
      <c r="P402" s="26">
        <f ca="1">IFERROR(VLOOKUP(DadosViagem5[[#This Row],[Placa]],[1]BIP!A:E,5,FALSE),"")</f>
        <v>0</v>
      </c>
      <c r="Q402" s="27">
        <f ca="1">DATEDIF(DadosViagem5[[#This Row],[BIP]],TODAY(),"D")</f>
        <v>45990</v>
      </c>
      <c r="R402" s="28" t="str">
        <f>IFERROR(VLOOKUP(DadosViagem5[[#This Row],[Placa]],[1]DDS!B:C,2,FALSE),"Verificar cadastro")</f>
        <v> </v>
      </c>
      <c r="S402" s="29" t="s">
        <v>48</v>
      </c>
      <c r="T402" s="23"/>
      <c r="U402" s="30"/>
      <c r="V402" s="31"/>
      <c r="W402" s="32"/>
      <c r="X402" s="33"/>
      <c r="Y402" s="34"/>
      <c r="Z402" s="32"/>
      <c r="AA402" s="20" t="s">
        <v>49</v>
      </c>
      <c r="AB402" s="20" t="s">
        <v>49</v>
      </c>
      <c r="AC402" s="19" t="s">
        <v>49</v>
      </c>
      <c r="AD402" s="19" t="str">
        <f ca="1">IFERROR(DATEDIF(DadosViagem5[[#This Row],[Utimo Bip Reserva]],TODAY(),"D"),"")</f>
        <v/>
      </c>
      <c r="AE402" s="36" t="s">
        <v>49</v>
      </c>
      <c r="AF402" s="25" t="s">
        <v>49</v>
      </c>
      <c r="AG402" s="36"/>
      <c r="AH402" s="25">
        <v>45807</v>
      </c>
      <c r="AI402" s="36" t="str">
        <f>IF(DadosViagem5[[#This Row],[Dias em manutenção ]]&lt;5,"Dentro do Prazo","Fora do Prazo")</f>
        <v>Fora do Prazo</v>
      </c>
      <c r="AJ402" s="36" t="e">
        <v>#REF!</v>
      </c>
    </row>
    <row r="403" spans="1:36">
      <c r="A403" s="19" t="s">
        <v>704</v>
      </c>
      <c r="B403" s="20"/>
      <c r="C403" s="19" t="s">
        <v>263</v>
      </c>
      <c r="D403" s="19" t="s">
        <v>264</v>
      </c>
      <c r="E403" s="19" t="s">
        <v>265</v>
      </c>
      <c r="F403" s="19" t="s">
        <v>40</v>
      </c>
      <c r="G403" s="19"/>
      <c r="H403" s="20">
        <v>2023</v>
      </c>
      <c r="I403" s="19" t="s">
        <v>41</v>
      </c>
      <c r="J403" s="19" t="s">
        <v>266</v>
      </c>
      <c r="K403" s="66" t="s">
        <v>652</v>
      </c>
      <c r="L403" s="22" t="s">
        <v>60</v>
      </c>
      <c r="M403" s="23" t="s">
        <v>268</v>
      </c>
      <c r="N403" s="36" t="s">
        <v>269</v>
      </c>
      <c r="O403" s="36" t="s">
        <v>270</v>
      </c>
      <c r="P403" s="26">
        <f ca="1">IFERROR(VLOOKUP(DadosViagem5[[#This Row],[Placa]],[1]BIP!A:E,5,FALSE),"")</f>
        <v>0</v>
      </c>
      <c r="Q403" s="27">
        <f ca="1">DATEDIF(DadosViagem5[[#This Row],[BIP]],TODAY(),"D")</f>
        <v>45990</v>
      </c>
      <c r="R403" s="28" t="str">
        <f>IFERROR(VLOOKUP(DadosViagem5[[#This Row],[Placa]],[1]DDS!B:C,2,FALSE),"Verificar cadastro")</f>
        <v> </v>
      </c>
      <c r="S403" s="29" t="s">
        <v>48</v>
      </c>
      <c r="T403" s="23"/>
      <c r="U403" s="30"/>
      <c r="V403" s="31"/>
      <c r="W403" s="32"/>
      <c r="X403" s="33"/>
      <c r="Y403" s="34"/>
      <c r="Z403" s="32"/>
      <c r="AA403" s="20" t="s">
        <v>49</v>
      </c>
      <c r="AB403" s="20" t="s">
        <v>49</v>
      </c>
      <c r="AC403" s="19" t="s">
        <v>49</v>
      </c>
      <c r="AD403" s="19" t="str">
        <f ca="1">IFERROR(DATEDIF(DadosViagem5[[#This Row],[Utimo Bip Reserva]],TODAY(),"D"),"")</f>
        <v/>
      </c>
      <c r="AE403" s="35" t="s">
        <v>49</v>
      </c>
      <c r="AF403" s="35"/>
      <c r="AG403" s="36"/>
      <c r="AH403" s="25">
        <v>45807</v>
      </c>
      <c r="AI403" s="36" t="str">
        <f>IF(DadosViagem5[[#This Row],[Dias em manutenção ]]&lt;5,"Dentro do Prazo","Fora do Prazo")</f>
        <v>Fora do Prazo</v>
      </c>
      <c r="AJ403" s="36" t="e">
        <v>#REF!</v>
      </c>
    </row>
    <row r="404" spans="1:36">
      <c r="A404" s="19" t="s">
        <v>705</v>
      </c>
      <c r="B404" s="20"/>
      <c r="C404" s="19" t="s">
        <v>131</v>
      </c>
      <c r="D404" s="19" t="s">
        <v>132</v>
      </c>
      <c r="E404" s="19" t="s">
        <v>57</v>
      </c>
      <c r="F404" s="19" t="s">
        <v>40</v>
      </c>
      <c r="G404" s="19"/>
      <c r="H404" s="20">
        <v>2025</v>
      </c>
      <c r="I404" s="19" t="s">
        <v>41</v>
      </c>
      <c r="J404" s="19" t="s">
        <v>266</v>
      </c>
      <c r="K404" s="66" t="s">
        <v>652</v>
      </c>
      <c r="L404" s="22" t="s">
        <v>60</v>
      </c>
      <c r="M404" s="23" t="s">
        <v>268</v>
      </c>
      <c r="N404" s="36" t="s">
        <v>269</v>
      </c>
      <c r="O404" s="36" t="s">
        <v>270</v>
      </c>
      <c r="P404" s="26" t="str">
        <f>IFERROR(VLOOKUP(DadosViagem5[[#This Row],[Placa]],[1]BIP!A:E,5,FALSE),"")</f>
        <v/>
      </c>
      <c r="Q404" s="27" t="e">
        <f ca="1">DATEDIF(DadosViagem5[[#This Row],[BIP]],TODAY(),"D")</f>
        <v>#VALUE!</v>
      </c>
      <c r="R404" s="28" t="str">
        <f>IFERROR(VLOOKUP(DadosViagem5[[#This Row],[Placa]],[1]DDS!B:C,2,FALSE),"Verificar cadastro")</f>
        <v> </v>
      </c>
      <c r="S404" s="29" t="s">
        <v>48</v>
      </c>
      <c r="T404" s="23"/>
      <c r="U404" s="30"/>
      <c r="V404" s="31"/>
      <c r="W404" s="32"/>
      <c r="X404" s="33"/>
      <c r="Y404" s="34"/>
      <c r="Z404" s="32"/>
      <c r="AA404" s="20" t="s">
        <v>49</v>
      </c>
      <c r="AB404" s="20" t="s">
        <v>49</v>
      </c>
      <c r="AC404" s="19" t="s">
        <v>49</v>
      </c>
      <c r="AD404" s="19" t="str">
        <f ca="1">IFERROR(DATEDIF(DadosViagem5[[#This Row],[Utimo Bip Reserva]],TODAY(),"D"),"")</f>
        <v/>
      </c>
      <c r="AE404" s="25" t="s">
        <v>49</v>
      </c>
      <c r="AF404" s="25" t="s">
        <v>49</v>
      </c>
      <c r="AG404" s="36"/>
      <c r="AH404" s="25">
        <v>54</v>
      </c>
      <c r="AI404" s="36" t="str">
        <f>IF(DadosViagem5[[#This Row],[Dias em manutenção ]]&lt;5,"Dentro do Prazo","Fora do Prazo")</f>
        <v>Fora do Prazo</v>
      </c>
      <c r="AJ404" s="36" t="e">
        <v>#REF!</v>
      </c>
    </row>
    <row r="405" spans="1:36">
      <c r="A405" s="19" t="s">
        <v>706</v>
      </c>
      <c r="B405" s="20"/>
      <c r="C405" s="19" t="s">
        <v>88</v>
      </c>
      <c r="D405" s="19" t="s">
        <v>52</v>
      </c>
      <c r="E405" s="19" t="s">
        <v>114</v>
      </c>
      <c r="F405" s="19" t="s">
        <v>115</v>
      </c>
      <c r="G405" s="19"/>
      <c r="H405" s="20">
        <v>2021</v>
      </c>
      <c r="I405" s="19" t="s">
        <v>41</v>
      </c>
      <c r="J405" s="19" t="s">
        <v>707</v>
      </c>
      <c r="K405" s="21" t="s">
        <v>708</v>
      </c>
      <c r="L405" s="22" t="s">
        <v>60</v>
      </c>
      <c r="M405" s="23" t="s">
        <v>61</v>
      </c>
      <c r="N405" s="25" t="s">
        <v>709</v>
      </c>
      <c r="O405" s="25" t="s">
        <v>710</v>
      </c>
      <c r="P405" s="26">
        <f ca="1">IFERROR(VLOOKUP(DadosViagem5[[#This Row],[Placa]],[1]BIP!A:E,5,FALSE),"")</f>
        <v>45782</v>
      </c>
      <c r="Q405" s="27">
        <f ca="1">DATEDIF(DadosViagem5[[#This Row],[BIP]],TODAY(),"D")</f>
        <v>208</v>
      </c>
      <c r="R405" s="28" t="str">
        <f>IFERROR(VLOOKUP(DadosViagem5[[#This Row],[Placa]],[1]DDS!B:C,2,FALSE),"Verificar cadastro")</f>
        <v>Verificar cadastro</v>
      </c>
      <c r="S405" s="36" t="s">
        <v>35</v>
      </c>
      <c r="T405" s="23"/>
      <c r="U405" s="30"/>
      <c r="V405" s="31"/>
      <c r="W405" s="32" t="s">
        <v>711</v>
      </c>
      <c r="X405" s="33"/>
      <c r="Y405" s="34"/>
      <c r="Z405" s="42"/>
      <c r="AA405" s="20" t="s">
        <v>49</v>
      </c>
      <c r="AB405" s="20" t="s">
        <v>49</v>
      </c>
      <c r="AC405" s="19" t="s">
        <v>49</v>
      </c>
      <c r="AD405" s="19" t="str">
        <f ca="1">IFERROR(DATEDIF(DadosViagem5[[#This Row],[Utimo Bip Reserva]],TODAY(),"D"),"")</f>
        <v/>
      </c>
      <c r="AE405" s="36" t="s">
        <v>712</v>
      </c>
      <c r="AF405" s="25" t="s">
        <v>49</v>
      </c>
      <c r="AG405" s="30" t="s">
        <v>153</v>
      </c>
      <c r="AH405" s="25">
        <v>24</v>
      </c>
      <c r="AI405" s="36" t="str">
        <f>IF(DadosViagem5[[#This Row],[Dias em manutenção ]]&lt;5,"Dentro do Prazo","Fora do Prazo")</f>
        <v>Fora do Prazo</v>
      </c>
      <c r="AJ405" s="36" t="e">
        <v>#REF!</v>
      </c>
    </row>
    <row r="406" spans="1:36">
      <c r="A406" s="19" t="s">
        <v>713</v>
      </c>
      <c r="B406" s="20"/>
      <c r="C406" s="19" t="s">
        <v>88</v>
      </c>
      <c r="D406" s="19" t="s">
        <v>52</v>
      </c>
      <c r="E406" s="19" t="s">
        <v>114</v>
      </c>
      <c r="F406" s="19" t="s">
        <v>115</v>
      </c>
      <c r="G406" s="19"/>
      <c r="H406" s="20">
        <v>2022</v>
      </c>
      <c r="I406" s="19" t="s">
        <v>41</v>
      </c>
      <c r="J406" s="19" t="s">
        <v>707</v>
      </c>
      <c r="K406" s="21" t="s">
        <v>708</v>
      </c>
      <c r="L406" s="22" t="s">
        <v>60</v>
      </c>
      <c r="M406" s="23" t="s">
        <v>61</v>
      </c>
      <c r="N406" s="25" t="s">
        <v>709</v>
      </c>
      <c r="O406" s="25" t="s">
        <v>710</v>
      </c>
      <c r="P406" s="26">
        <f ca="1">IFERROR(VLOOKUP(DadosViagem5[[#This Row],[Placa]],[1]BIP!A:E,5,FALSE),"")</f>
        <v>45929</v>
      </c>
      <c r="Q406" s="27">
        <f ca="1">DATEDIF(DadosViagem5[[#This Row],[BIP]],TODAY(),"D")</f>
        <v>61</v>
      </c>
      <c r="R406" s="28" t="str">
        <f>IFERROR(VLOOKUP(DadosViagem5[[#This Row],[Placa]],[1]DDS!B:C,2,FALSE),"Verificar cadastro")</f>
        <v>Sem operação</v>
      </c>
      <c r="S406" s="36" t="s">
        <v>35</v>
      </c>
      <c r="T406" s="23"/>
      <c r="U406" s="30"/>
      <c r="V406" s="31"/>
      <c r="W406" s="32" t="s">
        <v>714</v>
      </c>
      <c r="X406" s="33"/>
      <c r="Y406" s="34"/>
      <c r="Z406" s="32"/>
      <c r="AA406" s="20" t="s">
        <v>49</v>
      </c>
      <c r="AB406" s="20" t="s">
        <v>49</v>
      </c>
      <c r="AC406" s="19" t="s">
        <v>49</v>
      </c>
      <c r="AD406" s="19" t="str">
        <f ca="1">IFERROR(DATEDIF(DadosViagem5[[#This Row],[Utimo Bip Reserva]],TODAY(),"D"),"")</f>
        <v/>
      </c>
      <c r="AE406" s="36" t="s">
        <v>49</v>
      </c>
      <c r="AF406" s="25" t="s">
        <v>49</v>
      </c>
      <c r="AG406" s="36"/>
      <c r="AH406" s="25">
        <v>45807</v>
      </c>
      <c r="AI406" s="36" t="str">
        <f>IF(DadosViagem5[[#This Row],[Dias em manutenção ]]&lt;5,"Dentro do Prazo","Fora do Prazo")</f>
        <v>Fora do Prazo</v>
      </c>
      <c r="AJ406" s="36" t="e">
        <v>#REF!</v>
      </c>
    </row>
    <row r="407" spans="1:36">
      <c r="A407" s="19" t="s">
        <v>715</v>
      </c>
      <c r="B407" s="20"/>
      <c r="C407" s="19" t="s">
        <v>88</v>
      </c>
      <c r="D407" s="19" t="s">
        <v>52</v>
      </c>
      <c r="E407" s="19" t="s">
        <v>114</v>
      </c>
      <c r="F407" s="19" t="s">
        <v>115</v>
      </c>
      <c r="G407" s="19"/>
      <c r="H407" s="20">
        <v>2022</v>
      </c>
      <c r="I407" s="19" t="s">
        <v>41</v>
      </c>
      <c r="J407" s="19" t="s">
        <v>707</v>
      </c>
      <c r="K407" s="21" t="s">
        <v>708</v>
      </c>
      <c r="L407" s="22" t="s">
        <v>60</v>
      </c>
      <c r="M407" s="23" t="s">
        <v>61</v>
      </c>
      <c r="N407" s="25" t="s">
        <v>709</v>
      </c>
      <c r="O407" s="25" t="s">
        <v>710</v>
      </c>
      <c r="P407" s="26">
        <f ca="1">IFERROR(VLOOKUP(DadosViagem5[[#This Row],[Placa]],[1]BIP!A:E,5,FALSE),"")</f>
        <v>45935</v>
      </c>
      <c r="Q407" s="27">
        <f ca="1">DATEDIF(DadosViagem5[[#This Row],[BIP]],TODAY(),"D")</f>
        <v>55</v>
      </c>
      <c r="R407" s="28" t="str">
        <f>IFERROR(VLOOKUP(DadosViagem5[[#This Row],[Placa]],[1]DDS!B:C,2,FALSE),"Verificar cadastro")</f>
        <v>Sem operação</v>
      </c>
      <c r="S407" s="29" t="s">
        <v>48</v>
      </c>
      <c r="T407" s="23"/>
      <c r="U407" s="30"/>
      <c r="V407" s="31"/>
      <c r="W407" s="32"/>
      <c r="X407" s="33"/>
      <c r="Y407" s="34"/>
      <c r="Z407" s="32"/>
      <c r="AA407" s="20" t="s">
        <v>49</v>
      </c>
      <c r="AB407" s="20" t="s">
        <v>49</v>
      </c>
      <c r="AC407" s="19" t="s">
        <v>49</v>
      </c>
      <c r="AD407" s="19" t="str">
        <f ca="1">IFERROR(DATEDIF(DadosViagem5[[#This Row],[Utimo Bip Reserva]],TODAY(),"D"),"")</f>
        <v/>
      </c>
      <c r="AE407" s="36" t="s">
        <v>716</v>
      </c>
      <c r="AF407" s="25" t="s">
        <v>49</v>
      </c>
      <c r="AG407" s="36"/>
      <c r="AH407" s="25">
        <v>45807</v>
      </c>
      <c r="AI407" s="36" t="str">
        <f>IF(DadosViagem5[[#This Row],[Dias em manutenção ]]&lt;5,"Dentro do Prazo","Fora do Prazo")</f>
        <v>Fora do Prazo</v>
      </c>
      <c r="AJ407" s="36" t="e">
        <v>#REF!</v>
      </c>
    </row>
    <row r="408" spans="1:36">
      <c r="A408" s="19" t="s">
        <v>717</v>
      </c>
      <c r="B408" s="20"/>
      <c r="C408" s="19" t="s">
        <v>88</v>
      </c>
      <c r="D408" s="19" t="s">
        <v>52</v>
      </c>
      <c r="E408" s="19" t="s">
        <v>114</v>
      </c>
      <c r="F408" s="19" t="s">
        <v>115</v>
      </c>
      <c r="G408" s="19"/>
      <c r="H408" s="20">
        <v>2022</v>
      </c>
      <c r="I408" s="19" t="s">
        <v>41</v>
      </c>
      <c r="J408" s="37" t="s">
        <v>707</v>
      </c>
      <c r="K408" s="38" t="s">
        <v>708</v>
      </c>
      <c r="L408" s="22" t="s">
        <v>60</v>
      </c>
      <c r="M408" s="23" t="s">
        <v>61</v>
      </c>
      <c r="N408" s="25" t="s">
        <v>709</v>
      </c>
      <c r="O408" s="40" t="s">
        <v>710</v>
      </c>
      <c r="P408" s="26">
        <f ca="1">IFERROR(VLOOKUP(DadosViagem5[[#This Row],[Placa]],[1]BIP!A:E,5,FALSE),"")</f>
        <v>45938</v>
      </c>
      <c r="Q408" s="27">
        <f ca="1">DATEDIF(DadosViagem5[[#This Row],[BIP]],TODAY(),"D")</f>
        <v>52</v>
      </c>
      <c r="R408" s="28" t="str">
        <f>IFERROR(VLOOKUP(DadosViagem5[[#This Row],[Placa]],[1]DDS!B:C,2,FALSE),"Verificar cadastro")</f>
        <v>Sem operação</v>
      </c>
      <c r="S408" s="29" t="s">
        <v>48</v>
      </c>
      <c r="T408" s="23"/>
      <c r="U408" s="30"/>
      <c r="V408" s="31"/>
      <c r="W408" s="32"/>
      <c r="X408" s="33"/>
      <c r="Y408" s="34"/>
      <c r="Z408" s="32"/>
      <c r="AA408" s="20" t="s">
        <v>49</v>
      </c>
      <c r="AB408" s="20" t="s">
        <v>49</v>
      </c>
      <c r="AC408" s="19" t="s">
        <v>49</v>
      </c>
      <c r="AD408" s="19" t="str">
        <f ca="1">IFERROR(DATEDIF(DadosViagem5[[#This Row],[Utimo Bip Reserva]],TODAY(),"D"),"")</f>
        <v/>
      </c>
      <c r="AE408" s="36" t="s">
        <v>49</v>
      </c>
      <c r="AF408" s="25" t="s">
        <v>49</v>
      </c>
      <c r="AG408" s="36"/>
      <c r="AH408" s="25">
        <v>45807</v>
      </c>
      <c r="AI408" s="36" t="str">
        <f>IF(DadosViagem5[[#This Row],[Dias em manutenção ]]&lt;5,"Dentro do Prazo","Fora do Prazo")</f>
        <v>Fora do Prazo</v>
      </c>
      <c r="AJ408" s="36" t="e">
        <v>#REF!</v>
      </c>
    </row>
    <row r="409" spans="1:36">
      <c r="A409" s="19" t="s">
        <v>718</v>
      </c>
      <c r="B409" s="20"/>
      <c r="C409" s="19" t="s">
        <v>88</v>
      </c>
      <c r="D409" s="19" t="s">
        <v>52</v>
      </c>
      <c r="E409" s="19" t="s">
        <v>114</v>
      </c>
      <c r="F409" s="19" t="s">
        <v>115</v>
      </c>
      <c r="G409" s="19"/>
      <c r="H409" s="20">
        <v>2022</v>
      </c>
      <c r="I409" s="19" t="s">
        <v>41</v>
      </c>
      <c r="J409" s="19" t="s">
        <v>707</v>
      </c>
      <c r="K409" s="21" t="s">
        <v>708</v>
      </c>
      <c r="L409" s="22" t="s">
        <v>60</v>
      </c>
      <c r="M409" s="23" t="s">
        <v>61</v>
      </c>
      <c r="N409" s="25" t="s">
        <v>709</v>
      </c>
      <c r="O409" s="25" t="s">
        <v>710</v>
      </c>
      <c r="P409" s="26">
        <f ca="1">IFERROR(VLOOKUP(DadosViagem5[[#This Row],[Placa]],[1]BIP!A:E,5,FALSE),"")</f>
        <v>45930</v>
      </c>
      <c r="Q409" s="27">
        <f ca="1">DATEDIF(DadosViagem5[[#This Row],[BIP]],TODAY(),"D")</f>
        <v>60</v>
      </c>
      <c r="R409" s="28" t="str">
        <f>IFERROR(VLOOKUP(DadosViagem5[[#This Row],[Placa]],[1]DDS!B:C,2,FALSE),"Verificar cadastro")</f>
        <v>Sem operação</v>
      </c>
      <c r="S409" s="36" t="s">
        <v>35</v>
      </c>
      <c r="T409" s="23"/>
      <c r="U409" s="30"/>
      <c r="V409" s="31"/>
      <c r="W409" s="32" t="s">
        <v>714</v>
      </c>
      <c r="X409" s="33"/>
      <c r="Y409" s="34"/>
      <c r="Z409" s="32"/>
      <c r="AA409" s="20" t="s">
        <v>49</v>
      </c>
      <c r="AB409" s="20" t="s">
        <v>49</v>
      </c>
      <c r="AC409" s="19" t="s">
        <v>49</v>
      </c>
      <c r="AD409" s="19" t="str">
        <f ca="1">IFERROR(DATEDIF(DadosViagem5[[#This Row],[Utimo Bip Reserva]],TODAY(),"D"),"")</f>
        <v/>
      </c>
      <c r="AE409" s="36" t="s">
        <v>49</v>
      </c>
      <c r="AF409" s="25" t="s">
        <v>49</v>
      </c>
      <c r="AG409" s="36"/>
      <c r="AH409" s="25">
        <v>45807</v>
      </c>
      <c r="AI409" s="36" t="str">
        <f>IF(DadosViagem5[[#This Row],[Dias em manutenção ]]&lt;5,"Dentro do Prazo","Fora do Prazo")</f>
        <v>Fora do Prazo</v>
      </c>
      <c r="AJ409" s="36" t="e">
        <v>#REF!</v>
      </c>
    </row>
    <row r="410" spans="1:36">
      <c r="A410" s="19" t="s">
        <v>719</v>
      </c>
      <c r="B410" s="20"/>
      <c r="C410" s="19" t="s">
        <v>88</v>
      </c>
      <c r="D410" s="19" t="s">
        <v>52</v>
      </c>
      <c r="E410" s="19" t="s">
        <v>114</v>
      </c>
      <c r="F410" s="19" t="s">
        <v>115</v>
      </c>
      <c r="G410" s="19"/>
      <c r="H410" s="20">
        <v>2021</v>
      </c>
      <c r="I410" s="19" t="s">
        <v>41</v>
      </c>
      <c r="J410" s="19" t="s">
        <v>707</v>
      </c>
      <c r="K410" s="21" t="s">
        <v>708</v>
      </c>
      <c r="L410" s="22" t="s">
        <v>60</v>
      </c>
      <c r="M410" s="23" t="s">
        <v>61</v>
      </c>
      <c r="N410" s="25" t="s">
        <v>709</v>
      </c>
      <c r="O410" s="25" t="s">
        <v>710</v>
      </c>
      <c r="P410" s="26">
        <f ca="1">IFERROR(VLOOKUP(DadosViagem5[[#This Row],[Placa]],[1]BIP!A:E,5,FALSE),"")</f>
        <v>45981</v>
      </c>
      <c r="Q410" s="27">
        <f ca="1">DATEDIF(DadosViagem5[[#This Row],[BIP]],TODAY(),"D")</f>
        <v>9</v>
      </c>
      <c r="R410" s="28" t="str">
        <f>IFERROR(VLOOKUP(DadosViagem5[[#This Row],[Placa]],[1]DDS!B:C,2,FALSE),"Verificar cadastro")</f>
        <v>Falta Motorista</v>
      </c>
      <c r="S410" s="29" t="s">
        <v>48</v>
      </c>
      <c r="T410" s="23"/>
      <c r="U410" s="30"/>
      <c r="V410" s="31"/>
      <c r="W410" s="32"/>
      <c r="X410" s="33"/>
      <c r="Y410" s="34"/>
      <c r="Z410" s="32"/>
      <c r="AA410" s="20" t="s">
        <v>49</v>
      </c>
      <c r="AB410" s="20" t="s">
        <v>49</v>
      </c>
      <c r="AC410" s="19" t="s">
        <v>49</v>
      </c>
      <c r="AD410" s="19" t="str">
        <f ca="1">IFERROR(DATEDIF(DadosViagem5[[#This Row],[Utimo Bip Reserva]],TODAY(),"D"),"")</f>
        <v/>
      </c>
      <c r="AE410" s="36" t="s">
        <v>49</v>
      </c>
      <c r="AF410" s="25" t="s">
        <v>49</v>
      </c>
      <c r="AG410" s="30"/>
      <c r="AH410" s="25">
        <v>11</v>
      </c>
      <c r="AI410" s="36" t="str">
        <f>IF(DadosViagem5[[#This Row],[Dias em manutenção ]]&lt;5,"Dentro do Prazo","Fora do Prazo")</f>
        <v>Fora do Prazo</v>
      </c>
      <c r="AJ410" s="36" t="e">
        <v>#REF!</v>
      </c>
    </row>
    <row r="411" spans="1:36">
      <c r="A411" s="19" t="s">
        <v>720</v>
      </c>
      <c r="B411" s="20"/>
      <c r="C411" s="19" t="s">
        <v>74</v>
      </c>
      <c r="D411" s="19" t="s">
        <v>52</v>
      </c>
      <c r="E411" s="19" t="s">
        <v>57</v>
      </c>
      <c r="F411" s="19" t="s">
        <v>40</v>
      </c>
      <c r="G411" s="19"/>
      <c r="H411" s="20">
        <v>2023</v>
      </c>
      <c r="I411" s="19" t="s">
        <v>41</v>
      </c>
      <c r="J411" s="19" t="s">
        <v>707</v>
      </c>
      <c r="K411" s="21" t="s">
        <v>708</v>
      </c>
      <c r="L411" s="22" t="s">
        <v>60</v>
      </c>
      <c r="M411" s="23" t="s">
        <v>77</v>
      </c>
      <c r="N411" s="25" t="s">
        <v>709</v>
      </c>
      <c r="O411" s="25" t="s">
        <v>710</v>
      </c>
      <c r="P411" s="26">
        <f ca="1">IFERROR(VLOOKUP(DadosViagem5[[#This Row],[Placa]],[1]BIP!A:E,5,FALSE),"")</f>
        <v>45989</v>
      </c>
      <c r="Q411" s="27">
        <f ca="1">DATEDIF(DadosViagem5[[#This Row],[BIP]],TODAY(),"D")</f>
        <v>1</v>
      </c>
      <c r="R411" s="28" t="str">
        <f>IFERROR(VLOOKUP(DadosViagem5[[#This Row],[Placa]],[1]DDS!B:C,2,FALSE),"Verificar cadastro")</f>
        <v>Operando</v>
      </c>
      <c r="S411" s="29" t="s">
        <v>48</v>
      </c>
      <c r="T411" s="23"/>
      <c r="U411" s="30"/>
      <c r="V411" s="31"/>
      <c r="W411" s="32"/>
      <c r="X411" s="33"/>
      <c r="Y411" s="34"/>
      <c r="Z411" s="32"/>
      <c r="AA411" s="20" t="s">
        <v>49</v>
      </c>
      <c r="AB411" s="20" t="s">
        <v>49</v>
      </c>
      <c r="AC411" s="19" t="s">
        <v>49</v>
      </c>
      <c r="AD411" s="19" t="str">
        <f ca="1">IFERROR(DATEDIF(DadosViagem5[[#This Row],[Utimo Bip Reserva]],TODAY(),"D"),"")</f>
        <v/>
      </c>
      <c r="AE411" s="36" t="s">
        <v>49</v>
      </c>
      <c r="AF411" s="25" t="s">
        <v>49</v>
      </c>
      <c r="AG411" s="36"/>
      <c r="AH411" s="25">
        <v>45807</v>
      </c>
      <c r="AI411" s="36" t="str">
        <f>IF(DadosViagem5[[#This Row],[Dias em manutenção ]]&lt;5,"Dentro do Prazo","Fora do Prazo")</f>
        <v>Fora do Prazo</v>
      </c>
      <c r="AJ411" s="36" t="e">
        <v>#REF!</v>
      </c>
    </row>
    <row r="412" spans="1:36">
      <c r="A412" s="19" t="s">
        <v>721</v>
      </c>
      <c r="B412" s="20"/>
      <c r="C412" s="19" t="s">
        <v>74</v>
      </c>
      <c r="D412" s="19" t="s">
        <v>52</v>
      </c>
      <c r="E412" s="19" t="s">
        <v>57</v>
      </c>
      <c r="F412" s="19" t="s">
        <v>40</v>
      </c>
      <c r="G412" s="19"/>
      <c r="H412" s="20">
        <v>2023</v>
      </c>
      <c r="I412" s="19" t="s">
        <v>41</v>
      </c>
      <c r="J412" s="19" t="s">
        <v>707</v>
      </c>
      <c r="K412" s="21" t="s">
        <v>708</v>
      </c>
      <c r="L412" s="22" t="s">
        <v>60</v>
      </c>
      <c r="M412" s="23" t="s">
        <v>77</v>
      </c>
      <c r="N412" s="25" t="s">
        <v>709</v>
      </c>
      <c r="O412" s="25" t="s">
        <v>710</v>
      </c>
      <c r="P412" s="26">
        <f ca="1">IFERROR(VLOOKUP(DadosViagem5[[#This Row],[Placa]],[1]BIP!A:E,5,FALSE),"")</f>
        <v>45989</v>
      </c>
      <c r="Q412" s="27">
        <f ca="1">DATEDIF(DadosViagem5[[#This Row],[BIP]],TODAY(),"D")</f>
        <v>1</v>
      </c>
      <c r="R412" s="28" t="str">
        <f>IFERROR(VLOOKUP(DadosViagem5[[#This Row],[Placa]],[1]DDS!B:C,2,FALSE),"Verificar cadastro")</f>
        <v>Operando</v>
      </c>
      <c r="S412" s="29" t="s">
        <v>48</v>
      </c>
      <c r="T412" s="23"/>
      <c r="U412" s="30"/>
      <c r="V412" s="31"/>
      <c r="W412" s="32"/>
      <c r="X412" s="33"/>
      <c r="Y412" s="34"/>
      <c r="Z412" s="43"/>
      <c r="AA412" s="20" t="s">
        <v>49</v>
      </c>
      <c r="AB412" s="20" t="s">
        <v>49</v>
      </c>
      <c r="AC412" s="19" t="s">
        <v>49</v>
      </c>
      <c r="AD412" s="19" t="str">
        <f ca="1">IFERROR(DATEDIF(DadosViagem5[[#This Row],[Utimo Bip Reserva]],TODAY(),"D"),"")</f>
        <v/>
      </c>
      <c r="AE412" s="35" t="s">
        <v>49</v>
      </c>
      <c r="AF412" s="35" t="s">
        <v>49</v>
      </c>
      <c r="AG412" s="36"/>
      <c r="AH412" s="25">
        <v>45807</v>
      </c>
      <c r="AI412" s="36" t="str">
        <f>IF(DadosViagem5[[#This Row],[Dias em manutenção ]]&lt;5,"Dentro do Prazo","Fora do Prazo")</f>
        <v>Fora do Prazo</v>
      </c>
      <c r="AJ412" s="36" t="e">
        <v>#REF!</v>
      </c>
    </row>
    <row r="413" spans="1:36">
      <c r="A413" s="19" t="s">
        <v>722</v>
      </c>
      <c r="B413" s="20"/>
      <c r="C413" s="19" t="s">
        <v>74</v>
      </c>
      <c r="D413" s="19" t="s">
        <v>52</v>
      </c>
      <c r="E413" s="19" t="s">
        <v>75</v>
      </c>
      <c r="F413" s="19" t="s">
        <v>115</v>
      </c>
      <c r="G413" s="90"/>
      <c r="H413" s="20">
        <v>2023</v>
      </c>
      <c r="I413" s="90" t="s">
        <v>41</v>
      </c>
      <c r="J413" s="90" t="s">
        <v>707</v>
      </c>
      <c r="K413" s="21" t="s">
        <v>708</v>
      </c>
      <c r="L413" s="22" t="s">
        <v>60</v>
      </c>
      <c r="M413" s="23" t="s">
        <v>77</v>
      </c>
      <c r="N413" s="25" t="s">
        <v>709</v>
      </c>
      <c r="O413" s="25" t="s">
        <v>710</v>
      </c>
      <c r="P413" s="26">
        <f ca="1">IFERROR(VLOOKUP(DadosViagem5[[#This Row],[Placa]],[1]BIP!A:E,5,FALSE),"")</f>
        <v>45989</v>
      </c>
      <c r="Q413" s="27">
        <f ca="1">DATEDIF(DadosViagem5[[#This Row],[BIP]],TODAY(),"D")</f>
        <v>1</v>
      </c>
      <c r="R413" s="28" t="str">
        <f>IFERROR(VLOOKUP(DadosViagem5[[#This Row],[Placa]],[1]DDS!B:C,2,FALSE),"Verificar cadastro")</f>
        <v>Operando</v>
      </c>
      <c r="S413" s="29" t="s">
        <v>48</v>
      </c>
      <c r="T413" s="23"/>
      <c r="U413" s="30"/>
      <c r="V413" s="31"/>
      <c r="W413" s="32" t="s">
        <v>723</v>
      </c>
      <c r="X413" s="33"/>
      <c r="Y413" s="34"/>
      <c r="Z413" s="32"/>
      <c r="AA413" s="20" t="s">
        <v>49</v>
      </c>
      <c r="AB413" s="20" t="s">
        <v>49</v>
      </c>
      <c r="AC413" s="19" t="s">
        <v>49</v>
      </c>
      <c r="AD413" s="19" t="str">
        <f ca="1">IFERROR(DATEDIF(DadosViagem5[[#This Row],[Utimo Bip Reserva]],TODAY(),"D"),"")</f>
        <v/>
      </c>
      <c r="AE413" s="36"/>
      <c r="AF413" s="25"/>
      <c r="AG413" s="36"/>
      <c r="AH413" s="25">
        <v>45807</v>
      </c>
      <c r="AI413" s="36" t="str">
        <f>IF(DadosViagem5[[#This Row],[Dias em manutenção ]]&lt;5,"Dentro do Prazo","Fora do Prazo")</f>
        <v>Fora do Prazo</v>
      </c>
      <c r="AJ413" s="36" t="e">
        <v>#REF!</v>
      </c>
    </row>
    <row r="414" spans="1:36">
      <c r="A414" s="19" t="s">
        <v>724</v>
      </c>
      <c r="B414" s="20"/>
      <c r="C414" s="19" t="s">
        <v>74</v>
      </c>
      <c r="D414" s="19" t="s">
        <v>52</v>
      </c>
      <c r="E414" s="19" t="s">
        <v>75</v>
      </c>
      <c r="F414" s="19" t="s">
        <v>115</v>
      </c>
      <c r="G414" s="19"/>
      <c r="H414" s="20">
        <v>2023</v>
      </c>
      <c r="I414" s="19" t="s">
        <v>41</v>
      </c>
      <c r="J414" s="19" t="s">
        <v>707</v>
      </c>
      <c r="K414" s="21" t="s">
        <v>708</v>
      </c>
      <c r="L414" s="22" t="s">
        <v>60</v>
      </c>
      <c r="M414" s="23" t="s">
        <v>77</v>
      </c>
      <c r="N414" s="25" t="s">
        <v>709</v>
      </c>
      <c r="O414" s="25" t="s">
        <v>710</v>
      </c>
      <c r="P414" s="26">
        <f ca="1">IFERROR(VLOOKUP(DadosViagem5[[#This Row],[Placa]],[1]BIP!A:E,5,FALSE),"")</f>
        <v>45989</v>
      </c>
      <c r="Q414" s="27">
        <f ca="1">DATEDIF(DadosViagem5[[#This Row],[BIP]],TODAY(),"D")</f>
        <v>1</v>
      </c>
      <c r="R414" s="28" t="str">
        <f>IFERROR(VLOOKUP(DadosViagem5[[#This Row],[Placa]],[1]DDS!B:C,2,FALSE),"Verificar cadastro")</f>
        <v>Operando</v>
      </c>
      <c r="S414" s="29" t="s">
        <v>48</v>
      </c>
      <c r="T414" s="23"/>
      <c r="U414" s="30"/>
      <c r="V414" s="31"/>
      <c r="W414" s="32"/>
      <c r="X414" s="33"/>
      <c r="Y414" s="34"/>
      <c r="Z414" s="32"/>
      <c r="AA414" s="20" t="s">
        <v>49</v>
      </c>
      <c r="AB414" s="20" t="s">
        <v>49</v>
      </c>
      <c r="AC414" s="19" t="s">
        <v>49</v>
      </c>
      <c r="AD414" s="19" t="str">
        <f ca="1">IFERROR(DATEDIF(DadosViagem5[[#This Row],[Utimo Bip Reserva]],TODAY(),"D"),"")</f>
        <v/>
      </c>
      <c r="AE414" s="36"/>
      <c r="AF414" s="25"/>
      <c r="AG414" s="36"/>
      <c r="AH414" s="25">
        <v>45807</v>
      </c>
      <c r="AI414" s="36" t="str">
        <f>IF(DadosViagem5[[#This Row],[Dias em manutenção ]]&lt;5,"Dentro do Prazo","Fora do Prazo")</f>
        <v>Fora do Prazo</v>
      </c>
      <c r="AJ414" s="36" t="e">
        <v>#REF!</v>
      </c>
    </row>
    <row r="415" spans="1:36">
      <c r="A415" s="19" t="s">
        <v>725</v>
      </c>
      <c r="B415" s="20"/>
      <c r="C415" s="19" t="s">
        <v>88</v>
      </c>
      <c r="D415" s="19" t="s">
        <v>52</v>
      </c>
      <c r="E415" s="19" t="s">
        <v>114</v>
      </c>
      <c r="F415" s="19" t="s">
        <v>115</v>
      </c>
      <c r="G415" s="19"/>
      <c r="H415" s="20">
        <v>2022</v>
      </c>
      <c r="I415" s="19" t="s">
        <v>41</v>
      </c>
      <c r="J415" s="19" t="s">
        <v>707</v>
      </c>
      <c r="K415" s="21" t="s">
        <v>708</v>
      </c>
      <c r="L415" s="22" t="s">
        <v>60</v>
      </c>
      <c r="M415" s="23" t="s">
        <v>61</v>
      </c>
      <c r="N415" s="25" t="s">
        <v>709</v>
      </c>
      <c r="O415" s="25" t="s">
        <v>710</v>
      </c>
      <c r="P415" s="26">
        <f ca="1">IFERROR(VLOOKUP(DadosViagem5[[#This Row],[Placa]],[1]BIP!A:E,5,FALSE),"")</f>
        <v>45978</v>
      </c>
      <c r="Q415" s="27">
        <f ca="1">DATEDIF(DadosViagem5[[#This Row],[BIP]],TODAY(),"D")</f>
        <v>12</v>
      </c>
      <c r="R415" s="28" t="str">
        <f>IFERROR(VLOOKUP(DadosViagem5[[#This Row],[Placa]],[1]DDS!B:C,2,FALSE),"Verificar cadastro")</f>
        <v>Falta Motorista</v>
      </c>
      <c r="S415" s="29" t="s">
        <v>48</v>
      </c>
      <c r="T415" s="23"/>
      <c r="U415" s="30"/>
      <c r="V415" s="31"/>
      <c r="W415" s="32"/>
      <c r="X415" s="33"/>
      <c r="Y415" s="34"/>
      <c r="Z415" s="32"/>
      <c r="AA415" s="20" t="s">
        <v>49</v>
      </c>
      <c r="AB415" s="20" t="s">
        <v>49</v>
      </c>
      <c r="AC415" s="20" t="s">
        <v>49</v>
      </c>
      <c r="AD415" s="20" t="s">
        <v>49</v>
      </c>
      <c r="AE415" s="36"/>
      <c r="AF415" s="25" t="s">
        <v>49</v>
      </c>
      <c r="AG415" s="36"/>
      <c r="AH415" s="25">
        <v>45807</v>
      </c>
      <c r="AI415" s="36" t="str">
        <f>IF(DadosViagem5[[#This Row],[Dias em manutenção ]]&lt;5,"Dentro do Prazo","Fora do Prazo")</f>
        <v>Fora do Prazo</v>
      </c>
      <c r="AJ415" s="36" t="e">
        <v>#REF!</v>
      </c>
    </row>
    <row r="416" spans="1:36">
      <c r="A416" s="19" t="s">
        <v>726</v>
      </c>
      <c r="B416" s="20"/>
      <c r="C416" s="19" t="s">
        <v>74</v>
      </c>
      <c r="D416" s="19" t="s">
        <v>52</v>
      </c>
      <c r="E416" s="19" t="s">
        <v>75</v>
      </c>
      <c r="F416" s="19" t="s">
        <v>76</v>
      </c>
      <c r="G416" s="19"/>
      <c r="H416" s="20">
        <v>2024</v>
      </c>
      <c r="I416" s="19" t="s">
        <v>41</v>
      </c>
      <c r="J416" s="19" t="s">
        <v>707</v>
      </c>
      <c r="K416" s="21" t="s">
        <v>708</v>
      </c>
      <c r="L416" s="22" t="s">
        <v>60</v>
      </c>
      <c r="M416" s="23" t="s">
        <v>77</v>
      </c>
      <c r="N416" s="25" t="s">
        <v>709</v>
      </c>
      <c r="O416" s="25" t="s">
        <v>710</v>
      </c>
      <c r="P416" s="26">
        <f ca="1">IFERROR(VLOOKUP(DadosViagem5[[#This Row],[Placa]],[1]BIP!A:E,5,FALSE),"")</f>
        <v>45989</v>
      </c>
      <c r="Q416" s="27">
        <f ca="1">DATEDIF(DadosViagem5[[#This Row],[BIP]],TODAY(),"D")</f>
        <v>1</v>
      </c>
      <c r="R416" s="28" t="str">
        <f>IFERROR(VLOOKUP(DadosViagem5[[#This Row],[Placa]],[1]DDS!B:C,2,FALSE),"Verificar cadastro")</f>
        <v>Operando</v>
      </c>
      <c r="S416" s="29" t="s">
        <v>48</v>
      </c>
      <c r="T416" s="23"/>
      <c r="U416" s="30"/>
      <c r="V416" s="31"/>
      <c r="W416" s="32"/>
      <c r="X416" s="33"/>
      <c r="Y416" s="34"/>
      <c r="Z416" s="32"/>
      <c r="AA416" s="20" t="s">
        <v>49</v>
      </c>
      <c r="AB416" s="20" t="s">
        <v>49</v>
      </c>
      <c r="AC416" s="19" t="s">
        <v>49</v>
      </c>
      <c r="AD416" s="19" t="str">
        <f ca="1">IFERROR(DATEDIF(DadosViagem5[[#This Row],[Utimo Bip Reserva]],TODAY(),"D"),"")</f>
        <v/>
      </c>
      <c r="AE416" s="25" t="s">
        <v>49</v>
      </c>
      <c r="AF416" s="25" t="s">
        <v>49</v>
      </c>
      <c r="AG416" s="36"/>
      <c r="AH416" s="25">
        <v>45807</v>
      </c>
      <c r="AI416" s="36" t="str">
        <f>IF(DadosViagem5[[#This Row],[Dias em manutenção ]]&lt;5,"Dentro do Prazo","Fora do Prazo")</f>
        <v>Fora do Prazo</v>
      </c>
      <c r="AJ416" s="36" t="e">
        <v>#REF!</v>
      </c>
    </row>
    <row r="417" spans="1:36">
      <c r="A417" s="19" t="s">
        <v>727</v>
      </c>
      <c r="B417" s="20"/>
      <c r="C417" s="19" t="s">
        <v>71</v>
      </c>
      <c r="D417" s="19" t="s">
        <v>38</v>
      </c>
      <c r="E417" s="19" t="s">
        <v>72</v>
      </c>
      <c r="F417" s="19" t="s">
        <v>115</v>
      </c>
      <c r="G417" s="19"/>
      <c r="H417" s="20">
        <v>2024</v>
      </c>
      <c r="I417" s="19" t="s">
        <v>41</v>
      </c>
      <c r="J417" s="19" t="s">
        <v>451</v>
      </c>
      <c r="K417" s="21" t="s">
        <v>452</v>
      </c>
      <c r="L417" s="22" t="s">
        <v>60</v>
      </c>
      <c r="M417" s="23" t="s">
        <v>61</v>
      </c>
      <c r="N417" s="36" t="s">
        <v>728</v>
      </c>
      <c r="O417" s="65" t="s">
        <v>63</v>
      </c>
      <c r="P417" s="26">
        <f ca="1">IFERROR(VLOOKUP(DadosViagem5[[#This Row],[Placa]],[1]BIP!A:E,5,FALSE),"")</f>
        <v>45984</v>
      </c>
      <c r="Q417" s="27">
        <f ca="1">DATEDIF(DadosViagem5[[#This Row],[BIP]],TODAY(),"D")</f>
        <v>6</v>
      </c>
      <c r="R417" s="28"/>
      <c r="S417" s="29" t="s">
        <v>48</v>
      </c>
      <c r="T417" s="23"/>
      <c r="U417" s="30"/>
      <c r="V417" s="31"/>
      <c r="W417" s="32" t="s">
        <v>729</v>
      </c>
      <c r="X417" s="57"/>
      <c r="Y417" s="86"/>
      <c r="Z417" s="58"/>
      <c r="AA417" s="20" t="s">
        <v>49</v>
      </c>
      <c r="AB417" s="20"/>
      <c r="AC417" s="19" t="s">
        <v>49</v>
      </c>
      <c r="AD417" s="19" t="str">
        <f ca="1">IFERROR(DATEDIF(DadosViagem5[[#This Row],[Utimo Bip Reserva]],TODAY(),"D"),"")</f>
        <v/>
      </c>
      <c r="AE417" s="25" t="s">
        <v>49</v>
      </c>
      <c r="AF417" s="25" t="s">
        <v>49</v>
      </c>
      <c r="AG417" s="36" t="s">
        <v>540</v>
      </c>
      <c r="AH417" s="25">
        <v>15</v>
      </c>
      <c r="AI417" s="36" t="str">
        <f>IF(DadosViagem5[[#This Row],[Dias em manutenção ]]&lt;5,"Dentro do Prazo","Fora do Prazo")</f>
        <v>Fora do Prazo</v>
      </c>
      <c r="AJ417" s="36" t="e">
        <v>#REF!</v>
      </c>
    </row>
    <row r="418" spans="1:36">
      <c r="A418" s="19" t="s">
        <v>730</v>
      </c>
      <c r="B418" s="20"/>
      <c r="C418" s="19" t="s">
        <v>71</v>
      </c>
      <c r="D418" s="19" t="s">
        <v>38</v>
      </c>
      <c r="E418" s="19" t="s">
        <v>265</v>
      </c>
      <c r="F418" s="19" t="s">
        <v>115</v>
      </c>
      <c r="G418" s="19"/>
      <c r="H418" s="20">
        <v>2023</v>
      </c>
      <c r="I418" s="19" t="s">
        <v>41</v>
      </c>
      <c r="J418" s="19" t="s">
        <v>451</v>
      </c>
      <c r="K418" s="21" t="s">
        <v>452</v>
      </c>
      <c r="L418" s="22" t="s">
        <v>60</v>
      </c>
      <c r="M418" s="46" t="s">
        <v>61</v>
      </c>
      <c r="N418" s="36" t="s">
        <v>728</v>
      </c>
      <c r="O418" s="65" t="s">
        <v>63</v>
      </c>
      <c r="P418" s="26">
        <f ca="1">IFERROR(VLOOKUP(DadosViagem5[[#This Row],[Placa]],[1]BIP!A:E,5,FALSE),"")</f>
        <v>45989</v>
      </c>
      <c r="Q418" s="27">
        <f ca="1">DATEDIF(DadosViagem5[[#This Row],[BIP]],TODAY(),"D")</f>
        <v>1</v>
      </c>
      <c r="R418" s="28" t="str">
        <f>IFERROR(VLOOKUP(DadosViagem5[[#This Row],[Placa]],[1]DDS!B:C,2,FALSE),"Verificar cadastro")</f>
        <v>Operando</v>
      </c>
      <c r="S418" s="29" t="s">
        <v>48</v>
      </c>
      <c r="T418" s="23"/>
      <c r="U418" s="30"/>
      <c r="V418" s="31"/>
      <c r="W418" s="32" t="s">
        <v>731</v>
      </c>
      <c r="X418" s="33"/>
      <c r="Y418" s="34"/>
      <c r="Z418" s="42"/>
      <c r="AA418" s="20" t="s">
        <v>49</v>
      </c>
      <c r="AB418" s="20" t="s">
        <v>49</v>
      </c>
      <c r="AC418" s="19" t="s">
        <v>49</v>
      </c>
      <c r="AD418" s="19" t="str">
        <f ca="1">IFERROR(DATEDIF(DadosViagem5[[#This Row],[Utimo Bip Reserva]],TODAY(),"D"),"")</f>
        <v/>
      </c>
      <c r="AE418" s="59" t="s">
        <v>732</v>
      </c>
      <c r="AF418" s="35"/>
      <c r="AG418" s="36"/>
      <c r="AH418" s="25">
        <v>45807</v>
      </c>
      <c r="AI418" s="36" t="str">
        <f>IF(DadosViagem5[[#This Row],[Dias em manutenção ]]&lt;5,"Dentro do Prazo","Fora do Prazo")</f>
        <v>Fora do Prazo</v>
      </c>
      <c r="AJ418" s="36" t="e">
        <v>#REF!</v>
      </c>
    </row>
    <row r="419" spans="1:36">
      <c r="A419" s="19" t="s">
        <v>733</v>
      </c>
      <c r="B419" s="20"/>
      <c r="C419" s="19" t="s">
        <v>71</v>
      </c>
      <c r="D419" s="19" t="s">
        <v>38</v>
      </c>
      <c r="E419" s="19" t="s">
        <v>114</v>
      </c>
      <c r="F419" s="19" t="s">
        <v>115</v>
      </c>
      <c r="G419" s="19"/>
      <c r="H419" s="20">
        <v>2021</v>
      </c>
      <c r="I419" s="19" t="s">
        <v>41</v>
      </c>
      <c r="J419" s="19" t="s">
        <v>580</v>
      </c>
      <c r="K419" s="66" t="s">
        <v>625</v>
      </c>
      <c r="L419" s="22" t="s">
        <v>60</v>
      </c>
      <c r="M419" s="23" t="s">
        <v>470</v>
      </c>
      <c r="N419" s="36" t="s">
        <v>465</v>
      </c>
      <c r="O419" s="24" t="s">
        <v>472</v>
      </c>
      <c r="P419" s="26">
        <f ca="1">IFERROR(VLOOKUP(DadosViagem5[[#This Row],[Placa]],[1]BIP!A:E,5,FALSE),"")</f>
        <v>45932</v>
      </c>
      <c r="Q419" s="27">
        <f ca="1">DATEDIF(DadosViagem5[[#This Row],[BIP]],TODAY(),"D")</f>
        <v>58</v>
      </c>
      <c r="R419" s="28" t="str">
        <f>IFERROR(VLOOKUP(DadosViagem5[[#This Row],[Placa]],[1]DDS!B:C,2,FALSE),"Verificar cadastro")</f>
        <v>Manutenção</v>
      </c>
      <c r="S419" s="36" t="s">
        <v>35</v>
      </c>
      <c r="T419" s="23"/>
      <c r="U419" s="30"/>
      <c r="V419" s="31"/>
      <c r="W419" s="32" t="s">
        <v>734</v>
      </c>
      <c r="X419" s="33"/>
      <c r="Y419" s="34"/>
      <c r="Z419" s="42"/>
      <c r="AA419" s="20" t="s">
        <v>49</v>
      </c>
      <c r="AB419" s="20" t="s">
        <v>49</v>
      </c>
      <c r="AC419" s="19" t="s">
        <v>49</v>
      </c>
      <c r="AD419" s="19" t="str">
        <f ca="1">IFERROR(DATEDIF(DadosViagem5[[#This Row],[Utimo Bip Reserva]],TODAY(),"D"),"")</f>
        <v/>
      </c>
      <c r="AE419" s="36" t="s">
        <v>49</v>
      </c>
      <c r="AF419" s="25" t="s">
        <v>49</v>
      </c>
      <c r="AG419" s="36"/>
      <c r="AH419" s="25">
        <v>45807</v>
      </c>
      <c r="AI419" s="36" t="str">
        <f>IF(DadosViagem5[[#This Row],[Dias em manutenção ]]&lt;5,"Dentro do Prazo","Fora do Prazo")</f>
        <v>Fora do Prazo</v>
      </c>
      <c r="AJ419" s="36" t="e">
        <v>#REF!</v>
      </c>
    </row>
    <row r="420" spans="1:36">
      <c r="A420" s="19" t="s">
        <v>735</v>
      </c>
      <c r="B420" s="20"/>
      <c r="C420" s="19" t="s">
        <v>88</v>
      </c>
      <c r="D420" s="19" t="s">
        <v>52</v>
      </c>
      <c r="E420" s="19" t="s">
        <v>114</v>
      </c>
      <c r="F420" s="19" t="s">
        <v>115</v>
      </c>
      <c r="G420" s="19"/>
      <c r="H420" s="20">
        <v>2021</v>
      </c>
      <c r="I420" s="19" t="s">
        <v>41</v>
      </c>
      <c r="J420" s="19" t="s">
        <v>451</v>
      </c>
      <c r="K420" s="21" t="s">
        <v>452</v>
      </c>
      <c r="L420" s="22" t="s">
        <v>60</v>
      </c>
      <c r="M420" s="46" t="s">
        <v>61</v>
      </c>
      <c r="N420" s="36" t="s">
        <v>728</v>
      </c>
      <c r="O420" s="65" t="s">
        <v>63</v>
      </c>
      <c r="P420" s="26">
        <f ca="1">IFERROR(VLOOKUP(DadosViagem5[[#This Row],[Placa]],[1]BIP!A:E,5,FALSE),"")</f>
        <v>45897</v>
      </c>
      <c r="Q420" s="27">
        <f ca="1">DATEDIF(DadosViagem5[[#This Row],[BIP]],TODAY(),"D")</f>
        <v>93</v>
      </c>
      <c r="R420" s="28" t="str">
        <f>IFERROR(VLOOKUP(DadosViagem5[[#This Row],[Placa]],[1]DDS!B:C,2,FALSE),"Verificar cadastro")</f>
        <v>Manutenção</v>
      </c>
      <c r="S420" s="36" t="s">
        <v>35</v>
      </c>
      <c r="T420" s="23"/>
      <c r="U420" s="30"/>
      <c r="V420" s="31">
        <v>45911</v>
      </c>
      <c r="W420" s="32" t="s">
        <v>736</v>
      </c>
      <c r="X420" s="33" t="s">
        <v>316</v>
      </c>
      <c r="Y420" s="34">
        <v>45983</v>
      </c>
      <c r="Z420" s="11" t="s">
        <v>737</v>
      </c>
      <c r="AA420" s="20" t="s">
        <v>49</v>
      </c>
      <c r="AB420" s="20" t="s">
        <v>49</v>
      </c>
      <c r="AC420" s="19" t="s">
        <v>49</v>
      </c>
      <c r="AD420" s="19" t="str">
        <f ca="1">IFERROR(DATEDIF(DadosViagem5[[#This Row],[Utimo Bip Reserva]],TODAY(),"D"),"")</f>
        <v/>
      </c>
      <c r="AE420" s="36" t="s">
        <v>49</v>
      </c>
      <c r="AF420" s="25" t="s">
        <v>49</v>
      </c>
      <c r="AG420" s="36"/>
      <c r="AH420" s="25">
        <v>45807</v>
      </c>
      <c r="AI420" s="36" t="str">
        <f>IF(DadosViagem5[[#This Row],[Dias em manutenção ]]&lt;5,"Dentro do Prazo","Fora do Prazo")</f>
        <v>Fora do Prazo</v>
      </c>
      <c r="AJ420" s="36" t="e">
        <v>#REF!</v>
      </c>
    </row>
    <row r="421" spans="1:36">
      <c r="A421" s="19" t="s">
        <v>738</v>
      </c>
      <c r="B421" s="20"/>
      <c r="C421" s="19" t="s">
        <v>88</v>
      </c>
      <c r="D421" s="19" t="s">
        <v>52</v>
      </c>
      <c r="E421" s="19" t="s">
        <v>114</v>
      </c>
      <c r="F421" s="19" t="s">
        <v>115</v>
      </c>
      <c r="G421" s="19"/>
      <c r="H421" s="20">
        <v>2022</v>
      </c>
      <c r="I421" s="19" t="s">
        <v>41</v>
      </c>
      <c r="J421" s="19" t="s">
        <v>451</v>
      </c>
      <c r="K421" s="21" t="s">
        <v>452</v>
      </c>
      <c r="L421" s="22" t="s">
        <v>60</v>
      </c>
      <c r="M421" s="46" t="s">
        <v>61</v>
      </c>
      <c r="N421" s="36" t="s">
        <v>728</v>
      </c>
      <c r="O421" s="65" t="s">
        <v>63</v>
      </c>
      <c r="P421" s="26">
        <f ca="1">IFERROR(VLOOKUP(DadosViagem5[[#This Row],[Placa]],[1]BIP!A:E,5,FALSE),"")</f>
        <v>45989</v>
      </c>
      <c r="Q421" s="27">
        <f ca="1">DATEDIF(DadosViagem5[[#This Row],[BIP]],TODAY(),"D")</f>
        <v>1</v>
      </c>
      <c r="R421" s="28" t="str">
        <f>IFERROR(VLOOKUP(DadosViagem5[[#This Row],[Placa]],[1]DDS!B:C,2,FALSE),"Verificar cadastro")</f>
        <v>Operando</v>
      </c>
      <c r="S421" s="29" t="s">
        <v>48</v>
      </c>
      <c r="T421" s="23"/>
      <c r="U421" s="30"/>
      <c r="V421" s="31"/>
      <c r="W421" s="32" t="s">
        <v>616</v>
      </c>
      <c r="X421" s="57"/>
      <c r="Y421" s="86"/>
      <c r="Z421" s="11"/>
      <c r="AA421" s="20" t="s">
        <v>49</v>
      </c>
      <c r="AB421" s="20" t="s">
        <v>49</v>
      </c>
      <c r="AC421" s="19" t="s">
        <v>49</v>
      </c>
      <c r="AD421" s="19" t="str">
        <f ca="1">IFERROR(DATEDIF(DadosViagem5[[#This Row],[Utimo Bip Reserva]],TODAY(),"D"),"")</f>
        <v/>
      </c>
      <c r="AE421" s="36" t="s">
        <v>49</v>
      </c>
      <c r="AF421" s="25" t="s">
        <v>49</v>
      </c>
      <c r="AG421" s="36"/>
      <c r="AH421" s="25">
        <v>45807</v>
      </c>
      <c r="AI421" s="36" t="str">
        <f>IF(DadosViagem5[[#This Row],[Dias em manutenção ]]&lt;5,"Dentro do Prazo","Fora do Prazo")</f>
        <v>Fora do Prazo</v>
      </c>
      <c r="AJ421" s="36" t="e">
        <v>#REF!</v>
      </c>
    </row>
    <row r="422" spans="1:36">
      <c r="A422" s="19" t="s">
        <v>739</v>
      </c>
      <c r="B422" s="20"/>
      <c r="C422" s="19" t="s">
        <v>88</v>
      </c>
      <c r="D422" s="19" t="s">
        <v>52</v>
      </c>
      <c r="E422" s="19" t="s">
        <v>114</v>
      </c>
      <c r="F422" s="19" t="s">
        <v>115</v>
      </c>
      <c r="G422" s="19"/>
      <c r="H422" s="20">
        <v>2021</v>
      </c>
      <c r="I422" s="19" t="s">
        <v>41</v>
      </c>
      <c r="J422" s="19" t="s">
        <v>451</v>
      </c>
      <c r="K422" s="21" t="s">
        <v>452</v>
      </c>
      <c r="L422" s="22" t="s">
        <v>60</v>
      </c>
      <c r="M422" s="23" t="s">
        <v>61</v>
      </c>
      <c r="N422" s="36" t="s">
        <v>728</v>
      </c>
      <c r="O422" s="65" t="s">
        <v>63</v>
      </c>
      <c r="P422" s="26">
        <f ca="1">IFERROR(VLOOKUP(DadosViagem5[[#This Row],[Placa]],[1]BIP!A:E,5,FALSE),"")</f>
        <v>45989</v>
      </c>
      <c r="Q422" s="27">
        <f ca="1">DATEDIF(DadosViagem5[[#This Row],[BIP]],TODAY(),"D")</f>
        <v>1</v>
      </c>
      <c r="R422" s="28" t="str">
        <f>IFERROR(VLOOKUP(DadosViagem5[[#This Row],[Placa]],[1]DDS!B:C,2,FALSE),"Verificar cadastro")</f>
        <v>Operando</v>
      </c>
      <c r="S422" s="29" t="s">
        <v>48</v>
      </c>
      <c r="T422" s="23"/>
      <c r="U422" s="30"/>
      <c r="V422" s="31"/>
      <c r="W422" s="32"/>
      <c r="X422" s="57"/>
      <c r="Y422" s="86"/>
      <c r="Z422" s="11"/>
      <c r="AA422" s="20" t="s">
        <v>49</v>
      </c>
      <c r="AB422" s="20" t="s">
        <v>49</v>
      </c>
      <c r="AC422" s="19" t="s">
        <v>49</v>
      </c>
      <c r="AD422" s="19" t="str">
        <f ca="1">IFERROR(DATEDIF(DadosViagem5[[#This Row],[Utimo Bip Reserva]],TODAY(),"D"),"")</f>
        <v/>
      </c>
      <c r="AE422" s="36" t="s">
        <v>49</v>
      </c>
      <c r="AF422" s="25" t="s">
        <v>49</v>
      </c>
      <c r="AG422" s="36"/>
      <c r="AH422" s="25"/>
      <c r="AI422" s="36"/>
      <c r="AJ422" s="36"/>
    </row>
    <row r="423" spans="1:36">
      <c r="A423" s="19" t="s">
        <v>740</v>
      </c>
      <c r="B423" s="20"/>
      <c r="C423" s="19" t="s">
        <v>71</v>
      </c>
      <c r="D423" s="19" t="s">
        <v>38</v>
      </c>
      <c r="E423" s="19" t="s">
        <v>114</v>
      </c>
      <c r="F423" s="19" t="s">
        <v>115</v>
      </c>
      <c r="G423" s="19"/>
      <c r="H423" s="20">
        <v>2022</v>
      </c>
      <c r="I423" s="19" t="s">
        <v>41</v>
      </c>
      <c r="J423" s="19" t="s">
        <v>451</v>
      </c>
      <c r="K423" s="21" t="s">
        <v>452</v>
      </c>
      <c r="L423" s="22" t="s">
        <v>60</v>
      </c>
      <c r="M423" s="23" t="s">
        <v>61</v>
      </c>
      <c r="N423" s="36" t="s">
        <v>728</v>
      </c>
      <c r="O423" s="65" t="s">
        <v>63</v>
      </c>
      <c r="P423" s="26">
        <f ca="1">IFERROR(VLOOKUP(DadosViagem5[[#This Row],[Placa]],[1]BIP!A:E,5,FALSE),"")</f>
        <v>0</v>
      </c>
      <c r="Q423" s="27">
        <f ca="1">DATEDIF(DadosViagem5[[#This Row],[BIP]],TODAY(),"D")</f>
        <v>45990</v>
      </c>
      <c r="R423" s="28" t="str">
        <f>IFERROR(VLOOKUP(DadosViagem5[[#This Row],[Placa]],[1]DDS!B:C,2,FALSE),"Verificar cadastro")</f>
        <v> </v>
      </c>
      <c r="S423" s="36" t="s">
        <v>186</v>
      </c>
      <c r="T423" s="23"/>
      <c r="U423" s="30"/>
      <c r="V423" s="31">
        <v>45915</v>
      </c>
      <c r="W423" s="91" t="s">
        <v>741</v>
      </c>
      <c r="X423" s="33" t="s">
        <v>65</v>
      </c>
      <c r="Y423" s="34" t="s">
        <v>159</v>
      </c>
      <c r="Z423" s="42" t="s">
        <v>742</v>
      </c>
      <c r="AA423" s="20" t="s">
        <v>49</v>
      </c>
      <c r="AB423" s="20" t="s">
        <v>49</v>
      </c>
      <c r="AC423" s="19" t="s">
        <v>49</v>
      </c>
      <c r="AD423" s="19" t="str">
        <f ca="1">IFERROR(DATEDIF(DadosViagem5[[#This Row],[Utimo Bip Reserva]],TODAY(),"D"),"")</f>
        <v/>
      </c>
      <c r="AE423" s="36" t="s">
        <v>49</v>
      </c>
      <c r="AF423" s="25" t="s">
        <v>49</v>
      </c>
      <c r="AG423" s="36" t="s">
        <v>540</v>
      </c>
      <c r="AH423" s="25">
        <v>45807</v>
      </c>
      <c r="AI423" s="36" t="str">
        <f>IF(DadosViagem5[[#This Row],[Dias em manutenção ]]&lt;5,"Dentro do Prazo","Fora do Prazo")</f>
        <v>Fora do Prazo</v>
      </c>
      <c r="AJ423" s="36" t="e">
        <v>#REF!</v>
      </c>
    </row>
    <row r="424" spans="1:36">
      <c r="A424" s="19" t="s">
        <v>743</v>
      </c>
      <c r="B424" s="20"/>
      <c r="C424" s="19" t="s">
        <v>71</v>
      </c>
      <c r="D424" s="19" t="s">
        <v>38</v>
      </c>
      <c r="E424" s="19" t="s">
        <v>114</v>
      </c>
      <c r="F424" s="19" t="s">
        <v>115</v>
      </c>
      <c r="G424" s="19"/>
      <c r="H424" s="20">
        <v>2021</v>
      </c>
      <c r="I424" s="19" t="s">
        <v>41</v>
      </c>
      <c r="J424" s="19" t="s">
        <v>451</v>
      </c>
      <c r="K424" s="64" t="s">
        <v>452</v>
      </c>
      <c r="L424" s="22" t="s">
        <v>60</v>
      </c>
      <c r="M424" s="23" t="s">
        <v>61</v>
      </c>
      <c r="N424" s="36" t="s">
        <v>728</v>
      </c>
      <c r="O424" s="65" t="s">
        <v>63</v>
      </c>
      <c r="P424" s="26">
        <f ca="1">IFERROR(VLOOKUP(DadosViagem5[[#This Row],[Placa]],[1]BIP!A:E,5,FALSE),"")</f>
        <v>45989</v>
      </c>
      <c r="Q424" s="27">
        <f ca="1">DATEDIF(DadosViagem5[[#This Row],[BIP]],TODAY(),"D")</f>
        <v>1</v>
      </c>
      <c r="R424" s="28" t="str">
        <f>IFERROR(VLOOKUP(DadosViagem5[[#This Row],[Placa]],[1]DDS!B:C,2,FALSE),"Verificar cadastro")</f>
        <v>Operando</v>
      </c>
      <c r="S424" s="29" t="s">
        <v>48</v>
      </c>
      <c r="T424" s="23"/>
      <c r="U424" s="30"/>
      <c r="V424" s="31"/>
      <c r="W424" s="48" t="s">
        <v>744</v>
      </c>
      <c r="X424" s="33"/>
      <c r="Y424" s="34"/>
      <c r="Z424" s="42"/>
      <c r="AA424" s="20" t="s">
        <v>49</v>
      </c>
      <c r="AB424" s="20" t="s">
        <v>49</v>
      </c>
      <c r="AC424" s="19" t="s">
        <v>49</v>
      </c>
      <c r="AD424" s="19" t="str">
        <f ca="1">IFERROR(DATEDIF(DadosViagem5[[#This Row],[Utimo Bip Reserva]],TODAY(),"D"),"")</f>
        <v/>
      </c>
      <c r="AE424" s="36" t="s">
        <v>49</v>
      </c>
      <c r="AF424" s="25" t="s">
        <v>49</v>
      </c>
      <c r="AG424" s="36" t="s">
        <v>481</v>
      </c>
      <c r="AH424" s="25">
        <v>45807</v>
      </c>
      <c r="AI424" s="36" t="str">
        <f>IF(DadosViagem5[[#This Row],[Dias em manutenção ]]&lt;5,"Dentro do Prazo","Fora do Prazo")</f>
        <v>Fora do Prazo</v>
      </c>
      <c r="AJ424" s="36" t="e">
        <v>#REF!</v>
      </c>
    </row>
    <row r="425" spans="1:36">
      <c r="A425" s="19" t="s">
        <v>745</v>
      </c>
      <c r="B425" s="20"/>
      <c r="C425" s="19" t="s">
        <v>71</v>
      </c>
      <c r="D425" s="19" t="s">
        <v>38</v>
      </c>
      <c r="E425" s="19" t="s">
        <v>114</v>
      </c>
      <c r="F425" s="19" t="s">
        <v>115</v>
      </c>
      <c r="G425" s="19"/>
      <c r="H425" s="20">
        <v>2021</v>
      </c>
      <c r="I425" s="19" t="s">
        <v>41</v>
      </c>
      <c r="J425" s="19" t="s">
        <v>451</v>
      </c>
      <c r="K425" s="21" t="s">
        <v>452</v>
      </c>
      <c r="L425" s="22" t="s">
        <v>60</v>
      </c>
      <c r="M425" s="23" t="s">
        <v>61</v>
      </c>
      <c r="N425" s="36" t="s">
        <v>728</v>
      </c>
      <c r="O425" s="65" t="s">
        <v>63</v>
      </c>
      <c r="P425" s="26">
        <f ca="1">IFERROR(VLOOKUP(DadosViagem5[[#This Row],[Placa]],[1]BIP!A:E,5,FALSE),"")</f>
        <v>45989</v>
      </c>
      <c r="Q425" s="27">
        <f ca="1">DATEDIF(DadosViagem5[[#This Row],[BIP]],TODAY(),"D")</f>
        <v>1</v>
      </c>
      <c r="R425" s="28" t="str">
        <f>IFERROR(VLOOKUP(DadosViagem5[[#This Row],[Placa]],[1]DDS!B:C,2,FALSE),"Verificar cadastro")</f>
        <v>Operando</v>
      </c>
      <c r="S425" s="29" t="s">
        <v>48</v>
      </c>
      <c r="T425" s="23"/>
      <c r="U425" s="30"/>
      <c r="V425" s="31"/>
      <c r="W425" s="32"/>
      <c r="X425" s="33"/>
      <c r="Y425" s="34"/>
      <c r="Z425" s="42"/>
      <c r="AA425" s="20" t="s">
        <v>49</v>
      </c>
      <c r="AB425" s="20" t="s">
        <v>49</v>
      </c>
      <c r="AC425" s="19" t="s">
        <v>49</v>
      </c>
      <c r="AD425" s="19" t="str">
        <f ca="1">IFERROR(DATEDIF(DadosViagem5[[#This Row],[Utimo Bip Reserva]],TODAY(),"D"),"")</f>
        <v/>
      </c>
      <c r="AE425" s="36" t="s">
        <v>49</v>
      </c>
      <c r="AF425" s="25" t="s">
        <v>49</v>
      </c>
      <c r="AG425" s="36"/>
      <c r="AH425" s="25">
        <v>45807</v>
      </c>
      <c r="AI425" s="36" t="str">
        <f>IF(DadosViagem5[[#This Row],[Dias em manutenção ]]&lt;5,"Dentro do Prazo","Fora do Prazo")</f>
        <v>Fora do Prazo</v>
      </c>
      <c r="AJ425" s="36" t="e">
        <v>#REF!</v>
      </c>
    </row>
    <row r="426" spans="1:36">
      <c r="A426" s="19" t="s">
        <v>746</v>
      </c>
      <c r="B426" s="20"/>
      <c r="C426" s="19" t="s">
        <v>71</v>
      </c>
      <c r="D426" s="19" t="s">
        <v>38</v>
      </c>
      <c r="E426" s="19" t="s">
        <v>72</v>
      </c>
      <c r="F426" s="19" t="s">
        <v>115</v>
      </c>
      <c r="G426" s="19"/>
      <c r="H426" s="20">
        <v>2024</v>
      </c>
      <c r="I426" s="19" t="s">
        <v>41</v>
      </c>
      <c r="J426" s="19" t="s">
        <v>451</v>
      </c>
      <c r="K426" s="21" t="s">
        <v>452</v>
      </c>
      <c r="L426" s="22" t="s">
        <v>60</v>
      </c>
      <c r="M426" s="23" t="s">
        <v>61</v>
      </c>
      <c r="N426" s="36" t="s">
        <v>728</v>
      </c>
      <c r="O426" s="65" t="s">
        <v>63</v>
      </c>
      <c r="P426" s="26">
        <f ca="1">IFERROR(VLOOKUP(DadosViagem5[[#This Row],[Placa]],[1]BIP!A:E,5,FALSE),"")</f>
        <v>45989</v>
      </c>
      <c r="Q426" s="27">
        <f ca="1">DATEDIF(DadosViagem5[[#This Row],[BIP]],TODAY(),"D")</f>
        <v>1</v>
      </c>
      <c r="R426" s="28" t="str">
        <f>IFERROR(VLOOKUP(DadosViagem5[[#This Row],[Placa]],[1]DDS!B:C,2,FALSE),"Verificar cadastro")</f>
        <v>Operando</v>
      </c>
      <c r="S426" s="29" t="s">
        <v>48</v>
      </c>
      <c r="T426" s="23"/>
      <c r="U426" s="30"/>
      <c r="V426" s="31"/>
      <c r="W426" s="32"/>
      <c r="X426" s="33"/>
      <c r="Y426" s="34"/>
      <c r="Z426" s="42"/>
      <c r="AA426" s="20" t="s">
        <v>49</v>
      </c>
      <c r="AB426" s="20" t="s">
        <v>49</v>
      </c>
      <c r="AC426" s="19" t="s">
        <v>49</v>
      </c>
      <c r="AD426" s="19" t="str">
        <f ca="1">IFERROR(DATEDIF(DadosViagem5[[#This Row],[Utimo Bip Reserva]],TODAY(),"D"),"")</f>
        <v/>
      </c>
      <c r="AE426" s="25" t="s">
        <v>49</v>
      </c>
      <c r="AF426" s="25" t="s">
        <v>49</v>
      </c>
      <c r="AG426" s="36"/>
      <c r="AH426" s="25">
        <v>45807</v>
      </c>
      <c r="AI426" s="36" t="str">
        <f>IF(DadosViagem5[[#This Row],[Dias em manutenção ]]&lt;5,"Dentro do Prazo","Fora do Prazo")</f>
        <v>Fora do Prazo</v>
      </c>
      <c r="AJ426" s="36" t="e">
        <v>#REF!</v>
      </c>
    </row>
    <row r="427" spans="1:36">
      <c r="A427" s="19" t="s">
        <v>747</v>
      </c>
      <c r="B427" s="20"/>
      <c r="C427" s="19" t="s">
        <v>88</v>
      </c>
      <c r="D427" s="19" t="s">
        <v>52</v>
      </c>
      <c r="E427" s="19" t="s">
        <v>114</v>
      </c>
      <c r="F427" s="19" t="s">
        <v>115</v>
      </c>
      <c r="G427" s="19"/>
      <c r="H427" s="20">
        <v>2021</v>
      </c>
      <c r="I427" s="19" t="s">
        <v>41</v>
      </c>
      <c r="J427" s="19" t="s">
        <v>451</v>
      </c>
      <c r="K427" s="21" t="s">
        <v>452</v>
      </c>
      <c r="L427" s="22" t="s">
        <v>60</v>
      </c>
      <c r="M427" s="46" t="s">
        <v>61</v>
      </c>
      <c r="N427" s="36" t="s">
        <v>728</v>
      </c>
      <c r="O427" s="65" t="s">
        <v>63</v>
      </c>
      <c r="P427" s="26">
        <f ca="1">IFERROR(VLOOKUP(DadosViagem5[[#This Row],[Placa]],[1]BIP!A:E,5,FALSE),"")</f>
        <v>45869</v>
      </c>
      <c r="Q427" s="27">
        <f ca="1">DATEDIF(DadosViagem5[[#This Row],[BIP]],TODAY(),"D")</f>
        <v>121</v>
      </c>
      <c r="R427" s="28" t="str">
        <f>IFERROR(VLOOKUP(DadosViagem5[[#This Row],[Placa]],[1]DDS!B:C,2,FALSE),"Verificar cadastro")</f>
        <v>Verificar cadastro</v>
      </c>
      <c r="S427" s="36" t="s">
        <v>574</v>
      </c>
      <c r="T427" s="23"/>
      <c r="U427" s="30"/>
      <c r="V427" s="31"/>
      <c r="W427" s="32" t="s">
        <v>748</v>
      </c>
      <c r="X427" s="33"/>
      <c r="Y427" s="34"/>
      <c r="Z427" s="42"/>
      <c r="AA427" s="20" t="s">
        <v>49</v>
      </c>
      <c r="AB427" s="20" t="s">
        <v>49</v>
      </c>
      <c r="AC427" s="19" t="s">
        <v>49</v>
      </c>
      <c r="AD427" s="19" t="str">
        <f ca="1">IFERROR(DATEDIF(DadosViagem5[[#This Row],[Utimo Bip Reserva]],TODAY(),"D"),"")</f>
        <v/>
      </c>
      <c r="AE427" s="36" t="s">
        <v>49</v>
      </c>
      <c r="AF427" s="25" t="s">
        <v>49</v>
      </c>
      <c r="AG427" s="36"/>
      <c r="AH427" s="25">
        <v>45807</v>
      </c>
      <c r="AI427" s="36" t="str">
        <f>IF(DadosViagem5[[#This Row],[Dias em manutenção ]]&lt;5,"Dentro do Prazo","Fora do Prazo")</f>
        <v>Fora do Prazo</v>
      </c>
      <c r="AJ427" s="36" t="e">
        <v>#REF!</v>
      </c>
    </row>
    <row r="428" spans="1:36">
      <c r="A428" s="19" t="s">
        <v>749</v>
      </c>
      <c r="B428" s="20"/>
      <c r="C428" s="19" t="s">
        <v>71</v>
      </c>
      <c r="D428" s="19" t="s">
        <v>38</v>
      </c>
      <c r="E428" s="19" t="s">
        <v>699</v>
      </c>
      <c r="F428" s="19" t="s">
        <v>115</v>
      </c>
      <c r="G428" s="19"/>
      <c r="H428" s="20">
        <v>2023</v>
      </c>
      <c r="I428" s="19" t="s">
        <v>41</v>
      </c>
      <c r="J428" s="19" t="s">
        <v>451</v>
      </c>
      <c r="K428" s="21" t="s">
        <v>452</v>
      </c>
      <c r="L428" s="22" t="s">
        <v>60</v>
      </c>
      <c r="M428" s="23" t="s">
        <v>61</v>
      </c>
      <c r="N428" s="36" t="s">
        <v>728</v>
      </c>
      <c r="O428" s="65" t="s">
        <v>63</v>
      </c>
      <c r="P428" s="26">
        <f ca="1">IFERROR(VLOOKUP(DadosViagem5[[#This Row],[Placa]],[1]BIP!A:E,5,FALSE),"")</f>
        <v>45989</v>
      </c>
      <c r="Q428" s="27">
        <f ca="1">DATEDIF(DadosViagem5[[#This Row],[BIP]],TODAY(),"D")</f>
        <v>1</v>
      </c>
      <c r="R428" s="28" t="str">
        <f>IFERROR(VLOOKUP(DadosViagem5[[#This Row],[Placa]],[1]DDS!B:C,2,FALSE),"Verificar cadastro")</f>
        <v>Operando</v>
      </c>
      <c r="S428" s="29" t="s">
        <v>48</v>
      </c>
      <c r="T428" s="23"/>
      <c r="U428" s="30"/>
      <c r="V428" s="31"/>
      <c r="W428" s="32"/>
      <c r="X428" s="33"/>
      <c r="Y428" s="34"/>
      <c r="Z428" s="32"/>
      <c r="AA428" s="20" t="s">
        <v>49</v>
      </c>
      <c r="AB428" s="20" t="s">
        <v>49</v>
      </c>
      <c r="AC428" s="19" t="s">
        <v>49</v>
      </c>
      <c r="AD428" s="19" t="str">
        <f ca="1">IFERROR(DATEDIF(DadosViagem5[[#This Row],[Utimo Bip Reserva]],TODAY(),"D"),"")</f>
        <v/>
      </c>
      <c r="AE428" s="35"/>
      <c r="AF428" s="35"/>
      <c r="AG428" s="36"/>
      <c r="AH428" s="25">
        <v>45807</v>
      </c>
      <c r="AI428" s="36" t="str">
        <f>IF(DadosViagem5[[#This Row],[Dias em manutenção ]]&lt;5,"Dentro do Prazo","Fora do Prazo")</f>
        <v>Fora do Prazo</v>
      </c>
      <c r="AJ428" s="36" t="e">
        <v>#REF!</v>
      </c>
    </row>
    <row r="429" spans="1:36">
      <c r="A429" s="19" t="s">
        <v>750</v>
      </c>
      <c r="B429" s="20"/>
      <c r="C429" s="19" t="s">
        <v>88</v>
      </c>
      <c r="D429" s="19" t="s">
        <v>38</v>
      </c>
      <c r="E429" s="19" t="s">
        <v>114</v>
      </c>
      <c r="F429" s="19" t="s">
        <v>115</v>
      </c>
      <c r="G429" s="19"/>
      <c r="H429" s="20">
        <v>2022</v>
      </c>
      <c r="I429" s="19" t="s">
        <v>41</v>
      </c>
      <c r="J429" s="19" t="s">
        <v>451</v>
      </c>
      <c r="K429" s="21" t="s">
        <v>452</v>
      </c>
      <c r="L429" s="22" t="s">
        <v>60</v>
      </c>
      <c r="M429" s="23" t="s">
        <v>61</v>
      </c>
      <c r="N429" s="36" t="s">
        <v>728</v>
      </c>
      <c r="O429" s="65" t="s">
        <v>63</v>
      </c>
      <c r="P429" s="26">
        <f ca="1">IFERROR(VLOOKUP(DadosViagem5[[#This Row],[Placa]],[1]BIP!A:E,5,FALSE),"")</f>
        <v>45989</v>
      </c>
      <c r="Q429" s="27">
        <f ca="1">DATEDIF(DadosViagem5[[#This Row],[BIP]],TODAY(),"D")</f>
        <v>1</v>
      </c>
      <c r="R429" s="28" t="str">
        <f>IFERROR(VLOOKUP(DadosViagem5[[#This Row],[Placa]],[1]DDS!B:C,2,FALSE),"Verificar cadastro")</f>
        <v>Verificar cadastro</v>
      </c>
      <c r="S429" s="36" t="s">
        <v>35</v>
      </c>
      <c r="T429" s="23"/>
      <c r="U429" s="30"/>
      <c r="V429" s="31"/>
      <c r="W429" s="32" t="s">
        <v>751</v>
      </c>
      <c r="X429" s="33"/>
      <c r="Y429" s="34"/>
      <c r="Z429" s="32"/>
      <c r="AA429" s="20" t="s">
        <v>49</v>
      </c>
      <c r="AB429" s="20" t="s">
        <v>49</v>
      </c>
      <c r="AC429" s="19" t="s">
        <v>49</v>
      </c>
      <c r="AD429" s="19" t="str">
        <f ca="1">IFERROR(DATEDIF(DadosViagem5[[#This Row],[Utimo Bip Reserva]],TODAY(),"D"),"")</f>
        <v/>
      </c>
      <c r="AE429" s="36" t="s">
        <v>752</v>
      </c>
      <c r="AF429" s="25" t="s">
        <v>49</v>
      </c>
      <c r="AG429" s="36"/>
      <c r="AH429" s="25">
        <v>45807</v>
      </c>
      <c r="AI429" s="36" t="str">
        <f>IF(DadosViagem5[[#This Row],[Dias em manutenção ]]&lt;5,"Dentro do Prazo","Fora do Prazo")</f>
        <v>Fora do Prazo</v>
      </c>
      <c r="AJ429" s="36" t="e">
        <v>#REF!</v>
      </c>
    </row>
    <row r="430" spans="1:36">
      <c r="A430" s="19" t="s">
        <v>753</v>
      </c>
      <c r="B430" s="20"/>
      <c r="C430" s="19" t="s">
        <v>71</v>
      </c>
      <c r="D430" s="19" t="s">
        <v>38</v>
      </c>
      <c r="E430" s="19" t="s">
        <v>72</v>
      </c>
      <c r="F430" s="19" t="s">
        <v>115</v>
      </c>
      <c r="G430" s="19"/>
      <c r="H430" s="20">
        <v>2024</v>
      </c>
      <c r="I430" s="19" t="s">
        <v>41</v>
      </c>
      <c r="J430" s="19" t="s">
        <v>451</v>
      </c>
      <c r="K430" s="21" t="s">
        <v>452</v>
      </c>
      <c r="L430" s="22" t="s">
        <v>60</v>
      </c>
      <c r="M430" s="46" t="s">
        <v>61</v>
      </c>
      <c r="N430" s="36" t="s">
        <v>728</v>
      </c>
      <c r="O430" s="65" t="s">
        <v>63</v>
      </c>
      <c r="P430" s="26">
        <f ca="1">IFERROR(VLOOKUP(DadosViagem5[[#This Row],[Placa]],[1]BIP!A:E,5,FALSE),"")</f>
        <v>45989</v>
      </c>
      <c r="Q430" s="27">
        <f ca="1">DATEDIF(DadosViagem5[[#This Row],[BIP]],TODAY(),"D")</f>
        <v>1</v>
      </c>
      <c r="R430" s="28" t="str">
        <f>IFERROR(VLOOKUP(DadosViagem5[[#This Row],[Placa]],[1]DDS!B:C,2,FALSE),"Verificar cadastro")</f>
        <v>Carregado</v>
      </c>
      <c r="S430" s="29" t="s">
        <v>48</v>
      </c>
      <c r="T430" s="23"/>
      <c r="U430" s="30"/>
      <c r="V430" s="31"/>
      <c r="W430" s="32"/>
      <c r="X430" s="33"/>
      <c r="Y430" s="34"/>
      <c r="Z430" s="32"/>
      <c r="AA430" s="20" t="s">
        <v>49</v>
      </c>
      <c r="AB430" s="20" t="s">
        <v>49</v>
      </c>
      <c r="AC430" s="19" t="s">
        <v>49</v>
      </c>
      <c r="AD430" s="19" t="str">
        <f ca="1">IFERROR(DATEDIF(DadosViagem5[[#This Row],[Utimo Bip Reserva]],TODAY(),"D"),"")</f>
        <v/>
      </c>
      <c r="AE430" s="25" t="s">
        <v>49</v>
      </c>
      <c r="AF430" s="25" t="s">
        <v>49</v>
      </c>
      <c r="AG430" s="36"/>
      <c r="AH430" s="25">
        <v>45807</v>
      </c>
      <c r="AI430" s="36" t="str">
        <f>IF(DadosViagem5[[#This Row],[Dias em manutenção ]]&lt;5,"Dentro do Prazo","Fora do Prazo")</f>
        <v>Fora do Prazo</v>
      </c>
      <c r="AJ430" s="36" t="e">
        <v>#REF!</v>
      </c>
    </row>
    <row r="431" spans="1:36">
      <c r="A431" s="19" t="s">
        <v>754</v>
      </c>
      <c r="B431" s="20"/>
      <c r="C431" s="19" t="s">
        <v>71</v>
      </c>
      <c r="D431" s="19" t="s">
        <v>38</v>
      </c>
      <c r="E431" s="19" t="s">
        <v>699</v>
      </c>
      <c r="F431" s="19" t="s">
        <v>115</v>
      </c>
      <c r="G431" s="19"/>
      <c r="H431" s="20">
        <v>2023</v>
      </c>
      <c r="I431" s="19" t="s">
        <v>41</v>
      </c>
      <c r="J431" s="19" t="s">
        <v>451</v>
      </c>
      <c r="K431" s="21" t="s">
        <v>452</v>
      </c>
      <c r="L431" s="22" t="s">
        <v>60</v>
      </c>
      <c r="M431" s="23" t="s">
        <v>61</v>
      </c>
      <c r="N431" s="36" t="s">
        <v>728</v>
      </c>
      <c r="O431" s="65" t="s">
        <v>63</v>
      </c>
      <c r="P431" s="26">
        <f ca="1">IFERROR(VLOOKUP(DadosViagem5[[#This Row],[Placa]],[1]BIP!A:E,5,FALSE),"")</f>
        <v>45989</v>
      </c>
      <c r="Q431" s="27">
        <f ca="1">DATEDIF(DadosViagem5[[#This Row],[BIP]],TODAY(),"D")</f>
        <v>1</v>
      </c>
      <c r="R431" s="28" t="str">
        <f>IFERROR(VLOOKUP(DadosViagem5[[#This Row],[Placa]],[1]DDS!B:C,2,FALSE),"Verificar cadastro")</f>
        <v>Operando</v>
      </c>
      <c r="S431" s="29" t="s">
        <v>48</v>
      </c>
      <c r="T431" s="23"/>
      <c r="U431" s="30"/>
      <c r="V431" s="31"/>
      <c r="W431" s="92"/>
      <c r="X431" s="33"/>
      <c r="Y431" s="34"/>
      <c r="Z431" s="32"/>
      <c r="AA431" s="20" t="s">
        <v>49</v>
      </c>
      <c r="AB431" s="20" t="s">
        <v>49</v>
      </c>
      <c r="AC431" s="19" t="s">
        <v>49</v>
      </c>
      <c r="AD431" s="19" t="str">
        <f ca="1">IFERROR(DATEDIF(DadosViagem5[[#This Row],[Utimo Bip Reserva]],TODAY(),"D"),"")</f>
        <v/>
      </c>
      <c r="AE431" s="25" t="s">
        <v>49</v>
      </c>
      <c r="AF431" s="25" t="s">
        <v>49</v>
      </c>
      <c r="AG431" s="36" t="s">
        <v>540</v>
      </c>
      <c r="AH431" s="25">
        <v>45807</v>
      </c>
      <c r="AI431" s="36" t="str">
        <f>IF(DadosViagem5[[#This Row],[Dias em manutenção ]]&lt;5,"Dentro do Prazo","Fora do Prazo")</f>
        <v>Fora do Prazo</v>
      </c>
      <c r="AJ431" s="36" t="e">
        <v>#REF!</v>
      </c>
    </row>
    <row r="432" spans="1:36">
      <c r="A432" s="19" t="s">
        <v>755</v>
      </c>
      <c r="B432" s="20"/>
      <c r="C432" s="19" t="s">
        <v>71</v>
      </c>
      <c r="D432" s="19" t="s">
        <v>38</v>
      </c>
      <c r="E432" s="19" t="s">
        <v>699</v>
      </c>
      <c r="F432" s="19" t="s">
        <v>115</v>
      </c>
      <c r="G432" s="19"/>
      <c r="H432" s="20">
        <v>2023</v>
      </c>
      <c r="I432" s="19" t="s">
        <v>41</v>
      </c>
      <c r="J432" s="19" t="s">
        <v>451</v>
      </c>
      <c r="K432" s="21" t="s">
        <v>452</v>
      </c>
      <c r="L432" s="22" t="s">
        <v>60</v>
      </c>
      <c r="M432" s="23" t="s">
        <v>61</v>
      </c>
      <c r="N432" s="36" t="s">
        <v>728</v>
      </c>
      <c r="O432" s="65" t="s">
        <v>63</v>
      </c>
      <c r="P432" s="26">
        <f ca="1">IFERROR(VLOOKUP(DadosViagem5[[#This Row],[Placa]],[1]BIP!A:E,5,FALSE),"")</f>
        <v>45979</v>
      </c>
      <c r="Q432" s="27">
        <f ca="1">DATEDIF(DadosViagem5[[#This Row],[BIP]],TODAY(),"D")</f>
        <v>11</v>
      </c>
      <c r="R432" s="28" t="str">
        <f>IFERROR(VLOOKUP(DadosViagem5[[#This Row],[Placa]],[1]DDS!B:C,2,FALSE),"Verificar cadastro")</f>
        <v>Manutenção</v>
      </c>
      <c r="S432" s="29" t="s">
        <v>173</v>
      </c>
      <c r="T432" s="23"/>
      <c r="U432" s="30"/>
      <c r="V432" s="31"/>
      <c r="W432" s="32"/>
      <c r="X432" s="33"/>
      <c r="Y432" s="34"/>
      <c r="Z432" s="32"/>
      <c r="AA432" s="20" t="s">
        <v>49</v>
      </c>
      <c r="AB432" s="20" t="s">
        <v>49</v>
      </c>
      <c r="AC432" s="19" t="s">
        <v>49</v>
      </c>
      <c r="AD432" s="19" t="str">
        <f ca="1">IFERROR(DATEDIF(DadosViagem5[[#This Row],[Utimo Bip Reserva]],TODAY(),"D"),"")</f>
        <v/>
      </c>
      <c r="AE432" s="25" t="s">
        <v>49</v>
      </c>
      <c r="AF432" s="25" t="s">
        <v>49</v>
      </c>
      <c r="AG432" s="30" t="s">
        <v>153</v>
      </c>
      <c r="AH432" s="25">
        <v>10</v>
      </c>
      <c r="AI432" s="36" t="str">
        <f>IF(DadosViagem5[[#This Row],[Dias em manutenção ]]&lt;5,"Dentro do Prazo","Fora do Prazo")</f>
        <v>Fora do Prazo</v>
      </c>
      <c r="AJ432" s="36" t="e">
        <v>#REF!</v>
      </c>
    </row>
    <row r="433" spans="1:36">
      <c r="A433" s="19" t="s">
        <v>756</v>
      </c>
      <c r="B433" s="20"/>
      <c r="C433" s="19" t="s">
        <v>88</v>
      </c>
      <c r="D433" s="19" t="s">
        <v>52</v>
      </c>
      <c r="E433" s="19" t="s">
        <v>114</v>
      </c>
      <c r="F433" s="19" t="s">
        <v>115</v>
      </c>
      <c r="G433" s="19"/>
      <c r="H433" s="20">
        <v>2022</v>
      </c>
      <c r="I433" s="19" t="s">
        <v>41</v>
      </c>
      <c r="J433" s="19" t="s">
        <v>451</v>
      </c>
      <c r="K433" s="21" t="s">
        <v>452</v>
      </c>
      <c r="L433" s="22" t="s">
        <v>60</v>
      </c>
      <c r="M433" s="23" t="s">
        <v>61</v>
      </c>
      <c r="N433" s="36" t="s">
        <v>728</v>
      </c>
      <c r="O433" s="65" t="s">
        <v>63</v>
      </c>
      <c r="P433" s="26">
        <f ca="1">IFERROR(VLOOKUP(DadosViagem5[[#This Row],[Placa]],[1]BIP!A:E,5,FALSE),"")</f>
        <v>45758</v>
      </c>
      <c r="Q433" s="27">
        <f ca="1">DATEDIF(DadosViagem5[[#This Row],[BIP]],TODAY(),"D")</f>
        <v>232</v>
      </c>
      <c r="R433" s="28" t="str">
        <f>IFERROR(VLOOKUP(DadosViagem5[[#This Row],[Placa]],[1]DDS!B:C,2,FALSE),"Verificar cadastro")</f>
        <v>Verificar cadastro</v>
      </c>
      <c r="S433" s="36" t="s">
        <v>574</v>
      </c>
      <c r="T433" s="23"/>
      <c r="U433" s="30"/>
      <c r="V433" s="31"/>
      <c r="W433" s="32" t="s">
        <v>757</v>
      </c>
      <c r="X433" s="33"/>
      <c r="Y433" s="34"/>
      <c r="Z433" s="93"/>
      <c r="AA433" s="20" t="s">
        <v>49</v>
      </c>
      <c r="AB433" s="20" t="s">
        <v>49</v>
      </c>
      <c r="AC433" s="19" t="s">
        <v>49</v>
      </c>
      <c r="AD433" s="19" t="str">
        <f ca="1">IFERROR(DATEDIF(DadosViagem5[[#This Row],[Utimo Bip Reserva]],TODAY(),"D"),"")</f>
        <v/>
      </c>
      <c r="AE433" s="36" t="s">
        <v>758</v>
      </c>
      <c r="AF433" s="25" t="s">
        <v>49</v>
      </c>
      <c r="AG433" s="36"/>
      <c r="AH433" s="25">
        <v>49</v>
      </c>
      <c r="AI433" s="36" t="str">
        <f>IF(DadosViagem5[[#This Row],[Dias em manutenção ]]&lt;5,"Dentro do Prazo","Fora do Prazo")</f>
        <v>Fora do Prazo</v>
      </c>
      <c r="AJ433" s="36" t="e">
        <v>#REF!</v>
      </c>
    </row>
    <row r="434" spans="1:36">
      <c r="A434" s="19" t="s">
        <v>759</v>
      </c>
      <c r="B434" s="20"/>
      <c r="C434" s="19" t="s">
        <v>71</v>
      </c>
      <c r="D434" s="19" t="s">
        <v>38</v>
      </c>
      <c r="E434" s="19" t="s">
        <v>699</v>
      </c>
      <c r="F434" s="19" t="s">
        <v>115</v>
      </c>
      <c r="G434" s="19"/>
      <c r="H434" s="20">
        <v>2023</v>
      </c>
      <c r="I434" s="19" t="s">
        <v>41</v>
      </c>
      <c r="J434" s="19" t="s">
        <v>451</v>
      </c>
      <c r="K434" s="21" t="s">
        <v>452</v>
      </c>
      <c r="L434" s="22" t="s">
        <v>60</v>
      </c>
      <c r="M434" s="23" t="s">
        <v>61</v>
      </c>
      <c r="N434" s="36" t="s">
        <v>728</v>
      </c>
      <c r="O434" s="65" t="s">
        <v>63</v>
      </c>
      <c r="P434" s="26">
        <f ca="1">IFERROR(VLOOKUP(DadosViagem5[[#This Row],[Placa]],[1]BIP!A:E,5,FALSE),"")</f>
        <v>45989</v>
      </c>
      <c r="Q434" s="27">
        <f ca="1">DATEDIF(DadosViagem5[[#This Row],[BIP]],TODAY(),"D")</f>
        <v>1</v>
      </c>
      <c r="R434" s="28" t="str">
        <f>IFERROR(VLOOKUP(DadosViagem5[[#This Row],[Placa]],[1]DDS!B:C,2,FALSE),"Verificar cadastro")</f>
        <v>Operando</v>
      </c>
      <c r="S434" s="29" t="s">
        <v>48</v>
      </c>
      <c r="T434" s="23"/>
      <c r="U434" s="30"/>
      <c r="V434" s="31"/>
      <c r="W434" s="94"/>
      <c r="X434" s="33"/>
      <c r="Y434" s="34"/>
      <c r="Z434" s="32"/>
      <c r="AA434" s="20" t="s">
        <v>49</v>
      </c>
      <c r="AB434" s="20" t="s">
        <v>49</v>
      </c>
      <c r="AC434" s="19" t="s">
        <v>49</v>
      </c>
      <c r="AD434" s="19" t="str">
        <f ca="1">IFERROR(DATEDIF(DadosViagem5[[#This Row],[Utimo Bip Reserva]],TODAY(),"D"),"")</f>
        <v/>
      </c>
      <c r="AE434" s="25" t="s">
        <v>49</v>
      </c>
      <c r="AF434" s="25" t="s">
        <v>49</v>
      </c>
      <c r="AG434" s="30" t="s">
        <v>153</v>
      </c>
      <c r="AH434" s="25">
        <v>50</v>
      </c>
      <c r="AI434" s="36" t="str">
        <f>IF(DadosViagem5[[#This Row],[Dias em manutenção ]]&lt;5,"Dentro do Prazo","Fora do Prazo")</f>
        <v>Fora do Prazo</v>
      </c>
      <c r="AJ434" s="36" t="e">
        <v>#REF!</v>
      </c>
    </row>
    <row r="435" spans="1:36">
      <c r="A435" s="19" t="s">
        <v>760</v>
      </c>
      <c r="B435" s="20">
        <v>178</v>
      </c>
      <c r="C435" s="19" t="s">
        <v>71</v>
      </c>
      <c r="D435" s="19" t="s">
        <v>38</v>
      </c>
      <c r="E435" s="19" t="s">
        <v>265</v>
      </c>
      <c r="F435" s="19" t="s">
        <v>115</v>
      </c>
      <c r="G435" s="19"/>
      <c r="H435" s="20">
        <v>2024</v>
      </c>
      <c r="I435" s="19" t="s">
        <v>41</v>
      </c>
      <c r="J435" s="19" t="s">
        <v>451</v>
      </c>
      <c r="K435" s="21" t="s">
        <v>452</v>
      </c>
      <c r="L435" s="22" t="s">
        <v>60</v>
      </c>
      <c r="M435" s="23" t="s">
        <v>61</v>
      </c>
      <c r="N435" s="36" t="s">
        <v>728</v>
      </c>
      <c r="O435" s="65" t="s">
        <v>63</v>
      </c>
      <c r="P435" s="26">
        <f ca="1">IFERROR(VLOOKUP(DadosViagem5[[#This Row],[Placa]],[1]BIP!A:E,5,FALSE),"")</f>
        <v>45989</v>
      </c>
      <c r="Q435" s="27">
        <f ca="1">DATEDIF(DadosViagem5[[#This Row],[BIP]],TODAY(),"D")</f>
        <v>1</v>
      </c>
      <c r="R435" s="28" t="str">
        <f>IFERROR(VLOOKUP(DadosViagem5[[#This Row],[Placa]],[1]DDS!B:C,2,FALSE),"Verificar cadastro")</f>
        <v>Operando</v>
      </c>
      <c r="S435" s="29" t="s">
        <v>48</v>
      </c>
      <c r="T435" s="23"/>
      <c r="U435" s="30"/>
      <c r="V435" s="31"/>
      <c r="W435" s="94"/>
      <c r="X435" s="33"/>
      <c r="Y435" s="34"/>
      <c r="Z435" s="32"/>
      <c r="AA435" s="20" t="s">
        <v>49</v>
      </c>
      <c r="AB435" s="20" t="s">
        <v>49</v>
      </c>
      <c r="AC435" s="19" t="s">
        <v>49</v>
      </c>
      <c r="AD435" s="19" t="str">
        <f ca="1">IFERROR(DATEDIF(DadosViagem5[[#This Row],[Utimo Bip Reserva]],TODAY(),"D"),"")</f>
        <v/>
      </c>
      <c r="AE435" s="59"/>
      <c r="AF435" s="35"/>
      <c r="AG435" s="36"/>
      <c r="AH435" s="25">
        <v>45807</v>
      </c>
      <c r="AI435" s="36" t="str">
        <f>IF(DadosViagem5[[#This Row],[Dias em manutenção ]]&lt;5,"Dentro do Prazo","Fora do Prazo")</f>
        <v>Fora do Prazo</v>
      </c>
      <c r="AJ435" s="36" t="e">
        <v>#REF!</v>
      </c>
    </row>
    <row r="436" spans="1:36">
      <c r="A436" s="19" t="s">
        <v>761</v>
      </c>
      <c r="B436" s="20"/>
      <c r="C436" s="19" t="s">
        <v>88</v>
      </c>
      <c r="D436" s="19" t="s">
        <v>52</v>
      </c>
      <c r="E436" s="19" t="s">
        <v>114</v>
      </c>
      <c r="F436" s="19" t="s">
        <v>115</v>
      </c>
      <c r="G436" s="19"/>
      <c r="H436" s="20">
        <v>2021</v>
      </c>
      <c r="I436" s="19" t="s">
        <v>41</v>
      </c>
      <c r="J436" s="19" t="s">
        <v>451</v>
      </c>
      <c r="K436" s="21" t="s">
        <v>452</v>
      </c>
      <c r="L436" s="22" t="s">
        <v>60</v>
      </c>
      <c r="M436" s="23" t="s">
        <v>61</v>
      </c>
      <c r="N436" s="36" t="s">
        <v>728</v>
      </c>
      <c r="O436" s="65" t="s">
        <v>63</v>
      </c>
      <c r="P436" s="26">
        <f ca="1">IFERROR(VLOOKUP(DadosViagem5[[#This Row],[Placa]],[1]BIP!A:E,5,FALSE),"")</f>
        <v>45987</v>
      </c>
      <c r="Q436" s="27">
        <f ca="1">DATEDIF(DadosViagem5[[#This Row],[BIP]],TODAY(),"D")</f>
        <v>3</v>
      </c>
      <c r="R436" s="28" t="str">
        <f>IFERROR(VLOOKUP(DadosViagem5[[#This Row],[Placa]],[1]DDS!B:C,2,FALSE),"Verificar cadastro")</f>
        <v>Falta Motorista</v>
      </c>
      <c r="S436" s="29" t="s">
        <v>48</v>
      </c>
      <c r="T436" s="23"/>
      <c r="U436" s="30"/>
      <c r="V436" s="31"/>
      <c r="W436" s="94"/>
      <c r="X436" s="33"/>
      <c r="Y436" s="34"/>
      <c r="Z436" s="32"/>
      <c r="AA436" s="20" t="s">
        <v>49</v>
      </c>
      <c r="AB436" s="20" t="s">
        <v>49</v>
      </c>
      <c r="AC436" s="19" t="s">
        <v>49</v>
      </c>
      <c r="AD436" s="19" t="str">
        <f ca="1">IFERROR(DATEDIF(DadosViagem5[[#This Row],[Utimo Bip Reserva]],TODAY(),"D"),"")</f>
        <v/>
      </c>
      <c r="AE436" s="36" t="s">
        <v>49</v>
      </c>
      <c r="AF436" s="25" t="s">
        <v>49</v>
      </c>
      <c r="AG436" s="36"/>
      <c r="AH436" s="25">
        <v>45807</v>
      </c>
      <c r="AI436" s="36" t="str">
        <f>IF(DadosViagem5[[#This Row],[Dias em manutenção ]]&lt;5,"Dentro do Prazo","Fora do Prazo")</f>
        <v>Fora do Prazo</v>
      </c>
      <c r="AJ436" s="36" t="e">
        <v>#REF!</v>
      </c>
    </row>
    <row r="437" spans="1:36">
      <c r="A437" s="19" t="s">
        <v>762</v>
      </c>
      <c r="B437" s="20"/>
      <c r="C437" s="19" t="s">
        <v>88</v>
      </c>
      <c r="D437" s="19" t="s">
        <v>52</v>
      </c>
      <c r="E437" s="19" t="s">
        <v>57</v>
      </c>
      <c r="F437" s="19" t="s">
        <v>40</v>
      </c>
      <c r="G437" s="19"/>
      <c r="H437" s="20">
        <v>2023</v>
      </c>
      <c r="I437" s="19" t="s">
        <v>41</v>
      </c>
      <c r="J437" s="19" t="s">
        <v>451</v>
      </c>
      <c r="K437" s="21" t="s">
        <v>452</v>
      </c>
      <c r="L437" s="22" t="s">
        <v>60</v>
      </c>
      <c r="M437" s="23" t="s">
        <v>61</v>
      </c>
      <c r="N437" s="36" t="s">
        <v>728</v>
      </c>
      <c r="O437" s="65" t="s">
        <v>63</v>
      </c>
      <c r="P437" s="26">
        <f ca="1">IFERROR(VLOOKUP(DadosViagem5[[#This Row],[Placa]],[1]BIP!A:E,5,FALSE),"")</f>
        <v>45989</v>
      </c>
      <c r="Q437" s="27">
        <f ca="1">DATEDIF(DadosViagem5[[#This Row],[BIP]],TODAY(),"D")</f>
        <v>1</v>
      </c>
      <c r="R437" s="28" t="str">
        <f>IFERROR(VLOOKUP(DadosViagem5[[#This Row],[Placa]],[1]DDS!B:C,2,FALSE),"Verificar cadastro")</f>
        <v>Operando</v>
      </c>
      <c r="S437" s="29" t="s">
        <v>48</v>
      </c>
      <c r="T437" s="23"/>
      <c r="U437" s="30"/>
      <c r="V437" s="31"/>
      <c r="W437" s="32"/>
      <c r="X437" s="33"/>
      <c r="Y437" s="34"/>
      <c r="Z437" s="32"/>
      <c r="AA437" s="20" t="s">
        <v>49</v>
      </c>
      <c r="AB437" s="20" t="s">
        <v>49</v>
      </c>
      <c r="AC437" s="19" t="s">
        <v>49</v>
      </c>
      <c r="AD437" s="19" t="str">
        <f ca="1">IFERROR(DATEDIF(DadosViagem5[[#This Row],[Utimo Bip Reserva]],TODAY(),"D"),"")</f>
        <v/>
      </c>
      <c r="AE437" s="25" t="s">
        <v>49</v>
      </c>
      <c r="AF437" s="25" t="s">
        <v>49</v>
      </c>
      <c r="AG437" s="36"/>
      <c r="AH437" s="25">
        <v>45807</v>
      </c>
      <c r="AI437" s="36" t="str">
        <f>IF(DadosViagem5[[#This Row],[Dias em manutenção ]]&lt;5,"Dentro do Prazo","Fora do Prazo")</f>
        <v>Fora do Prazo</v>
      </c>
      <c r="AJ437" s="36" t="e">
        <v>#REF!</v>
      </c>
    </row>
    <row r="438" spans="1:36">
      <c r="A438" s="19" t="s">
        <v>763</v>
      </c>
      <c r="B438" s="20"/>
      <c r="C438" s="19" t="s">
        <v>88</v>
      </c>
      <c r="D438" s="19" t="s">
        <v>52</v>
      </c>
      <c r="E438" s="19" t="s">
        <v>114</v>
      </c>
      <c r="F438" s="19" t="s">
        <v>115</v>
      </c>
      <c r="G438" s="19"/>
      <c r="H438" s="20">
        <v>2021</v>
      </c>
      <c r="I438" s="19" t="s">
        <v>41</v>
      </c>
      <c r="J438" s="19" t="s">
        <v>451</v>
      </c>
      <c r="K438" s="21" t="s">
        <v>452</v>
      </c>
      <c r="L438" s="22" t="s">
        <v>60</v>
      </c>
      <c r="M438" s="23" t="s">
        <v>61</v>
      </c>
      <c r="N438" s="36" t="s">
        <v>728</v>
      </c>
      <c r="O438" s="65" t="s">
        <v>63</v>
      </c>
      <c r="P438" s="26">
        <f ca="1">IFERROR(VLOOKUP(DadosViagem5[[#This Row],[Placa]],[1]BIP!A:E,5,FALSE),"")</f>
        <v>45989</v>
      </c>
      <c r="Q438" s="27">
        <f ca="1">DATEDIF(DadosViagem5[[#This Row],[BIP]],TODAY(),"D")</f>
        <v>1</v>
      </c>
      <c r="R438" s="28" t="str">
        <f>IFERROR(VLOOKUP(DadosViagem5[[#This Row],[Placa]],[1]DDS!B:C,2,FALSE),"Verificar cadastro")</f>
        <v>Operando</v>
      </c>
      <c r="S438" s="29" t="s">
        <v>48</v>
      </c>
      <c r="T438" s="23"/>
      <c r="U438" s="30"/>
      <c r="V438" s="31"/>
      <c r="W438" s="32" t="s">
        <v>686</v>
      </c>
      <c r="X438" s="33"/>
      <c r="Y438" s="34"/>
      <c r="Z438" s="32"/>
      <c r="AA438" s="20" t="s">
        <v>49</v>
      </c>
      <c r="AB438" s="20" t="s">
        <v>49</v>
      </c>
      <c r="AC438" s="19" t="s">
        <v>49</v>
      </c>
      <c r="AD438" s="19" t="str">
        <f ca="1">IFERROR(DATEDIF(DadosViagem5[[#This Row],[Utimo Bip Reserva]],TODAY(),"D"),"")</f>
        <v/>
      </c>
      <c r="AE438" s="36" t="s">
        <v>49</v>
      </c>
      <c r="AF438" s="25" t="s">
        <v>49</v>
      </c>
      <c r="AG438" s="36"/>
      <c r="AH438" s="25">
        <v>45807</v>
      </c>
      <c r="AI438" s="36" t="str">
        <f>IF(DadosViagem5[[#This Row],[Dias em manutenção ]]&lt;5,"Dentro do Prazo","Fora do Prazo")</f>
        <v>Fora do Prazo</v>
      </c>
      <c r="AJ438" s="36" t="e">
        <v>#REF!</v>
      </c>
    </row>
    <row r="439" spans="1:36">
      <c r="A439" s="19" t="s">
        <v>764</v>
      </c>
      <c r="B439" s="20"/>
      <c r="C439" s="19" t="s">
        <v>88</v>
      </c>
      <c r="D439" s="19" t="s">
        <v>52</v>
      </c>
      <c r="E439" s="19" t="s">
        <v>114</v>
      </c>
      <c r="F439" s="19" t="s">
        <v>115</v>
      </c>
      <c r="G439" s="19"/>
      <c r="H439" s="20">
        <v>2021</v>
      </c>
      <c r="I439" s="19" t="s">
        <v>41</v>
      </c>
      <c r="J439" s="19" t="s">
        <v>451</v>
      </c>
      <c r="K439" s="21" t="s">
        <v>452</v>
      </c>
      <c r="L439" s="22" t="s">
        <v>60</v>
      </c>
      <c r="M439" s="46" t="s">
        <v>61</v>
      </c>
      <c r="N439" s="36" t="s">
        <v>728</v>
      </c>
      <c r="O439" s="65" t="s">
        <v>63</v>
      </c>
      <c r="P439" s="26">
        <f ca="1">IFERROR(VLOOKUP(DadosViagem5[[#This Row],[Placa]],[1]BIP!A:E,5,FALSE),"")</f>
        <v>45989</v>
      </c>
      <c r="Q439" s="27">
        <f ca="1">DATEDIF(DadosViagem5[[#This Row],[BIP]],TODAY(),"D")</f>
        <v>1</v>
      </c>
      <c r="R439" s="28" t="str">
        <f>IFERROR(VLOOKUP(DadosViagem5[[#This Row],[Placa]],[1]DDS!B:C,2,FALSE),"Verificar cadastro")</f>
        <v>Operando</v>
      </c>
      <c r="S439" s="29" t="s">
        <v>48</v>
      </c>
      <c r="T439" s="23"/>
      <c r="U439" s="30"/>
      <c r="V439" s="31"/>
      <c r="W439" s="32" t="s">
        <v>608</v>
      </c>
      <c r="X439" s="33"/>
      <c r="Y439" s="34"/>
      <c r="Z439" s="42"/>
      <c r="AA439" s="20" t="s">
        <v>49</v>
      </c>
      <c r="AB439" s="20" t="s">
        <v>49</v>
      </c>
      <c r="AC439" s="19" t="s">
        <v>49</v>
      </c>
      <c r="AD439" s="19" t="str">
        <f ca="1">IFERROR(DATEDIF(DadosViagem5[[#This Row],[Utimo Bip Reserva]],TODAY(),"D"),"")</f>
        <v/>
      </c>
      <c r="AE439" s="36" t="s">
        <v>49</v>
      </c>
      <c r="AF439" s="25" t="s">
        <v>49</v>
      </c>
      <c r="AG439" s="36"/>
      <c r="AH439" s="25">
        <v>45807</v>
      </c>
      <c r="AI439" s="36" t="str">
        <f>IF(DadosViagem5[[#This Row],[Dias em manutenção ]]&lt;5,"Dentro do Prazo","Fora do Prazo")</f>
        <v>Fora do Prazo</v>
      </c>
      <c r="AJ439" s="36" t="e">
        <v>#REF!</v>
      </c>
    </row>
    <row r="440" spans="1:36">
      <c r="A440" s="19" t="s">
        <v>765</v>
      </c>
      <c r="B440" s="20"/>
      <c r="C440" s="19" t="s">
        <v>88</v>
      </c>
      <c r="D440" s="19" t="s">
        <v>52</v>
      </c>
      <c r="E440" s="19" t="s">
        <v>114</v>
      </c>
      <c r="F440" s="19" t="s">
        <v>115</v>
      </c>
      <c r="G440" s="19"/>
      <c r="H440" s="20">
        <v>2021</v>
      </c>
      <c r="I440" s="19" t="s">
        <v>41</v>
      </c>
      <c r="J440" s="19" t="s">
        <v>451</v>
      </c>
      <c r="K440" s="21" t="s">
        <v>452</v>
      </c>
      <c r="L440" s="22" t="s">
        <v>60</v>
      </c>
      <c r="M440" s="46" t="s">
        <v>61</v>
      </c>
      <c r="N440" s="36" t="s">
        <v>728</v>
      </c>
      <c r="O440" s="65" t="s">
        <v>63</v>
      </c>
      <c r="P440" s="26">
        <f ca="1">IFERROR(VLOOKUP(DadosViagem5[[#This Row],[Placa]],[1]BIP!A:E,5,FALSE),"")</f>
        <v>45842</v>
      </c>
      <c r="Q440" s="27">
        <f ca="1">DATEDIF(DadosViagem5[[#This Row],[BIP]],TODAY(),"D")</f>
        <v>148</v>
      </c>
      <c r="R440" s="28" t="str">
        <f>IFERROR(VLOOKUP(DadosViagem5[[#This Row],[Placa]],[1]DDS!B:C,2,FALSE),"Verificar cadastro")</f>
        <v>Verificar cadastro</v>
      </c>
      <c r="S440" s="36" t="s">
        <v>574</v>
      </c>
      <c r="T440" s="23"/>
      <c r="U440" s="30"/>
      <c r="V440" s="31"/>
      <c r="W440" s="32" t="s">
        <v>766</v>
      </c>
      <c r="X440" s="33"/>
      <c r="Y440" s="34"/>
      <c r="Z440" s="32"/>
      <c r="AA440" s="20" t="s">
        <v>49</v>
      </c>
      <c r="AB440" s="20" t="s">
        <v>49</v>
      </c>
      <c r="AC440" s="19" t="s">
        <v>49</v>
      </c>
      <c r="AD440" s="19" t="str">
        <f ca="1">IFERROR(DATEDIF(DadosViagem5[[#This Row],[Utimo Bip Reserva]],TODAY(),"D"),"")</f>
        <v/>
      </c>
      <c r="AE440" s="36"/>
      <c r="AF440" s="25" t="s">
        <v>49</v>
      </c>
      <c r="AG440" s="36"/>
      <c r="AH440" s="25">
        <v>45807</v>
      </c>
      <c r="AI440" s="36" t="str">
        <f>IF(DadosViagem5[[#This Row],[Dias em manutenção ]]&lt;5,"Dentro do Prazo","Fora do Prazo")</f>
        <v>Fora do Prazo</v>
      </c>
      <c r="AJ440" s="36" t="e">
        <v>#REF!</v>
      </c>
    </row>
    <row r="441" spans="1:36">
      <c r="A441" s="19" t="s">
        <v>767</v>
      </c>
      <c r="B441" s="20"/>
      <c r="C441" s="19" t="s">
        <v>88</v>
      </c>
      <c r="D441" s="19" t="s">
        <v>52</v>
      </c>
      <c r="E441" s="19" t="s">
        <v>114</v>
      </c>
      <c r="F441" s="19" t="s">
        <v>115</v>
      </c>
      <c r="G441" s="19"/>
      <c r="H441" s="20">
        <v>2022</v>
      </c>
      <c r="I441" s="19" t="s">
        <v>41</v>
      </c>
      <c r="J441" s="19" t="s">
        <v>451</v>
      </c>
      <c r="K441" s="21" t="s">
        <v>452</v>
      </c>
      <c r="L441" s="22" t="s">
        <v>60</v>
      </c>
      <c r="M441" s="46" t="s">
        <v>61</v>
      </c>
      <c r="N441" s="36" t="s">
        <v>728</v>
      </c>
      <c r="O441" s="65" t="s">
        <v>63</v>
      </c>
      <c r="P441" s="26">
        <f ca="1">IFERROR(VLOOKUP(DadosViagem5[[#This Row],[Placa]],[1]BIP!A:E,5,FALSE),"")</f>
        <v>45989</v>
      </c>
      <c r="Q441" s="27">
        <f ca="1">DATEDIF(DadosViagem5[[#This Row],[BIP]],TODAY(),"D")</f>
        <v>1</v>
      </c>
      <c r="R441" s="28" t="str">
        <f>IFERROR(VLOOKUP(DadosViagem5[[#This Row],[Placa]],[1]DDS!B:C,2,FALSE),"Verificar cadastro")</f>
        <v>Operando</v>
      </c>
      <c r="S441" s="29" t="s">
        <v>48</v>
      </c>
      <c r="T441" s="23"/>
      <c r="U441" s="30"/>
      <c r="V441" s="31"/>
      <c r="W441" s="32"/>
      <c r="X441" s="33"/>
      <c r="Y441" s="34"/>
      <c r="Z441" s="32"/>
      <c r="AA441" s="20" t="s">
        <v>49</v>
      </c>
      <c r="AB441" s="20" t="s">
        <v>49</v>
      </c>
      <c r="AC441" s="19" t="s">
        <v>49</v>
      </c>
      <c r="AD441" s="19" t="str">
        <f ca="1">IFERROR(DATEDIF(DadosViagem5[[#This Row],[Utimo Bip Reserva]],TODAY(),"D"),"")</f>
        <v/>
      </c>
      <c r="AE441" s="36" t="s">
        <v>49</v>
      </c>
      <c r="AF441" s="25">
        <v>45698</v>
      </c>
      <c r="AG441" s="36" t="s">
        <v>540</v>
      </c>
      <c r="AH441" s="25">
        <v>45807</v>
      </c>
      <c r="AI441" s="36" t="str">
        <f>IF(DadosViagem5[[#This Row],[Dias em manutenção ]]&lt;5,"Dentro do Prazo","Fora do Prazo")</f>
        <v>Fora do Prazo</v>
      </c>
      <c r="AJ441" s="36" t="e">
        <v>#REF!</v>
      </c>
    </row>
    <row r="442" spans="1:36">
      <c r="A442" s="19" t="s">
        <v>768</v>
      </c>
      <c r="B442" s="20">
        <v>213</v>
      </c>
      <c r="C442" s="19" t="s">
        <v>71</v>
      </c>
      <c r="D442" s="19" t="s">
        <v>38</v>
      </c>
      <c r="E442" s="19" t="s">
        <v>72</v>
      </c>
      <c r="F442" s="19" t="s">
        <v>115</v>
      </c>
      <c r="G442" s="19"/>
      <c r="H442" s="20">
        <v>2024</v>
      </c>
      <c r="I442" s="19" t="s">
        <v>41</v>
      </c>
      <c r="J442" s="19" t="s">
        <v>451</v>
      </c>
      <c r="K442" s="21" t="s">
        <v>452</v>
      </c>
      <c r="L442" s="22" t="s">
        <v>60</v>
      </c>
      <c r="M442" s="23" t="s">
        <v>61</v>
      </c>
      <c r="N442" s="36" t="s">
        <v>728</v>
      </c>
      <c r="O442" s="65" t="s">
        <v>63</v>
      </c>
      <c r="P442" s="26">
        <f ca="1">IFERROR(VLOOKUP(DadosViagem5[[#This Row],[Placa]],[1]BIP!A:E,5,FALSE),"")</f>
        <v>45989</v>
      </c>
      <c r="Q442" s="27">
        <f ca="1">DATEDIF(DadosViagem5[[#This Row],[BIP]],TODAY(),"D")</f>
        <v>1</v>
      </c>
      <c r="R442" s="28"/>
      <c r="S442" s="29" t="s">
        <v>48</v>
      </c>
      <c r="T442" s="23"/>
      <c r="U442" s="30"/>
      <c r="V442" s="31"/>
      <c r="W442" s="32"/>
      <c r="X442" s="33"/>
      <c r="Y442" s="34"/>
      <c r="Z442" s="32"/>
      <c r="AA442" s="20" t="s">
        <v>49</v>
      </c>
      <c r="AB442" s="20" t="s">
        <v>49</v>
      </c>
      <c r="AC442" s="19" t="s">
        <v>49</v>
      </c>
      <c r="AD442" s="19" t="str">
        <f ca="1">IFERROR(DATEDIF(DadosViagem5[[#This Row],[Utimo Bip Reserva]],TODAY(),"D"),"")</f>
        <v/>
      </c>
      <c r="AE442" s="25" t="s">
        <v>49</v>
      </c>
      <c r="AF442" s="25" t="s">
        <v>49</v>
      </c>
      <c r="AG442" s="36"/>
      <c r="AH442" s="25">
        <v>7</v>
      </c>
      <c r="AI442" s="36" t="str">
        <f>IF(DadosViagem5[[#This Row],[Dias em manutenção ]]&lt;5,"Dentro do Prazo","Fora do Prazo")</f>
        <v>Fora do Prazo</v>
      </c>
      <c r="AJ442" s="36" t="e">
        <v>#REF!</v>
      </c>
    </row>
    <row r="443" spans="1:36">
      <c r="A443" s="19" t="s">
        <v>769</v>
      </c>
      <c r="B443" s="20">
        <v>424</v>
      </c>
      <c r="C443" s="19" t="s">
        <v>74</v>
      </c>
      <c r="D443" s="19" t="s">
        <v>52</v>
      </c>
      <c r="E443" s="19" t="s">
        <v>75</v>
      </c>
      <c r="F443" s="19" t="s">
        <v>76</v>
      </c>
      <c r="G443" s="19"/>
      <c r="H443" s="20">
        <v>2024</v>
      </c>
      <c r="I443" s="19" t="s">
        <v>41</v>
      </c>
      <c r="J443" s="19" t="s">
        <v>451</v>
      </c>
      <c r="K443" s="21" t="s">
        <v>452</v>
      </c>
      <c r="L443" s="22" t="s">
        <v>60</v>
      </c>
      <c r="M443" s="23" t="s">
        <v>77</v>
      </c>
      <c r="N443" s="36" t="s">
        <v>728</v>
      </c>
      <c r="O443" s="65" t="s">
        <v>63</v>
      </c>
      <c r="P443" s="26">
        <f ca="1">IFERROR(VLOOKUP(DadosViagem5[[#This Row],[Placa]],[1]BIP!A:E,5,FALSE),"")</f>
        <v>45989</v>
      </c>
      <c r="Q443" s="27">
        <f ca="1">DATEDIF(DadosViagem5[[#This Row],[BIP]],TODAY(),"D")</f>
        <v>1</v>
      </c>
      <c r="R443" s="28" t="str">
        <f>IFERROR(VLOOKUP(DadosViagem5[[#This Row],[Placa]],[1]DDS!B:C,2,FALSE),"Verificar cadastro")</f>
        <v>Operando</v>
      </c>
      <c r="S443" s="29" t="s">
        <v>48</v>
      </c>
      <c r="T443" s="23"/>
      <c r="U443" s="30"/>
      <c r="V443" s="31"/>
      <c r="W443" s="32"/>
      <c r="X443" s="33"/>
      <c r="Y443" s="34"/>
      <c r="Z443" s="32"/>
      <c r="AA443" s="20" t="s">
        <v>49</v>
      </c>
      <c r="AB443" s="20" t="s">
        <v>49</v>
      </c>
      <c r="AC443" s="19" t="s">
        <v>49</v>
      </c>
      <c r="AD443" s="19" t="str">
        <f ca="1">IFERROR(DATEDIF(DadosViagem5[[#This Row],[Utimo Bip Reserva]],TODAY(),"D"),"")</f>
        <v/>
      </c>
      <c r="AE443" s="36"/>
      <c r="AF443" s="25"/>
      <c r="AG443" s="36"/>
      <c r="AH443" s="25">
        <v>5</v>
      </c>
      <c r="AI443" s="36" t="str">
        <f>IF(DadosViagem5[[#This Row],[Dias em manutenção ]]&lt;5,"Dentro do Prazo","Fora do Prazo")</f>
        <v>Fora do Prazo</v>
      </c>
      <c r="AJ443" s="36" t="e">
        <v>#REF!</v>
      </c>
    </row>
    <row r="444" spans="1:36">
      <c r="A444" s="19" t="s">
        <v>770</v>
      </c>
      <c r="B444" s="20"/>
      <c r="C444" s="19" t="s">
        <v>88</v>
      </c>
      <c r="D444" s="19" t="s">
        <v>52</v>
      </c>
      <c r="E444" s="19" t="s">
        <v>114</v>
      </c>
      <c r="F444" s="19" t="s">
        <v>115</v>
      </c>
      <c r="G444" s="19"/>
      <c r="H444" s="20">
        <v>2020</v>
      </c>
      <c r="I444" s="19" t="s">
        <v>41</v>
      </c>
      <c r="J444" s="19" t="s">
        <v>451</v>
      </c>
      <c r="K444" s="21" t="s">
        <v>452</v>
      </c>
      <c r="L444" s="22" t="s">
        <v>60</v>
      </c>
      <c r="M444" s="46" t="s">
        <v>61</v>
      </c>
      <c r="N444" s="36" t="s">
        <v>728</v>
      </c>
      <c r="O444" s="65" t="s">
        <v>63</v>
      </c>
      <c r="P444" s="26">
        <f ca="1">IFERROR(VLOOKUP(DadosViagem5[[#This Row],[Placa]],[1]BIP!A:E,5,FALSE),"")</f>
        <v>45989</v>
      </c>
      <c r="Q444" s="27">
        <f ca="1">DATEDIF(DadosViagem5[[#This Row],[BIP]],TODAY(),"D")</f>
        <v>1</v>
      </c>
      <c r="R444" s="28" t="str">
        <f>IFERROR(VLOOKUP(DadosViagem5[[#This Row],[Placa]],[1]DDS!B:C,2,FALSE),"Verificar cadastro")</f>
        <v>Operando</v>
      </c>
      <c r="S444" s="29" t="s">
        <v>48</v>
      </c>
      <c r="T444" s="23"/>
      <c r="U444" s="30"/>
      <c r="V444" s="31"/>
      <c r="W444" s="32" t="s">
        <v>771</v>
      </c>
      <c r="X444" s="33"/>
      <c r="Y444" s="34"/>
      <c r="Z444" s="42"/>
      <c r="AA444" s="20" t="s">
        <v>49</v>
      </c>
      <c r="AB444" s="20" t="s">
        <v>49</v>
      </c>
      <c r="AC444" s="19" t="s">
        <v>49</v>
      </c>
      <c r="AD444" s="19" t="str">
        <f ca="1">IFERROR(DATEDIF(DadosViagem5[[#This Row],[Utimo Bip Reserva]],TODAY(),"D"),"")</f>
        <v/>
      </c>
      <c r="AE444" s="36" t="s">
        <v>49</v>
      </c>
      <c r="AF444" s="25" t="s">
        <v>49</v>
      </c>
      <c r="AG444" s="36"/>
      <c r="AH444" s="25">
        <v>45807</v>
      </c>
      <c r="AI444" s="36" t="str">
        <f>IF(DadosViagem5[[#This Row],[Dias em manutenção ]]&lt;5,"Dentro do Prazo","Fora do Prazo")</f>
        <v>Fora do Prazo</v>
      </c>
      <c r="AJ444" s="36" t="e">
        <v>#REF!</v>
      </c>
    </row>
    <row r="445" spans="1:36">
      <c r="A445" s="19" t="s">
        <v>772</v>
      </c>
      <c r="B445" s="20"/>
      <c r="C445" s="19" t="s">
        <v>71</v>
      </c>
      <c r="D445" s="19" t="s">
        <v>38</v>
      </c>
      <c r="E445" s="19" t="s">
        <v>699</v>
      </c>
      <c r="F445" s="19" t="s">
        <v>115</v>
      </c>
      <c r="G445" s="19"/>
      <c r="H445" s="20">
        <v>2023</v>
      </c>
      <c r="I445" s="19" t="s">
        <v>41</v>
      </c>
      <c r="J445" s="19" t="s">
        <v>451</v>
      </c>
      <c r="K445" s="21" t="s">
        <v>452</v>
      </c>
      <c r="L445" s="22" t="s">
        <v>60</v>
      </c>
      <c r="M445" s="23" t="s">
        <v>61</v>
      </c>
      <c r="N445" s="36" t="s">
        <v>728</v>
      </c>
      <c r="O445" s="65" t="s">
        <v>63</v>
      </c>
      <c r="P445" s="26">
        <f ca="1">IFERROR(VLOOKUP(DadosViagem5[[#This Row],[Placa]],[1]BIP!A:E,5,FALSE),"")</f>
        <v>45986</v>
      </c>
      <c r="Q445" s="27">
        <f ca="1">DATEDIF(DadosViagem5[[#This Row],[BIP]],TODAY(),"D")</f>
        <v>4</v>
      </c>
      <c r="R445" s="28" t="str">
        <f>IFERROR(VLOOKUP(DadosViagem5[[#This Row],[Placa]],[1]DDS!B:C,2,FALSE),"Verificar cadastro")</f>
        <v>Manutenção</v>
      </c>
      <c r="S445" s="29" t="s">
        <v>48</v>
      </c>
      <c r="T445" s="23"/>
      <c r="U445" s="30"/>
      <c r="V445" s="31"/>
      <c r="W445" s="32"/>
      <c r="X445" s="33"/>
      <c r="Y445" s="34"/>
      <c r="Z445" s="32"/>
      <c r="AA445" s="20" t="s">
        <v>49</v>
      </c>
      <c r="AB445" s="20" t="s">
        <v>49</v>
      </c>
      <c r="AC445" s="19" t="s">
        <v>49</v>
      </c>
      <c r="AD445" s="19" t="str">
        <f ca="1">IFERROR(DATEDIF(DadosViagem5[[#This Row],[Utimo Bip Reserva]],TODAY(),"D"),"")</f>
        <v/>
      </c>
      <c r="AE445" s="25" t="s">
        <v>49</v>
      </c>
      <c r="AF445" s="25" t="s">
        <v>49</v>
      </c>
      <c r="AG445" s="36"/>
      <c r="AH445" s="25">
        <v>45807</v>
      </c>
      <c r="AI445" s="36" t="str">
        <f>IF(DadosViagem5[[#This Row],[Dias em manutenção ]]&lt;5,"Dentro do Prazo","Fora do Prazo")</f>
        <v>Fora do Prazo</v>
      </c>
      <c r="AJ445" s="36" t="e">
        <v>#REF!</v>
      </c>
    </row>
    <row r="446" spans="1:36">
      <c r="A446" s="19" t="s">
        <v>773</v>
      </c>
      <c r="B446" s="20"/>
      <c r="C446" s="19" t="s">
        <v>71</v>
      </c>
      <c r="D446" s="19" t="s">
        <v>38</v>
      </c>
      <c r="E446" s="19" t="s">
        <v>699</v>
      </c>
      <c r="F446" s="19" t="s">
        <v>115</v>
      </c>
      <c r="G446" s="19"/>
      <c r="H446" s="20">
        <v>2023</v>
      </c>
      <c r="I446" s="19" t="s">
        <v>41</v>
      </c>
      <c r="J446" s="19" t="s">
        <v>451</v>
      </c>
      <c r="K446" s="21" t="s">
        <v>452</v>
      </c>
      <c r="L446" s="22" t="s">
        <v>60</v>
      </c>
      <c r="M446" s="23" t="s">
        <v>61</v>
      </c>
      <c r="N446" s="36" t="s">
        <v>728</v>
      </c>
      <c r="O446" s="65" t="s">
        <v>63</v>
      </c>
      <c r="P446" s="26">
        <f ca="1">IFERROR(VLOOKUP(DadosViagem5[[#This Row],[Placa]],[1]BIP!A:E,5,FALSE),"")</f>
        <v>45989</v>
      </c>
      <c r="Q446" s="27">
        <f ca="1">DATEDIF(DadosViagem5[[#This Row],[BIP]],TODAY(),"D")</f>
        <v>1</v>
      </c>
      <c r="R446" s="28" t="str">
        <f>IFERROR(VLOOKUP(DadosViagem5[[#This Row],[Placa]],[1]DDS!B:C,2,FALSE),"Verificar cadastro")</f>
        <v>Operando</v>
      </c>
      <c r="S446" s="29" t="s">
        <v>48</v>
      </c>
      <c r="T446" s="23"/>
      <c r="U446" s="30"/>
      <c r="V446" s="31"/>
      <c r="W446" s="32"/>
      <c r="X446" s="33"/>
      <c r="Y446" s="34"/>
      <c r="Z446" s="42"/>
      <c r="AA446" s="20" t="s">
        <v>49</v>
      </c>
      <c r="AB446" s="20" t="s">
        <v>49</v>
      </c>
      <c r="AC446" s="19" t="s">
        <v>49</v>
      </c>
      <c r="AD446" s="19" t="str">
        <f ca="1">IFERROR(DATEDIF(DadosViagem5[[#This Row],[Utimo Bip Reserva]],TODAY(),"D"),"")</f>
        <v/>
      </c>
      <c r="AE446" s="35"/>
      <c r="AF446" s="35"/>
      <c r="AG446" s="36"/>
      <c r="AH446" s="25">
        <v>45807</v>
      </c>
      <c r="AI446" s="36" t="str">
        <f>IF(DadosViagem5[[#This Row],[Dias em manutenção ]]&lt;5,"Dentro do Prazo","Fora do Prazo")</f>
        <v>Fora do Prazo</v>
      </c>
      <c r="AJ446" s="36" t="e">
        <v>#REF!</v>
      </c>
    </row>
    <row r="447" spans="1:36">
      <c r="A447" s="19" t="s">
        <v>774</v>
      </c>
      <c r="B447" s="20">
        <v>245</v>
      </c>
      <c r="C447" s="19" t="s">
        <v>71</v>
      </c>
      <c r="D447" s="19" t="s">
        <v>38</v>
      </c>
      <c r="E447" s="19" t="s">
        <v>72</v>
      </c>
      <c r="F447" s="19" t="s">
        <v>115</v>
      </c>
      <c r="G447" s="19"/>
      <c r="H447" s="20">
        <v>2024</v>
      </c>
      <c r="I447" s="19" t="s">
        <v>41</v>
      </c>
      <c r="J447" s="19" t="s">
        <v>451</v>
      </c>
      <c r="K447" s="21" t="s">
        <v>452</v>
      </c>
      <c r="L447" s="22" t="s">
        <v>775</v>
      </c>
      <c r="M447" s="23" t="s">
        <v>61</v>
      </c>
      <c r="N447" s="36" t="s">
        <v>728</v>
      </c>
      <c r="O447" s="65" t="s">
        <v>63</v>
      </c>
      <c r="P447" s="26">
        <f ca="1">IFERROR(VLOOKUP(DadosViagem5[[#This Row],[Placa]],[1]BIP!A:E,5,FALSE),"")</f>
        <v>45989</v>
      </c>
      <c r="Q447" s="27">
        <f ca="1">DATEDIF(DadosViagem5[[#This Row],[BIP]],TODAY(),"D")</f>
        <v>1</v>
      </c>
      <c r="R447" s="28" t="str">
        <f>IFERROR(VLOOKUP(DadosViagem5[[#This Row],[Placa]],[1]DDS!B:C,2,FALSE),"Verificar cadastro")</f>
        <v>Operando</v>
      </c>
      <c r="S447" s="29" t="s">
        <v>48</v>
      </c>
      <c r="T447" s="23"/>
      <c r="U447" s="30"/>
      <c r="V447" s="31"/>
      <c r="W447" s="32"/>
      <c r="X447" s="33"/>
      <c r="Y447" s="34"/>
      <c r="Z447" s="32"/>
      <c r="AA447" s="20" t="s">
        <v>49</v>
      </c>
      <c r="AB447" s="20" t="s">
        <v>49</v>
      </c>
      <c r="AC447" s="19" t="s">
        <v>49</v>
      </c>
      <c r="AD447" s="19" t="str">
        <f ca="1">IFERROR(DATEDIF(DadosViagem5[[#This Row],[Utimo Bip Reserva]],TODAY(),"D"),"")</f>
        <v/>
      </c>
      <c r="AE447" s="25" t="s">
        <v>49</v>
      </c>
      <c r="AF447" s="25" t="s">
        <v>49</v>
      </c>
      <c r="AG447" s="36" t="s">
        <v>540</v>
      </c>
      <c r="AH447" s="25">
        <v>45807</v>
      </c>
      <c r="AI447" s="36" t="str">
        <f>IF(DadosViagem5[[#This Row],[Dias em manutenção ]]&lt;5,"Dentro do Prazo","Fora do Prazo")</f>
        <v>Fora do Prazo</v>
      </c>
      <c r="AJ447" s="36" t="e">
        <v>#REF!</v>
      </c>
    </row>
    <row r="448" spans="1:36">
      <c r="A448" s="19" t="s">
        <v>776</v>
      </c>
      <c r="B448" s="20"/>
      <c r="C448" s="19" t="s">
        <v>88</v>
      </c>
      <c r="D448" s="19" t="s">
        <v>52</v>
      </c>
      <c r="E448" s="19" t="s">
        <v>114</v>
      </c>
      <c r="F448" s="19" t="s">
        <v>115</v>
      </c>
      <c r="G448" s="19"/>
      <c r="H448" s="20">
        <v>2022</v>
      </c>
      <c r="I448" s="19" t="s">
        <v>41</v>
      </c>
      <c r="J448" s="19" t="s">
        <v>451</v>
      </c>
      <c r="K448" s="21" t="s">
        <v>452</v>
      </c>
      <c r="L448" s="22" t="s">
        <v>60</v>
      </c>
      <c r="M448" s="23" t="s">
        <v>61</v>
      </c>
      <c r="N448" s="36" t="s">
        <v>728</v>
      </c>
      <c r="O448" s="65" t="s">
        <v>63</v>
      </c>
      <c r="P448" s="26">
        <f ca="1">IFERROR(VLOOKUP(DadosViagem5[[#This Row],[Placa]],[1]BIP!A:E,5,FALSE),"")</f>
        <v>45989</v>
      </c>
      <c r="Q448" s="27">
        <f ca="1">DATEDIF(DadosViagem5[[#This Row],[BIP]],TODAY(),"D")</f>
        <v>1</v>
      </c>
      <c r="R448" s="28" t="str">
        <f>IFERROR(VLOOKUP(DadosViagem5[[#This Row],[Placa]],[1]DDS!B:C,2,FALSE),"Verificar cadastro")</f>
        <v>Falta Motorista</v>
      </c>
      <c r="S448" s="36" t="s">
        <v>35</v>
      </c>
      <c r="T448" s="23"/>
      <c r="U448" s="30"/>
      <c r="V448" s="31"/>
      <c r="W448" s="32" t="s">
        <v>777</v>
      </c>
      <c r="X448" s="33"/>
      <c r="Y448" s="34"/>
      <c r="Z448" s="32"/>
      <c r="AA448" s="20" t="s">
        <v>49</v>
      </c>
      <c r="AB448" s="20" t="s">
        <v>49</v>
      </c>
      <c r="AC448" s="19" t="s">
        <v>49</v>
      </c>
      <c r="AD448" s="19" t="str">
        <f ca="1">IFERROR(DATEDIF(DadosViagem5[[#This Row],[Utimo Bip Reserva]],TODAY(),"D"),"")</f>
        <v/>
      </c>
      <c r="AE448" s="36" t="s">
        <v>49</v>
      </c>
      <c r="AF448" s="25" t="s">
        <v>49</v>
      </c>
      <c r="AG448" s="36"/>
      <c r="AH448" s="25">
        <v>45807</v>
      </c>
      <c r="AI448" s="36" t="str">
        <f>IF(DadosViagem5[[#This Row],[Dias em manutenção ]]&lt;5,"Dentro do Prazo","Fora do Prazo")</f>
        <v>Fora do Prazo</v>
      </c>
      <c r="AJ448" s="36" t="e">
        <v>#REF!</v>
      </c>
    </row>
    <row r="449" spans="1:36">
      <c r="A449" s="19" t="s">
        <v>778</v>
      </c>
      <c r="B449" s="20"/>
      <c r="C449" s="19" t="s">
        <v>74</v>
      </c>
      <c r="D449" s="19" t="s">
        <v>52</v>
      </c>
      <c r="E449" s="19" t="s">
        <v>75</v>
      </c>
      <c r="F449" s="19" t="s">
        <v>76</v>
      </c>
      <c r="G449" s="19"/>
      <c r="H449" s="20">
        <v>2024</v>
      </c>
      <c r="I449" s="19" t="s">
        <v>41</v>
      </c>
      <c r="J449" s="19" t="s">
        <v>451</v>
      </c>
      <c r="K449" s="21" t="s">
        <v>452</v>
      </c>
      <c r="L449" s="22" t="s">
        <v>60</v>
      </c>
      <c r="M449" s="23" t="s">
        <v>77</v>
      </c>
      <c r="N449" s="36" t="s">
        <v>728</v>
      </c>
      <c r="O449" s="65" t="s">
        <v>63</v>
      </c>
      <c r="P449" s="26">
        <f ca="1">IFERROR(VLOOKUP(DadosViagem5[[#This Row],[Placa]],[1]BIP!A:E,5,FALSE),"")</f>
        <v>45989</v>
      </c>
      <c r="Q449" s="27">
        <f ca="1">DATEDIF(DadosViagem5[[#This Row],[BIP]],TODAY(),"D")</f>
        <v>1</v>
      </c>
      <c r="R449" s="28" t="str">
        <f>IFERROR(VLOOKUP(DadosViagem5[[#This Row],[Placa]],[1]DDS!B:C,2,FALSE),"Verificar cadastro")</f>
        <v>Operando</v>
      </c>
      <c r="S449" s="29" t="s">
        <v>48</v>
      </c>
      <c r="T449" s="23"/>
      <c r="U449" s="30"/>
      <c r="V449" s="31"/>
      <c r="W449" s="32"/>
      <c r="X449" s="33"/>
      <c r="Y449" s="34"/>
      <c r="Z449" s="32"/>
      <c r="AA449" s="20" t="s">
        <v>49</v>
      </c>
      <c r="AB449" s="20" t="s">
        <v>49</v>
      </c>
      <c r="AC449" s="20" t="s">
        <v>49</v>
      </c>
      <c r="AD449" s="20" t="s">
        <v>49</v>
      </c>
      <c r="AE449" s="36"/>
      <c r="AF449" s="25"/>
      <c r="AG449" s="36"/>
      <c r="AH449" s="25">
        <v>45807</v>
      </c>
      <c r="AI449" s="36" t="str">
        <f>IF(DadosViagem5[[#This Row],[Dias em manutenção ]]&lt;5,"Dentro do Prazo","Fora do Prazo")</f>
        <v>Fora do Prazo</v>
      </c>
      <c r="AJ449" s="36" t="e">
        <v>#REF!</v>
      </c>
    </row>
    <row r="450" spans="1:36">
      <c r="A450" s="19" t="s">
        <v>779</v>
      </c>
      <c r="B450" s="20"/>
      <c r="C450" s="19" t="s">
        <v>88</v>
      </c>
      <c r="D450" s="19" t="s">
        <v>52</v>
      </c>
      <c r="E450" s="19" t="s">
        <v>114</v>
      </c>
      <c r="F450" s="19" t="s">
        <v>115</v>
      </c>
      <c r="G450" s="19"/>
      <c r="H450" s="20">
        <v>2022</v>
      </c>
      <c r="I450" s="19" t="s">
        <v>41</v>
      </c>
      <c r="J450" s="19" t="s">
        <v>451</v>
      </c>
      <c r="K450" s="21" t="s">
        <v>452</v>
      </c>
      <c r="L450" s="22" t="s">
        <v>60</v>
      </c>
      <c r="M450" s="23" t="s">
        <v>61</v>
      </c>
      <c r="N450" s="36" t="s">
        <v>728</v>
      </c>
      <c r="O450" s="65" t="s">
        <v>63</v>
      </c>
      <c r="P450" s="26">
        <f ca="1">IFERROR(VLOOKUP(DadosViagem5[[#This Row],[Placa]],[1]BIP!A:E,5,FALSE),"")</f>
        <v>45989</v>
      </c>
      <c r="Q450" s="27">
        <f ca="1">DATEDIF(DadosViagem5[[#This Row],[BIP]],TODAY(),"D")</f>
        <v>1</v>
      </c>
      <c r="R450" s="28" t="str">
        <f>IFERROR(VLOOKUP(DadosViagem5[[#This Row],[Placa]],[1]DDS!B:C,2,FALSE),"Verificar cadastro")</f>
        <v>Operando</v>
      </c>
      <c r="S450" s="29" t="s">
        <v>48</v>
      </c>
      <c r="T450" s="23"/>
      <c r="U450" s="30"/>
      <c r="V450" s="31"/>
      <c r="W450" s="32"/>
      <c r="X450" s="33"/>
      <c r="Y450" s="34"/>
      <c r="Z450" s="32"/>
      <c r="AA450" s="20" t="s">
        <v>49</v>
      </c>
      <c r="AB450" s="20" t="s">
        <v>49</v>
      </c>
      <c r="AC450" s="19" t="s">
        <v>49</v>
      </c>
      <c r="AD450" s="19" t="str">
        <f ca="1">IFERROR(DATEDIF(DadosViagem5[[#This Row],[Utimo Bip Reserva]],TODAY(),"D"),"")</f>
        <v/>
      </c>
      <c r="AE450" s="36" t="s">
        <v>49</v>
      </c>
      <c r="AF450" s="25" t="s">
        <v>49</v>
      </c>
      <c r="AG450" s="36"/>
      <c r="AH450" s="25">
        <v>45807</v>
      </c>
      <c r="AI450" s="36" t="str">
        <f>IF(DadosViagem5[[#This Row],[Dias em manutenção ]]&lt;5,"Dentro do Prazo","Fora do Prazo")</f>
        <v>Fora do Prazo</v>
      </c>
      <c r="AJ450" s="36" t="e">
        <v>#REF!</v>
      </c>
    </row>
    <row r="451" spans="1:36">
      <c r="A451" s="19" t="s">
        <v>780</v>
      </c>
      <c r="B451" s="20"/>
      <c r="C451" s="19" t="s">
        <v>88</v>
      </c>
      <c r="D451" s="19" t="s">
        <v>52</v>
      </c>
      <c r="E451" s="19" t="s">
        <v>114</v>
      </c>
      <c r="F451" s="19" t="s">
        <v>115</v>
      </c>
      <c r="G451" s="19"/>
      <c r="H451" s="20">
        <v>2021</v>
      </c>
      <c r="I451" s="19" t="s">
        <v>41</v>
      </c>
      <c r="J451" s="19" t="s">
        <v>451</v>
      </c>
      <c r="K451" s="21" t="s">
        <v>452</v>
      </c>
      <c r="L451" s="22" t="s">
        <v>60</v>
      </c>
      <c r="M451" s="23" t="s">
        <v>61</v>
      </c>
      <c r="N451" s="36" t="s">
        <v>728</v>
      </c>
      <c r="O451" s="65" t="s">
        <v>63</v>
      </c>
      <c r="P451" s="26">
        <f ca="1">IFERROR(VLOOKUP(DadosViagem5[[#This Row],[Placa]],[1]BIP!A:E,5,FALSE),"")</f>
        <v>45989</v>
      </c>
      <c r="Q451" s="27">
        <f ca="1">DATEDIF(DadosViagem5[[#This Row],[BIP]],TODAY(),"D")</f>
        <v>1</v>
      </c>
      <c r="R451" s="28" t="str">
        <f>IFERROR(VLOOKUP(DadosViagem5[[#This Row],[Placa]],[1]DDS!B:C,2,FALSE),"Verificar cadastro")</f>
        <v>Operando</v>
      </c>
      <c r="S451" s="29" t="s">
        <v>48</v>
      </c>
      <c r="T451" s="23"/>
      <c r="U451" s="30"/>
      <c r="V451" s="31"/>
      <c r="W451" s="32" t="s">
        <v>781</v>
      </c>
      <c r="X451" s="33"/>
      <c r="Y451" s="34"/>
      <c r="Z451" s="32"/>
      <c r="AA451" s="20" t="s">
        <v>49</v>
      </c>
      <c r="AB451" s="20" t="s">
        <v>49</v>
      </c>
      <c r="AC451" s="19" t="s">
        <v>49</v>
      </c>
      <c r="AD451" s="19" t="str">
        <f ca="1">IFERROR(DATEDIF(DadosViagem5[[#This Row],[Utimo Bip Reserva]],TODAY(),"D"),"")</f>
        <v/>
      </c>
      <c r="AE451" s="36" t="s">
        <v>49</v>
      </c>
      <c r="AF451" s="25" t="s">
        <v>49</v>
      </c>
      <c r="AG451" s="36"/>
      <c r="AH451" s="25">
        <v>45807</v>
      </c>
      <c r="AI451" s="36" t="str">
        <f>IF(DadosViagem5[[#This Row],[Dias em manutenção ]]&lt;5,"Dentro do Prazo","Fora do Prazo")</f>
        <v>Fora do Prazo</v>
      </c>
      <c r="AJ451" s="36" t="e">
        <v>#REF!</v>
      </c>
    </row>
    <row r="452" spans="1:36">
      <c r="A452" s="19" t="s">
        <v>782</v>
      </c>
      <c r="B452" s="20"/>
      <c r="C452" s="19" t="s">
        <v>88</v>
      </c>
      <c r="D452" s="19" t="s">
        <v>52</v>
      </c>
      <c r="E452" s="19" t="s">
        <v>114</v>
      </c>
      <c r="F452" s="19" t="s">
        <v>115</v>
      </c>
      <c r="G452" s="19"/>
      <c r="H452" s="20">
        <v>2021</v>
      </c>
      <c r="I452" s="19" t="s">
        <v>41</v>
      </c>
      <c r="J452" s="19" t="s">
        <v>451</v>
      </c>
      <c r="K452" s="21" t="s">
        <v>452</v>
      </c>
      <c r="L452" s="22" t="s">
        <v>60</v>
      </c>
      <c r="M452" s="46" t="s">
        <v>61</v>
      </c>
      <c r="N452" s="36" t="s">
        <v>728</v>
      </c>
      <c r="O452" s="65" t="s">
        <v>63</v>
      </c>
      <c r="P452" s="26">
        <f ca="1">IFERROR(VLOOKUP(DadosViagem5[[#This Row],[Placa]],[1]BIP!A:E,5,FALSE),"")</f>
        <v>45989</v>
      </c>
      <c r="Q452" s="27">
        <f ca="1">DATEDIF(DadosViagem5[[#This Row],[BIP]],TODAY(),"D")</f>
        <v>1</v>
      </c>
      <c r="R452" s="28" t="str">
        <f>IFERROR(VLOOKUP(DadosViagem5[[#This Row],[Placa]],[1]DDS!B:C,2,FALSE),"Verificar cadastro")</f>
        <v>Operando</v>
      </c>
      <c r="S452" s="29" t="s">
        <v>48</v>
      </c>
      <c r="T452" s="23"/>
      <c r="U452" s="30"/>
      <c r="V452" s="31"/>
      <c r="W452" s="32" t="s">
        <v>783</v>
      </c>
      <c r="X452" s="33"/>
      <c r="Y452" s="34"/>
      <c r="Z452" s="32"/>
      <c r="AA452" s="20" t="s">
        <v>49</v>
      </c>
      <c r="AB452" s="20" t="s">
        <v>49</v>
      </c>
      <c r="AC452" s="19" t="s">
        <v>49</v>
      </c>
      <c r="AD452" s="19" t="str">
        <f ca="1">IFERROR(DATEDIF(DadosViagem5[[#This Row],[Utimo Bip Reserva]],TODAY(),"D"),"")</f>
        <v/>
      </c>
      <c r="AE452" s="36" t="s">
        <v>49</v>
      </c>
      <c r="AF452" s="25" t="s">
        <v>49</v>
      </c>
      <c r="AG452" s="36"/>
      <c r="AH452" s="25">
        <v>45807</v>
      </c>
      <c r="AI452" s="36" t="str">
        <f>IF(DadosViagem5[[#This Row],[Dias em manutenção ]]&lt;5,"Dentro do Prazo","Fora do Prazo")</f>
        <v>Fora do Prazo</v>
      </c>
      <c r="AJ452" s="36" t="e">
        <v>#REF!</v>
      </c>
    </row>
    <row r="453" spans="1:36">
      <c r="A453" s="19" t="s">
        <v>784</v>
      </c>
      <c r="B453" s="20"/>
      <c r="C453" s="19" t="s">
        <v>88</v>
      </c>
      <c r="D453" s="19" t="s">
        <v>52</v>
      </c>
      <c r="E453" s="19" t="s">
        <v>114</v>
      </c>
      <c r="F453" s="19" t="s">
        <v>115</v>
      </c>
      <c r="G453" s="19"/>
      <c r="H453" s="20">
        <v>2021</v>
      </c>
      <c r="I453" s="19" t="s">
        <v>41</v>
      </c>
      <c r="J453" s="19" t="s">
        <v>451</v>
      </c>
      <c r="K453" s="21" t="s">
        <v>452</v>
      </c>
      <c r="L453" s="39" t="s">
        <v>60</v>
      </c>
      <c r="M453" s="23" t="s">
        <v>61</v>
      </c>
      <c r="N453" s="36" t="s">
        <v>728</v>
      </c>
      <c r="O453" s="65" t="s">
        <v>63</v>
      </c>
      <c r="P453" s="26">
        <f ca="1">IFERROR(VLOOKUP(DadosViagem5[[#This Row],[Placa]],[1]BIP!A:E,5,FALSE),"")</f>
        <v>45910</v>
      </c>
      <c r="Q453" s="27">
        <f ca="1">DATEDIF(DadosViagem5[[#This Row],[BIP]],TODAY(),"D")</f>
        <v>80</v>
      </c>
      <c r="R453" s="28" t="str">
        <f>IFERROR(VLOOKUP(DadosViagem5[[#This Row],[Placa]],[1]DDS!B:C,2,FALSE),"Verificar cadastro")</f>
        <v>Verificar cadastro</v>
      </c>
      <c r="S453" s="36" t="s">
        <v>574</v>
      </c>
      <c r="T453" s="23"/>
      <c r="U453" s="30"/>
      <c r="V453" s="31"/>
      <c r="W453" s="32" t="s">
        <v>785</v>
      </c>
      <c r="X453" s="33"/>
      <c r="Y453" s="34"/>
      <c r="Z453" s="42"/>
      <c r="AA453" s="20" t="s">
        <v>49</v>
      </c>
      <c r="AB453" s="20" t="s">
        <v>49</v>
      </c>
      <c r="AC453" s="19" t="s">
        <v>49</v>
      </c>
      <c r="AD453" s="19" t="str">
        <f ca="1">IFERROR(DATEDIF(DadosViagem5[[#This Row],[Utimo Bip Reserva]],TODAY(),"D"),"")</f>
        <v/>
      </c>
      <c r="AE453" s="36" t="s">
        <v>49</v>
      </c>
      <c r="AF453" s="25" t="s">
        <v>49</v>
      </c>
      <c r="AG453" s="36"/>
      <c r="AH453" s="25">
        <v>45807</v>
      </c>
      <c r="AI453" s="36" t="str">
        <f>IF(DadosViagem5[[#This Row],[Dias em manutenção ]]&lt;5,"Dentro do Prazo","Fora do Prazo")</f>
        <v>Fora do Prazo</v>
      </c>
      <c r="AJ453" s="36" t="e">
        <v>#REF!</v>
      </c>
    </row>
    <row r="454" spans="1:36">
      <c r="A454" s="19" t="s">
        <v>786</v>
      </c>
      <c r="B454" s="20"/>
      <c r="C454" s="19" t="s">
        <v>71</v>
      </c>
      <c r="D454" s="19" t="s">
        <v>38</v>
      </c>
      <c r="E454" s="19" t="s">
        <v>699</v>
      </c>
      <c r="F454" s="19" t="s">
        <v>115</v>
      </c>
      <c r="G454" s="19"/>
      <c r="H454" s="20">
        <v>2022</v>
      </c>
      <c r="I454" s="19" t="s">
        <v>41</v>
      </c>
      <c r="J454" s="19" t="s">
        <v>451</v>
      </c>
      <c r="K454" s="21" t="s">
        <v>452</v>
      </c>
      <c r="L454" s="22" t="s">
        <v>60</v>
      </c>
      <c r="M454" s="23" t="s">
        <v>61</v>
      </c>
      <c r="N454" s="36" t="s">
        <v>728</v>
      </c>
      <c r="O454" s="65" t="s">
        <v>63</v>
      </c>
      <c r="P454" s="26">
        <f ca="1">IFERROR(VLOOKUP(DadosViagem5[[#This Row],[Placa]],[1]BIP!A:E,5,FALSE),"")</f>
        <v>45989</v>
      </c>
      <c r="Q454" s="27">
        <f ca="1">DATEDIF(DadosViagem5[[#This Row],[BIP]],TODAY(),"D")</f>
        <v>1</v>
      </c>
      <c r="R454" s="28" t="str">
        <f>IFERROR(VLOOKUP(DadosViagem5[[#This Row],[Placa]],[1]DDS!B:C,2,FALSE),"Verificar cadastro")</f>
        <v>Operando</v>
      </c>
      <c r="S454" s="29" t="s">
        <v>48</v>
      </c>
      <c r="T454" s="23"/>
      <c r="U454" s="30"/>
      <c r="V454" s="31"/>
      <c r="W454" s="94"/>
      <c r="X454" s="33"/>
      <c r="Y454" s="34"/>
      <c r="Z454" s="32"/>
      <c r="AA454" s="20" t="s">
        <v>49</v>
      </c>
      <c r="AB454" s="20" t="s">
        <v>49</v>
      </c>
      <c r="AC454" s="19" t="s">
        <v>49</v>
      </c>
      <c r="AD454" s="19" t="str">
        <f ca="1">IFERROR(DATEDIF(DadosViagem5[[#This Row],[Utimo Bip Reserva]],TODAY(),"D"),"")</f>
        <v/>
      </c>
      <c r="AE454" s="25" t="s">
        <v>49</v>
      </c>
      <c r="AF454" s="25" t="s">
        <v>49</v>
      </c>
      <c r="AG454" s="36" t="s">
        <v>540</v>
      </c>
      <c r="AH454" s="25">
        <v>45807</v>
      </c>
      <c r="AI454" s="36" t="str">
        <f>IF(DadosViagem5[[#This Row],[Dias em manutenção ]]&lt;5,"Dentro do Prazo","Fora do Prazo")</f>
        <v>Fora do Prazo</v>
      </c>
      <c r="AJ454" s="36" t="e">
        <v>#REF!</v>
      </c>
    </row>
    <row r="455" spans="1:36">
      <c r="A455" s="19" t="s">
        <v>787</v>
      </c>
      <c r="B455" s="20"/>
      <c r="C455" s="19" t="s">
        <v>71</v>
      </c>
      <c r="D455" s="19" t="s">
        <v>38</v>
      </c>
      <c r="E455" s="19" t="s">
        <v>265</v>
      </c>
      <c r="F455" s="19" t="s">
        <v>115</v>
      </c>
      <c r="G455" s="19"/>
      <c r="H455" s="20">
        <v>2023</v>
      </c>
      <c r="I455" s="19" t="s">
        <v>41</v>
      </c>
      <c r="J455" s="19" t="s">
        <v>451</v>
      </c>
      <c r="K455" s="21" t="s">
        <v>452</v>
      </c>
      <c r="L455" s="22" t="s">
        <v>60</v>
      </c>
      <c r="M455" s="23" t="s">
        <v>61</v>
      </c>
      <c r="N455" s="36" t="s">
        <v>728</v>
      </c>
      <c r="O455" s="65" t="s">
        <v>63</v>
      </c>
      <c r="P455" s="26">
        <f ca="1">IFERROR(VLOOKUP(DadosViagem5[[#This Row],[Placa]],[1]BIP!A:E,5,FALSE),"")</f>
        <v>45974</v>
      </c>
      <c r="Q455" s="27">
        <f ca="1">DATEDIF(DadosViagem5[[#This Row],[BIP]],TODAY(),"D")</f>
        <v>16</v>
      </c>
      <c r="R455" s="28" t="str">
        <f>IFERROR(VLOOKUP(DadosViagem5[[#This Row],[Placa]],[1]DDS!B:C,2,FALSE),"Verificar cadastro")</f>
        <v>Manutenção</v>
      </c>
      <c r="S455" s="29" t="s">
        <v>173</v>
      </c>
      <c r="T455" s="23"/>
      <c r="U455" s="30"/>
      <c r="V455" s="31"/>
      <c r="W455" s="32"/>
      <c r="X455" s="33"/>
      <c r="Y455" s="34"/>
      <c r="Z455" s="32"/>
      <c r="AA455" s="20" t="s">
        <v>49</v>
      </c>
      <c r="AB455" s="20" t="s">
        <v>49</v>
      </c>
      <c r="AC455" s="19" t="s">
        <v>49</v>
      </c>
      <c r="AD455" s="19" t="str">
        <f ca="1">IFERROR(DATEDIF(DadosViagem5[[#This Row],[Utimo Bip Reserva]],TODAY(),"D"),"")</f>
        <v/>
      </c>
      <c r="AE455" s="25" t="s">
        <v>49</v>
      </c>
      <c r="AF455" s="25" t="s">
        <v>49</v>
      </c>
      <c r="AG455" s="36" t="s">
        <v>481</v>
      </c>
      <c r="AH455" s="25">
        <v>45807</v>
      </c>
      <c r="AI455" s="36" t="str">
        <f>IF(DadosViagem5[[#This Row],[Dias em manutenção ]]&lt;5,"Dentro do Prazo","Fora do Prazo")</f>
        <v>Fora do Prazo</v>
      </c>
      <c r="AJ455" s="36" t="e">
        <v>#REF!</v>
      </c>
    </row>
    <row r="456" spans="1:36">
      <c r="A456" s="19" t="s">
        <v>788</v>
      </c>
      <c r="B456" s="20"/>
      <c r="C456" s="19" t="s">
        <v>88</v>
      </c>
      <c r="D456" s="19" t="s">
        <v>52</v>
      </c>
      <c r="E456" s="19" t="s">
        <v>114</v>
      </c>
      <c r="F456" s="19" t="s">
        <v>115</v>
      </c>
      <c r="G456" s="19"/>
      <c r="H456" s="20">
        <v>2021</v>
      </c>
      <c r="I456" s="19" t="s">
        <v>41</v>
      </c>
      <c r="J456" s="19" t="s">
        <v>451</v>
      </c>
      <c r="K456" s="38" t="s">
        <v>452</v>
      </c>
      <c r="L456" s="22" t="s">
        <v>60</v>
      </c>
      <c r="M456" s="23" t="s">
        <v>61</v>
      </c>
      <c r="N456" s="24" t="s">
        <v>728</v>
      </c>
      <c r="O456" s="65" t="s">
        <v>63</v>
      </c>
      <c r="P456" s="26">
        <f ca="1">IFERROR(VLOOKUP(DadosViagem5[[#This Row],[Placa]],[1]BIP!A:E,5,FALSE),"")</f>
        <v>45989</v>
      </c>
      <c r="Q456" s="27">
        <f ca="1">DATEDIF(DadosViagem5[[#This Row],[BIP]],TODAY(),"D")</f>
        <v>1</v>
      </c>
      <c r="R456" s="28" t="str">
        <f>IFERROR(VLOOKUP(DadosViagem5[[#This Row],[Placa]],[1]DDS!B:C,2,FALSE),"Verificar cadastro")</f>
        <v>Operando</v>
      </c>
      <c r="S456" s="29" t="s">
        <v>48</v>
      </c>
      <c r="T456" s="23"/>
      <c r="U456" s="30"/>
      <c r="V456" s="31"/>
      <c r="W456" s="32"/>
      <c r="X456" s="33"/>
      <c r="Y456" s="34"/>
      <c r="Z456" s="32"/>
      <c r="AA456" s="20" t="s">
        <v>49</v>
      </c>
      <c r="AB456" s="20" t="s">
        <v>49</v>
      </c>
      <c r="AC456" s="19" t="s">
        <v>49</v>
      </c>
      <c r="AD456" s="19" t="str">
        <f ca="1">IFERROR(DATEDIF(DadosViagem5[[#This Row],[Utimo Bip Reserva]],TODAY(),"D"),"")</f>
        <v/>
      </c>
      <c r="AE456" s="36" t="s">
        <v>49</v>
      </c>
      <c r="AF456" s="25" t="s">
        <v>49</v>
      </c>
      <c r="AG456" s="36"/>
      <c r="AH456" s="25">
        <v>45807</v>
      </c>
      <c r="AI456" s="36" t="str">
        <f>IF(DadosViagem5[[#This Row],[Dias em manutenção ]]&lt;5,"Dentro do Prazo","Fora do Prazo")</f>
        <v>Fora do Prazo</v>
      </c>
      <c r="AJ456" s="36" t="e">
        <v>#REF!</v>
      </c>
    </row>
    <row r="457" spans="1:36">
      <c r="A457" s="19" t="s">
        <v>789</v>
      </c>
      <c r="B457" s="20"/>
      <c r="C457" s="19" t="s">
        <v>71</v>
      </c>
      <c r="D457" s="19" t="s">
        <v>38</v>
      </c>
      <c r="E457" s="19" t="s">
        <v>699</v>
      </c>
      <c r="F457" s="19" t="s">
        <v>115</v>
      </c>
      <c r="G457" s="19"/>
      <c r="H457" s="20">
        <v>2023</v>
      </c>
      <c r="I457" s="19" t="s">
        <v>41</v>
      </c>
      <c r="J457" s="19" t="s">
        <v>451</v>
      </c>
      <c r="K457" s="21" t="s">
        <v>452</v>
      </c>
      <c r="L457" s="22" t="s">
        <v>60</v>
      </c>
      <c r="M457" s="23" t="s">
        <v>61</v>
      </c>
      <c r="N457" s="36" t="s">
        <v>728</v>
      </c>
      <c r="O457" s="65" t="s">
        <v>63</v>
      </c>
      <c r="P457" s="26">
        <f ca="1">IFERROR(VLOOKUP(DadosViagem5[[#This Row],[Placa]],[1]BIP!A:E,5,FALSE),"")</f>
        <v>45986</v>
      </c>
      <c r="Q457" s="27">
        <f ca="1">DATEDIF(DadosViagem5[[#This Row],[BIP]],TODAY(),"D")</f>
        <v>4</v>
      </c>
      <c r="R457" s="28" t="str">
        <f>IFERROR(VLOOKUP(DadosViagem5[[#This Row],[Placa]],[1]DDS!B:C,2,FALSE),"Verificar cadastro")</f>
        <v> </v>
      </c>
      <c r="S457" s="29" t="s">
        <v>48</v>
      </c>
      <c r="T457" s="23"/>
      <c r="U457" s="30"/>
      <c r="V457" s="31"/>
      <c r="W457" s="32"/>
      <c r="X457" s="33"/>
      <c r="Y457" s="34"/>
      <c r="Z457" s="32"/>
      <c r="AA457" s="20" t="s">
        <v>49</v>
      </c>
      <c r="AB457" s="20" t="s">
        <v>49</v>
      </c>
      <c r="AC457" s="19" t="s">
        <v>49</v>
      </c>
      <c r="AD457" s="19" t="str">
        <f ca="1">IFERROR(DATEDIF(DadosViagem5[[#This Row],[Utimo Bip Reserva]],TODAY(),"D"),"")</f>
        <v/>
      </c>
      <c r="AE457" s="25" t="s">
        <v>49</v>
      </c>
      <c r="AF457" s="25" t="s">
        <v>49</v>
      </c>
      <c r="AG457" s="36"/>
      <c r="AH457" s="25">
        <v>4</v>
      </c>
      <c r="AI457" s="36" t="str">
        <f>IF(DadosViagem5[[#This Row],[Dias em manutenção ]]&lt;5,"Dentro do Prazo","Fora do Prazo")</f>
        <v>Dentro do Prazo</v>
      </c>
      <c r="AJ457" s="36" t="e">
        <v>#REF!</v>
      </c>
    </row>
    <row r="458" spans="1:36">
      <c r="A458" s="19" t="s">
        <v>790</v>
      </c>
      <c r="B458" s="20"/>
      <c r="C458" s="19" t="s">
        <v>88</v>
      </c>
      <c r="D458" s="19" t="s">
        <v>52</v>
      </c>
      <c r="E458" s="19" t="s">
        <v>114</v>
      </c>
      <c r="F458" s="19" t="s">
        <v>115</v>
      </c>
      <c r="G458" s="19"/>
      <c r="H458" s="20">
        <v>2021</v>
      </c>
      <c r="I458" s="19" t="s">
        <v>41</v>
      </c>
      <c r="J458" s="19" t="s">
        <v>451</v>
      </c>
      <c r="K458" s="21" t="s">
        <v>452</v>
      </c>
      <c r="L458" s="22" t="s">
        <v>60</v>
      </c>
      <c r="M458" s="23" t="s">
        <v>61</v>
      </c>
      <c r="N458" s="36" t="s">
        <v>728</v>
      </c>
      <c r="O458" s="65" t="s">
        <v>63</v>
      </c>
      <c r="P458" s="26">
        <f ca="1">IFERROR(VLOOKUP(DadosViagem5[[#This Row],[Placa]],[1]BIP!A:E,5,FALSE),"")</f>
        <v>45921</v>
      </c>
      <c r="Q458" s="27">
        <f ca="1">DATEDIF(DadosViagem5[[#This Row],[BIP]],TODAY(),"D")</f>
        <v>69</v>
      </c>
      <c r="R458" s="28" t="str">
        <f>IFERROR(VLOOKUP(DadosViagem5[[#This Row],[Placa]],[1]DDS!B:C,2,FALSE),"Verificar cadastro")</f>
        <v>Verificar cadastro</v>
      </c>
      <c r="S458" s="29" t="s">
        <v>48</v>
      </c>
      <c r="T458" s="23"/>
      <c r="U458" s="30"/>
      <c r="V458" s="31"/>
      <c r="W458" s="32"/>
      <c r="X458" s="33"/>
      <c r="Y458" s="34"/>
      <c r="Z458" s="32"/>
      <c r="AA458" s="20" t="s">
        <v>49</v>
      </c>
      <c r="AB458" s="20" t="s">
        <v>49</v>
      </c>
      <c r="AC458" s="19" t="s">
        <v>49</v>
      </c>
      <c r="AD458" s="19" t="str">
        <f ca="1">IFERROR(DATEDIF(DadosViagem5[[#This Row],[Utimo Bip Reserva]],TODAY(),"D"),"")</f>
        <v/>
      </c>
      <c r="AE458" s="36" t="s">
        <v>49</v>
      </c>
      <c r="AF458" s="25" t="s">
        <v>49</v>
      </c>
      <c r="AG458" s="36" t="s">
        <v>290</v>
      </c>
      <c r="AH458" s="25">
        <v>45807</v>
      </c>
      <c r="AI458" s="36" t="str">
        <f>IF(DadosViagem5[[#This Row],[Dias em manutenção ]]&lt;5,"Dentro do Prazo","Fora do Prazo")</f>
        <v>Fora do Prazo</v>
      </c>
      <c r="AJ458" s="36" t="e">
        <v>#REF!</v>
      </c>
    </row>
    <row r="459" spans="1:36">
      <c r="A459" s="19" t="s">
        <v>791</v>
      </c>
      <c r="B459" s="20"/>
      <c r="C459" s="19" t="s">
        <v>71</v>
      </c>
      <c r="D459" s="19" t="s">
        <v>38</v>
      </c>
      <c r="E459" s="19" t="s">
        <v>265</v>
      </c>
      <c r="F459" s="19" t="s">
        <v>115</v>
      </c>
      <c r="G459" s="19"/>
      <c r="H459" s="20">
        <v>2023</v>
      </c>
      <c r="I459" s="19" t="s">
        <v>41</v>
      </c>
      <c r="J459" s="19" t="s">
        <v>451</v>
      </c>
      <c r="K459" s="21" t="s">
        <v>452</v>
      </c>
      <c r="L459" s="22" t="s">
        <v>60</v>
      </c>
      <c r="M459" s="23" t="s">
        <v>61</v>
      </c>
      <c r="N459" s="36" t="s">
        <v>728</v>
      </c>
      <c r="O459" s="65" t="s">
        <v>63</v>
      </c>
      <c r="P459" s="26">
        <f ca="1">IFERROR(VLOOKUP(DadosViagem5[[#This Row],[Placa]],[1]BIP!A:E,5,FALSE),"")</f>
        <v>45989</v>
      </c>
      <c r="Q459" s="27">
        <f ca="1">DATEDIF(DadosViagem5[[#This Row],[BIP]],TODAY(),"D")</f>
        <v>1</v>
      </c>
      <c r="R459" s="28" t="str">
        <f>IFERROR(VLOOKUP(DadosViagem5[[#This Row],[Placa]],[1]DDS!B:C,2,FALSE),"Verificar cadastro")</f>
        <v>Manutenção</v>
      </c>
      <c r="S459" s="29" t="s">
        <v>48</v>
      </c>
      <c r="T459" s="23"/>
      <c r="U459" s="30"/>
      <c r="V459" s="31"/>
      <c r="W459" s="32" t="s">
        <v>731</v>
      </c>
      <c r="X459" s="33"/>
      <c r="Y459" s="34"/>
      <c r="Z459" s="32"/>
      <c r="AA459" s="20" t="s">
        <v>49</v>
      </c>
      <c r="AB459" s="20" t="s">
        <v>49</v>
      </c>
      <c r="AC459" s="19" t="s">
        <v>49</v>
      </c>
      <c r="AD459" s="19" t="str">
        <f ca="1">IFERROR(DATEDIF(DadosViagem5[[#This Row],[Utimo Bip Reserva]],TODAY(),"D"),"")</f>
        <v/>
      </c>
      <c r="AE459" s="25" t="s">
        <v>49</v>
      </c>
      <c r="AF459" s="25" t="s">
        <v>49</v>
      </c>
      <c r="AG459" s="36"/>
      <c r="AH459" s="25">
        <v>45807</v>
      </c>
      <c r="AI459" s="36" t="str">
        <f>IF(DadosViagem5[[#This Row],[Dias em manutenção ]]&lt;5,"Dentro do Prazo","Fora do Prazo")</f>
        <v>Fora do Prazo</v>
      </c>
      <c r="AJ459" s="36" t="e">
        <v>#REF!</v>
      </c>
    </row>
    <row r="460" spans="1:36">
      <c r="A460" s="19" t="s">
        <v>792</v>
      </c>
      <c r="B460" s="20">
        <v>663</v>
      </c>
      <c r="C460" s="19" t="s">
        <v>217</v>
      </c>
      <c r="D460" s="19" t="s">
        <v>52</v>
      </c>
      <c r="E460" s="19" t="s">
        <v>75</v>
      </c>
      <c r="F460" s="19" t="s">
        <v>40</v>
      </c>
      <c r="G460" s="19"/>
      <c r="H460" s="20">
        <v>2024</v>
      </c>
      <c r="I460" s="19" t="s">
        <v>41</v>
      </c>
      <c r="J460" s="19" t="s">
        <v>451</v>
      </c>
      <c r="K460" s="21" t="s">
        <v>452</v>
      </c>
      <c r="L460" s="22" t="s">
        <v>60</v>
      </c>
      <c r="M460" s="23" t="s">
        <v>77</v>
      </c>
      <c r="N460" s="36" t="s">
        <v>728</v>
      </c>
      <c r="O460" s="65" t="s">
        <v>63</v>
      </c>
      <c r="P460" s="26">
        <f ca="1">IFERROR(VLOOKUP(DadosViagem5[[#This Row],[Placa]],[1]BIP!A:E,5,FALSE),"")</f>
        <v>45989</v>
      </c>
      <c r="Q460" s="27">
        <f ca="1">DATEDIF(DadosViagem5[[#This Row],[BIP]],TODAY(),"D")</f>
        <v>1</v>
      </c>
      <c r="R460" s="28" t="str">
        <f>IFERROR(VLOOKUP(DadosViagem5[[#This Row],[Placa]],[1]DDS!B:C,2,FALSE),"Verificar cadastro")</f>
        <v>Operando</v>
      </c>
      <c r="S460" s="29" t="s">
        <v>48</v>
      </c>
      <c r="T460" s="23"/>
      <c r="U460" s="30"/>
      <c r="V460" s="31"/>
      <c r="W460" s="32"/>
      <c r="X460" s="33"/>
      <c r="Y460" s="34"/>
      <c r="Z460" s="32"/>
      <c r="AA460" s="20" t="s">
        <v>49</v>
      </c>
      <c r="AB460" s="20" t="s">
        <v>49</v>
      </c>
      <c r="AC460" s="19" t="s">
        <v>49</v>
      </c>
      <c r="AD460" s="19" t="str">
        <f ca="1">IFERROR(DATEDIF(DadosViagem5[[#This Row],[Utimo Bip Reserva]],TODAY(),"D"),"")</f>
        <v/>
      </c>
      <c r="AE460" s="36"/>
      <c r="AF460" s="25"/>
      <c r="AG460" s="36"/>
      <c r="AH460" s="25">
        <v>45807</v>
      </c>
      <c r="AI460" s="36" t="str">
        <f>IF(DadosViagem5[[#This Row],[Dias em manutenção ]]&lt;5,"Dentro do Prazo","Fora do Prazo")</f>
        <v>Fora do Prazo</v>
      </c>
      <c r="AJ460" s="36" t="e">
        <v>#REF!</v>
      </c>
    </row>
    <row r="461" spans="1:36">
      <c r="A461" s="19" t="s">
        <v>793</v>
      </c>
      <c r="B461" s="20">
        <v>182</v>
      </c>
      <c r="C461" s="19" t="s">
        <v>71</v>
      </c>
      <c r="D461" s="19" t="s">
        <v>38</v>
      </c>
      <c r="E461" s="19" t="s">
        <v>265</v>
      </c>
      <c r="F461" s="19" t="s">
        <v>115</v>
      </c>
      <c r="G461" s="19"/>
      <c r="H461" s="20">
        <v>2023</v>
      </c>
      <c r="I461" s="19" t="s">
        <v>41</v>
      </c>
      <c r="J461" s="19" t="s">
        <v>451</v>
      </c>
      <c r="K461" s="21" t="s">
        <v>452</v>
      </c>
      <c r="L461" s="22" t="s">
        <v>60</v>
      </c>
      <c r="M461" s="23" t="s">
        <v>61</v>
      </c>
      <c r="N461" s="36" t="s">
        <v>728</v>
      </c>
      <c r="O461" s="65" t="s">
        <v>63</v>
      </c>
      <c r="P461" s="26">
        <f ca="1">IFERROR(VLOOKUP(DadosViagem5[[#This Row],[Placa]],[1]BIP!A:E,5,FALSE),"")</f>
        <v>45989</v>
      </c>
      <c r="Q461" s="27">
        <f ca="1">DATEDIF(DadosViagem5[[#This Row],[BIP]],TODAY(),"D")</f>
        <v>1</v>
      </c>
      <c r="R461" s="28" t="str">
        <f>IFERROR(VLOOKUP(DadosViagem5[[#This Row],[Placa]],[1]DDS!B:C,2,FALSE),"Verificar cadastro")</f>
        <v>Operando</v>
      </c>
      <c r="S461" s="29" t="s">
        <v>48</v>
      </c>
      <c r="T461" s="23"/>
      <c r="U461" s="30"/>
      <c r="V461" s="31"/>
      <c r="W461" s="32" t="s">
        <v>686</v>
      </c>
      <c r="X461" s="33"/>
      <c r="Y461" s="34"/>
      <c r="Z461" s="32"/>
      <c r="AA461" s="20" t="s">
        <v>49</v>
      </c>
      <c r="AB461" s="20" t="s">
        <v>49</v>
      </c>
      <c r="AC461" s="19" t="s">
        <v>49</v>
      </c>
      <c r="AD461" s="19" t="str">
        <f ca="1">IFERROR(DATEDIF(DadosViagem5[[#This Row],[Utimo Bip Reserva]],TODAY(),"D"),"")</f>
        <v/>
      </c>
      <c r="AE461" s="25" t="s">
        <v>49</v>
      </c>
      <c r="AF461" s="25" t="s">
        <v>49</v>
      </c>
      <c r="AG461" s="36"/>
      <c r="AH461" s="25">
        <v>45807</v>
      </c>
      <c r="AI461" s="36" t="str">
        <f>IF(DadosViagem5[[#This Row],[Dias em manutenção ]]&lt;5,"Dentro do Prazo","Fora do Prazo")</f>
        <v>Fora do Prazo</v>
      </c>
      <c r="AJ461" s="36" t="e">
        <v>#REF!</v>
      </c>
    </row>
    <row r="462" spans="1:36">
      <c r="A462" s="19" t="s">
        <v>794</v>
      </c>
      <c r="B462" s="20"/>
      <c r="C462" s="19" t="s">
        <v>71</v>
      </c>
      <c r="D462" s="19" t="s">
        <v>38</v>
      </c>
      <c r="E462" s="19" t="s">
        <v>699</v>
      </c>
      <c r="F462" s="19" t="s">
        <v>115</v>
      </c>
      <c r="G462" s="19"/>
      <c r="H462" s="20">
        <v>2023</v>
      </c>
      <c r="I462" s="19" t="s">
        <v>41</v>
      </c>
      <c r="J462" s="19" t="s">
        <v>451</v>
      </c>
      <c r="K462" s="21" t="s">
        <v>452</v>
      </c>
      <c r="L462" s="22" t="s">
        <v>60</v>
      </c>
      <c r="M462" s="46" t="s">
        <v>61</v>
      </c>
      <c r="N462" s="36" t="s">
        <v>728</v>
      </c>
      <c r="O462" s="65" t="s">
        <v>63</v>
      </c>
      <c r="P462" s="26">
        <f ca="1">IFERROR(VLOOKUP(DadosViagem5[[#This Row],[Placa]],[1]BIP!A:E,5,FALSE),"")</f>
        <v>45989</v>
      </c>
      <c r="Q462" s="27">
        <f ca="1">DATEDIF(DadosViagem5[[#This Row],[BIP]],TODAY(),"D")</f>
        <v>1</v>
      </c>
      <c r="R462" s="28" t="str">
        <f>IFERROR(VLOOKUP(DadosViagem5[[#This Row],[Placa]],[1]DDS!B:C,2,FALSE),"Verificar cadastro")</f>
        <v>Operando</v>
      </c>
      <c r="S462" s="29" t="s">
        <v>48</v>
      </c>
      <c r="T462" s="23"/>
      <c r="U462" s="30"/>
      <c r="V462" s="31"/>
      <c r="W462" s="32"/>
      <c r="X462" s="33"/>
      <c r="Y462" s="34"/>
      <c r="Z462" s="32"/>
      <c r="AA462" s="20" t="s">
        <v>49</v>
      </c>
      <c r="AB462" s="20" t="s">
        <v>49</v>
      </c>
      <c r="AC462" s="19" t="s">
        <v>49</v>
      </c>
      <c r="AD462" s="19" t="str">
        <f ca="1">IFERROR(DATEDIF(DadosViagem5[[#This Row],[Utimo Bip Reserva]],TODAY(),"D"),"")</f>
        <v/>
      </c>
      <c r="AE462" s="25" t="s">
        <v>49</v>
      </c>
      <c r="AF462" s="25" t="s">
        <v>49</v>
      </c>
      <c r="AG462" s="36"/>
      <c r="AH462" s="25">
        <v>45807</v>
      </c>
      <c r="AI462" s="36" t="str">
        <f>IF(DadosViagem5[[#This Row],[Dias em manutenção ]]&lt;5,"Dentro do Prazo","Fora do Prazo")</f>
        <v>Fora do Prazo</v>
      </c>
      <c r="AJ462" s="36" t="e">
        <v>#REF!</v>
      </c>
    </row>
    <row r="463" spans="1:36">
      <c r="A463" s="19" t="s">
        <v>795</v>
      </c>
      <c r="B463" s="20"/>
      <c r="C463" s="19" t="s">
        <v>71</v>
      </c>
      <c r="D463" s="19" t="s">
        <v>38</v>
      </c>
      <c r="E463" s="19" t="s">
        <v>699</v>
      </c>
      <c r="F463" s="19" t="s">
        <v>115</v>
      </c>
      <c r="G463" s="19"/>
      <c r="H463" s="20">
        <v>2023</v>
      </c>
      <c r="I463" s="19" t="s">
        <v>41</v>
      </c>
      <c r="J463" s="19" t="s">
        <v>451</v>
      </c>
      <c r="K463" s="21" t="s">
        <v>452</v>
      </c>
      <c r="L463" s="22" t="s">
        <v>60</v>
      </c>
      <c r="M463" s="46" t="s">
        <v>61</v>
      </c>
      <c r="N463" s="36" t="s">
        <v>728</v>
      </c>
      <c r="O463" s="65" t="s">
        <v>63</v>
      </c>
      <c r="P463" s="26">
        <f ca="1">IFERROR(VLOOKUP(DadosViagem5[[#This Row],[Placa]],[1]BIP!A:E,5,FALSE),"")</f>
        <v>45989</v>
      </c>
      <c r="Q463" s="27">
        <f ca="1">DATEDIF(DadosViagem5[[#This Row],[BIP]],TODAY(),"D")</f>
        <v>1</v>
      </c>
      <c r="R463" s="28" t="str">
        <f>IFERROR(VLOOKUP(DadosViagem5[[#This Row],[Placa]],[1]DDS!B:C,2,FALSE),"Verificar cadastro")</f>
        <v>Carregado</v>
      </c>
      <c r="S463" s="29" t="s">
        <v>48</v>
      </c>
      <c r="T463" s="23"/>
      <c r="U463" s="30"/>
      <c r="V463" s="31"/>
      <c r="W463" s="32" t="s">
        <v>796</v>
      </c>
      <c r="X463" s="33"/>
      <c r="Y463" s="34"/>
      <c r="Z463" s="32"/>
      <c r="AA463" s="20" t="s">
        <v>49</v>
      </c>
      <c r="AB463" s="20" t="s">
        <v>49</v>
      </c>
      <c r="AC463" s="19" t="s">
        <v>49</v>
      </c>
      <c r="AD463" s="19" t="str">
        <f ca="1">IFERROR(DATEDIF(DadosViagem5[[#This Row],[Utimo Bip Reserva]],TODAY(),"D"),"")</f>
        <v/>
      </c>
      <c r="AE463" s="29" t="s">
        <v>49</v>
      </c>
      <c r="AF463" s="35"/>
      <c r="AG463" s="36"/>
      <c r="AH463" s="25">
        <v>45807</v>
      </c>
      <c r="AI463" s="36" t="str">
        <f>IF(DadosViagem5[[#This Row],[Dias em manutenção ]]&lt;5,"Dentro do Prazo","Fora do Prazo")</f>
        <v>Fora do Prazo</v>
      </c>
      <c r="AJ463" s="36" t="e">
        <v>#REF!</v>
      </c>
    </row>
    <row r="464" spans="1:36">
      <c r="A464" s="19" t="s">
        <v>797</v>
      </c>
      <c r="B464" s="20"/>
      <c r="C464" s="19" t="s">
        <v>88</v>
      </c>
      <c r="D464" s="19" t="s">
        <v>38</v>
      </c>
      <c r="E464" s="19" t="s">
        <v>57</v>
      </c>
      <c r="F464" s="19" t="s">
        <v>115</v>
      </c>
      <c r="G464" s="19"/>
      <c r="H464" s="20">
        <v>2022</v>
      </c>
      <c r="I464" s="19" t="s">
        <v>41</v>
      </c>
      <c r="J464" s="19" t="s">
        <v>451</v>
      </c>
      <c r="K464" s="21" t="s">
        <v>452</v>
      </c>
      <c r="L464" s="22" t="s">
        <v>60</v>
      </c>
      <c r="M464" s="23" t="s">
        <v>61</v>
      </c>
      <c r="N464" s="36" t="s">
        <v>728</v>
      </c>
      <c r="O464" s="65" t="s">
        <v>63</v>
      </c>
      <c r="P464" s="26">
        <f ca="1">IFERROR(VLOOKUP(DadosViagem5[[#This Row],[Placa]],[1]BIP!A:E,5,FALSE),"")</f>
        <v>45989</v>
      </c>
      <c r="Q464" s="27">
        <f ca="1">DATEDIF(DadosViagem5[[#This Row],[BIP]],TODAY(),"D")</f>
        <v>1</v>
      </c>
      <c r="R464" s="28"/>
      <c r="S464" s="29" t="s">
        <v>48</v>
      </c>
      <c r="T464" s="23"/>
      <c r="U464" s="30"/>
      <c r="V464" s="31"/>
      <c r="W464" s="32"/>
      <c r="X464" s="33"/>
      <c r="Y464" s="34"/>
      <c r="Z464" s="32"/>
      <c r="AA464" s="20" t="s">
        <v>49</v>
      </c>
      <c r="AB464" s="20" t="s">
        <v>49</v>
      </c>
      <c r="AC464" s="19" t="s">
        <v>49</v>
      </c>
      <c r="AD464" s="19" t="str">
        <f ca="1">IFERROR(DATEDIF(DadosViagem5[[#This Row],[Utimo Bip Reserva]],TODAY(),"D"),"")</f>
        <v/>
      </c>
      <c r="AE464" s="25"/>
      <c r="AF464" s="25"/>
      <c r="AG464" s="36"/>
      <c r="AH464" s="25">
        <v>45807</v>
      </c>
      <c r="AI464" s="36" t="str">
        <f>IF(DadosViagem5[[#This Row],[Dias em manutenção ]]&lt;5,"Dentro do Prazo","Fora do Prazo")</f>
        <v>Fora do Prazo</v>
      </c>
      <c r="AJ464" s="36" t="e">
        <v>#REF!</v>
      </c>
    </row>
    <row r="465" spans="1:36">
      <c r="A465" s="19" t="s">
        <v>798</v>
      </c>
      <c r="B465" s="20"/>
      <c r="C465" s="19" t="s">
        <v>74</v>
      </c>
      <c r="D465" s="19" t="s">
        <v>52</v>
      </c>
      <c r="E465" s="19" t="s">
        <v>75</v>
      </c>
      <c r="F465" s="19" t="s">
        <v>76</v>
      </c>
      <c r="G465" s="19"/>
      <c r="H465" s="20">
        <v>2023</v>
      </c>
      <c r="I465" s="19" t="s">
        <v>41</v>
      </c>
      <c r="J465" s="19" t="s">
        <v>451</v>
      </c>
      <c r="K465" s="21" t="s">
        <v>452</v>
      </c>
      <c r="L465" s="22" t="s">
        <v>60</v>
      </c>
      <c r="M465" s="23" t="s">
        <v>77</v>
      </c>
      <c r="N465" s="36" t="s">
        <v>728</v>
      </c>
      <c r="O465" s="65" t="s">
        <v>63</v>
      </c>
      <c r="P465" s="26">
        <f ca="1">IFERROR(VLOOKUP(DadosViagem5[[#This Row],[Placa]],[1]BIP!A:E,5,FALSE),"")</f>
        <v>45989</v>
      </c>
      <c r="Q465" s="27">
        <f ca="1">DATEDIF(DadosViagem5[[#This Row],[BIP]],TODAY(),"D")</f>
        <v>1</v>
      </c>
      <c r="R465" s="28" t="str">
        <f>IFERROR(VLOOKUP(DadosViagem5[[#This Row],[Placa]],[1]DDS!B:C,2,FALSE),"Verificar cadastro")</f>
        <v>Operando</v>
      </c>
      <c r="S465" s="29" t="s">
        <v>48</v>
      </c>
      <c r="T465" s="23"/>
      <c r="U465" s="30"/>
      <c r="V465" s="31"/>
      <c r="W465" s="32"/>
      <c r="X465" s="33"/>
      <c r="Y465" s="34"/>
      <c r="Z465" s="32"/>
      <c r="AA465" s="20" t="s">
        <v>49</v>
      </c>
      <c r="AB465" s="20" t="s">
        <v>49</v>
      </c>
      <c r="AC465" s="19" t="s">
        <v>49</v>
      </c>
      <c r="AD465" s="19" t="str">
        <f ca="1">IFERROR(DATEDIF(DadosViagem5[[#This Row],[Utimo Bip Reserva]],TODAY(),"D"),"")</f>
        <v/>
      </c>
      <c r="AE465" s="36"/>
      <c r="AF465" s="25"/>
      <c r="AG465" s="36"/>
      <c r="AH465" s="25">
        <v>45807</v>
      </c>
      <c r="AI465" s="36" t="str">
        <f>IF(DadosViagem5[[#This Row],[Dias em manutenção ]]&lt;5,"Dentro do Prazo","Fora do Prazo")</f>
        <v>Fora do Prazo</v>
      </c>
      <c r="AJ465" s="36" t="e">
        <v>#REF!</v>
      </c>
    </row>
    <row r="466" spans="1:36">
      <c r="A466" s="19" t="s">
        <v>799</v>
      </c>
      <c r="B466" s="20"/>
      <c r="C466" s="19" t="s">
        <v>74</v>
      </c>
      <c r="D466" s="19" t="s">
        <v>52</v>
      </c>
      <c r="E466" s="19" t="s">
        <v>75</v>
      </c>
      <c r="F466" s="19" t="s">
        <v>76</v>
      </c>
      <c r="G466" s="19"/>
      <c r="H466" s="20">
        <v>2023</v>
      </c>
      <c r="I466" s="19" t="s">
        <v>41</v>
      </c>
      <c r="J466" s="19" t="s">
        <v>451</v>
      </c>
      <c r="K466" s="21" t="s">
        <v>452</v>
      </c>
      <c r="L466" s="22" t="s">
        <v>60</v>
      </c>
      <c r="M466" s="23" t="s">
        <v>77</v>
      </c>
      <c r="N466" s="36" t="s">
        <v>728</v>
      </c>
      <c r="O466" s="65" t="s">
        <v>63</v>
      </c>
      <c r="P466" s="26">
        <f ca="1">IFERROR(VLOOKUP(DadosViagem5[[#This Row],[Placa]],[1]BIP!A:E,5,FALSE),"")</f>
        <v>45989</v>
      </c>
      <c r="Q466" s="27">
        <f ca="1">DATEDIF(DadosViagem5[[#This Row],[BIP]],TODAY(),"D")</f>
        <v>1</v>
      </c>
      <c r="R466" s="28" t="str">
        <f>IFERROR(VLOOKUP(DadosViagem5[[#This Row],[Placa]],[1]DDS!B:C,2,FALSE),"Verificar cadastro")</f>
        <v>Operando</v>
      </c>
      <c r="S466" s="29" t="s">
        <v>48</v>
      </c>
      <c r="T466" s="23"/>
      <c r="U466" s="30"/>
      <c r="V466" s="31"/>
      <c r="W466" s="32" t="s">
        <v>800</v>
      </c>
      <c r="X466" s="33"/>
      <c r="Y466" s="34"/>
      <c r="Z466" s="42"/>
      <c r="AA466" s="20" t="s">
        <v>49</v>
      </c>
      <c r="AB466" s="20" t="s">
        <v>49</v>
      </c>
      <c r="AC466" s="19" t="s">
        <v>49</v>
      </c>
      <c r="AD466" s="19" t="str">
        <f ca="1">IFERROR(DATEDIF(DadosViagem5[[#This Row],[Utimo Bip Reserva]],TODAY(),"D"),"")</f>
        <v/>
      </c>
      <c r="AE466" s="36"/>
      <c r="AF466" s="25"/>
      <c r="AG466" s="36"/>
      <c r="AH466" s="25">
        <v>45807</v>
      </c>
      <c r="AI466" s="36" t="str">
        <f>IF(DadosViagem5[[#This Row],[Dias em manutenção ]]&lt;5,"Dentro do Prazo","Fora do Prazo")</f>
        <v>Fora do Prazo</v>
      </c>
      <c r="AJ466" s="36" t="e">
        <v>#REF!</v>
      </c>
    </row>
    <row r="467" spans="1:36">
      <c r="A467" s="19" t="s">
        <v>801</v>
      </c>
      <c r="B467" s="20">
        <v>726</v>
      </c>
      <c r="C467" s="19" t="s">
        <v>74</v>
      </c>
      <c r="D467" s="19" t="s">
        <v>52</v>
      </c>
      <c r="E467" s="19" t="s">
        <v>75</v>
      </c>
      <c r="F467" s="19" t="s">
        <v>76</v>
      </c>
      <c r="G467" s="19"/>
      <c r="H467" s="20">
        <v>2023</v>
      </c>
      <c r="I467" s="19" t="s">
        <v>41</v>
      </c>
      <c r="J467" s="19" t="s">
        <v>451</v>
      </c>
      <c r="K467" s="21" t="s">
        <v>452</v>
      </c>
      <c r="L467" s="22" t="s">
        <v>60</v>
      </c>
      <c r="M467" s="23" t="s">
        <v>77</v>
      </c>
      <c r="N467" s="36" t="s">
        <v>728</v>
      </c>
      <c r="O467" s="65" t="s">
        <v>63</v>
      </c>
      <c r="P467" s="26">
        <f ca="1">IFERROR(VLOOKUP(DadosViagem5[[#This Row],[Placa]],[1]BIP!A:E,5,FALSE),"")</f>
        <v>45989</v>
      </c>
      <c r="Q467" s="27">
        <f ca="1">DATEDIF(DadosViagem5[[#This Row],[BIP]],TODAY(),"D")</f>
        <v>1</v>
      </c>
      <c r="R467" s="28" t="str">
        <f>IFERROR(VLOOKUP(DadosViagem5[[#This Row],[Placa]],[1]DDS!B:C,2,FALSE),"Verificar cadastro")</f>
        <v>Operando</v>
      </c>
      <c r="S467" s="29" t="s">
        <v>48</v>
      </c>
      <c r="T467" s="23"/>
      <c r="U467" s="30"/>
      <c r="V467" s="31"/>
      <c r="W467" s="32" t="s">
        <v>802</v>
      </c>
      <c r="X467" s="33"/>
      <c r="Y467" s="34"/>
      <c r="Z467" s="32"/>
      <c r="AA467" s="20" t="s">
        <v>49</v>
      </c>
      <c r="AB467" s="20" t="s">
        <v>49</v>
      </c>
      <c r="AC467" s="19" t="s">
        <v>49</v>
      </c>
      <c r="AD467" s="19" t="str">
        <f ca="1">IFERROR(DATEDIF(DadosViagem5[[#This Row],[Utimo Bip Reserva]],TODAY(),"D"),"")</f>
        <v/>
      </c>
      <c r="AE467" s="36"/>
      <c r="AF467" s="25"/>
      <c r="AG467" s="36"/>
      <c r="AH467" s="25">
        <v>45807</v>
      </c>
      <c r="AI467" s="36" t="str">
        <f>IF(DadosViagem5[[#This Row],[Dias em manutenção ]]&lt;5,"Dentro do Prazo","Fora do Prazo")</f>
        <v>Fora do Prazo</v>
      </c>
      <c r="AJ467" s="36" t="e">
        <v>#REF!</v>
      </c>
    </row>
    <row r="468" spans="1:36">
      <c r="A468" s="19" t="s">
        <v>803</v>
      </c>
      <c r="B468" s="20"/>
      <c r="C468" s="19" t="s">
        <v>74</v>
      </c>
      <c r="D468" s="19" t="s">
        <v>52</v>
      </c>
      <c r="E468" s="19" t="s">
        <v>75</v>
      </c>
      <c r="F468" s="19" t="s">
        <v>76</v>
      </c>
      <c r="G468" s="19"/>
      <c r="H468" s="20">
        <v>2024</v>
      </c>
      <c r="I468" s="19" t="s">
        <v>41</v>
      </c>
      <c r="J468" s="19" t="s">
        <v>451</v>
      </c>
      <c r="K468" s="21" t="s">
        <v>452</v>
      </c>
      <c r="L468" s="22" t="s">
        <v>60</v>
      </c>
      <c r="M468" s="23" t="s">
        <v>77</v>
      </c>
      <c r="N468" s="36" t="s">
        <v>728</v>
      </c>
      <c r="O468" s="65" t="s">
        <v>63</v>
      </c>
      <c r="P468" s="26">
        <f ca="1">IFERROR(VLOOKUP(DadosViagem5[[#This Row],[Placa]],[1]BIP!A:E,5,FALSE),"")</f>
        <v>45989</v>
      </c>
      <c r="Q468" s="27">
        <f ca="1">DATEDIF(DadosViagem5[[#This Row],[BIP]],TODAY(),"D")</f>
        <v>1</v>
      </c>
      <c r="R468" s="28" t="str">
        <f>IFERROR(VLOOKUP(DadosViagem5[[#This Row],[Placa]],[1]DDS!B:C,2,FALSE),"Verificar cadastro")</f>
        <v>Operando</v>
      </c>
      <c r="S468" s="29" t="s">
        <v>48</v>
      </c>
      <c r="T468" s="23"/>
      <c r="U468" s="30"/>
      <c r="V468" s="31"/>
      <c r="W468" s="32"/>
      <c r="X468" s="33"/>
      <c r="Y468" s="34"/>
      <c r="Z468" s="32"/>
      <c r="AA468" s="20" t="s">
        <v>49</v>
      </c>
      <c r="AB468" s="20" t="s">
        <v>49</v>
      </c>
      <c r="AC468" s="20" t="s">
        <v>49</v>
      </c>
      <c r="AD468" s="20" t="s">
        <v>49</v>
      </c>
      <c r="AE468" s="36"/>
      <c r="AF468" s="25"/>
      <c r="AG468" s="36"/>
      <c r="AH468" s="25">
        <v>45807</v>
      </c>
      <c r="AI468" s="36" t="str">
        <f>IF(DadosViagem5[[#This Row],[Dias em manutenção ]]&lt;5,"Dentro do Prazo","Fora do Prazo")</f>
        <v>Fora do Prazo</v>
      </c>
      <c r="AJ468" s="36" t="e">
        <v>#REF!</v>
      </c>
    </row>
    <row r="469" spans="1:36">
      <c r="A469" s="19" t="s">
        <v>804</v>
      </c>
      <c r="B469" s="20"/>
      <c r="C469" s="19" t="s">
        <v>74</v>
      </c>
      <c r="D469" s="19" t="s">
        <v>52</v>
      </c>
      <c r="E469" s="19" t="s">
        <v>75</v>
      </c>
      <c r="F469" s="19" t="s">
        <v>76</v>
      </c>
      <c r="G469" s="19"/>
      <c r="H469" s="20">
        <v>2024</v>
      </c>
      <c r="I469" s="19" t="s">
        <v>41</v>
      </c>
      <c r="J469" s="19" t="s">
        <v>451</v>
      </c>
      <c r="K469" s="21" t="s">
        <v>452</v>
      </c>
      <c r="L469" s="39" t="s">
        <v>60</v>
      </c>
      <c r="M469" s="23" t="s">
        <v>77</v>
      </c>
      <c r="N469" s="36" t="s">
        <v>728</v>
      </c>
      <c r="O469" s="65" t="s">
        <v>63</v>
      </c>
      <c r="P469" s="26">
        <f ca="1">IFERROR(VLOOKUP(DadosViagem5[[#This Row],[Placa]],[1]BIP!A:E,5,FALSE),"")</f>
        <v>45989</v>
      </c>
      <c r="Q469" s="27">
        <f ca="1">DATEDIF(DadosViagem5[[#This Row],[BIP]],TODAY(),"D")</f>
        <v>1</v>
      </c>
      <c r="R469" s="28" t="str">
        <f>IFERROR(VLOOKUP(DadosViagem5[[#This Row],[Placa]],[1]DDS!B:C,2,FALSE),"Verificar cadastro")</f>
        <v>Operando</v>
      </c>
      <c r="S469" s="29" t="s">
        <v>48</v>
      </c>
      <c r="T469" s="23"/>
      <c r="U469" s="30"/>
      <c r="V469" s="31"/>
      <c r="W469" s="32"/>
      <c r="X469" s="33"/>
      <c r="Y469" s="34"/>
      <c r="Z469" s="32"/>
      <c r="AA469" s="20" t="s">
        <v>49</v>
      </c>
      <c r="AB469" s="20" t="s">
        <v>49</v>
      </c>
      <c r="AC469" s="20" t="s">
        <v>49</v>
      </c>
      <c r="AD469" s="20" t="s">
        <v>49</v>
      </c>
      <c r="AE469" s="36"/>
      <c r="AF469" s="25"/>
      <c r="AG469" s="36"/>
      <c r="AH469" s="25">
        <v>45807</v>
      </c>
      <c r="AI469" s="36" t="str">
        <f>IF(DadosViagem5[[#This Row],[Dias em manutenção ]]&lt;5,"Dentro do Prazo","Fora do Prazo")</f>
        <v>Fora do Prazo</v>
      </c>
      <c r="AJ469" s="36" t="e">
        <v>#REF!</v>
      </c>
    </row>
    <row r="470" spans="1:36">
      <c r="A470" s="19" t="s">
        <v>805</v>
      </c>
      <c r="B470" s="20">
        <v>525</v>
      </c>
      <c r="C470" s="19" t="s">
        <v>74</v>
      </c>
      <c r="D470" s="19" t="s">
        <v>52</v>
      </c>
      <c r="E470" s="19" t="s">
        <v>75</v>
      </c>
      <c r="F470" s="19" t="s">
        <v>76</v>
      </c>
      <c r="G470" s="19"/>
      <c r="H470" s="20">
        <v>2024</v>
      </c>
      <c r="I470" s="19" t="s">
        <v>41</v>
      </c>
      <c r="J470" s="19" t="s">
        <v>451</v>
      </c>
      <c r="K470" s="21" t="s">
        <v>452</v>
      </c>
      <c r="L470" s="22" t="s">
        <v>60</v>
      </c>
      <c r="M470" s="23" t="s">
        <v>77</v>
      </c>
      <c r="N470" s="36" t="s">
        <v>728</v>
      </c>
      <c r="O470" s="65" t="s">
        <v>63</v>
      </c>
      <c r="P470" s="26">
        <f ca="1">IFERROR(VLOOKUP(DadosViagem5[[#This Row],[Placa]],[1]BIP!A:E,5,FALSE),"")</f>
        <v>45987</v>
      </c>
      <c r="Q470" s="27">
        <f ca="1">DATEDIF(DadosViagem5[[#This Row],[BIP]],TODAY(),"D")</f>
        <v>3</v>
      </c>
      <c r="R470" s="28" t="str">
        <f>IFERROR(VLOOKUP(DadosViagem5[[#This Row],[Placa]],[1]DDS!B:C,2,FALSE),"Verificar cadastro")</f>
        <v>Falta Motorista</v>
      </c>
      <c r="S470" s="29" t="s">
        <v>48</v>
      </c>
      <c r="T470" s="23"/>
      <c r="U470" s="30"/>
      <c r="V470" s="31"/>
      <c r="W470" s="32"/>
      <c r="X470" s="33"/>
      <c r="Y470" s="34"/>
      <c r="Z470" s="32"/>
      <c r="AA470" s="20" t="s">
        <v>49</v>
      </c>
      <c r="AB470" s="20" t="s">
        <v>49</v>
      </c>
      <c r="AC470" s="19" t="s">
        <v>49</v>
      </c>
      <c r="AD470" s="19" t="str">
        <f ca="1">IFERROR(DATEDIF(DadosViagem5[[#This Row],[Utimo Bip Reserva]],TODAY(),"D"),"")</f>
        <v/>
      </c>
      <c r="AE470" s="25" t="s">
        <v>49</v>
      </c>
      <c r="AF470" s="25" t="s">
        <v>49</v>
      </c>
      <c r="AG470" s="36"/>
      <c r="AH470" s="25">
        <v>45807</v>
      </c>
      <c r="AI470" s="36" t="str">
        <f>IF(DadosViagem5[[#This Row],[Dias em manutenção ]]&lt;5,"Dentro do Prazo","Fora do Prazo")</f>
        <v>Fora do Prazo</v>
      </c>
      <c r="AJ470" s="36" t="e">
        <v>#REF!</v>
      </c>
    </row>
    <row r="471" spans="1:36">
      <c r="A471" s="19" t="s">
        <v>806</v>
      </c>
      <c r="B471" s="20">
        <v>498</v>
      </c>
      <c r="C471" s="19" t="s">
        <v>74</v>
      </c>
      <c r="D471" s="19" t="s">
        <v>52</v>
      </c>
      <c r="E471" s="19" t="s">
        <v>75</v>
      </c>
      <c r="F471" s="19" t="s">
        <v>76</v>
      </c>
      <c r="G471" s="19"/>
      <c r="H471" s="20">
        <v>2024</v>
      </c>
      <c r="I471" s="19" t="s">
        <v>41</v>
      </c>
      <c r="J471" s="19" t="s">
        <v>451</v>
      </c>
      <c r="K471" s="21" t="s">
        <v>452</v>
      </c>
      <c r="L471" s="22" t="s">
        <v>60</v>
      </c>
      <c r="M471" s="23" t="s">
        <v>77</v>
      </c>
      <c r="N471" s="36" t="s">
        <v>728</v>
      </c>
      <c r="O471" s="65" t="s">
        <v>63</v>
      </c>
      <c r="P471" s="26">
        <f ca="1">IFERROR(VLOOKUP(DadosViagem5[[#This Row],[Placa]],[1]BIP!A:E,5,FALSE),"")</f>
        <v>45989</v>
      </c>
      <c r="Q471" s="27">
        <f ca="1">DATEDIF(DadosViagem5[[#This Row],[BIP]],TODAY(),"D")</f>
        <v>1</v>
      </c>
      <c r="R471" s="28" t="str">
        <f>IFERROR(VLOOKUP(DadosViagem5[[#This Row],[Placa]],[1]DDS!B:C,2,FALSE),"Verificar cadastro")</f>
        <v>Operando</v>
      </c>
      <c r="S471" s="29" t="s">
        <v>48</v>
      </c>
      <c r="T471" s="23"/>
      <c r="U471" s="30"/>
      <c r="V471" s="31"/>
      <c r="W471" s="32" t="s">
        <v>686</v>
      </c>
      <c r="X471" s="33"/>
      <c r="Y471" s="34"/>
      <c r="Z471" s="32"/>
      <c r="AA471" s="20" t="s">
        <v>49</v>
      </c>
      <c r="AB471" s="20" t="s">
        <v>49</v>
      </c>
      <c r="AC471" s="19" t="s">
        <v>49</v>
      </c>
      <c r="AD471" s="19" t="str">
        <f ca="1">IFERROR(DATEDIF(DadosViagem5[[#This Row],[Utimo Bip Reserva]],TODAY(),"D"),"")</f>
        <v/>
      </c>
      <c r="AE471" s="25" t="s">
        <v>49</v>
      </c>
      <c r="AF471" s="25" t="s">
        <v>49</v>
      </c>
      <c r="AG471" s="36"/>
      <c r="AH471" s="25">
        <v>45807</v>
      </c>
      <c r="AI471" s="36" t="str">
        <f>IF(DadosViagem5[[#This Row],[Dias em manutenção ]]&lt;5,"Dentro do Prazo","Fora do Prazo")</f>
        <v>Fora do Prazo</v>
      </c>
      <c r="AJ471" s="36" t="e">
        <v>#REF!</v>
      </c>
    </row>
    <row r="472" spans="1:36">
      <c r="A472" s="19" t="s">
        <v>807</v>
      </c>
      <c r="B472" s="20"/>
      <c r="C472" s="19" t="s">
        <v>131</v>
      </c>
      <c r="D472" s="19" t="s">
        <v>132</v>
      </c>
      <c r="E472" s="19" t="s">
        <v>114</v>
      </c>
      <c r="F472" s="19" t="s">
        <v>115</v>
      </c>
      <c r="G472" s="19"/>
      <c r="H472" s="20">
        <v>2022</v>
      </c>
      <c r="I472" s="19" t="s">
        <v>41</v>
      </c>
      <c r="J472" s="19" t="s">
        <v>808</v>
      </c>
      <c r="K472" s="21" t="s">
        <v>809</v>
      </c>
      <c r="L472" s="22" t="s">
        <v>60</v>
      </c>
      <c r="M472" s="23" t="s">
        <v>470</v>
      </c>
      <c r="N472" s="36" t="s">
        <v>810</v>
      </c>
      <c r="O472" s="36" t="s">
        <v>811</v>
      </c>
      <c r="P472" s="26">
        <f ca="1">IFERROR(VLOOKUP(DadosViagem5[[#This Row],[Placa]],[1]BIP!A:E,5,FALSE),"")</f>
        <v>45888</v>
      </c>
      <c r="Q472" s="27">
        <f ca="1">DATEDIF(DadosViagem5[[#This Row],[BIP]],TODAY(),"D")</f>
        <v>102</v>
      </c>
      <c r="R472" s="28" t="str">
        <f>IFERROR(VLOOKUP(DadosViagem5[[#This Row],[Placa]],[1]DDS!B:C,2,FALSE),"Verificar cadastro")</f>
        <v>Verificar cadastro</v>
      </c>
      <c r="S472" s="36" t="s">
        <v>35</v>
      </c>
      <c r="T472" s="23"/>
      <c r="U472" s="30"/>
      <c r="V472" s="31"/>
      <c r="W472" s="32" t="s">
        <v>812</v>
      </c>
      <c r="X472" s="33"/>
      <c r="Y472" s="34"/>
      <c r="Z472" t="s">
        <v>813</v>
      </c>
      <c r="AA472" s="20" t="s">
        <v>49</v>
      </c>
      <c r="AB472" s="20" t="s">
        <v>49</v>
      </c>
      <c r="AC472" s="19" t="s">
        <v>49</v>
      </c>
      <c r="AD472" s="19" t="str">
        <f ca="1">IFERROR(DATEDIF(DadosViagem5[[#This Row],[Utimo Bip Reserva]],TODAY(),"D"),"")</f>
        <v/>
      </c>
      <c r="AE472" s="36" t="s">
        <v>49</v>
      </c>
      <c r="AF472" s="25" t="s">
        <v>49</v>
      </c>
      <c r="AG472" s="36" t="s">
        <v>454</v>
      </c>
      <c r="AH472" s="25">
        <v>45807</v>
      </c>
      <c r="AI472" s="36" t="str">
        <f>IF(DadosViagem5[[#This Row],[Dias em manutenção ]]&lt;5,"Dentro do Prazo","Fora do Prazo")</f>
        <v>Fora do Prazo</v>
      </c>
      <c r="AJ472" s="36" t="e">
        <v>#REF!</v>
      </c>
    </row>
    <row r="473" spans="1:36">
      <c r="A473" s="19" t="s">
        <v>814</v>
      </c>
      <c r="B473" s="20">
        <v>451</v>
      </c>
      <c r="C473" s="19" t="s">
        <v>74</v>
      </c>
      <c r="D473" s="19" t="s">
        <v>52</v>
      </c>
      <c r="E473" s="19" t="s">
        <v>75</v>
      </c>
      <c r="F473" s="19" t="s">
        <v>76</v>
      </c>
      <c r="G473" s="19"/>
      <c r="H473" s="20">
        <v>2023</v>
      </c>
      <c r="I473" s="19" t="s">
        <v>41</v>
      </c>
      <c r="J473" s="19" t="s">
        <v>808</v>
      </c>
      <c r="K473" s="38" t="s">
        <v>809</v>
      </c>
      <c r="L473" s="22" t="s">
        <v>60</v>
      </c>
      <c r="M473" s="23" t="s">
        <v>77</v>
      </c>
      <c r="N473" s="36" t="s">
        <v>810</v>
      </c>
      <c r="O473" s="36" t="s">
        <v>811</v>
      </c>
      <c r="P473" s="26">
        <f ca="1">IFERROR(VLOOKUP(DadosViagem5[[#This Row],[Placa]],[1]BIP!A:E,5,FALSE),"")</f>
        <v>45989</v>
      </c>
      <c r="Q473" s="27">
        <f ca="1">DATEDIF(DadosViagem5[[#This Row],[BIP]],TODAY(),"D")</f>
        <v>1</v>
      </c>
      <c r="R473" s="28" t="str">
        <f>IFERROR(VLOOKUP(DadosViagem5[[#This Row],[Placa]],[1]DDS!B:C,2,FALSE),"Verificar cadastro")</f>
        <v>Operando</v>
      </c>
      <c r="S473" s="29" t="s">
        <v>48</v>
      </c>
      <c r="T473" s="23"/>
      <c r="U473" s="30"/>
      <c r="V473" s="31"/>
      <c r="W473" s="32"/>
      <c r="X473" s="33" t="s">
        <v>55</v>
      </c>
      <c r="Y473" s="34" t="s">
        <v>49</v>
      </c>
      <c r="Z473" s="32"/>
      <c r="AA473" s="20" t="s">
        <v>49</v>
      </c>
      <c r="AB473" s="20" t="s">
        <v>49</v>
      </c>
      <c r="AC473" s="19"/>
      <c r="AD473" s="19">
        <f ca="1">IFERROR(DATEDIF(DadosViagem5[[#This Row],[Utimo Bip Reserva]],TODAY(),"D"),"")</f>
        <v>45990</v>
      </c>
      <c r="AE473" s="36" t="s">
        <v>49</v>
      </c>
      <c r="AF473" s="25" t="s">
        <v>49</v>
      </c>
      <c r="AG473" s="36"/>
      <c r="AH473" s="25">
        <v>45807</v>
      </c>
      <c r="AI473" s="36" t="str">
        <f>IF(DadosViagem5[[#This Row],[Dias em manutenção ]]&lt;5,"Dentro do Prazo","Fora do Prazo")</f>
        <v>Fora do Prazo</v>
      </c>
      <c r="AJ473" s="36" t="e">
        <v>#REF!</v>
      </c>
    </row>
    <row r="474" spans="1:36">
      <c r="A474" s="19" t="s">
        <v>815</v>
      </c>
      <c r="B474" s="20"/>
      <c r="C474" s="19" t="s">
        <v>131</v>
      </c>
      <c r="D474" s="19" t="s">
        <v>132</v>
      </c>
      <c r="E474" s="19" t="s">
        <v>114</v>
      </c>
      <c r="F474" s="19" t="s">
        <v>115</v>
      </c>
      <c r="G474" s="19"/>
      <c r="H474" s="20">
        <v>2022</v>
      </c>
      <c r="I474" s="19" t="s">
        <v>41</v>
      </c>
      <c r="J474" s="19" t="s">
        <v>808</v>
      </c>
      <c r="K474" s="38" t="s">
        <v>809</v>
      </c>
      <c r="L474" s="22" t="s">
        <v>60</v>
      </c>
      <c r="M474" s="23" t="s">
        <v>470</v>
      </c>
      <c r="N474" s="24" t="s">
        <v>810</v>
      </c>
      <c r="O474" s="36" t="s">
        <v>811</v>
      </c>
      <c r="P474" s="26">
        <f ca="1">IFERROR(VLOOKUP(DadosViagem5[[#This Row],[Placa]],[1]BIP!A:E,5,FALSE),"")</f>
        <v>45936</v>
      </c>
      <c r="Q474" s="27">
        <f ca="1">DATEDIF(DadosViagem5[[#This Row],[BIP]],TODAY(),"D")</f>
        <v>54</v>
      </c>
      <c r="R474" s="28" t="str">
        <f>IFERROR(VLOOKUP(DadosViagem5[[#This Row],[Placa]],[1]DDS!B:C,2,FALSE),"Verificar cadastro")</f>
        <v> </v>
      </c>
      <c r="S474" s="36" t="s">
        <v>35</v>
      </c>
      <c r="T474" s="23"/>
      <c r="U474" s="30"/>
      <c r="V474" s="31"/>
      <c r="W474" s="95" t="s">
        <v>816</v>
      </c>
      <c r="X474" s="33" t="s">
        <v>55</v>
      </c>
      <c r="Y474" s="34" t="s">
        <v>49</v>
      </c>
      <c r="Z474" s="32"/>
      <c r="AA474" s="20" t="s">
        <v>49</v>
      </c>
      <c r="AB474" s="20" t="s">
        <v>49</v>
      </c>
      <c r="AC474" s="19" t="s">
        <v>49</v>
      </c>
      <c r="AD474" s="19" t="str">
        <f ca="1">IFERROR(DATEDIF(DadosViagem5[[#This Row],[Utimo Bip Reserva]],TODAY(),"D"),"")</f>
        <v/>
      </c>
      <c r="AE474" s="36"/>
      <c r="AF474" s="25" t="s">
        <v>49</v>
      </c>
      <c r="AG474" s="36"/>
      <c r="AH474" s="25">
        <v>45807</v>
      </c>
      <c r="AI474" s="36" t="str">
        <f>IF(DadosViagem5[[#This Row],[Dias em manutenção ]]&lt;5,"Dentro do Prazo","Fora do Prazo")</f>
        <v>Fora do Prazo</v>
      </c>
      <c r="AJ474" s="36" t="e">
        <v>#REF!</v>
      </c>
    </row>
    <row r="475" spans="1:36">
      <c r="A475" s="19" t="s">
        <v>817</v>
      </c>
      <c r="B475" s="20"/>
      <c r="C475" s="19" t="s">
        <v>71</v>
      </c>
      <c r="D475" s="19" t="s">
        <v>38</v>
      </c>
      <c r="E475" s="19" t="s">
        <v>265</v>
      </c>
      <c r="F475" s="19" t="s">
        <v>115</v>
      </c>
      <c r="G475" s="19"/>
      <c r="H475" s="20">
        <v>2023</v>
      </c>
      <c r="I475" s="19" t="s">
        <v>41</v>
      </c>
      <c r="J475" s="19" t="s">
        <v>808</v>
      </c>
      <c r="K475" s="38" t="s">
        <v>809</v>
      </c>
      <c r="L475" s="22" t="s">
        <v>60</v>
      </c>
      <c r="M475" s="23" t="s">
        <v>470</v>
      </c>
      <c r="N475" s="24" t="s">
        <v>810</v>
      </c>
      <c r="O475" s="24" t="s">
        <v>811</v>
      </c>
      <c r="P475" s="26">
        <f ca="1">IFERROR(VLOOKUP(DadosViagem5[[#This Row],[Placa]],[1]BIP!A:E,5,FALSE),"")</f>
        <v>45989</v>
      </c>
      <c r="Q475" s="27">
        <f ca="1">DATEDIF(DadosViagem5[[#This Row],[BIP]],TODAY(),"D")</f>
        <v>1</v>
      </c>
      <c r="R475" s="28" t="str">
        <f>IFERROR(VLOOKUP(DadosViagem5[[#This Row],[Placa]],[1]DDS!B:C,2,FALSE),"Verificar cadastro")</f>
        <v>Operando</v>
      </c>
      <c r="S475" s="29" t="s">
        <v>48</v>
      </c>
      <c r="T475" s="23"/>
      <c r="U475" s="30"/>
      <c r="V475" s="31"/>
      <c r="W475" s="32"/>
      <c r="X475" s="33" t="s">
        <v>55</v>
      </c>
      <c r="Y475" s="34" t="s">
        <v>49</v>
      </c>
      <c r="Z475" s="32"/>
      <c r="AA475" s="20" t="s">
        <v>49</v>
      </c>
      <c r="AB475" s="20" t="s">
        <v>49</v>
      </c>
      <c r="AC475" s="19" t="s">
        <v>49</v>
      </c>
      <c r="AD475" s="19" t="str">
        <f ca="1">IFERROR(DATEDIF(DadosViagem5[[#This Row],[Utimo Bip Reserva]],TODAY(),"D"),"")</f>
        <v/>
      </c>
      <c r="AE475" s="36" t="s">
        <v>49</v>
      </c>
      <c r="AF475" s="25" t="s">
        <v>49</v>
      </c>
      <c r="AG475" s="36"/>
      <c r="AH475" s="25">
        <v>45807</v>
      </c>
      <c r="AI475" s="36" t="str">
        <f>IF(DadosViagem5[[#This Row],[Dias em manutenção ]]&lt;5,"Dentro do Prazo","Fora do Prazo")</f>
        <v>Fora do Prazo</v>
      </c>
      <c r="AJ475" s="36" t="e">
        <v>#REF!</v>
      </c>
    </row>
    <row r="476" spans="1:36">
      <c r="A476" s="19" t="s">
        <v>818</v>
      </c>
      <c r="B476" s="20"/>
      <c r="C476" s="19" t="s">
        <v>88</v>
      </c>
      <c r="D476" s="19" t="s">
        <v>52</v>
      </c>
      <c r="E476" s="19" t="s">
        <v>114</v>
      </c>
      <c r="F476" s="19" t="s">
        <v>115</v>
      </c>
      <c r="G476" s="19"/>
      <c r="H476" s="20">
        <v>2021</v>
      </c>
      <c r="I476" s="37" t="s">
        <v>41</v>
      </c>
      <c r="J476" s="37" t="s">
        <v>808</v>
      </c>
      <c r="K476" s="38" t="s">
        <v>809</v>
      </c>
      <c r="L476" s="39" t="s">
        <v>60</v>
      </c>
      <c r="M476" s="23" t="s">
        <v>470</v>
      </c>
      <c r="N476" s="24" t="s">
        <v>810</v>
      </c>
      <c r="O476" s="24" t="s">
        <v>811</v>
      </c>
      <c r="P476" s="26">
        <f ca="1">IFERROR(VLOOKUP(DadosViagem5[[#This Row],[Placa]],[1]BIP!A:E,5,FALSE),"")</f>
        <v>45908</v>
      </c>
      <c r="Q476" s="27">
        <f ca="1">DATEDIF(DadosViagem5[[#This Row],[BIP]],TODAY(),"D")</f>
        <v>82</v>
      </c>
      <c r="R476" s="28" t="str">
        <f>IFERROR(VLOOKUP(DadosViagem5[[#This Row],[Placa]],[1]DDS!B:C,2,FALSE),"Verificar cadastro")</f>
        <v>Verificar cadastro</v>
      </c>
      <c r="S476" s="36" t="s">
        <v>574</v>
      </c>
      <c r="T476" s="23"/>
      <c r="U476" s="30"/>
      <c r="V476" s="31"/>
      <c r="W476" s="32" t="s">
        <v>819</v>
      </c>
      <c r="X476" s="33"/>
      <c r="Y476" s="34"/>
      <c r="Z476" s="42"/>
      <c r="AA476" s="20" t="s">
        <v>49</v>
      </c>
      <c r="AB476" s="20" t="s">
        <v>49</v>
      </c>
      <c r="AC476" s="19" t="s">
        <v>49</v>
      </c>
      <c r="AD476" s="19" t="str">
        <f ca="1">IFERROR(DATEDIF(DadosViagem5[[#This Row],[Utimo Bip Reserva]],TODAY(),"D"),"")</f>
        <v/>
      </c>
      <c r="AE476" s="23" t="s">
        <v>49</v>
      </c>
      <c r="AF476" s="25">
        <v>45705</v>
      </c>
      <c r="AG476" s="36" t="s">
        <v>540</v>
      </c>
      <c r="AH476" s="25">
        <v>45807</v>
      </c>
      <c r="AI476" s="36" t="str">
        <f>IF(DadosViagem5[[#This Row],[Dias em manutenção ]]&lt;5,"Dentro do Prazo","Fora do Prazo")</f>
        <v>Fora do Prazo</v>
      </c>
      <c r="AJ476" s="36" t="e">
        <v>#REF!</v>
      </c>
    </row>
    <row r="477" spans="1:36">
      <c r="A477" s="19" t="s">
        <v>820</v>
      </c>
      <c r="B477" s="20"/>
      <c r="C477" s="19" t="s">
        <v>131</v>
      </c>
      <c r="D477" s="19" t="s">
        <v>132</v>
      </c>
      <c r="E477" s="19" t="s">
        <v>114</v>
      </c>
      <c r="F477" s="19" t="s">
        <v>115</v>
      </c>
      <c r="G477" s="19"/>
      <c r="H477" s="20">
        <v>2022</v>
      </c>
      <c r="I477" s="19" t="s">
        <v>41</v>
      </c>
      <c r="J477" s="19" t="s">
        <v>808</v>
      </c>
      <c r="K477" s="38" t="s">
        <v>809</v>
      </c>
      <c r="L477" s="22" t="s">
        <v>60</v>
      </c>
      <c r="M477" s="23" t="s">
        <v>470</v>
      </c>
      <c r="N477" s="36" t="s">
        <v>810</v>
      </c>
      <c r="O477" s="24" t="s">
        <v>811</v>
      </c>
      <c r="P477" s="26">
        <f ca="1">IFERROR(VLOOKUP(DadosViagem5[[#This Row],[Placa]],[1]BIP!A:E,5,FALSE),"")</f>
        <v>45915</v>
      </c>
      <c r="Q477" s="27">
        <f ca="1">DATEDIF(DadosViagem5[[#This Row],[BIP]],TODAY(),"D")</f>
        <v>75</v>
      </c>
      <c r="R477" s="28" t="str">
        <f>IFERROR(VLOOKUP(DadosViagem5[[#This Row],[Placa]],[1]DDS!B:C,2,FALSE),"Verificar cadastro")</f>
        <v>Verificar cadastro</v>
      </c>
      <c r="S477" s="36" t="s">
        <v>574</v>
      </c>
      <c r="T477" s="23"/>
      <c r="U477" s="30"/>
      <c r="V477" s="31"/>
      <c r="W477" s="32" t="s">
        <v>821</v>
      </c>
      <c r="X477" s="33"/>
      <c r="Y477" s="34"/>
      <c r="Z477" s="42"/>
      <c r="AA477" s="20" t="s">
        <v>49</v>
      </c>
      <c r="AB477" s="20" t="s">
        <v>49</v>
      </c>
      <c r="AC477" s="19" t="s">
        <v>49</v>
      </c>
      <c r="AD477" s="19" t="str">
        <f ca="1">IFERROR(DATEDIF(DadosViagem5[[#This Row],[Utimo Bip Reserva]],TODAY(),"D"),"")</f>
        <v/>
      </c>
      <c r="AE477" s="23" t="s">
        <v>49</v>
      </c>
      <c r="AF477" s="30" t="s">
        <v>49</v>
      </c>
      <c r="AG477" s="30" t="s">
        <v>153</v>
      </c>
      <c r="AH477" s="25">
        <v>50</v>
      </c>
      <c r="AI477" s="36" t="str">
        <f>IF(DadosViagem5[[#This Row],[Dias em manutenção ]]&lt;5,"Dentro do Prazo","Fora do Prazo")</f>
        <v>Fora do Prazo</v>
      </c>
      <c r="AJ477" s="36" t="e">
        <v>#REF!</v>
      </c>
    </row>
    <row r="478" spans="1:36">
      <c r="A478" s="19" t="s">
        <v>822</v>
      </c>
      <c r="B478" s="20">
        <v>471</v>
      </c>
      <c r="C478" s="19" t="s">
        <v>74</v>
      </c>
      <c r="D478" s="19" t="s">
        <v>52</v>
      </c>
      <c r="E478" s="19" t="s">
        <v>75</v>
      </c>
      <c r="F478" s="19" t="s">
        <v>76</v>
      </c>
      <c r="G478" s="19"/>
      <c r="H478" s="20">
        <v>2024</v>
      </c>
      <c r="I478" s="19" t="s">
        <v>41</v>
      </c>
      <c r="J478" s="19" t="s">
        <v>808</v>
      </c>
      <c r="K478" s="21" t="s">
        <v>809</v>
      </c>
      <c r="L478" s="22" t="s">
        <v>60</v>
      </c>
      <c r="M478" s="23" t="s">
        <v>77</v>
      </c>
      <c r="N478" s="36" t="s">
        <v>810</v>
      </c>
      <c r="O478" s="36" t="s">
        <v>811</v>
      </c>
      <c r="P478" s="26">
        <f ca="1">IFERROR(VLOOKUP(DadosViagem5[[#This Row],[Placa]],[1]BIP!A:E,5,FALSE),"")</f>
        <v>45989</v>
      </c>
      <c r="Q478" s="27">
        <f ca="1">DATEDIF(DadosViagem5[[#This Row],[BIP]],TODAY(),"D")</f>
        <v>1</v>
      </c>
      <c r="R478" s="28" t="str">
        <f>IFERROR(VLOOKUP(DadosViagem5[[#This Row],[Placa]],[1]DDS!B:C,2,FALSE),"Verificar cadastro")</f>
        <v>Operando</v>
      </c>
      <c r="S478" s="29" t="s">
        <v>48</v>
      </c>
      <c r="T478" s="23"/>
      <c r="U478" s="30"/>
      <c r="V478" s="31"/>
      <c r="W478" s="32" t="s">
        <v>823</v>
      </c>
      <c r="X478" s="33"/>
      <c r="Y478" s="34"/>
      <c r="Z478" s="42"/>
      <c r="AA478" s="20" t="s">
        <v>49</v>
      </c>
      <c r="AB478" s="20" t="s">
        <v>49</v>
      </c>
      <c r="AC478" s="19" t="s">
        <v>49</v>
      </c>
      <c r="AD478" s="19" t="str">
        <f ca="1">IFERROR(DATEDIF(DadosViagem5[[#This Row],[Utimo Bip Reserva]],TODAY(),"D"),"")</f>
        <v/>
      </c>
      <c r="AE478" s="25" t="s">
        <v>49</v>
      </c>
      <c r="AF478" s="25" t="s">
        <v>49</v>
      </c>
      <c r="AG478" s="36"/>
      <c r="AH478" s="25">
        <v>45807</v>
      </c>
      <c r="AI478" s="36" t="str">
        <f>IF(DadosViagem5[[#This Row],[Dias em manutenção ]]&lt;5,"Dentro do Prazo","Fora do Prazo")</f>
        <v>Fora do Prazo</v>
      </c>
      <c r="AJ478" s="36" t="e">
        <v>#REF!</v>
      </c>
    </row>
    <row r="479" spans="1:36">
      <c r="A479" s="19" t="s">
        <v>824</v>
      </c>
      <c r="B479" s="20"/>
      <c r="C479" s="19" t="s">
        <v>74</v>
      </c>
      <c r="D479" s="19" t="s">
        <v>52</v>
      </c>
      <c r="E479" s="19" t="s">
        <v>75</v>
      </c>
      <c r="F479" s="19" t="s">
        <v>76</v>
      </c>
      <c r="G479" s="19"/>
      <c r="H479" s="20">
        <v>2023</v>
      </c>
      <c r="I479" s="19" t="s">
        <v>41</v>
      </c>
      <c r="J479" s="19" t="s">
        <v>808</v>
      </c>
      <c r="K479" s="21" t="s">
        <v>809</v>
      </c>
      <c r="L479" s="22" t="s">
        <v>60</v>
      </c>
      <c r="M479" s="23" t="s">
        <v>77</v>
      </c>
      <c r="N479" s="36" t="s">
        <v>810</v>
      </c>
      <c r="O479" s="36" t="s">
        <v>811</v>
      </c>
      <c r="P479" s="26">
        <f ca="1">IFERROR(VLOOKUP(DadosViagem5[[#This Row],[Placa]],[1]BIP!A:E,5,FALSE),"")</f>
        <v>45989</v>
      </c>
      <c r="Q479" s="27">
        <f ca="1">DATEDIF(DadosViagem5[[#This Row],[BIP]],TODAY(),"D")</f>
        <v>1</v>
      </c>
      <c r="R479" s="28" t="str">
        <f>IFERROR(VLOOKUP(DadosViagem5[[#This Row],[Placa]],[1]DDS!B:C,2,FALSE),"Verificar cadastro")</f>
        <v>Operando</v>
      </c>
      <c r="S479" s="29" t="s">
        <v>48</v>
      </c>
      <c r="T479" s="23"/>
      <c r="U479" s="30"/>
      <c r="V479" s="31"/>
      <c r="W479" s="32" t="s">
        <v>825</v>
      </c>
      <c r="X479" s="33"/>
      <c r="Y479" s="34"/>
      <c r="Z479" s="34"/>
      <c r="AA479" s="20" t="s">
        <v>49</v>
      </c>
      <c r="AB479" s="20" t="s">
        <v>49</v>
      </c>
      <c r="AC479" s="19" t="s">
        <v>49</v>
      </c>
      <c r="AD479" s="19" t="str">
        <f ca="1">IFERROR(DATEDIF(DadosViagem5[[#This Row],[Utimo Bip Reserva]],TODAY(),"D"),"")</f>
        <v/>
      </c>
      <c r="AE479" s="36"/>
      <c r="AF479" s="25"/>
      <c r="AG479" s="36"/>
      <c r="AH479" s="25">
        <v>45807</v>
      </c>
      <c r="AI479" s="36" t="str">
        <f>IF(DadosViagem5[[#This Row],[Dias em manutenção ]]&lt;5,"Dentro do Prazo","Fora do Prazo")</f>
        <v>Fora do Prazo</v>
      </c>
      <c r="AJ479" s="36" t="e">
        <v>#REF!</v>
      </c>
    </row>
    <row r="480" spans="1:36">
      <c r="A480" s="19" t="s">
        <v>826</v>
      </c>
      <c r="B480" s="20">
        <v>472</v>
      </c>
      <c r="C480" s="19" t="s">
        <v>74</v>
      </c>
      <c r="D480" s="19" t="s">
        <v>52</v>
      </c>
      <c r="E480" s="19" t="s">
        <v>52</v>
      </c>
      <c r="F480" s="19" t="s">
        <v>76</v>
      </c>
      <c r="G480" s="19"/>
      <c r="H480" s="20">
        <v>2024</v>
      </c>
      <c r="I480" s="19" t="s">
        <v>41</v>
      </c>
      <c r="J480" s="19" t="s">
        <v>808</v>
      </c>
      <c r="K480" s="21" t="s">
        <v>809</v>
      </c>
      <c r="L480" s="22" t="s">
        <v>60</v>
      </c>
      <c r="M480" s="23" t="s">
        <v>77</v>
      </c>
      <c r="N480" s="36" t="s">
        <v>810</v>
      </c>
      <c r="O480" s="36" t="s">
        <v>811</v>
      </c>
      <c r="P480" s="26">
        <f ca="1">IFERROR(VLOOKUP(DadosViagem5[[#This Row],[Placa]],[1]BIP!A:E,5,FALSE),"")</f>
        <v>45989</v>
      </c>
      <c r="Q480" s="27">
        <f ca="1">DATEDIF(DadosViagem5[[#This Row],[BIP]],TODAY(),"D")</f>
        <v>1</v>
      </c>
      <c r="R480" s="28" t="str">
        <f>IFERROR(VLOOKUP(DadosViagem5[[#This Row],[Placa]],[1]DDS!B:C,2,FALSE),"Verificar cadastro")</f>
        <v>Operando</v>
      </c>
      <c r="S480" s="29" t="s">
        <v>48</v>
      </c>
      <c r="T480" s="23"/>
      <c r="U480" s="30"/>
      <c r="V480" s="31"/>
      <c r="W480" s="32" t="s">
        <v>827</v>
      </c>
      <c r="X480" s="33"/>
      <c r="Y480" s="34"/>
      <c r="Z480" s="32"/>
      <c r="AA480" s="20" t="s">
        <v>49</v>
      </c>
      <c r="AB480" s="20" t="s">
        <v>49</v>
      </c>
      <c r="AC480" s="19" t="s">
        <v>49</v>
      </c>
      <c r="AD480" s="19" t="str">
        <f ca="1">IFERROR(DATEDIF(DadosViagem5[[#This Row],[Utimo Bip Reserva]],TODAY(),"D"),"")</f>
        <v/>
      </c>
      <c r="AE480" s="25" t="s">
        <v>49</v>
      </c>
      <c r="AF480" s="25" t="s">
        <v>49</v>
      </c>
      <c r="AG480" s="36"/>
      <c r="AH480" s="25">
        <v>45807</v>
      </c>
      <c r="AI480" s="36" t="str">
        <f>IF(DadosViagem5[[#This Row],[Dias em manutenção ]]&lt;5,"Dentro do Prazo","Fora do Prazo")</f>
        <v>Fora do Prazo</v>
      </c>
      <c r="AJ480" s="36" t="e">
        <v>#REF!</v>
      </c>
    </row>
    <row r="481" spans="1:36">
      <c r="A481" s="19" t="s">
        <v>828</v>
      </c>
      <c r="B481" s="20">
        <v>449</v>
      </c>
      <c r="C481" s="19" t="s">
        <v>74</v>
      </c>
      <c r="D481" s="19" t="s">
        <v>52</v>
      </c>
      <c r="E481" s="19" t="s">
        <v>75</v>
      </c>
      <c r="F481" s="19" t="s">
        <v>76</v>
      </c>
      <c r="G481" s="19"/>
      <c r="H481" s="20">
        <v>2024</v>
      </c>
      <c r="I481" s="19" t="s">
        <v>41</v>
      </c>
      <c r="J481" s="19" t="s">
        <v>808</v>
      </c>
      <c r="K481" s="21" t="s">
        <v>809</v>
      </c>
      <c r="L481" s="22" t="s">
        <v>60</v>
      </c>
      <c r="M481" s="23" t="s">
        <v>77</v>
      </c>
      <c r="N481" s="36" t="s">
        <v>810</v>
      </c>
      <c r="O481" s="36" t="s">
        <v>811</v>
      </c>
      <c r="P481" s="26">
        <f ca="1">IFERROR(VLOOKUP(DadosViagem5[[#This Row],[Placa]],[1]BIP!A:E,5,FALSE),"")</f>
        <v>45989</v>
      </c>
      <c r="Q481" s="27">
        <f ca="1">DATEDIF(DadosViagem5[[#This Row],[BIP]],TODAY(),"D")</f>
        <v>1</v>
      </c>
      <c r="R481" s="28" t="str">
        <f>IFERROR(VLOOKUP(DadosViagem5[[#This Row],[Placa]],[1]DDS!B:C,2,FALSE),"Verificar cadastro")</f>
        <v>Operando</v>
      </c>
      <c r="S481" s="29" t="s">
        <v>48</v>
      </c>
      <c r="T481" s="23"/>
      <c r="U481" s="30"/>
      <c r="V481" s="31"/>
      <c r="W481" s="32"/>
      <c r="X481" s="33"/>
      <c r="Y481" s="34"/>
      <c r="Z481" s="42"/>
      <c r="AA481" s="20"/>
      <c r="AB481" s="20" t="s">
        <v>49</v>
      </c>
      <c r="AC481" s="19" t="s">
        <v>49</v>
      </c>
      <c r="AD481" s="19" t="str">
        <f ca="1">IFERROR(DATEDIF(DadosViagem5[[#This Row],[Utimo Bip Reserva]],TODAY(),"D"),"")</f>
        <v/>
      </c>
      <c r="AE481" s="36" t="s">
        <v>49</v>
      </c>
      <c r="AF481" s="25" t="s">
        <v>49</v>
      </c>
      <c r="AG481" s="36"/>
      <c r="AH481" s="25">
        <v>45807</v>
      </c>
      <c r="AI481" s="36" t="str">
        <f>IF(DadosViagem5[[#This Row],[Dias em manutenção ]]&lt;5,"Dentro do Prazo","Fora do Prazo")</f>
        <v>Fora do Prazo</v>
      </c>
      <c r="AJ481" s="36" t="e">
        <v>#REF!</v>
      </c>
    </row>
    <row r="482" spans="1:36">
      <c r="A482" s="19" t="s">
        <v>829</v>
      </c>
      <c r="B482" s="20"/>
      <c r="C482" s="19" t="s">
        <v>88</v>
      </c>
      <c r="D482" s="19" t="s">
        <v>52</v>
      </c>
      <c r="E482" s="19" t="s">
        <v>114</v>
      </c>
      <c r="F482" s="19" t="s">
        <v>115</v>
      </c>
      <c r="G482" s="19"/>
      <c r="H482" s="20">
        <v>2022</v>
      </c>
      <c r="I482" s="19" t="s">
        <v>41</v>
      </c>
      <c r="J482" s="19" t="s">
        <v>808</v>
      </c>
      <c r="K482" s="21" t="s">
        <v>809</v>
      </c>
      <c r="L482" s="22" t="s">
        <v>60</v>
      </c>
      <c r="M482" s="23" t="s">
        <v>470</v>
      </c>
      <c r="N482" s="36" t="s">
        <v>810</v>
      </c>
      <c r="O482" s="36" t="s">
        <v>811</v>
      </c>
      <c r="P482" s="26">
        <f ca="1">IFERROR(VLOOKUP(DadosViagem5[[#This Row],[Placa]],[1]BIP!A:E,5,FALSE),"")</f>
        <v>45989</v>
      </c>
      <c r="Q482" s="27">
        <f ca="1">DATEDIF(DadosViagem5[[#This Row],[BIP]],TODAY(),"D")</f>
        <v>1</v>
      </c>
      <c r="R482" s="28" t="str">
        <f>IFERROR(VLOOKUP(DadosViagem5[[#This Row],[Placa]],[1]DDS!B:C,2,FALSE),"Verificar cadastro")</f>
        <v>Verificar cadastro</v>
      </c>
      <c r="S482" s="36" t="s">
        <v>574</v>
      </c>
      <c r="T482" s="23"/>
      <c r="U482" s="30"/>
      <c r="V482" s="31"/>
      <c r="W482" s="32" t="s">
        <v>830</v>
      </c>
      <c r="X482" s="33"/>
      <c r="Y482" s="34"/>
      <c r="Z482" s="32"/>
      <c r="AA482" s="20" t="s">
        <v>49</v>
      </c>
      <c r="AB482" s="20" t="s">
        <v>49</v>
      </c>
      <c r="AC482" s="19" t="s">
        <v>49</v>
      </c>
      <c r="AD482" s="19" t="str">
        <f ca="1">IFERROR(DATEDIF(DadosViagem5[[#This Row],[Utimo Bip Reserva]],TODAY(),"D"),"")</f>
        <v/>
      </c>
      <c r="AE482" s="36" t="s">
        <v>49</v>
      </c>
      <c r="AF482" s="25" t="s">
        <v>49</v>
      </c>
      <c r="AG482" s="36" t="s">
        <v>290</v>
      </c>
      <c r="AH482" s="25">
        <v>1</v>
      </c>
      <c r="AI482" s="36" t="str">
        <f>IF(DadosViagem5[[#This Row],[Dias em manutenção ]]&lt;5,"Dentro do Prazo","Fora do Prazo")</f>
        <v>Dentro do Prazo</v>
      </c>
      <c r="AJ482" s="36" t="e">
        <v>#REF!</v>
      </c>
    </row>
    <row r="483" spans="1:36">
      <c r="A483" s="19" t="s">
        <v>831</v>
      </c>
      <c r="B483" s="20"/>
      <c r="C483" s="19" t="s">
        <v>74</v>
      </c>
      <c r="D483" s="19" t="s">
        <v>52</v>
      </c>
      <c r="E483" s="19" t="s">
        <v>75</v>
      </c>
      <c r="F483" s="19" t="s">
        <v>76</v>
      </c>
      <c r="G483" s="19"/>
      <c r="H483" s="20">
        <v>2023</v>
      </c>
      <c r="I483" s="19" t="s">
        <v>41</v>
      </c>
      <c r="J483" s="19" t="s">
        <v>808</v>
      </c>
      <c r="K483" s="21" t="s">
        <v>809</v>
      </c>
      <c r="L483" s="22" t="s">
        <v>60</v>
      </c>
      <c r="M483" s="23" t="s">
        <v>77</v>
      </c>
      <c r="N483" s="36" t="s">
        <v>810</v>
      </c>
      <c r="O483" s="36" t="s">
        <v>811</v>
      </c>
      <c r="P483" s="26">
        <f ca="1">IFERROR(VLOOKUP(DadosViagem5[[#This Row],[Placa]],[1]BIP!A:E,5,FALSE),"")</f>
        <v>45989</v>
      </c>
      <c r="Q483" s="27">
        <f ca="1">DATEDIF(DadosViagem5[[#This Row],[BIP]],TODAY(),"D")</f>
        <v>1</v>
      </c>
      <c r="R483" s="28" t="str">
        <f>IFERROR(VLOOKUP(DadosViagem5[[#This Row],[Placa]],[1]DDS!B:C,2,FALSE),"Verificar cadastro")</f>
        <v>Operando</v>
      </c>
      <c r="S483" s="29" t="s">
        <v>48</v>
      </c>
      <c r="T483" s="23"/>
      <c r="U483" s="30"/>
      <c r="V483" s="31"/>
      <c r="W483" s="32"/>
      <c r="X483" s="33"/>
      <c r="Y483" s="34"/>
      <c r="Z483" s="32"/>
      <c r="AA483" s="20" t="s">
        <v>49</v>
      </c>
      <c r="AB483" s="20" t="s">
        <v>49</v>
      </c>
      <c r="AC483" s="19" t="s">
        <v>49</v>
      </c>
      <c r="AD483" s="19" t="str">
        <f ca="1">IFERROR(DATEDIF(DadosViagem5[[#This Row],[Utimo Bip Reserva]],TODAY(),"D"),"")</f>
        <v/>
      </c>
      <c r="AE483" s="36"/>
      <c r="AF483" s="25"/>
      <c r="AG483" s="36"/>
      <c r="AH483" s="25">
        <v>45807</v>
      </c>
      <c r="AI483" s="36" t="str">
        <f>IF(DadosViagem5[[#This Row],[Dias em manutenção ]]&lt;5,"Dentro do Prazo","Fora do Prazo")</f>
        <v>Fora do Prazo</v>
      </c>
      <c r="AJ483" s="36" t="e">
        <v>#REF!</v>
      </c>
    </row>
    <row r="484" spans="1:36">
      <c r="A484" s="19" t="s">
        <v>832</v>
      </c>
      <c r="B484" s="20"/>
      <c r="C484" s="19" t="s">
        <v>71</v>
      </c>
      <c r="D484" s="19" t="s">
        <v>38</v>
      </c>
      <c r="E484" s="19" t="s">
        <v>265</v>
      </c>
      <c r="F484" s="19" t="s">
        <v>115</v>
      </c>
      <c r="G484" s="19"/>
      <c r="H484" s="20">
        <v>2023</v>
      </c>
      <c r="I484" s="19" t="s">
        <v>41</v>
      </c>
      <c r="J484" s="19" t="s">
        <v>808</v>
      </c>
      <c r="K484" s="21" t="s">
        <v>809</v>
      </c>
      <c r="L484" s="22" t="s">
        <v>60</v>
      </c>
      <c r="M484" s="23" t="s">
        <v>470</v>
      </c>
      <c r="N484" s="36" t="s">
        <v>810</v>
      </c>
      <c r="O484" s="36" t="s">
        <v>811</v>
      </c>
      <c r="P484" s="26">
        <f ca="1">IFERROR(VLOOKUP(DadosViagem5[[#This Row],[Placa]],[1]BIP!A:E,5,FALSE),"")</f>
        <v>45989</v>
      </c>
      <c r="Q484" s="27">
        <f ca="1">DATEDIF(DadosViagem5[[#This Row],[BIP]],TODAY(),"D")</f>
        <v>1</v>
      </c>
      <c r="R484" s="28" t="str">
        <f>IFERROR(VLOOKUP(DadosViagem5[[#This Row],[Placa]],[1]DDS!B:C,2,FALSE),"Verificar cadastro")</f>
        <v>Operando</v>
      </c>
      <c r="S484" s="29" t="s">
        <v>48</v>
      </c>
      <c r="T484" s="23"/>
      <c r="U484" s="30"/>
      <c r="V484" s="31"/>
      <c r="W484" s="32" t="s">
        <v>833</v>
      </c>
      <c r="X484" s="33"/>
      <c r="Y484" s="34"/>
      <c r="Z484" s="32"/>
      <c r="AA484" s="20" t="s">
        <v>49</v>
      </c>
      <c r="AB484" s="20" t="s">
        <v>49</v>
      </c>
      <c r="AC484" s="19" t="s">
        <v>49</v>
      </c>
      <c r="AD484" s="19" t="str">
        <f ca="1">IFERROR(DATEDIF(DadosViagem5[[#This Row],[Utimo Bip Reserva]],TODAY(),"D"),"")</f>
        <v/>
      </c>
      <c r="AE484" s="25" t="s">
        <v>49</v>
      </c>
      <c r="AF484" s="25">
        <v>45699</v>
      </c>
      <c r="AG484" s="36" t="s">
        <v>540</v>
      </c>
      <c r="AH484" s="25">
        <v>45807</v>
      </c>
      <c r="AI484" s="36" t="str">
        <f>IF(DadosViagem5[[#This Row],[Dias em manutenção ]]&lt;5,"Dentro do Prazo","Fora do Prazo")</f>
        <v>Fora do Prazo</v>
      </c>
      <c r="AJ484" s="36" t="e">
        <v>#REF!</v>
      </c>
    </row>
    <row r="485" spans="1:36">
      <c r="A485" s="19" t="s">
        <v>834</v>
      </c>
      <c r="B485" s="20"/>
      <c r="C485" s="19" t="s">
        <v>74</v>
      </c>
      <c r="D485" s="19" t="s">
        <v>52</v>
      </c>
      <c r="E485" s="19" t="s">
        <v>75</v>
      </c>
      <c r="F485" s="19" t="s">
        <v>76</v>
      </c>
      <c r="G485" s="19"/>
      <c r="H485" s="20">
        <v>2024</v>
      </c>
      <c r="I485" s="19" t="s">
        <v>41</v>
      </c>
      <c r="J485" s="19" t="s">
        <v>808</v>
      </c>
      <c r="K485" s="21" t="s">
        <v>809</v>
      </c>
      <c r="L485" s="22" t="s">
        <v>60</v>
      </c>
      <c r="M485" s="23" t="s">
        <v>77</v>
      </c>
      <c r="N485" s="36" t="s">
        <v>810</v>
      </c>
      <c r="O485" s="36" t="s">
        <v>811</v>
      </c>
      <c r="P485" s="26">
        <f ca="1">IFERROR(VLOOKUP(DadosViagem5[[#This Row],[Placa]],[1]BIP!A:E,5,FALSE),"")</f>
        <v>45989</v>
      </c>
      <c r="Q485" s="27">
        <f ca="1">DATEDIF(DadosViagem5[[#This Row],[BIP]],TODAY(),"D")</f>
        <v>1</v>
      </c>
      <c r="R485" s="28" t="str">
        <f>IFERROR(VLOOKUP(DadosViagem5[[#This Row],[Placa]],[1]DDS!B:C,2,FALSE),"Verificar cadastro")</f>
        <v>Operando</v>
      </c>
      <c r="S485" s="29" t="s">
        <v>48</v>
      </c>
      <c r="T485" s="23"/>
      <c r="U485" s="30"/>
      <c r="V485" s="31"/>
      <c r="W485" s="32" t="s">
        <v>835</v>
      </c>
      <c r="X485" s="33"/>
      <c r="Y485" s="34"/>
      <c r="Z485" s="32"/>
      <c r="AA485" s="20" t="s">
        <v>49</v>
      </c>
      <c r="AB485" s="20" t="s">
        <v>49</v>
      </c>
      <c r="AC485" s="19" t="s">
        <v>49</v>
      </c>
      <c r="AD485" s="19" t="str">
        <f ca="1">IFERROR(DATEDIF(DadosViagem5[[#This Row],[Utimo Bip Reserva]],TODAY(),"D"),"")</f>
        <v/>
      </c>
      <c r="AE485" s="36"/>
      <c r="AF485" s="25"/>
      <c r="AG485" s="36"/>
      <c r="AH485" s="25">
        <v>45807</v>
      </c>
      <c r="AI485" s="36" t="str">
        <f>IF(DadosViagem5[[#This Row],[Dias em manutenção ]]&lt;5,"Dentro do Prazo","Fora do Prazo")</f>
        <v>Fora do Prazo</v>
      </c>
      <c r="AJ485" s="36" t="e">
        <v>#REF!</v>
      </c>
    </row>
    <row r="486" spans="1:36">
      <c r="A486" s="19" t="s">
        <v>836</v>
      </c>
      <c r="B486" s="20"/>
      <c r="C486" s="19" t="s">
        <v>225</v>
      </c>
      <c r="D486" s="19" t="s">
        <v>38</v>
      </c>
      <c r="E486" s="19" t="s">
        <v>39</v>
      </c>
      <c r="F486" s="19" t="s">
        <v>106</v>
      </c>
      <c r="G486" s="19"/>
      <c r="H486" s="20">
        <v>2024</v>
      </c>
      <c r="I486" s="19" t="s">
        <v>41</v>
      </c>
      <c r="J486" s="19" t="s">
        <v>808</v>
      </c>
      <c r="K486" s="21" t="s">
        <v>809</v>
      </c>
      <c r="L486" s="22" t="s">
        <v>60</v>
      </c>
      <c r="M486" s="23" t="s">
        <v>470</v>
      </c>
      <c r="N486" s="25" t="s">
        <v>810</v>
      </c>
      <c r="O486" s="36" t="s">
        <v>811</v>
      </c>
      <c r="P486" s="26">
        <f ca="1">IFERROR(VLOOKUP(DadosViagem5[[#This Row],[Placa]],[1]BIP!A:E,5,FALSE),"")</f>
        <v>45989</v>
      </c>
      <c r="Q486" s="27">
        <f ca="1">DATEDIF(DadosViagem5[[#This Row],[BIP]],TODAY(),"D")</f>
        <v>1</v>
      </c>
      <c r="R486" s="28"/>
      <c r="S486" s="29" t="s">
        <v>48</v>
      </c>
      <c r="T486" s="23"/>
      <c r="U486" s="30"/>
      <c r="V486" s="31"/>
      <c r="W486" s="32"/>
      <c r="X486" s="33"/>
      <c r="Y486" s="34"/>
      <c r="Z486" s="32"/>
      <c r="AA486" s="20" t="s">
        <v>49</v>
      </c>
      <c r="AB486" s="20" t="s">
        <v>49</v>
      </c>
      <c r="AC486" s="19" t="s">
        <v>49</v>
      </c>
      <c r="AD486" s="19" t="str">
        <f ca="1">IFERROR(DATEDIF(DadosViagem5[[#This Row],[Utimo Bip Reserva]],TODAY(),"D"),"")</f>
        <v/>
      </c>
      <c r="AE486" s="36"/>
      <c r="AF486" s="25"/>
      <c r="AG486" s="36"/>
      <c r="AH486" s="25">
        <v>14</v>
      </c>
      <c r="AI486" s="36" t="str">
        <f>IF(DadosViagem5[[#This Row],[Dias em manutenção ]]&lt;5,"Dentro do Prazo","Fora do Prazo")</f>
        <v>Fora do Prazo</v>
      </c>
      <c r="AJ486" s="36" t="e">
        <v>#REF!</v>
      </c>
    </row>
    <row r="487" spans="1:36">
      <c r="A487" s="19" t="s">
        <v>837</v>
      </c>
      <c r="B487" s="20"/>
      <c r="C487" s="19" t="s">
        <v>71</v>
      </c>
      <c r="D487" s="19" t="s">
        <v>38</v>
      </c>
      <c r="E487" s="19" t="s">
        <v>265</v>
      </c>
      <c r="F487" s="19" t="s">
        <v>115</v>
      </c>
      <c r="G487" s="19"/>
      <c r="H487" s="20">
        <v>2023</v>
      </c>
      <c r="I487" s="19" t="s">
        <v>41</v>
      </c>
      <c r="J487" s="19" t="s">
        <v>808</v>
      </c>
      <c r="K487" s="21" t="s">
        <v>809</v>
      </c>
      <c r="L487" s="22" t="s">
        <v>60</v>
      </c>
      <c r="M487" s="23" t="s">
        <v>470</v>
      </c>
      <c r="N487" s="36" t="s">
        <v>810</v>
      </c>
      <c r="O487" s="25" t="s">
        <v>811</v>
      </c>
      <c r="P487" s="26">
        <f ca="1">IFERROR(VLOOKUP(DadosViagem5[[#This Row],[Placa]],[1]BIP!A:E,5,FALSE),"")</f>
        <v>45989</v>
      </c>
      <c r="Q487" s="27">
        <f ca="1">DATEDIF(DadosViagem5[[#This Row],[BIP]],TODAY(),"D")</f>
        <v>1</v>
      </c>
      <c r="R487" s="28" t="str">
        <f>IFERROR(VLOOKUP(DadosViagem5[[#This Row],[Placa]],[1]DDS!B:C,2,FALSE),"Verificar cadastro")</f>
        <v>Operando</v>
      </c>
      <c r="S487" s="29" t="s">
        <v>48</v>
      </c>
      <c r="T487" s="23"/>
      <c r="U487" s="30"/>
      <c r="V487" s="31"/>
      <c r="W487" s="32" t="s">
        <v>838</v>
      </c>
      <c r="X487" s="33"/>
      <c r="Y487" s="34"/>
      <c r="Z487" s="32"/>
      <c r="AA487" s="20" t="s">
        <v>49</v>
      </c>
      <c r="AB487" s="20" t="s">
        <v>49</v>
      </c>
      <c r="AC487" s="19" t="s">
        <v>49</v>
      </c>
      <c r="AD487" s="19" t="str">
        <f ca="1">IFERROR(DATEDIF(DadosViagem5[[#This Row],[Utimo Bip Reserva]],TODAY(),"D"),"")</f>
        <v/>
      </c>
      <c r="AE487" s="35"/>
      <c r="AF487" s="35"/>
      <c r="AG487" s="36"/>
      <c r="AH487" s="25">
        <v>45807</v>
      </c>
      <c r="AI487" s="36" t="str">
        <f>IF(DadosViagem5[[#This Row],[Dias em manutenção ]]&lt;5,"Dentro do Prazo","Fora do Prazo")</f>
        <v>Fora do Prazo</v>
      </c>
      <c r="AJ487" s="36" t="e">
        <v>#REF!</v>
      </c>
    </row>
    <row r="488" spans="1:36">
      <c r="A488" s="19" t="s">
        <v>839</v>
      </c>
      <c r="B488" s="20"/>
      <c r="C488" s="19" t="s">
        <v>71</v>
      </c>
      <c r="D488" s="19" t="s">
        <v>38</v>
      </c>
      <c r="E488" s="19" t="s">
        <v>265</v>
      </c>
      <c r="F488" s="19" t="s">
        <v>115</v>
      </c>
      <c r="G488" s="19"/>
      <c r="H488" s="20">
        <v>2023</v>
      </c>
      <c r="I488" s="19" t="s">
        <v>41</v>
      </c>
      <c r="J488" s="19" t="s">
        <v>808</v>
      </c>
      <c r="K488" s="21" t="s">
        <v>809</v>
      </c>
      <c r="L488" s="22" t="s">
        <v>60</v>
      </c>
      <c r="M488" s="23" t="s">
        <v>470</v>
      </c>
      <c r="N488" s="36" t="s">
        <v>810</v>
      </c>
      <c r="O488" s="65" t="s">
        <v>811</v>
      </c>
      <c r="P488" s="26">
        <f ca="1">IFERROR(VLOOKUP(DadosViagem5[[#This Row],[Placa]],[1]BIP!A:E,5,FALSE),"")</f>
        <v>45989</v>
      </c>
      <c r="Q488" s="27">
        <f ca="1">DATEDIF(DadosViagem5[[#This Row],[BIP]],TODAY(),"D")</f>
        <v>1</v>
      </c>
      <c r="R488" s="28" t="str">
        <f>IFERROR(VLOOKUP(DadosViagem5[[#This Row],[Placa]],[1]DDS!B:C,2,FALSE),"Verificar cadastro")</f>
        <v>Operando</v>
      </c>
      <c r="S488" s="29" t="s">
        <v>48</v>
      </c>
      <c r="T488" s="23"/>
      <c r="U488" s="30"/>
      <c r="V488" s="31"/>
      <c r="W488" s="32"/>
      <c r="X488" s="33"/>
      <c r="Y488" s="34"/>
      <c r="Z488" s="32"/>
      <c r="AA488" s="20" t="s">
        <v>49</v>
      </c>
      <c r="AB488" s="20" t="s">
        <v>49</v>
      </c>
      <c r="AC488" s="19" t="s">
        <v>49</v>
      </c>
      <c r="AD488" s="19" t="str">
        <f ca="1">IFERROR(DATEDIF(DadosViagem5[[#This Row],[Utimo Bip Reserva]],TODAY(),"D"),"")</f>
        <v/>
      </c>
      <c r="AE488" s="23" t="s">
        <v>840</v>
      </c>
      <c r="AF488" s="30"/>
      <c r="AG488" s="23"/>
      <c r="AH488" s="25">
        <v>45807</v>
      </c>
      <c r="AI488" s="36" t="str">
        <f>IF(DadosViagem5[[#This Row],[Dias em manutenção ]]&lt;5,"Dentro do Prazo","Fora do Prazo")</f>
        <v>Fora do Prazo</v>
      </c>
      <c r="AJ488" s="36" t="e">
        <v>#REF!</v>
      </c>
    </row>
    <row r="489" spans="1:36">
      <c r="A489" s="19" t="s">
        <v>841</v>
      </c>
      <c r="B489" s="20"/>
      <c r="C489" s="19" t="s">
        <v>71</v>
      </c>
      <c r="D489" s="19" t="s">
        <v>38</v>
      </c>
      <c r="E489" s="19" t="s">
        <v>699</v>
      </c>
      <c r="F489" s="19" t="s">
        <v>115</v>
      </c>
      <c r="G489" s="19"/>
      <c r="H489" s="20">
        <v>2023</v>
      </c>
      <c r="I489" s="19" t="s">
        <v>41</v>
      </c>
      <c r="J489" s="19" t="s">
        <v>808</v>
      </c>
      <c r="K489" s="21" t="s">
        <v>809</v>
      </c>
      <c r="L489" s="22" t="s">
        <v>60</v>
      </c>
      <c r="M489" s="23" t="s">
        <v>470</v>
      </c>
      <c r="N489" s="36" t="s">
        <v>810</v>
      </c>
      <c r="O489" s="25" t="s">
        <v>811</v>
      </c>
      <c r="P489" s="26">
        <f ca="1">IFERROR(VLOOKUP(DadosViagem5[[#This Row],[Placa]],[1]BIP!A:E,5,FALSE),"")</f>
        <v>45989</v>
      </c>
      <c r="Q489" s="27">
        <f ca="1">DATEDIF(DadosViagem5[[#This Row],[BIP]],TODAY(),"D")</f>
        <v>1</v>
      </c>
      <c r="R489" s="28" t="str">
        <f>IFERROR(VLOOKUP(DadosViagem5[[#This Row],[Placa]],[1]DDS!B:C,2,FALSE),"Verificar cadastro")</f>
        <v>Operando</v>
      </c>
      <c r="S489" s="29" t="s">
        <v>48</v>
      </c>
      <c r="T489" s="23"/>
      <c r="U489" s="30"/>
      <c r="V489" s="31"/>
      <c r="W489" s="32" t="s">
        <v>608</v>
      </c>
      <c r="X489" s="33"/>
      <c r="Y489" s="96"/>
      <c r="Z489" s="63"/>
      <c r="AA489" s="20" t="s">
        <v>49</v>
      </c>
      <c r="AB489" s="20" t="s">
        <v>49</v>
      </c>
      <c r="AC489" s="19" t="s">
        <v>49</v>
      </c>
      <c r="AD489" s="19" t="str">
        <f ca="1">IFERROR(DATEDIF(DadosViagem5[[#This Row],[Utimo Bip Reserva]],TODAY(),"D"),"")</f>
        <v/>
      </c>
      <c r="AE489" s="25"/>
      <c r="AF489" s="25"/>
      <c r="AG489" s="36"/>
      <c r="AH489" s="25">
        <v>45807</v>
      </c>
      <c r="AI489" s="36" t="str">
        <f>IF(DadosViagem5[[#This Row],[Dias em manutenção ]]&lt;5,"Dentro do Prazo","Fora do Prazo")</f>
        <v>Fora do Prazo</v>
      </c>
      <c r="AJ489" s="36" t="e">
        <v>#REF!</v>
      </c>
    </row>
    <row r="490" spans="1:36">
      <c r="A490" s="19" t="s">
        <v>842</v>
      </c>
      <c r="B490" s="20"/>
      <c r="C490" s="19" t="s">
        <v>71</v>
      </c>
      <c r="D490" s="19" t="s">
        <v>38</v>
      </c>
      <c r="E490" s="19" t="s">
        <v>699</v>
      </c>
      <c r="F490" s="19" t="s">
        <v>115</v>
      </c>
      <c r="G490" s="19"/>
      <c r="H490" s="20">
        <v>2022</v>
      </c>
      <c r="I490" s="19" t="s">
        <v>41</v>
      </c>
      <c r="J490" s="19" t="s">
        <v>808</v>
      </c>
      <c r="K490" s="21" t="s">
        <v>809</v>
      </c>
      <c r="L490" s="39" t="s">
        <v>60</v>
      </c>
      <c r="M490" s="23" t="s">
        <v>470</v>
      </c>
      <c r="N490" s="36" t="s">
        <v>810</v>
      </c>
      <c r="O490" s="36" t="s">
        <v>811</v>
      </c>
      <c r="P490" s="26">
        <f ca="1">IFERROR(VLOOKUP(DadosViagem5[[#This Row],[Placa]],[1]BIP!A:E,5,FALSE),"")</f>
        <v>45989</v>
      </c>
      <c r="Q490" s="27">
        <f ca="1">DATEDIF(DadosViagem5[[#This Row],[BIP]],TODAY(),"D")</f>
        <v>1</v>
      </c>
      <c r="R490" s="28" t="str">
        <f>IFERROR(VLOOKUP(DadosViagem5[[#This Row],[Placa]],[1]DDS!B:C,2,FALSE),"Verificar cadastro")</f>
        <v>Operando</v>
      </c>
      <c r="S490" s="29" t="s">
        <v>48</v>
      </c>
      <c r="T490" s="23"/>
      <c r="U490" s="30"/>
      <c r="V490" s="31"/>
      <c r="W490" s="32"/>
      <c r="X490" s="33"/>
      <c r="Y490" s="34"/>
      <c r="Z490" s="32"/>
      <c r="AA490" s="20" t="s">
        <v>49</v>
      </c>
      <c r="AB490" s="20" t="s">
        <v>49</v>
      </c>
      <c r="AC490" s="20" t="s">
        <v>49</v>
      </c>
      <c r="AD490" s="20" t="s">
        <v>49</v>
      </c>
      <c r="AE490" s="62"/>
      <c r="AF490" s="35"/>
      <c r="AG490" s="36"/>
      <c r="AH490" s="25">
        <v>45807</v>
      </c>
      <c r="AI490" s="36" t="str">
        <f>IF(DadosViagem5[[#This Row],[Dias em manutenção ]]&lt;5,"Dentro do Prazo","Fora do Prazo")</f>
        <v>Fora do Prazo</v>
      </c>
      <c r="AJ490" s="36" t="e">
        <v>#REF!</v>
      </c>
    </row>
    <row r="491" spans="1:36">
      <c r="A491" s="19" t="s">
        <v>843</v>
      </c>
      <c r="B491" s="20"/>
      <c r="C491" s="19" t="s">
        <v>74</v>
      </c>
      <c r="D491" s="19" t="s">
        <v>52</v>
      </c>
      <c r="E491" s="19" t="s">
        <v>75</v>
      </c>
      <c r="F491" s="19" t="s">
        <v>115</v>
      </c>
      <c r="G491" s="19"/>
      <c r="H491" s="20">
        <v>2024</v>
      </c>
      <c r="I491" s="19" t="s">
        <v>41</v>
      </c>
      <c r="J491" s="19" t="s">
        <v>808</v>
      </c>
      <c r="K491" s="21" t="s">
        <v>809</v>
      </c>
      <c r="L491" s="22" t="s">
        <v>60</v>
      </c>
      <c r="M491" s="23" t="s">
        <v>77</v>
      </c>
      <c r="N491" s="36" t="s">
        <v>810</v>
      </c>
      <c r="O491" s="36" t="s">
        <v>811</v>
      </c>
      <c r="P491" s="26">
        <f ca="1">IFERROR(VLOOKUP(DadosViagem5[[#This Row],[Placa]],[1]BIP!A:E,5,FALSE),"")</f>
        <v>45989</v>
      </c>
      <c r="Q491" s="27">
        <f ca="1">DATEDIF(DadosViagem5[[#This Row],[BIP]],TODAY(),"D")</f>
        <v>1</v>
      </c>
      <c r="R491" s="28" t="str">
        <f>IFERROR(VLOOKUP(DadosViagem5[[#This Row],[Placa]],[1]DDS!B:C,2,FALSE),"Verificar cadastro")</f>
        <v>Operando</v>
      </c>
      <c r="S491" s="29" t="s">
        <v>48</v>
      </c>
      <c r="T491" s="23"/>
      <c r="U491" s="30"/>
      <c r="V491" s="31"/>
      <c r="W491" s="32"/>
      <c r="X491" s="33"/>
      <c r="Y491" s="34"/>
      <c r="Z491" s="32"/>
      <c r="AA491" s="20" t="s">
        <v>49</v>
      </c>
      <c r="AB491" s="20" t="s">
        <v>49</v>
      </c>
      <c r="AC491" s="19" t="s">
        <v>49</v>
      </c>
      <c r="AD491" s="19" t="str">
        <f ca="1">IFERROR(DATEDIF(DadosViagem5[[#This Row],[Utimo Bip Reserva]],TODAY(),"D"),"")</f>
        <v/>
      </c>
      <c r="AE491" s="36"/>
      <c r="AF491" s="25"/>
      <c r="AG491" s="36"/>
      <c r="AH491" s="25">
        <v>45807</v>
      </c>
      <c r="AI491" s="36" t="str">
        <f>IF(DadosViagem5[[#This Row],[Dias em manutenção ]]&lt;5,"Dentro do Prazo","Fora do Prazo")</f>
        <v>Fora do Prazo</v>
      </c>
      <c r="AJ491" s="36" t="e">
        <v>#REF!</v>
      </c>
    </row>
    <row r="492" spans="1:36">
      <c r="A492" s="19" t="s">
        <v>844</v>
      </c>
      <c r="B492" s="20"/>
      <c r="C492" s="19" t="s">
        <v>131</v>
      </c>
      <c r="D492" s="19" t="s">
        <v>132</v>
      </c>
      <c r="E492" s="19" t="s">
        <v>114</v>
      </c>
      <c r="F492" s="19" t="s">
        <v>115</v>
      </c>
      <c r="G492" s="19"/>
      <c r="H492" s="20">
        <v>2022</v>
      </c>
      <c r="I492" s="19" t="s">
        <v>41</v>
      </c>
      <c r="J492" s="19" t="s">
        <v>808</v>
      </c>
      <c r="K492" s="21" t="s">
        <v>809</v>
      </c>
      <c r="L492" s="22" t="s">
        <v>60</v>
      </c>
      <c r="M492" s="23" t="s">
        <v>470</v>
      </c>
      <c r="N492" s="36" t="s">
        <v>810</v>
      </c>
      <c r="O492" s="36" t="s">
        <v>811</v>
      </c>
      <c r="P492" s="26">
        <f ca="1">IFERROR(VLOOKUP(DadosViagem5[[#This Row],[Placa]],[1]BIP!A:E,5,FALSE),"")</f>
        <v>45936</v>
      </c>
      <c r="Q492" s="27">
        <f ca="1">DATEDIF(DadosViagem5[[#This Row],[BIP]],TODAY(),"D")</f>
        <v>54</v>
      </c>
      <c r="R492" s="28" t="s">
        <v>845</v>
      </c>
      <c r="S492" s="36" t="s">
        <v>35</v>
      </c>
      <c r="T492" s="23"/>
      <c r="U492" s="30"/>
      <c r="V492" s="31"/>
      <c r="W492" s="32" t="s">
        <v>846</v>
      </c>
      <c r="X492" s="33"/>
      <c r="Y492" s="34"/>
      <c r="Z492" s="32"/>
      <c r="AA492" s="20" t="s">
        <v>49</v>
      </c>
      <c r="AB492" s="20" t="s">
        <v>49</v>
      </c>
      <c r="AC492" s="19" t="s">
        <v>49</v>
      </c>
      <c r="AD492" s="19" t="str">
        <f ca="1">IFERROR(DATEDIF(DadosViagem5[[#This Row],[Utimo Bip Reserva]],TODAY(),"D"),"")</f>
        <v/>
      </c>
      <c r="AE492" s="36" t="s">
        <v>49</v>
      </c>
      <c r="AF492" s="25" t="s">
        <v>49</v>
      </c>
      <c r="AG492" s="36"/>
      <c r="AH492" s="25">
        <v>1</v>
      </c>
      <c r="AI492" s="36" t="str">
        <f>IF(DadosViagem5[[#This Row],[Dias em manutenção ]]&lt;5,"Dentro do Prazo","Fora do Prazo")</f>
        <v>Dentro do Prazo</v>
      </c>
      <c r="AJ492" s="36" t="e">
        <v>#REF!</v>
      </c>
    </row>
    <row r="493" spans="1:36">
      <c r="A493" s="19" t="s">
        <v>847</v>
      </c>
      <c r="B493" s="20"/>
      <c r="C493" s="19" t="s">
        <v>131</v>
      </c>
      <c r="D493" s="19" t="s">
        <v>132</v>
      </c>
      <c r="E493" s="19" t="s">
        <v>114</v>
      </c>
      <c r="F493" s="19" t="s">
        <v>115</v>
      </c>
      <c r="G493" s="19"/>
      <c r="H493" s="20">
        <v>2022</v>
      </c>
      <c r="I493" s="19" t="s">
        <v>41</v>
      </c>
      <c r="J493" s="19" t="s">
        <v>808</v>
      </c>
      <c r="K493" s="21" t="s">
        <v>809</v>
      </c>
      <c r="L493" s="22" t="s">
        <v>60</v>
      </c>
      <c r="M493" s="23" t="s">
        <v>470</v>
      </c>
      <c r="N493" s="36" t="s">
        <v>810</v>
      </c>
      <c r="O493" s="36" t="s">
        <v>811</v>
      </c>
      <c r="P493" s="26">
        <f ca="1">IFERROR(VLOOKUP(DadosViagem5[[#This Row],[Placa]],[1]BIP!A:E,5,FALSE),"")</f>
        <v>45936</v>
      </c>
      <c r="Q493" s="27">
        <f ca="1">DATEDIF(DadosViagem5[[#This Row],[BIP]],TODAY(),"D")</f>
        <v>54</v>
      </c>
      <c r="R493" s="28" t="str">
        <f>IFERROR(VLOOKUP(DadosViagem5[[#This Row],[Placa]],[1]DDS!B:C,2,FALSE),"Verificar cadastro")</f>
        <v> </v>
      </c>
      <c r="S493" s="36" t="s">
        <v>35</v>
      </c>
      <c r="T493" s="23"/>
      <c r="U493" s="30"/>
      <c r="V493" s="31"/>
      <c r="W493" s="32" t="s">
        <v>846</v>
      </c>
      <c r="X493" s="33"/>
      <c r="Y493" s="34"/>
      <c r="Z493" s="42"/>
      <c r="AA493" s="20" t="s">
        <v>49</v>
      </c>
      <c r="AB493" s="20" t="s">
        <v>49</v>
      </c>
      <c r="AC493" s="19" t="s">
        <v>49</v>
      </c>
      <c r="AD493" s="19" t="str">
        <f ca="1">IFERROR(DATEDIF(DadosViagem5[[#This Row],[Utimo Bip Reserva]],TODAY(),"D"),"")</f>
        <v/>
      </c>
      <c r="AE493" s="36" t="s">
        <v>49</v>
      </c>
      <c r="AF493" s="25" t="s">
        <v>49</v>
      </c>
      <c r="AG493" s="36"/>
      <c r="AH493" s="25">
        <v>45807</v>
      </c>
      <c r="AI493" s="36" t="str">
        <f>IF(DadosViagem5[[#This Row],[Dias em manutenção ]]&lt;5,"Dentro do Prazo","Fora do Prazo")</f>
        <v>Fora do Prazo</v>
      </c>
      <c r="AJ493" s="36" t="e">
        <v>#REF!</v>
      </c>
    </row>
    <row r="494" spans="1:36">
      <c r="A494" s="19" t="s">
        <v>848</v>
      </c>
      <c r="B494" s="20"/>
      <c r="C494" s="19" t="s">
        <v>131</v>
      </c>
      <c r="D494" s="19" t="s">
        <v>132</v>
      </c>
      <c r="E494" s="19" t="s">
        <v>114</v>
      </c>
      <c r="F494" s="19" t="s">
        <v>115</v>
      </c>
      <c r="G494" s="19"/>
      <c r="H494" s="20">
        <v>2022</v>
      </c>
      <c r="I494" s="19" t="s">
        <v>41</v>
      </c>
      <c r="J494" s="19" t="s">
        <v>808</v>
      </c>
      <c r="K494" s="21" t="s">
        <v>809</v>
      </c>
      <c r="L494" s="22" t="s">
        <v>60</v>
      </c>
      <c r="M494" s="23" t="s">
        <v>470</v>
      </c>
      <c r="N494" s="36" t="s">
        <v>810</v>
      </c>
      <c r="O494" s="36" t="s">
        <v>811</v>
      </c>
      <c r="P494" s="26">
        <f ca="1">IFERROR(VLOOKUP(DadosViagem5[[#This Row],[Placa]],[1]BIP!A:E,5,FALSE),"")</f>
        <v>45989</v>
      </c>
      <c r="Q494" s="27">
        <f ca="1">DATEDIF(DadosViagem5[[#This Row],[BIP]],TODAY(),"D")</f>
        <v>1</v>
      </c>
      <c r="R494" s="28" t="str">
        <f>IFERROR(VLOOKUP(DadosViagem5[[#This Row],[Placa]],[1]DDS!B:C,2,FALSE),"Verificar cadastro")</f>
        <v>Operando</v>
      </c>
      <c r="S494" s="29" t="s">
        <v>48</v>
      </c>
      <c r="T494" s="23"/>
      <c r="U494" s="30"/>
      <c r="V494" s="31"/>
      <c r="W494" s="32"/>
      <c r="X494" s="33"/>
      <c r="Y494" s="34"/>
      <c r="Z494" s="32"/>
      <c r="AA494" s="20" t="s">
        <v>49</v>
      </c>
      <c r="AB494" s="20" t="s">
        <v>49</v>
      </c>
      <c r="AC494" s="19" t="s">
        <v>49</v>
      </c>
      <c r="AD494" s="19" t="str">
        <f ca="1">IFERROR(DATEDIF(DadosViagem5[[#This Row],[Utimo Bip Reserva]],TODAY(),"D"),"")</f>
        <v/>
      </c>
      <c r="AE494" s="36" t="s">
        <v>49</v>
      </c>
      <c r="AF494" s="25" t="s">
        <v>49</v>
      </c>
      <c r="AG494" s="36"/>
      <c r="AH494" s="25">
        <v>45807</v>
      </c>
      <c r="AI494" s="36" t="str">
        <f>IF(DadosViagem5[[#This Row],[Dias em manutenção ]]&lt;5,"Dentro do Prazo","Fora do Prazo")</f>
        <v>Fora do Prazo</v>
      </c>
      <c r="AJ494" s="36" t="e">
        <v>#REF!</v>
      </c>
    </row>
    <row r="495" spans="1:36">
      <c r="A495" s="97" t="s">
        <v>849</v>
      </c>
      <c r="B495" s="98"/>
      <c r="C495" s="97" t="s">
        <v>51</v>
      </c>
      <c r="D495" s="97" t="s">
        <v>52</v>
      </c>
      <c r="E495" s="97" t="s">
        <v>57</v>
      </c>
      <c r="F495" s="97" t="s">
        <v>40</v>
      </c>
      <c r="G495" s="97"/>
      <c r="H495" s="98">
        <v>2018</v>
      </c>
      <c r="I495" s="97" t="s">
        <v>41</v>
      </c>
      <c r="J495" s="97" t="s">
        <v>808</v>
      </c>
      <c r="K495" s="99" t="s">
        <v>809</v>
      </c>
      <c r="L495" s="100" t="s">
        <v>60</v>
      </c>
      <c r="M495" s="23" t="s">
        <v>470</v>
      </c>
      <c r="N495" s="36" t="s">
        <v>810</v>
      </c>
      <c r="O495" s="25" t="s">
        <v>811</v>
      </c>
      <c r="P495" s="26">
        <f ca="1">IFERROR(VLOOKUP(DadosViagem5[[#This Row],[Placa]],[1]BIP!A:E,5,FALSE),"")</f>
        <v>0</v>
      </c>
      <c r="Q495" s="27">
        <f ca="1">DATEDIF(DadosViagem5[[#This Row],[BIP]],TODAY(),"D")</f>
        <v>45990</v>
      </c>
      <c r="R495" s="28"/>
      <c r="S495" s="29" t="s">
        <v>48</v>
      </c>
      <c r="T495" s="23"/>
      <c r="U495" s="30"/>
      <c r="V495" s="31"/>
      <c r="W495" s="95">
        <v>280754307</v>
      </c>
      <c r="X495" s="33"/>
      <c r="Y495" s="34"/>
      <c r="Z495" s="32"/>
      <c r="AA495" s="20" t="s">
        <v>49</v>
      </c>
      <c r="AB495" s="20" t="s">
        <v>49</v>
      </c>
      <c r="AC495" s="19" t="s">
        <v>49</v>
      </c>
      <c r="AD495" s="19" t="str">
        <f ca="1">IFERROR(DATEDIF(DadosViagem5[[#This Row],[Utimo Bip Reserva]],TODAY(),"D"),"")</f>
        <v/>
      </c>
      <c r="AE495" s="25" t="s">
        <v>850</v>
      </c>
      <c r="AF495" s="25"/>
      <c r="AG495" s="36" t="s">
        <v>481</v>
      </c>
      <c r="AH495" s="25">
        <v>45807</v>
      </c>
      <c r="AI495" s="36" t="str">
        <f>IF(DadosViagem5[[#This Row],[Dias em manutenção ]]&lt;5,"Dentro do Prazo","Fora do Prazo")</f>
        <v>Fora do Prazo</v>
      </c>
      <c r="AJ495" s="36" t="e">
        <v>#REF!</v>
      </c>
    </row>
    <row r="496" spans="1:36">
      <c r="A496" s="19" t="s">
        <v>851</v>
      </c>
      <c r="B496" s="20">
        <v>454</v>
      </c>
      <c r="C496" s="19" t="s">
        <v>74</v>
      </c>
      <c r="D496" s="19" t="s">
        <v>52</v>
      </c>
      <c r="E496" s="19" t="s">
        <v>75</v>
      </c>
      <c r="F496" s="19" t="s">
        <v>115</v>
      </c>
      <c r="G496" s="19"/>
      <c r="H496" s="20">
        <v>2023</v>
      </c>
      <c r="I496" s="19" t="s">
        <v>41</v>
      </c>
      <c r="J496" s="19" t="s">
        <v>808</v>
      </c>
      <c r="K496" s="21" t="s">
        <v>809</v>
      </c>
      <c r="L496" s="22" t="s">
        <v>60</v>
      </c>
      <c r="M496" s="23" t="s">
        <v>77</v>
      </c>
      <c r="N496" s="36" t="s">
        <v>810</v>
      </c>
      <c r="O496" s="36" t="s">
        <v>811</v>
      </c>
      <c r="P496" s="26">
        <f ca="1">IFERROR(VLOOKUP(DadosViagem5[[#This Row],[Placa]],[1]BIP!A:E,5,FALSE),"")</f>
        <v>45989</v>
      </c>
      <c r="Q496" s="27">
        <f ca="1">DATEDIF(DadosViagem5[[#This Row],[BIP]],TODAY(),"D")</f>
        <v>1</v>
      </c>
      <c r="R496" s="28" t="str">
        <f>IFERROR(VLOOKUP(DadosViagem5[[#This Row],[Placa]],[1]DDS!B:C,2,FALSE),"Verificar cadastro")</f>
        <v>Operando</v>
      </c>
      <c r="S496" s="29" t="s">
        <v>48</v>
      </c>
      <c r="T496" s="23"/>
      <c r="U496" s="30"/>
      <c r="V496" s="31"/>
      <c r="W496" s="32"/>
      <c r="X496" s="33"/>
      <c r="Y496" s="34"/>
      <c r="Z496" s="32"/>
      <c r="AA496" s="20" t="s">
        <v>49</v>
      </c>
      <c r="AB496" s="20" t="s">
        <v>49</v>
      </c>
      <c r="AC496" s="19" t="s">
        <v>49</v>
      </c>
      <c r="AD496" s="19" t="str">
        <f ca="1">IFERROR(DATEDIF(DadosViagem5[[#This Row],[Utimo Bip Reserva]],TODAY(),"D"),"")</f>
        <v/>
      </c>
      <c r="AE496" s="36" t="s">
        <v>49</v>
      </c>
      <c r="AF496" s="25" t="s">
        <v>49</v>
      </c>
      <c r="AG496" s="36"/>
      <c r="AH496" s="25">
        <v>45807</v>
      </c>
      <c r="AI496" s="36" t="str">
        <f>IF(DadosViagem5[[#This Row],[Dias em manutenção ]]&lt;5,"Dentro do Prazo","Fora do Prazo")</f>
        <v>Fora do Prazo</v>
      </c>
      <c r="AJ496" s="36" t="e">
        <v>#REF!</v>
      </c>
    </row>
    <row r="497" spans="1:36">
      <c r="A497" s="19" t="s">
        <v>852</v>
      </c>
      <c r="B497" s="20"/>
      <c r="C497" s="19" t="s">
        <v>71</v>
      </c>
      <c r="D497" s="19" t="s">
        <v>38</v>
      </c>
      <c r="E497" s="19" t="s">
        <v>265</v>
      </c>
      <c r="F497" s="19" t="s">
        <v>115</v>
      </c>
      <c r="G497" s="19"/>
      <c r="H497" s="20">
        <v>2023</v>
      </c>
      <c r="I497" s="19" t="s">
        <v>41</v>
      </c>
      <c r="J497" s="19" t="s">
        <v>808</v>
      </c>
      <c r="K497" s="21" t="s">
        <v>809</v>
      </c>
      <c r="L497" s="22" t="s">
        <v>60</v>
      </c>
      <c r="M497" s="23" t="s">
        <v>470</v>
      </c>
      <c r="N497" s="36" t="s">
        <v>810</v>
      </c>
      <c r="O497" s="36" t="s">
        <v>811</v>
      </c>
      <c r="P497" s="26">
        <f ca="1">IFERROR(VLOOKUP(DadosViagem5[[#This Row],[Placa]],[1]BIP!A:E,5,FALSE),"")</f>
        <v>45989</v>
      </c>
      <c r="Q497" s="27">
        <f ca="1">DATEDIF(DadosViagem5[[#This Row],[BIP]],TODAY(),"D")</f>
        <v>1</v>
      </c>
      <c r="R497" s="28" t="str">
        <f>IFERROR(VLOOKUP(DadosViagem5[[#This Row],[Placa]],[1]DDS!B:C,2,FALSE),"Verificar cadastro")</f>
        <v>Operando</v>
      </c>
      <c r="S497" s="29" t="s">
        <v>48</v>
      </c>
      <c r="T497" s="23"/>
      <c r="U497" s="30"/>
      <c r="V497" s="31"/>
      <c r="W497" s="32"/>
      <c r="X497" s="33"/>
      <c r="Y497" s="34"/>
      <c r="Z497" s="32"/>
      <c r="AA497" s="20" t="s">
        <v>49</v>
      </c>
      <c r="AB497" s="20" t="s">
        <v>49</v>
      </c>
      <c r="AC497" s="19" t="s">
        <v>49</v>
      </c>
      <c r="AD497" s="19" t="str">
        <f ca="1">IFERROR(DATEDIF(DadosViagem5[[#This Row],[Utimo Bip Reserva]],TODAY(),"D"),"")</f>
        <v/>
      </c>
      <c r="AE497" s="25"/>
      <c r="AF497" s="25"/>
      <c r="AG497" s="36"/>
      <c r="AH497" s="25">
        <v>45807</v>
      </c>
      <c r="AI497" s="36" t="str">
        <f>IF(DadosViagem5[[#This Row],[Dias em manutenção ]]&lt;5,"Dentro do Prazo","Fora do Prazo")</f>
        <v>Fora do Prazo</v>
      </c>
      <c r="AJ497" s="36" t="e">
        <v>#REF!</v>
      </c>
    </row>
    <row r="498" spans="1:36">
      <c r="A498" s="19" t="s">
        <v>853</v>
      </c>
      <c r="B498" s="20">
        <v>371</v>
      </c>
      <c r="C498" s="19" t="s">
        <v>74</v>
      </c>
      <c r="D498" s="19" t="s">
        <v>52</v>
      </c>
      <c r="E498" s="19" t="s">
        <v>75</v>
      </c>
      <c r="F498" s="19" t="s">
        <v>76</v>
      </c>
      <c r="G498" s="19"/>
      <c r="H498" s="20">
        <v>2023</v>
      </c>
      <c r="I498" s="19" t="s">
        <v>41</v>
      </c>
      <c r="J498" s="19" t="s">
        <v>808</v>
      </c>
      <c r="K498" s="38" t="s">
        <v>809</v>
      </c>
      <c r="L498" s="22" t="s">
        <v>60</v>
      </c>
      <c r="M498" s="23" t="s">
        <v>77</v>
      </c>
      <c r="N498" s="24" t="s">
        <v>810</v>
      </c>
      <c r="O498" s="24" t="s">
        <v>811</v>
      </c>
      <c r="P498" s="26">
        <f ca="1">IFERROR(VLOOKUP(DadosViagem5[[#This Row],[Placa]],[1]BIP!A:E,5,FALSE),"")</f>
        <v>45989</v>
      </c>
      <c r="Q498" s="27">
        <f ca="1">DATEDIF(DadosViagem5[[#This Row],[BIP]],TODAY(),"D")</f>
        <v>1</v>
      </c>
      <c r="R498" s="28" t="str">
        <f>IFERROR(VLOOKUP(DadosViagem5[[#This Row],[Placa]],[1]DDS!B:C,2,FALSE),"Verificar cadastro")</f>
        <v>Operando</v>
      </c>
      <c r="S498" s="29" t="s">
        <v>48</v>
      </c>
      <c r="T498" s="23"/>
      <c r="U498" s="30"/>
      <c r="V498" s="31"/>
      <c r="W498" s="32" t="s">
        <v>854</v>
      </c>
      <c r="X498" s="33"/>
      <c r="Y498" s="34"/>
      <c r="Z498" s="32"/>
      <c r="AA498" s="20" t="s">
        <v>49</v>
      </c>
      <c r="AB498" s="20" t="s">
        <v>49</v>
      </c>
      <c r="AC498" s="19" t="s">
        <v>49</v>
      </c>
      <c r="AD498" s="19" t="str">
        <f ca="1">IFERROR(DATEDIF(DadosViagem5[[#This Row],[Utimo Bip Reserva]],TODAY(),"D"),"")</f>
        <v/>
      </c>
      <c r="AE498" s="29"/>
      <c r="AF498" s="35"/>
      <c r="AG498" s="36"/>
      <c r="AH498" s="25">
        <v>45807</v>
      </c>
      <c r="AI498" s="36" t="str">
        <f>IF(DadosViagem5[[#This Row],[Dias em manutenção ]]&lt;5,"Dentro do Prazo","Fora do Prazo")</f>
        <v>Fora do Prazo</v>
      </c>
      <c r="AJ498" s="36" t="e">
        <v>#REF!</v>
      </c>
    </row>
    <row r="499" spans="1:36">
      <c r="A499" s="19" t="s">
        <v>855</v>
      </c>
      <c r="B499" s="20"/>
      <c r="C499" s="19" t="s">
        <v>131</v>
      </c>
      <c r="D499" s="19" t="s">
        <v>132</v>
      </c>
      <c r="E499" s="19" t="s">
        <v>114</v>
      </c>
      <c r="F499" s="19" t="s">
        <v>115</v>
      </c>
      <c r="G499" s="19"/>
      <c r="H499" s="20">
        <v>2022</v>
      </c>
      <c r="I499" s="19" t="s">
        <v>41</v>
      </c>
      <c r="J499" s="19" t="s">
        <v>808</v>
      </c>
      <c r="K499" s="38" t="s">
        <v>809</v>
      </c>
      <c r="L499" s="22" t="s">
        <v>60</v>
      </c>
      <c r="M499" s="23" t="s">
        <v>470</v>
      </c>
      <c r="N499" s="24" t="s">
        <v>810</v>
      </c>
      <c r="O499" s="24" t="s">
        <v>811</v>
      </c>
      <c r="P499" s="26">
        <f ca="1">IFERROR(VLOOKUP(DadosViagem5[[#This Row],[Placa]],[1]BIP!A:E,5,FALSE),"")</f>
        <v>45989</v>
      </c>
      <c r="Q499" s="27">
        <f ca="1">DATEDIF(DadosViagem5[[#This Row],[BIP]],TODAY(),"D")</f>
        <v>1</v>
      </c>
      <c r="R499" s="28"/>
      <c r="S499" s="29" t="s">
        <v>48</v>
      </c>
      <c r="T499" s="23"/>
      <c r="U499" s="30"/>
      <c r="V499" s="31"/>
      <c r="W499" s="32" t="s">
        <v>856</v>
      </c>
      <c r="X499" s="33"/>
      <c r="Y499" s="34"/>
      <c r="Z499" s="32"/>
      <c r="AA499" s="20" t="s">
        <v>49</v>
      </c>
      <c r="AB499" s="20" t="s">
        <v>49</v>
      </c>
      <c r="AC499" s="19" t="s">
        <v>49</v>
      </c>
      <c r="AD499" s="19" t="str">
        <f ca="1">IFERROR(DATEDIF(DadosViagem5[[#This Row],[Utimo Bip Reserva]],TODAY(),"D"),"")</f>
        <v/>
      </c>
      <c r="AE499" s="36" t="s">
        <v>49</v>
      </c>
      <c r="AF499" s="25" t="s">
        <v>49</v>
      </c>
      <c r="AG499" s="36"/>
      <c r="AH499" s="25">
        <v>45807</v>
      </c>
      <c r="AI499" s="36" t="str">
        <f>IF(DadosViagem5[[#This Row],[Dias em manutenção ]]&lt;5,"Dentro do Prazo","Fora do Prazo")</f>
        <v>Fora do Prazo</v>
      </c>
      <c r="AJ499" s="36" t="e">
        <v>#REF!</v>
      </c>
    </row>
    <row r="500" spans="1:36">
      <c r="A500" s="19" t="s">
        <v>857</v>
      </c>
      <c r="B500" s="20">
        <v>453</v>
      </c>
      <c r="C500" s="19" t="s">
        <v>74</v>
      </c>
      <c r="D500" s="19" t="s">
        <v>52</v>
      </c>
      <c r="E500" s="19" t="s">
        <v>75</v>
      </c>
      <c r="F500" s="19" t="s">
        <v>76</v>
      </c>
      <c r="G500" s="19"/>
      <c r="H500" s="20">
        <v>2024</v>
      </c>
      <c r="I500" s="19" t="s">
        <v>41</v>
      </c>
      <c r="J500" s="19" t="s">
        <v>808</v>
      </c>
      <c r="K500" s="38" t="s">
        <v>809</v>
      </c>
      <c r="L500" s="22" t="s">
        <v>60</v>
      </c>
      <c r="M500" s="23" t="s">
        <v>77</v>
      </c>
      <c r="N500" s="36" t="s">
        <v>810</v>
      </c>
      <c r="O500" s="36" t="s">
        <v>811</v>
      </c>
      <c r="P500" s="26">
        <f ca="1">IFERROR(VLOOKUP(DadosViagem5[[#This Row],[Placa]],[1]BIP!A:E,5,FALSE),"")</f>
        <v>45989</v>
      </c>
      <c r="Q500" s="27">
        <f ca="1">DATEDIF(DadosViagem5[[#This Row],[BIP]],TODAY(),"D")</f>
        <v>1</v>
      </c>
      <c r="R500" s="28"/>
      <c r="S500" s="29" t="s">
        <v>48</v>
      </c>
      <c r="T500" s="23"/>
      <c r="U500" s="30"/>
      <c r="V500" s="31"/>
      <c r="W500" s="32" t="s">
        <v>155</v>
      </c>
      <c r="X500" s="33"/>
      <c r="Y500" s="34"/>
      <c r="Z500" s="42"/>
      <c r="AA500" s="20" t="s">
        <v>49</v>
      </c>
      <c r="AB500" s="20" t="s">
        <v>49</v>
      </c>
      <c r="AC500" s="19" t="s">
        <v>49</v>
      </c>
      <c r="AD500" s="19" t="str">
        <f ca="1">IFERROR(DATEDIF(DadosViagem5[[#This Row],[Utimo Bip Reserva]],TODAY(),"D"),"")</f>
        <v/>
      </c>
      <c r="AE500" s="36" t="s">
        <v>49</v>
      </c>
      <c r="AF500" s="25" t="s">
        <v>49</v>
      </c>
      <c r="AG500" s="36"/>
      <c r="AH500" s="25">
        <v>45807</v>
      </c>
      <c r="AI500" s="36" t="str">
        <f>IF(DadosViagem5[[#This Row],[Dias em manutenção ]]&lt;5,"Dentro do Prazo","Fora do Prazo")</f>
        <v>Fora do Prazo</v>
      </c>
      <c r="AJ500" s="36" t="e">
        <v>#REF!</v>
      </c>
    </row>
    <row r="501" spans="1:36">
      <c r="A501" s="19" t="s">
        <v>858</v>
      </c>
      <c r="B501" s="20">
        <v>450</v>
      </c>
      <c r="C501" s="19" t="s">
        <v>74</v>
      </c>
      <c r="D501" s="19" t="s">
        <v>52</v>
      </c>
      <c r="E501" s="19" t="s">
        <v>75</v>
      </c>
      <c r="F501" s="19" t="s">
        <v>76</v>
      </c>
      <c r="G501" s="19"/>
      <c r="H501" s="20">
        <v>2023</v>
      </c>
      <c r="I501" s="19" t="s">
        <v>41</v>
      </c>
      <c r="J501" s="19" t="s">
        <v>808</v>
      </c>
      <c r="K501" s="38" t="s">
        <v>809</v>
      </c>
      <c r="L501" s="22" t="s">
        <v>60</v>
      </c>
      <c r="M501" s="23" t="s">
        <v>77</v>
      </c>
      <c r="N501" s="36" t="s">
        <v>810</v>
      </c>
      <c r="O501" s="36" t="s">
        <v>811</v>
      </c>
      <c r="P501" s="26">
        <f ca="1">IFERROR(VLOOKUP(DadosViagem5[[#This Row],[Placa]],[1]BIP!A:E,5,FALSE),"")</f>
        <v>45989</v>
      </c>
      <c r="Q501" s="27">
        <f ca="1">DATEDIF(DadosViagem5[[#This Row],[BIP]],TODAY(),"D")</f>
        <v>1</v>
      </c>
      <c r="R501" s="28" t="str">
        <f>IFERROR(VLOOKUP(DadosViagem5[[#This Row],[Placa]],[1]DDS!B:C,2,FALSE),"Verificar cadastro")</f>
        <v>Operando</v>
      </c>
      <c r="S501" s="29" t="s">
        <v>48</v>
      </c>
      <c r="T501" s="23"/>
      <c r="U501" s="30"/>
      <c r="V501" s="31"/>
      <c r="W501" s="32" t="s">
        <v>859</v>
      </c>
      <c r="X501" s="33"/>
      <c r="Y501" s="34"/>
      <c r="Z501" s="32"/>
      <c r="AA501" s="20" t="s">
        <v>49</v>
      </c>
      <c r="AB501" s="20" t="s">
        <v>49</v>
      </c>
      <c r="AC501" s="19" t="s">
        <v>49</v>
      </c>
      <c r="AD501" s="19" t="str">
        <f ca="1">IFERROR(DATEDIF(DadosViagem5[[#This Row],[Utimo Bip Reserva]],TODAY(),"D"),"")</f>
        <v/>
      </c>
      <c r="AE501" s="36" t="s">
        <v>49</v>
      </c>
      <c r="AF501" s="25" t="s">
        <v>49</v>
      </c>
      <c r="AG501" s="36"/>
      <c r="AH501" s="25">
        <v>45807</v>
      </c>
      <c r="AI501" s="36" t="str">
        <f>IF(DadosViagem5[[#This Row],[Dias em manutenção ]]&lt;5,"Dentro do Prazo","Fora do Prazo")</f>
        <v>Fora do Prazo</v>
      </c>
      <c r="AJ501" s="36" t="e">
        <v>#REF!</v>
      </c>
    </row>
    <row r="502" spans="1:36">
      <c r="A502" s="19" t="s">
        <v>860</v>
      </c>
      <c r="B502" s="20"/>
      <c r="C502" s="19" t="s">
        <v>71</v>
      </c>
      <c r="D502" s="19" t="s">
        <v>38</v>
      </c>
      <c r="E502" s="19" t="s">
        <v>265</v>
      </c>
      <c r="F502" s="19" t="s">
        <v>115</v>
      </c>
      <c r="G502" s="19"/>
      <c r="H502" s="20">
        <v>2023</v>
      </c>
      <c r="I502" s="19" t="s">
        <v>41</v>
      </c>
      <c r="J502" s="19" t="s">
        <v>808</v>
      </c>
      <c r="K502" s="38" t="s">
        <v>809</v>
      </c>
      <c r="L502" s="22" t="s">
        <v>60</v>
      </c>
      <c r="M502" s="23" t="s">
        <v>470</v>
      </c>
      <c r="N502" s="36" t="s">
        <v>810</v>
      </c>
      <c r="O502" s="24" t="s">
        <v>811</v>
      </c>
      <c r="P502" s="26">
        <f ca="1">IFERROR(VLOOKUP(DadosViagem5[[#This Row],[Placa]],[1]BIP!A:E,5,FALSE),"")</f>
        <v>45989</v>
      </c>
      <c r="Q502" s="27">
        <f ca="1">DATEDIF(DadosViagem5[[#This Row],[BIP]],TODAY(),"D")</f>
        <v>1</v>
      </c>
      <c r="R502" s="28" t="str">
        <f>IFERROR(VLOOKUP(DadosViagem5[[#This Row],[Placa]],[1]DDS!B:C,2,FALSE),"Verificar cadastro")</f>
        <v>Operando</v>
      </c>
      <c r="S502" s="29" t="s">
        <v>48</v>
      </c>
      <c r="T502" s="23"/>
      <c r="U502" s="30"/>
      <c r="V502" s="31"/>
      <c r="W502" s="32"/>
      <c r="X502" s="33"/>
      <c r="Y502" s="34"/>
      <c r="Z502" s="32"/>
      <c r="AA502" s="20" t="s">
        <v>49</v>
      </c>
      <c r="AB502" s="20" t="s">
        <v>49</v>
      </c>
      <c r="AC502" s="19" t="s">
        <v>49</v>
      </c>
      <c r="AD502" s="19" t="str">
        <f ca="1">IFERROR(DATEDIF(DadosViagem5[[#This Row],[Utimo Bip Reserva]],TODAY(),"D"),"")</f>
        <v/>
      </c>
      <c r="AE502" s="25" t="s">
        <v>49</v>
      </c>
      <c r="AF502" s="25" t="s">
        <v>49</v>
      </c>
      <c r="AG502" s="36"/>
      <c r="AH502" s="25">
        <v>45807</v>
      </c>
      <c r="AI502" s="36" t="str">
        <f>IF(DadosViagem5[[#This Row],[Dias em manutenção ]]&lt;5,"Dentro do Prazo","Fora do Prazo")</f>
        <v>Fora do Prazo</v>
      </c>
      <c r="AJ502" s="36" t="e">
        <v>#REF!</v>
      </c>
    </row>
    <row r="503" spans="1:36">
      <c r="A503" s="19" t="s">
        <v>861</v>
      </c>
      <c r="B503" s="20"/>
      <c r="C503" s="19" t="s">
        <v>71</v>
      </c>
      <c r="D503" s="19" t="s">
        <v>38</v>
      </c>
      <c r="E503" s="19" t="s">
        <v>265</v>
      </c>
      <c r="F503" s="19" t="s">
        <v>115</v>
      </c>
      <c r="G503" s="19"/>
      <c r="H503" s="20">
        <v>2023</v>
      </c>
      <c r="I503" s="19" t="s">
        <v>41</v>
      </c>
      <c r="J503" s="19" t="s">
        <v>808</v>
      </c>
      <c r="K503" s="38" t="s">
        <v>809</v>
      </c>
      <c r="L503" s="22" t="s">
        <v>60</v>
      </c>
      <c r="M503" s="23" t="s">
        <v>470</v>
      </c>
      <c r="N503" s="24" t="s">
        <v>810</v>
      </c>
      <c r="O503" s="41" t="s">
        <v>811</v>
      </c>
      <c r="P503" s="26">
        <f ca="1">IFERROR(VLOOKUP(DadosViagem5[[#This Row],[Placa]],[1]BIP!A:E,5,FALSE),"")</f>
        <v>45989</v>
      </c>
      <c r="Q503" s="27">
        <f ca="1">DATEDIF(DadosViagem5[[#This Row],[BIP]],TODAY(),"D")</f>
        <v>1</v>
      </c>
      <c r="R503" s="28" t="str">
        <f>IFERROR(VLOOKUP(DadosViagem5[[#This Row],[Placa]],[1]DDS!B:C,2,FALSE),"Verificar cadastro")</f>
        <v>Operando</v>
      </c>
      <c r="S503" s="29" t="s">
        <v>48</v>
      </c>
      <c r="T503" s="23"/>
      <c r="U503" s="30"/>
      <c r="V503" s="31"/>
      <c r="W503" s="32"/>
      <c r="X503" s="33"/>
      <c r="Y503" s="34"/>
      <c r="Z503" s="32"/>
      <c r="AA503" s="20" t="s">
        <v>49</v>
      </c>
      <c r="AB503" s="20" t="s">
        <v>49</v>
      </c>
      <c r="AC503" s="19" t="s">
        <v>49</v>
      </c>
      <c r="AD503" s="19" t="str">
        <f ca="1">IFERROR(DATEDIF(DadosViagem5[[#This Row],[Utimo Bip Reserva]],TODAY(),"D"),"")</f>
        <v/>
      </c>
      <c r="AE503" s="25" t="s">
        <v>49</v>
      </c>
      <c r="AF503" s="25" t="s">
        <v>49</v>
      </c>
      <c r="AG503" s="36"/>
      <c r="AH503" s="25">
        <v>45807</v>
      </c>
      <c r="AI503" s="36" t="str">
        <f>IF(DadosViagem5[[#This Row],[Dias em manutenção ]]&lt;5,"Dentro do Prazo","Fora do Prazo")</f>
        <v>Fora do Prazo</v>
      </c>
      <c r="AJ503" s="36" t="e">
        <v>#REF!</v>
      </c>
    </row>
    <row r="504" spans="1:36">
      <c r="A504" s="19" t="s">
        <v>862</v>
      </c>
      <c r="B504" s="20"/>
      <c r="C504" s="19" t="s">
        <v>71</v>
      </c>
      <c r="D504" s="19" t="s">
        <v>38</v>
      </c>
      <c r="E504" s="19" t="s">
        <v>265</v>
      </c>
      <c r="F504" s="19" t="s">
        <v>115</v>
      </c>
      <c r="G504" s="19"/>
      <c r="H504" s="20">
        <v>2023</v>
      </c>
      <c r="I504" s="19" t="s">
        <v>41</v>
      </c>
      <c r="J504" s="19" t="s">
        <v>808</v>
      </c>
      <c r="K504" s="21" t="s">
        <v>809</v>
      </c>
      <c r="L504" s="22" t="s">
        <v>60</v>
      </c>
      <c r="M504" s="23" t="s">
        <v>470</v>
      </c>
      <c r="N504" s="36" t="s">
        <v>810</v>
      </c>
      <c r="O504" s="65" t="s">
        <v>811</v>
      </c>
      <c r="P504" s="26">
        <f ca="1">IFERROR(VLOOKUP(DadosViagem5[[#This Row],[Placa]],[1]BIP!A:E,5,FALSE),"")</f>
        <v>45978</v>
      </c>
      <c r="Q504" s="27">
        <f ca="1">DATEDIF(DadosViagem5[[#This Row],[BIP]],TODAY(),"D")</f>
        <v>12</v>
      </c>
      <c r="R504" s="28"/>
      <c r="S504" s="29" t="s">
        <v>48</v>
      </c>
      <c r="T504" s="23"/>
      <c r="U504" s="30"/>
      <c r="V504" s="31"/>
      <c r="W504" s="32"/>
      <c r="X504" s="33"/>
      <c r="Y504" s="34"/>
      <c r="Z504" s="32"/>
      <c r="AA504" s="20" t="s">
        <v>49</v>
      </c>
      <c r="AB504" s="20" t="s">
        <v>49</v>
      </c>
      <c r="AC504" s="19" t="s">
        <v>49</v>
      </c>
      <c r="AD504" s="19" t="str">
        <f ca="1">IFERROR(DATEDIF(DadosViagem5[[#This Row],[Utimo Bip Reserva]],TODAY(),"D"),"")</f>
        <v/>
      </c>
      <c r="AE504" s="59"/>
      <c r="AF504" s="25"/>
      <c r="AG504" s="36"/>
      <c r="AH504" s="25">
        <v>45807</v>
      </c>
      <c r="AI504" s="36" t="str">
        <f>IF(DadosViagem5[[#This Row],[Dias em manutenção ]]&lt;5,"Dentro do Prazo","Fora do Prazo")</f>
        <v>Fora do Prazo</v>
      </c>
      <c r="AJ504" s="36" t="e">
        <v>#REF!</v>
      </c>
    </row>
    <row r="505" spans="1:36">
      <c r="A505" s="19" t="s">
        <v>863</v>
      </c>
      <c r="B505" s="20"/>
      <c r="C505" s="19" t="s">
        <v>71</v>
      </c>
      <c r="D505" s="19" t="s">
        <v>38</v>
      </c>
      <c r="E505" s="19" t="s">
        <v>265</v>
      </c>
      <c r="F505" s="19" t="s">
        <v>115</v>
      </c>
      <c r="G505" s="19"/>
      <c r="H505" s="20">
        <v>2023</v>
      </c>
      <c r="I505" s="19" t="s">
        <v>41</v>
      </c>
      <c r="J505" s="19" t="s">
        <v>808</v>
      </c>
      <c r="K505" s="21" t="s">
        <v>809</v>
      </c>
      <c r="L505" s="22" t="s">
        <v>60</v>
      </c>
      <c r="M505" s="23" t="s">
        <v>470</v>
      </c>
      <c r="N505" s="36" t="s">
        <v>810</v>
      </c>
      <c r="O505" s="65" t="s">
        <v>811</v>
      </c>
      <c r="P505" s="26">
        <f ca="1">IFERROR(VLOOKUP(DadosViagem5[[#This Row],[Placa]],[1]BIP!A:E,5,FALSE),"")</f>
        <v>45989</v>
      </c>
      <c r="Q505" s="27">
        <f ca="1">DATEDIF(DadosViagem5[[#This Row],[BIP]],TODAY(),"D")</f>
        <v>1</v>
      </c>
      <c r="R505" s="28" t="str">
        <f>IFERROR(VLOOKUP(DadosViagem5[[#This Row],[Placa]],[1]DDS!B:C,2,FALSE),"Verificar cadastro")</f>
        <v>Operando</v>
      </c>
      <c r="S505" s="29" t="s">
        <v>48</v>
      </c>
      <c r="T505" s="23"/>
      <c r="U505" s="30"/>
      <c r="V505" s="31"/>
      <c r="W505" s="32" t="s">
        <v>864</v>
      </c>
      <c r="X505" s="33"/>
      <c r="Y505" s="34"/>
      <c r="Z505" s="32"/>
      <c r="AA505" s="20" t="s">
        <v>49</v>
      </c>
      <c r="AB505" s="20" t="s">
        <v>49</v>
      </c>
      <c r="AC505" s="19" t="s">
        <v>49</v>
      </c>
      <c r="AD505" s="19" t="str">
        <f ca="1">IFERROR(DATEDIF(DadosViagem5[[#This Row],[Utimo Bip Reserva]],TODAY(),"D"),"")</f>
        <v/>
      </c>
      <c r="AE505" s="25" t="s">
        <v>49</v>
      </c>
      <c r="AF505" s="25" t="s">
        <v>49</v>
      </c>
      <c r="AG505" s="36"/>
      <c r="AH505" s="25">
        <v>45807</v>
      </c>
      <c r="AI505" s="36" t="str">
        <f>IF(DadosViagem5[[#This Row],[Dias em manutenção ]]&lt;5,"Dentro do Prazo","Fora do Prazo")</f>
        <v>Fora do Prazo</v>
      </c>
      <c r="AJ505" s="36" t="e">
        <v>#REF!</v>
      </c>
    </row>
    <row r="506" spans="1:36">
      <c r="A506" s="19" t="s">
        <v>865</v>
      </c>
      <c r="B506" s="20"/>
      <c r="C506" s="19" t="s">
        <v>71</v>
      </c>
      <c r="D506" s="19" t="s">
        <v>38</v>
      </c>
      <c r="E506" s="19" t="s">
        <v>265</v>
      </c>
      <c r="F506" s="19" t="s">
        <v>115</v>
      </c>
      <c r="G506" s="19"/>
      <c r="H506" s="20">
        <v>2023</v>
      </c>
      <c r="I506" s="19" t="s">
        <v>41</v>
      </c>
      <c r="J506" s="19" t="s">
        <v>808</v>
      </c>
      <c r="K506" s="21" t="s">
        <v>809</v>
      </c>
      <c r="L506" s="22" t="s">
        <v>60</v>
      </c>
      <c r="M506" s="23" t="s">
        <v>470</v>
      </c>
      <c r="N506" s="36" t="s">
        <v>810</v>
      </c>
      <c r="O506" s="65" t="s">
        <v>811</v>
      </c>
      <c r="P506" s="26">
        <f ca="1">IFERROR(VLOOKUP(DadosViagem5[[#This Row],[Placa]],[1]BIP!A:E,5,FALSE),"")</f>
        <v>45989</v>
      </c>
      <c r="Q506" s="27">
        <f ca="1">DATEDIF(DadosViagem5[[#This Row],[BIP]],TODAY(),"D")</f>
        <v>1</v>
      </c>
      <c r="R506" s="28" t="str">
        <f>IFERROR(VLOOKUP(DadosViagem5[[#This Row],[Placa]],[1]DDS!B:C,2,FALSE),"Verificar cadastro")</f>
        <v>Operando</v>
      </c>
      <c r="S506" s="29" t="s">
        <v>48</v>
      </c>
      <c r="T506" s="23"/>
      <c r="U506" s="30"/>
      <c r="V506" s="31"/>
      <c r="W506" s="32" t="s">
        <v>866</v>
      </c>
      <c r="X506" s="33"/>
      <c r="Y506" s="34"/>
      <c r="Z506" s="32"/>
      <c r="AA506" s="20" t="s">
        <v>49</v>
      </c>
      <c r="AB506" s="20" t="s">
        <v>49</v>
      </c>
      <c r="AC506" s="19" t="s">
        <v>49</v>
      </c>
      <c r="AD506" s="19" t="str">
        <f ca="1">IFERROR(DATEDIF(DadosViagem5[[#This Row],[Utimo Bip Reserva]],TODAY(),"D"),"")</f>
        <v/>
      </c>
      <c r="AE506" s="25" t="s">
        <v>49</v>
      </c>
      <c r="AF506" s="25" t="s">
        <v>49</v>
      </c>
      <c r="AG506" s="36"/>
      <c r="AH506" s="25">
        <v>45807</v>
      </c>
      <c r="AI506" s="36" t="str">
        <f>IF(DadosViagem5[[#This Row],[Dias em manutenção ]]&lt;5,"Dentro do Prazo","Fora do Prazo")</f>
        <v>Fora do Prazo</v>
      </c>
      <c r="AJ506" s="36" t="e">
        <v>#REF!</v>
      </c>
    </row>
    <row r="507" spans="1:36">
      <c r="A507" s="19" t="s">
        <v>867</v>
      </c>
      <c r="B507" s="20"/>
      <c r="C507" s="19" t="s">
        <v>71</v>
      </c>
      <c r="D507" s="19" t="s">
        <v>38</v>
      </c>
      <c r="E507" s="19" t="s">
        <v>265</v>
      </c>
      <c r="F507" s="19" t="s">
        <v>115</v>
      </c>
      <c r="G507" s="19"/>
      <c r="H507" s="20">
        <v>2023</v>
      </c>
      <c r="I507" s="19" t="s">
        <v>41</v>
      </c>
      <c r="J507" s="19" t="s">
        <v>808</v>
      </c>
      <c r="K507" s="21" t="s">
        <v>809</v>
      </c>
      <c r="L507" s="22" t="s">
        <v>60</v>
      </c>
      <c r="M507" s="23" t="s">
        <v>470</v>
      </c>
      <c r="N507" s="36" t="s">
        <v>810</v>
      </c>
      <c r="O507" s="36" t="s">
        <v>811</v>
      </c>
      <c r="P507" s="26">
        <f ca="1">IFERROR(VLOOKUP(DadosViagem5[[#This Row],[Placa]],[1]BIP!A:E,5,FALSE),"")</f>
        <v>45989</v>
      </c>
      <c r="Q507" s="27">
        <f ca="1">DATEDIF(DadosViagem5[[#This Row],[BIP]],TODAY(),"D")</f>
        <v>1</v>
      </c>
      <c r="R507" s="28" t="str">
        <f>IFERROR(VLOOKUP(DadosViagem5[[#This Row],[Placa]],[1]DDS!B:C,2,FALSE),"Verificar cadastro")</f>
        <v>Operando</v>
      </c>
      <c r="S507" s="29" t="s">
        <v>48</v>
      </c>
      <c r="T507" s="23"/>
      <c r="U507" s="30"/>
      <c r="V507" s="31"/>
      <c r="W507" s="32"/>
      <c r="X507" s="33"/>
      <c r="Y507" s="34"/>
      <c r="Z507" s="32"/>
      <c r="AA507" s="20" t="s">
        <v>49</v>
      </c>
      <c r="AB507" s="20" t="s">
        <v>49</v>
      </c>
      <c r="AC507" s="19" t="s">
        <v>49</v>
      </c>
      <c r="AD507" s="19" t="str">
        <f ca="1">IFERROR(DATEDIF(DadosViagem5[[#This Row],[Utimo Bip Reserva]],TODAY(),"D"),"")</f>
        <v/>
      </c>
      <c r="AE507" s="25"/>
      <c r="AF507" s="25"/>
      <c r="AG507" s="36"/>
      <c r="AH507" s="25">
        <v>45807</v>
      </c>
      <c r="AI507" s="36" t="str">
        <f>IF(DadosViagem5[[#This Row],[Dias em manutenção ]]&lt;5,"Dentro do Prazo","Fora do Prazo")</f>
        <v>Fora do Prazo</v>
      </c>
      <c r="AJ507" s="36" t="e">
        <v>#REF!</v>
      </c>
    </row>
    <row r="508" spans="1:36">
      <c r="A508" s="19" t="s">
        <v>868</v>
      </c>
      <c r="B508" s="20"/>
      <c r="C508" s="19" t="s">
        <v>71</v>
      </c>
      <c r="D508" s="19" t="s">
        <v>38</v>
      </c>
      <c r="E508" s="19" t="s">
        <v>265</v>
      </c>
      <c r="F508" s="19" t="s">
        <v>115</v>
      </c>
      <c r="G508" s="19"/>
      <c r="H508" s="20">
        <v>2023</v>
      </c>
      <c r="I508" s="19" t="s">
        <v>41</v>
      </c>
      <c r="J508" s="19" t="s">
        <v>808</v>
      </c>
      <c r="K508" s="21" t="s">
        <v>809</v>
      </c>
      <c r="L508" s="22" t="s">
        <v>60</v>
      </c>
      <c r="M508" s="23" t="s">
        <v>470</v>
      </c>
      <c r="N508" s="36" t="s">
        <v>810</v>
      </c>
      <c r="O508" s="36" t="s">
        <v>811</v>
      </c>
      <c r="P508" s="26">
        <f ca="1">IFERROR(VLOOKUP(DadosViagem5[[#This Row],[Placa]],[1]BIP!A:E,5,FALSE),"")</f>
        <v>45989</v>
      </c>
      <c r="Q508" s="27">
        <f ca="1">DATEDIF(DadosViagem5[[#This Row],[BIP]],TODAY(),"D")</f>
        <v>1</v>
      </c>
      <c r="R508" s="28" t="str">
        <f>IFERROR(VLOOKUP(DadosViagem5[[#This Row],[Placa]],[1]DDS!B:C,2,FALSE),"Verificar cadastro")</f>
        <v>Operando</v>
      </c>
      <c r="S508" s="29" t="s">
        <v>48</v>
      </c>
      <c r="T508" s="23"/>
      <c r="U508" s="30"/>
      <c r="V508" s="31"/>
      <c r="W508" s="32" t="s">
        <v>869</v>
      </c>
      <c r="X508" s="33"/>
      <c r="Y508" s="34"/>
      <c r="Z508" s="32"/>
      <c r="AA508" s="20" t="s">
        <v>49</v>
      </c>
      <c r="AB508" s="20" t="s">
        <v>49</v>
      </c>
      <c r="AC508" s="19" t="s">
        <v>49</v>
      </c>
      <c r="AD508" s="19" t="str">
        <f ca="1">IFERROR(DATEDIF(DadosViagem5[[#This Row],[Utimo Bip Reserva]],TODAY(),"D"),"")</f>
        <v/>
      </c>
      <c r="AE508" s="25" t="s">
        <v>49</v>
      </c>
      <c r="AF508" s="25" t="s">
        <v>49</v>
      </c>
      <c r="AG508" s="36"/>
      <c r="AH508" s="25">
        <v>45807</v>
      </c>
      <c r="AI508" s="36" t="str">
        <f>IF(DadosViagem5[[#This Row],[Dias em manutenção ]]&lt;5,"Dentro do Prazo","Fora do Prazo")</f>
        <v>Fora do Prazo</v>
      </c>
      <c r="AJ508" s="36" t="e">
        <v>#REF!</v>
      </c>
    </row>
    <row r="509" spans="1:36">
      <c r="A509" s="19" t="s">
        <v>870</v>
      </c>
      <c r="B509" s="20"/>
      <c r="C509" s="19" t="s">
        <v>71</v>
      </c>
      <c r="D509" s="19" t="s">
        <v>38</v>
      </c>
      <c r="E509" s="19" t="s">
        <v>265</v>
      </c>
      <c r="F509" s="19" t="s">
        <v>115</v>
      </c>
      <c r="G509" s="19"/>
      <c r="H509" s="20">
        <v>2023</v>
      </c>
      <c r="I509" s="19" t="s">
        <v>41</v>
      </c>
      <c r="J509" s="19" t="s">
        <v>808</v>
      </c>
      <c r="K509" s="21" t="s">
        <v>809</v>
      </c>
      <c r="L509" s="22" t="s">
        <v>60</v>
      </c>
      <c r="M509" s="23" t="s">
        <v>470</v>
      </c>
      <c r="N509" s="36" t="s">
        <v>810</v>
      </c>
      <c r="O509" s="36" t="s">
        <v>811</v>
      </c>
      <c r="P509" s="26">
        <f ca="1">IFERROR(VLOOKUP(DadosViagem5[[#This Row],[Placa]],[1]BIP!A:E,5,FALSE),"")</f>
        <v>45989</v>
      </c>
      <c r="Q509" s="27">
        <f ca="1">DATEDIF(DadosViagem5[[#This Row],[BIP]],TODAY(),"D")</f>
        <v>1</v>
      </c>
      <c r="R509" s="28" t="str">
        <f>IFERROR(VLOOKUP(DadosViagem5[[#This Row],[Placa]],[1]DDS!B:C,2,FALSE),"Verificar cadastro")</f>
        <v>Operando</v>
      </c>
      <c r="S509" s="29" t="s">
        <v>48</v>
      </c>
      <c r="T509" s="23"/>
      <c r="U509" s="30"/>
      <c r="V509" s="31"/>
      <c r="W509" s="32"/>
      <c r="X509" s="33"/>
      <c r="Y509" s="34"/>
      <c r="Z509" s="32"/>
      <c r="AA509" s="20" t="s">
        <v>49</v>
      </c>
      <c r="AB509" s="20" t="s">
        <v>49</v>
      </c>
      <c r="AC509" s="19" t="s">
        <v>49</v>
      </c>
      <c r="AD509" s="19" t="str">
        <f ca="1">IFERROR(DATEDIF(DadosViagem5[[#This Row],[Utimo Bip Reserva]],TODAY(),"D"),"")</f>
        <v/>
      </c>
      <c r="AE509" s="25" t="s">
        <v>49</v>
      </c>
      <c r="AF509" s="25" t="s">
        <v>49</v>
      </c>
      <c r="AG509" s="36"/>
      <c r="AH509" s="25">
        <v>45807</v>
      </c>
      <c r="AI509" s="36" t="str">
        <f>IF(DadosViagem5[[#This Row],[Dias em manutenção ]]&lt;5,"Dentro do Prazo","Fora do Prazo")</f>
        <v>Fora do Prazo</v>
      </c>
      <c r="AJ509" s="36" t="e">
        <v>#REF!</v>
      </c>
    </row>
    <row r="510" spans="1:36">
      <c r="A510" s="19" t="s">
        <v>871</v>
      </c>
      <c r="B510" s="20"/>
      <c r="C510" s="19" t="s">
        <v>37</v>
      </c>
      <c r="D510" s="19" t="s">
        <v>38</v>
      </c>
      <c r="E510" s="19" t="s">
        <v>39</v>
      </c>
      <c r="F510" s="19" t="s">
        <v>106</v>
      </c>
      <c r="G510" s="19"/>
      <c r="H510" s="20">
        <v>2022</v>
      </c>
      <c r="I510" s="19" t="s">
        <v>41</v>
      </c>
      <c r="J510" s="19" t="s">
        <v>808</v>
      </c>
      <c r="K510" s="64" t="s">
        <v>809</v>
      </c>
      <c r="L510" s="39" t="s">
        <v>60</v>
      </c>
      <c r="M510" s="23" t="s">
        <v>470</v>
      </c>
      <c r="N510" s="36" t="s">
        <v>810</v>
      </c>
      <c r="O510" s="36" t="s">
        <v>872</v>
      </c>
      <c r="P510" s="26">
        <f ca="1">IFERROR(VLOOKUP(DadosViagem5[[#This Row],[Placa]],[1]BIP!A:E,5,FALSE),"")</f>
        <v>45989</v>
      </c>
      <c r="Q510" s="27">
        <f ca="1">DATEDIF(DadosViagem5[[#This Row],[BIP]],TODAY(),"D")</f>
        <v>1</v>
      </c>
      <c r="R510" s="28" t="str">
        <f>IFERROR(VLOOKUP(DadosViagem5[[#This Row],[Placa]],[1]DDS!B:C,2,FALSE),"Verificar cadastro")</f>
        <v>Carregado</v>
      </c>
      <c r="S510" s="29" t="s">
        <v>48</v>
      </c>
      <c r="T510" s="23"/>
      <c r="U510" s="30"/>
      <c r="V510" s="31"/>
      <c r="W510" s="48"/>
      <c r="X510" s="33"/>
      <c r="Y510" s="34"/>
      <c r="Z510" s="32"/>
      <c r="AA510" s="20" t="s">
        <v>49</v>
      </c>
      <c r="AB510" s="20" t="s">
        <v>49</v>
      </c>
      <c r="AC510" s="19" t="s">
        <v>49</v>
      </c>
      <c r="AD510" s="19" t="str">
        <f ca="1">IFERROR(DATEDIF(DadosViagem5[[#This Row],[Utimo Bip Reserva]],TODAY(),"D"),"")</f>
        <v/>
      </c>
      <c r="AE510" s="25" t="s">
        <v>49</v>
      </c>
      <c r="AF510" s="25" t="s">
        <v>49</v>
      </c>
      <c r="AG510" s="36"/>
      <c r="AH510" s="25">
        <v>45807</v>
      </c>
      <c r="AI510" s="36" t="str">
        <f>IF(DadosViagem5[[#This Row],[Dias em manutenção ]]&lt;5,"Dentro do Prazo","Fora do Prazo")</f>
        <v>Fora do Prazo</v>
      </c>
      <c r="AJ510" s="36" t="e">
        <v>#REF!</v>
      </c>
    </row>
    <row r="511" spans="1:36">
      <c r="A511" s="19" t="s">
        <v>873</v>
      </c>
      <c r="B511" s="20"/>
      <c r="C511" s="19" t="s">
        <v>671</v>
      </c>
      <c r="D511" s="19" t="s">
        <v>132</v>
      </c>
      <c r="E511" s="19" t="s">
        <v>114</v>
      </c>
      <c r="F511" s="19" t="s">
        <v>115</v>
      </c>
      <c r="G511" s="19"/>
      <c r="H511" s="20">
        <v>2023</v>
      </c>
      <c r="I511" s="19" t="s">
        <v>41</v>
      </c>
      <c r="J511" s="19" t="s">
        <v>874</v>
      </c>
      <c r="K511" s="21" t="s">
        <v>875</v>
      </c>
      <c r="L511" s="22" t="s">
        <v>60</v>
      </c>
      <c r="M511" s="23" t="s">
        <v>61</v>
      </c>
      <c r="N511" s="25" t="s">
        <v>876</v>
      </c>
      <c r="O511" s="36" t="s">
        <v>710</v>
      </c>
      <c r="P511" s="26">
        <f ca="1">IFERROR(VLOOKUP(DadosViagem5[[#This Row],[Placa]],[1]BIP!A:E,5,FALSE),"")</f>
        <v>45989</v>
      </c>
      <c r="Q511" s="27">
        <f ca="1">DATEDIF(DadosViagem5[[#This Row],[BIP]],TODAY(),"D")</f>
        <v>1</v>
      </c>
      <c r="R511" s="28" t="str">
        <f>IFERROR(VLOOKUP(DadosViagem5[[#This Row],[Placa]],[1]DDS!B:C,2,FALSE),"Verificar cadastro")</f>
        <v>Operando</v>
      </c>
      <c r="S511" s="29" t="s">
        <v>173</v>
      </c>
      <c r="T511" s="23"/>
      <c r="U511" s="30"/>
      <c r="V511" s="31">
        <v>45827</v>
      </c>
      <c r="W511" s="32" t="s">
        <v>877</v>
      </c>
      <c r="X511" s="33" t="s">
        <v>65</v>
      </c>
      <c r="Y511" s="34">
        <v>45945</v>
      </c>
      <c r="Z511" s="42" t="s">
        <v>878</v>
      </c>
      <c r="AA511" s="20" t="s">
        <v>49</v>
      </c>
      <c r="AB511" s="20" t="s">
        <v>49</v>
      </c>
      <c r="AC511" s="19" t="s">
        <v>49</v>
      </c>
      <c r="AD511" s="19" t="str">
        <f ca="1">IFERROR(DATEDIF(DadosViagem5[[#This Row],[Utimo Bip Reserva]],TODAY(),"D"),"")</f>
        <v/>
      </c>
      <c r="AE511" s="36"/>
      <c r="AF511" s="25" t="s">
        <v>49</v>
      </c>
      <c r="AG511" s="36" t="s">
        <v>290</v>
      </c>
      <c r="AH511" s="25">
        <v>45807</v>
      </c>
      <c r="AI511" s="36" t="str">
        <f>IF(DadosViagem5[[#This Row],[Dias em manutenção ]]&lt;5,"Dentro do Prazo","Fora do Prazo")</f>
        <v>Fora do Prazo</v>
      </c>
      <c r="AJ511" s="36" t="e">
        <v>#REF!</v>
      </c>
    </row>
    <row r="512" spans="1:36">
      <c r="A512" s="19" t="s">
        <v>879</v>
      </c>
      <c r="B512" s="20"/>
      <c r="C512" s="19" t="s">
        <v>671</v>
      </c>
      <c r="D512" s="19" t="s">
        <v>132</v>
      </c>
      <c r="E512" s="19" t="s">
        <v>114</v>
      </c>
      <c r="F512" s="19" t="s">
        <v>115</v>
      </c>
      <c r="G512" s="19"/>
      <c r="H512" s="20">
        <v>2023</v>
      </c>
      <c r="I512" s="19" t="s">
        <v>41</v>
      </c>
      <c r="J512" s="19" t="s">
        <v>874</v>
      </c>
      <c r="K512" s="21" t="s">
        <v>875</v>
      </c>
      <c r="L512" s="22" t="s">
        <v>60</v>
      </c>
      <c r="M512" s="23" t="s">
        <v>61</v>
      </c>
      <c r="N512" s="25" t="s">
        <v>876</v>
      </c>
      <c r="O512" s="36" t="s">
        <v>710</v>
      </c>
      <c r="P512" s="26">
        <f ca="1">IFERROR(VLOOKUP(DadosViagem5[[#This Row],[Placa]],[1]BIP!A:E,5,FALSE),"")</f>
        <v>45989</v>
      </c>
      <c r="Q512" s="27">
        <f ca="1">DATEDIF(DadosViagem5[[#This Row],[BIP]],TODAY(),"D")</f>
        <v>1</v>
      </c>
      <c r="R512" s="28" t="str">
        <f>IFERROR(VLOOKUP(DadosViagem5[[#This Row],[Placa]],[1]DDS!B:C,2,FALSE),"Verificar cadastro")</f>
        <v>Operando</v>
      </c>
      <c r="S512" s="29" t="s">
        <v>48</v>
      </c>
      <c r="T512" s="23"/>
      <c r="U512" s="30"/>
      <c r="V512" s="31"/>
      <c r="W512" s="31"/>
      <c r="X512" s="33"/>
      <c r="Y512" s="34"/>
      <c r="Z512" s="42"/>
      <c r="AA512" s="20" t="s">
        <v>49</v>
      </c>
      <c r="AB512" s="20" t="s">
        <v>49</v>
      </c>
      <c r="AC512" s="19" t="s">
        <v>49</v>
      </c>
      <c r="AD512" s="19" t="str">
        <f ca="1">IFERROR(DATEDIF(DadosViagem5[[#This Row],[Utimo Bip Reserva]],TODAY(),"D"),"")</f>
        <v/>
      </c>
      <c r="AE512" s="36" t="s">
        <v>49</v>
      </c>
      <c r="AF512" s="25" t="s">
        <v>49</v>
      </c>
      <c r="AG512" s="30" t="s">
        <v>153</v>
      </c>
      <c r="AH512" s="25">
        <v>18</v>
      </c>
      <c r="AI512" s="36" t="str">
        <f>IF(DadosViagem5[[#This Row],[Dias em manutenção ]]&lt;5,"Dentro do Prazo","Fora do Prazo")</f>
        <v>Fora do Prazo</v>
      </c>
      <c r="AJ512" s="36" t="e">
        <v>#REF!</v>
      </c>
    </row>
    <row r="513" spans="1:36">
      <c r="A513" s="19" t="s">
        <v>880</v>
      </c>
      <c r="B513" s="20"/>
      <c r="C513" s="19" t="s">
        <v>671</v>
      </c>
      <c r="D513" s="19" t="s">
        <v>132</v>
      </c>
      <c r="E513" s="19" t="s">
        <v>114</v>
      </c>
      <c r="F513" s="19" t="s">
        <v>115</v>
      </c>
      <c r="G513" s="19"/>
      <c r="H513" s="20">
        <v>2023</v>
      </c>
      <c r="I513" s="19" t="s">
        <v>41</v>
      </c>
      <c r="J513" s="37" t="s">
        <v>874</v>
      </c>
      <c r="K513" s="38" t="s">
        <v>875</v>
      </c>
      <c r="L513" s="22" t="s">
        <v>60</v>
      </c>
      <c r="M513" s="23" t="s">
        <v>61</v>
      </c>
      <c r="N513" s="25" t="s">
        <v>876</v>
      </c>
      <c r="O513" s="36" t="s">
        <v>710</v>
      </c>
      <c r="P513" s="26">
        <f ca="1">IFERROR(VLOOKUP(DadosViagem5[[#This Row],[Placa]],[1]BIP!A:E,5,FALSE),"")</f>
        <v>45744</v>
      </c>
      <c r="Q513" s="27">
        <f ca="1">DATEDIF(DadosViagem5[[#This Row],[BIP]],TODAY(),"D")</f>
        <v>246</v>
      </c>
      <c r="R513" s="28" t="str">
        <f>IFERROR(VLOOKUP(DadosViagem5[[#This Row],[Placa]],[1]DDS!B:C,2,FALSE),"Verificar cadastro")</f>
        <v>Verificar cadastro</v>
      </c>
      <c r="S513" s="36" t="s">
        <v>574</v>
      </c>
      <c r="T513" s="23"/>
      <c r="U513" s="30"/>
      <c r="V513" s="31"/>
      <c r="W513" s="32" t="s">
        <v>881</v>
      </c>
      <c r="X513" s="33"/>
      <c r="Y513" s="86"/>
      <c r="Z513" s="42"/>
      <c r="AA513" s="20" t="s">
        <v>49</v>
      </c>
      <c r="AB513" s="20" t="s">
        <v>49</v>
      </c>
      <c r="AC513" s="19" t="s">
        <v>49</v>
      </c>
      <c r="AD513" s="19" t="str">
        <f ca="1">IFERROR(DATEDIF(DadosViagem5[[#This Row],[Utimo Bip Reserva]],TODAY(),"D"),"")</f>
        <v/>
      </c>
      <c r="AE513" s="36" t="s">
        <v>882</v>
      </c>
      <c r="AF513" s="25" t="s">
        <v>49</v>
      </c>
      <c r="AG513" s="30" t="s">
        <v>153</v>
      </c>
      <c r="AH513" s="25">
        <v>63</v>
      </c>
      <c r="AI513" s="36" t="str">
        <f>IF(DadosViagem5[[#This Row],[Dias em manutenção ]]&lt;5,"Dentro do Prazo","Fora do Prazo")</f>
        <v>Fora do Prazo</v>
      </c>
      <c r="AJ513" s="36" t="e">
        <v>#REF!</v>
      </c>
    </row>
    <row r="514" spans="1:36">
      <c r="A514" s="19" t="s">
        <v>883</v>
      </c>
      <c r="B514" s="20">
        <v>564</v>
      </c>
      <c r="C514" s="19" t="s">
        <v>74</v>
      </c>
      <c r="D514" s="19" t="s">
        <v>52</v>
      </c>
      <c r="E514" s="19" t="s">
        <v>75</v>
      </c>
      <c r="F514" s="19" t="s">
        <v>76</v>
      </c>
      <c r="G514" s="19"/>
      <c r="H514" s="20">
        <v>2024</v>
      </c>
      <c r="I514" s="19" t="s">
        <v>41</v>
      </c>
      <c r="J514" s="19" t="s">
        <v>874</v>
      </c>
      <c r="K514" s="21" t="s">
        <v>875</v>
      </c>
      <c r="L514" s="22" t="s">
        <v>60</v>
      </c>
      <c r="M514" s="23" t="s">
        <v>77</v>
      </c>
      <c r="N514" s="25" t="s">
        <v>876</v>
      </c>
      <c r="O514" s="36" t="s">
        <v>710</v>
      </c>
      <c r="P514" s="26">
        <f ca="1">IFERROR(VLOOKUP(DadosViagem5[[#This Row],[Placa]],[1]BIP!A:E,5,FALSE),"")</f>
        <v>45989</v>
      </c>
      <c r="Q514" s="27">
        <f ca="1">DATEDIF(DadosViagem5[[#This Row],[BIP]],TODAY(),"D")</f>
        <v>1</v>
      </c>
      <c r="R514" s="28" t="str">
        <f>IFERROR(VLOOKUP(DadosViagem5[[#This Row],[Placa]],[1]DDS!B:C,2,FALSE),"Verificar cadastro")</f>
        <v>Operando</v>
      </c>
      <c r="S514" s="29" t="s">
        <v>48</v>
      </c>
      <c r="T514" s="23"/>
      <c r="U514" s="30"/>
      <c r="V514" s="31"/>
      <c r="W514" s="32" t="s">
        <v>884</v>
      </c>
      <c r="X514" s="33"/>
      <c r="Y514" s="34"/>
      <c r="Z514" s="32"/>
      <c r="AA514" s="20" t="s">
        <v>49</v>
      </c>
      <c r="AB514" s="20" t="s">
        <v>49</v>
      </c>
      <c r="AC514" s="19" t="s">
        <v>49</v>
      </c>
      <c r="AD514" s="19" t="str">
        <f ca="1">IFERROR(DATEDIF(DadosViagem5[[#This Row],[Utimo Bip Reserva]],TODAY(),"D"),"")</f>
        <v/>
      </c>
      <c r="AE514" s="36" t="s">
        <v>49</v>
      </c>
      <c r="AF514" s="25" t="s">
        <v>49</v>
      </c>
      <c r="AG514" s="36" t="s">
        <v>290</v>
      </c>
      <c r="AH514" s="25">
        <v>45807</v>
      </c>
      <c r="AI514" s="36" t="str">
        <f>IF(DadosViagem5[[#This Row],[Dias em manutenção ]]&lt;5,"Dentro do Prazo","Fora do Prazo")</f>
        <v>Fora do Prazo</v>
      </c>
      <c r="AJ514" s="36" t="e">
        <v>#REF!</v>
      </c>
    </row>
    <row r="515" spans="1:36">
      <c r="A515" s="19" t="s">
        <v>885</v>
      </c>
      <c r="B515" s="20"/>
      <c r="C515" s="19" t="s">
        <v>74</v>
      </c>
      <c r="D515" s="19" t="s">
        <v>52</v>
      </c>
      <c r="E515" s="19" t="s">
        <v>114</v>
      </c>
      <c r="F515" s="19" t="s">
        <v>115</v>
      </c>
      <c r="G515" s="19"/>
      <c r="H515" s="20">
        <v>2022</v>
      </c>
      <c r="I515" s="19" t="s">
        <v>41</v>
      </c>
      <c r="J515" s="19" t="s">
        <v>874</v>
      </c>
      <c r="K515" s="21" t="s">
        <v>875</v>
      </c>
      <c r="L515" s="22" t="s">
        <v>60</v>
      </c>
      <c r="M515" s="23" t="s">
        <v>77</v>
      </c>
      <c r="N515" s="25" t="s">
        <v>876</v>
      </c>
      <c r="O515" s="36" t="s">
        <v>710</v>
      </c>
      <c r="P515" s="26">
        <f ca="1">IFERROR(VLOOKUP(DadosViagem5[[#This Row],[Placa]],[1]BIP!A:E,5,FALSE),"")</f>
        <v>45542</v>
      </c>
      <c r="Q515" s="27">
        <f ca="1">DATEDIF(DadosViagem5[[#This Row],[BIP]],TODAY(),"D")</f>
        <v>448</v>
      </c>
      <c r="R515" s="28" t="str">
        <f>IFERROR(VLOOKUP(DadosViagem5[[#This Row],[Placa]],[1]DDS!B:C,2,FALSE),"Verificar cadastro")</f>
        <v>Verificar cadastro</v>
      </c>
      <c r="S515" s="36" t="s">
        <v>35</v>
      </c>
      <c r="T515" s="23"/>
      <c r="U515" s="30"/>
      <c r="V515" s="31"/>
      <c r="W515" s="32" t="s">
        <v>886</v>
      </c>
      <c r="X515" s="33"/>
      <c r="Y515" s="34"/>
      <c r="Z515" s="42"/>
      <c r="AA515" s="20" t="s">
        <v>49</v>
      </c>
      <c r="AB515" s="20" t="s">
        <v>49</v>
      </c>
      <c r="AC515" s="19" t="s">
        <v>49</v>
      </c>
      <c r="AD515" s="19" t="str">
        <f ca="1">IFERROR(DATEDIF(DadosViagem5[[#This Row],[Utimo Bip Reserva]],TODAY(),"D"),"")</f>
        <v/>
      </c>
      <c r="AE515" s="36"/>
      <c r="AF515" s="25" t="s">
        <v>49</v>
      </c>
      <c r="AG515" s="36" t="s">
        <v>290</v>
      </c>
      <c r="AH515" s="25">
        <v>232</v>
      </c>
      <c r="AI515" s="36" t="str">
        <f>IF(DadosViagem5[[#This Row],[Dias em manutenção ]]&lt;5,"Dentro do Prazo","Fora do Prazo")</f>
        <v>Fora do Prazo</v>
      </c>
      <c r="AJ515" s="36" t="e">
        <v>#REF!</v>
      </c>
    </row>
    <row r="516" spans="1:36">
      <c r="A516" s="19" t="s">
        <v>887</v>
      </c>
      <c r="B516" s="20"/>
      <c r="C516" s="19" t="s">
        <v>671</v>
      </c>
      <c r="D516" s="19" t="s">
        <v>132</v>
      </c>
      <c r="E516" s="19" t="s">
        <v>114</v>
      </c>
      <c r="F516" s="19" t="s">
        <v>115</v>
      </c>
      <c r="G516" s="19"/>
      <c r="H516" s="20">
        <v>2022</v>
      </c>
      <c r="I516" s="19" t="s">
        <v>41</v>
      </c>
      <c r="J516" s="19" t="s">
        <v>874</v>
      </c>
      <c r="K516" s="21" t="s">
        <v>875</v>
      </c>
      <c r="L516" s="22" t="s">
        <v>60</v>
      </c>
      <c r="M516" s="23" t="s">
        <v>61</v>
      </c>
      <c r="N516" s="25" t="s">
        <v>876</v>
      </c>
      <c r="O516" s="36" t="s">
        <v>710</v>
      </c>
      <c r="P516" s="26">
        <f ca="1">IFERROR(VLOOKUP(DadosViagem5[[#This Row],[Placa]],[1]BIP!A:E,5,FALSE),"")</f>
        <v>45989</v>
      </c>
      <c r="Q516" s="27">
        <f ca="1">DATEDIF(DadosViagem5[[#This Row],[BIP]],TODAY(),"D")</f>
        <v>1</v>
      </c>
      <c r="R516" s="28" t="str">
        <f>IFERROR(VLOOKUP(DadosViagem5[[#This Row],[Placa]],[1]DDS!B:C,2,FALSE),"Verificar cadastro")</f>
        <v>Manutenção</v>
      </c>
      <c r="S516" s="36" t="s">
        <v>35</v>
      </c>
      <c r="T516" s="23"/>
      <c r="U516" s="30"/>
      <c r="V516" s="31"/>
      <c r="W516" s="31" t="s">
        <v>888</v>
      </c>
      <c r="X516" s="33"/>
      <c r="Y516" s="34"/>
      <c r="Z516" s="42"/>
      <c r="AA516" s="20" t="s">
        <v>49</v>
      </c>
      <c r="AB516" s="20" t="s">
        <v>49</v>
      </c>
      <c r="AC516" s="19" t="s">
        <v>49</v>
      </c>
      <c r="AD516" s="19" t="str">
        <f ca="1">IFERROR(DATEDIF(DadosViagem5[[#This Row],[Utimo Bip Reserva]],TODAY(),"D"),"")</f>
        <v/>
      </c>
      <c r="AE516" s="36"/>
      <c r="AF516" s="25" t="s">
        <v>49</v>
      </c>
      <c r="AG516" s="36" t="s">
        <v>290</v>
      </c>
      <c r="AH516" s="25">
        <v>45807</v>
      </c>
      <c r="AI516" s="36" t="str">
        <f>IF(DadosViagem5[[#This Row],[Dias em manutenção ]]&lt;5,"Dentro do Prazo","Fora do Prazo")</f>
        <v>Fora do Prazo</v>
      </c>
      <c r="AJ516" s="36" t="e">
        <v>#REF!</v>
      </c>
    </row>
    <row r="517" spans="1:36">
      <c r="A517" s="19" t="s">
        <v>889</v>
      </c>
      <c r="B517" s="20"/>
      <c r="C517" s="19" t="s">
        <v>88</v>
      </c>
      <c r="D517" s="19" t="s">
        <v>52</v>
      </c>
      <c r="E517" s="19" t="s">
        <v>114</v>
      </c>
      <c r="F517" s="19" t="s">
        <v>115</v>
      </c>
      <c r="G517" s="19"/>
      <c r="H517" s="20">
        <v>2023</v>
      </c>
      <c r="I517" s="19" t="s">
        <v>41</v>
      </c>
      <c r="J517" s="19" t="s">
        <v>874</v>
      </c>
      <c r="K517" s="38" t="s">
        <v>875</v>
      </c>
      <c r="L517" s="22" t="s">
        <v>60</v>
      </c>
      <c r="M517" s="23" t="s">
        <v>61</v>
      </c>
      <c r="N517" s="25" t="s">
        <v>876</v>
      </c>
      <c r="O517" s="36" t="s">
        <v>710</v>
      </c>
      <c r="P517" s="26">
        <f ca="1">IFERROR(VLOOKUP(DadosViagem5[[#This Row],[Placa]],[1]BIP!A:E,5,FALSE),"")</f>
        <v>45922</v>
      </c>
      <c r="Q517" s="27">
        <f ca="1">DATEDIF(DadosViagem5[[#This Row],[BIP]],TODAY(),"D")</f>
        <v>68</v>
      </c>
      <c r="R517" s="28" t="str">
        <f>IFERROR(VLOOKUP(DadosViagem5[[#This Row],[Placa]],[1]DDS!B:C,2,FALSE),"Verificar cadastro")</f>
        <v>Manutenção</v>
      </c>
      <c r="S517" s="29" t="s">
        <v>173</v>
      </c>
      <c r="T517" s="23"/>
      <c r="U517" s="30"/>
      <c r="V517" s="31"/>
      <c r="W517" s="31" t="s">
        <v>890</v>
      </c>
      <c r="X517" s="33"/>
      <c r="Y517" s="34" t="s">
        <v>159</v>
      </c>
      <c r="Z517" s="42" t="s">
        <v>878</v>
      </c>
      <c r="AA517" s="20" t="s">
        <v>49</v>
      </c>
      <c r="AB517" s="20" t="s">
        <v>49</v>
      </c>
      <c r="AC517" s="19" t="s">
        <v>49</v>
      </c>
      <c r="AD517" s="19" t="str">
        <f ca="1">IFERROR(DATEDIF(DadosViagem5[[#This Row],[Utimo Bip Reserva]],TODAY(),"D"),"")</f>
        <v/>
      </c>
      <c r="AE517" s="36"/>
      <c r="AF517" s="25" t="s">
        <v>49</v>
      </c>
      <c r="AG517" s="36" t="s">
        <v>290</v>
      </c>
      <c r="AH517" s="25">
        <v>45807</v>
      </c>
      <c r="AI517" s="36" t="str">
        <f>IF(DadosViagem5[[#This Row],[Dias em manutenção ]]&lt;5,"Dentro do Prazo","Fora do Prazo")</f>
        <v>Fora do Prazo</v>
      </c>
      <c r="AJ517" s="36" t="e">
        <v>#REF!</v>
      </c>
    </row>
    <row r="518" spans="1:36">
      <c r="A518" s="19" t="s">
        <v>891</v>
      </c>
      <c r="B518" s="20">
        <v>565</v>
      </c>
      <c r="C518" s="19" t="s">
        <v>74</v>
      </c>
      <c r="D518" s="19" t="s">
        <v>52</v>
      </c>
      <c r="E518" s="19" t="s">
        <v>75</v>
      </c>
      <c r="F518" s="19" t="s">
        <v>76</v>
      </c>
      <c r="G518" s="19"/>
      <c r="H518" s="20">
        <v>2024</v>
      </c>
      <c r="I518" s="19" t="s">
        <v>41</v>
      </c>
      <c r="J518" s="19" t="s">
        <v>874</v>
      </c>
      <c r="K518" s="21" t="s">
        <v>875</v>
      </c>
      <c r="L518" s="22" t="s">
        <v>60</v>
      </c>
      <c r="M518" s="23" t="s">
        <v>77</v>
      </c>
      <c r="N518" s="25" t="s">
        <v>876</v>
      </c>
      <c r="O518" s="36" t="s">
        <v>710</v>
      </c>
      <c r="P518" s="26">
        <f ca="1">IFERROR(VLOOKUP(DadosViagem5[[#This Row],[Placa]],[1]BIP!A:E,5,FALSE),"")</f>
        <v>45984</v>
      </c>
      <c r="Q518" s="27">
        <f ca="1">DATEDIF(DadosViagem5[[#This Row],[BIP]],TODAY(),"D")</f>
        <v>6</v>
      </c>
      <c r="R518" s="28" t="str">
        <f>IFERROR(VLOOKUP(DadosViagem5[[#This Row],[Placa]],[1]DDS!B:C,2,FALSE),"Verificar cadastro")</f>
        <v>Manutenção</v>
      </c>
      <c r="S518" s="29" t="s">
        <v>48</v>
      </c>
      <c r="T518" s="23"/>
      <c r="U518" s="30"/>
      <c r="V518" s="31"/>
      <c r="W518" s="32"/>
      <c r="X518" s="33"/>
      <c r="Y518" s="34"/>
      <c r="Z518" s="32"/>
      <c r="AA518" s="20" t="s">
        <v>49</v>
      </c>
      <c r="AB518" s="20" t="s">
        <v>49</v>
      </c>
      <c r="AC518" s="19" t="s">
        <v>49</v>
      </c>
      <c r="AD518" s="19" t="str">
        <f ca="1">IFERROR(DATEDIF(DadosViagem5[[#This Row],[Utimo Bip Reserva]],TODAY(),"D"),"")</f>
        <v/>
      </c>
      <c r="AE518" s="36" t="s">
        <v>49</v>
      </c>
      <c r="AF518" s="25" t="s">
        <v>49</v>
      </c>
      <c r="AG518" s="36" t="s">
        <v>290</v>
      </c>
      <c r="AH518" s="25">
        <v>45807</v>
      </c>
      <c r="AI518" s="36" t="str">
        <f>IF(DadosViagem5[[#This Row],[Dias em manutenção ]]&lt;5,"Dentro do Prazo","Fora do Prazo")</f>
        <v>Fora do Prazo</v>
      </c>
      <c r="AJ518" s="36" t="e">
        <v>#REF!</v>
      </c>
    </row>
    <row r="519" spans="1:36">
      <c r="A519" s="19" t="s">
        <v>892</v>
      </c>
      <c r="B519" s="20"/>
      <c r="C519" s="19" t="s">
        <v>74</v>
      </c>
      <c r="D519" s="19" t="s">
        <v>52</v>
      </c>
      <c r="E519" s="19" t="s">
        <v>75</v>
      </c>
      <c r="F519" s="19" t="s">
        <v>76</v>
      </c>
      <c r="G519" s="19"/>
      <c r="H519" s="20">
        <v>2024</v>
      </c>
      <c r="I519" s="19" t="s">
        <v>41</v>
      </c>
      <c r="J519" s="19" t="s">
        <v>874</v>
      </c>
      <c r="K519" s="21" t="s">
        <v>875</v>
      </c>
      <c r="L519" s="22" t="s">
        <v>60</v>
      </c>
      <c r="M519" s="23" t="s">
        <v>77</v>
      </c>
      <c r="N519" s="25" t="s">
        <v>876</v>
      </c>
      <c r="O519" s="36" t="s">
        <v>710</v>
      </c>
      <c r="P519" s="26">
        <f ca="1">IFERROR(VLOOKUP(DadosViagem5[[#This Row],[Placa]],[1]BIP!A:E,5,FALSE),"")</f>
        <v>0</v>
      </c>
      <c r="Q519" s="27">
        <f ca="1">DATEDIF(DadosViagem5[[#This Row],[BIP]],TODAY(),"D")</f>
        <v>45990</v>
      </c>
      <c r="R519" s="28" t="str">
        <f>IFERROR(VLOOKUP(DadosViagem5[[#This Row],[Placa]],[1]DDS!B:C,2,FALSE),"Verificar cadastro")</f>
        <v>Manutenção</v>
      </c>
      <c r="S519" s="29" t="s">
        <v>48</v>
      </c>
      <c r="T519" s="23"/>
      <c r="U519" s="30"/>
      <c r="V519" s="31"/>
      <c r="W519" s="32"/>
      <c r="X519" s="33"/>
      <c r="Y519" s="34"/>
      <c r="Z519" s="32"/>
      <c r="AA519" s="20" t="s">
        <v>49</v>
      </c>
      <c r="AB519" s="20" t="s">
        <v>49</v>
      </c>
      <c r="AC519" s="19" t="s">
        <v>49</v>
      </c>
      <c r="AD519" s="19" t="str">
        <f ca="1">IFERROR(DATEDIF(DadosViagem5[[#This Row],[Utimo Bip Reserva]],TODAY(),"D"),"")</f>
        <v/>
      </c>
      <c r="AE519" s="36" t="s">
        <v>49</v>
      </c>
      <c r="AF519" s="25" t="s">
        <v>49</v>
      </c>
      <c r="AG519" s="36" t="s">
        <v>290</v>
      </c>
      <c r="AH519" s="25">
        <v>45807</v>
      </c>
      <c r="AI519" s="36" t="str">
        <f>IF(DadosViagem5[[#This Row],[Dias em manutenção ]]&lt;5,"Dentro do Prazo","Fora do Prazo")</f>
        <v>Fora do Prazo</v>
      </c>
      <c r="AJ519" s="36" t="e">
        <v>#REF!</v>
      </c>
    </row>
    <row r="520" spans="1:36">
      <c r="A520" s="19" t="s">
        <v>893</v>
      </c>
      <c r="B520" s="20"/>
      <c r="C520" s="19" t="s">
        <v>671</v>
      </c>
      <c r="D520" s="19" t="s">
        <v>132</v>
      </c>
      <c r="E520" s="19" t="s">
        <v>894</v>
      </c>
      <c r="F520" s="19" t="s">
        <v>115</v>
      </c>
      <c r="G520" s="19"/>
      <c r="H520" s="20">
        <v>2022</v>
      </c>
      <c r="I520" s="19" t="s">
        <v>456</v>
      </c>
      <c r="J520" s="19" t="s">
        <v>895</v>
      </c>
      <c r="K520" s="21" t="s">
        <v>896</v>
      </c>
      <c r="L520" s="22" t="s">
        <v>60</v>
      </c>
      <c r="M520" s="23" t="s">
        <v>268</v>
      </c>
      <c r="N520" s="36" t="s">
        <v>459</v>
      </c>
      <c r="O520" s="36" t="s">
        <v>460</v>
      </c>
      <c r="P520" s="26">
        <f ca="1">IFERROR(VLOOKUP(DadosViagem5[[#This Row],[Placa]],[1]BIP!A:E,5,FALSE),"")</f>
        <v>45748</v>
      </c>
      <c r="Q520" s="27">
        <f ca="1">DATEDIF(DadosViagem5[[#This Row],[BIP]],TODAY(),"D")</f>
        <v>242</v>
      </c>
      <c r="R520" s="28" t="str">
        <f>IFERROR(VLOOKUP(DadosViagem5[[#This Row],[Placa]],[1]DDS!B:C,2,FALSE),"Verificar cadastro")</f>
        <v>Verificar cadastro</v>
      </c>
      <c r="S520" s="36" t="s">
        <v>574</v>
      </c>
      <c r="T520" s="23"/>
      <c r="U520" s="30"/>
      <c r="V520" s="31"/>
      <c r="W520" s="32" t="s">
        <v>897</v>
      </c>
      <c r="X520" s="33"/>
      <c r="Y520" s="34"/>
      <c r="Z520" s="42"/>
      <c r="AA520" s="20" t="s">
        <v>49</v>
      </c>
      <c r="AB520" s="20"/>
      <c r="AC520" s="19" t="s">
        <v>49</v>
      </c>
      <c r="AD520" s="19" t="str">
        <f ca="1">IFERROR(DATEDIF(DadosViagem5[[#This Row],[Utimo Bip Reserva]],TODAY(),"D"),"")</f>
        <v/>
      </c>
      <c r="AE520" t="s">
        <v>898</v>
      </c>
      <c r="AF520" s="25" t="s">
        <v>49</v>
      </c>
      <c r="AG520" s="36"/>
      <c r="AH520" s="25">
        <v>59</v>
      </c>
      <c r="AI520" s="36" t="str">
        <f>IF(DadosViagem5[[#This Row],[Dias em manutenção ]]&lt;5,"Dentro do Prazo","Fora do Prazo")</f>
        <v>Fora do Prazo</v>
      </c>
      <c r="AJ520" s="36" t="e">
        <v>#REF!</v>
      </c>
    </row>
    <row r="521" spans="1:36">
      <c r="A521" s="19" t="s">
        <v>899</v>
      </c>
      <c r="B521" s="20"/>
      <c r="C521" s="19" t="s">
        <v>131</v>
      </c>
      <c r="D521" s="19" t="s">
        <v>132</v>
      </c>
      <c r="E521" s="19" t="s">
        <v>57</v>
      </c>
      <c r="F521" s="19" t="s">
        <v>40</v>
      </c>
      <c r="G521" s="19"/>
      <c r="H521" s="20">
        <v>2023</v>
      </c>
      <c r="I521" s="19" t="s">
        <v>456</v>
      </c>
      <c r="J521" s="19" t="s">
        <v>895</v>
      </c>
      <c r="K521" s="21" t="s">
        <v>896</v>
      </c>
      <c r="L521" s="39" t="s">
        <v>60</v>
      </c>
      <c r="M521" s="23" t="s">
        <v>268</v>
      </c>
      <c r="N521" s="36" t="s">
        <v>459</v>
      </c>
      <c r="O521" s="36" t="s">
        <v>460</v>
      </c>
      <c r="P521" s="26">
        <f ca="1">IFERROR(VLOOKUP(DadosViagem5[[#This Row],[Placa]],[1]BIP!A:E,5,FALSE),"")</f>
        <v>45989</v>
      </c>
      <c r="Q521" s="27">
        <f ca="1">DATEDIF(DadosViagem5[[#This Row],[BIP]],TODAY(),"D")</f>
        <v>1</v>
      </c>
      <c r="R521" s="28" t="str">
        <f>IFERROR(VLOOKUP(DadosViagem5[[#This Row],[Placa]],[1]DDS!B:C,2,FALSE),"Verificar cadastro")</f>
        <v>Operando</v>
      </c>
      <c r="S521" s="29" t="s">
        <v>48</v>
      </c>
      <c r="T521" s="23"/>
      <c r="U521" s="30"/>
      <c r="V521" s="31"/>
      <c r="W521" s="32"/>
      <c r="X521" s="33"/>
      <c r="Y521" s="34" t="s">
        <v>49</v>
      </c>
      <c r="Z521" s="32"/>
      <c r="AA521" s="20" t="s">
        <v>49</v>
      </c>
      <c r="AB521" s="20" t="s">
        <v>49</v>
      </c>
      <c r="AC521" s="19" t="s">
        <v>49</v>
      </c>
      <c r="AD521" s="19" t="str">
        <f ca="1">IFERROR(DATEDIF(DadosViagem5[[#This Row],[Utimo Bip Reserva]],TODAY(),"D"),"")</f>
        <v/>
      </c>
      <c r="AE521" s="36" t="s">
        <v>49</v>
      </c>
      <c r="AF521" s="25" t="s">
        <v>49</v>
      </c>
      <c r="AG521" s="36"/>
      <c r="AH521" s="25">
        <v>45807</v>
      </c>
      <c r="AI521" s="36" t="str">
        <f>IF(DadosViagem5[[#This Row],[Dias em manutenção ]]&lt;5,"Dentro do Prazo","Fora do Prazo")</f>
        <v>Fora do Prazo</v>
      </c>
      <c r="AJ521" s="36" t="e">
        <v>#REF!</v>
      </c>
    </row>
    <row r="522" spans="1:36">
      <c r="A522" s="19" t="s">
        <v>900</v>
      </c>
      <c r="B522" s="20"/>
      <c r="C522" s="19" t="s">
        <v>131</v>
      </c>
      <c r="D522" s="19" t="s">
        <v>132</v>
      </c>
      <c r="E522" s="19" t="s">
        <v>57</v>
      </c>
      <c r="F522" s="19" t="s">
        <v>40</v>
      </c>
      <c r="G522" s="19"/>
      <c r="H522" s="20">
        <v>2022</v>
      </c>
      <c r="I522" s="19" t="s">
        <v>456</v>
      </c>
      <c r="J522" s="19" t="s">
        <v>895</v>
      </c>
      <c r="K522" s="21" t="s">
        <v>896</v>
      </c>
      <c r="L522" s="22" t="s">
        <v>60</v>
      </c>
      <c r="M522" s="46" t="s">
        <v>268</v>
      </c>
      <c r="N522" s="36" t="s">
        <v>459</v>
      </c>
      <c r="O522" s="36" t="s">
        <v>460</v>
      </c>
      <c r="P522" s="26">
        <f ca="1">IFERROR(VLOOKUP(DadosViagem5[[#This Row],[Placa]],[1]BIP!A:E,5,FALSE),"")</f>
        <v>45989</v>
      </c>
      <c r="Q522" s="27">
        <f ca="1">DATEDIF(DadosViagem5[[#This Row],[BIP]],TODAY(),"D")</f>
        <v>1</v>
      </c>
      <c r="R522" s="28" t="str">
        <f>IFERROR(VLOOKUP(DadosViagem5[[#This Row],[Placa]],[1]DDS!B:C,2,FALSE),"Verificar cadastro")</f>
        <v>Operando</v>
      </c>
      <c r="S522" s="29" t="s">
        <v>48</v>
      </c>
      <c r="T522" s="23"/>
      <c r="U522" s="30"/>
      <c r="V522" s="31"/>
      <c r="W522" s="32"/>
      <c r="X522" s="33"/>
      <c r="Y522" s="34" t="s">
        <v>49</v>
      </c>
      <c r="Z522" s="32"/>
      <c r="AA522" s="20" t="s">
        <v>49</v>
      </c>
      <c r="AB522" s="20" t="s">
        <v>49</v>
      </c>
      <c r="AC522" s="19" t="s">
        <v>49</v>
      </c>
      <c r="AD522" s="19" t="str">
        <f ca="1">IFERROR(DATEDIF(DadosViagem5[[#This Row],[Utimo Bip Reserva]],TODAY(),"D"),"")</f>
        <v/>
      </c>
      <c r="AE522" s="36" t="s">
        <v>49</v>
      </c>
      <c r="AF522" s="25" t="s">
        <v>49</v>
      </c>
      <c r="AG522" s="36"/>
      <c r="AH522" s="25">
        <v>114</v>
      </c>
      <c r="AI522" s="36" t="str">
        <f>IF(DadosViagem5[[#This Row],[Dias em manutenção ]]&lt;5,"Dentro do Prazo","Fora do Prazo")</f>
        <v>Fora do Prazo</v>
      </c>
      <c r="AJ522" s="36" t="e">
        <v>#REF!</v>
      </c>
    </row>
    <row r="523" spans="1:36">
      <c r="A523" s="19" t="s">
        <v>901</v>
      </c>
      <c r="B523" s="20"/>
      <c r="C523" s="19" t="s">
        <v>562</v>
      </c>
      <c r="D523" s="19" t="s">
        <v>563</v>
      </c>
      <c r="E523" s="19" t="s">
        <v>114</v>
      </c>
      <c r="F523" s="19" t="s">
        <v>115</v>
      </c>
      <c r="G523" s="19"/>
      <c r="H523" s="20">
        <v>2022</v>
      </c>
      <c r="I523" s="19" t="s">
        <v>456</v>
      </c>
      <c r="J523" s="19" t="s">
        <v>895</v>
      </c>
      <c r="K523" s="21" t="s">
        <v>896</v>
      </c>
      <c r="L523" s="22" t="s">
        <v>60</v>
      </c>
      <c r="M523" s="23" t="s">
        <v>268</v>
      </c>
      <c r="N523" s="36" t="s">
        <v>459</v>
      </c>
      <c r="O523" s="36" t="s">
        <v>460</v>
      </c>
      <c r="P523" s="26">
        <f ca="1">IFERROR(VLOOKUP(DadosViagem5[[#This Row],[Placa]],[1]BIP!A:E,5,FALSE),"")</f>
        <v>45845</v>
      </c>
      <c r="Q523" s="27">
        <f ca="1">DATEDIF(DadosViagem5[[#This Row],[BIP]],TODAY(),"D")</f>
        <v>145</v>
      </c>
      <c r="R523" s="28" t="str">
        <f>IFERROR(VLOOKUP(DadosViagem5[[#This Row],[Placa]],[1]DDS!B:C,2,FALSE),"Verificar cadastro")</f>
        <v> </v>
      </c>
      <c r="S523" s="36" t="s">
        <v>902</v>
      </c>
      <c r="T523" s="23">
        <v>6711179</v>
      </c>
      <c r="U523" s="30">
        <v>45845</v>
      </c>
      <c r="V523" s="31">
        <v>45845</v>
      </c>
      <c r="W523" s="32" t="s">
        <v>903</v>
      </c>
      <c r="X523" s="33" t="s">
        <v>65</v>
      </c>
      <c r="Y523" s="34">
        <v>45924</v>
      </c>
      <c r="Z523" s="42" t="s">
        <v>904</v>
      </c>
      <c r="AA523" s="20" t="s">
        <v>905</v>
      </c>
      <c r="AB523" s="20" t="s">
        <v>49</v>
      </c>
      <c r="AC523" s="19" t="s">
        <v>49</v>
      </c>
      <c r="AD523" s="19" t="str">
        <f ca="1">IFERROR(DATEDIF(DadosViagem5[[#This Row],[Utimo Bip Reserva]],TODAY(),"D"),"")</f>
        <v/>
      </c>
      <c r="AE523" s="36" t="s">
        <v>906</v>
      </c>
      <c r="AF523" s="25">
        <v>45699</v>
      </c>
      <c r="AG523" s="30"/>
      <c r="AH523" s="25">
        <v>253</v>
      </c>
      <c r="AI523" s="36" t="str">
        <f>IF(DadosViagem5[[#This Row],[Dias em manutenção ]]&lt;5,"Dentro do Prazo","Fora do Prazo")</f>
        <v>Fora do Prazo</v>
      </c>
      <c r="AJ523" s="36" t="e">
        <v>#REF!</v>
      </c>
    </row>
    <row r="524" spans="1:36">
      <c r="A524" s="19" t="s">
        <v>907</v>
      </c>
      <c r="B524" s="20"/>
      <c r="C524" s="19" t="s">
        <v>562</v>
      </c>
      <c r="D524" s="19" t="s">
        <v>563</v>
      </c>
      <c r="E524" s="19" t="s">
        <v>114</v>
      </c>
      <c r="F524" s="19" t="s">
        <v>115</v>
      </c>
      <c r="G524" s="19"/>
      <c r="H524" s="20">
        <v>2023</v>
      </c>
      <c r="I524" s="19" t="s">
        <v>456</v>
      </c>
      <c r="J524" s="19" t="s">
        <v>895</v>
      </c>
      <c r="K524" s="38" t="s">
        <v>896</v>
      </c>
      <c r="L524" s="22" t="s">
        <v>60</v>
      </c>
      <c r="M524" s="23" t="s">
        <v>268</v>
      </c>
      <c r="N524" s="36" t="s">
        <v>459</v>
      </c>
      <c r="O524" s="36" t="s">
        <v>460</v>
      </c>
      <c r="P524" s="26">
        <f ca="1">IFERROR(VLOOKUP(DadosViagem5[[#This Row],[Placa]],[1]BIP!A:E,5,FALSE),"")</f>
        <v>45654</v>
      </c>
      <c r="Q524" s="27">
        <f ca="1">DATEDIF(DadosViagem5[[#This Row],[BIP]],TODAY(),"D")</f>
        <v>336</v>
      </c>
      <c r="R524" s="28" t="str">
        <f>IFERROR(VLOOKUP(DadosViagem5[[#This Row],[Placa]],[1]DDS!B:C,2,FALSE),"Verificar cadastro")</f>
        <v>Verificar cadastro</v>
      </c>
      <c r="S524" s="36" t="s">
        <v>35</v>
      </c>
      <c r="T524" s="23">
        <v>6700931</v>
      </c>
      <c r="U524" s="30">
        <v>45840</v>
      </c>
      <c r="V524" s="31">
        <v>45836</v>
      </c>
      <c r="W524" s="32" t="s">
        <v>903</v>
      </c>
      <c r="X524" s="33" t="s">
        <v>65</v>
      </c>
      <c r="Y524" s="34">
        <v>45930</v>
      </c>
      <c r="Z524" s="42" t="s">
        <v>908</v>
      </c>
      <c r="AA524" s="20" t="s">
        <v>909</v>
      </c>
      <c r="AB524" s="20" t="s">
        <v>49</v>
      </c>
      <c r="AC524" s="19" t="s">
        <v>49</v>
      </c>
      <c r="AD524" s="19" t="str">
        <f ca="1">IFERROR(DATEDIF(DadosViagem5[[#This Row],[Utimo Bip Reserva]],TODAY(),"D"),"")</f>
        <v/>
      </c>
      <c r="AE524" s="36" t="s">
        <v>910</v>
      </c>
      <c r="AF524" s="25">
        <v>45699</v>
      </c>
      <c r="AG524" s="36" t="s">
        <v>481</v>
      </c>
      <c r="AH524" s="25">
        <v>162</v>
      </c>
      <c r="AI524" s="36" t="str">
        <f>IF(DadosViagem5[[#This Row],[Dias em manutenção ]]&lt;5,"Dentro do Prazo","Fora do Prazo")</f>
        <v>Fora do Prazo</v>
      </c>
      <c r="AJ524" s="36" t="e">
        <v>#REF!</v>
      </c>
    </row>
    <row r="525" spans="1:36">
      <c r="A525" s="19" t="s">
        <v>911</v>
      </c>
      <c r="B525" s="20"/>
      <c r="C525" s="19" t="s">
        <v>74</v>
      </c>
      <c r="D525" s="19" t="s">
        <v>52</v>
      </c>
      <c r="E525" s="19" t="s">
        <v>75</v>
      </c>
      <c r="F525" s="19" t="s">
        <v>76</v>
      </c>
      <c r="G525" s="19"/>
      <c r="H525" s="20">
        <v>2024</v>
      </c>
      <c r="I525" s="19" t="s">
        <v>456</v>
      </c>
      <c r="J525" s="19" t="s">
        <v>895</v>
      </c>
      <c r="K525" s="101" t="s">
        <v>896</v>
      </c>
      <c r="L525" s="22" t="s">
        <v>60</v>
      </c>
      <c r="M525" s="23" t="s">
        <v>77</v>
      </c>
      <c r="N525" s="36" t="s">
        <v>459</v>
      </c>
      <c r="O525" s="36" t="s">
        <v>460</v>
      </c>
      <c r="P525" s="26">
        <f ca="1">IFERROR(VLOOKUP(DadosViagem5[[#This Row],[Placa]],[1]BIP!A:E,5,FALSE),"")</f>
        <v>45913</v>
      </c>
      <c r="Q525" s="27">
        <f ca="1">DATEDIF(DadosViagem5[[#This Row],[BIP]],TODAY(),"D")</f>
        <v>77</v>
      </c>
      <c r="R525" s="28" t="str">
        <f>IFERROR(VLOOKUP(DadosViagem5[[#This Row],[Placa]],[1]DDS!B:C,2,FALSE),"Verificar cadastro")</f>
        <v> </v>
      </c>
      <c r="S525" s="36" t="s">
        <v>186</v>
      </c>
      <c r="T525" s="23"/>
      <c r="U525" s="30"/>
      <c r="V525" s="31"/>
      <c r="W525" s="32" t="s">
        <v>827</v>
      </c>
      <c r="X525" s="57"/>
      <c r="Y525" s="34"/>
      <c r="Z525" s="11"/>
      <c r="AA525" s="20" t="s">
        <v>49</v>
      </c>
      <c r="AB525" s="20" t="s">
        <v>49</v>
      </c>
      <c r="AC525" s="19" t="s">
        <v>49</v>
      </c>
      <c r="AD525" s="19" t="str">
        <f ca="1">IFERROR(DATEDIF(DadosViagem5[[#This Row],[Utimo Bip Reserva]],TODAY(),"D"),"")</f>
        <v/>
      </c>
      <c r="AE525" s="29"/>
      <c r="AF525" s="35"/>
      <c r="AG525" s="36"/>
      <c r="AH525" s="25">
        <v>45807</v>
      </c>
      <c r="AI525" s="36" t="str">
        <f>IF(DadosViagem5[[#This Row],[Dias em manutenção ]]&lt;5,"Dentro do Prazo","Fora do Prazo")</f>
        <v>Fora do Prazo</v>
      </c>
      <c r="AJ525" s="36" t="e">
        <v>#REF!</v>
      </c>
    </row>
    <row r="526" spans="1:36">
      <c r="A526" s="19" t="s">
        <v>912</v>
      </c>
      <c r="B526" s="20"/>
      <c r="C526" s="19" t="s">
        <v>562</v>
      </c>
      <c r="D526" s="19" t="s">
        <v>563</v>
      </c>
      <c r="E526" s="19" t="s">
        <v>114</v>
      </c>
      <c r="F526" s="19" t="s">
        <v>115</v>
      </c>
      <c r="G526" s="19"/>
      <c r="H526" s="20">
        <v>2022</v>
      </c>
      <c r="I526" s="19" t="s">
        <v>456</v>
      </c>
      <c r="J526" s="19" t="s">
        <v>895</v>
      </c>
      <c r="K526" s="38" t="s">
        <v>896</v>
      </c>
      <c r="L526" s="22" t="s">
        <v>60</v>
      </c>
      <c r="M526" s="46" t="s">
        <v>268</v>
      </c>
      <c r="N526" s="36" t="s">
        <v>459</v>
      </c>
      <c r="O526" s="36" t="s">
        <v>460</v>
      </c>
      <c r="P526" s="26">
        <f ca="1">IFERROR(VLOOKUP(DadosViagem5[[#This Row],[Placa]],[1]BIP!A:E,5,FALSE),"")</f>
        <v>45878</v>
      </c>
      <c r="Q526" s="27">
        <f ca="1">DATEDIF(DadosViagem5[[#This Row],[BIP]],TODAY(),"D")</f>
        <v>112</v>
      </c>
      <c r="R526" s="28" t="str">
        <f>IFERROR(VLOOKUP(DadosViagem5[[#This Row],[Placa]],[1]DDS!B:C,2,FALSE),"Verificar cadastro")</f>
        <v> </v>
      </c>
      <c r="S526" s="36" t="s">
        <v>902</v>
      </c>
      <c r="T526" s="23">
        <v>6767529</v>
      </c>
      <c r="U526" s="30">
        <v>45890</v>
      </c>
      <c r="V526" s="31">
        <v>45890</v>
      </c>
      <c r="W526" s="32" t="s">
        <v>913</v>
      </c>
      <c r="X526" s="33" t="s">
        <v>65</v>
      </c>
      <c r="Y526" s="34">
        <v>45932</v>
      </c>
      <c r="Z526" s="42" t="s">
        <v>908</v>
      </c>
      <c r="AA526" s="20" t="s">
        <v>914</v>
      </c>
      <c r="AB526" s="20" t="s">
        <v>49</v>
      </c>
      <c r="AC526" s="19" t="s">
        <v>49</v>
      </c>
      <c r="AD526" s="19" t="str">
        <f ca="1">IFERROR(DATEDIF(DadosViagem5[[#This Row],[Utimo Bip Reserva]],TODAY(),"D"),"")</f>
        <v/>
      </c>
      <c r="AE526" s="36" t="s">
        <v>49</v>
      </c>
      <c r="AF526" s="25" t="s">
        <v>49</v>
      </c>
      <c r="AG526" s="36"/>
      <c r="AH526" s="25">
        <v>45807</v>
      </c>
      <c r="AI526" s="36" t="str">
        <f>IF(DadosViagem5[[#This Row],[Dias em manutenção ]]&lt;5,"Dentro do Prazo","Fora do Prazo")</f>
        <v>Fora do Prazo</v>
      </c>
      <c r="AJ526" s="36" t="e">
        <v>#REF!</v>
      </c>
    </row>
    <row r="527" spans="1:36">
      <c r="A527" s="19" t="s">
        <v>915</v>
      </c>
      <c r="B527" s="20"/>
      <c r="C527" s="19" t="s">
        <v>562</v>
      </c>
      <c r="D527" s="19" t="s">
        <v>563</v>
      </c>
      <c r="E527" s="19" t="s">
        <v>114</v>
      </c>
      <c r="F527" s="19" t="s">
        <v>115</v>
      </c>
      <c r="G527" s="19"/>
      <c r="H527" s="20">
        <v>2022</v>
      </c>
      <c r="I527" s="19" t="s">
        <v>456</v>
      </c>
      <c r="J527" s="19" t="s">
        <v>895</v>
      </c>
      <c r="K527" s="21" t="s">
        <v>896</v>
      </c>
      <c r="L527" s="22" t="s">
        <v>60</v>
      </c>
      <c r="M527" s="23" t="s">
        <v>268</v>
      </c>
      <c r="N527" s="36" t="s">
        <v>459</v>
      </c>
      <c r="O527" s="36" t="s">
        <v>460</v>
      </c>
      <c r="P527" s="26">
        <f ca="1">IFERROR(VLOOKUP(DadosViagem5[[#This Row],[Placa]],[1]BIP!A:E,5,FALSE),"")</f>
        <v>45974</v>
      </c>
      <c r="Q527" s="27">
        <f ca="1">DATEDIF(DadosViagem5[[#This Row],[BIP]],TODAY(),"D")</f>
        <v>16</v>
      </c>
      <c r="R527" s="28" t="str">
        <f>IFERROR(VLOOKUP(DadosViagem5[[#This Row],[Placa]],[1]DDS!B:C,2,FALSE),"Verificar cadastro")</f>
        <v> </v>
      </c>
      <c r="S527" s="29" t="s">
        <v>48</v>
      </c>
      <c r="T527" s="23"/>
      <c r="U527" s="30"/>
      <c r="V527" s="31"/>
      <c r="W527" s="32"/>
      <c r="X527" s="33"/>
      <c r="Y527" s="34"/>
      <c r="Z527" s="32"/>
      <c r="AA527" s="20" t="s">
        <v>49</v>
      </c>
      <c r="AB527" s="20" t="s">
        <v>49</v>
      </c>
      <c r="AC527" s="19" t="s">
        <v>49</v>
      </c>
      <c r="AD527" s="19" t="str">
        <f ca="1">IFERROR(DATEDIF(DadosViagem5[[#This Row],[Utimo Bip Reserva]],TODAY(),"D"),"")</f>
        <v/>
      </c>
      <c r="AE527" s="36" t="s">
        <v>49</v>
      </c>
      <c r="AF527" s="25" t="s">
        <v>49</v>
      </c>
      <c r="AG527" s="36"/>
      <c r="AH527" s="25">
        <v>45807</v>
      </c>
      <c r="AI527" s="36" t="str">
        <f>IF(DadosViagem5[[#This Row],[Dias em manutenção ]]&lt;5,"Dentro do Prazo","Fora do Prazo")</f>
        <v>Fora do Prazo</v>
      </c>
      <c r="AJ527" s="36" t="e">
        <v>#REF!</v>
      </c>
    </row>
    <row r="528" spans="1:36">
      <c r="A528" s="19" t="s">
        <v>916</v>
      </c>
      <c r="B528" s="20"/>
      <c r="C528" s="19" t="s">
        <v>131</v>
      </c>
      <c r="D528" s="19" t="s">
        <v>132</v>
      </c>
      <c r="E528" s="19" t="s">
        <v>57</v>
      </c>
      <c r="F528" s="19" t="s">
        <v>40</v>
      </c>
      <c r="G528" s="19"/>
      <c r="H528" s="20">
        <v>2023</v>
      </c>
      <c r="I528" s="19" t="s">
        <v>456</v>
      </c>
      <c r="J528" s="19" t="s">
        <v>895</v>
      </c>
      <c r="K528" s="21" t="s">
        <v>896</v>
      </c>
      <c r="L528" s="22" t="s">
        <v>60</v>
      </c>
      <c r="M528" s="23" t="s">
        <v>268</v>
      </c>
      <c r="N528" s="36" t="s">
        <v>459</v>
      </c>
      <c r="O528" s="36" t="s">
        <v>460</v>
      </c>
      <c r="P528" s="26">
        <f ca="1">IFERROR(VLOOKUP(DadosViagem5[[#This Row],[Placa]],[1]BIP!A:E,5,FALSE),"")</f>
        <v>45989</v>
      </c>
      <c r="Q528" s="27">
        <f ca="1">DATEDIF(DadosViagem5[[#This Row],[BIP]],TODAY(),"D")</f>
        <v>1</v>
      </c>
      <c r="R528" s="28" t="str">
        <f>IFERROR(VLOOKUP(DadosViagem5[[#This Row],[Placa]],[1]DDS!B:C,2,FALSE),"Verificar cadastro")</f>
        <v>Operando</v>
      </c>
      <c r="S528" s="29" t="s">
        <v>48</v>
      </c>
      <c r="T528" s="23"/>
      <c r="U528" s="30"/>
      <c r="V528" s="31"/>
      <c r="W528" s="32"/>
      <c r="X528" s="33"/>
      <c r="Y528" s="34"/>
      <c r="Z528" s="102"/>
      <c r="AA528" s="20" t="s">
        <v>49</v>
      </c>
      <c r="AB528" s="20" t="s">
        <v>49</v>
      </c>
      <c r="AC528" s="19" t="s">
        <v>49</v>
      </c>
      <c r="AD528" s="19" t="str">
        <f ca="1">IFERROR(DATEDIF(DadosViagem5[[#This Row],[Utimo Bip Reserva]],TODAY(),"D"),"")</f>
        <v/>
      </c>
      <c r="AE528" s="36" t="s">
        <v>49</v>
      </c>
      <c r="AF528" s="25" t="s">
        <v>49</v>
      </c>
      <c r="AG528" s="36"/>
      <c r="AH528" s="25">
        <v>45807</v>
      </c>
      <c r="AI528" s="36" t="str">
        <f>IF(DadosViagem5[[#This Row],[Dias em manutenção ]]&lt;5,"Dentro do Prazo","Fora do Prazo")</f>
        <v>Fora do Prazo</v>
      </c>
      <c r="AJ528" s="36" t="e">
        <v>#REF!</v>
      </c>
    </row>
    <row r="529" spans="1:36">
      <c r="A529" s="19" t="s">
        <v>917</v>
      </c>
      <c r="B529" s="20"/>
      <c r="C529" s="19" t="s">
        <v>562</v>
      </c>
      <c r="D529" s="19" t="s">
        <v>563</v>
      </c>
      <c r="E529" s="19" t="s">
        <v>114</v>
      </c>
      <c r="F529" s="19" t="s">
        <v>115</v>
      </c>
      <c r="G529" s="19"/>
      <c r="H529" s="20">
        <v>2022</v>
      </c>
      <c r="I529" s="19" t="s">
        <v>456</v>
      </c>
      <c r="J529" s="19" t="s">
        <v>895</v>
      </c>
      <c r="K529" s="21" t="s">
        <v>896</v>
      </c>
      <c r="L529" s="22" t="s">
        <v>60</v>
      </c>
      <c r="M529" s="23" t="s">
        <v>268</v>
      </c>
      <c r="N529" s="36" t="s">
        <v>459</v>
      </c>
      <c r="O529" s="36" t="s">
        <v>460</v>
      </c>
      <c r="P529" s="26">
        <f ca="1">IFERROR(VLOOKUP(DadosViagem5[[#This Row],[Placa]],[1]BIP!A:E,5,FALSE),"")</f>
        <v>45989</v>
      </c>
      <c r="Q529" s="27">
        <f ca="1">DATEDIF(DadosViagem5[[#This Row],[BIP]],TODAY(),"D")</f>
        <v>1</v>
      </c>
      <c r="R529" s="28" t="str">
        <f>IFERROR(VLOOKUP(DadosViagem5[[#This Row],[Placa]],[1]DDS!B:C,2,FALSE),"Verificar cadastro")</f>
        <v>Operando</v>
      </c>
      <c r="S529" s="29" t="s">
        <v>48</v>
      </c>
      <c r="T529" s="23"/>
      <c r="U529" s="30"/>
      <c r="V529" s="31"/>
      <c r="W529" s="32" t="s">
        <v>796</v>
      </c>
      <c r="X529" s="33"/>
      <c r="Y529" s="34"/>
      <c r="Z529" s="42"/>
      <c r="AA529" s="20" t="s">
        <v>49</v>
      </c>
      <c r="AB529" s="20" t="s">
        <v>49</v>
      </c>
      <c r="AC529" s="19" t="s">
        <v>49</v>
      </c>
      <c r="AD529" s="19" t="str">
        <f ca="1">IFERROR(DATEDIF(DadosViagem5[[#This Row],[Utimo Bip Reserva]],TODAY(),"D"),"")</f>
        <v/>
      </c>
      <c r="AE529" s="36" t="s">
        <v>910</v>
      </c>
      <c r="AF529" s="25" t="s">
        <v>49</v>
      </c>
      <c r="AG529" s="36"/>
      <c r="AH529" s="25">
        <v>56</v>
      </c>
      <c r="AI529" s="36" t="str">
        <f>IF(DadosViagem5[[#This Row],[Dias em manutenção ]]&lt;5,"Dentro do Prazo","Fora do Prazo")</f>
        <v>Fora do Prazo</v>
      </c>
      <c r="AJ529" s="36" t="e">
        <v>#REF!</v>
      </c>
    </row>
    <row r="530" spans="1:36">
      <c r="A530" s="19" t="s">
        <v>918</v>
      </c>
      <c r="B530" s="20"/>
      <c r="C530" s="19" t="s">
        <v>88</v>
      </c>
      <c r="D530" s="19" t="s">
        <v>52</v>
      </c>
      <c r="E530" s="19" t="s">
        <v>114</v>
      </c>
      <c r="F530" s="19" t="s">
        <v>115</v>
      </c>
      <c r="G530" s="19"/>
      <c r="H530" s="20">
        <v>2022</v>
      </c>
      <c r="I530" s="19" t="s">
        <v>456</v>
      </c>
      <c r="J530" s="19" t="s">
        <v>895</v>
      </c>
      <c r="K530" s="21" t="s">
        <v>896</v>
      </c>
      <c r="L530" s="22" t="s">
        <v>60</v>
      </c>
      <c r="M530" s="23" t="s">
        <v>268</v>
      </c>
      <c r="N530" s="36" t="s">
        <v>459</v>
      </c>
      <c r="O530" s="36" t="s">
        <v>460</v>
      </c>
      <c r="P530" s="26">
        <f ca="1">IFERROR(VLOOKUP(DadosViagem5[[#This Row],[Placa]],[1]BIP!A:E,5,FALSE),"")</f>
        <v>45842</v>
      </c>
      <c r="Q530" s="27">
        <f ca="1">DATEDIF(DadosViagem5[[#This Row],[BIP]],TODAY(),"D")</f>
        <v>148</v>
      </c>
      <c r="R530" s="28" t="str">
        <f>IFERROR(VLOOKUP(DadosViagem5[[#This Row],[Placa]],[1]DDS!B:C,2,FALSE),"Verificar cadastro")</f>
        <v>Verificar cadastro</v>
      </c>
      <c r="S530" s="36" t="s">
        <v>574</v>
      </c>
      <c r="T530" s="23"/>
      <c r="U530" s="30"/>
      <c r="V530" s="31"/>
      <c r="W530" s="32" t="s">
        <v>919</v>
      </c>
      <c r="X530" s="33"/>
      <c r="Y530" s="34"/>
      <c r="Z530" s="32"/>
      <c r="AA530" s="20" t="s">
        <v>49</v>
      </c>
      <c r="AB530" s="20" t="s">
        <v>49</v>
      </c>
      <c r="AC530" s="19" t="s">
        <v>49</v>
      </c>
      <c r="AD530" s="19" t="str">
        <f ca="1">IFERROR(DATEDIF(DadosViagem5[[#This Row],[Utimo Bip Reserva]],TODAY(),"D"),"")</f>
        <v/>
      </c>
      <c r="AE530" s="36" t="s">
        <v>49</v>
      </c>
      <c r="AF530" s="25" t="s">
        <v>49</v>
      </c>
      <c r="AG530" s="36" t="s">
        <v>540</v>
      </c>
      <c r="AH530" s="25">
        <v>45807</v>
      </c>
      <c r="AI530" s="36" t="str">
        <f>IF(DadosViagem5[[#This Row],[Dias em manutenção ]]&lt;5,"Dentro do Prazo","Fora do Prazo")</f>
        <v>Fora do Prazo</v>
      </c>
      <c r="AJ530" s="36" t="e">
        <v>#REF!</v>
      </c>
    </row>
    <row r="531" spans="1:36">
      <c r="A531" s="19" t="s">
        <v>920</v>
      </c>
      <c r="B531" s="20"/>
      <c r="C531" s="19" t="s">
        <v>88</v>
      </c>
      <c r="D531" s="19" t="s">
        <v>52</v>
      </c>
      <c r="E531" s="19" t="s">
        <v>114</v>
      </c>
      <c r="F531" s="19" t="s">
        <v>115</v>
      </c>
      <c r="G531" s="19"/>
      <c r="H531" s="20">
        <v>2021</v>
      </c>
      <c r="I531" s="19" t="s">
        <v>456</v>
      </c>
      <c r="J531" s="19" t="s">
        <v>895</v>
      </c>
      <c r="K531" s="21" t="s">
        <v>896</v>
      </c>
      <c r="L531" s="22" t="s">
        <v>60</v>
      </c>
      <c r="M531" s="23" t="s">
        <v>268</v>
      </c>
      <c r="N531" s="36" t="s">
        <v>459</v>
      </c>
      <c r="O531" s="36" t="s">
        <v>460</v>
      </c>
      <c r="P531" s="26">
        <f ca="1">IFERROR(VLOOKUP(DadosViagem5[[#This Row],[Placa]],[1]BIP!A:E,5,FALSE),"")</f>
        <v>45846</v>
      </c>
      <c r="Q531" s="27">
        <f ca="1">DATEDIF(DadosViagem5[[#This Row],[BIP]],TODAY(),"D")</f>
        <v>144</v>
      </c>
      <c r="R531" s="28" t="str">
        <f>IFERROR(VLOOKUP(DadosViagem5[[#This Row],[Placa]],[1]DDS!B:C,2,FALSE),"Verificar cadastro")</f>
        <v>Verificar cadastro</v>
      </c>
      <c r="S531" s="36" t="s">
        <v>574</v>
      </c>
      <c r="T531" s="23"/>
      <c r="U531" s="30"/>
      <c r="V531" s="31"/>
      <c r="W531" s="32" t="s">
        <v>921</v>
      </c>
      <c r="X531" s="33"/>
      <c r="Y531" s="34"/>
      <c r="Z531" s="32"/>
      <c r="AA531" s="20" t="s">
        <v>49</v>
      </c>
      <c r="AB531" s="20" t="s">
        <v>49</v>
      </c>
      <c r="AC531" s="20" t="s">
        <v>49</v>
      </c>
      <c r="AD531" s="20" t="s">
        <v>49</v>
      </c>
      <c r="AE531" s="36" t="s">
        <v>49</v>
      </c>
      <c r="AF531" s="25" t="s">
        <v>49</v>
      </c>
      <c r="AG531" s="36" t="s">
        <v>540</v>
      </c>
      <c r="AH531" s="25">
        <v>45807</v>
      </c>
      <c r="AI531" s="36" t="str">
        <f>IF(DadosViagem5[[#This Row],[Dias em manutenção ]]&lt;5,"Dentro do Prazo","Fora do Prazo")</f>
        <v>Fora do Prazo</v>
      </c>
      <c r="AJ531" s="36" t="e">
        <v>#REF!</v>
      </c>
    </row>
    <row r="532" spans="1:36">
      <c r="A532" s="19" t="s">
        <v>922</v>
      </c>
      <c r="B532" s="20"/>
      <c r="C532" s="19" t="s">
        <v>131</v>
      </c>
      <c r="D532" s="19" t="s">
        <v>132</v>
      </c>
      <c r="E532" s="19" t="s">
        <v>114</v>
      </c>
      <c r="F532" s="19" t="s">
        <v>115</v>
      </c>
      <c r="G532" s="19"/>
      <c r="H532" s="20">
        <v>2023</v>
      </c>
      <c r="I532" s="19" t="s">
        <v>456</v>
      </c>
      <c r="J532" s="19" t="s">
        <v>895</v>
      </c>
      <c r="K532" s="21" t="s">
        <v>896</v>
      </c>
      <c r="L532" s="22" t="s">
        <v>60</v>
      </c>
      <c r="M532" s="23" t="s">
        <v>268</v>
      </c>
      <c r="N532" s="36" t="s">
        <v>459</v>
      </c>
      <c r="O532" s="36" t="s">
        <v>460</v>
      </c>
      <c r="P532" s="26">
        <f ca="1">IFERROR(VLOOKUP(DadosViagem5[[#This Row],[Placa]],[1]BIP!A:E,5,FALSE),"")</f>
        <v>45918</v>
      </c>
      <c r="Q532" s="27">
        <f ca="1">DATEDIF(DadosViagem5[[#This Row],[BIP]],TODAY(),"D")</f>
        <v>72</v>
      </c>
      <c r="R532" s="28" t="str">
        <f>IFERROR(VLOOKUP(DadosViagem5[[#This Row],[Placa]],[1]DDS!B:C,2,FALSE),"Verificar cadastro")</f>
        <v> </v>
      </c>
      <c r="S532" s="36" t="s">
        <v>35</v>
      </c>
      <c r="T532" s="23"/>
      <c r="U532" s="30"/>
      <c r="V532" s="31"/>
      <c r="W532" s="32"/>
      <c r="X532" s="33"/>
      <c r="Y532" s="34"/>
      <c r="Z532" s="93"/>
      <c r="AA532" s="20" t="s">
        <v>49</v>
      </c>
      <c r="AB532" s="20" t="s">
        <v>49</v>
      </c>
      <c r="AC532" s="19" t="s">
        <v>49</v>
      </c>
      <c r="AD532" s="19" t="str">
        <f ca="1">IFERROR(DATEDIF(DadosViagem5[[#This Row],[Utimo Bip Reserva]],TODAY(),"D"),"")</f>
        <v/>
      </c>
      <c r="AE532" s="36" t="s">
        <v>49</v>
      </c>
      <c r="AF532" s="25" t="s">
        <v>49</v>
      </c>
      <c r="AG532" s="30" t="s">
        <v>153</v>
      </c>
      <c r="AH532" s="25">
        <v>24</v>
      </c>
      <c r="AI532" s="36" t="str">
        <f>IF(DadosViagem5[[#This Row],[Dias em manutenção ]]&lt;5,"Dentro do Prazo","Fora do Prazo")</f>
        <v>Fora do Prazo</v>
      </c>
      <c r="AJ532" s="36" t="e">
        <v>#REF!</v>
      </c>
    </row>
    <row r="533" spans="1:36">
      <c r="A533" s="19" t="s">
        <v>923</v>
      </c>
      <c r="B533" s="20"/>
      <c r="C533" s="19" t="s">
        <v>671</v>
      </c>
      <c r="D533" s="19" t="s">
        <v>132</v>
      </c>
      <c r="E533" s="19" t="s">
        <v>894</v>
      </c>
      <c r="F533" s="19" t="s">
        <v>115</v>
      </c>
      <c r="G533" s="19"/>
      <c r="H533" s="20">
        <v>2023</v>
      </c>
      <c r="I533" s="19" t="s">
        <v>456</v>
      </c>
      <c r="J533" s="37" t="s">
        <v>895</v>
      </c>
      <c r="K533" s="38" t="s">
        <v>896</v>
      </c>
      <c r="L533" s="22" t="s">
        <v>60</v>
      </c>
      <c r="M533" s="23" t="s">
        <v>268</v>
      </c>
      <c r="N533" s="24" t="s">
        <v>459</v>
      </c>
      <c r="O533" s="24" t="s">
        <v>460</v>
      </c>
      <c r="P533" s="26">
        <f ca="1">IFERROR(VLOOKUP(DadosViagem5[[#This Row],[Placa]],[1]BIP!A:E,5,FALSE),"")</f>
        <v>45910</v>
      </c>
      <c r="Q533" s="27">
        <f ca="1">DATEDIF(DadosViagem5[[#This Row],[BIP]],TODAY(),"D")</f>
        <v>80</v>
      </c>
      <c r="R533" s="28" t="str">
        <f>IFERROR(VLOOKUP(DadosViagem5[[#This Row],[Placa]],[1]DDS!B:C,2,FALSE),"Verificar cadastro")</f>
        <v> </v>
      </c>
      <c r="S533" s="36" t="s">
        <v>574</v>
      </c>
      <c r="T533" s="23"/>
      <c r="U533" s="30"/>
      <c r="V533" s="31"/>
      <c r="W533" s="32" t="s">
        <v>924</v>
      </c>
      <c r="X533" s="33"/>
      <c r="Y533" s="34"/>
      <c r="Z533" s="93"/>
      <c r="AA533" s="20" t="s">
        <v>49</v>
      </c>
      <c r="AB533" s="20" t="s">
        <v>49</v>
      </c>
      <c r="AC533" s="19" t="s">
        <v>49</v>
      </c>
      <c r="AD533" s="19" t="str">
        <f ca="1">IFERROR(DATEDIF(DadosViagem5[[#This Row],[Utimo Bip Reserva]],TODAY(),"D"),"")</f>
        <v/>
      </c>
      <c r="AE533" s="25" t="s">
        <v>49</v>
      </c>
      <c r="AF533" s="25" t="s">
        <v>49</v>
      </c>
      <c r="AG533" s="36"/>
      <c r="AH533" s="25">
        <v>9</v>
      </c>
      <c r="AI533" s="36" t="str">
        <f>IF(DadosViagem5[[#This Row],[Dias em manutenção ]]&lt;5,"Dentro do Prazo","Fora do Prazo")</f>
        <v>Fora do Prazo</v>
      </c>
      <c r="AJ533" s="36" t="e">
        <v>#REF!</v>
      </c>
    </row>
    <row r="534" spans="1:36">
      <c r="A534" s="19" t="s">
        <v>925</v>
      </c>
      <c r="B534" s="20">
        <v>599</v>
      </c>
      <c r="C534" s="19" t="s">
        <v>74</v>
      </c>
      <c r="D534" s="19" t="s">
        <v>52</v>
      </c>
      <c r="E534" s="19" t="s">
        <v>926</v>
      </c>
      <c r="F534" s="19" t="s">
        <v>76</v>
      </c>
      <c r="G534" s="19"/>
      <c r="H534" s="20">
        <v>2024</v>
      </c>
      <c r="I534" s="19" t="s">
        <v>456</v>
      </c>
      <c r="J534" s="19" t="s">
        <v>895</v>
      </c>
      <c r="K534" s="101" t="s">
        <v>896</v>
      </c>
      <c r="L534" s="22" t="s">
        <v>60</v>
      </c>
      <c r="M534" s="23" t="s">
        <v>77</v>
      </c>
      <c r="N534" s="36" t="s">
        <v>459</v>
      </c>
      <c r="O534" s="36" t="s">
        <v>460</v>
      </c>
      <c r="P534" s="26">
        <f ca="1">IFERROR(VLOOKUP(DadosViagem5[[#This Row],[Placa]],[1]BIP!A:E,5,FALSE),"")</f>
        <v>45989</v>
      </c>
      <c r="Q534" s="27">
        <f ca="1">DATEDIF(DadosViagem5[[#This Row],[BIP]],TODAY(),"D")</f>
        <v>1</v>
      </c>
      <c r="R534" s="28" t="str">
        <f>IFERROR(VLOOKUP(DadosViagem5[[#This Row],[Placa]],[1]DDS!B:C,2,FALSE),"Verificar cadastro")</f>
        <v>Operando</v>
      </c>
      <c r="S534" s="29" t="s">
        <v>48</v>
      </c>
      <c r="T534" s="23"/>
      <c r="U534" s="30"/>
      <c r="V534" s="31"/>
      <c r="W534" s="32"/>
      <c r="X534" s="33"/>
      <c r="Y534" s="34"/>
      <c r="Z534" s="32"/>
      <c r="AA534" s="20" t="s">
        <v>49</v>
      </c>
      <c r="AB534" s="20" t="s">
        <v>49</v>
      </c>
      <c r="AC534" s="19" t="s">
        <v>49</v>
      </c>
      <c r="AD534" s="19" t="str">
        <f ca="1">IFERROR(DATEDIF(DadosViagem5[[#This Row],[Utimo Bip Reserva]],TODAY(),"D"),"")</f>
        <v/>
      </c>
      <c r="AE534" s="25" t="s">
        <v>49</v>
      </c>
      <c r="AF534" s="25" t="s">
        <v>49</v>
      </c>
      <c r="AG534" s="36"/>
      <c r="AH534" s="25">
        <v>28</v>
      </c>
      <c r="AI534" s="36" t="str">
        <f>IF(DadosViagem5[[#This Row],[Dias em manutenção ]]&lt;5,"Dentro do Prazo","Fora do Prazo")</f>
        <v>Fora do Prazo</v>
      </c>
      <c r="AJ534" s="36" t="e">
        <v>#REF!</v>
      </c>
    </row>
    <row r="535" spans="1:36">
      <c r="A535" s="19" t="s">
        <v>927</v>
      </c>
      <c r="B535" s="20"/>
      <c r="C535" s="19" t="s">
        <v>131</v>
      </c>
      <c r="D535" s="19" t="s">
        <v>132</v>
      </c>
      <c r="E535" s="19" t="s">
        <v>114</v>
      </c>
      <c r="F535" s="19" t="s">
        <v>115</v>
      </c>
      <c r="G535" s="19"/>
      <c r="H535" s="20">
        <v>2023</v>
      </c>
      <c r="I535" s="19" t="s">
        <v>456</v>
      </c>
      <c r="J535" s="19" t="s">
        <v>895</v>
      </c>
      <c r="K535" s="21" t="s">
        <v>896</v>
      </c>
      <c r="L535" s="22" t="s">
        <v>60</v>
      </c>
      <c r="M535" s="23" t="s">
        <v>268</v>
      </c>
      <c r="N535" s="36" t="s">
        <v>459</v>
      </c>
      <c r="O535" s="36" t="s">
        <v>460</v>
      </c>
      <c r="P535" s="26">
        <f ca="1">IFERROR(VLOOKUP(DadosViagem5[[#This Row],[Placa]],[1]BIP!A:E,5,FALSE),"")</f>
        <v>45935</v>
      </c>
      <c r="Q535" s="27">
        <f ca="1">DATEDIF(DadosViagem5[[#This Row],[BIP]],TODAY(),"D")</f>
        <v>55</v>
      </c>
      <c r="R535" s="28" t="str">
        <f>IFERROR(VLOOKUP(DadosViagem5[[#This Row],[Placa]],[1]DDS!B:C,2,FALSE),"Verificar cadastro")</f>
        <v> </v>
      </c>
      <c r="S535" s="29" t="s">
        <v>48</v>
      </c>
      <c r="T535" s="23"/>
      <c r="U535" s="30"/>
      <c r="V535" s="31"/>
      <c r="W535" s="32"/>
      <c r="X535" s="33"/>
      <c r="Y535" s="34"/>
      <c r="Z535" s="32"/>
      <c r="AA535" s="20" t="s">
        <v>49</v>
      </c>
      <c r="AB535" s="20" t="s">
        <v>49</v>
      </c>
      <c r="AC535" s="19" t="s">
        <v>49</v>
      </c>
      <c r="AD535" s="19" t="str">
        <f ca="1">IFERROR(DATEDIF(DadosViagem5[[#This Row],[Utimo Bip Reserva]],TODAY(),"D"),"")</f>
        <v/>
      </c>
      <c r="AE535" s="36" t="s">
        <v>49</v>
      </c>
      <c r="AF535" s="25" t="s">
        <v>49</v>
      </c>
      <c r="AG535" s="36"/>
      <c r="AH535" s="25">
        <v>45807</v>
      </c>
      <c r="AI535" s="36" t="str">
        <f>IF(DadosViagem5[[#This Row],[Dias em manutenção ]]&lt;5,"Dentro do Prazo","Fora do Prazo")</f>
        <v>Fora do Prazo</v>
      </c>
      <c r="AJ535" s="36" t="e">
        <v>#REF!</v>
      </c>
    </row>
    <row r="536" spans="1:36">
      <c r="A536" s="19" t="s">
        <v>928</v>
      </c>
      <c r="B536" s="20"/>
      <c r="C536" s="19" t="s">
        <v>562</v>
      </c>
      <c r="D536" s="19" t="s">
        <v>563</v>
      </c>
      <c r="E536" s="19" t="s">
        <v>114</v>
      </c>
      <c r="F536" s="19" t="s">
        <v>115</v>
      </c>
      <c r="G536" s="19"/>
      <c r="H536" s="20">
        <v>2023</v>
      </c>
      <c r="I536" s="19" t="s">
        <v>456</v>
      </c>
      <c r="J536" s="19" t="s">
        <v>895</v>
      </c>
      <c r="K536" s="21" t="s">
        <v>896</v>
      </c>
      <c r="L536" s="22" t="s">
        <v>60</v>
      </c>
      <c r="M536" s="23" t="s">
        <v>268</v>
      </c>
      <c r="N536" s="36" t="s">
        <v>459</v>
      </c>
      <c r="O536" s="36" t="s">
        <v>460</v>
      </c>
      <c r="P536" s="26">
        <f ca="1">IFERROR(VLOOKUP(DadosViagem5[[#This Row],[Placa]],[1]BIP!A:E,5,FALSE),"")</f>
        <v>45989</v>
      </c>
      <c r="Q536" s="27">
        <f ca="1">DATEDIF(DadosViagem5[[#This Row],[BIP]],TODAY(),"D")</f>
        <v>1</v>
      </c>
      <c r="R536" s="28" t="str">
        <f>IFERROR(VLOOKUP(DadosViagem5[[#This Row],[Placa]],[1]DDS!B:C,2,FALSE),"Verificar cadastro")</f>
        <v>Operando</v>
      </c>
      <c r="S536" s="29" t="s">
        <v>48</v>
      </c>
      <c r="T536" s="23"/>
      <c r="U536" s="30"/>
      <c r="V536" s="31"/>
      <c r="W536" s="32"/>
      <c r="X536" s="33"/>
      <c r="Y536" s="34"/>
      <c r="Z536" s="32"/>
      <c r="AA536" s="20" t="s">
        <v>49</v>
      </c>
      <c r="AB536" s="20" t="s">
        <v>49</v>
      </c>
      <c r="AC536" s="19" t="s">
        <v>49</v>
      </c>
      <c r="AD536" s="19" t="str">
        <f ca="1">IFERROR(DATEDIF(DadosViagem5[[#This Row],[Utimo Bip Reserva]],TODAY(),"D"),"")</f>
        <v/>
      </c>
      <c r="AE536" s="36" t="s">
        <v>49</v>
      </c>
      <c r="AF536" s="25" t="s">
        <v>49</v>
      </c>
      <c r="AG536" s="36"/>
      <c r="AH536" s="25">
        <v>14</v>
      </c>
      <c r="AI536" s="36" t="str">
        <f>IF(DadosViagem5[[#This Row],[Dias em manutenção ]]&lt;5,"Dentro do Prazo","Fora do Prazo")</f>
        <v>Fora do Prazo</v>
      </c>
      <c r="AJ536" s="36" t="e">
        <v>#REF!</v>
      </c>
    </row>
    <row r="537" spans="1:36">
      <c r="A537" s="19" t="s">
        <v>929</v>
      </c>
      <c r="B537" s="20"/>
      <c r="C537" s="19" t="s">
        <v>562</v>
      </c>
      <c r="D537" s="19" t="s">
        <v>563</v>
      </c>
      <c r="E537" s="19" t="s">
        <v>114</v>
      </c>
      <c r="F537" s="19" t="s">
        <v>115</v>
      </c>
      <c r="G537" s="19"/>
      <c r="H537" s="20">
        <v>2022</v>
      </c>
      <c r="I537" s="19" t="s">
        <v>456</v>
      </c>
      <c r="J537" s="19" t="s">
        <v>895</v>
      </c>
      <c r="K537" s="21" t="s">
        <v>896</v>
      </c>
      <c r="L537" s="22" t="s">
        <v>60</v>
      </c>
      <c r="M537" s="23" t="s">
        <v>268</v>
      </c>
      <c r="N537" s="36" t="s">
        <v>459</v>
      </c>
      <c r="O537" s="36" t="s">
        <v>460</v>
      </c>
      <c r="P537" s="26">
        <f ca="1">IFERROR(VLOOKUP(DadosViagem5[[#This Row],[Placa]],[1]BIP!A:E,5,FALSE),"")</f>
        <v>45936</v>
      </c>
      <c r="Q537" s="27">
        <f ca="1">DATEDIF(DadosViagem5[[#This Row],[BIP]],TODAY(),"D")</f>
        <v>54</v>
      </c>
      <c r="R537" s="28" t="str">
        <f>IFERROR(VLOOKUP(DadosViagem5[[#This Row],[Placa]],[1]DDS!B:C,2,FALSE),"Verificar cadastro")</f>
        <v> </v>
      </c>
      <c r="S537" s="36" t="s">
        <v>930</v>
      </c>
      <c r="T537" s="23"/>
      <c r="U537" s="30">
        <v>45918</v>
      </c>
      <c r="V537" s="31">
        <v>45918</v>
      </c>
      <c r="W537" s="32" t="s">
        <v>903</v>
      </c>
      <c r="X537" s="33" t="s">
        <v>65</v>
      </c>
      <c r="Y537" s="34">
        <v>45930</v>
      </c>
      <c r="Z537" s="42" t="s">
        <v>908</v>
      </c>
      <c r="AA537" s="20" t="s">
        <v>49</v>
      </c>
      <c r="AB537" s="20" t="s">
        <v>49</v>
      </c>
      <c r="AC537" s="19" t="s">
        <v>49</v>
      </c>
      <c r="AD537" s="19"/>
      <c r="AE537" s="36" t="s">
        <v>931</v>
      </c>
      <c r="AF537" s="25" t="s">
        <v>49</v>
      </c>
      <c r="AG537" s="36"/>
      <c r="AH537" s="25">
        <v>81</v>
      </c>
      <c r="AI537" s="36" t="str">
        <f>IF(DadosViagem5[[#This Row],[Dias em manutenção ]]&lt;5,"Dentro do Prazo","Fora do Prazo")</f>
        <v>Fora do Prazo</v>
      </c>
      <c r="AJ537" s="36" t="e">
        <v>#REF!</v>
      </c>
    </row>
    <row r="538" spans="1:36">
      <c r="A538" s="19" t="s">
        <v>932</v>
      </c>
      <c r="B538" s="20"/>
      <c r="C538" s="19" t="s">
        <v>562</v>
      </c>
      <c r="D538" s="19" t="s">
        <v>563</v>
      </c>
      <c r="E538" s="19" t="s">
        <v>114</v>
      </c>
      <c r="F538" s="19" t="s">
        <v>115</v>
      </c>
      <c r="G538" s="19"/>
      <c r="H538" s="20">
        <v>2023</v>
      </c>
      <c r="I538" s="19" t="s">
        <v>456</v>
      </c>
      <c r="J538" s="19" t="s">
        <v>895</v>
      </c>
      <c r="K538" s="21" t="s">
        <v>896</v>
      </c>
      <c r="L538" s="22" t="s">
        <v>60</v>
      </c>
      <c r="M538" s="23" t="s">
        <v>268</v>
      </c>
      <c r="N538" s="36" t="s">
        <v>459</v>
      </c>
      <c r="O538" s="36" t="s">
        <v>460</v>
      </c>
      <c r="P538" s="26">
        <f ca="1">IFERROR(VLOOKUP(DadosViagem5[[#This Row],[Placa]],[1]BIP!A:E,5,FALSE),"")</f>
        <v>45989</v>
      </c>
      <c r="Q538" s="27">
        <f ca="1">DATEDIF(DadosViagem5[[#This Row],[BIP]],TODAY(),"D")</f>
        <v>1</v>
      </c>
      <c r="R538" s="28" t="str">
        <f>IFERROR(VLOOKUP(DadosViagem5[[#This Row],[Placa]],[1]DDS!B:C,2,FALSE),"Verificar cadastro")</f>
        <v>Operando</v>
      </c>
      <c r="S538" s="29" t="s">
        <v>48</v>
      </c>
      <c r="T538" s="23"/>
      <c r="U538" s="30"/>
      <c r="V538" s="31"/>
      <c r="W538" s="32"/>
      <c r="X538" s="33"/>
      <c r="Y538" s="34"/>
      <c r="Z538" s="32"/>
      <c r="AA538" s="20" t="s">
        <v>49</v>
      </c>
      <c r="AB538" s="20" t="s">
        <v>49</v>
      </c>
      <c r="AC538" s="20" t="s">
        <v>49</v>
      </c>
      <c r="AD538" s="20" t="s">
        <v>49</v>
      </c>
      <c r="AE538" s="36" t="s">
        <v>49</v>
      </c>
      <c r="AF538" s="25" t="s">
        <v>49</v>
      </c>
      <c r="AG538" s="36"/>
      <c r="AH538" s="25">
        <v>45807</v>
      </c>
      <c r="AI538" s="36" t="str">
        <f>IF(DadosViagem5[[#This Row],[Dias em manutenção ]]&lt;5,"Dentro do Prazo","Fora do Prazo")</f>
        <v>Fora do Prazo</v>
      </c>
      <c r="AJ538" s="36" t="e">
        <v>#REF!</v>
      </c>
    </row>
    <row r="539" spans="1:36">
      <c r="A539" s="19" t="s">
        <v>933</v>
      </c>
      <c r="B539" s="20"/>
      <c r="C539" s="19" t="s">
        <v>131</v>
      </c>
      <c r="D539" s="19" t="s">
        <v>132</v>
      </c>
      <c r="E539" s="19" t="s">
        <v>894</v>
      </c>
      <c r="F539" s="19" t="s">
        <v>115</v>
      </c>
      <c r="G539" s="19"/>
      <c r="H539" s="20">
        <v>2022</v>
      </c>
      <c r="I539" s="19" t="s">
        <v>456</v>
      </c>
      <c r="J539" s="19" t="s">
        <v>895</v>
      </c>
      <c r="K539" s="71" t="s">
        <v>896</v>
      </c>
      <c r="L539" s="22" t="s">
        <v>60</v>
      </c>
      <c r="M539" s="23" t="s">
        <v>268</v>
      </c>
      <c r="N539" s="36" t="s">
        <v>459</v>
      </c>
      <c r="O539" s="36" t="s">
        <v>460</v>
      </c>
      <c r="P539" s="26">
        <f ca="1">IFERROR(VLOOKUP(DadosViagem5[[#This Row],[Placa]],[1]BIP!A:E,5,FALSE),"")</f>
        <v>45914</v>
      </c>
      <c r="Q539" s="27">
        <f ca="1">DATEDIF(DadosViagem5[[#This Row],[BIP]],TODAY(),"D")</f>
        <v>76</v>
      </c>
      <c r="R539" s="28" t="str">
        <f>IFERROR(VLOOKUP(DadosViagem5[[#This Row],[Placa]],[1]DDS!B:C,2,FALSE),"Verificar cadastro")</f>
        <v> </v>
      </c>
      <c r="S539" s="36" t="s">
        <v>574</v>
      </c>
      <c r="T539" s="23"/>
      <c r="U539" s="30"/>
      <c r="V539" s="31"/>
      <c r="W539" s="32" t="s">
        <v>934</v>
      </c>
      <c r="X539" s="33"/>
      <c r="Y539" s="34"/>
      <c r="Z539" s="32"/>
      <c r="AA539" s="20" t="s">
        <v>49</v>
      </c>
      <c r="AB539" s="20" t="s">
        <v>49</v>
      </c>
      <c r="AC539" s="20" t="s">
        <v>49</v>
      </c>
      <c r="AD539" s="20" t="s">
        <v>49</v>
      </c>
      <c r="AE539" s="25"/>
      <c r="AF539" s="25">
        <v>45699</v>
      </c>
      <c r="AG539" s="36" t="s">
        <v>540</v>
      </c>
      <c r="AH539" s="25">
        <v>45807</v>
      </c>
      <c r="AI539" s="36" t="str">
        <f>IF(DadosViagem5[[#This Row],[Dias em manutenção ]]&lt;5,"Dentro do Prazo","Fora do Prazo")</f>
        <v>Fora do Prazo</v>
      </c>
      <c r="AJ539" s="36" t="e">
        <v>#REF!</v>
      </c>
    </row>
    <row r="540" spans="1:36">
      <c r="A540" s="19" t="s">
        <v>935</v>
      </c>
      <c r="B540" s="20"/>
      <c r="C540" s="19" t="s">
        <v>74</v>
      </c>
      <c r="D540" s="19" t="s">
        <v>52</v>
      </c>
      <c r="E540" s="19" t="s">
        <v>75</v>
      </c>
      <c r="F540" s="19" t="s">
        <v>76</v>
      </c>
      <c r="G540" s="19"/>
      <c r="H540" s="20">
        <v>2024</v>
      </c>
      <c r="I540" s="19" t="s">
        <v>456</v>
      </c>
      <c r="J540" s="19" t="s">
        <v>895</v>
      </c>
      <c r="K540" s="101" t="s">
        <v>896</v>
      </c>
      <c r="L540" s="22" t="s">
        <v>60</v>
      </c>
      <c r="M540" s="23" t="s">
        <v>77</v>
      </c>
      <c r="N540" s="36" t="s">
        <v>459</v>
      </c>
      <c r="O540" s="36" t="s">
        <v>460</v>
      </c>
      <c r="P540" s="26">
        <f ca="1">IFERROR(VLOOKUP(DadosViagem5[[#This Row],[Placa]],[1]BIP!A:E,5,FALSE),"")</f>
        <v>45989</v>
      </c>
      <c r="Q540" s="27">
        <f ca="1">DATEDIF(DadosViagem5[[#This Row],[BIP]],TODAY(),"D")</f>
        <v>1</v>
      </c>
      <c r="R540" s="28" t="str">
        <f>IFERROR(VLOOKUP(DadosViagem5[[#This Row],[Placa]],[1]DDS!B:C,2,FALSE),"Verificar cadastro")</f>
        <v>Operando</v>
      </c>
      <c r="S540" s="29" t="s">
        <v>48</v>
      </c>
      <c r="T540" s="23"/>
      <c r="U540" s="30"/>
      <c r="V540" s="31"/>
      <c r="W540" s="32"/>
      <c r="X540" s="33"/>
      <c r="Y540" s="34"/>
      <c r="Z540" s="32"/>
      <c r="AA540" s="20" t="s">
        <v>49</v>
      </c>
      <c r="AB540" s="20" t="s">
        <v>49</v>
      </c>
      <c r="AC540" s="19" t="s">
        <v>49</v>
      </c>
      <c r="AD540" s="19" t="str">
        <f ca="1">IFERROR(DATEDIF(DadosViagem5[[#This Row],[Utimo Bip Reserva]],TODAY(),"D"),"")</f>
        <v/>
      </c>
      <c r="AE540" s="25" t="s">
        <v>49</v>
      </c>
      <c r="AF540" s="25" t="s">
        <v>49</v>
      </c>
      <c r="AG540" s="36"/>
      <c r="AH540" s="25">
        <v>45807</v>
      </c>
      <c r="AI540" s="36" t="str">
        <f>IF(DadosViagem5[[#This Row],[Dias em manutenção ]]&lt;5,"Dentro do Prazo","Fora do Prazo")</f>
        <v>Fora do Prazo</v>
      </c>
      <c r="AJ540" s="36" t="e">
        <v>#REF!</v>
      </c>
    </row>
    <row r="541" spans="1:36">
      <c r="A541" s="19" t="s">
        <v>936</v>
      </c>
      <c r="B541" s="20"/>
      <c r="C541" s="19" t="s">
        <v>74</v>
      </c>
      <c r="D541" s="19" t="s">
        <v>52</v>
      </c>
      <c r="E541" s="19" t="s">
        <v>75</v>
      </c>
      <c r="F541" s="19" t="s">
        <v>76</v>
      </c>
      <c r="G541" s="19"/>
      <c r="H541" s="20">
        <v>2023</v>
      </c>
      <c r="I541" s="19" t="s">
        <v>456</v>
      </c>
      <c r="J541" s="19" t="s">
        <v>895</v>
      </c>
      <c r="K541" s="21" t="s">
        <v>896</v>
      </c>
      <c r="L541" s="53" t="s">
        <v>60</v>
      </c>
      <c r="M541" s="23" t="s">
        <v>77</v>
      </c>
      <c r="N541" s="25" t="s">
        <v>459</v>
      </c>
      <c r="O541" s="25" t="s">
        <v>460</v>
      </c>
      <c r="P541" s="26">
        <f ca="1">IFERROR(VLOOKUP(DadosViagem5[[#This Row],[Placa]],[1]BIP!A:E,5,FALSE),"")</f>
        <v>45989</v>
      </c>
      <c r="Q541" s="27">
        <f ca="1">DATEDIF(DadosViagem5[[#This Row],[BIP]],TODAY(),"D")</f>
        <v>1</v>
      </c>
      <c r="R541" s="28" t="str">
        <f>IFERROR(VLOOKUP(DadosViagem5[[#This Row],[Placa]],[1]DDS!B:C,2,FALSE),"Verificar cadastro")</f>
        <v>Operando</v>
      </c>
      <c r="S541" s="29" t="s">
        <v>48</v>
      </c>
      <c r="T541" s="23"/>
      <c r="U541" s="30" t="s">
        <v>937</v>
      </c>
      <c r="V541" s="31"/>
      <c r="W541" s="32"/>
      <c r="X541" s="33"/>
      <c r="Y541" s="34"/>
      <c r="Z541" s="32"/>
      <c r="AA541" s="20" t="s">
        <v>49</v>
      </c>
      <c r="AB541" s="20" t="s">
        <v>49</v>
      </c>
      <c r="AC541" s="20" t="s">
        <v>49</v>
      </c>
      <c r="AD541" s="20" t="s">
        <v>49</v>
      </c>
      <c r="AE541" s="36"/>
      <c r="AF541" s="25"/>
      <c r="AG541" s="36"/>
      <c r="AH541" s="25">
        <v>45807</v>
      </c>
      <c r="AI541" s="36" t="str">
        <f>IF(DadosViagem5[[#This Row],[Dias em manutenção ]]&lt;5,"Dentro do Prazo","Fora do Prazo")</f>
        <v>Fora do Prazo</v>
      </c>
      <c r="AJ541" s="36" t="e">
        <v>#REF!</v>
      </c>
    </row>
    <row r="542" spans="1:36">
      <c r="A542" s="19" t="s">
        <v>938</v>
      </c>
      <c r="B542" s="20"/>
      <c r="C542" s="19" t="s">
        <v>74</v>
      </c>
      <c r="D542" s="19" t="s">
        <v>52</v>
      </c>
      <c r="E542" s="19" t="s">
        <v>75</v>
      </c>
      <c r="F542" s="19" t="s">
        <v>76</v>
      </c>
      <c r="G542" s="19"/>
      <c r="H542" s="20">
        <v>2025</v>
      </c>
      <c r="I542" s="19" t="s">
        <v>456</v>
      </c>
      <c r="J542" s="19" t="s">
        <v>895</v>
      </c>
      <c r="K542" s="21" t="s">
        <v>896</v>
      </c>
      <c r="L542" s="53" t="s">
        <v>60</v>
      </c>
      <c r="M542" s="23" t="s">
        <v>77</v>
      </c>
      <c r="N542" s="25" t="s">
        <v>459</v>
      </c>
      <c r="O542" s="25" t="s">
        <v>460</v>
      </c>
      <c r="P542" s="26">
        <f ca="1">IFERROR(VLOOKUP(DadosViagem5[[#This Row],[Placa]],[1]BIP!A:E,5,FALSE),"")</f>
        <v>0</v>
      </c>
      <c r="Q542" s="27">
        <f ca="1">DATEDIF(DadosViagem5[[#This Row],[BIP]],TODAY(),"D")</f>
        <v>45990</v>
      </c>
      <c r="R542" s="28" t="str">
        <f>IFERROR(VLOOKUP(DadosViagem5[[#This Row],[Placa]],[1]DDS!B:C,2,FALSE),"Verificar cadastro")</f>
        <v> </v>
      </c>
      <c r="S542" s="29" t="s">
        <v>48</v>
      </c>
      <c r="T542" s="23"/>
      <c r="U542" s="30"/>
      <c r="V542" s="31"/>
      <c r="W542" s="32" t="s">
        <v>939</v>
      </c>
      <c r="X542" s="33"/>
      <c r="Y542" s="34"/>
      <c r="Z542" s="32"/>
      <c r="AA542" s="20" t="s">
        <v>49</v>
      </c>
      <c r="AB542" s="20" t="s">
        <v>49</v>
      </c>
      <c r="AC542" s="19" t="s">
        <v>49</v>
      </c>
      <c r="AD542" s="19" t="str">
        <f ca="1">IFERROR(DATEDIF(DadosViagem5[[#This Row],[Utimo Bip Reserva]],TODAY(),"D"),"")</f>
        <v/>
      </c>
      <c r="AE542" s="36"/>
      <c r="AF542" s="25"/>
      <c r="AG542" s="36"/>
      <c r="AH542" s="25">
        <v>45807</v>
      </c>
      <c r="AI542" s="36" t="str">
        <f>IF(DadosViagem5[[#This Row],[Dias em manutenção ]]&lt;5,"Dentro do Prazo","Fora do Prazo")</f>
        <v>Fora do Prazo</v>
      </c>
      <c r="AJ542" s="36" t="e">
        <v>#REF!</v>
      </c>
    </row>
    <row r="543" spans="1:36">
      <c r="A543" s="19" t="s">
        <v>940</v>
      </c>
      <c r="B543" s="20"/>
      <c r="C543" s="19" t="s">
        <v>131</v>
      </c>
      <c r="D543" s="19" t="s">
        <v>132</v>
      </c>
      <c r="E543" s="19" t="s">
        <v>894</v>
      </c>
      <c r="F543" s="19" t="s">
        <v>115</v>
      </c>
      <c r="G543" s="19"/>
      <c r="H543" s="20">
        <v>2023</v>
      </c>
      <c r="I543" s="19" t="s">
        <v>456</v>
      </c>
      <c r="J543" s="19" t="s">
        <v>895</v>
      </c>
      <c r="K543" s="21" t="s">
        <v>896</v>
      </c>
      <c r="L543" s="22" t="s">
        <v>60</v>
      </c>
      <c r="M543" s="23" t="s">
        <v>268</v>
      </c>
      <c r="N543" s="36" t="s">
        <v>459</v>
      </c>
      <c r="O543" s="36" t="s">
        <v>460</v>
      </c>
      <c r="P543" s="26">
        <f ca="1">IFERROR(VLOOKUP(DadosViagem5[[#This Row],[Placa]],[1]BIP!A:E,5,FALSE),"")</f>
        <v>45908</v>
      </c>
      <c r="Q543" s="27">
        <f ca="1">DATEDIF(DadosViagem5[[#This Row],[BIP]],TODAY(),"D")</f>
        <v>82</v>
      </c>
      <c r="R543" s="28" t="str">
        <f>IFERROR(VLOOKUP(DadosViagem5[[#This Row],[Placa]],[1]DDS!B:C,2,FALSE),"Verificar cadastro")</f>
        <v> </v>
      </c>
      <c r="S543" s="36" t="s">
        <v>574</v>
      </c>
      <c r="T543" s="23"/>
      <c r="U543" s="30"/>
      <c r="V543" s="31"/>
      <c r="W543" s="32" t="s">
        <v>941</v>
      </c>
      <c r="X543" s="33"/>
      <c r="Y543" s="34"/>
      <c r="Z543" s="32"/>
      <c r="AA543" s="20" t="s">
        <v>49</v>
      </c>
      <c r="AB543" s="20" t="s">
        <v>49</v>
      </c>
      <c r="AC543" s="19" t="s">
        <v>49</v>
      </c>
      <c r="AD543" s="19" t="str">
        <f ca="1">IFERROR(DATEDIF(DadosViagem5[[#This Row],[Utimo Bip Reserva]],TODAY(),"D"),"")</f>
        <v/>
      </c>
      <c r="AE543" s="25" t="s">
        <v>49</v>
      </c>
      <c r="AF543" s="25"/>
      <c r="AG543" s="36"/>
      <c r="AH543" s="25">
        <v>45807</v>
      </c>
      <c r="AI543" s="36" t="str">
        <f>IF(DadosViagem5[[#This Row],[Dias em manutenção ]]&lt;5,"Dentro do Prazo","Fora do Prazo")</f>
        <v>Fora do Prazo</v>
      </c>
      <c r="AJ543" s="36" t="e">
        <v>#REF!</v>
      </c>
    </row>
    <row r="544" spans="1:36">
      <c r="A544" s="19" t="s">
        <v>942</v>
      </c>
      <c r="B544" s="20"/>
      <c r="C544" s="19" t="s">
        <v>74</v>
      </c>
      <c r="D544" s="19" t="s">
        <v>52</v>
      </c>
      <c r="E544" s="19" t="s">
        <v>75</v>
      </c>
      <c r="F544" s="19" t="s">
        <v>76</v>
      </c>
      <c r="G544" s="19"/>
      <c r="H544" s="20">
        <v>2024</v>
      </c>
      <c r="I544" s="19" t="s">
        <v>456</v>
      </c>
      <c r="J544" s="19" t="s">
        <v>895</v>
      </c>
      <c r="K544" s="101" t="s">
        <v>896</v>
      </c>
      <c r="L544" s="22" t="s">
        <v>60</v>
      </c>
      <c r="M544" s="23" t="s">
        <v>77</v>
      </c>
      <c r="N544" s="36" t="s">
        <v>459</v>
      </c>
      <c r="O544" s="36" t="s">
        <v>460</v>
      </c>
      <c r="P544" s="26">
        <f ca="1">IFERROR(VLOOKUP(DadosViagem5[[#This Row],[Placa]],[1]BIP!A:E,5,FALSE),"")</f>
        <v>45989</v>
      </c>
      <c r="Q544" s="27">
        <f ca="1">DATEDIF(DadosViagem5[[#This Row],[BIP]],TODAY(),"D")</f>
        <v>1</v>
      </c>
      <c r="R544" s="28" t="str">
        <f>IFERROR(VLOOKUP(DadosViagem5[[#This Row],[Placa]],[1]DDS!B:C,2,FALSE),"Verificar cadastro")</f>
        <v>Operando</v>
      </c>
      <c r="S544" s="29" t="s">
        <v>48</v>
      </c>
      <c r="T544" s="23"/>
      <c r="U544" s="30"/>
      <c r="V544" s="31"/>
      <c r="W544" s="32"/>
      <c r="X544" s="33"/>
      <c r="Y544" s="34"/>
      <c r="Z544" s="32"/>
      <c r="AA544" s="20" t="s">
        <v>49</v>
      </c>
      <c r="AB544" s="20" t="s">
        <v>49</v>
      </c>
      <c r="AC544" s="19" t="s">
        <v>49</v>
      </c>
      <c r="AD544" s="19" t="str">
        <f ca="1">IFERROR(DATEDIF(DadosViagem5[[#This Row],[Utimo Bip Reserva]],TODAY(),"D"),"")</f>
        <v/>
      </c>
      <c r="AE544" s="25" t="s">
        <v>49</v>
      </c>
      <c r="AF544" s="25" t="s">
        <v>49</v>
      </c>
      <c r="AG544" s="36"/>
      <c r="AH544" s="25">
        <v>45807</v>
      </c>
      <c r="AI544" s="36" t="str">
        <f>IF(DadosViagem5[[#This Row],[Dias em manutenção ]]&lt;5,"Dentro do Prazo","Fora do Prazo")</f>
        <v>Fora do Prazo</v>
      </c>
      <c r="AJ544" s="36" t="e">
        <v>#REF!</v>
      </c>
    </row>
    <row r="545" spans="1:36">
      <c r="A545" s="19" t="s">
        <v>943</v>
      </c>
      <c r="B545" s="20"/>
      <c r="C545" s="19" t="s">
        <v>562</v>
      </c>
      <c r="D545" s="19" t="s">
        <v>563</v>
      </c>
      <c r="E545" s="19" t="s">
        <v>114</v>
      </c>
      <c r="F545" s="19" t="s">
        <v>115</v>
      </c>
      <c r="G545" s="19"/>
      <c r="H545" s="20">
        <v>2022</v>
      </c>
      <c r="I545" s="19" t="s">
        <v>456</v>
      </c>
      <c r="J545" s="19" t="s">
        <v>895</v>
      </c>
      <c r="K545" s="21" t="s">
        <v>896</v>
      </c>
      <c r="L545" s="22" t="s">
        <v>60</v>
      </c>
      <c r="M545" s="46" t="s">
        <v>268</v>
      </c>
      <c r="N545" s="36" t="s">
        <v>459</v>
      </c>
      <c r="O545" s="36" t="s">
        <v>460</v>
      </c>
      <c r="P545" s="26">
        <f ca="1">IFERROR(VLOOKUP(DadosViagem5[[#This Row],[Placa]],[1]BIP!A:E,5,FALSE),"")</f>
        <v>45989</v>
      </c>
      <c r="Q545" s="27">
        <f ca="1">DATEDIF(DadosViagem5[[#This Row],[BIP]],TODAY(),"D")</f>
        <v>1</v>
      </c>
      <c r="R545" s="28" t="str">
        <f>IFERROR(VLOOKUP(DadosViagem5[[#This Row],[Placa]],[1]DDS!B:C,2,FALSE),"Verificar cadastro")</f>
        <v>Operando</v>
      </c>
      <c r="S545" s="29" t="s">
        <v>48</v>
      </c>
      <c r="T545" s="23"/>
      <c r="U545" s="30"/>
      <c r="V545" s="31"/>
      <c r="W545" s="32"/>
      <c r="X545" s="33"/>
      <c r="Y545" s="34"/>
      <c r="Z545" s="32"/>
      <c r="AA545" s="20" t="s">
        <v>49</v>
      </c>
      <c r="AB545" s="20" t="s">
        <v>49</v>
      </c>
      <c r="AC545" s="19" t="s">
        <v>49</v>
      </c>
      <c r="AD545" s="19" t="str">
        <f ca="1">IFERROR(DATEDIF(DadosViagem5[[#This Row],[Utimo Bip Reserva]],TODAY(),"D"),"")</f>
        <v/>
      </c>
      <c r="AE545" s="103" t="s">
        <v>944</v>
      </c>
      <c r="AF545" s="25">
        <v>45699</v>
      </c>
      <c r="AG545" s="36" t="s">
        <v>481</v>
      </c>
      <c r="AH545" s="25">
        <v>45807</v>
      </c>
      <c r="AI545" s="36" t="str">
        <f>IF(DadosViagem5[[#This Row],[Dias em manutenção ]]&lt;5,"Dentro do Prazo","Fora do Prazo")</f>
        <v>Fora do Prazo</v>
      </c>
      <c r="AJ545" s="36" t="e">
        <v>#REF!</v>
      </c>
    </row>
    <row r="546" spans="1:36">
      <c r="A546" s="19" t="s">
        <v>945</v>
      </c>
      <c r="B546" s="20"/>
      <c r="C546" s="19" t="s">
        <v>74</v>
      </c>
      <c r="D546" s="19" t="s">
        <v>52</v>
      </c>
      <c r="E546" s="19" t="s">
        <v>75</v>
      </c>
      <c r="F546" s="19" t="s">
        <v>76</v>
      </c>
      <c r="G546" s="19"/>
      <c r="H546" s="20">
        <v>2024</v>
      </c>
      <c r="I546" s="19" t="s">
        <v>456</v>
      </c>
      <c r="J546" s="19" t="s">
        <v>895</v>
      </c>
      <c r="K546" s="101" t="s">
        <v>896</v>
      </c>
      <c r="L546" s="22" t="s">
        <v>60</v>
      </c>
      <c r="M546" s="23" t="s">
        <v>77</v>
      </c>
      <c r="N546" s="36" t="s">
        <v>459</v>
      </c>
      <c r="O546" s="36" t="s">
        <v>460</v>
      </c>
      <c r="P546" s="26">
        <f ca="1">IFERROR(VLOOKUP(DadosViagem5[[#This Row],[Placa]],[1]BIP!A:E,5,FALSE),"")</f>
        <v>45989</v>
      </c>
      <c r="Q546" s="27">
        <f ca="1">DATEDIF(DadosViagem5[[#This Row],[BIP]],TODAY(),"D")</f>
        <v>1</v>
      </c>
      <c r="R546" s="28" t="str">
        <f>IFERROR(VLOOKUP(DadosViagem5[[#This Row],[Placa]],[1]DDS!B:C,2,FALSE),"Verificar cadastro")</f>
        <v>Operando</v>
      </c>
      <c r="S546" s="29" t="s">
        <v>48</v>
      </c>
      <c r="T546" s="23"/>
      <c r="U546" s="30"/>
      <c r="V546" s="31"/>
      <c r="W546" s="32"/>
      <c r="X546" s="33"/>
      <c r="Y546" s="34"/>
      <c r="Z546" s="32"/>
      <c r="AA546" s="20" t="s">
        <v>49</v>
      </c>
      <c r="AB546" s="20" t="s">
        <v>49</v>
      </c>
      <c r="AC546" s="19" t="s">
        <v>49</v>
      </c>
      <c r="AD546" s="19" t="str">
        <f ca="1">IFERROR(DATEDIF(DadosViagem5[[#This Row],[Utimo Bip Reserva]],TODAY(),"D"),"")</f>
        <v/>
      </c>
      <c r="AE546" s="29"/>
      <c r="AF546" s="35"/>
      <c r="AG546" s="36"/>
      <c r="AH546" s="25">
        <v>45807</v>
      </c>
      <c r="AI546" s="36" t="str">
        <f>IF(DadosViagem5[[#This Row],[Dias em manutenção ]]&lt;5,"Dentro do Prazo","Fora do Prazo")</f>
        <v>Fora do Prazo</v>
      </c>
      <c r="AJ546" s="36" t="e">
        <v>#REF!</v>
      </c>
    </row>
    <row r="547" spans="1:36">
      <c r="A547" s="19" t="s">
        <v>946</v>
      </c>
      <c r="B547" s="20"/>
      <c r="C547" s="19" t="s">
        <v>562</v>
      </c>
      <c r="D547" s="19" t="s">
        <v>563</v>
      </c>
      <c r="E547" s="19" t="s">
        <v>114</v>
      </c>
      <c r="F547" s="19" t="s">
        <v>115</v>
      </c>
      <c r="G547" s="19"/>
      <c r="H547" s="20">
        <v>2022</v>
      </c>
      <c r="I547" s="19" t="s">
        <v>456</v>
      </c>
      <c r="J547" s="19" t="s">
        <v>895</v>
      </c>
      <c r="K547" s="21" t="s">
        <v>896</v>
      </c>
      <c r="L547" s="22" t="s">
        <v>60</v>
      </c>
      <c r="M547" s="46" t="s">
        <v>268</v>
      </c>
      <c r="N547" s="36" t="s">
        <v>459</v>
      </c>
      <c r="O547" s="36" t="s">
        <v>460</v>
      </c>
      <c r="P547" s="26">
        <f ca="1">IFERROR(VLOOKUP(DadosViagem5[[#This Row],[Placa]],[1]BIP!A:E,5,FALSE),"")</f>
        <v>45920</v>
      </c>
      <c r="Q547" s="27">
        <f ca="1">DATEDIF(DadosViagem5[[#This Row],[BIP]],TODAY(),"D")</f>
        <v>70</v>
      </c>
      <c r="R547" s="28" t="str">
        <f>IFERROR(VLOOKUP(DadosViagem5[[#This Row],[Placa]],[1]DDS!B:C,2,FALSE),"Verificar cadastro")</f>
        <v> </v>
      </c>
      <c r="S547" s="36" t="s">
        <v>947</v>
      </c>
      <c r="T547" s="23">
        <v>6780989</v>
      </c>
      <c r="U547" s="30">
        <v>45922</v>
      </c>
      <c r="V547" s="31">
        <v>45922</v>
      </c>
      <c r="W547" s="32" t="s">
        <v>948</v>
      </c>
      <c r="X547" s="33" t="s">
        <v>65</v>
      </c>
      <c r="Y547" s="34">
        <v>45930</v>
      </c>
      <c r="Z547" s="32" t="s">
        <v>908</v>
      </c>
      <c r="AA547" s="20" t="s">
        <v>49</v>
      </c>
      <c r="AB547" s="20" t="s">
        <v>49</v>
      </c>
      <c r="AC547" s="19" t="s">
        <v>49</v>
      </c>
      <c r="AD547" s="19" t="str">
        <f ca="1">IFERROR(DATEDIF(DadosViagem5[[#This Row],[Utimo Bip Reserva]],TODAY(),"D"),"")</f>
        <v/>
      </c>
      <c r="AE547" s="36" t="s">
        <v>910</v>
      </c>
      <c r="AF547" s="25" t="s">
        <v>49</v>
      </c>
      <c r="AG547" s="36"/>
      <c r="AH547" s="25">
        <v>45807</v>
      </c>
      <c r="AI547" s="36" t="str">
        <f>IF(DadosViagem5[[#This Row],[Dias em manutenção ]]&lt;5,"Dentro do Prazo","Fora do Prazo")</f>
        <v>Fora do Prazo</v>
      </c>
      <c r="AJ547" s="36" t="e">
        <v>#REF!</v>
      </c>
    </row>
    <row r="548" spans="1:36">
      <c r="A548" s="19" t="s">
        <v>949</v>
      </c>
      <c r="B548" s="20"/>
      <c r="C548" s="19" t="s">
        <v>562</v>
      </c>
      <c r="D548" s="19" t="s">
        <v>563</v>
      </c>
      <c r="E548" s="19" t="s">
        <v>114</v>
      </c>
      <c r="F548" s="19" t="s">
        <v>115</v>
      </c>
      <c r="G548" s="19"/>
      <c r="H548" s="20">
        <v>2022</v>
      </c>
      <c r="I548" s="19" t="s">
        <v>456</v>
      </c>
      <c r="J548" s="19" t="s">
        <v>895</v>
      </c>
      <c r="K548" s="21" t="s">
        <v>896</v>
      </c>
      <c r="L548" s="22" t="s">
        <v>60</v>
      </c>
      <c r="M548" s="46" t="s">
        <v>268</v>
      </c>
      <c r="N548" s="36" t="s">
        <v>459</v>
      </c>
      <c r="O548" s="36" t="s">
        <v>460</v>
      </c>
      <c r="P548" s="26">
        <f ca="1">IFERROR(VLOOKUP(DadosViagem5[[#This Row],[Placa]],[1]BIP!A:E,5,FALSE),"")</f>
        <v>45916</v>
      </c>
      <c r="Q548" s="27">
        <f ca="1">DATEDIF(DadosViagem5[[#This Row],[BIP]],TODAY(),"D")</f>
        <v>74</v>
      </c>
      <c r="R548" s="28" t="str">
        <f>IFERROR(VLOOKUP(DadosViagem5[[#This Row],[Placa]],[1]DDS!B:C,2,FALSE),"Verificar cadastro")</f>
        <v> </v>
      </c>
      <c r="S548" s="36" t="s">
        <v>947</v>
      </c>
      <c r="T548" s="23">
        <v>6778844</v>
      </c>
      <c r="U548" s="30">
        <v>45917</v>
      </c>
      <c r="V548" s="31">
        <v>45917</v>
      </c>
      <c r="W548" s="32" t="s">
        <v>950</v>
      </c>
      <c r="X548" s="33" t="s">
        <v>65</v>
      </c>
      <c r="Y548" s="34">
        <v>45925</v>
      </c>
      <c r="Z548" s="32" t="s">
        <v>908</v>
      </c>
      <c r="AA548" s="20" t="s">
        <v>49</v>
      </c>
      <c r="AB548" s="20" t="s">
        <v>49</v>
      </c>
      <c r="AC548" s="19" t="s">
        <v>49</v>
      </c>
      <c r="AD548" s="19" t="str">
        <f ca="1">IFERROR(DATEDIF(DadosViagem5[[#This Row],[Utimo Bip Reserva]],TODAY(),"D"),"")</f>
        <v/>
      </c>
      <c r="AE548" s="36" t="s">
        <v>951</v>
      </c>
      <c r="AF548" s="25" t="s">
        <v>49</v>
      </c>
      <c r="AG548" s="36"/>
      <c r="AH548" s="25">
        <v>45807</v>
      </c>
      <c r="AI548" s="36" t="str">
        <f>IF(DadosViagem5[[#This Row],[Dias em manutenção ]]&lt;5,"Dentro do Prazo","Fora do Prazo")</f>
        <v>Fora do Prazo</v>
      </c>
      <c r="AJ548" s="36" t="e">
        <v>#REF!</v>
      </c>
    </row>
    <row r="549" spans="1:36">
      <c r="A549" s="19" t="s">
        <v>952</v>
      </c>
      <c r="B549" s="20"/>
      <c r="C549" s="19" t="s">
        <v>562</v>
      </c>
      <c r="D549" s="19" t="s">
        <v>563</v>
      </c>
      <c r="E549" s="19" t="s">
        <v>114</v>
      </c>
      <c r="F549" s="19" t="s">
        <v>115</v>
      </c>
      <c r="G549" s="19"/>
      <c r="H549" s="20">
        <v>2022</v>
      </c>
      <c r="I549" s="19" t="s">
        <v>456</v>
      </c>
      <c r="J549" s="19" t="s">
        <v>895</v>
      </c>
      <c r="K549" s="21" t="s">
        <v>896</v>
      </c>
      <c r="L549" s="22" t="s">
        <v>60</v>
      </c>
      <c r="M549" s="23" t="s">
        <v>268</v>
      </c>
      <c r="N549" s="36" t="s">
        <v>459</v>
      </c>
      <c r="O549" s="36" t="s">
        <v>460</v>
      </c>
      <c r="P549" s="26">
        <f ca="1">IFERROR(VLOOKUP(DadosViagem5[[#This Row],[Placa]],[1]BIP!A:E,5,FALSE),"")</f>
        <v>45989</v>
      </c>
      <c r="Q549" s="27">
        <f ca="1">DATEDIF(DadosViagem5[[#This Row],[BIP]],TODAY(),"D")</f>
        <v>1</v>
      </c>
      <c r="R549" s="28" t="str">
        <f>IFERROR(VLOOKUP(DadosViagem5[[#This Row],[Placa]],[1]DDS!B:C,2,FALSE),"Verificar cadastro")</f>
        <v>Operando</v>
      </c>
      <c r="S549" s="29" t="s">
        <v>48</v>
      </c>
      <c r="T549" s="23"/>
      <c r="U549" s="30"/>
      <c r="V549" s="31"/>
      <c r="W549" s="32"/>
      <c r="X549" s="33"/>
      <c r="Y549" s="34"/>
      <c r="Z549" s="32"/>
      <c r="AA549" s="20" t="s">
        <v>49</v>
      </c>
      <c r="AB549" s="20" t="s">
        <v>49</v>
      </c>
      <c r="AC549" s="19" t="s">
        <v>49</v>
      </c>
      <c r="AD549" s="19" t="str">
        <f ca="1">IFERROR(DATEDIF(DadosViagem5[[#This Row],[Utimo Bip Reserva]],TODAY(),"D"),"")</f>
        <v/>
      </c>
      <c r="AE549" s="104"/>
      <c r="AF549" s="25" t="s">
        <v>49</v>
      </c>
      <c r="AG549" s="36"/>
      <c r="AH549" s="25">
        <v>45807</v>
      </c>
      <c r="AI549" s="36" t="str">
        <f>IF(DadosViagem5[[#This Row],[Dias em manutenção ]]&lt;5,"Dentro do Prazo","Fora do Prazo")</f>
        <v>Fora do Prazo</v>
      </c>
      <c r="AJ549" s="36" t="e">
        <v>#REF!</v>
      </c>
    </row>
    <row r="550" spans="1:36">
      <c r="A550" s="19" t="s">
        <v>953</v>
      </c>
      <c r="B550" s="20"/>
      <c r="C550" s="19" t="s">
        <v>562</v>
      </c>
      <c r="D550" s="19" t="s">
        <v>563</v>
      </c>
      <c r="E550" s="19" t="s">
        <v>114</v>
      </c>
      <c r="F550" s="19" t="s">
        <v>115</v>
      </c>
      <c r="G550" s="19"/>
      <c r="H550" s="20">
        <v>2022</v>
      </c>
      <c r="I550" s="19" t="s">
        <v>456</v>
      </c>
      <c r="J550" s="19" t="s">
        <v>895</v>
      </c>
      <c r="K550" s="21" t="s">
        <v>896</v>
      </c>
      <c r="L550" s="22" t="s">
        <v>60</v>
      </c>
      <c r="M550" s="46" t="s">
        <v>268</v>
      </c>
      <c r="N550" s="36" t="s">
        <v>459</v>
      </c>
      <c r="O550" s="36" t="s">
        <v>460</v>
      </c>
      <c r="P550" s="26">
        <f ca="1">IFERROR(VLOOKUP(DadosViagem5[[#This Row],[Placa]],[1]BIP!A:E,5,FALSE),"")</f>
        <v>45971</v>
      </c>
      <c r="Q550" s="27">
        <f ca="1">DATEDIF(DadosViagem5[[#This Row],[BIP]],TODAY(),"D")</f>
        <v>19</v>
      </c>
      <c r="R550" s="28" t="str">
        <f>IFERROR(VLOOKUP(DadosViagem5[[#This Row],[Placa]],[1]DDS!B:C,2,FALSE),"Verificar cadastro")</f>
        <v> </v>
      </c>
      <c r="S550" s="29" t="s">
        <v>48</v>
      </c>
      <c r="T550" s="23"/>
      <c r="U550" s="30"/>
      <c r="V550" s="31"/>
      <c r="W550" s="32"/>
      <c r="X550" s="33"/>
      <c r="Y550" s="34"/>
      <c r="Z550" s="32"/>
      <c r="AA550" s="20" t="s">
        <v>49</v>
      </c>
      <c r="AB550" s="20" t="s">
        <v>49</v>
      </c>
      <c r="AC550" s="19" t="s">
        <v>49</v>
      </c>
      <c r="AD550" s="19" t="str">
        <f ca="1">IFERROR(DATEDIF(DadosViagem5[[#This Row],[Utimo Bip Reserva]],TODAY(),"D"),"")</f>
        <v/>
      </c>
      <c r="AE550" s="36" t="s">
        <v>49</v>
      </c>
      <c r="AF550" s="25" t="s">
        <v>49</v>
      </c>
      <c r="AG550" s="36"/>
      <c r="AH550" s="25">
        <v>45807</v>
      </c>
      <c r="AI550" s="36" t="str">
        <f>IF(DadosViagem5[[#This Row],[Dias em manutenção ]]&lt;5,"Dentro do Prazo","Fora do Prazo")</f>
        <v>Fora do Prazo</v>
      </c>
      <c r="AJ550" s="36" t="e">
        <v>#REF!</v>
      </c>
    </row>
    <row r="551" spans="1:36">
      <c r="A551" s="19" t="s">
        <v>954</v>
      </c>
      <c r="B551" s="20"/>
      <c r="C551" s="19" t="s">
        <v>131</v>
      </c>
      <c r="D551" s="19" t="s">
        <v>132</v>
      </c>
      <c r="E551" s="19" t="s">
        <v>894</v>
      </c>
      <c r="F551" s="19" t="s">
        <v>115</v>
      </c>
      <c r="G551" s="19"/>
      <c r="H551" s="20">
        <v>2022</v>
      </c>
      <c r="I551" s="19" t="s">
        <v>456</v>
      </c>
      <c r="J551" s="19" t="s">
        <v>895</v>
      </c>
      <c r="K551" s="21" t="s">
        <v>896</v>
      </c>
      <c r="L551" s="22" t="s">
        <v>60</v>
      </c>
      <c r="M551" s="23" t="s">
        <v>268</v>
      </c>
      <c r="N551" s="36" t="s">
        <v>459</v>
      </c>
      <c r="O551" s="36" t="s">
        <v>460</v>
      </c>
      <c r="P551" s="26">
        <f ca="1">IFERROR(VLOOKUP(DadosViagem5[[#This Row],[Placa]],[1]BIP!A:E,5,FALSE),"")</f>
        <v>45911</v>
      </c>
      <c r="Q551" s="27">
        <f ca="1">DATEDIF(DadosViagem5[[#This Row],[BIP]],TODAY(),"D")</f>
        <v>79</v>
      </c>
      <c r="R551" s="28" t="str">
        <f>IFERROR(VLOOKUP(DadosViagem5[[#This Row],[Placa]],[1]DDS!B:C,2,FALSE),"Verificar cadastro")</f>
        <v> </v>
      </c>
      <c r="S551" s="36" t="s">
        <v>574</v>
      </c>
      <c r="T551" s="23"/>
      <c r="U551" s="30"/>
      <c r="V551" s="31"/>
      <c r="W551" s="31" t="s">
        <v>955</v>
      </c>
      <c r="X551" s="33"/>
      <c r="Y551" s="34"/>
      <c r="Z551" s="32"/>
      <c r="AA551" s="20" t="s">
        <v>49</v>
      </c>
      <c r="AB551" s="20" t="s">
        <v>49</v>
      </c>
      <c r="AC551" s="19" t="s">
        <v>49</v>
      </c>
      <c r="AD551" s="19" t="str">
        <f ca="1">IFERROR(DATEDIF(DadosViagem5[[#This Row],[Utimo Bip Reserva]],TODAY(),"D"),"")</f>
        <v/>
      </c>
      <c r="AE551" s="36" t="s">
        <v>49</v>
      </c>
      <c r="AF551" s="25" t="s">
        <v>49</v>
      </c>
      <c r="AG551" s="36"/>
      <c r="AH551" s="25">
        <v>45807</v>
      </c>
      <c r="AI551" s="36" t="str">
        <f>IF(DadosViagem5[[#This Row],[Dias em manutenção ]]&lt;5,"Dentro do Prazo","Fora do Prazo")</f>
        <v>Fora do Prazo</v>
      </c>
      <c r="AJ551" s="36" t="e">
        <v>#REF!</v>
      </c>
    </row>
    <row r="552" spans="1:36">
      <c r="A552" s="19" t="s">
        <v>956</v>
      </c>
      <c r="B552" s="20"/>
      <c r="C552" s="19" t="s">
        <v>131</v>
      </c>
      <c r="D552" s="19" t="s">
        <v>132</v>
      </c>
      <c r="E552" s="19" t="s">
        <v>114</v>
      </c>
      <c r="F552" s="19" t="s">
        <v>115</v>
      </c>
      <c r="G552" s="19"/>
      <c r="H552" s="20">
        <v>2021</v>
      </c>
      <c r="I552" s="19" t="s">
        <v>456</v>
      </c>
      <c r="J552" s="19" t="s">
        <v>895</v>
      </c>
      <c r="K552" s="21" t="s">
        <v>896</v>
      </c>
      <c r="L552" s="22" t="s">
        <v>60</v>
      </c>
      <c r="M552" s="23" t="s">
        <v>268</v>
      </c>
      <c r="N552" s="36" t="s">
        <v>459</v>
      </c>
      <c r="O552" s="36" t="s">
        <v>460</v>
      </c>
      <c r="P552" s="26">
        <f ca="1">IFERROR(VLOOKUP(DadosViagem5[[#This Row],[Placa]],[1]BIP!A:E,5,FALSE),"")</f>
        <v>45929</v>
      </c>
      <c r="Q552" s="27">
        <f ca="1">DATEDIF(DadosViagem5[[#This Row],[BIP]],TODAY(),"D")</f>
        <v>61</v>
      </c>
      <c r="R552" s="28" t="str">
        <f>IFERROR(VLOOKUP(DadosViagem5[[#This Row],[Placa]],[1]DDS!B:C,2,FALSE),"Verificar cadastro")</f>
        <v> </v>
      </c>
      <c r="S552" s="36" t="s">
        <v>35</v>
      </c>
      <c r="T552" s="23"/>
      <c r="U552" s="30"/>
      <c r="V552" s="31"/>
      <c r="W552" s="85"/>
      <c r="X552" s="33"/>
      <c r="Y552" s="34"/>
      <c r="Z552" s="32"/>
      <c r="AA552" s="20" t="s">
        <v>49</v>
      </c>
      <c r="AB552" s="20" t="s">
        <v>49</v>
      </c>
      <c r="AC552" s="19" t="s">
        <v>49</v>
      </c>
      <c r="AD552" s="19" t="str">
        <f ca="1">IFERROR(DATEDIF(DadosViagem5[[#This Row],[Utimo Bip Reserva]],TODAY(),"D"),"")</f>
        <v/>
      </c>
      <c r="AE552" s="36" t="s">
        <v>49</v>
      </c>
      <c r="AF552" s="25" t="s">
        <v>49</v>
      </c>
      <c r="AG552" s="36"/>
      <c r="AH552" s="25">
        <v>45807</v>
      </c>
      <c r="AI552" s="36" t="str">
        <f>IF(DadosViagem5[[#This Row],[Dias em manutenção ]]&lt;5,"Dentro do Prazo","Fora do Prazo")</f>
        <v>Fora do Prazo</v>
      </c>
      <c r="AJ552" s="36" t="e">
        <v>#REF!</v>
      </c>
    </row>
    <row r="553" spans="1:36">
      <c r="A553" s="19" t="s">
        <v>957</v>
      </c>
      <c r="B553" s="20"/>
      <c r="C553" s="19" t="s">
        <v>562</v>
      </c>
      <c r="D553" s="19" t="s">
        <v>563</v>
      </c>
      <c r="E553" s="19" t="s">
        <v>114</v>
      </c>
      <c r="F553" s="19" t="s">
        <v>115</v>
      </c>
      <c r="G553" s="19"/>
      <c r="H553" s="20">
        <v>2022</v>
      </c>
      <c r="I553" s="19" t="s">
        <v>456</v>
      </c>
      <c r="J553" s="19" t="s">
        <v>895</v>
      </c>
      <c r="K553" s="21" t="s">
        <v>896</v>
      </c>
      <c r="L553" s="22" t="s">
        <v>60</v>
      </c>
      <c r="M553" s="23" t="s">
        <v>268</v>
      </c>
      <c r="N553" s="36" t="s">
        <v>459</v>
      </c>
      <c r="O553" s="36" t="s">
        <v>460</v>
      </c>
      <c r="P553" s="26">
        <f ca="1">IFERROR(VLOOKUP(DadosViagem5[[#This Row],[Placa]],[1]BIP!A:E,5,FALSE),"")</f>
        <v>45989</v>
      </c>
      <c r="Q553" s="27">
        <f ca="1">DATEDIF(DadosViagem5[[#This Row],[BIP]],TODAY(),"D")</f>
        <v>1</v>
      </c>
      <c r="R553" s="28" t="str">
        <f>IFERROR(VLOOKUP(DadosViagem5[[#This Row],[Placa]],[1]DDS!B:C,2,FALSE),"Verificar cadastro")</f>
        <v>Operando</v>
      </c>
      <c r="S553" s="29" t="s">
        <v>48</v>
      </c>
      <c r="T553" s="23"/>
      <c r="U553" s="30"/>
      <c r="V553" s="31"/>
      <c r="W553" s="32"/>
      <c r="X553" s="33"/>
      <c r="Y553" s="34"/>
      <c r="Z553" s="32"/>
      <c r="AA553" s="20" t="s">
        <v>49</v>
      </c>
      <c r="AB553" s="20" t="s">
        <v>49</v>
      </c>
      <c r="AC553" s="19" t="s">
        <v>49</v>
      </c>
      <c r="AD553" s="19" t="str">
        <f ca="1">IFERROR(DATEDIF(DadosViagem5[[#This Row],[Utimo Bip Reserva]],TODAY(),"D"),"")</f>
        <v/>
      </c>
      <c r="AE553" s="36" t="s">
        <v>49</v>
      </c>
      <c r="AF553" s="25" t="s">
        <v>49</v>
      </c>
      <c r="AG553" s="36"/>
      <c r="AH553" s="25">
        <v>45807</v>
      </c>
      <c r="AI553" s="36" t="str">
        <f>IF(DadosViagem5[[#This Row],[Dias em manutenção ]]&lt;5,"Dentro do Prazo","Fora do Prazo")</f>
        <v>Fora do Prazo</v>
      </c>
      <c r="AJ553" s="36" t="e">
        <v>#REF!</v>
      </c>
    </row>
    <row r="554" spans="1:36">
      <c r="A554" s="19" t="s">
        <v>958</v>
      </c>
      <c r="B554" s="20"/>
      <c r="C554" s="19" t="s">
        <v>131</v>
      </c>
      <c r="D554" s="19" t="s">
        <v>132</v>
      </c>
      <c r="E554" s="19" t="s">
        <v>114</v>
      </c>
      <c r="F554" s="19" t="s">
        <v>115</v>
      </c>
      <c r="G554" s="19"/>
      <c r="H554" s="20">
        <v>2023</v>
      </c>
      <c r="I554" s="19" t="s">
        <v>456</v>
      </c>
      <c r="J554" s="19" t="s">
        <v>895</v>
      </c>
      <c r="K554" s="21" t="s">
        <v>896</v>
      </c>
      <c r="L554" s="22" t="s">
        <v>60</v>
      </c>
      <c r="M554" s="23" t="s">
        <v>268</v>
      </c>
      <c r="N554" s="36" t="s">
        <v>459</v>
      </c>
      <c r="O554" s="36" t="s">
        <v>460</v>
      </c>
      <c r="P554" s="26">
        <f ca="1">IFERROR(VLOOKUP(DadosViagem5[[#This Row],[Placa]],[1]BIP!A:E,5,FALSE),"")</f>
        <v>45930</v>
      </c>
      <c r="Q554" s="27">
        <f ca="1">DATEDIF(DadosViagem5[[#This Row],[BIP]],TODAY(),"D")</f>
        <v>60</v>
      </c>
      <c r="R554" s="28" t="str">
        <f>IFERROR(VLOOKUP(DadosViagem5[[#This Row],[Placa]],[1]DDS!B:C,2,FALSE),"Verificar cadastro")</f>
        <v>Verificar cadastro</v>
      </c>
      <c r="S554" s="36" t="s">
        <v>35</v>
      </c>
      <c r="T554" s="23"/>
      <c r="U554" s="30"/>
      <c r="V554" s="31"/>
      <c r="W554" s="32"/>
      <c r="X554" s="33"/>
      <c r="Y554" s="34"/>
      <c r="Z554" s="32"/>
      <c r="AA554" s="20" t="s">
        <v>49</v>
      </c>
      <c r="AB554" s="20" t="s">
        <v>49</v>
      </c>
      <c r="AC554" s="19" t="s">
        <v>49</v>
      </c>
      <c r="AD554" s="19" t="str">
        <f ca="1">IFERROR(DATEDIF(DadosViagem5[[#This Row],[Utimo Bip Reserva]],TODAY(),"D"),"")</f>
        <v/>
      </c>
      <c r="AE554" s="36" t="s">
        <v>49</v>
      </c>
      <c r="AF554" s="25" t="s">
        <v>49</v>
      </c>
      <c r="AG554" s="36"/>
      <c r="AH554" s="25">
        <v>45807</v>
      </c>
      <c r="AI554" s="36" t="str">
        <f>IF(DadosViagem5[[#This Row],[Dias em manutenção ]]&lt;5,"Dentro do Prazo","Fora do Prazo")</f>
        <v>Fora do Prazo</v>
      </c>
      <c r="AJ554" s="36" t="e">
        <v>#REF!</v>
      </c>
    </row>
    <row r="555" spans="1:36">
      <c r="A555" s="19" t="s">
        <v>959</v>
      </c>
      <c r="B555" s="20"/>
      <c r="C555" s="19" t="s">
        <v>562</v>
      </c>
      <c r="D555" s="19" t="s">
        <v>563</v>
      </c>
      <c r="E555" s="19" t="s">
        <v>114</v>
      </c>
      <c r="F555" s="19" t="s">
        <v>115</v>
      </c>
      <c r="G555" s="19"/>
      <c r="H555" s="20">
        <v>2022</v>
      </c>
      <c r="I555" s="19" t="s">
        <v>456</v>
      </c>
      <c r="J555" s="19" t="s">
        <v>895</v>
      </c>
      <c r="K555" s="21" t="s">
        <v>896</v>
      </c>
      <c r="L555" s="22" t="s">
        <v>60</v>
      </c>
      <c r="M555" s="23" t="s">
        <v>268</v>
      </c>
      <c r="N555" s="36" t="s">
        <v>459</v>
      </c>
      <c r="O555" s="36" t="s">
        <v>460</v>
      </c>
      <c r="P555" s="26">
        <f ca="1">IFERROR(VLOOKUP(DadosViagem5[[#This Row],[Placa]],[1]BIP!A:E,5,FALSE),"")</f>
        <v>45989</v>
      </c>
      <c r="Q555" s="27">
        <f ca="1">DATEDIF(DadosViagem5[[#This Row],[BIP]],TODAY(),"D")</f>
        <v>1</v>
      </c>
      <c r="R555" s="28" t="str">
        <f>IFERROR(VLOOKUP(DadosViagem5[[#This Row],[Placa]],[1]DDS!B:C,2,FALSE),"Verificar cadastro")</f>
        <v>Operando</v>
      </c>
      <c r="S555" s="29" t="s">
        <v>48</v>
      </c>
      <c r="T555" s="23"/>
      <c r="U555" s="30"/>
      <c r="V555" s="31"/>
      <c r="W555" s="32"/>
      <c r="X555" s="33" t="s">
        <v>55</v>
      </c>
      <c r="Y555" s="34"/>
      <c r="Z555" s="32"/>
      <c r="AA555" s="20" t="s">
        <v>49</v>
      </c>
      <c r="AB555" s="20" t="s">
        <v>49</v>
      </c>
      <c r="AC555" s="19" t="s">
        <v>49</v>
      </c>
      <c r="AD555" s="19" t="str">
        <f ca="1">IFERROR(DATEDIF(DadosViagem5[[#This Row],[Utimo Bip Reserva]],TODAY(),"D"),"")</f>
        <v/>
      </c>
      <c r="AE555" s="36" t="s">
        <v>49</v>
      </c>
      <c r="AF555" s="25" t="s">
        <v>49</v>
      </c>
      <c r="AG555" s="36"/>
      <c r="AH555" s="25">
        <v>45807</v>
      </c>
      <c r="AI555" s="36" t="str">
        <f>IF(DadosViagem5[[#This Row],[Dias em manutenção ]]&lt;5,"Dentro do Prazo","Fora do Prazo")</f>
        <v>Fora do Prazo</v>
      </c>
      <c r="AJ555" s="36" t="e">
        <v>#REF!</v>
      </c>
    </row>
    <row r="556" spans="1:36">
      <c r="A556" s="19" t="s">
        <v>960</v>
      </c>
      <c r="B556" s="20"/>
      <c r="C556" s="19" t="s">
        <v>562</v>
      </c>
      <c r="D556" s="19" t="s">
        <v>563</v>
      </c>
      <c r="E556" s="19" t="s">
        <v>114</v>
      </c>
      <c r="F556" s="19" t="s">
        <v>115</v>
      </c>
      <c r="G556" s="19"/>
      <c r="H556" s="20">
        <v>2023</v>
      </c>
      <c r="I556" s="19" t="s">
        <v>456</v>
      </c>
      <c r="J556" s="19" t="s">
        <v>895</v>
      </c>
      <c r="K556" s="21" t="s">
        <v>896</v>
      </c>
      <c r="L556" s="22" t="s">
        <v>60</v>
      </c>
      <c r="M556" s="23" t="s">
        <v>268</v>
      </c>
      <c r="N556" s="36" t="s">
        <v>459</v>
      </c>
      <c r="O556" s="36" t="s">
        <v>460</v>
      </c>
      <c r="P556" s="26">
        <f ca="1">IFERROR(VLOOKUP(DadosViagem5[[#This Row],[Placa]],[1]BIP!A:E,5,FALSE),"")</f>
        <v>45982</v>
      </c>
      <c r="Q556" s="27">
        <f ca="1">DATEDIF(DadosViagem5[[#This Row],[BIP]],TODAY(),"D")</f>
        <v>8</v>
      </c>
      <c r="R556" s="28" t="str">
        <f>IFERROR(VLOOKUP(DadosViagem5[[#This Row],[Placa]],[1]DDS!B:C,2,FALSE),"Verificar cadastro")</f>
        <v> </v>
      </c>
      <c r="S556" s="29" t="s">
        <v>48</v>
      </c>
      <c r="T556" s="23"/>
      <c r="U556" s="30"/>
      <c r="V556" s="31"/>
      <c r="W556" s="32"/>
      <c r="X556" s="33"/>
      <c r="Y556" s="34"/>
      <c r="Z556" s="32"/>
      <c r="AA556" s="20" t="s">
        <v>49</v>
      </c>
      <c r="AB556" s="20" t="s">
        <v>49</v>
      </c>
      <c r="AC556" s="20" t="s">
        <v>49</v>
      </c>
      <c r="AD556" s="20" t="s">
        <v>49</v>
      </c>
      <c r="AE556" s="36" t="s">
        <v>49</v>
      </c>
      <c r="AF556" s="25" t="s">
        <v>49</v>
      </c>
      <c r="AG556" s="36"/>
      <c r="AH556" s="25">
        <v>45807</v>
      </c>
      <c r="AI556" s="36" t="str">
        <f>IF(DadosViagem5[[#This Row],[Dias em manutenção ]]&lt;5,"Dentro do Prazo","Fora do Prazo")</f>
        <v>Fora do Prazo</v>
      </c>
      <c r="AJ556" s="36" t="e">
        <v>#REF!</v>
      </c>
    </row>
    <row r="557" spans="1:36">
      <c r="A557" s="19" t="s">
        <v>961</v>
      </c>
      <c r="B557" s="20"/>
      <c r="C557" s="19" t="s">
        <v>562</v>
      </c>
      <c r="D557" s="19" t="s">
        <v>563</v>
      </c>
      <c r="E557" s="19" t="s">
        <v>114</v>
      </c>
      <c r="F557" s="19" t="s">
        <v>115</v>
      </c>
      <c r="G557" s="19"/>
      <c r="H557" s="20">
        <v>2021</v>
      </c>
      <c r="I557" s="19" t="s">
        <v>456</v>
      </c>
      <c r="J557" s="19" t="s">
        <v>895</v>
      </c>
      <c r="K557" s="21" t="s">
        <v>896</v>
      </c>
      <c r="L557" s="22" t="s">
        <v>60</v>
      </c>
      <c r="M557" s="23" t="s">
        <v>268</v>
      </c>
      <c r="N557" s="36" t="s">
        <v>459</v>
      </c>
      <c r="O557" s="36" t="s">
        <v>460</v>
      </c>
      <c r="P557" s="26">
        <f ca="1">IFERROR(VLOOKUP(DadosViagem5[[#This Row],[Placa]],[1]BIP!A:E,5,FALSE),"")</f>
        <v>45989</v>
      </c>
      <c r="Q557" s="27">
        <f ca="1">DATEDIF(DadosViagem5[[#This Row],[BIP]],TODAY(),"D")</f>
        <v>1</v>
      </c>
      <c r="R557" s="28" t="str">
        <f>IFERROR(VLOOKUP(DadosViagem5[[#This Row],[Placa]],[1]DDS!B:C,2,FALSE),"Verificar cadastro")</f>
        <v>Operando</v>
      </c>
      <c r="S557" s="29" t="s">
        <v>48</v>
      </c>
      <c r="T557" s="23"/>
      <c r="U557" s="30"/>
      <c r="V557" s="31"/>
      <c r="W557" s="32"/>
      <c r="X557" s="33"/>
      <c r="Y557" s="34"/>
      <c r="Z557" s="32"/>
      <c r="AA557" s="20" t="s">
        <v>49</v>
      </c>
      <c r="AB557" s="20" t="s">
        <v>49</v>
      </c>
      <c r="AC557" s="19"/>
      <c r="AD557" s="19"/>
      <c r="AE557" s="103" t="s">
        <v>944</v>
      </c>
      <c r="AF557" s="25" t="s">
        <v>49</v>
      </c>
      <c r="AG557" s="36"/>
      <c r="AH557" s="25">
        <v>45807</v>
      </c>
      <c r="AI557" s="36" t="str">
        <f>IF(DadosViagem5[[#This Row],[Dias em manutenção ]]&lt;5,"Dentro do Prazo","Fora do Prazo")</f>
        <v>Fora do Prazo</v>
      </c>
      <c r="AJ557" s="36" t="e">
        <v>#REF!</v>
      </c>
    </row>
    <row r="558" spans="1:36">
      <c r="A558" s="19" t="s">
        <v>962</v>
      </c>
      <c r="B558" s="20"/>
      <c r="C558" s="19" t="s">
        <v>562</v>
      </c>
      <c r="D558" s="19" t="s">
        <v>563</v>
      </c>
      <c r="E558" s="19" t="s">
        <v>114</v>
      </c>
      <c r="F558" s="19" t="s">
        <v>115</v>
      </c>
      <c r="G558" s="19"/>
      <c r="H558" s="20">
        <v>2022</v>
      </c>
      <c r="I558" s="19" t="s">
        <v>456</v>
      </c>
      <c r="J558" s="19" t="s">
        <v>895</v>
      </c>
      <c r="K558" s="21" t="s">
        <v>896</v>
      </c>
      <c r="L558" s="22" t="s">
        <v>60</v>
      </c>
      <c r="M558" s="46" t="s">
        <v>268</v>
      </c>
      <c r="N558" s="36" t="s">
        <v>459</v>
      </c>
      <c r="O558" s="36" t="s">
        <v>460</v>
      </c>
      <c r="P558" s="26">
        <f ca="1">IFERROR(VLOOKUP(DadosViagem5[[#This Row],[Placa]],[1]BIP!A:E,5,FALSE),"")</f>
        <v>45989</v>
      </c>
      <c r="Q558" s="27">
        <f ca="1">DATEDIF(DadosViagem5[[#This Row],[BIP]],TODAY(),"D")</f>
        <v>1</v>
      </c>
      <c r="R558" s="28" t="str">
        <f>IFERROR(VLOOKUP(DadosViagem5[[#This Row],[Placa]],[1]DDS!B:C,2,FALSE),"Verificar cadastro")</f>
        <v>Operando</v>
      </c>
      <c r="S558" s="29" t="s">
        <v>48</v>
      </c>
      <c r="T558" s="23"/>
      <c r="U558" s="30"/>
      <c r="V558" s="31"/>
      <c r="W558" s="32" t="s">
        <v>963</v>
      </c>
      <c r="X558" s="33"/>
      <c r="Y558" s="34"/>
      <c r="Z558" s="32"/>
      <c r="AA558" s="20" t="s">
        <v>49</v>
      </c>
      <c r="AB558" s="20" t="s">
        <v>49</v>
      </c>
      <c r="AC558" s="19" t="s">
        <v>49</v>
      </c>
      <c r="AD558" s="19" t="str">
        <f ca="1">IFERROR(DATEDIF(DadosViagem5[[#This Row],[Utimo Bip Reserva]],TODAY(),"D"),"")</f>
        <v/>
      </c>
      <c r="AE558" s="36" t="s">
        <v>49</v>
      </c>
      <c r="AF558" s="25" t="s">
        <v>49</v>
      </c>
      <c r="AG558" s="36"/>
      <c r="AH558" s="25">
        <v>45807</v>
      </c>
      <c r="AI558" s="36" t="str">
        <f>IF(DadosViagem5[[#This Row],[Dias em manutenção ]]&lt;5,"Dentro do Prazo","Fora do Prazo")</f>
        <v>Fora do Prazo</v>
      </c>
      <c r="AJ558" s="36" t="e">
        <v>#REF!</v>
      </c>
    </row>
    <row r="559" spans="1:36">
      <c r="A559" s="19" t="s">
        <v>964</v>
      </c>
      <c r="B559" s="20"/>
      <c r="C559" s="19" t="s">
        <v>74</v>
      </c>
      <c r="D559" s="19" t="s">
        <v>52</v>
      </c>
      <c r="E559" s="19" t="s">
        <v>75</v>
      </c>
      <c r="F559" s="19" t="s">
        <v>76</v>
      </c>
      <c r="G559" s="19"/>
      <c r="H559" s="20">
        <v>2024</v>
      </c>
      <c r="I559" s="19" t="s">
        <v>456</v>
      </c>
      <c r="J559" s="19" t="s">
        <v>895</v>
      </c>
      <c r="K559" s="101" t="s">
        <v>896</v>
      </c>
      <c r="L559" s="22" t="s">
        <v>60</v>
      </c>
      <c r="M559" s="23" t="s">
        <v>77</v>
      </c>
      <c r="N559" s="36" t="s">
        <v>459</v>
      </c>
      <c r="O559" s="36" t="s">
        <v>460</v>
      </c>
      <c r="P559" s="26">
        <f ca="1">IFERROR(VLOOKUP(DadosViagem5[[#This Row],[Placa]],[1]BIP!A:E,5,FALSE),"")</f>
        <v>45989</v>
      </c>
      <c r="Q559" s="27">
        <f ca="1">DATEDIF(DadosViagem5[[#This Row],[BIP]],TODAY(),"D")</f>
        <v>1</v>
      </c>
      <c r="R559" s="28" t="str">
        <f>IFERROR(VLOOKUP(DadosViagem5[[#This Row],[Placa]],[1]DDS!B:C,2,FALSE),"Verificar cadastro")</f>
        <v>Operando</v>
      </c>
      <c r="S559" s="29" t="s">
        <v>48</v>
      </c>
      <c r="T559" s="23"/>
      <c r="U559" s="30"/>
      <c r="V559" s="31"/>
      <c r="W559" s="32"/>
      <c r="X559" s="33"/>
      <c r="Y559" s="34"/>
      <c r="Z559" s="32"/>
      <c r="AA559" s="20" t="s">
        <v>49</v>
      </c>
      <c r="AB559" s="20" t="s">
        <v>49</v>
      </c>
      <c r="AC559" s="19" t="s">
        <v>49</v>
      </c>
      <c r="AD559" s="19" t="str">
        <f ca="1">IFERROR(DATEDIF(DadosViagem5[[#This Row],[Utimo Bip Reserva]],TODAY(),"D"),"")</f>
        <v/>
      </c>
      <c r="AE559" s="25" t="s">
        <v>49</v>
      </c>
      <c r="AF559" s="25" t="s">
        <v>49</v>
      </c>
      <c r="AG559" s="36"/>
      <c r="AH559" s="25">
        <v>45807</v>
      </c>
      <c r="AI559" s="36" t="str">
        <f>IF(DadosViagem5[[#This Row],[Dias em manutenção ]]&lt;5,"Dentro do Prazo","Fora do Prazo")</f>
        <v>Fora do Prazo</v>
      </c>
      <c r="AJ559" s="36" t="e">
        <v>#REF!</v>
      </c>
    </row>
    <row r="560" spans="1:36">
      <c r="A560" s="19" t="s">
        <v>965</v>
      </c>
      <c r="B560" s="20"/>
      <c r="C560" s="19" t="s">
        <v>74</v>
      </c>
      <c r="D560" s="19" t="s">
        <v>52</v>
      </c>
      <c r="E560" s="19" t="s">
        <v>75</v>
      </c>
      <c r="F560" s="19" t="s">
        <v>76</v>
      </c>
      <c r="G560" s="19"/>
      <c r="H560" s="20">
        <v>2024</v>
      </c>
      <c r="I560" s="19" t="s">
        <v>456</v>
      </c>
      <c r="J560" s="19" t="s">
        <v>895</v>
      </c>
      <c r="K560" s="101" t="s">
        <v>896</v>
      </c>
      <c r="L560" s="22" t="s">
        <v>60</v>
      </c>
      <c r="M560" s="23" t="s">
        <v>77</v>
      </c>
      <c r="N560" s="36" t="s">
        <v>459</v>
      </c>
      <c r="O560" s="36" t="s">
        <v>460</v>
      </c>
      <c r="P560" s="26">
        <f ca="1">IFERROR(VLOOKUP(DadosViagem5[[#This Row],[Placa]],[1]BIP!A:E,5,FALSE),"")</f>
        <v>45989</v>
      </c>
      <c r="Q560" s="27">
        <f ca="1">DATEDIF(DadosViagem5[[#This Row],[BIP]],TODAY(),"D")</f>
        <v>1</v>
      </c>
      <c r="R560" s="28" t="str">
        <f>IFERROR(VLOOKUP(DadosViagem5[[#This Row],[Placa]],[1]DDS!B:C,2,FALSE),"Verificar cadastro")</f>
        <v>Operando</v>
      </c>
      <c r="S560" s="29" t="s">
        <v>48</v>
      </c>
      <c r="T560" s="23"/>
      <c r="U560" s="30"/>
      <c r="V560" s="31"/>
      <c r="W560" s="32"/>
      <c r="X560" s="33"/>
      <c r="Y560" s="34"/>
      <c r="Z560" s="32"/>
      <c r="AA560" s="20" t="s">
        <v>49</v>
      </c>
      <c r="AB560" s="20" t="s">
        <v>49</v>
      </c>
      <c r="AC560" s="19" t="s">
        <v>49</v>
      </c>
      <c r="AD560" s="19" t="str">
        <f ca="1">IFERROR(DATEDIF(DadosViagem5[[#This Row],[Utimo Bip Reserva]],TODAY(),"D"),"")</f>
        <v/>
      </c>
      <c r="AE560" s="25"/>
      <c r="AF560" s="25"/>
      <c r="AG560" s="36"/>
      <c r="AH560" s="25">
        <v>45807</v>
      </c>
      <c r="AI560" s="36" t="str">
        <f>IF(DadosViagem5[[#This Row],[Dias em manutenção ]]&lt;5,"Dentro do Prazo","Fora do Prazo")</f>
        <v>Fora do Prazo</v>
      </c>
      <c r="AJ560" s="36" t="e">
        <v>#REF!</v>
      </c>
    </row>
    <row r="561" spans="1:36">
      <c r="A561" s="19" t="s">
        <v>966</v>
      </c>
      <c r="B561" s="20"/>
      <c r="C561" s="19" t="s">
        <v>74</v>
      </c>
      <c r="D561" s="19" t="s">
        <v>52</v>
      </c>
      <c r="E561" s="19" t="s">
        <v>75</v>
      </c>
      <c r="F561" s="19" t="s">
        <v>76</v>
      </c>
      <c r="G561" s="19"/>
      <c r="H561" s="20">
        <v>2024</v>
      </c>
      <c r="I561" s="19" t="s">
        <v>456</v>
      </c>
      <c r="J561" s="19" t="s">
        <v>895</v>
      </c>
      <c r="K561" s="21" t="s">
        <v>896</v>
      </c>
      <c r="L561" s="22" t="s">
        <v>60</v>
      </c>
      <c r="M561" s="23" t="s">
        <v>77</v>
      </c>
      <c r="N561" s="36" t="s">
        <v>459</v>
      </c>
      <c r="O561" s="36" t="s">
        <v>460</v>
      </c>
      <c r="P561" s="26">
        <f ca="1">IFERROR(VLOOKUP(DadosViagem5[[#This Row],[Placa]],[1]BIP!A:E,5,FALSE),"")</f>
        <v>45989</v>
      </c>
      <c r="Q561" s="27">
        <f ca="1">DATEDIF(DadosViagem5[[#This Row],[BIP]],TODAY(),"D")</f>
        <v>1</v>
      </c>
      <c r="R561" s="28" t="str">
        <f>IFERROR(VLOOKUP(DadosViagem5[[#This Row],[Placa]],[1]DDS!B:C,2,FALSE),"Verificar cadastro")</f>
        <v>Operando</v>
      </c>
      <c r="S561" s="29" t="s">
        <v>48</v>
      </c>
      <c r="T561" s="23"/>
      <c r="U561" s="30"/>
      <c r="V561" s="31"/>
      <c r="W561" s="32"/>
      <c r="X561" s="33"/>
      <c r="Y561" s="34"/>
      <c r="Z561" s="32"/>
      <c r="AA561" s="20" t="s">
        <v>49</v>
      </c>
      <c r="AB561" s="20" t="s">
        <v>49</v>
      </c>
      <c r="AC561" s="19" t="s">
        <v>49</v>
      </c>
      <c r="AD561" s="19" t="str">
        <f ca="1">IFERROR(DATEDIF(DadosViagem5[[#This Row],[Utimo Bip Reserva]],TODAY(),"D"),"")</f>
        <v/>
      </c>
      <c r="AE561" s="36"/>
      <c r="AF561" s="25"/>
      <c r="AG561" s="36"/>
      <c r="AH561" s="25">
        <v>45807</v>
      </c>
      <c r="AI561" s="36" t="str">
        <f>IF(DadosViagem5[[#This Row],[Dias em manutenção ]]&lt;5,"Dentro do Prazo","Fora do Prazo")</f>
        <v>Fora do Prazo</v>
      </c>
      <c r="AJ561" s="36" t="e">
        <v>#REF!</v>
      </c>
    </row>
    <row r="562" spans="1:36">
      <c r="A562" s="19" t="s">
        <v>967</v>
      </c>
      <c r="B562" s="20">
        <v>770</v>
      </c>
      <c r="C562" s="19" t="s">
        <v>74</v>
      </c>
      <c r="D562" s="19" t="s">
        <v>52</v>
      </c>
      <c r="E562" s="19" t="s">
        <v>75</v>
      </c>
      <c r="F562" s="19" t="s">
        <v>76</v>
      </c>
      <c r="G562" s="19"/>
      <c r="H562" s="20">
        <v>2023</v>
      </c>
      <c r="I562" s="19" t="s">
        <v>456</v>
      </c>
      <c r="J562" s="19" t="s">
        <v>895</v>
      </c>
      <c r="K562" s="21" t="s">
        <v>896</v>
      </c>
      <c r="L562" s="22" t="s">
        <v>60</v>
      </c>
      <c r="M562" s="23" t="s">
        <v>77</v>
      </c>
      <c r="N562" s="36" t="s">
        <v>459</v>
      </c>
      <c r="O562" s="36" t="s">
        <v>460</v>
      </c>
      <c r="P562" s="26" t="str">
        <f>IFERROR(VLOOKUP(DadosViagem5[[#This Row],[Placa]],[1]BIP!A:E,5,FALSE),"")</f>
        <v/>
      </c>
      <c r="Q562" s="27" t="e">
        <f ca="1">DATEDIF(DadosViagem5[[#This Row],[BIP]],TODAY(),"D")</f>
        <v>#VALUE!</v>
      </c>
      <c r="R562" s="28" t="str">
        <f>IFERROR(VLOOKUP(DadosViagem5[[#This Row],[Placa]],[1]DDS!B:C,2,FALSE),"Verificar cadastro")</f>
        <v>Manutenção</v>
      </c>
      <c r="S562" s="29" t="s">
        <v>48</v>
      </c>
      <c r="T562" s="23"/>
      <c r="U562" s="30"/>
      <c r="V562" s="31"/>
      <c r="W562" s="32" t="s">
        <v>968</v>
      </c>
      <c r="X562" s="33"/>
      <c r="Y562" s="34"/>
      <c r="Z562" s="32"/>
      <c r="AA562" s="20" t="s">
        <v>49</v>
      </c>
      <c r="AB562" s="20" t="s">
        <v>49</v>
      </c>
      <c r="AC562" s="20" t="s">
        <v>49</v>
      </c>
      <c r="AD562" s="20" t="s">
        <v>49</v>
      </c>
      <c r="AE562" s="36"/>
      <c r="AF562" s="25"/>
      <c r="AG562" s="36"/>
      <c r="AH562" s="25">
        <v>45807</v>
      </c>
      <c r="AI562" s="36" t="str">
        <f>IF(DadosViagem5[[#This Row],[Dias em manutenção ]]&lt;5,"Dentro do Prazo","Fora do Prazo")</f>
        <v>Fora do Prazo</v>
      </c>
      <c r="AJ562" s="36" t="e">
        <v>#REF!</v>
      </c>
    </row>
    <row r="563" spans="1:36">
      <c r="A563" s="19" t="s">
        <v>969</v>
      </c>
      <c r="B563" s="20"/>
      <c r="C563" s="19" t="s">
        <v>74</v>
      </c>
      <c r="D563" s="19" t="s">
        <v>52</v>
      </c>
      <c r="E563" s="19" t="s">
        <v>75</v>
      </c>
      <c r="F563" s="19" t="s">
        <v>76</v>
      </c>
      <c r="G563" s="19"/>
      <c r="H563" s="20">
        <v>2024</v>
      </c>
      <c r="I563" s="19" t="s">
        <v>456</v>
      </c>
      <c r="J563" s="19" t="s">
        <v>895</v>
      </c>
      <c r="K563" s="21" t="s">
        <v>896</v>
      </c>
      <c r="L563" s="22" t="s">
        <v>60</v>
      </c>
      <c r="M563" s="23" t="s">
        <v>77</v>
      </c>
      <c r="N563" s="36" t="s">
        <v>459</v>
      </c>
      <c r="O563" s="36" t="s">
        <v>460</v>
      </c>
      <c r="P563" s="26" t="str">
        <f>IFERROR(VLOOKUP(DadosViagem5[[#This Row],[Placa]],[1]BIP!A:E,5,FALSE),"")</f>
        <v/>
      </c>
      <c r="Q563" s="27" t="e">
        <f ca="1">DATEDIF(DadosViagem5[[#This Row],[BIP]],TODAY(),"D")</f>
        <v>#VALUE!</v>
      </c>
      <c r="R563" s="28" t="str">
        <f>IFERROR(VLOOKUP(DadosViagem5[[#This Row],[Placa]],[1]DDS!B:C,2,FALSE),"Verificar cadastro")</f>
        <v>Operando</v>
      </c>
      <c r="S563" s="29" t="s">
        <v>48</v>
      </c>
      <c r="T563" s="31"/>
      <c r="U563" s="31"/>
      <c r="V563" s="31"/>
      <c r="W563" s="32"/>
      <c r="X563" s="105"/>
      <c r="Y563" s="106"/>
      <c r="Z563" s="107"/>
      <c r="AA563" s="20">
        <v>0</v>
      </c>
      <c r="AB563" s="20">
        <v>0</v>
      </c>
      <c r="AC563" s="19" t="s">
        <v>49</v>
      </c>
      <c r="AD563" s="19" t="s">
        <v>49</v>
      </c>
      <c r="AE563" s="36" t="s">
        <v>49</v>
      </c>
      <c r="AF563" s="25" t="s">
        <v>49</v>
      </c>
      <c r="AG563" s="36"/>
      <c r="AH563" s="25">
        <v>28</v>
      </c>
      <c r="AI563" s="36" t="s">
        <v>970</v>
      </c>
      <c r="AJ563" s="36" t="s">
        <v>971</v>
      </c>
    </row>
    <row r="564" spans="1:36">
      <c r="A564" s="19" t="s">
        <v>972</v>
      </c>
      <c r="B564" s="20"/>
      <c r="C564" s="19" t="s">
        <v>74</v>
      </c>
      <c r="D564" s="19" t="s">
        <v>52</v>
      </c>
      <c r="E564" s="19" t="s">
        <v>114</v>
      </c>
      <c r="F564" s="19" t="s">
        <v>115</v>
      </c>
      <c r="G564" s="19"/>
      <c r="H564" s="20">
        <v>2023</v>
      </c>
      <c r="I564" s="19" t="s">
        <v>41</v>
      </c>
      <c r="J564" s="19" t="s">
        <v>973</v>
      </c>
      <c r="K564" s="21" t="s">
        <v>974</v>
      </c>
      <c r="L564" s="22" t="s">
        <v>60</v>
      </c>
      <c r="M564" s="23" t="s">
        <v>77</v>
      </c>
      <c r="N564" s="25" t="s">
        <v>975</v>
      </c>
      <c r="O564" s="25" t="s">
        <v>710</v>
      </c>
      <c r="P564" s="26">
        <f ca="1">IFERROR(VLOOKUP(DadosViagem5[[#This Row],[Placa]],[1]BIP!A:E,5,FALSE),"")</f>
        <v>45643</v>
      </c>
      <c r="Q564" s="27">
        <f ca="1">DATEDIF(DadosViagem5[[#This Row],[BIP]],TODAY(),"D")</f>
        <v>347</v>
      </c>
      <c r="R564" s="28" t="str">
        <f>IFERROR(VLOOKUP(DadosViagem5[[#This Row],[Placa]],[1]DDS!B:C,2,FALSE),"Verificar cadastro")</f>
        <v>Verificar cadastro</v>
      </c>
      <c r="S564" s="29" t="s">
        <v>173</v>
      </c>
      <c r="T564" s="23"/>
      <c r="U564" s="30"/>
      <c r="V564" s="47">
        <v>45727</v>
      </c>
      <c r="W564" s="32" t="s">
        <v>976</v>
      </c>
      <c r="X564" s="33" t="s">
        <v>977</v>
      </c>
      <c r="Y564" s="34" t="s">
        <v>159</v>
      </c>
      <c r="Z564" s="107" t="s">
        <v>171</v>
      </c>
      <c r="AA564" s="20" t="s">
        <v>49</v>
      </c>
      <c r="AB564" s="20" t="s">
        <v>49</v>
      </c>
      <c r="AC564" s="19" t="s">
        <v>49</v>
      </c>
      <c r="AD564" s="19" t="str">
        <f ca="1">IFERROR(DATEDIF(DadosViagem5[[#This Row],[Utimo Bip Reserva]],TODAY(),"D"),"")</f>
        <v/>
      </c>
      <c r="AE564" s="36" t="s">
        <v>978</v>
      </c>
      <c r="AF564" s="25" t="s">
        <v>49</v>
      </c>
      <c r="AG564" s="30" t="s">
        <v>153</v>
      </c>
      <c r="AH564" s="25">
        <v>163</v>
      </c>
      <c r="AI564" s="36" t="str">
        <f>IF(DadosViagem5[[#This Row],[Dias em manutenção ]]&lt;5,"Dentro do Prazo","Fora do Prazo")</f>
        <v>Fora do Prazo</v>
      </c>
      <c r="AJ564" s="36" t="e">
        <v>#REF!</v>
      </c>
    </row>
    <row r="565" spans="1:36">
      <c r="A565" s="19" t="s">
        <v>979</v>
      </c>
      <c r="B565" s="20"/>
      <c r="C565" s="19" t="s">
        <v>88</v>
      </c>
      <c r="D565" s="19" t="s">
        <v>52</v>
      </c>
      <c r="E565" s="19" t="s">
        <v>114</v>
      </c>
      <c r="F565" s="19" t="s">
        <v>115</v>
      </c>
      <c r="G565" s="19"/>
      <c r="H565" s="20">
        <v>2023</v>
      </c>
      <c r="I565" s="19" t="s">
        <v>41</v>
      </c>
      <c r="J565" s="19" t="s">
        <v>973</v>
      </c>
      <c r="K565" s="21" t="s">
        <v>974</v>
      </c>
      <c r="L565" s="22" t="s">
        <v>60</v>
      </c>
      <c r="M565" s="23" t="s">
        <v>61</v>
      </c>
      <c r="N565" s="25" t="s">
        <v>975</v>
      </c>
      <c r="O565" s="25" t="s">
        <v>710</v>
      </c>
      <c r="P565" s="26">
        <f ca="1">IFERROR(VLOOKUP(DadosViagem5[[#This Row],[Placa]],[1]BIP!A:E,5,FALSE),"")</f>
        <v>45959</v>
      </c>
      <c r="Q565" s="27">
        <f ca="1">DATEDIF(DadosViagem5[[#This Row],[BIP]],TODAY(),"D")</f>
        <v>31</v>
      </c>
      <c r="R565" s="28" t="str">
        <f>IFERROR(VLOOKUP(DadosViagem5[[#This Row],[Placa]],[1]DDS!B:C,2,FALSE),"Verificar cadastro")</f>
        <v>Sem operação</v>
      </c>
      <c r="S565" s="29" t="s">
        <v>48</v>
      </c>
      <c r="T565" s="23"/>
      <c r="U565" s="30"/>
      <c r="V565" s="31"/>
      <c r="W565" s="32"/>
      <c r="X565" s="33"/>
      <c r="Y565" s="34"/>
      <c r="Z565" s="32"/>
      <c r="AA565" s="20" t="s">
        <v>49</v>
      </c>
      <c r="AB565" s="20" t="s">
        <v>49</v>
      </c>
      <c r="AC565" s="19" t="s">
        <v>49</v>
      </c>
      <c r="AD565" s="19" t="str">
        <f ca="1">IFERROR(DATEDIF(DadosViagem5[[#This Row],[Utimo Bip Reserva]],TODAY(),"D"),"")</f>
        <v/>
      </c>
      <c r="AE565" s="36" t="s">
        <v>49</v>
      </c>
      <c r="AF565" s="25" t="s">
        <v>49</v>
      </c>
      <c r="AG565" s="36"/>
      <c r="AH565" s="25">
        <v>45807</v>
      </c>
      <c r="AI565" s="36" t="str">
        <f>IF(DadosViagem5[[#This Row],[Dias em manutenção ]]&lt;5,"Dentro do Prazo","Fora do Prazo")</f>
        <v>Fora do Prazo</v>
      </c>
      <c r="AJ565" s="36" t="e">
        <v>#REF!</v>
      </c>
    </row>
    <row r="566" spans="1:36">
      <c r="A566" s="19" t="s">
        <v>980</v>
      </c>
      <c r="B566" s="20"/>
      <c r="C566" s="19" t="s">
        <v>88</v>
      </c>
      <c r="D566" s="19" t="s">
        <v>52</v>
      </c>
      <c r="E566" s="19" t="s">
        <v>114</v>
      </c>
      <c r="F566" s="19" t="s">
        <v>115</v>
      </c>
      <c r="G566" s="19"/>
      <c r="H566" s="20">
        <v>2020</v>
      </c>
      <c r="I566" s="19" t="s">
        <v>41</v>
      </c>
      <c r="J566" s="19" t="s">
        <v>973</v>
      </c>
      <c r="K566" s="21" t="s">
        <v>974</v>
      </c>
      <c r="L566" s="22" t="s">
        <v>60</v>
      </c>
      <c r="M566" s="23" t="s">
        <v>61</v>
      </c>
      <c r="N566" s="25" t="s">
        <v>975</v>
      </c>
      <c r="O566" s="25" t="s">
        <v>710</v>
      </c>
      <c r="P566" s="26">
        <f ca="1">IFERROR(VLOOKUP(DadosViagem5[[#This Row],[Placa]],[1]BIP!A:E,5,FALSE),"")</f>
        <v>45989</v>
      </c>
      <c r="Q566" s="27">
        <f ca="1">DATEDIF(DadosViagem5[[#This Row],[BIP]],TODAY(),"D")</f>
        <v>1</v>
      </c>
      <c r="R566" s="28" t="str">
        <f>IFERROR(VLOOKUP(DadosViagem5[[#This Row],[Placa]],[1]DDS!B:C,2,FALSE),"Verificar cadastro")</f>
        <v>Operando</v>
      </c>
      <c r="S566" s="29" t="s">
        <v>48</v>
      </c>
      <c r="T566" s="23"/>
      <c r="U566" s="30"/>
      <c r="V566" s="31"/>
      <c r="W566" s="32"/>
      <c r="X566" s="33"/>
      <c r="Y566" s="34"/>
      <c r="Z566" s="42"/>
      <c r="AA566" s="20" t="s">
        <v>49</v>
      </c>
      <c r="AB566" s="20" t="s">
        <v>49</v>
      </c>
      <c r="AC566" s="19" t="s">
        <v>49</v>
      </c>
      <c r="AD566" s="19" t="str">
        <f ca="1">IFERROR(DATEDIF(DadosViagem5[[#This Row],[Utimo Bip Reserva]],TODAY(),"D"),"")</f>
        <v/>
      </c>
      <c r="AE566" s="36" t="s">
        <v>49</v>
      </c>
      <c r="AF566" s="25" t="s">
        <v>49</v>
      </c>
      <c r="AG566" s="36" t="s">
        <v>481</v>
      </c>
      <c r="AH566" s="25">
        <v>3</v>
      </c>
      <c r="AI566" s="36" t="str">
        <f>IF(DadosViagem5[[#This Row],[Dias em manutenção ]]&lt;5,"Dentro do Prazo","Fora do Prazo")</f>
        <v>Dentro do Prazo</v>
      </c>
      <c r="AJ566" s="36" t="e">
        <v>#REF!</v>
      </c>
    </row>
    <row r="567" spans="1:36">
      <c r="A567" s="19" t="s">
        <v>981</v>
      </c>
      <c r="B567" s="20"/>
      <c r="C567" s="19" t="s">
        <v>97</v>
      </c>
      <c r="D567" s="19" t="s">
        <v>98</v>
      </c>
      <c r="E567" s="19" t="s">
        <v>53</v>
      </c>
      <c r="F567" s="19" t="s">
        <v>396</v>
      </c>
      <c r="G567" s="19"/>
      <c r="H567" s="20">
        <v>2023</v>
      </c>
      <c r="I567" s="19" t="s">
        <v>41</v>
      </c>
      <c r="J567" s="19" t="s">
        <v>973</v>
      </c>
      <c r="K567" s="21" t="s">
        <v>974</v>
      </c>
      <c r="L567" s="22" t="s">
        <v>60</v>
      </c>
      <c r="M567" s="23" t="s">
        <v>61</v>
      </c>
      <c r="N567" s="25" t="s">
        <v>975</v>
      </c>
      <c r="O567" s="25" t="s">
        <v>710</v>
      </c>
      <c r="P567" s="26">
        <f ca="1">IFERROR(VLOOKUP(DadosViagem5[[#This Row],[Placa]],[1]BIP!A:E,5,FALSE),"")</f>
        <v>45989</v>
      </c>
      <c r="Q567" s="27">
        <f ca="1">DATEDIF(DadosViagem5[[#This Row],[BIP]],TODAY(),"D")</f>
        <v>1</v>
      </c>
      <c r="R567" s="28" t="str">
        <f>IFERROR(VLOOKUP(DadosViagem5[[#This Row],[Placa]],[1]DDS!B:C,2,FALSE),"Verificar cadastro")</f>
        <v>Operando</v>
      </c>
      <c r="S567" s="29" t="s">
        <v>48</v>
      </c>
      <c r="T567" s="23"/>
      <c r="U567" s="30"/>
      <c r="V567" s="31"/>
      <c r="W567" s="95"/>
      <c r="X567" s="33"/>
      <c r="Y567" s="34"/>
      <c r="Z567" s="32"/>
      <c r="AA567" s="20" t="s">
        <v>49</v>
      </c>
      <c r="AB567" s="20" t="s">
        <v>49</v>
      </c>
      <c r="AC567" s="19" t="s">
        <v>49</v>
      </c>
      <c r="AD567" s="19" t="str">
        <f ca="1">IFERROR(DATEDIF(DadosViagem5[[#This Row],[Utimo Bip Reserva]],TODAY(),"D"),"")</f>
        <v/>
      </c>
      <c r="AE567" s="25" t="s">
        <v>49</v>
      </c>
      <c r="AF567" s="25" t="s">
        <v>49</v>
      </c>
      <c r="AG567" s="36"/>
      <c r="AH567" s="25">
        <v>45807</v>
      </c>
      <c r="AI567" s="36" t="str">
        <f>IF(DadosViagem5[[#This Row],[Dias em manutenção ]]&lt;5,"Dentro do Prazo","Fora do Prazo")</f>
        <v>Fora do Prazo</v>
      </c>
      <c r="AJ567" s="36" t="e">
        <v>#REF!</v>
      </c>
    </row>
    <row r="568" spans="1:36">
      <c r="A568" s="19" t="s">
        <v>982</v>
      </c>
      <c r="B568" s="20"/>
      <c r="C568" s="19" t="s">
        <v>74</v>
      </c>
      <c r="D568" s="19" t="s">
        <v>52</v>
      </c>
      <c r="E568" s="19" t="s">
        <v>57</v>
      </c>
      <c r="F568" s="19" t="s">
        <v>115</v>
      </c>
      <c r="G568" s="19"/>
      <c r="H568" s="20">
        <v>2023</v>
      </c>
      <c r="I568" s="19" t="s">
        <v>41</v>
      </c>
      <c r="J568" s="19" t="s">
        <v>973</v>
      </c>
      <c r="K568" s="108" t="s">
        <v>974</v>
      </c>
      <c r="L568" s="72" t="s">
        <v>60</v>
      </c>
      <c r="M568" s="23" t="s">
        <v>77</v>
      </c>
      <c r="N568" s="25" t="s">
        <v>975</v>
      </c>
      <c r="O568" s="25" t="s">
        <v>710</v>
      </c>
      <c r="P568" s="26">
        <f ca="1">IFERROR(VLOOKUP(DadosViagem5[[#This Row],[Placa]],[1]BIP!A:E,5,FALSE),"")</f>
        <v>45989</v>
      </c>
      <c r="Q568" s="27">
        <f ca="1">DATEDIF(DadosViagem5[[#This Row],[BIP]],TODAY(),"D")</f>
        <v>1</v>
      </c>
      <c r="R568" s="28" t="str">
        <f>IFERROR(VLOOKUP(DadosViagem5[[#This Row],[Placa]],[1]DDS!B:C,2,FALSE),"Verificar cadastro")</f>
        <v>Operando</v>
      </c>
      <c r="S568" s="29" t="s">
        <v>48</v>
      </c>
      <c r="T568" s="23"/>
      <c r="U568" s="30"/>
      <c r="V568" s="31"/>
      <c r="W568" s="32"/>
      <c r="X568" s="33"/>
      <c r="Y568" s="34"/>
      <c r="Z568" s="32"/>
      <c r="AA568" s="20" t="s">
        <v>49</v>
      </c>
      <c r="AB568" s="20" t="s">
        <v>49</v>
      </c>
      <c r="AC568" s="19" t="s">
        <v>49</v>
      </c>
      <c r="AD568" s="19" t="str">
        <f ca="1">IFERROR(DATEDIF(DadosViagem5[[#This Row],[Utimo Bip Reserva]],TODAY(),"D"),"")</f>
        <v/>
      </c>
      <c r="AE568" s="25" t="s">
        <v>49</v>
      </c>
      <c r="AF568" s="25" t="s">
        <v>49</v>
      </c>
      <c r="AG568" s="36"/>
      <c r="AH568" s="25">
        <v>45807</v>
      </c>
      <c r="AI568" s="36" t="str">
        <f>IF(DadosViagem5[[#This Row],[Dias em manutenção ]]&lt;5,"Dentro do Prazo","Fora do Prazo")</f>
        <v>Fora do Prazo</v>
      </c>
      <c r="AJ568" s="36" t="e">
        <v>#REF!</v>
      </c>
    </row>
    <row r="569" spans="1:36">
      <c r="A569" s="19" t="s">
        <v>983</v>
      </c>
      <c r="B569" s="20"/>
      <c r="C569" s="19" t="s">
        <v>97</v>
      </c>
      <c r="D569" s="19" t="s">
        <v>98</v>
      </c>
      <c r="E569" s="19" t="s">
        <v>53</v>
      </c>
      <c r="F569" s="19" t="s">
        <v>40</v>
      </c>
      <c r="G569" s="19"/>
      <c r="H569" s="20">
        <v>2023</v>
      </c>
      <c r="I569" s="19" t="s">
        <v>41</v>
      </c>
      <c r="J569" s="19" t="s">
        <v>973</v>
      </c>
      <c r="K569" s="21" t="s">
        <v>974</v>
      </c>
      <c r="L569" s="22" t="s">
        <v>60</v>
      </c>
      <c r="M569" s="23" t="s">
        <v>61</v>
      </c>
      <c r="N569" s="25" t="s">
        <v>975</v>
      </c>
      <c r="O569" s="25" t="s">
        <v>710</v>
      </c>
      <c r="P569" s="26">
        <f ca="1">IFERROR(VLOOKUP(DadosViagem5[[#This Row],[Placa]],[1]BIP!A:E,5,FALSE),"")</f>
        <v>45989</v>
      </c>
      <c r="Q569" s="27">
        <f ca="1">DATEDIF(DadosViagem5[[#This Row],[BIP]],TODAY(),"D")</f>
        <v>1</v>
      </c>
      <c r="R569" s="28" t="str">
        <f>IFERROR(VLOOKUP(DadosViagem5[[#This Row],[Placa]],[1]DDS!B:C,2,FALSE),"Verificar cadastro")</f>
        <v>Operando</v>
      </c>
      <c r="S569" s="29" t="s">
        <v>48</v>
      </c>
      <c r="T569" s="23"/>
      <c r="U569" s="30"/>
      <c r="V569" s="31"/>
      <c r="W569" s="95"/>
      <c r="X569" s="33"/>
      <c r="Y569" s="34"/>
      <c r="Z569" s="32"/>
      <c r="AA569" s="20" t="s">
        <v>49</v>
      </c>
      <c r="AB569" s="20" t="s">
        <v>49</v>
      </c>
      <c r="AC569" s="19" t="s">
        <v>49</v>
      </c>
      <c r="AD569" s="19" t="str">
        <f ca="1">IFERROR(DATEDIF(DadosViagem5[[#This Row],[Utimo Bip Reserva]],TODAY(),"D"),"")</f>
        <v/>
      </c>
      <c r="AE569" s="36"/>
      <c r="AF569" s="25"/>
      <c r="AG569" s="36"/>
      <c r="AH569" s="25">
        <v>45807</v>
      </c>
      <c r="AI569" s="36" t="str">
        <f>IF(DadosViagem5[[#This Row],[Dias em manutenção ]]&lt;5,"Dentro do Prazo","Fora do Prazo")</f>
        <v>Fora do Prazo</v>
      </c>
      <c r="AJ569" s="36" t="e">
        <v>#REF!</v>
      </c>
    </row>
    <row r="570" spans="1:36">
      <c r="A570" s="19" t="s">
        <v>984</v>
      </c>
      <c r="B570" s="20"/>
      <c r="C570" s="19" t="s">
        <v>131</v>
      </c>
      <c r="D570" s="19" t="s">
        <v>132</v>
      </c>
      <c r="E570" s="19" t="s">
        <v>57</v>
      </c>
      <c r="F570" s="19" t="s">
        <v>40</v>
      </c>
      <c r="G570" s="19"/>
      <c r="H570" s="20">
        <v>2019</v>
      </c>
      <c r="I570" s="19" t="s">
        <v>137</v>
      </c>
      <c r="J570" s="19" t="s">
        <v>985</v>
      </c>
      <c r="K570" s="21" t="s">
        <v>986</v>
      </c>
      <c r="L570" s="22" t="s">
        <v>60</v>
      </c>
      <c r="M570" s="23" t="s">
        <v>140</v>
      </c>
      <c r="N570" s="25" t="s">
        <v>987</v>
      </c>
      <c r="O570" s="36" t="s">
        <v>479</v>
      </c>
      <c r="P570" s="26">
        <f ca="1">IFERROR(VLOOKUP(DadosViagem5[[#This Row],[Placa]],[1]BIP!A:E,5,FALSE),"")</f>
        <v>0</v>
      </c>
      <c r="Q570" s="27">
        <f ca="1">DATEDIF(DadosViagem5[[#This Row],[BIP]],TODAY(),"D")</f>
        <v>45990</v>
      </c>
      <c r="R570" s="28" t="str">
        <f>IFERROR(VLOOKUP(DadosViagem5[[#This Row],[Placa]],[1]DDS!B:C,2,FALSE),"Verificar cadastro")</f>
        <v>Manutenção</v>
      </c>
      <c r="S570" s="29" t="s">
        <v>48</v>
      </c>
      <c r="T570" s="23"/>
      <c r="U570" s="30"/>
      <c r="V570" s="31"/>
      <c r="W570" s="32"/>
      <c r="X570" s="33"/>
      <c r="Y570" s="34"/>
      <c r="Z570" s="32"/>
      <c r="AA570" s="20" t="s">
        <v>49</v>
      </c>
      <c r="AB570" s="20" t="s">
        <v>49</v>
      </c>
      <c r="AC570" s="19" t="s">
        <v>49</v>
      </c>
      <c r="AD570" s="19" t="str">
        <f ca="1">IFERROR(DATEDIF(DadosViagem5[[#This Row],[Utimo Bip Reserva]],TODAY(),"D"),"")</f>
        <v/>
      </c>
      <c r="AE570" s="36" t="s">
        <v>49</v>
      </c>
      <c r="AF570" s="25" t="s">
        <v>49</v>
      </c>
      <c r="AG570" s="36" t="s">
        <v>633</v>
      </c>
      <c r="AH570" s="25">
        <v>45807</v>
      </c>
      <c r="AI570" s="36" t="str">
        <f>IF(DadosViagem5[[#This Row],[Dias em manutenção ]]&lt;5,"Dentro do Prazo","Fora do Prazo")</f>
        <v>Fora do Prazo</v>
      </c>
      <c r="AJ570" s="36" t="e">
        <v>#REF!</v>
      </c>
    </row>
    <row r="571" spans="1:36">
      <c r="A571" s="19" t="s">
        <v>988</v>
      </c>
      <c r="B571" s="20"/>
      <c r="C571" s="19" t="s">
        <v>88</v>
      </c>
      <c r="D571" s="19" t="s">
        <v>52</v>
      </c>
      <c r="E571" s="19" t="s">
        <v>57</v>
      </c>
      <c r="F571" s="19" t="s">
        <v>115</v>
      </c>
      <c r="G571" s="19"/>
      <c r="H571" s="20">
        <v>2018</v>
      </c>
      <c r="I571" s="19" t="s">
        <v>137</v>
      </c>
      <c r="J571" s="19" t="s">
        <v>985</v>
      </c>
      <c r="K571" s="21" t="s">
        <v>986</v>
      </c>
      <c r="L571" s="22" t="s">
        <v>60</v>
      </c>
      <c r="M571" s="23" t="s">
        <v>140</v>
      </c>
      <c r="N571" s="25" t="s">
        <v>987</v>
      </c>
      <c r="O571" s="36" t="s">
        <v>479</v>
      </c>
      <c r="P571" s="26">
        <f ca="1">IFERROR(VLOOKUP(DadosViagem5[[#This Row],[Placa]],[1]BIP!A:E,5,FALSE),"")</f>
        <v>0</v>
      </c>
      <c r="Q571" s="27">
        <f ca="1">DATEDIF(DadosViagem5[[#This Row],[BIP]],TODAY(),"D")</f>
        <v>45990</v>
      </c>
      <c r="R571" s="28" t="str">
        <f>IFERROR(VLOOKUP(DadosViagem5[[#This Row],[Placa]],[1]DDS!B:C,2,FALSE),"Verificar cadastro")</f>
        <v>Verificar cadastro</v>
      </c>
      <c r="S571" s="36" t="s">
        <v>186</v>
      </c>
      <c r="T571" s="23"/>
      <c r="U571" s="30"/>
      <c r="V571" s="31">
        <v>45793</v>
      </c>
      <c r="W571" s="32" t="s">
        <v>989</v>
      </c>
      <c r="X571" s="33" t="s">
        <v>188</v>
      </c>
      <c r="Y571" s="34" t="s">
        <v>159</v>
      </c>
      <c r="Z571" s="42" t="s">
        <v>990</v>
      </c>
      <c r="AA571" s="20" t="s">
        <v>49</v>
      </c>
      <c r="AB571" s="20" t="s">
        <v>49</v>
      </c>
      <c r="AC571" s="19" t="s">
        <v>49</v>
      </c>
      <c r="AD571" s="19" t="str">
        <f ca="1">IFERROR(DATEDIF(DadosViagem5[[#This Row],[Utimo Bip Reserva]],TODAY(),"D"),"")</f>
        <v/>
      </c>
      <c r="AE571" s="36" t="s">
        <v>991</v>
      </c>
      <c r="AF571" s="25" t="s">
        <v>49</v>
      </c>
      <c r="AG571" s="36"/>
      <c r="AH571" s="25">
        <v>14</v>
      </c>
      <c r="AI571" s="36" t="str">
        <f>IF(DadosViagem5[[#This Row],[Dias em manutenção ]]&lt;5,"Dentro do Prazo","Fora do Prazo")</f>
        <v>Fora do Prazo</v>
      </c>
      <c r="AJ571" s="36" t="e">
        <v>#REF!</v>
      </c>
    </row>
    <row r="572" spans="1:36">
      <c r="A572" s="19" t="s">
        <v>992</v>
      </c>
      <c r="B572" s="20"/>
      <c r="C572" s="19" t="s">
        <v>131</v>
      </c>
      <c r="D572" s="19" t="s">
        <v>132</v>
      </c>
      <c r="E572" s="19" t="s">
        <v>894</v>
      </c>
      <c r="F572" s="19" t="s">
        <v>115</v>
      </c>
      <c r="G572" s="19"/>
      <c r="H572" s="20">
        <v>2022</v>
      </c>
      <c r="I572" s="19" t="s">
        <v>137</v>
      </c>
      <c r="J572" s="37" t="s">
        <v>985</v>
      </c>
      <c r="K572" s="21" t="s">
        <v>986</v>
      </c>
      <c r="L572" s="22" t="s">
        <v>60</v>
      </c>
      <c r="M572" s="23" t="s">
        <v>140</v>
      </c>
      <c r="N572" s="25" t="s">
        <v>987</v>
      </c>
      <c r="O572" s="36" t="s">
        <v>479</v>
      </c>
      <c r="P572" s="26">
        <f ca="1">IFERROR(VLOOKUP(DadosViagem5[[#This Row],[Placa]],[1]BIP!A:E,5,FALSE),"")</f>
        <v>45964</v>
      </c>
      <c r="Q572" s="27">
        <f ca="1">DATEDIF(DadosViagem5[[#This Row],[BIP]],TODAY(),"D")</f>
        <v>26</v>
      </c>
      <c r="R572" s="28" t="str">
        <f>IFERROR(VLOOKUP(DadosViagem5[[#This Row],[Placa]],[1]DDS!B:C,2,FALSE),"Verificar cadastro")</f>
        <v>Manutenção</v>
      </c>
      <c r="S572" s="29" t="s">
        <v>35</v>
      </c>
      <c r="T572" s="23"/>
      <c r="U572" s="30"/>
      <c r="V572" s="31"/>
      <c r="W572" s="32" t="s">
        <v>993</v>
      </c>
      <c r="X572" s="33"/>
      <c r="Y572" s="86"/>
      <c r="Z572" s="42"/>
      <c r="AA572" s="20" t="s">
        <v>49</v>
      </c>
      <c r="AB572" s="20" t="s">
        <v>49</v>
      </c>
      <c r="AC572" s="19" t="s">
        <v>49</v>
      </c>
      <c r="AD572" s="19" t="str">
        <f ca="1">IFERROR(DATEDIF(DadosViagem5[[#This Row],[Utimo Bip Reserva]],TODAY(),"D"),"")</f>
        <v/>
      </c>
      <c r="AE572" s="25" t="s">
        <v>49</v>
      </c>
      <c r="AF572" s="25" t="s">
        <v>49</v>
      </c>
      <c r="AG572" s="36"/>
      <c r="AH572" s="25">
        <v>45807</v>
      </c>
      <c r="AI572" s="36" t="str">
        <f>IF(DadosViagem5[[#This Row],[Dias em manutenção ]]&lt;5,"Dentro do Prazo","Fora do Prazo")</f>
        <v>Fora do Prazo</v>
      </c>
      <c r="AJ572" s="36" t="e">
        <v>#REF!</v>
      </c>
    </row>
    <row r="573" spans="1:36">
      <c r="A573" s="19" t="s">
        <v>994</v>
      </c>
      <c r="B573" s="20"/>
      <c r="C573" s="19" t="s">
        <v>131</v>
      </c>
      <c r="D573" s="19" t="s">
        <v>132</v>
      </c>
      <c r="E573" s="19" t="s">
        <v>57</v>
      </c>
      <c r="F573" s="19" t="s">
        <v>115</v>
      </c>
      <c r="G573" s="19"/>
      <c r="H573" s="20">
        <v>2019</v>
      </c>
      <c r="I573" s="19" t="s">
        <v>137</v>
      </c>
      <c r="J573" s="37" t="s">
        <v>985</v>
      </c>
      <c r="K573" s="21" t="s">
        <v>986</v>
      </c>
      <c r="L573" s="22" t="s">
        <v>60</v>
      </c>
      <c r="M573" s="23" t="s">
        <v>140</v>
      </c>
      <c r="N573" s="25" t="s">
        <v>987</v>
      </c>
      <c r="O573" s="36" t="s">
        <v>479</v>
      </c>
      <c r="P573" s="26">
        <f ca="1">IFERROR(VLOOKUP(DadosViagem5[[#This Row],[Placa]],[1]BIP!A:E,5,FALSE),"")</f>
        <v>0</v>
      </c>
      <c r="Q573" s="27">
        <f ca="1">DATEDIF(DadosViagem5[[#This Row],[BIP]],TODAY(),"D")</f>
        <v>45990</v>
      </c>
      <c r="R573" s="28" t="str">
        <f>IFERROR(VLOOKUP(DadosViagem5[[#This Row],[Placa]],[1]DDS!B:C,2,FALSE),"Verificar cadastro")</f>
        <v>Manutenção</v>
      </c>
      <c r="S573" s="29" t="s">
        <v>48</v>
      </c>
      <c r="T573" s="23"/>
      <c r="U573" s="30"/>
      <c r="V573" s="31"/>
      <c r="W573" s="32"/>
      <c r="X573" s="33"/>
      <c r="Y573" s="34"/>
      <c r="Z573" s="42"/>
      <c r="AA573" s="20" t="s">
        <v>49</v>
      </c>
      <c r="AB573" s="20" t="s">
        <v>49</v>
      </c>
      <c r="AC573" s="19" t="s">
        <v>49</v>
      </c>
      <c r="AD573" s="19" t="str">
        <f ca="1">IFERROR(DATEDIF(DadosViagem5[[#This Row],[Utimo Bip Reserva]],TODAY(),"D"),"")</f>
        <v/>
      </c>
      <c r="AE573" s="36" t="s">
        <v>49</v>
      </c>
      <c r="AF573" s="25" t="s">
        <v>49</v>
      </c>
      <c r="AG573" s="36"/>
      <c r="AH573" s="25">
        <v>45807</v>
      </c>
      <c r="AI573" s="36" t="str">
        <f>IF(DadosViagem5[[#This Row],[Dias em manutenção ]]&lt;5,"Dentro do Prazo","Fora do Prazo")</f>
        <v>Fora do Prazo</v>
      </c>
      <c r="AJ573" s="36" t="e">
        <v>#REF!</v>
      </c>
    </row>
    <row r="574" spans="1:36">
      <c r="A574" s="19" t="s">
        <v>995</v>
      </c>
      <c r="B574" s="20"/>
      <c r="C574" s="19" t="s">
        <v>88</v>
      </c>
      <c r="D574" s="19" t="s">
        <v>52</v>
      </c>
      <c r="E574" s="19" t="s">
        <v>57</v>
      </c>
      <c r="F574" s="19" t="s">
        <v>40</v>
      </c>
      <c r="G574" s="19"/>
      <c r="H574" s="20">
        <v>2021</v>
      </c>
      <c r="I574" s="19" t="s">
        <v>137</v>
      </c>
      <c r="J574" s="37" t="s">
        <v>985</v>
      </c>
      <c r="K574" s="21" t="s">
        <v>986</v>
      </c>
      <c r="L574" s="22" t="s">
        <v>60</v>
      </c>
      <c r="M574" s="23" t="s">
        <v>140</v>
      </c>
      <c r="N574" s="25" t="s">
        <v>987</v>
      </c>
      <c r="O574" s="36" t="s">
        <v>479</v>
      </c>
      <c r="P574" s="26">
        <f ca="1">IFERROR(VLOOKUP(DadosViagem5[[#This Row],[Placa]],[1]BIP!A:E,5,FALSE),"")</f>
        <v>0</v>
      </c>
      <c r="Q574" s="27">
        <f ca="1">DATEDIF(DadosViagem5[[#This Row],[BIP]],TODAY(),"D")</f>
        <v>45990</v>
      </c>
      <c r="R574" s="28" t="str">
        <f>IFERROR(VLOOKUP(DadosViagem5[[#This Row],[Placa]],[1]DDS!B:C,2,FALSE),"Verificar cadastro")</f>
        <v>Manutenção</v>
      </c>
      <c r="S574" s="29" t="s">
        <v>48</v>
      </c>
      <c r="T574" s="23"/>
      <c r="U574" s="30"/>
      <c r="V574" s="31"/>
      <c r="W574" s="32"/>
      <c r="X574" s="33"/>
      <c r="Y574" s="34"/>
      <c r="Z574" s="42"/>
      <c r="AA574" s="20" t="s">
        <v>49</v>
      </c>
      <c r="AB574" s="20" t="s">
        <v>49</v>
      </c>
      <c r="AC574" s="19" t="s">
        <v>49</v>
      </c>
      <c r="AD574" s="19" t="str">
        <f ca="1">IFERROR(DATEDIF(DadosViagem5[[#This Row],[Utimo Bip Reserva]],TODAY(),"D"),"")</f>
        <v/>
      </c>
      <c r="AE574" s="36"/>
      <c r="AF574" s="25" t="s">
        <v>49</v>
      </c>
      <c r="AG574" s="36" t="s">
        <v>540</v>
      </c>
      <c r="AH574" s="25">
        <v>45807</v>
      </c>
      <c r="AI574" s="36" t="str">
        <f>IF(DadosViagem5[[#This Row],[Dias em manutenção ]]&lt;5,"Dentro do Prazo","Fora do Prazo")</f>
        <v>Fora do Prazo</v>
      </c>
      <c r="AJ574" s="36" t="e">
        <v>#REF!</v>
      </c>
    </row>
    <row r="575" spans="1:36">
      <c r="A575" s="19" t="s">
        <v>996</v>
      </c>
      <c r="B575" s="20"/>
      <c r="C575" s="19" t="s">
        <v>671</v>
      </c>
      <c r="D575" s="19" t="s">
        <v>132</v>
      </c>
      <c r="E575" s="19" t="s">
        <v>114</v>
      </c>
      <c r="F575" s="19" t="s">
        <v>115</v>
      </c>
      <c r="G575" s="19"/>
      <c r="H575" s="20">
        <v>2022</v>
      </c>
      <c r="I575" s="19" t="s">
        <v>137</v>
      </c>
      <c r="J575" s="37" t="s">
        <v>985</v>
      </c>
      <c r="K575" s="21" t="s">
        <v>986</v>
      </c>
      <c r="L575" s="22" t="s">
        <v>60</v>
      </c>
      <c r="M575" s="23" t="s">
        <v>140</v>
      </c>
      <c r="N575" s="25" t="s">
        <v>987</v>
      </c>
      <c r="O575" s="36" t="s">
        <v>479</v>
      </c>
      <c r="P575" s="26">
        <f ca="1">IFERROR(VLOOKUP(DadosViagem5[[#This Row],[Placa]],[1]BIP!A:E,5,FALSE),"")</f>
        <v>45989</v>
      </c>
      <c r="Q575" s="27">
        <f ca="1">DATEDIF(DadosViagem5[[#This Row],[BIP]],TODAY(),"D")</f>
        <v>1</v>
      </c>
      <c r="R575" s="28" t="str">
        <f>IFERROR(VLOOKUP(DadosViagem5[[#This Row],[Placa]],[1]DDS!B:C,2,FALSE),"Verificar cadastro")</f>
        <v>Operando</v>
      </c>
      <c r="S575" s="29" t="s">
        <v>48</v>
      </c>
      <c r="T575" s="23"/>
      <c r="U575" s="30"/>
      <c r="V575" s="31"/>
      <c r="W575" s="32"/>
      <c r="X575" s="33"/>
      <c r="Y575" s="34"/>
      <c r="Z575" s="32"/>
      <c r="AA575" s="20" t="s">
        <v>49</v>
      </c>
      <c r="AB575" s="20" t="s">
        <v>49</v>
      </c>
      <c r="AC575" s="19" t="s">
        <v>49</v>
      </c>
      <c r="AD575" s="19" t="str">
        <f ca="1">IFERROR(DATEDIF(DadosViagem5[[#This Row],[Utimo Bip Reserva]],TODAY(),"D"),"")</f>
        <v/>
      </c>
      <c r="AE575" s="36" t="s">
        <v>49</v>
      </c>
      <c r="AF575" s="25" t="s">
        <v>49</v>
      </c>
      <c r="AG575" s="36" t="s">
        <v>997</v>
      </c>
      <c r="AH575" s="25">
        <v>45807</v>
      </c>
      <c r="AI575" s="36" t="str">
        <f>IF(DadosViagem5[[#This Row],[Dias em manutenção ]]&lt;5,"Dentro do Prazo","Fora do Prazo")</f>
        <v>Fora do Prazo</v>
      </c>
      <c r="AJ575" s="36" t="e">
        <v>#REF!</v>
      </c>
    </row>
    <row r="576" spans="1:36">
      <c r="A576" s="19" t="s">
        <v>998</v>
      </c>
      <c r="B576" s="20">
        <v>398</v>
      </c>
      <c r="C576" s="19" t="s">
        <v>74</v>
      </c>
      <c r="D576" s="19" t="s">
        <v>52</v>
      </c>
      <c r="E576" s="19" t="s">
        <v>57</v>
      </c>
      <c r="F576" s="19" t="s">
        <v>115</v>
      </c>
      <c r="G576" s="19"/>
      <c r="H576" s="20">
        <v>2022</v>
      </c>
      <c r="I576" s="19" t="s">
        <v>137</v>
      </c>
      <c r="J576" s="37" t="s">
        <v>985</v>
      </c>
      <c r="K576" s="21" t="s">
        <v>986</v>
      </c>
      <c r="L576" s="22" t="s">
        <v>60</v>
      </c>
      <c r="M576" s="23" t="s">
        <v>77</v>
      </c>
      <c r="N576" s="25" t="s">
        <v>987</v>
      </c>
      <c r="O576" s="36" t="s">
        <v>479</v>
      </c>
      <c r="P576" s="26">
        <f ca="1">IFERROR(VLOOKUP(DadosViagem5[[#This Row],[Placa]],[1]BIP!A:E,5,FALSE),"")</f>
        <v>45989</v>
      </c>
      <c r="Q576" s="27">
        <f ca="1">DATEDIF(DadosViagem5[[#This Row],[BIP]],TODAY(),"D")</f>
        <v>1</v>
      </c>
      <c r="R576" s="28" t="str">
        <f>IFERROR(VLOOKUP(DadosViagem5[[#This Row],[Placa]],[1]DDS!B:C,2,FALSE),"Verificar cadastro")</f>
        <v>Operando</v>
      </c>
      <c r="S576" s="29" t="s">
        <v>48</v>
      </c>
      <c r="T576" s="23"/>
      <c r="U576" s="30"/>
      <c r="V576" s="31"/>
      <c r="W576" s="32"/>
      <c r="X576" s="33"/>
      <c r="Y576" s="34"/>
      <c r="Z576" s="42"/>
      <c r="AA576" s="20" t="s">
        <v>49</v>
      </c>
      <c r="AB576" s="20" t="s">
        <v>49</v>
      </c>
      <c r="AC576" s="19" t="s">
        <v>49</v>
      </c>
      <c r="AD576" s="19" t="str">
        <f ca="1">IFERROR(DATEDIF(DadosViagem5[[#This Row],[Utimo Bip Reserva]],TODAY(),"D"),"")</f>
        <v/>
      </c>
      <c r="AE576" s="109"/>
      <c r="AF576" s="16"/>
      <c r="AG576" s="36"/>
      <c r="AH576" s="25">
        <v>45807</v>
      </c>
      <c r="AI576" s="36" t="str">
        <f>IF(DadosViagem5[[#This Row],[Dias em manutenção ]]&lt;5,"Dentro do Prazo","Fora do Prazo")</f>
        <v>Fora do Prazo</v>
      </c>
      <c r="AJ576" s="36" t="e">
        <v>#REF!</v>
      </c>
    </row>
    <row r="577" spans="1:36">
      <c r="A577" s="19" t="s">
        <v>999</v>
      </c>
      <c r="B577" s="20">
        <v>327</v>
      </c>
      <c r="C577" s="19" t="s">
        <v>74</v>
      </c>
      <c r="D577" s="19" t="s">
        <v>52</v>
      </c>
      <c r="E577" s="19" t="s">
        <v>57</v>
      </c>
      <c r="F577" s="19" t="s">
        <v>115</v>
      </c>
      <c r="G577" s="19"/>
      <c r="H577" s="20">
        <v>2022</v>
      </c>
      <c r="I577" s="19" t="s">
        <v>137</v>
      </c>
      <c r="J577" s="19" t="s">
        <v>985</v>
      </c>
      <c r="K577" s="21" t="s">
        <v>986</v>
      </c>
      <c r="L577" s="22" t="s">
        <v>60</v>
      </c>
      <c r="M577" s="23" t="s">
        <v>77</v>
      </c>
      <c r="N577" s="25" t="s">
        <v>987</v>
      </c>
      <c r="O577" s="36" t="s">
        <v>479</v>
      </c>
      <c r="P577" s="26">
        <f ca="1">IFERROR(VLOOKUP(DadosViagem5[[#This Row],[Placa]],[1]BIP!A:E,5,FALSE),"")</f>
        <v>45942</v>
      </c>
      <c r="Q577" s="27">
        <f ca="1">DATEDIF(DadosViagem5[[#This Row],[BIP]],TODAY(),"D")</f>
        <v>48</v>
      </c>
      <c r="R577" s="28" t="str">
        <f>IFERROR(VLOOKUP(DadosViagem5[[#This Row],[Placa]],[1]DDS!B:C,2,FALSE),"Verificar cadastro")</f>
        <v>Manutenção</v>
      </c>
      <c r="S577" s="29" t="s">
        <v>48</v>
      </c>
      <c r="T577" s="23"/>
      <c r="U577" s="30"/>
      <c r="V577" s="31"/>
      <c r="W577" s="32" t="s">
        <v>1000</v>
      </c>
      <c r="X577" s="33"/>
      <c r="Y577" s="34"/>
      <c r="Z577" s="32"/>
      <c r="AA577" s="20" t="s">
        <v>49</v>
      </c>
      <c r="AB577" s="20" t="s">
        <v>49</v>
      </c>
      <c r="AC577" s="19" t="s">
        <v>49</v>
      </c>
      <c r="AD577" s="19" t="str">
        <f ca="1">IFERROR(DATEDIF(DadosViagem5[[#This Row],[Utimo Bip Reserva]],TODAY(),"D"),"")</f>
        <v/>
      </c>
      <c r="AE577" s="36" t="s">
        <v>49</v>
      </c>
      <c r="AF577" s="25" t="s">
        <v>49</v>
      </c>
      <c r="AG577" s="36"/>
      <c r="AH577" s="25">
        <v>12</v>
      </c>
      <c r="AI577" s="36" t="str">
        <f>IF(DadosViagem5[[#This Row],[Dias em manutenção ]]&lt;5,"Dentro do Prazo","Fora do Prazo")</f>
        <v>Fora do Prazo</v>
      </c>
      <c r="AJ577" s="36" t="e">
        <v>#REF!</v>
      </c>
    </row>
    <row r="578" spans="1:36">
      <c r="A578" s="19" t="s">
        <v>1001</v>
      </c>
      <c r="B578" s="20">
        <v>372</v>
      </c>
      <c r="C578" s="19" t="s">
        <v>74</v>
      </c>
      <c r="D578" s="19" t="s">
        <v>52</v>
      </c>
      <c r="E578" s="19" t="s">
        <v>75</v>
      </c>
      <c r="F578" s="19" t="s">
        <v>76</v>
      </c>
      <c r="G578" s="19"/>
      <c r="H578" s="20">
        <v>2023</v>
      </c>
      <c r="I578" s="19" t="s">
        <v>137</v>
      </c>
      <c r="J578" s="19" t="s">
        <v>985</v>
      </c>
      <c r="K578" s="21" t="s">
        <v>986</v>
      </c>
      <c r="L578" s="22" t="s">
        <v>60</v>
      </c>
      <c r="M578" s="23" t="s">
        <v>77</v>
      </c>
      <c r="N578" s="25" t="s">
        <v>987</v>
      </c>
      <c r="O578" s="36" t="s">
        <v>479</v>
      </c>
      <c r="P578" s="26">
        <f ca="1">IFERROR(VLOOKUP(DadosViagem5[[#This Row],[Placa]],[1]BIP!A:E,5,FALSE),"")</f>
        <v>45989</v>
      </c>
      <c r="Q578" s="27">
        <f ca="1">DATEDIF(DadosViagem5[[#This Row],[BIP]],TODAY(),"D")</f>
        <v>1</v>
      </c>
      <c r="R578" s="28" t="str">
        <f>IFERROR(VLOOKUP(DadosViagem5[[#This Row],[Placa]],[1]DDS!B:C,2,FALSE),"Verificar cadastro")</f>
        <v> </v>
      </c>
      <c r="S578" s="29" t="s">
        <v>48</v>
      </c>
      <c r="T578" s="23"/>
      <c r="U578" s="30"/>
      <c r="V578" s="31"/>
      <c r="W578" s="32"/>
      <c r="X578" s="33"/>
      <c r="Y578" s="34"/>
      <c r="Z578" s="32"/>
      <c r="AA578" s="20" t="s">
        <v>49</v>
      </c>
      <c r="AB578" s="20" t="s">
        <v>49</v>
      </c>
      <c r="AC578" s="19" t="s">
        <v>49</v>
      </c>
      <c r="AD578" s="19" t="str">
        <f ca="1">IFERROR(DATEDIF(DadosViagem5[[#This Row],[Utimo Bip Reserva]],TODAY(),"D"),"")</f>
        <v/>
      </c>
      <c r="AE578" s="25" t="s">
        <v>49</v>
      </c>
      <c r="AF578" s="25" t="s">
        <v>49</v>
      </c>
      <c r="AG578" s="36"/>
      <c r="AH578" s="25">
        <v>45807</v>
      </c>
      <c r="AI578" s="36" t="str">
        <f>IF(DadosViagem5[[#This Row],[Dias em manutenção ]]&lt;5,"Dentro do Prazo","Fora do Prazo")</f>
        <v>Fora do Prazo</v>
      </c>
      <c r="AJ578" s="36" t="e">
        <v>#REF!</v>
      </c>
    </row>
    <row r="579" spans="1:36">
      <c r="A579" s="19" t="s">
        <v>1002</v>
      </c>
      <c r="B579" s="20"/>
      <c r="C579" s="19" t="s">
        <v>74</v>
      </c>
      <c r="D579" s="19" t="s">
        <v>52</v>
      </c>
      <c r="E579" s="19" t="s">
        <v>75</v>
      </c>
      <c r="F579" s="19" t="s">
        <v>76</v>
      </c>
      <c r="G579" s="19"/>
      <c r="H579" s="20">
        <v>2024</v>
      </c>
      <c r="I579" s="19" t="s">
        <v>137</v>
      </c>
      <c r="J579" s="19" t="s">
        <v>985</v>
      </c>
      <c r="K579" s="21" t="s">
        <v>986</v>
      </c>
      <c r="L579" s="22" t="s">
        <v>60</v>
      </c>
      <c r="M579" s="23" t="s">
        <v>77</v>
      </c>
      <c r="N579" s="25" t="s">
        <v>987</v>
      </c>
      <c r="O579" s="36" t="s">
        <v>479</v>
      </c>
      <c r="P579" s="26">
        <f ca="1">IFERROR(VLOOKUP(DadosViagem5[[#This Row],[Placa]],[1]BIP!A:E,5,FALSE),"")</f>
        <v>45989</v>
      </c>
      <c r="Q579" s="27">
        <f ca="1">DATEDIF(DadosViagem5[[#This Row],[BIP]],TODAY(),"D")</f>
        <v>1</v>
      </c>
      <c r="R579" s="28" t="str">
        <f>IFERROR(VLOOKUP(DadosViagem5[[#This Row],[Placa]],[1]DDS!B:C,2,FALSE),"Verificar cadastro")</f>
        <v>Operando</v>
      </c>
      <c r="S579" s="29" t="s">
        <v>48</v>
      </c>
      <c r="T579" s="23"/>
      <c r="U579" s="30"/>
      <c r="V579" s="31"/>
      <c r="W579" s="32"/>
      <c r="X579" s="33"/>
      <c r="Y579" s="34"/>
      <c r="Z579" s="32"/>
      <c r="AA579" s="20" t="s">
        <v>49</v>
      </c>
      <c r="AB579" s="20" t="s">
        <v>49</v>
      </c>
      <c r="AC579" s="19" t="s">
        <v>49</v>
      </c>
      <c r="AD579" s="19" t="str">
        <f ca="1">IFERROR(DATEDIF(DadosViagem5[[#This Row],[Utimo Bip Reserva]],TODAY(),"D"),"")</f>
        <v/>
      </c>
      <c r="AE579" s="25" t="s">
        <v>49</v>
      </c>
      <c r="AF579" s="25" t="s">
        <v>49</v>
      </c>
      <c r="AG579" s="36"/>
      <c r="AH579" s="25">
        <v>45807</v>
      </c>
      <c r="AI579" s="36" t="str">
        <f>IF(DadosViagem5[[#This Row],[Dias em manutenção ]]&lt;5,"Dentro do Prazo","Fora do Prazo")</f>
        <v>Fora do Prazo</v>
      </c>
      <c r="AJ579" s="36" t="e">
        <v>#REF!</v>
      </c>
    </row>
    <row r="580" spans="1:36">
      <c r="A580" s="19" t="s">
        <v>1003</v>
      </c>
      <c r="B580" s="20"/>
      <c r="C580" s="19" t="s">
        <v>74</v>
      </c>
      <c r="D580" s="19" t="s">
        <v>52</v>
      </c>
      <c r="E580" s="19" t="s">
        <v>75</v>
      </c>
      <c r="F580" s="19" t="s">
        <v>40</v>
      </c>
      <c r="G580" s="19"/>
      <c r="H580" s="20">
        <v>2022</v>
      </c>
      <c r="I580" s="19" t="s">
        <v>137</v>
      </c>
      <c r="J580" s="19" t="s">
        <v>985</v>
      </c>
      <c r="K580" s="21" t="s">
        <v>986</v>
      </c>
      <c r="L580" s="22" t="s">
        <v>60</v>
      </c>
      <c r="M580" s="23" t="s">
        <v>77</v>
      </c>
      <c r="N580" s="25" t="s">
        <v>987</v>
      </c>
      <c r="O580" s="36" t="s">
        <v>479</v>
      </c>
      <c r="P580" s="26">
        <f ca="1">IFERROR(VLOOKUP(DadosViagem5[[#This Row],[Placa]],[1]BIP!A:E,5,FALSE),"")</f>
        <v>45989</v>
      </c>
      <c r="Q580" s="27">
        <f ca="1">DATEDIF(DadosViagem5[[#This Row],[BIP]],TODAY(),"D")</f>
        <v>1</v>
      </c>
      <c r="R580" s="28" t="str">
        <f>IFERROR(VLOOKUP(DadosViagem5[[#This Row],[Placa]],[1]DDS!B:C,2,FALSE),"Verificar cadastro")</f>
        <v>Operando</v>
      </c>
      <c r="S580" s="29" t="s">
        <v>48</v>
      </c>
      <c r="T580" s="23"/>
      <c r="U580" s="30"/>
      <c r="V580" s="31"/>
      <c r="W580" s="32"/>
      <c r="X580" s="33"/>
      <c r="Y580" s="34"/>
      <c r="Z580" s="32"/>
      <c r="AA580" s="20" t="s">
        <v>49</v>
      </c>
      <c r="AB580" s="20" t="s">
        <v>49</v>
      </c>
      <c r="AC580" s="19" t="s">
        <v>49</v>
      </c>
      <c r="AD580" s="19" t="str">
        <f ca="1">IFERROR(DATEDIF(DadosViagem5[[#This Row],[Utimo Bip Reserva]],TODAY(),"D"),"")</f>
        <v/>
      </c>
      <c r="AE580" s="29"/>
      <c r="AF580" s="35"/>
      <c r="AG580" s="36"/>
      <c r="AH580" s="25">
        <v>45807</v>
      </c>
      <c r="AI580" s="36" t="str">
        <f>IF(DadosViagem5[[#This Row],[Dias em manutenção ]]&lt;5,"Dentro do Prazo","Fora do Prazo")</f>
        <v>Fora do Prazo</v>
      </c>
      <c r="AJ580" s="36" t="e">
        <v>#REF!</v>
      </c>
    </row>
    <row r="581" spans="1:36">
      <c r="A581" s="19" t="s">
        <v>1004</v>
      </c>
      <c r="B581" s="20"/>
      <c r="C581" s="19" t="s">
        <v>74</v>
      </c>
      <c r="D581" s="19" t="s">
        <v>52</v>
      </c>
      <c r="E581" s="19" t="s">
        <v>75</v>
      </c>
      <c r="F581" s="19" t="s">
        <v>76</v>
      </c>
      <c r="G581" s="108"/>
      <c r="H581" s="108">
        <v>2024</v>
      </c>
      <c r="I581" s="19" t="s">
        <v>137</v>
      </c>
      <c r="J581" s="110" t="s">
        <v>985</v>
      </c>
      <c r="K581" s="38" t="s">
        <v>986</v>
      </c>
      <c r="L581" s="39" t="s">
        <v>60</v>
      </c>
      <c r="M581" s="23" t="s">
        <v>77</v>
      </c>
      <c r="N581" s="25" t="s">
        <v>987</v>
      </c>
      <c r="O581" s="36" t="s">
        <v>479</v>
      </c>
      <c r="P581" s="26">
        <f ca="1">IFERROR(VLOOKUP(DadosViagem5[[#This Row],[Placa]],[1]BIP!A:E,5,FALSE),"")</f>
        <v>45989</v>
      </c>
      <c r="Q581" s="27">
        <f ca="1">DATEDIF(DadosViagem5[[#This Row],[BIP]],TODAY(),"D")</f>
        <v>1</v>
      </c>
      <c r="R581" s="28" t="str">
        <f>IFERROR(VLOOKUP(DadosViagem5[[#This Row],[Placa]],[1]DDS!B:C,2,FALSE),"Verificar cadastro")</f>
        <v>Operando</v>
      </c>
      <c r="S581" s="29" t="s">
        <v>48</v>
      </c>
      <c r="T581" s="23"/>
      <c r="U581" s="30"/>
      <c r="V581" s="31"/>
      <c r="W581" s="32"/>
      <c r="X581" s="33"/>
      <c r="Y581" s="34"/>
      <c r="Z581" s="32"/>
      <c r="AA581" s="20" t="s">
        <v>49</v>
      </c>
      <c r="AB581" s="20" t="s">
        <v>49</v>
      </c>
      <c r="AC581" s="19" t="s">
        <v>49</v>
      </c>
      <c r="AD581" s="19" t="str">
        <f ca="1">IFERROR(DATEDIF(DadosViagem5[[#This Row],[Utimo Bip Reserva]],TODAY(),"D"),"")</f>
        <v/>
      </c>
      <c r="AE581" s="25" t="s">
        <v>49</v>
      </c>
      <c r="AF581" s="25" t="s">
        <v>49</v>
      </c>
      <c r="AG581" s="36"/>
      <c r="AH581" s="25">
        <v>45807</v>
      </c>
      <c r="AI581" s="36" t="str">
        <f>IF(DadosViagem5[[#This Row],[Dias em manutenção ]]&lt;5,"Dentro do Prazo","Fora do Prazo")</f>
        <v>Fora do Prazo</v>
      </c>
      <c r="AJ581" s="36" t="e">
        <v>#REF!</v>
      </c>
    </row>
    <row r="582" spans="1:36">
      <c r="A582" s="19" t="s">
        <v>1005</v>
      </c>
      <c r="B582" s="20"/>
      <c r="C582" s="19" t="s">
        <v>74</v>
      </c>
      <c r="D582" s="19" t="s">
        <v>52</v>
      </c>
      <c r="E582" s="19" t="s">
        <v>75</v>
      </c>
      <c r="F582" s="19" t="s">
        <v>76</v>
      </c>
      <c r="G582" s="19"/>
      <c r="H582" s="20">
        <v>2024</v>
      </c>
      <c r="I582" s="19" t="s">
        <v>137</v>
      </c>
      <c r="J582" s="19" t="s">
        <v>985</v>
      </c>
      <c r="K582" s="21" t="s">
        <v>986</v>
      </c>
      <c r="L582" s="22" t="s">
        <v>60</v>
      </c>
      <c r="M582" s="23" t="s">
        <v>77</v>
      </c>
      <c r="N582" s="25" t="s">
        <v>987</v>
      </c>
      <c r="O582" s="36" t="s">
        <v>479</v>
      </c>
      <c r="P582" s="26">
        <f ca="1">IFERROR(VLOOKUP(DadosViagem5[[#This Row],[Placa]],[1]BIP!A:E,5,FALSE),"")</f>
        <v>45989</v>
      </c>
      <c r="Q582" s="27">
        <f ca="1">DATEDIF(DadosViagem5[[#This Row],[BIP]],TODAY(),"D")</f>
        <v>1</v>
      </c>
      <c r="R582" s="28" t="str">
        <f>IFERROR(VLOOKUP(DadosViagem5[[#This Row],[Placa]],[1]DDS!B:C,2,FALSE),"Verificar cadastro")</f>
        <v>Operando</v>
      </c>
      <c r="S582" s="29" t="s">
        <v>48</v>
      </c>
      <c r="T582" s="23"/>
      <c r="U582" s="30"/>
      <c r="V582" s="31"/>
      <c r="W582" s="32"/>
      <c r="X582" s="33"/>
      <c r="Y582" s="34"/>
      <c r="Z582" s="32"/>
      <c r="AA582" s="20" t="s">
        <v>49</v>
      </c>
      <c r="AB582" s="20" t="s">
        <v>49</v>
      </c>
      <c r="AC582" s="19" t="s">
        <v>49</v>
      </c>
      <c r="AD582" s="19" t="str">
        <f ca="1">IFERROR(DATEDIF(DadosViagem5[[#This Row],[Utimo Bip Reserva]],TODAY(),"D"),"")</f>
        <v/>
      </c>
      <c r="AE582" s="25" t="s">
        <v>49</v>
      </c>
      <c r="AF582" s="25" t="s">
        <v>49</v>
      </c>
      <c r="AG582" s="36"/>
      <c r="AH582" s="25">
        <v>45807</v>
      </c>
      <c r="AI582" s="36" t="str">
        <f>IF(DadosViagem5[[#This Row],[Dias em manutenção ]]&lt;5,"Dentro do Prazo","Fora do Prazo")</f>
        <v>Fora do Prazo</v>
      </c>
      <c r="AJ582" s="36" t="e">
        <v>#REF!</v>
      </c>
    </row>
    <row r="583" spans="1:36">
      <c r="A583" s="19" t="s">
        <v>1006</v>
      </c>
      <c r="B583" s="20">
        <v>417</v>
      </c>
      <c r="C583" s="19" t="s">
        <v>74</v>
      </c>
      <c r="D583" s="19" t="s">
        <v>52</v>
      </c>
      <c r="E583" s="19" t="s">
        <v>57</v>
      </c>
      <c r="F583" s="19" t="s">
        <v>115</v>
      </c>
      <c r="G583" s="19"/>
      <c r="H583" s="20">
        <v>2022</v>
      </c>
      <c r="I583" s="19" t="s">
        <v>137</v>
      </c>
      <c r="J583" s="19" t="s">
        <v>985</v>
      </c>
      <c r="K583" s="21" t="s">
        <v>986</v>
      </c>
      <c r="L583" s="22" t="s">
        <v>60</v>
      </c>
      <c r="M583" s="23" t="s">
        <v>77</v>
      </c>
      <c r="N583" s="25" t="s">
        <v>987</v>
      </c>
      <c r="O583" s="36" t="s">
        <v>479</v>
      </c>
      <c r="P583" s="26">
        <f ca="1">IFERROR(VLOOKUP(DadosViagem5[[#This Row],[Placa]],[1]BIP!A:E,5,FALSE),"")</f>
        <v>45989</v>
      </c>
      <c r="Q583" s="27">
        <f ca="1">DATEDIF(DadosViagem5[[#This Row],[BIP]],TODAY(),"D")</f>
        <v>1</v>
      </c>
      <c r="R583" s="28" t="str">
        <f>IFERROR(VLOOKUP(DadosViagem5[[#This Row],[Placa]],[1]DDS!B:C,2,FALSE),"Verificar cadastro")</f>
        <v>Operando</v>
      </c>
      <c r="S583" s="29" t="s">
        <v>48</v>
      </c>
      <c r="T583" s="23"/>
      <c r="U583" s="30"/>
      <c r="V583" s="31"/>
      <c r="W583" s="32"/>
      <c r="X583" s="33"/>
      <c r="Y583" s="34"/>
      <c r="Z583" s="32"/>
      <c r="AA583" s="20" t="s">
        <v>49</v>
      </c>
      <c r="AB583" s="20" t="s">
        <v>49</v>
      </c>
      <c r="AC583" s="19" t="s">
        <v>49</v>
      </c>
      <c r="AD583" s="19" t="str">
        <f ca="1">IFERROR(DATEDIF(DadosViagem5[[#This Row],[Utimo Bip Reserva]],TODAY(),"D"),"")</f>
        <v/>
      </c>
      <c r="AE583" s="36"/>
      <c r="AF583" s="25"/>
      <c r="AG583" s="36"/>
      <c r="AH583" s="25">
        <v>45807</v>
      </c>
      <c r="AI583" s="36" t="str">
        <f>IF(DadosViagem5[[#This Row],[Dias em manutenção ]]&lt;5,"Dentro do Prazo","Fora do Prazo")</f>
        <v>Fora do Prazo</v>
      </c>
      <c r="AJ583" s="36" t="e">
        <v>#REF!</v>
      </c>
    </row>
    <row r="584" spans="1:36">
      <c r="A584" s="19" t="s">
        <v>1007</v>
      </c>
      <c r="B584" s="20"/>
      <c r="C584" s="19" t="s">
        <v>131</v>
      </c>
      <c r="D584" s="19" t="s">
        <v>132</v>
      </c>
      <c r="E584" s="19" t="s">
        <v>57</v>
      </c>
      <c r="F584" s="19" t="s">
        <v>40</v>
      </c>
      <c r="G584" s="19"/>
      <c r="H584" s="20">
        <v>2025</v>
      </c>
      <c r="I584" s="19" t="s">
        <v>137</v>
      </c>
      <c r="J584" s="19" t="s">
        <v>985</v>
      </c>
      <c r="K584" s="21" t="s">
        <v>986</v>
      </c>
      <c r="L584" s="22" t="s">
        <v>60</v>
      </c>
      <c r="M584" s="23" t="s">
        <v>140</v>
      </c>
      <c r="N584" s="25" t="s">
        <v>987</v>
      </c>
      <c r="O584" s="36" t="s">
        <v>479</v>
      </c>
      <c r="P584" s="26" t="str">
        <f>IFERROR(VLOOKUP(DadosViagem5[[#This Row],[Placa]],[1]BIP!A:E,5,FALSE),"")</f>
        <v/>
      </c>
      <c r="Q584" s="27" t="e">
        <f ca="1">DATEDIF(DadosViagem5[[#This Row],[BIP]],TODAY(),"D")</f>
        <v>#VALUE!</v>
      </c>
      <c r="R584" s="28" t="str">
        <f>IFERROR(VLOOKUP(DadosViagem5[[#This Row],[Placa]],[1]DDS!B:C,2,FALSE),"Verificar cadastro")</f>
        <v>Operando</v>
      </c>
      <c r="S584" s="29" t="s">
        <v>48</v>
      </c>
      <c r="T584" s="23"/>
      <c r="U584" s="30"/>
      <c r="V584" s="31"/>
      <c r="W584" s="32"/>
      <c r="X584" s="33"/>
      <c r="Y584" s="34"/>
      <c r="Z584" s="42"/>
      <c r="AA584" s="20" t="s">
        <v>49</v>
      </c>
      <c r="AB584" s="20" t="s">
        <v>49</v>
      </c>
      <c r="AC584" s="19" t="s">
        <v>49</v>
      </c>
      <c r="AD584" s="19" t="str">
        <f ca="1">IFERROR(DATEDIF(DadosViagem5[[#This Row],[Utimo Bip Reserva]],TODAY(),"D"),"")</f>
        <v/>
      </c>
      <c r="AE584" s="36" t="s">
        <v>49</v>
      </c>
      <c r="AF584" s="25" t="s">
        <v>49</v>
      </c>
      <c r="AG584" s="36"/>
      <c r="AH584" s="25">
        <v>45807</v>
      </c>
      <c r="AI584" s="36" t="str">
        <f>IF(DadosViagem5[[#This Row],[Dias em manutenção ]]&lt;5,"Dentro do Prazo","Fora do Prazo")</f>
        <v>Fora do Prazo</v>
      </c>
      <c r="AJ584" s="36" t="e">
        <v>#REF!</v>
      </c>
    </row>
    <row r="585" spans="1:36">
      <c r="A585" s="19" t="s">
        <v>1008</v>
      </c>
      <c r="B585" s="20"/>
      <c r="C585" s="19" t="s">
        <v>131</v>
      </c>
      <c r="D585" s="19" t="s">
        <v>132</v>
      </c>
      <c r="E585" s="19" t="s">
        <v>57</v>
      </c>
      <c r="F585" s="19" t="s">
        <v>40</v>
      </c>
      <c r="G585" s="19"/>
      <c r="H585" s="20">
        <v>2025</v>
      </c>
      <c r="I585" s="19" t="s">
        <v>137</v>
      </c>
      <c r="J585" s="19" t="s">
        <v>985</v>
      </c>
      <c r="K585" s="21" t="s">
        <v>986</v>
      </c>
      <c r="L585" s="22" t="s">
        <v>60</v>
      </c>
      <c r="M585" s="23" t="s">
        <v>140</v>
      </c>
      <c r="N585" s="25" t="s">
        <v>987</v>
      </c>
      <c r="O585" s="36" t="s">
        <v>479</v>
      </c>
      <c r="P585" s="26" t="str">
        <f>IFERROR(VLOOKUP(DadosViagem5[[#This Row],[Placa]],[1]BIP!A:E,5,FALSE),"")</f>
        <v/>
      </c>
      <c r="Q585" s="27" t="e">
        <f ca="1">DATEDIF(DadosViagem5[[#This Row],[BIP]],TODAY(),"D")</f>
        <v>#VALUE!</v>
      </c>
      <c r="R585" s="28" t="str">
        <f>IFERROR(VLOOKUP(DadosViagem5[[#This Row],[Placa]],[1]DDS!B:C,2,FALSE),"Verificar cadastro")</f>
        <v> </v>
      </c>
      <c r="S585" s="29" t="s">
        <v>48</v>
      </c>
      <c r="T585" s="23"/>
      <c r="U585" s="30"/>
      <c r="V585" s="31"/>
      <c r="W585" s="32"/>
      <c r="X585" s="33"/>
      <c r="Y585" s="34"/>
      <c r="Z585" s="42"/>
      <c r="AA585" s="20" t="s">
        <v>49</v>
      </c>
      <c r="AB585" s="20" t="s">
        <v>49</v>
      </c>
      <c r="AC585" s="19" t="s">
        <v>49</v>
      </c>
      <c r="AD585" s="19" t="str">
        <f ca="1">IFERROR(DATEDIF(DadosViagem5[[#This Row],[Utimo Bip Reserva]],TODAY(),"D"),"")</f>
        <v/>
      </c>
      <c r="AE585" s="36" t="s">
        <v>49</v>
      </c>
      <c r="AF585" s="25" t="s">
        <v>49</v>
      </c>
      <c r="AG585" s="36"/>
      <c r="AH585" s="25">
        <v>45807</v>
      </c>
      <c r="AI585" s="36" t="str">
        <f>IF(DadosViagem5[[#This Row],[Dias em manutenção ]]&lt;5,"Dentro do Prazo","Fora do Prazo")</f>
        <v>Fora do Prazo</v>
      </c>
      <c r="AJ585" s="36" t="e">
        <v>#REF!</v>
      </c>
    </row>
    <row r="586" spans="1:36">
      <c r="A586" s="19" t="s">
        <v>1009</v>
      </c>
      <c r="B586" s="20"/>
      <c r="C586" s="19" t="s">
        <v>131</v>
      </c>
      <c r="D586" s="19" t="s">
        <v>132</v>
      </c>
      <c r="E586" s="19" t="s">
        <v>57</v>
      </c>
      <c r="F586" s="19" t="s">
        <v>40</v>
      </c>
      <c r="G586" s="19"/>
      <c r="H586" s="20">
        <v>2025</v>
      </c>
      <c r="I586" s="19" t="s">
        <v>137</v>
      </c>
      <c r="J586" s="19" t="s">
        <v>985</v>
      </c>
      <c r="K586" s="21" t="s">
        <v>986</v>
      </c>
      <c r="L586" s="22" t="s">
        <v>60</v>
      </c>
      <c r="M586" s="23" t="s">
        <v>140</v>
      </c>
      <c r="N586" s="25" t="s">
        <v>987</v>
      </c>
      <c r="O586" s="36" t="s">
        <v>479</v>
      </c>
      <c r="P586" s="26" t="str">
        <f>IFERROR(VLOOKUP(DadosViagem5[[#This Row],[Placa]],[1]BIP!A:E,5,FALSE),"")</f>
        <v/>
      </c>
      <c r="Q586" s="27" t="e">
        <f ca="1">DATEDIF(DadosViagem5[[#This Row],[BIP]],TODAY(),"D")</f>
        <v>#VALUE!</v>
      </c>
      <c r="R586" s="28" t="str">
        <f>IFERROR(VLOOKUP(DadosViagem5[[#This Row],[Placa]],[1]DDS!B:C,2,FALSE),"Verificar cadastro")</f>
        <v> </v>
      </c>
      <c r="S586" s="29" t="s">
        <v>48</v>
      </c>
      <c r="T586" s="23"/>
      <c r="U586" s="30"/>
      <c r="V586" s="31"/>
      <c r="W586" s="32"/>
      <c r="X586" s="33"/>
      <c r="Y586" s="34"/>
      <c r="Z586" s="42"/>
      <c r="AA586" s="20" t="s">
        <v>49</v>
      </c>
      <c r="AB586" s="20" t="s">
        <v>49</v>
      </c>
      <c r="AC586" s="19" t="s">
        <v>49</v>
      </c>
      <c r="AD586" s="19" t="str">
        <f ca="1">IFERROR(DATEDIF(DadosViagem5[[#This Row],[Utimo Bip Reserva]],TODAY(),"D"),"")</f>
        <v/>
      </c>
      <c r="AE586" s="36" t="s">
        <v>49</v>
      </c>
      <c r="AF586" s="25" t="s">
        <v>49</v>
      </c>
      <c r="AG586" s="36"/>
      <c r="AH586" s="25">
        <v>45807</v>
      </c>
      <c r="AI586" s="36" t="str">
        <f>IF(DadosViagem5[[#This Row],[Dias em manutenção ]]&lt;5,"Dentro do Prazo","Fora do Prazo")</f>
        <v>Fora do Prazo</v>
      </c>
      <c r="AJ586" s="36" t="e">
        <v>#REF!</v>
      </c>
    </row>
    <row r="587" spans="1:36">
      <c r="A587" s="19" t="s">
        <v>1010</v>
      </c>
      <c r="B587" s="20"/>
      <c r="C587" s="19" t="s">
        <v>131</v>
      </c>
      <c r="D587" s="19" t="s">
        <v>132</v>
      </c>
      <c r="E587" s="19" t="s">
        <v>57</v>
      </c>
      <c r="F587" s="19" t="s">
        <v>40</v>
      </c>
      <c r="G587" s="19"/>
      <c r="H587" s="20">
        <v>2025</v>
      </c>
      <c r="I587" s="37" t="s">
        <v>137</v>
      </c>
      <c r="J587" s="37" t="s">
        <v>138</v>
      </c>
      <c r="K587" s="38" t="s">
        <v>139</v>
      </c>
      <c r="L587" s="39" t="s">
        <v>60</v>
      </c>
      <c r="M587" s="46" t="s">
        <v>140</v>
      </c>
      <c r="N587" s="40" t="s">
        <v>141</v>
      </c>
      <c r="O587" s="40" t="s">
        <v>142</v>
      </c>
      <c r="P587" s="111" t="str">
        <f>IFERROR(VLOOKUP(DadosViagem5[[#This Row],[Placa]],[1]BIP!A:E,5,FALSE),"")</f>
        <v/>
      </c>
      <c r="Q587" s="112" t="e">
        <f ca="1">DATEDIF(DadosViagem5[[#This Row],[BIP]],TODAY(),"D")</f>
        <v>#VALUE!</v>
      </c>
      <c r="R587" s="113" t="str">
        <f>IFERROR(VLOOKUP(DadosViagem5[[#This Row],[Placa]],[1]DDS!B:C,2,FALSE),"Verificar cadastro")</f>
        <v> </v>
      </c>
      <c r="S587" s="29" t="s">
        <v>48</v>
      </c>
      <c r="T587" s="23"/>
      <c r="U587" s="30"/>
      <c r="V587" s="31"/>
      <c r="W587" s="32"/>
      <c r="X587" s="33"/>
      <c r="Y587" s="34"/>
      <c r="Z587" s="42"/>
      <c r="AA587" s="20" t="s">
        <v>49</v>
      </c>
      <c r="AB587" s="20" t="s">
        <v>49</v>
      </c>
      <c r="AC587" s="19" t="s">
        <v>49</v>
      </c>
      <c r="AD587" s="19" t="str">
        <f ca="1">IFERROR(DATEDIF(DadosViagem5[[#This Row],[Utimo Bip Reserva]],TODAY(),"D"),"")</f>
        <v/>
      </c>
      <c r="AE587" s="36" t="s">
        <v>49</v>
      </c>
      <c r="AF587" s="25" t="s">
        <v>49</v>
      </c>
      <c r="AG587" s="36"/>
      <c r="AH587" s="25">
        <v>45807</v>
      </c>
      <c r="AI587" s="36" t="str">
        <f>IF(DadosViagem5[[#This Row],[Dias em manutenção ]]&lt;5,"Dentro do Prazo","Fora do Prazo")</f>
        <v>Fora do Prazo</v>
      </c>
      <c r="AJ587" s="36" t="e">
        <v>#REF!</v>
      </c>
    </row>
    <row r="588" spans="1:36">
      <c r="A588" s="19" t="s">
        <v>1011</v>
      </c>
      <c r="B588" s="20"/>
      <c r="C588" s="19" t="s">
        <v>131</v>
      </c>
      <c r="D588" s="19" t="s">
        <v>132</v>
      </c>
      <c r="E588" s="19" t="s">
        <v>57</v>
      </c>
      <c r="F588" s="19" t="s">
        <v>40</v>
      </c>
      <c r="G588" s="19"/>
      <c r="H588" s="20">
        <v>2025</v>
      </c>
      <c r="I588" s="19" t="s">
        <v>137</v>
      </c>
      <c r="J588" s="19" t="s">
        <v>985</v>
      </c>
      <c r="K588" s="21" t="s">
        <v>986</v>
      </c>
      <c r="L588" s="22" t="s">
        <v>60</v>
      </c>
      <c r="M588" s="23" t="s">
        <v>140</v>
      </c>
      <c r="N588" s="25" t="s">
        <v>987</v>
      </c>
      <c r="O588" s="36" t="s">
        <v>479</v>
      </c>
      <c r="P588" s="26" t="str">
        <f>IFERROR(VLOOKUP(DadosViagem5[[#This Row],[Placa]],[1]BIP!A:E,5,FALSE),"")</f>
        <v/>
      </c>
      <c r="Q588" s="27" t="e">
        <f ca="1">DATEDIF(DadosViagem5[[#This Row],[BIP]],TODAY(),"D")</f>
        <v>#VALUE!</v>
      </c>
      <c r="R588" s="28" t="str">
        <f>IFERROR(VLOOKUP(DadosViagem5[[#This Row],[Placa]],[1]DDS!B:C,2,FALSE),"Verificar cadastro")</f>
        <v>Operando</v>
      </c>
      <c r="S588" s="29" t="s">
        <v>48</v>
      </c>
      <c r="T588" s="23"/>
      <c r="U588" s="30"/>
      <c r="V588" s="31"/>
      <c r="W588" s="32"/>
      <c r="X588" s="33"/>
      <c r="Y588" s="34"/>
      <c r="Z588" s="42"/>
      <c r="AA588" s="20" t="s">
        <v>49</v>
      </c>
      <c r="AB588" s="20" t="s">
        <v>49</v>
      </c>
      <c r="AC588" s="19" t="s">
        <v>49</v>
      </c>
      <c r="AD588" s="19" t="str">
        <f ca="1">IFERROR(DATEDIF(DadosViagem5[[#This Row],[Utimo Bip Reserva]],TODAY(),"D"),"")</f>
        <v/>
      </c>
      <c r="AE588" s="36" t="s">
        <v>49</v>
      </c>
      <c r="AF588" s="25" t="s">
        <v>49</v>
      </c>
      <c r="AG588" s="36"/>
      <c r="AH588" s="25">
        <v>45807</v>
      </c>
      <c r="AI588" s="36" t="str">
        <f>IF(DadosViagem5[[#This Row],[Dias em manutenção ]]&lt;5,"Dentro do Prazo","Fora do Prazo")</f>
        <v>Fora do Prazo</v>
      </c>
      <c r="AJ588" s="36" t="e">
        <v>#REF!</v>
      </c>
    </row>
    <row r="589" spans="1:36">
      <c r="A589" s="19" t="s">
        <v>1012</v>
      </c>
      <c r="B589" s="20"/>
      <c r="C589" s="19" t="s">
        <v>1013</v>
      </c>
      <c r="D589" s="19" t="s">
        <v>1014</v>
      </c>
      <c r="E589" s="19" t="s">
        <v>114</v>
      </c>
      <c r="F589" s="19" t="s">
        <v>115</v>
      </c>
      <c r="G589" s="19"/>
      <c r="H589" s="20">
        <v>2022</v>
      </c>
      <c r="I589" s="19" t="s">
        <v>1015</v>
      </c>
      <c r="J589" s="19" t="s">
        <v>1016</v>
      </c>
      <c r="K589" s="21" t="s">
        <v>1017</v>
      </c>
      <c r="L589" s="22" t="s">
        <v>60</v>
      </c>
      <c r="M589" s="23" t="s">
        <v>268</v>
      </c>
      <c r="N589" s="36" t="s">
        <v>1018</v>
      </c>
      <c r="O589" s="36" t="s">
        <v>1019</v>
      </c>
      <c r="P589" s="26">
        <f ca="1">IFERROR(VLOOKUP(DadosViagem5[[#This Row],[Placa]],[1]BIP!A:E,5,FALSE),"")</f>
        <v>45989</v>
      </c>
      <c r="Q589" s="27">
        <f ca="1">DATEDIF(DadosViagem5[[#This Row],[BIP]],TODAY(),"D")</f>
        <v>1</v>
      </c>
      <c r="R589" s="28" t="str">
        <f>IFERROR(VLOOKUP(DadosViagem5[[#This Row],[Placa]],[1]DDS!B:C,2,FALSE),"Verificar cadastro")</f>
        <v>Operando</v>
      </c>
      <c r="S589" s="29" t="s">
        <v>48</v>
      </c>
      <c r="T589" s="23"/>
      <c r="U589" s="30"/>
      <c r="V589" s="31"/>
      <c r="W589" s="32"/>
      <c r="X589" s="33"/>
      <c r="Y589" s="34" t="s">
        <v>49</v>
      </c>
      <c r="Z589" s="32"/>
      <c r="AA589" s="20" t="s">
        <v>49</v>
      </c>
      <c r="AB589" s="20" t="s">
        <v>49</v>
      </c>
      <c r="AC589" s="19" t="s">
        <v>49</v>
      </c>
      <c r="AD589" s="19" t="str">
        <f ca="1">IFERROR(DATEDIF(DadosViagem5[[#This Row],[Utimo Bip Reserva]],TODAY(),"D"),"")</f>
        <v/>
      </c>
      <c r="AE589" s="36" t="s">
        <v>49</v>
      </c>
      <c r="AF589" s="25" t="s">
        <v>49</v>
      </c>
      <c r="AG589" s="36"/>
      <c r="AH589" s="25">
        <v>45807</v>
      </c>
      <c r="AI589" s="36" t="str">
        <f>IF(DadosViagem5[[#This Row],[Dias em manutenção ]]&lt;5,"Dentro do Prazo","Fora do Prazo")</f>
        <v>Fora do Prazo</v>
      </c>
      <c r="AJ589" s="36" t="e">
        <v>#REF!</v>
      </c>
    </row>
    <row r="590" spans="1:36">
      <c r="A590" s="19" t="s">
        <v>1020</v>
      </c>
      <c r="B590" s="20"/>
      <c r="C590" s="19" t="s">
        <v>1013</v>
      </c>
      <c r="D590" s="19" t="s">
        <v>1014</v>
      </c>
      <c r="E590" s="19" t="s">
        <v>114</v>
      </c>
      <c r="F590" s="19" t="s">
        <v>115</v>
      </c>
      <c r="G590" s="19"/>
      <c r="H590" s="20">
        <v>2022</v>
      </c>
      <c r="I590" s="19" t="s">
        <v>1015</v>
      </c>
      <c r="J590" s="19" t="s">
        <v>1016</v>
      </c>
      <c r="K590" s="21" t="s">
        <v>1017</v>
      </c>
      <c r="L590" s="22" t="s">
        <v>60</v>
      </c>
      <c r="M590" s="23" t="s">
        <v>268</v>
      </c>
      <c r="N590" s="36" t="s">
        <v>1018</v>
      </c>
      <c r="O590" s="36" t="s">
        <v>1019</v>
      </c>
      <c r="P590" s="26">
        <f ca="1">IFERROR(VLOOKUP(DadosViagem5[[#This Row],[Placa]],[1]BIP!A:E,5,FALSE),"")</f>
        <v>45989</v>
      </c>
      <c r="Q590" s="27">
        <f ca="1">DATEDIF(DadosViagem5[[#This Row],[BIP]],TODAY(),"D")</f>
        <v>1</v>
      </c>
      <c r="R590" s="28" t="str">
        <f>IFERROR(VLOOKUP(DadosViagem5[[#This Row],[Placa]],[1]DDS!B:C,2,FALSE),"Verificar cadastro")</f>
        <v>Manutenção</v>
      </c>
      <c r="S590" s="29" t="s">
        <v>48</v>
      </c>
      <c r="T590" s="23"/>
      <c r="U590" s="30"/>
      <c r="V590" s="31"/>
      <c r="W590" s="32"/>
      <c r="X590" s="33"/>
      <c r="Y590" s="34" t="s">
        <v>49</v>
      </c>
      <c r="Z590" s="32"/>
      <c r="AA590" s="20" t="s">
        <v>49</v>
      </c>
      <c r="AB590" s="20" t="s">
        <v>49</v>
      </c>
      <c r="AC590" s="19" t="s">
        <v>49</v>
      </c>
      <c r="AD590" s="19" t="str">
        <f ca="1">IFERROR(DATEDIF(DadosViagem5[[#This Row],[Utimo Bip Reserva]],TODAY(),"D"),"")</f>
        <v/>
      </c>
      <c r="AE590" s="36" t="s">
        <v>49</v>
      </c>
      <c r="AF590" s="25" t="s">
        <v>49</v>
      </c>
      <c r="AG590" s="36"/>
      <c r="AH590" s="25">
        <v>45807</v>
      </c>
      <c r="AI590" s="36" t="str">
        <f>IF(DadosViagem5[[#This Row],[Dias em manutenção ]]&lt;5,"Dentro do Prazo","Fora do Prazo")</f>
        <v>Fora do Prazo</v>
      </c>
      <c r="AJ590" s="36" t="e">
        <v>#REF!</v>
      </c>
    </row>
    <row r="591" spans="1:36">
      <c r="A591" s="19" t="s">
        <v>1021</v>
      </c>
      <c r="B591" s="20"/>
      <c r="C591" s="19" t="s">
        <v>1013</v>
      </c>
      <c r="D591" s="19" t="s">
        <v>1014</v>
      </c>
      <c r="E591" s="19" t="s">
        <v>114</v>
      </c>
      <c r="F591" s="19" t="s">
        <v>115</v>
      </c>
      <c r="G591" s="19"/>
      <c r="H591" s="20">
        <v>2022</v>
      </c>
      <c r="I591" s="19" t="s">
        <v>1015</v>
      </c>
      <c r="J591" s="19" t="s">
        <v>1016</v>
      </c>
      <c r="K591" s="21" t="s">
        <v>1017</v>
      </c>
      <c r="L591" s="22" t="s">
        <v>60</v>
      </c>
      <c r="M591" s="23" t="s">
        <v>268</v>
      </c>
      <c r="N591" s="36" t="s">
        <v>1018</v>
      </c>
      <c r="O591" s="36" t="s">
        <v>1019</v>
      </c>
      <c r="P591" s="26">
        <f ca="1">IFERROR(VLOOKUP(DadosViagem5[[#This Row],[Placa]],[1]BIP!A:E,5,FALSE),"")</f>
        <v>45989</v>
      </c>
      <c r="Q591" s="27">
        <f ca="1">DATEDIF(DadosViagem5[[#This Row],[BIP]],TODAY(),"D")</f>
        <v>1</v>
      </c>
      <c r="R591" s="28" t="str">
        <f>IFERROR(VLOOKUP(DadosViagem5[[#This Row],[Placa]],[1]DDS!B:C,2,FALSE),"Verificar cadastro")</f>
        <v>Operando</v>
      </c>
      <c r="S591" s="29" t="s">
        <v>48</v>
      </c>
      <c r="T591" s="23"/>
      <c r="U591" s="30"/>
      <c r="V591" s="31"/>
      <c r="W591" s="32"/>
      <c r="X591" s="33"/>
      <c r="Y591" s="34" t="s">
        <v>49</v>
      </c>
      <c r="Z591" s="32"/>
      <c r="AA591" s="20" t="s">
        <v>49</v>
      </c>
      <c r="AB591" s="20" t="s">
        <v>49</v>
      </c>
      <c r="AC591" s="19" t="s">
        <v>49</v>
      </c>
      <c r="AD591" s="19" t="str">
        <f ca="1">IFERROR(DATEDIF(DadosViagem5[[#This Row],[Utimo Bip Reserva]],TODAY(),"D"),"")</f>
        <v/>
      </c>
      <c r="AE591" s="36" t="s">
        <v>49</v>
      </c>
      <c r="AF591" s="25" t="s">
        <v>49</v>
      </c>
      <c r="AG591" s="36"/>
      <c r="AH591" s="25">
        <v>45807</v>
      </c>
      <c r="AI591" s="36" t="str">
        <f>IF(DadosViagem5[[#This Row],[Dias em manutenção ]]&lt;5,"Dentro do Prazo","Fora do Prazo")</f>
        <v>Fora do Prazo</v>
      </c>
      <c r="AJ591" s="36" t="e">
        <v>#REF!</v>
      </c>
    </row>
    <row r="592" spans="1:36">
      <c r="A592" s="19" t="s">
        <v>1022</v>
      </c>
      <c r="B592" s="20"/>
      <c r="C592" s="19" t="s">
        <v>1013</v>
      </c>
      <c r="D592" s="19" t="s">
        <v>1014</v>
      </c>
      <c r="E592" s="19" t="s">
        <v>114</v>
      </c>
      <c r="F592" s="19" t="s">
        <v>115</v>
      </c>
      <c r="G592" s="19"/>
      <c r="H592" s="20">
        <v>2020</v>
      </c>
      <c r="I592" s="19" t="s">
        <v>1015</v>
      </c>
      <c r="J592" s="19" t="s">
        <v>1016</v>
      </c>
      <c r="K592" s="21" t="s">
        <v>1017</v>
      </c>
      <c r="L592" s="22" t="s">
        <v>60</v>
      </c>
      <c r="M592" s="23" t="s">
        <v>268</v>
      </c>
      <c r="N592" s="36" t="s">
        <v>1018</v>
      </c>
      <c r="O592" s="36" t="s">
        <v>1019</v>
      </c>
      <c r="P592" s="26">
        <f ca="1">IFERROR(VLOOKUP(DadosViagem5[[#This Row],[Placa]],[1]BIP!A:E,5,FALSE),"")</f>
        <v>45922</v>
      </c>
      <c r="Q592" s="27">
        <f ca="1">DATEDIF(DadosViagem5[[#This Row],[BIP]],TODAY(),"D")</f>
        <v>68</v>
      </c>
      <c r="R592" s="28" t="str">
        <f>IFERROR(VLOOKUP(DadosViagem5[[#This Row],[Placa]],[1]DDS!B:C,2,FALSE),"Verificar cadastro")</f>
        <v> </v>
      </c>
      <c r="S592" s="36" t="s">
        <v>1023</v>
      </c>
      <c r="T592" s="23"/>
      <c r="U592" s="114"/>
      <c r="V592" s="31"/>
      <c r="W592" s="32" t="s">
        <v>1024</v>
      </c>
      <c r="X592" s="33"/>
      <c r="Y592" s="34"/>
      <c r="Z592" s="32"/>
      <c r="AA592" s="20" t="s">
        <v>49</v>
      </c>
      <c r="AB592" s="20" t="s">
        <v>49</v>
      </c>
      <c r="AC592" s="19" t="s">
        <v>49</v>
      </c>
      <c r="AD592" s="19" t="str">
        <f ca="1">IFERROR(DATEDIF(DadosViagem5[[#This Row],[Utimo Bip Reserva]],TODAY(),"D"),"")</f>
        <v/>
      </c>
      <c r="AE592" s="36" t="s">
        <v>49</v>
      </c>
      <c r="AF592" s="25" t="s">
        <v>49</v>
      </c>
      <c r="AG592" s="36"/>
      <c r="AH592" s="25">
        <v>45807</v>
      </c>
      <c r="AI592" s="36" t="str">
        <f>IF(DadosViagem5[[#This Row],[Dias em manutenção ]]&lt;5,"Dentro do Prazo","Fora do Prazo")</f>
        <v>Fora do Prazo</v>
      </c>
      <c r="AJ592" s="36" t="e">
        <v>#REF!</v>
      </c>
    </row>
    <row r="593" spans="1:36">
      <c r="A593" s="19" t="s">
        <v>1025</v>
      </c>
      <c r="B593" s="20"/>
      <c r="C593" s="19" t="s">
        <v>74</v>
      </c>
      <c r="D593" s="19" t="s">
        <v>52</v>
      </c>
      <c r="E593" s="19" t="s">
        <v>114</v>
      </c>
      <c r="F593" s="19" t="s">
        <v>115</v>
      </c>
      <c r="G593" s="19"/>
      <c r="H593" s="20">
        <v>2022</v>
      </c>
      <c r="I593" s="19" t="s">
        <v>1015</v>
      </c>
      <c r="J593" s="19" t="s">
        <v>1016</v>
      </c>
      <c r="K593" s="21" t="s">
        <v>1017</v>
      </c>
      <c r="L593" s="22" t="s">
        <v>60</v>
      </c>
      <c r="M593" s="23" t="s">
        <v>77</v>
      </c>
      <c r="N593" s="36" t="s">
        <v>1018</v>
      </c>
      <c r="O593" s="36" t="s">
        <v>1019</v>
      </c>
      <c r="P593" s="26">
        <f ca="1">IFERROR(VLOOKUP(DadosViagem5[[#This Row],[Placa]],[1]BIP!A:E,5,FALSE),"")</f>
        <v>45810</v>
      </c>
      <c r="Q593" s="27">
        <f ca="1">DATEDIF(DadosViagem5[[#This Row],[BIP]],TODAY(),"D")</f>
        <v>180</v>
      </c>
      <c r="R593" s="28" t="str">
        <f>IFERROR(VLOOKUP(DadosViagem5[[#This Row],[Placa]],[1]DDS!B:C,2,FALSE),"Verificar cadastro")</f>
        <v>Verificar cadastro</v>
      </c>
      <c r="S593" s="36" t="s">
        <v>574</v>
      </c>
      <c r="T593" s="23"/>
      <c r="U593" s="30"/>
      <c r="V593" s="31"/>
      <c r="W593" s="32" t="s">
        <v>1026</v>
      </c>
      <c r="X593" s="33"/>
      <c r="Y593" s="34"/>
      <c r="Z593" s="32"/>
      <c r="AA593" s="20" t="s">
        <v>49</v>
      </c>
      <c r="AB593" s="20" t="s">
        <v>49</v>
      </c>
      <c r="AC593" s="19" t="s">
        <v>49</v>
      </c>
      <c r="AD593" s="19" t="str">
        <f ca="1">IFERROR(DATEDIF(DadosViagem5[[#This Row],[Utimo Bip Reserva]],TODAY(),"D"),"")</f>
        <v/>
      </c>
      <c r="AE593" s="36" t="s">
        <v>49</v>
      </c>
      <c r="AF593" s="25">
        <v>45699</v>
      </c>
      <c r="AG593" s="36" t="s">
        <v>481</v>
      </c>
      <c r="AH593" s="25">
        <v>45807</v>
      </c>
      <c r="AI593" s="36" t="str">
        <f>IF(DadosViagem5[[#This Row],[Dias em manutenção ]]&lt;5,"Dentro do Prazo","Fora do Prazo")</f>
        <v>Fora do Prazo</v>
      </c>
      <c r="AJ593" s="36" t="e">
        <v>#REF!</v>
      </c>
    </row>
    <row r="594" spans="1:36">
      <c r="A594" s="19" t="s">
        <v>1027</v>
      </c>
      <c r="B594" s="20"/>
      <c r="C594" s="19" t="s">
        <v>1013</v>
      </c>
      <c r="D594" s="19" t="s">
        <v>1014</v>
      </c>
      <c r="E594" s="19" t="s">
        <v>114</v>
      </c>
      <c r="F594" s="19" t="s">
        <v>115</v>
      </c>
      <c r="G594" s="19"/>
      <c r="H594" s="20">
        <v>2022</v>
      </c>
      <c r="I594" s="19" t="s">
        <v>1015</v>
      </c>
      <c r="J594" s="19" t="s">
        <v>1016</v>
      </c>
      <c r="K594" s="21" t="s">
        <v>1017</v>
      </c>
      <c r="L594" s="22" t="s">
        <v>60</v>
      </c>
      <c r="M594" s="23" t="s">
        <v>268</v>
      </c>
      <c r="N594" s="36" t="s">
        <v>1018</v>
      </c>
      <c r="O594" s="36" t="s">
        <v>1019</v>
      </c>
      <c r="P594" s="26">
        <f ca="1">IFERROR(VLOOKUP(DadosViagem5[[#This Row],[Placa]],[1]BIP!A:E,5,FALSE),"")</f>
        <v>45989</v>
      </c>
      <c r="Q594" s="27">
        <f ca="1">DATEDIF(DadosViagem5[[#This Row],[BIP]],TODAY(),"D")</f>
        <v>1</v>
      </c>
      <c r="R594" s="28" t="str">
        <f>IFERROR(VLOOKUP(DadosViagem5[[#This Row],[Placa]],[1]DDS!B:C,2,FALSE),"Verificar cadastro")</f>
        <v>Operando</v>
      </c>
      <c r="S594" s="29" t="s">
        <v>48</v>
      </c>
      <c r="T594" s="23"/>
      <c r="U594" s="30"/>
      <c r="V594" s="31"/>
      <c r="W594" s="32"/>
      <c r="X594" s="33"/>
      <c r="Y594" s="34"/>
      <c r="Z594" s="32"/>
      <c r="AA594" s="20" t="s">
        <v>49</v>
      </c>
      <c r="AB594" s="20" t="s">
        <v>49</v>
      </c>
      <c r="AC594" s="19" t="s">
        <v>49</v>
      </c>
      <c r="AD594" s="19" t="str">
        <f ca="1">IFERROR(DATEDIF(DadosViagem5[[#This Row],[Utimo Bip Reserva]],TODAY(),"D"),"")</f>
        <v/>
      </c>
      <c r="AE594" s="36" t="s">
        <v>1028</v>
      </c>
      <c r="AF594" s="25" t="s">
        <v>49</v>
      </c>
      <c r="AG594" s="36"/>
      <c r="AH594" s="25">
        <v>11</v>
      </c>
      <c r="AI594" s="36" t="str">
        <f>IF(DadosViagem5[[#This Row],[Dias em manutenção ]]&lt;5,"Dentro do Prazo","Fora do Prazo")</f>
        <v>Fora do Prazo</v>
      </c>
      <c r="AJ594" s="36" t="e">
        <v>#REF!</v>
      </c>
    </row>
    <row r="595" spans="1:36">
      <c r="A595" s="19" t="s">
        <v>1029</v>
      </c>
      <c r="B595" s="20"/>
      <c r="C595" s="19" t="s">
        <v>1013</v>
      </c>
      <c r="D595" s="19" t="s">
        <v>1014</v>
      </c>
      <c r="E595" s="19" t="s">
        <v>114</v>
      </c>
      <c r="F595" s="19" t="s">
        <v>115</v>
      </c>
      <c r="G595" s="19"/>
      <c r="H595" s="20">
        <v>2022</v>
      </c>
      <c r="I595" s="19" t="s">
        <v>1015</v>
      </c>
      <c r="J595" s="19" t="s">
        <v>1016</v>
      </c>
      <c r="K595" s="21" t="s">
        <v>1017</v>
      </c>
      <c r="L595" s="22" t="s">
        <v>60</v>
      </c>
      <c r="M595" s="23" t="s">
        <v>268</v>
      </c>
      <c r="N595" s="36" t="s">
        <v>1018</v>
      </c>
      <c r="O595" s="36" t="s">
        <v>1019</v>
      </c>
      <c r="P595" s="26">
        <f ca="1">IFERROR(VLOOKUP(DadosViagem5[[#This Row],[Placa]],[1]BIP!A:E,5,FALSE),"")</f>
        <v>45989</v>
      </c>
      <c r="Q595" s="27">
        <f ca="1">DATEDIF(DadosViagem5[[#This Row],[BIP]],TODAY(),"D")</f>
        <v>1</v>
      </c>
      <c r="R595" s="28" t="str">
        <f>IFERROR(VLOOKUP(DadosViagem5[[#This Row],[Placa]],[1]DDS!B:C,2,FALSE),"Verificar cadastro")</f>
        <v>Operando</v>
      </c>
      <c r="S595" s="29" t="s">
        <v>48</v>
      </c>
      <c r="T595" s="23"/>
      <c r="U595" s="30"/>
      <c r="V595" s="31"/>
      <c r="W595" s="32"/>
      <c r="X595" s="33"/>
      <c r="Y595" s="34"/>
      <c r="Z595" s="32"/>
      <c r="AA595" s="20" t="s">
        <v>49</v>
      </c>
      <c r="AB595" s="20" t="s">
        <v>49</v>
      </c>
      <c r="AC595" s="19" t="s">
        <v>49</v>
      </c>
      <c r="AD595" s="19" t="str">
        <f ca="1">IFERROR(DATEDIF(DadosViagem5[[#This Row],[Utimo Bip Reserva]],TODAY(),"D"),"")</f>
        <v/>
      </c>
      <c r="AE595" s="36" t="s">
        <v>49</v>
      </c>
      <c r="AF595" s="25" t="s">
        <v>49</v>
      </c>
      <c r="AG595" s="36"/>
      <c r="AH595" s="25">
        <v>45807</v>
      </c>
      <c r="AI595" s="36" t="str">
        <f>IF(DadosViagem5[[#This Row],[Dias em manutenção ]]&lt;5,"Dentro do Prazo","Fora do Prazo")</f>
        <v>Fora do Prazo</v>
      </c>
      <c r="AJ595" s="36" t="e">
        <v>#REF!</v>
      </c>
    </row>
    <row r="596" spans="1:36">
      <c r="A596" s="19" t="s">
        <v>1030</v>
      </c>
      <c r="B596" s="20"/>
      <c r="C596" s="19" t="s">
        <v>1013</v>
      </c>
      <c r="D596" s="19" t="s">
        <v>1014</v>
      </c>
      <c r="E596" s="19" t="s">
        <v>114</v>
      </c>
      <c r="F596" s="19" t="s">
        <v>115</v>
      </c>
      <c r="G596" s="19"/>
      <c r="H596" s="20">
        <v>2022</v>
      </c>
      <c r="I596" s="19" t="s">
        <v>1015</v>
      </c>
      <c r="J596" s="19" t="s">
        <v>1016</v>
      </c>
      <c r="K596" s="21" t="s">
        <v>1017</v>
      </c>
      <c r="L596" s="22" t="s">
        <v>60</v>
      </c>
      <c r="M596" s="23" t="s">
        <v>268</v>
      </c>
      <c r="N596" s="36" t="s">
        <v>1018</v>
      </c>
      <c r="O596" s="36" t="s">
        <v>1019</v>
      </c>
      <c r="P596" s="26">
        <f ca="1">IFERROR(VLOOKUP(DadosViagem5[[#This Row],[Placa]],[1]BIP!A:E,5,FALSE),"")</f>
        <v>45989</v>
      </c>
      <c r="Q596" s="27">
        <f ca="1">DATEDIF(DadosViagem5[[#This Row],[BIP]],TODAY(),"D")</f>
        <v>1</v>
      </c>
      <c r="R596" s="28" t="str">
        <f>IFERROR(VLOOKUP(DadosViagem5[[#This Row],[Placa]],[1]DDS!B:C,2,FALSE),"Verificar cadastro")</f>
        <v>Operando</v>
      </c>
      <c r="S596" s="29" t="s">
        <v>48</v>
      </c>
      <c r="T596" s="23"/>
      <c r="U596" s="30"/>
      <c r="V596" s="31"/>
      <c r="W596" s="32"/>
      <c r="X596" s="33"/>
      <c r="Y596" s="34"/>
      <c r="Z596" s="32"/>
      <c r="AA596" s="20" t="s">
        <v>49</v>
      </c>
      <c r="AB596" s="20" t="s">
        <v>49</v>
      </c>
      <c r="AC596" s="19" t="s">
        <v>49</v>
      </c>
      <c r="AD596" s="19" t="str">
        <f ca="1">IFERROR(DATEDIF(DadosViagem5[[#This Row],[Utimo Bip Reserva]],TODAY(),"D"),"")</f>
        <v/>
      </c>
      <c r="AE596" s="36" t="s">
        <v>1031</v>
      </c>
      <c r="AF596" s="25" t="s">
        <v>49</v>
      </c>
      <c r="AG596" s="36"/>
      <c r="AH596" s="25">
        <v>45807</v>
      </c>
      <c r="AI596" s="36" t="str">
        <f>IF(DadosViagem5[[#This Row],[Dias em manutenção ]]&lt;5,"Dentro do Prazo","Fora do Prazo")</f>
        <v>Fora do Prazo</v>
      </c>
      <c r="AJ596" s="36" t="e">
        <v>#REF!</v>
      </c>
    </row>
    <row r="597" spans="1:36">
      <c r="A597" s="19" t="s">
        <v>1032</v>
      </c>
      <c r="B597" s="20"/>
      <c r="C597" s="19" t="s">
        <v>1013</v>
      </c>
      <c r="D597" s="19" t="s">
        <v>1014</v>
      </c>
      <c r="E597" s="19" t="s">
        <v>114</v>
      </c>
      <c r="F597" s="19" t="s">
        <v>115</v>
      </c>
      <c r="G597" s="19"/>
      <c r="H597" s="20">
        <v>2022</v>
      </c>
      <c r="I597" s="19" t="s">
        <v>1015</v>
      </c>
      <c r="J597" s="19" t="s">
        <v>1016</v>
      </c>
      <c r="K597" s="21" t="s">
        <v>1017</v>
      </c>
      <c r="L597" s="22" t="s">
        <v>60</v>
      </c>
      <c r="M597" s="23" t="s">
        <v>268</v>
      </c>
      <c r="N597" s="36" t="s">
        <v>1018</v>
      </c>
      <c r="O597" s="36" t="s">
        <v>1019</v>
      </c>
      <c r="P597" s="26">
        <f ca="1">IFERROR(VLOOKUP(DadosViagem5[[#This Row],[Placa]],[1]BIP!A:E,5,FALSE),"")</f>
        <v>45989</v>
      </c>
      <c r="Q597" s="27">
        <f ca="1">DATEDIF(DadosViagem5[[#This Row],[BIP]],TODAY(),"D")</f>
        <v>1</v>
      </c>
      <c r="R597" s="28" t="str">
        <f>IFERROR(VLOOKUP(DadosViagem5[[#This Row],[Placa]],[1]DDS!B:C,2,FALSE),"Verificar cadastro")</f>
        <v>Operando</v>
      </c>
      <c r="S597" s="29" t="s">
        <v>48</v>
      </c>
      <c r="T597" s="23"/>
      <c r="U597" s="30"/>
      <c r="V597" s="31"/>
      <c r="W597" s="32"/>
      <c r="X597" s="33"/>
      <c r="Y597" s="34"/>
      <c r="Z597" s="32"/>
      <c r="AA597" s="20" t="s">
        <v>49</v>
      </c>
      <c r="AB597" s="20" t="s">
        <v>49</v>
      </c>
      <c r="AC597" s="19" t="s">
        <v>49</v>
      </c>
      <c r="AD597" s="19" t="str">
        <f ca="1">IFERROR(DATEDIF(DadosViagem5[[#This Row],[Utimo Bip Reserva]],TODAY(),"D"),"")</f>
        <v/>
      </c>
      <c r="AE597" s="36" t="s">
        <v>49</v>
      </c>
      <c r="AF597" s="25" t="s">
        <v>49</v>
      </c>
      <c r="AG597" s="36"/>
      <c r="AH597" s="25">
        <v>45807</v>
      </c>
      <c r="AI597" s="36" t="str">
        <f>IF(DadosViagem5[[#This Row],[Dias em manutenção ]]&lt;5,"Dentro do Prazo","Fora do Prazo")</f>
        <v>Fora do Prazo</v>
      </c>
      <c r="AJ597" s="36" t="e">
        <v>#REF!</v>
      </c>
    </row>
    <row r="598" spans="1:36">
      <c r="A598" s="19" t="s">
        <v>1033</v>
      </c>
      <c r="B598" s="20"/>
      <c r="C598" s="19" t="s">
        <v>1013</v>
      </c>
      <c r="D598" s="19" t="s">
        <v>1014</v>
      </c>
      <c r="E598" s="19" t="s">
        <v>114</v>
      </c>
      <c r="F598" s="19" t="s">
        <v>115</v>
      </c>
      <c r="G598" s="19"/>
      <c r="H598" s="20">
        <v>2020</v>
      </c>
      <c r="I598" s="19" t="s">
        <v>1015</v>
      </c>
      <c r="J598" s="19" t="s">
        <v>1016</v>
      </c>
      <c r="K598" s="21" t="s">
        <v>1017</v>
      </c>
      <c r="L598" s="22" t="s">
        <v>60</v>
      </c>
      <c r="M598" s="23" t="s">
        <v>268</v>
      </c>
      <c r="N598" s="36" t="s">
        <v>1018</v>
      </c>
      <c r="O598" s="36" t="s">
        <v>1019</v>
      </c>
      <c r="P598" s="26">
        <f ca="1">IFERROR(VLOOKUP(DadosViagem5[[#This Row],[Placa]],[1]BIP!A:E,5,FALSE),"")</f>
        <v>45989</v>
      </c>
      <c r="Q598" s="27">
        <f ca="1">DATEDIF(DadosViagem5[[#This Row],[BIP]],TODAY(),"D")</f>
        <v>1</v>
      </c>
      <c r="R598" s="28" t="str">
        <f>IFERROR(VLOOKUP(DadosViagem5[[#This Row],[Placa]],[1]DDS!B:C,2,FALSE),"Verificar cadastro")</f>
        <v>Operando</v>
      </c>
      <c r="S598" s="29" t="s">
        <v>48</v>
      </c>
      <c r="T598" s="23"/>
      <c r="U598" s="30"/>
      <c r="V598" s="31"/>
      <c r="W598" s="32"/>
      <c r="X598" s="33"/>
      <c r="Y598" s="34"/>
      <c r="Z598" s="32"/>
      <c r="AA598" s="20" t="s">
        <v>49</v>
      </c>
      <c r="AB598" s="20" t="s">
        <v>49</v>
      </c>
      <c r="AC598" s="19" t="s">
        <v>49</v>
      </c>
      <c r="AD598" s="19" t="str">
        <f ca="1">IFERROR(DATEDIF(DadosViagem5[[#This Row],[Utimo Bip Reserva]],TODAY(),"D"),"")</f>
        <v/>
      </c>
      <c r="AE598" s="36" t="s">
        <v>49</v>
      </c>
      <c r="AF598" s="25" t="s">
        <v>49</v>
      </c>
      <c r="AG598" s="36"/>
      <c r="AH598" s="25">
        <v>45807</v>
      </c>
      <c r="AI598" s="36" t="str">
        <f>IF(DadosViagem5[[#This Row],[Dias em manutenção ]]&lt;5,"Dentro do Prazo","Fora do Prazo")</f>
        <v>Fora do Prazo</v>
      </c>
      <c r="AJ598" s="36" t="e">
        <v>#REF!</v>
      </c>
    </row>
    <row r="599" spans="1:36">
      <c r="A599" s="19" t="s">
        <v>1034</v>
      </c>
      <c r="B599" s="20"/>
      <c r="C599" s="19" t="s">
        <v>1013</v>
      </c>
      <c r="D599" s="19" t="s">
        <v>1014</v>
      </c>
      <c r="E599" s="19" t="s">
        <v>114</v>
      </c>
      <c r="F599" s="19" t="s">
        <v>115</v>
      </c>
      <c r="G599" s="19"/>
      <c r="H599" s="20">
        <v>2022</v>
      </c>
      <c r="I599" s="19" t="s">
        <v>1015</v>
      </c>
      <c r="J599" s="19" t="s">
        <v>1016</v>
      </c>
      <c r="K599" s="21" t="s">
        <v>1017</v>
      </c>
      <c r="L599" s="22" t="s">
        <v>60</v>
      </c>
      <c r="M599" s="23" t="s">
        <v>268</v>
      </c>
      <c r="N599" s="36" t="s">
        <v>1018</v>
      </c>
      <c r="O599" s="36" t="s">
        <v>1019</v>
      </c>
      <c r="P599" s="26">
        <f ca="1">IFERROR(VLOOKUP(DadosViagem5[[#This Row],[Placa]],[1]BIP!A:E,5,FALSE),"")</f>
        <v>45981</v>
      </c>
      <c r="Q599" s="27">
        <f ca="1">DATEDIF(DadosViagem5[[#This Row],[BIP]],TODAY(),"D")</f>
        <v>9</v>
      </c>
      <c r="R599" s="28" t="str">
        <f>IFERROR(VLOOKUP(DadosViagem5[[#This Row],[Placa]],[1]DDS!B:C,2,FALSE),"Verificar cadastro")</f>
        <v>Manutenção</v>
      </c>
      <c r="S599" s="29" t="s">
        <v>48</v>
      </c>
      <c r="T599" s="23"/>
      <c r="U599" s="30"/>
      <c r="V599" s="31"/>
      <c r="W599" s="32"/>
      <c r="X599" s="33"/>
      <c r="Y599" s="34"/>
      <c r="Z599" s="32"/>
      <c r="AA599" s="20" t="s">
        <v>49</v>
      </c>
      <c r="AB599" s="20" t="s">
        <v>49</v>
      </c>
      <c r="AC599" s="19" t="s">
        <v>49</v>
      </c>
      <c r="AD599" s="19" t="str">
        <f ca="1">IFERROR(DATEDIF(DadosViagem5[[#This Row],[Utimo Bip Reserva]],TODAY(),"D"),"")</f>
        <v/>
      </c>
      <c r="AE599" s="36" t="s">
        <v>910</v>
      </c>
      <c r="AF599" s="25" t="s">
        <v>49</v>
      </c>
      <c r="AG599" s="36"/>
      <c r="AH599" s="25">
        <v>45807</v>
      </c>
      <c r="AI599" s="36" t="str">
        <f>IF(DadosViagem5[[#This Row],[Dias em manutenção ]]&lt;5,"Dentro do Prazo","Fora do Prazo")</f>
        <v>Fora do Prazo</v>
      </c>
      <c r="AJ599" s="36" t="e">
        <v>#REF!</v>
      </c>
    </row>
    <row r="600" spans="1:36">
      <c r="A600" s="19" t="s">
        <v>1035</v>
      </c>
      <c r="B600" s="20"/>
      <c r="C600" s="19" t="s">
        <v>1013</v>
      </c>
      <c r="D600" s="19" t="s">
        <v>1014</v>
      </c>
      <c r="E600" s="19" t="s">
        <v>114</v>
      </c>
      <c r="F600" s="19" t="s">
        <v>115</v>
      </c>
      <c r="G600" s="19"/>
      <c r="H600" s="20">
        <v>2022</v>
      </c>
      <c r="I600" s="19" t="s">
        <v>1015</v>
      </c>
      <c r="J600" s="19" t="s">
        <v>1016</v>
      </c>
      <c r="K600" s="21" t="s">
        <v>1017</v>
      </c>
      <c r="L600" s="22" t="s">
        <v>60</v>
      </c>
      <c r="M600" s="23" t="s">
        <v>268</v>
      </c>
      <c r="N600" s="36" t="s">
        <v>1018</v>
      </c>
      <c r="O600" s="36" t="s">
        <v>1019</v>
      </c>
      <c r="P600" s="26">
        <f ca="1">IFERROR(VLOOKUP(DadosViagem5[[#This Row],[Placa]],[1]BIP!A:E,5,FALSE),"")</f>
        <v>45989</v>
      </c>
      <c r="Q600" s="27">
        <f ca="1">DATEDIF(DadosViagem5[[#This Row],[BIP]],TODAY(),"D")</f>
        <v>1</v>
      </c>
      <c r="R600" s="28" t="str">
        <f>IFERROR(VLOOKUP(DadosViagem5[[#This Row],[Placa]],[1]DDS!B:C,2,FALSE),"Verificar cadastro")</f>
        <v>Operando</v>
      </c>
      <c r="S600" s="29" t="s">
        <v>48</v>
      </c>
      <c r="T600" s="23"/>
      <c r="U600" s="30"/>
      <c r="V600" s="31"/>
      <c r="W600" s="32"/>
      <c r="X600" s="33"/>
      <c r="Y600" s="34"/>
      <c r="Z600" s="32"/>
      <c r="AA600" s="20" t="s">
        <v>49</v>
      </c>
      <c r="AB600" s="20" t="s">
        <v>49</v>
      </c>
      <c r="AC600" s="19" t="s">
        <v>49</v>
      </c>
      <c r="AD600" s="19" t="str">
        <f ca="1">IFERROR(DATEDIF(DadosViagem5[[#This Row],[Utimo Bip Reserva]],TODAY(),"D"),"")</f>
        <v/>
      </c>
      <c r="AE600" s="36" t="s">
        <v>49</v>
      </c>
      <c r="AF600" s="25" t="s">
        <v>49</v>
      </c>
      <c r="AG600" s="36" t="s">
        <v>540</v>
      </c>
      <c r="AH600" s="25">
        <v>45807</v>
      </c>
      <c r="AI600" s="36" t="str">
        <f>IF(DadosViagem5[[#This Row],[Dias em manutenção ]]&lt;5,"Dentro do Prazo","Fora do Prazo")</f>
        <v>Fora do Prazo</v>
      </c>
      <c r="AJ600" s="36" t="e">
        <v>#REF!</v>
      </c>
    </row>
    <row r="601" spans="1:36">
      <c r="A601" s="19" t="s">
        <v>1036</v>
      </c>
      <c r="B601" s="20"/>
      <c r="C601" s="19" t="s">
        <v>1013</v>
      </c>
      <c r="D601" s="19" t="s">
        <v>1014</v>
      </c>
      <c r="E601" s="19" t="s">
        <v>114</v>
      </c>
      <c r="F601" s="19" t="s">
        <v>115</v>
      </c>
      <c r="G601" s="19"/>
      <c r="H601" s="20">
        <v>2022</v>
      </c>
      <c r="I601" s="19" t="s">
        <v>1015</v>
      </c>
      <c r="J601" s="19" t="s">
        <v>1016</v>
      </c>
      <c r="K601" s="21" t="s">
        <v>1017</v>
      </c>
      <c r="L601" s="22" t="s">
        <v>60</v>
      </c>
      <c r="M601" s="23" t="s">
        <v>268</v>
      </c>
      <c r="N601" s="36" t="s">
        <v>1018</v>
      </c>
      <c r="O601" s="36" t="s">
        <v>1019</v>
      </c>
      <c r="P601" s="26">
        <f ca="1">IFERROR(VLOOKUP(DadosViagem5[[#This Row],[Placa]],[1]BIP!A:E,5,FALSE),"")</f>
        <v>45989</v>
      </c>
      <c r="Q601" s="27">
        <f ca="1">DATEDIF(DadosViagem5[[#This Row],[BIP]],TODAY(),"D")</f>
        <v>1</v>
      </c>
      <c r="R601" s="28" t="str">
        <f>IFERROR(VLOOKUP(DadosViagem5[[#This Row],[Placa]],[1]DDS!B:C,2,FALSE),"Verificar cadastro")</f>
        <v>Operando</v>
      </c>
      <c r="S601" s="29" t="s">
        <v>48</v>
      </c>
      <c r="T601" s="23"/>
      <c r="U601" s="30"/>
      <c r="V601" s="31"/>
      <c r="W601" s="32"/>
      <c r="X601" s="33"/>
      <c r="Y601" s="34"/>
      <c r="Z601" s="32"/>
      <c r="AA601" s="20" t="s">
        <v>49</v>
      </c>
      <c r="AB601" s="20" t="s">
        <v>49</v>
      </c>
      <c r="AC601" s="20" t="s">
        <v>49</v>
      </c>
      <c r="AD601" s="20" t="s">
        <v>49</v>
      </c>
      <c r="AE601" s="36" t="s">
        <v>49</v>
      </c>
      <c r="AF601" s="25" t="s">
        <v>49</v>
      </c>
      <c r="AG601" s="36"/>
      <c r="AH601" s="25">
        <v>45807</v>
      </c>
      <c r="AI601" s="36" t="str">
        <f>IF(DadosViagem5[[#This Row],[Dias em manutenção ]]&lt;5,"Dentro do Prazo","Fora do Prazo")</f>
        <v>Fora do Prazo</v>
      </c>
      <c r="AJ601" s="36" t="e">
        <v>#REF!</v>
      </c>
    </row>
    <row r="602" spans="1:36">
      <c r="A602" s="19" t="s">
        <v>1037</v>
      </c>
      <c r="B602" s="20"/>
      <c r="C602" s="19" t="s">
        <v>1013</v>
      </c>
      <c r="D602" s="19" t="s">
        <v>1014</v>
      </c>
      <c r="E602" s="19" t="s">
        <v>114</v>
      </c>
      <c r="F602" s="19" t="s">
        <v>115</v>
      </c>
      <c r="G602" s="19"/>
      <c r="H602" s="20">
        <v>2022</v>
      </c>
      <c r="I602" s="19" t="s">
        <v>1015</v>
      </c>
      <c r="J602" s="19" t="s">
        <v>1016</v>
      </c>
      <c r="K602" s="21" t="s">
        <v>1017</v>
      </c>
      <c r="L602" s="22" t="s">
        <v>60</v>
      </c>
      <c r="M602" s="23" t="s">
        <v>268</v>
      </c>
      <c r="N602" s="36" t="s">
        <v>1018</v>
      </c>
      <c r="O602" s="36" t="s">
        <v>1019</v>
      </c>
      <c r="P602" s="26">
        <f ca="1">IFERROR(VLOOKUP(DadosViagem5[[#This Row],[Placa]],[1]BIP!A:E,5,FALSE),"")</f>
        <v>45989</v>
      </c>
      <c r="Q602" s="27">
        <f ca="1">DATEDIF(DadosViagem5[[#This Row],[BIP]],TODAY(),"D")</f>
        <v>1</v>
      </c>
      <c r="R602" s="28" t="str">
        <f>IFERROR(VLOOKUP(DadosViagem5[[#This Row],[Placa]],[1]DDS!B:C,2,FALSE),"Verificar cadastro")</f>
        <v>Operando</v>
      </c>
      <c r="S602" s="29" t="s">
        <v>48</v>
      </c>
      <c r="T602" s="23"/>
      <c r="U602" s="30"/>
      <c r="V602" s="31"/>
      <c r="W602" s="32"/>
      <c r="X602" s="33"/>
      <c r="Y602" s="34"/>
      <c r="Z602" s="32"/>
      <c r="AA602" s="20" t="s">
        <v>49</v>
      </c>
      <c r="AB602" s="20" t="s">
        <v>49</v>
      </c>
      <c r="AC602" s="19" t="s">
        <v>49</v>
      </c>
      <c r="AD602" s="19" t="str">
        <f ca="1">IFERROR(DATEDIF(DadosViagem5[[#This Row],[Utimo Bip Reserva]],TODAY(),"D"),"")</f>
        <v/>
      </c>
      <c r="AE602" s="36" t="s">
        <v>49</v>
      </c>
      <c r="AF602" s="25" t="s">
        <v>49</v>
      </c>
      <c r="AG602" s="36"/>
      <c r="AH602" s="25">
        <v>45807</v>
      </c>
      <c r="AI602" s="36" t="str">
        <f>IF(DadosViagem5[[#This Row],[Dias em manutenção ]]&lt;5,"Dentro do Prazo","Fora do Prazo")</f>
        <v>Fora do Prazo</v>
      </c>
      <c r="AJ602" s="36" t="e">
        <v>#REF!</v>
      </c>
    </row>
    <row r="603" spans="1:36">
      <c r="A603" s="19" t="s">
        <v>1038</v>
      </c>
      <c r="B603" s="20"/>
      <c r="C603" s="19" t="s">
        <v>1013</v>
      </c>
      <c r="D603" s="19" t="s">
        <v>1014</v>
      </c>
      <c r="E603" s="19" t="s">
        <v>114</v>
      </c>
      <c r="F603" s="19" t="s">
        <v>115</v>
      </c>
      <c r="G603" s="19"/>
      <c r="H603" s="20">
        <v>2022</v>
      </c>
      <c r="I603" s="19" t="s">
        <v>1015</v>
      </c>
      <c r="J603" s="19" t="s">
        <v>1016</v>
      </c>
      <c r="K603" s="21" t="s">
        <v>1017</v>
      </c>
      <c r="L603" s="22" t="s">
        <v>60</v>
      </c>
      <c r="M603" s="23" t="s">
        <v>268</v>
      </c>
      <c r="N603" s="36" t="s">
        <v>1018</v>
      </c>
      <c r="O603" s="36" t="s">
        <v>1019</v>
      </c>
      <c r="P603" s="26">
        <f ca="1">IFERROR(VLOOKUP(DadosViagem5[[#This Row],[Placa]],[1]BIP!A:E,5,FALSE),"")</f>
        <v>45989</v>
      </c>
      <c r="Q603" s="27">
        <f ca="1">DATEDIF(DadosViagem5[[#This Row],[BIP]],TODAY(),"D")</f>
        <v>1</v>
      </c>
      <c r="R603" s="28" t="str">
        <f>IFERROR(VLOOKUP(DadosViagem5[[#This Row],[Placa]],[1]DDS!B:C,2,FALSE),"Verificar cadastro")</f>
        <v>Operando</v>
      </c>
      <c r="S603" s="29" t="s">
        <v>48</v>
      </c>
      <c r="T603" s="23"/>
      <c r="U603" s="30"/>
      <c r="V603" s="31"/>
      <c r="W603" s="32"/>
      <c r="X603" s="33"/>
      <c r="Y603" s="34"/>
      <c r="Z603" s="32"/>
      <c r="AA603" s="20" t="s">
        <v>49</v>
      </c>
      <c r="AB603" s="20" t="s">
        <v>49</v>
      </c>
      <c r="AC603" s="19" t="s">
        <v>49</v>
      </c>
      <c r="AD603" s="19" t="str">
        <f ca="1">IFERROR(DATEDIF(DadosViagem5[[#This Row],[Utimo Bip Reserva]],TODAY(),"D"),"")</f>
        <v/>
      </c>
      <c r="AE603" s="36" t="s">
        <v>49</v>
      </c>
      <c r="AF603" s="25" t="s">
        <v>49</v>
      </c>
      <c r="AG603" s="36"/>
      <c r="AH603" s="25">
        <v>45807</v>
      </c>
      <c r="AI603" s="36" t="str">
        <f>IF(DadosViagem5[[#This Row],[Dias em manutenção ]]&lt;5,"Dentro do Prazo","Fora do Prazo")</f>
        <v>Fora do Prazo</v>
      </c>
      <c r="AJ603" s="36" t="e">
        <v>#REF!</v>
      </c>
    </row>
    <row r="604" spans="1:36">
      <c r="A604" s="19" t="s">
        <v>1039</v>
      </c>
      <c r="B604" s="20"/>
      <c r="C604" s="19" t="s">
        <v>88</v>
      </c>
      <c r="D604" s="19" t="s">
        <v>52</v>
      </c>
      <c r="E604" s="19" t="s">
        <v>114</v>
      </c>
      <c r="F604" s="19" t="s">
        <v>115</v>
      </c>
      <c r="G604" s="19"/>
      <c r="H604" s="20">
        <v>2022</v>
      </c>
      <c r="I604" s="19" t="s">
        <v>1040</v>
      </c>
      <c r="J604" s="19" t="s">
        <v>1041</v>
      </c>
      <c r="K604" s="21" t="s">
        <v>1042</v>
      </c>
      <c r="L604" s="22" t="s">
        <v>60</v>
      </c>
      <c r="M604" s="23" t="s">
        <v>45</v>
      </c>
      <c r="N604" s="36" t="s">
        <v>1043</v>
      </c>
      <c r="O604" s="36" t="s">
        <v>1044</v>
      </c>
      <c r="P604" s="26">
        <f ca="1">IFERROR(VLOOKUP(DadosViagem5[[#This Row],[Placa]],[1]BIP!A:E,5,FALSE),"")</f>
        <v>45988</v>
      </c>
      <c r="Q604" s="27">
        <f ca="1">DATEDIF(DadosViagem5[[#This Row],[BIP]],TODAY(),"D")</f>
        <v>2</v>
      </c>
      <c r="R604" s="28" t="str">
        <f>IFERROR(VLOOKUP(DadosViagem5[[#This Row],[Placa]],[1]DDS!B:C,2,FALSE),"Verificar cadastro")</f>
        <v>Verificar cadastro</v>
      </c>
      <c r="S604" s="36" t="s">
        <v>574</v>
      </c>
      <c r="T604" s="23"/>
      <c r="U604" s="30"/>
      <c r="V604" s="31"/>
      <c r="W604" s="32" t="s">
        <v>1045</v>
      </c>
      <c r="X604" s="33"/>
      <c r="Y604" s="34" t="s">
        <v>49</v>
      </c>
      <c r="Z604" s="32"/>
      <c r="AA604" s="20" t="s">
        <v>49</v>
      </c>
      <c r="AB604" s="20" t="s">
        <v>49</v>
      </c>
      <c r="AC604" s="19" t="s">
        <v>49</v>
      </c>
      <c r="AD604" s="19" t="str">
        <f ca="1">IFERROR(DATEDIF(DadosViagem5[[#This Row],[Utimo Bip Reserva]],TODAY(),"D"),"")</f>
        <v/>
      </c>
      <c r="AE604" s="36" t="s">
        <v>49</v>
      </c>
      <c r="AF604" s="25" t="s">
        <v>49</v>
      </c>
      <c r="AG604" s="36"/>
      <c r="AH604" s="25">
        <v>45807</v>
      </c>
      <c r="AI604" s="36" t="str">
        <f>IF(DadosViagem5[[#This Row],[Dias em manutenção ]]&lt;5,"Dentro do Prazo","Fora do Prazo")</f>
        <v>Fora do Prazo</v>
      </c>
      <c r="AJ604" s="36" t="e">
        <v>#REF!</v>
      </c>
    </row>
    <row r="605" spans="1:36">
      <c r="A605" s="19" t="s">
        <v>1046</v>
      </c>
      <c r="B605" s="20"/>
      <c r="C605" s="19" t="s">
        <v>88</v>
      </c>
      <c r="D605" s="19" t="s">
        <v>52</v>
      </c>
      <c r="E605" s="19" t="s">
        <v>114</v>
      </c>
      <c r="F605" s="19" t="s">
        <v>115</v>
      </c>
      <c r="G605" s="19"/>
      <c r="H605" s="20">
        <v>2021</v>
      </c>
      <c r="I605" s="19" t="s">
        <v>1040</v>
      </c>
      <c r="J605" s="19" t="s">
        <v>1041</v>
      </c>
      <c r="K605" s="21" t="s">
        <v>1042</v>
      </c>
      <c r="L605" s="22" t="s">
        <v>60</v>
      </c>
      <c r="M605" s="23" t="s">
        <v>45</v>
      </c>
      <c r="N605" s="36" t="s">
        <v>1043</v>
      </c>
      <c r="O605" s="36" t="s">
        <v>1044</v>
      </c>
      <c r="P605" s="26">
        <f ca="1">IFERROR(VLOOKUP(DadosViagem5[[#This Row],[Placa]],[1]BIP!A:E,5,FALSE),"")</f>
        <v>45989</v>
      </c>
      <c r="Q605" s="27">
        <f ca="1">DATEDIF(DadosViagem5[[#This Row],[BIP]],TODAY(),"D")</f>
        <v>1</v>
      </c>
      <c r="R605" s="28" t="str">
        <f>IFERROR(VLOOKUP(DadosViagem5[[#This Row],[Placa]],[1]DDS!B:C,2,FALSE),"Verificar cadastro")</f>
        <v>Operando</v>
      </c>
      <c r="S605" s="29" t="s">
        <v>48</v>
      </c>
      <c r="T605" s="23"/>
      <c r="U605" s="30"/>
      <c r="V605" s="31"/>
      <c r="W605" s="32"/>
      <c r="X605" s="33"/>
      <c r="Y605" s="34" t="s">
        <v>49</v>
      </c>
      <c r="Z605" s="32"/>
      <c r="AA605" s="20" t="s">
        <v>49</v>
      </c>
      <c r="AB605" s="20" t="s">
        <v>49</v>
      </c>
      <c r="AC605" s="19" t="s">
        <v>49</v>
      </c>
      <c r="AD605" s="19" t="str">
        <f ca="1">IFERROR(DATEDIF(DadosViagem5[[#This Row],[Utimo Bip Reserva]],TODAY(),"D"),"")</f>
        <v/>
      </c>
      <c r="AE605" s="36" t="s">
        <v>49</v>
      </c>
      <c r="AF605" s="25" t="s">
        <v>49</v>
      </c>
      <c r="AG605" s="36"/>
      <c r="AH605" s="25">
        <v>45807</v>
      </c>
      <c r="AI605" s="36" t="str">
        <f>IF(DadosViagem5[[#This Row],[Dias em manutenção ]]&lt;5,"Dentro do Prazo","Fora do Prazo")</f>
        <v>Fora do Prazo</v>
      </c>
      <c r="AJ605" s="36" t="e">
        <v>#REF!</v>
      </c>
    </row>
    <row r="606" spans="1:36">
      <c r="A606" s="19" t="s">
        <v>1047</v>
      </c>
      <c r="B606" s="20"/>
      <c r="C606" s="19" t="s">
        <v>88</v>
      </c>
      <c r="D606" s="19" t="s">
        <v>52</v>
      </c>
      <c r="E606" s="19" t="s">
        <v>114</v>
      </c>
      <c r="F606" s="19" t="s">
        <v>115</v>
      </c>
      <c r="G606" s="19"/>
      <c r="H606" s="20">
        <v>2021</v>
      </c>
      <c r="I606" s="19" t="s">
        <v>1040</v>
      </c>
      <c r="J606" s="19" t="s">
        <v>1041</v>
      </c>
      <c r="K606" s="21" t="s">
        <v>1042</v>
      </c>
      <c r="L606" s="22" t="s">
        <v>60</v>
      </c>
      <c r="M606" s="23" t="s">
        <v>45</v>
      </c>
      <c r="N606" s="36" t="s">
        <v>1043</v>
      </c>
      <c r="O606" s="36" t="s">
        <v>1044</v>
      </c>
      <c r="P606" s="26">
        <f ca="1">IFERROR(VLOOKUP(DadosViagem5[[#This Row],[Placa]],[1]BIP!A:E,5,FALSE),"")</f>
        <v>45869</v>
      </c>
      <c r="Q606" s="27">
        <f ca="1">DATEDIF(DadosViagem5[[#This Row],[BIP]],TODAY(),"D")</f>
        <v>121</v>
      </c>
      <c r="R606" s="28" t="str">
        <f>IFERROR(VLOOKUP(DadosViagem5[[#This Row],[Placa]],[1]DDS!B:C,2,FALSE),"Verificar cadastro")</f>
        <v>Verificar cadastro</v>
      </c>
      <c r="S606" s="36" t="s">
        <v>574</v>
      </c>
      <c r="T606" s="23"/>
      <c r="U606" s="30"/>
      <c r="V606" s="31"/>
      <c r="W606" s="32" t="s">
        <v>1048</v>
      </c>
      <c r="X606" s="33"/>
      <c r="Y606" s="34"/>
      <c r="Z606" s="42"/>
      <c r="AA606" s="20" t="s">
        <v>49</v>
      </c>
      <c r="AB606" s="20" t="s">
        <v>49</v>
      </c>
      <c r="AC606" s="19" t="s">
        <v>49</v>
      </c>
      <c r="AD606" s="19" t="str">
        <f ca="1">IFERROR(DATEDIF(DadosViagem5[[#This Row],[Utimo Bip Reserva]],TODAY(),"D"),"")</f>
        <v/>
      </c>
      <c r="AE606" s="36" t="s">
        <v>49</v>
      </c>
      <c r="AF606" s="25" t="s">
        <v>49</v>
      </c>
      <c r="AG606" s="36"/>
      <c r="AH606" s="25">
        <v>45807</v>
      </c>
      <c r="AI606" s="36" t="str">
        <f>IF(DadosViagem5[[#This Row],[Dias em manutenção ]]&lt;5,"Dentro do Prazo","Fora do Prazo")</f>
        <v>Fora do Prazo</v>
      </c>
      <c r="AJ606" s="36" t="e">
        <v>#REF!</v>
      </c>
    </row>
    <row r="607" spans="1:36">
      <c r="A607" s="19" t="s">
        <v>1049</v>
      </c>
      <c r="B607" s="20"/>
      <c r="C607" s="19" t="s">
        <v>88</v>
      </c>
      <c r="D607" s="19" t="s">
        <v>52</v>
      </c>
      <c r="E607" s="19" t="s">
        <v>114</v>
      </c>
      <c r="F607" s="19" t="s">
        <v>115</v>
      </c>
      <c r="G607" s="19"/>
      <c r="H607" s="20">
        <v>2021</v>
      </c>
      <c r="I607" s="19" t="s">
        <v>1040</v>
      </c>
      <c r="J607" s="19" t="s">
        <v>1041</v>
      </c>
      <c r="K607" s="21" t="s">
        <v>1042</v>
      </c>
      <c r="L607" s="22" t="s">
        <v>60</v>
      </c>
      <c r="M607" s="23" t="s">
        <v>45</v>
      </c>
      <c r="N607" s="36" t="s">
        <v>1043</v>
      </c>
      <c r="O607" s="36" t="s">
        <v>1044</v>
      </c>
      <c r="P607" s="26">
        <f ca="1">IFERROR(VLOOKUP(DadosViagem5[[#This Row],[Placa]],[1]BIP!A:E,5,FALSE),"")</f>
        <v>45989</v>
      </c>
      <c r="Q607" s="27">
        <f ca="1">DATEDIF(DadosViagem5[[#This Row],[BIP]],TODAY(),"D")</f>
        <v>1</v>
      </c>
      <c r="R607" s="28" t="str">
        <f>IFERROR(VLOOKUP(DadosViagem5[[#This Row],[Placa]],[1]DDS!B:C,2,FALSE),"Verificar cadastro")</f>
        <v>Operando</v>
      </c>
      <c r="S607" s="29" t="s">
        <v>48</v>
      </c>
      <c r="T607" s="23"/>
      <c r="U607" s="30"/>
      <c r="V607" s="31"/>
      <c r="W607" s="32" t="s">
        <v>1050</v>
      </c>
      <c r="X607" s="33"/>
      <c r="Y607" s="34"/>
      <c r="Z607" s="42"/>
      <c r="AA607" s="20" t="s">
        <v>49</v>
      </c>
      <c r="AB607" s="20" t="s">
        <v>49</v>
      </c>
      <c r="AC607" s="19" t="s">
        <v>49</v>
      </c>
      <c r="AD607" s="19" t="str">
        <f ca="1">IFERROR(DATEDIF(DadosViagem5[[#This Row],[Utimo Bip Reserva]],TODAY(),"D"),"")</f>
        <v/>
      </c>
      <c r="AE607" s="23"/>
      <c r="AF607" s="30" t="s">
        <v>49</v>
      </c>
      <c r="AG607" s="30" t="s">
        <v>153</v>
      </c>
      <c r="AH607" s="25">
        <v>45807</v>
      </c>
      <c r="AI607" s="36" t="str">
        <f>IF(DadosViagem5[[#This Row],[Dias em manutenção ]]&lt;5,"Dentro do Prazo","Fora do Prazo")</f>
        <v>Fora do Prazo</v>
      </c>
      <c r="AJ607" s="36" t="e">
        <v>#REF!</v>
      </c>
    </row>
    <row r="608" spans="1:36">
      <c r="A608" s="19" t="s">
        <v>1051</v>
      </c>
      <c r="B608" s="20"/>
      <c r="C608" s="19" t="s">
        <v>88</v>
      </c>
      <c r="D608" s="19" t="s">
        <v>52</v>
      </c>
      <c r="E608" s="19" t="s">
        <v>114</v>
      </c>
      <c r="F608" s="19" t="s">
        <v>115</v>
      </c>
      <c r="G608" s="19"/>
      <c r="H608" s="20">
        <v>2021</v>
      </c>
      <c r="I608" s="19" t="s">
        <v>1040</v>
      </c>
      <c r="J608" s="19" t="s">
        <v>1041</v>
      </c>
      <c r="K608" s="21" t="s">
        <v>1042</v>
      </c>
      <c r="L608" s="22" t="s">
        <v>60</v>
      </c>
      <c r="M608" s="23" t="s">
        <v>45</v>
      </c>
      <c r="N608" s="36" t="s">
        <v>1043</v>
      </c>
      <c r="O608" s="36" t="s">
        <v>1044</v>
      </c>
      <c r="P608" s="26">
        <f ca="1">IFERROR(VLOOKUP(DadosViagem5[[#This Row],[Placa]],[1]BIP!A:E,5,FALSE),"")</f>
        <v>45966</v>
      </c>
      <c r="Q608" s="27">
        <f ca="1">DATEDIF(DadosViagem5[[#This Row],[BIP]],TODAY(),"D")</f>
        <v>24</v>
      </c>
      <c r="R608" s="28" t="str">
        <f>IFERROR(VLOOKUP(DadosViagem5[[#This Row],[Placa]],[1]DDS!B:C,2,FALSE),"Verificar cadastro")</f>
        <v>Manutenção</v>
      </c>
      <c r="S608" s="29" t="s">
        <v>173</v>
      </c>
      <c r="T608" s="23"/>
      <c r="U608" s="30"/>
      <c r="V608" s="31"/>
      <c r="W608" s="32" t="s">
        <v>155</v>
      </c>
      <c r="X608" s="33"/>
      <c r="Y608" s="34"/>
      <c r="Z608" s="42"/>
      <c r="AA608" s="20" t="s">
        <v>49</v>
      </c>
      <c r="AB608" s="20" t="s">
        <v>49</v>
      </c>
      <c r="AC608" s="19" t="s">
        <v>49</v>
      </c>
      <c r="AD608" s="19" t="str">
        <f ca="1">IFERROR(DATEDIF(DadosViagem5[[#This Row],[Utimo Bip Reserva]],TODAY(),"D"),"")</f>
        <v/>
      </c>
      <c r="AE608" s="36" t="s">
        <v>49</v>
      </c>
      <c r="AF608" s="25" t="s">
        <v>49</v>
      </c>
      <c r="AG608" s="36"/>
      <c r="AH608" s="25">
        <v>45807</v>
      </c>
      <c r="AI608" s="36" t="str">
        <f>IF(DadosViagem5[[#This Row],[Dias em manutenção ]]&lt;5,"Dentro do Prazo","Fora do Prazo")</f>
        <v>Fora do Prazo</v>
      </c>
      <c r="AJ608" s="36" t="e">
        <v>#REF!</v>
      </c>
    </row>
    <row r="609" spans="1:36">
      <c r="A609" s="19" t="s">
        <v>1052</v>
      </c>
      <c r="B609" s="20"/>
      <c r="C609" s="19" t="s">
        <v>88</v>
      </c>
      <c r="D609" s="19" t="s">
        <v>52</v>
      </c>
      <c r="E609" s="19" t="s">
        <v>114</v>
      </c>
      <c r="F609" s="19" t="s">
        <v>115</v>
      </c>
      <c r="G609" s="19"/>
      <c r="H609" s="20">
        <v>2021</v>
      </c>
      <c r="I609" s="19" t="s">
        <v>1040</v>
      </c>
      <c r="J609" s="19" t="s">
        <v>1041</v>
      </c>
      <c r="K609" s="21" t="s">
        <v>1042</v>
      </c>
      <c r="L609" s="22" t="s">
        <v>60</v>
      </c>
      <c r="M609" s="23" t="s">
        <v>45</v>
      </c>
      <c r="N609" s="36" t="s">
        <v>1043</v>
      </c>
      <c r="O609" s="36" t="s">
        <v>1044</v>
      </c>
      <c r="P609" s="26">
        <f ca="1">IFERROR(VLOOKUP(DadosViagem5[[#This Row],[Placa]],[1]BIP!A:E,5,FALSE),"")</f>
        <v>45989</v>
      </c>
      <c r="Q609" s="27">
        <f ca="1">DATEDIF(DadosViagem5[[#This Row],[BIP]],TODAY(),"D")</f>
        <v>1</v>
      </c>
      <c r="R609" s="28" t="str">
        <f>IFERROR(VLOOKUP(DadosViagem5[[#This Row],[Placa]],[1]DDS!B:C,2,FALSE),"Verificar cadastro")</f>
        <v>Operando</v>
      </c>
      <c r="S609" s="29" t="s">
        <v>48</v>
      </c>
      <c r="T609" s="23"/>
      <c r="U609" s="30"/>
      <c r="V609" s="31"/>
      <c r="W609" s="32" t="s">
        <v>1053</v>
      </c>
      <c r="X609" s="33"/>
      <c r="Y609" s="86"/>
      <c r="Z609" s="32"/>
      <c r="AA609" s="20" t="s">
        <v>49</v>
      </c>
      <c r="AB609" s="20" t="s">
        <v>49</v>
      </c>
      <c r="AC609" s="19" t="s">
        <v>49</v>
      </c>
      <c r="AD609" s="19" t="str">
        <f ca="1">IFERROR(DATEDIF(DadosViagem5[[#This Row],[Utimo Bip Reserva]],TODAY(),"D"),"")</f>
        <v/>
      </c>
      <c r="AE609" s="36" t="s">
        <v>49</v>
      </c>
      <c r="AF609" s="25" t="s">
        <v>49</v>
      </c>
      <c r="AG609" s="36"/>
      <c r="AH609" s="25">
        <v>45807</v>
      </c>
      <c r="AI609" s="36" t="str">
        <f>IF(DadosViagem5[[#This Row],[Dias em manutenção ]]&lt;5,"Dentro do Prazo","Fora do Prazo")</f>
        <v>Fora do Prazo</v>
      </c>
      <c r="AJ609" s="36" t="e">
        <v>#REF!</v>
      </c>
    </row>
    <row r="610" spans="1:36">
      <c r="A610" s="19" t="s">
        <v>1054</v>
      </c>
      <c r="B610" s="20"/>
      <c r="C610" s="19" t="s">
        <v>88</v>
      </c>
      <c r="D610" s="19" t="s">
        <v>52</v>
      </c>
      <c r="E610" s="19" t="s">
        <v>114</v>
      </c>
      <c r="F610" s="19" t="s">
        <v>115</v>
      </c>
      <c r="G610" s="19"/>
      <c r="H610" s="20">
        <v>2021</v>
      </c>
      <c r="I610" s="19" t="s">
        <v>1040</v>
      </c>
      <c r="J610" s="19" t="s">
        <v>1041</v>
      </c>
      <c r="K610" s="21" t="s">
        <v>1042</v>
      </c>
      <c r="L610" s="22" t="s">
        <v>60</v>
      </c>
      <c r="M610" s="23" t="s">
        <v>45</v>
      </c>
      <c r="N610" s="36" t="s">
        <v>1043</v>
      </c>
      <c r="O610" s="36" t="s">
        <v>1044</v>
      </c>
      <c r="P610" s="26">
        <f ca="1">IFERROR(VLOOKUP(DadosViagem5[[#This Row],[Placa]],[1]BIP!A:E,5,FALSE),"")</f>
        <v>45989</v>
      </c>
      <c r="Q610" s="27">
        <f ca="1">DATEDIF(DadosViagem5[[#This Row],[BIP]],TODAY(),"D")</f>
        <v>1</v>
      </c>
      <c r="R610" s="28" t="str">
        <f>IFERROR(VLOOKUP(DadosViagem5[[#This Row],[Placa]],[1]DDS!B:C,2,FALSE),"Verificar cadastro")</f>
        <v>Operando</v>
      </c>
      <c r="S610" s="29" t="s">
        <v>48</v>
      </c>
      <c r="T610" s="23"/>
      <c r="U610" s="30"/>
      <c r="V610" s="31"/>
      <c r="W610" s="32" t="s">
        <v>1055</v>
      </c>
      <c r="X610" s="33"/>
      <c r="Y610" s="34"/>
      <c r="Z610" s="32"/>
      <c r="AA610" s="20" t="s">
        <v>49</v>
      </c>
      <c r="AB610" s="20" t="s">
        <v>49</v>
      </c>
      <c r="AC610" s="19" t="s">
        <v>49</v>
      </c>
      <c r="AD610" s="19" t="str">
        <f ca="1">IFERROR(DATEDIF(DadosViagem5[[#This Row],[Utimo Bip Reserva]],TODAY(),"D"),"")</f>
        <v/>
      </c>
      <c r="AE610" s="36" t="s">
        <v>49</v>
      </c>
      <c r="AF610" s="25" t="s">
        <v>49</v>
      </c>
      <c r="AG610" s="36" t="s">
        <v>1056</v>
      </c>
      <c r="AH610" s="25">
        <v>45807</v>
      </c>
      <c r="AI610" s="36" t="str">
        <f>IF(DadosViagem5[[#This Row],[Dias em manutenção ]]&lt;5,"Dentro do Prazo","Fora do Prazo")</f>
        <v>Fora do Prazo</v>
      </c>
      <c r="AJ610" s="36" t="e">
        <v>#REF!</v>
      </c>
    </row>
    <row r="611" spans="1:36">
      <c r="A611" s="19" t="s">
        <v>1057</v>
      </c>
      <c r="B611" s="20"/>
      <c r="C611" s="19" t="s">
        <v>88</v>
      </c>
      <c r="D611" s="19" t="s">
        <v>52</v>
      </c>
      <c r="E611" s="19" t="s">
        <v>114</v>
      </c>
      <c r="F611" s="19" t="s">
        <v>115</v>
      </c>
      <c r="G611" s="19"/>
      <c r="H611" s="20">
        <v>2021</v>
      </c>
      <c r="I611" s="19" t="s">
        <v>1040</v>
      </c>
      <c r="J611" s="19" t="s">
        <v>1041</v>
      </c>
      <c r="K611" s="21" t="s">
        <v>1042</v>
      </c>
      <c r="L611" s="22" t="s">
        <v>60</v>
      </c>
      <c r="M611" s="23" t="s">
        <v>45</v>
      </c>
      <c r="N611" s="36" t="s">
        <v>1043</v>
      </c>
      <c r="O611" s="36" t="s">
        <v>1044</v>
      </c>
      <c r="P611" s="26">
        <f ca="1">IFERROR(VLOOKUP(DadosViagem5[[#This Row],[Placa]],[1]BIP!A:E,5,FALSE),"")</f>
        <v>45710</v>
      </c>
      <c r="Q611" s="27">
        <f ca="1">DATEDIF(DadosViagem5[[#This Row],[BIP]],TODAY(),"D")</f>
        <v>280</v>
      </c>
      <c r="R611" s="28" t="str">
        <f>IFERROR(VLOOKUP(DadosViagem5[[#This Row],[Placa]],[1]DDS!B:C,2,FALSE),"Verificar cadastro")</f>
        <v>Manutenção</v>
      </c>
      <c r="S611" s="36" t="s">
        <v>574</v>
      </c>
      <c r="T611" s="23"/>
      <c r="U611" s="30"/>
      <c r="V611" s="31"/>
      <c r="W611" s="32" t="s">
        <v>1058</v>
      </c>
      <c r="X611" s="33"/>
      <c r="Y611" s="86"/>
      <c r="Z611" s="42"/>
      <c r="AA611" s="20" t="s">
        <v>49</v>
      </c>
      <c r="AB611" s="20" t="s">
        <v>49</v>
      </c>
      <c r="AC611" s="19" t="s">
        <v>49</v>
      </c>
      <c r="AD611" s="19" t="str">
        <f ca="1">IFERROR(DATEDIF(DadosViagem5[[#This Row],[Utimo Bip Reserva]],TODAY(),"D"),"")</f>
        <v/>
      </c>
      <c r="AE611" s="23" t="s">
        <v>1059</v>
      </c>
      <c r="AF611" s="30" t="s">
        <v>49</v>
      </c>
      <c r="AG611" s="30" t="s">
        <v>153</v>
      </c>
      <c r="AH611" s="25">
        <v>96</v>
      </c>
      <c r="AI611" s="36" t="str">
        <f>IF(DadosViagem5[[#This Row],[Dias em manutenção ]]&lt;5,"Dentro do Prazo","Fora do Prazo")</f>
        <v>Fora do Prazo</v>
      </c>
      <c r="AJ611" s="36" t="e">
        <v>#REF!</v>
      </c>
    </row>
    <row r="612" spans="1:36">
      <c r="A612" s="19" t="s">
        <v>1060</v>
      </c>
      <c r="B612" s="20"/>
      <c r="C612" s="19" t="s">
        <v>88</v>
      </c>
      <c r="D612" s="19" t="s">
        <v>52</v>
      </c>
      <c r="E612" s="19" t="s">
        <v>114</v>
      </c>
      <c r="F612" s="19" t="s">
        <v>115</v>
      </c>
      <c r="G612" s="19"/>
      <c r="H612" s="20">
        <v>2022</v>
      </c>
      <c r="I612" s="19" t="s">
        <v>1040</v>
      </c>
      <c r="J612" s="19" t="s">
        <v>1041</v>
      </c>
      <c r="K612" s="21" t="s">
        <v>1042</v>
      </c>
      <c r="L612" s="22" t="s">
        <v>60</v>
      </c>
      <c r="M612" s="23" t="s">
        <v>45</v>
      </c>
      <c r="N612" s="36" t="s">
        <v>1043</v>
      </c>
      <c r="O612" s="36" t="s">
        <v>1044</v>
      </c>
      <c r="P612" s="26">
        <f ca="1">IFERROR(VLOOKUP(DadosViagem5[[#This Row],[Placa]],[1]BIP!A:E,5,FALSE),"")</f>
        <v>45989</v>
      </c>
      <c r="Q612" s="27">
        <f ca="1">DATEDIF(DadosViagem5[[#This Row],[BIP]],TODAY(),"D")</f>
        <v>1</v>
      </c>
      <c r="R612" s="28" t="str">
        <f>IFERROR(VLOOKUP(DadosViagem5[[#This Row],[Placa]],[1]DDS!B:C,2,FALSE),"Verificar cadastro")</f>
        <v>Verificar cadastro</v>
      </c>
      <c r="S612" s="36" t="s">
        <v>574</v>
      </c>
      <c r="T612" s="23"/>
      <c r="U612" s="30"/>
      <c r="V612" s="31"/>
      <c r="W612" s="32" t="s">
        <v>1061</v>
      </c>
      <c r="X612" s="33"/>
      <c r="Y612" s="34"/>
      <c r="Z612" s="32"/>
      <c r="AA612" s="20" t="s">
        <v>49</v>
      </c>
      <c r="AB612" s="20" t="s">
        <v>49</v>
      </c>
      <c r="AC612" s="19" t="s">
        <v>49</v>
      </c>
      <c r="AD612" s="19" t="str">
        <f ca="1">IFERROR(DATEDIF(DadosViagem5[[#This Row],[Utimo Bip Reserva]],TODAY(),"D"),"")</f>
        <v/>
      </c>
      <c r="AE612" s="36" t="s">
        <v>49</v>
      </c>
      <c r="AF612" s="25" t="s">
        <v>49</v>
      </c>
      <c r="AG612" s="36"/>
      <c r="AH612" s="25">
        <v>45807</v>
      </c>
      <c r="AI612" s="36" t="str">
        <f>IF(DadosViagem5[[#This Row],[Dias em manutenção ]]&lt;5,"Dentro do Prazo","Fora do Prazo")</f>
        <v>Fora do Prazo</v>
      </c>
      <c r="AJ612" s="36" t="e">
        <v>#REF!</v>
      </c>
    </row>
    <row r="613" spans="1:36">
      <c r="A613" s="19" t="s">
        <v>1062</v>
      </c>
      <c r="B613" s="20"/>
      <c r="C613" s="19" t="s">
        <v>74</v>
      </c>
      <c r="D613" s="19" t="s">
        <v>52</v>
      </c>
      <c r="E613" s="19" t="s">
        <v>75</v>
      </c>
      <c r="F613" s="19" t="s">
        <v>76</v>
      </c>
      <c r="G613" s="19"/>
      <c r="H613" s="20">
        <v>2024</v>
      </c>
      <c r="I613" s="19" t="s">
        <v>1040</v>
      </c>
      <c r="J613" s="19" t="s">
        <v>1041</v>
      </c>
      <c r="K613" s="21" t="s">
        <v>1042</v>
      </c>
      <c r="L613" s="22" t="s">
        <v>60</v>
      </c>
      <c r="M613" s="23" t="s">
        <v>77</v>
      </c>
      <c r="N613" s="36" t="s">
        <v>1043</v>
      </c>
      <c r="O613" s="36" t="s">
        <v>1044</v>
      </c>
      <c r="P613" s="26">
        <f ca="1">IFERROR(VLOOKUP(DadosViagem5[[#This Row],[Placa]],[1]BIP!A:E,5,FALSE),"")</f>
        <v>45989</v>
      </c>
      <c r="Q613" s="27">
        <f ca="1">DATEDIF(DadosViagem5[[#This Row],[BIP]],TODAY(),"D")</f>
        <v>1</v>
      </c>
      <c r="R613" s="28" t="str">
        <f>IFERROR(VLOOKUP(DadosViagem5[[#This Row],[Placa]],[1]DDS!B:C,2,FALSE),"Verificar cadastro")</f>
        <v>Operando</v>
      </c>
      <c r="S613" s="29" t="s">
        <v>48</v>
      </c>
      <c r="T613" s="23"/>
      <c r="U613" s="30"/>
      <c r="V613" s="31"/>
      <c r="W613" s="32"/>
      <c r="X613" s="33"/>
      <c r="Y613" s="34"/>
      <c r="Z613" s="32"/>
      <c r="AA613" s="20" t="s">
        <v>49</v>
      </c>
      <c r="AB613" s="20" t="s">
        <v>49</v>
      </c>
      <c r="AC613" s="19" t="s">
        <v>49</v>
      </c>
      <c r="AD613" s="19" t="str">
        <f ca="1">IFERROR(DATEDIF(DadosViagem5[[#This Row],[Utimo Bip Reserva]],TODAY(),"D"),"")</f>
        <v/>
      </c>
      <c r="AE613" s="29"/>
      <c r="AF613" s="35"/>
      <c r="AG613" s="36"/>
      <c r="AH613" s="25">
        <v>4</v>
      </c>
      <c r="AI613" s="36" t="str">
        <f>IF(DadosViagem5[[#This Row],[Dias em manutenção ]]&lt;5,"Dentro do Prazo","Fora do Prazo")</f>
        <v>Dentro do Prazo</v>
      </c>
      <c r="AJ613" s="36" t="e">
        <v>#REF!</v>
      </c>
    </row>
    <row r="614" spans="1:36">
      <c r="A614" s="19" t="s">
        <v>1063</v>
      </c>
      <c r="B614" s="20"/>
      <c r="C614" s="19" t="s">
        <v>74</v>
      </c>
      <c r="D614" s="19" t="s">
        <v>52</v>
      </c>
      <c r="E614" s="19" t="s">
        <v>75</v>
      </c>
      <c r="F614" s="19" t="s">
        <v>76</v>
      </c>
      <c r="G614" s="19"/>
      <c r="H614" s="20">
        <v>2023</v>
      </c>
      <c r="I614" s="19" t="s">
        <v>1040</v>
      </c>
      <c r="J614" s="19" t="s">
        <v>1041</v>
      </c>
      <c r="K614" s="21" t="s">
        <v>1042</v>
      </c>
      <c r="L614" s="22" t="s">
        <v>60</v>
      </c>
      <c r="M614" s="23" t="s">
        <v>77</v>
      </c>
      <c r="N614" s="36" t="s">
        <v>1043</v>
      </c>
      <c r="O614" s="36" t="s">
        <v>1044</v>
      </c>
      <c r="P614" s="26">
        <f ca="1">IFERROR(VLOOKUP(DadosViagem5[[#This Row],[Placa]],[1]BIP!A:E,5,FALSE),"")</f>
        <v>45989</v>
      </c>
      <c r="Q614" s="27">
        <f ca="1">DATEDIF(DadosViagem5[[#This Row],[BIP]],TODAY(),"D")</f>
        <v>1</v>
      </c>
      <c r="R614" s="28" t="str">
        <f>IFERROR(VLOOKUP(DadosViagem5[[#This Row],[Placa]],[1]DDS!B:C,2,FALSE),"Verificar cadastro")</f>
        <v>Operando</v>
      </c>
      <c r="S614" s="29" t="s">
        <v>48</v>
      </c>
      <c r="T614" s="23"/>
      <c r="U614" s="30"/>
      <c r="V614" s="31"/>
      <c r="W614" s="32"/>
      <c r="X614" s="33"/>
      <c r="Y614" s="34"/>
      <c r="Z614" s="32"/>
      <c r="AA614" s="20" t="s">
        <v>49</v>
      </c>
      <c r="AB614" s="20" t="s">
        <v>49</v>
      </c>
      <c r="AC614" s="19" t="s">
        <v>49</v>
      </c>
      <c r="AD614" s="19" t="str">
        <f ca="1">IFERROR(DATEDIF(DadosViagem5[[#This Row],[Utimo Bip Reserva]],TODAY(),"D"),"")</f>
        <v/>
      </c>
      <c r="AE614" s="36" t="s">
        <v>49</v>
      </c>
      <c r="AF614" s="25" t="s">
        <v>49</v>
      </c>
      <c r="AG614" s="36"/>
      <c r="AH614" s="25">
        <v>45807</v>
      </c>
      <c r="AI614" s="36" t="str">
        <f>IF(DadosViagem5[[#This Row],[Dias em manutenção ]]&lt;5,"Dentro do Prazo","Fora do Prazo")</f>
        <v>Fora do Prazo</v>
      </c>
      <c r="AJ614" s="36" t="e">
        <v>#REF!</v>
      </c>
    </row>
    <row r="615" spans="1:36">
      <c r="A615" s="19" t="s">
        <v>1064</v>
      </c>
      <c r="B615" s="20"/>
      <c r="C615" s="19" t="s">
        <v>74</v>
      </c>
      <c r="D615" s="19" t="s">
        <v>52</v>
      </c>
      <c r="E615" s="19" t="s">
        <v>75</v>
      </c>
      <c r="F615" s="19" t="s">
        <v>76</v>
      </c>
      <c r="G615" s="19"/>
      <c r="H615" s="20">
        <v>2023</v>
      </c>
      <c r="I615" s="19" t="s">
        <v>1040</v>
      </c>
      <c r="J615" s="19" t="s">
        <v>1041</v>
      </c>
      <c r="K615" s="21" t="s">
        <v>1042</v>
      </c>
      <c r="L615" s="22" t="s">
        <v>60</v>
      </c>
      <c r="M615" s="23" t="s">
        <v>77</v>
      </c>
      <c r="N615" s="36" t="s">
        <v>1043</v>
      </c>
      <c r="O615" s="36" t="s">
        <v>1044</v>
      </c>
      <c r="P615" s="26">
        <f ca="1">IFERROR(VLOOKUP(DadosViagem5[[#This Row],[Placa]],[1]BIP!A:E,5,FALSE),"")</f>
        <v>45989</v>
      </c>
      <c r="Q615" s="27">
        <f ca="1">DATEDIF(DadosViagem5[[#This Row],[BIP]],TODAY(),"D")</f>
        <v>1</v>
      </c>
      <c r="R615" s="28" t="str">
        <f>IFERROR(VLOOKUP(DadosViagem5[[#This Row],[Placa]],[1]DDS!B:C,2,FALSE),"Verificar cadastro")</f>
        <v>Operando</v>
      </c>
      <c r="S615" s="29" t="s">
        <v>48</v>
      </c>
      <c r="T615" s="23"/>
      <c r="U615" s="30"/>
      <c r="V615" s="31"/>
      <c r="W615" s="32"/>
      <c r="X615" s="33"/>
      <c r="Y615" s="34"/>
      <c r="Z615" s="32"/>
      <c r="AA615" s="20" t="s">
        <v>49</v>
      </c>
      <c r="AB615" s="20" t="s">
        <v>49</v>
      </c>
      <c r="AC615" s="19" t="s">
        <v>49</v>
      </c>
      <c r="AD615" s="19" t="str">
        <f ca="1">IFERROR(DATEDIF(DadosViagem5[[#This Row],[Utimo Bip Reserva]],TODAY(),"D"),"")</f>
        <v/>
      </c>
      <c r="AE615" s="36" t="s">
        <v>49</v>
      </c>
      <c r="AF615" s="25" t="s">
        <v>49</v>
      </c>
      <c r="AG615" s="36"/>
      <c r="AH615" s="25">
        <v>45807</v>
      </c>
      <c r="AI615" s="36" t="str">
        <f>IF(DadosViagem5[[#This Row],[Dias em manutenção ]]&lt;5,"Dentro do Prazo","Fora do Prazo")</f>
        <v>Fora do Prazo</v>
      </c>
      <c r="AJ615" s="36" t="e">
        <v>#REF!</v>
      </c>
    </row>
    <row r="616" spans="1:36">
      <c r="A616" s="19" t="s">
        <v>1065</v>
      </c>
      <c r="B616" s="20"/>
      <c r="C616" s="19" t="s">
        <v>88</v>
      </c>
      <c r="D616" s="19" t="s">
        <v>52</v>
      </c>
      <c r="E616" s="19" t="s">
        <v>57</v>
      </c>
      <c r="F616" s="19"/>
      <c r="G616" s="19"/>
      <c r="H616" s="20"/>
      <c r="I616" s="19" t="s">
        <v>1040</v>
      </c>
      <c r="J616" s="19" t="s">
        <v>1041</v>
      </c>
      <c r="K616" s="21" t="s">
        <v>1042</v>
      </c>
      <c r="L616" s="22" t="s">
        <v>60</v>
      </c>
      <c r="M616" s="23" t="s">
        <v>45</v>
      </c>
      <c r="N616" s="36" t="s">
        <v>1043</v>
      </c>
      <c r="O616" s="36" t="s">
        <v>1044</v>
      </c>
      <c r="P616" s="26" t="str">
        <f>IFERROR(VLOOKUP(DadosViagem5[[#This Row],[Placa]],[1]BIP!A:E,5,FALSE),"")</f>
        <v/>
      </c>
      <c r="Q616" s="27" t="e">
        <f ca="1">DATEDIF(DadosViagem5[[#This Row],[BIP]],TODAY(),"D")</f>
        <v>#VALUE!</v>
      </c>
      <c r="R616" s="28" t="str">
        <f>IFERROR(VLOOKUP(DadosViagem5[[#This Row],[Placa]],[1]DDS!B:C,2,FALSE),"Verificar cadastro")</f>
        <v>Operando</v>
      </c>
      <c r="S616" s="29" t="s">
        <v>48</v>
      </c>
      <c r="T616" s="23"/>
      <c r="U616" s="30"/>
      <c r="V616" s="31"/>
      <c r="W616" s="32"/>
      <c r="X616" s="33"/>
      <c r="Y616" s="34"/>
      <c r="Z616" s="32"/>
      <c r="AA616" s="20" t="s">
        <v>49</v>
      </c>
      <c r="AB616" s="20" t="s">
        <v>49</v>
      </c>
      <c r="AC616" s="19" t="s">
        <v>49</v>
      </c>
      <c r="AD616" s="19" t="str">
        <f ca="1">IFERROR(DATEDIF(DadosViagem5[[#This Row],[Utimo Bip Reserva]],TODAY(),"D"),"")</f>
        <v/>
      </c>
      <c r="AE616" s="25" t="s">
        <v>49</v>
      </c>
      <c r="AF616" s="25" t="s">
        <v>49</v>
      </c>
      <c r="AG616" s="36"/>
      <c r="AH616" s="25"/>
      <c r="AI616" s="36"/>
      <c r="AJ616" s="36" t="e">
        <v>#REF!</v>
      </c>
    </row>
    <row r="617" spans="1:36">
      <c r="A617" s="19" t="s">
        <v>1066</v>
      </c>
      <c r="B617" s="20"/>
      <c r="C617" s="19" t="s">
        <v>88</v>
      </c>
      <c r="D617" s="19" t="s">
        <v>52</v>
      </c>
      <c r="E617" s="19" t="s">
        <v>114</v>
      </c>
      <c r="F617" s="19" t="s">
        <v>115</v>
      </c>
      <c r="G617" s="19"/>
      <c r="H617" s="20">
        <v>2022</v>
      </c>
      <c r="I617" s="19" t="s">
        <v>1040</v>
      </c>
      <c r="J617" s="19" t="s">
        <v>1041</v>
      </c>
      <c r="K617" s="21" t="s">
        <v>1042</v>
      </c>
      <c r="L617" s="22" t="s">
        <v>60</v>
      </c>
      <c r="M617" s="23" t="s">
        <v>45</v>
      </c>
      <c r="N617" s="36" t="s">
        <v>1043</v>
      </c>
      <c r="O617" s="36" t="s">
        <v>1044</v>
      </c>
      <c r="P617" s="26">
        <f ca="1">IFERROR(VLOOKUP(DadosViagem5[[#This Row],[Placa]],[1]BIP!A:E,5,FALSE),"")</f>
        <v>45989</v>
      </c>
      <c r="Q617" s="27">
        <f ca="1">DATEDIF(DadosViagem5[[#This Row],[BIP]],TODAY(),"D")</f>
        <v>1</v>
      </c>
      <c r="R617" s="28" t="str">
        <f>IFERROR(VLOOKUP(DadosViagem5[[#This Row],[Placa]],[1]DDS!B:C,2,FALSE),"Verificar cadastro")</f>
        <v>Verificar cadastro</v>
      </c>
      <c r="S617" s="36" t="s">
        <v>574</v>
      </c>
      <c r="T617" s="23"/>
      <c r="U617" s="30"/>
      <c r="V617" s="31"/>
      <c r="W617" s="32" t="s">
        <v>1061</v>
      </c>
      <c r="X617" s="33"/>
      <c r="Y617" s="34"/>
      <c r="Z617" s="32"/>
      <c r="AA617" s="20" t="s">
        <v>49</v>
      </c>
      <c r="AB617" s="20" t="s">
        <v>49</v>
      </c>
      <c r="AC617" s="19" t="s">
        <v>49</v>
      </c>
      <c r="AD617" s="19" t="str">
        <f ca="1">IFERROR(DATEDIF(DadosViagem5[[#This Row],[Utimo Bip Reserva]],TODAY(),"D"),"")</f>
        <v/>
      </c>
      <c r="AE617" s="36" t="s">
        <v>49</v>
      </c>
      <c r="AF617" s="25" t="s">
        <v>49</v>
      </c>
      <c r="AG617" s="36"/>
      <c r="AH617" s="25">
        <v>45807</v>
      </c>
      <c r="AI617" s="36" t="str">
        <f>IF(DadosViagem5[[#This Row],[Dias em manutenção ]]&lt;5,"Dentro do Prazo","Fora do Prazo")</f>
        <v>Fora do Prazo</v>
      </c>
      <c r="AJ617" s="36" t="e">
        <v>#REF!</v>
      </c>
    </row>
    <row r="618" spans="1:36">
      <c r="A618" s="19" t="s">
        <v>1067</v>
      </c>
      <c r="B618" s="20"/>
      <c r="C618" s="19" t="s">
        <v>88</v>
      </c>
      <c r="D618" s="19" t="s">
        <v>52</v>
      </c>
      <c r="E618" s="19" t="s">
        <v>114</v>
      </c>
      <c r="F618" s="19" t="s">
        <v>115</v>
      </c>
      <c r="G618" s="19"/>
      <c r="H618" s="20">
        <v>2022</v>
      </c>
      <c r="I618" s="19" t="s">
        <v>1040</v>
      </c>
      <c r="J618" s="19" t="s">
        <v>1041</v>
      </c>
      <c r="K618" s="21" t="s">
        <v>1042</v>
      </c>
      <c r="L618" s="22" t="s">
        <v>60</v>
      </c>
      <c r="M618" s="23" t="s">
        <v>45</v>
      </c>
      <c r="N618" s="36" t="s">
        <v>1043</v>
      </c>
      <c r="O618" s="36" t="s">
        <v>1044</v>
      </c>
      <c r="P618" s="26">
        <f ca="1">IFERROR(VLOOKUP(DadosViagem5[[#This Row],[Placa]],[1]BIP!A:E,5,FALSE),"")</f>
        <v>45989</v>
      </c>
      <c r="Q618" s="27">
        <f ca="1">DATEDIF(DadosViagem5[[#This Row],[BIP]],TODAY(),"D")</f>
        <v>1</v>
      </c>
      <c r="R618" s="28" t="str">
        <f>IFERROR(VLOOKUP(DadosViagem5[[#This Row],[Placa]],[1]DDS!B:C,2,FALSE),"Verificar cadastro")</f>
        <v>Verificar cadastro</v>
      </c>
      <c r="S618" s="36" t="s">
        <v>574</v>
      </c>
      <c r="T618" s="23"/>
      <c r="U618" s="30"/>
      <c r="V618" s="31"/>
      <c r="W618" s="32" t="s">
        <v>1061</v>
      </c>
      <c r="X618" s="33"/>
      <c r="Y618" s="34"/>
      <c r="Z618" s="32"/>
      <c r="AA618" s="20" t="s">
        <v>49</v>
      </c>
      <c r="AB618" s="20" t="s">
        <v>49</v>
      </c>
      <c r="AC618" s="19" t="s">
        <v>49</v>
      </c>
      <c r="AD618" s="19" t="str">
        <f ca="1">IFERROR(DATEDIF(DadosViagem5[[#This Row],[Utimo Bip Reserva]],TODAY(),"D"),"")</f>
        <v/>
      </c>
      <c r="AE618" s="36" t="s">
        <v>49</v>
      </c>
      <c r="AF618" s="25" t="s">
        <v>49</v>
      </c>
      <c r="AG618" s="36"/>
      <c r="AH618" s="25">
        <v>45807</v>
      </c>
      <c r="AI618" s="36" t="str">
        <f>IF(DadosViagem5[[#This Row],[Dias em manutenção ]]&lt;5,"Dentro do Prazo","Fora do Prazo")</f>
        <v>Fora do Prazo</v>
      </c>
      <c r="AJ618" s="36" t="e">
        <v>#REF!</v>
      </c>
    </row>
    <row r="619" spans="1:36">
      <c r="A619" s="19" t="s">
        <v>1068</v>
      </c>
      <c r="B619" s="20"/>
      <c r="C619" s="19" t="s">
        <v>88</v>
      </c>
      <c r="D619" s="19" t="s">
        <v>52</v>
      </c>
      <c r="E619" s="19" t="s">
        <v>114</v>
      </c>
      <c r="F619" s="19" t="s">
        <v>115</v>
      </c>
      <c r="G619" s="19"/>
      <c r="H619" s="20">
        <v>2021</v>
      </c>
      <c r="I619" s="19" t="s">
        <v>1040</v>
      </c>
      <c r="J619" s="19" t="s">
        <v>1041</v>
      </c>
      <c r="K619" s="21" t="s">
        <v>1042</v>
      </c>
      <c r="L619" s="22" t="s">
        <v>60</v>
      </c>
      <c r="M619" s="23" t="s">
        <v>45</v>
      </c>
      <c r="N619" s="36" t="s">
        <v>1043</v>
      </c>
      <c r="O619" s="36" t="s">
        <v>1044</v>
      </c>
      <c r="P619" s="26">
        <f ca="1">IFERROR(VLOOKUP(DadosViagem5[[#This Row],[Placa]],[1]BIP!A:E,5,FALSE),"")</f>
        <v>45989</v>
      </c>
      <c r="Q619" s="27">
        <f ca="1">DATEDIF(DadosViagem5[[#This Row],[BIP]],TODAY(),"D")</f>
        <v>1</v>
      </c>
      <c r="R619" s="28" t="str">
        <f>IFERROR(VLOOKUP(DadosViagem5[[#This Row],[Placa]],[1]DDS!B:C,2,FALSE),"Verificar cadastro")</f>
        <v>Manutenção</v>
      </c>
      <c r="S619" s="29" t="s">
        <v>48</v>
      </c>
      <c r="T619" s="23"/>
      <c r="U619" s="30"/>
      <c r="V619" s="31"/>
      <c r="W619" s="32" t="s">
        <v>1069</v>
      </c>
      <c r="X619" s="33"/>
      <c r="Y619" s="34"/>
      <c r="Z619" s="32"/>
      <c r="AA619" s="20" t="s">
        <v>49</v>
      </c>
      <c r="AB619" s="20" t="s">
        <v>49</v>
      </c>
      <c r="AC619" s="19" t="s">
        <v>49</v>
      </c>
      <c r="AD619" s="19" t="str">
        <f ca="1">IFERROR(DATEDIF(DadosViagem5[[#This Row],[Utimo Bip Reserva]],TODAY(),"D"),"")</f>
        <v/>
      </c>
      <c r="AE619" s="36" t="s">
        <v>49</v>
      </c>
      <c r="AF619" s="25" t="s">
        <v>49</v>
      </c>
      <c r="AG619" s="23" t="s">
        <v>454</v>
      </c>
      <c r="AH619" s="25">
        <v>45807</v>
      </c>
      <c r="AI619" s="36" t="str">
        <f>IF(DadosViagem5[[#This Row],[Dias em manutenção ]]&lt;5,"Dentro do Prazo","Fora do Prazo")</f>
        <v>Fora do Prazo</v>
      </c>
      <c r="AJ619" s="36" t="e">
        <v>#REF!</v>
      </c>
    </row>
    <row r="620" spans="1:36">
      <c r="A620" s="19" t="s">
        <v>1070</v>
      </c>
      <c r="B620" s="20"/>
      <c r="C620" s="19" t="s">
        <v>88</v>
      </c>
      <c r="D620" s="19" t="s">
        <v>52</v>
      </c>
      <c r="E620" s="19" t="s">
        <v>114</v>
      </c>
      <c r="F620" s="19" t="s">
        <v>115</v>
      </c>
      <c r="G620" s="19"/>
      <c r="H620" s="20">
        <v>2021</v>
      </c>
      <c r="I620" s="19" t="s">
        <v>1040</v>
      </c>
      <c r="J620" s="19" t="s">
        <v>1041</v>
      </c>
      <c r="K620" s="21" t="s">
        <v>1042</v>
      </c>
      <c r="L620" s="22" t="s">
        <v>60</v>
      </c>
      <c r="M620" s="23" t="s">
        <v>45</v>
      </c>
      <c r="N620" s="36" t="s">
        <v>1043</v>
      </c>
      <c r="O620" s="36" t="s">
        <v>1044</v>
      </c>
      <c r="P620" s="26">
        <f ca="1">IFERROR(VLOOKUP(DadosViagem5[[#This Row],[Placa]],[1]BIP!A:E,5,FALSE),"")</f>
        <v>45989</v>
      </c>
      <c r="Q620" s="27">
        <f ca="1">DATEDIF(DadosViagem5[[#This Row],[BIP]],TODAY(),"D")</f>
        <v>1</v>
      </c>
      <c r="R620" s="28" t="str">
        <f>IFERROR(VLOOKUP(DadosViagem5[[#This Row],[Placa]],[1]DDS!B:C,2,FALSE),"Verificar cadastro")</f>
        <v>Operando</v>
      </c>
      <c r="S620" s="29" t="s">
        <v>48</v>
      </c>
      <c r="T620" s="23"/>
      <c r="U620" s="30"/>
      <c r="V620" s="31"/>
      <c r="W620" s="32"/>
      <c r="X620" s="33"/>
      <c r="Y620" s="34"/>
      <c r="Z620" s="42"/>
      <c r="AA620" s="20" t="s">
        <v>49</v>
      </c>
      <c r="AB620" s="20" t="s">
        <v>49</v>
      </c>
      <c r="AC620" s="19" t="s">
        <v>49</v>
      </c>
      <c r="AD620" s="19" t="str">
        <f ca="1">IFERROR(DATEDIF(DadosViagem5[[#This Row],[Utimo Bip Reserva]],TODAY(),"D"),"")</f>
        <v/>
      </c>
      <c r="AE620" s="36" t="s">
        <v>49</v>
      </c>
      <c r="AF620" s="25" t="s">
        <v>49</v>
      </c>
      <c r="AG620" s="36"/>
      <c r="AH620" s="25">
        <v>45807</v>
      </c>
      <c r="AI620" s="36" t="str">
        <f>IF(DadosViagem5[[#This Row],[Dias em manutenção ]]&lt;5,"Dentro do Prazo","Fora do Prazo")</f>
        <v>Fora do Prazo</v>
      </c>
      <c r="AJ620" s="36" t="e">
        <v>#REF!</v>
      </c>
    </row>
    <row r="621" spans="1:36">
      <c r="A621" s="19" t="s">
        <v>1071</v>
      </c>
      <c r="B621" s="20"/>
      <c r="C621" s="19" t="s">
        <v>88</v>
      </c>
      <c r="D621" s="19" t="s">
        <v>52</v>
      </c>
      <c r="E621" s="19" t="s">
        <v>114</v>
      </c>
      <c r="F621" s="19" t="s">
        <v>115</v>
      </c>
      <c r="G621" s="19"/>
      <c r="H621" s="20">
        <v>2021</v>
      </c>
      <c r="I621" s="19" t="s">
        <v>1040</v>
      </c>
      <c r="J621" s="19" t="s">
        <v>1041</v>
      </c>
      <c r="K621" s="21" t="s">
        <v>1042</v>
      </c>
      <c r="L621" s="22" t="s">
        <v>60</v>
      </c>
      <c r="M621" s="23" t="s">
        <v>45</v>
      </c>
      <c r="N621" s="36" t="s">
        <v>1043</v>
      </c>
      <c r="O621" s="36" t="s">
        <v>1044</v>
      </c>
      <c r="P621" s="26">
        <f ca="1">IFERROR(VLOOKUP(DadosViagem5[[#This Row],[Placa]],[1]BIP!A:E,5,FALSE),"")</f>
        <v>45723</v>
      </c>
      <c r="Q621" s="27">
        <f ca="1">DATEDIF(DadosViagem5[[#This Row],[BIP]],TODAY(),"D")</f>
        <v>267</v>
      </c>
      <c r="R621" s="28" t="str">
        <f>IFERROR(VLOOKUP(DadosViagem5[[#This Row],[Placa]],[1]DDS!B:C,2,FALSE),"Verificar cadastro")</f>
        <v>Verificar cadastro</v>
      </c>
      <c r="S621" s="36" t="s">
        <v>574</v>
      </c>
      <c r="T621" s="23"/>
      <c r="U621" s="30"/>
      <c r="V621" s="31"/>
      <c r="W621" s="32" t="s">
        <v>1072</v>
      </c>
      <c r="X621" s="33"/>
      <c r="Y621" s="34"/>
      <c r="Z621" s="32"/>
      <c r="AA621" s="20" t="s">
        <v>49</v>
      </c>
      <c r="AB621" s="20" t="s">
        <v>49</v>
      </c>
      <c r="AC621" s="19" t="s">
        <v>49</v>
      </c>
      <c r="AD621" s="19" t="str">
        <f ca="1">IFERROR(DATEDIF(DadosViagem5[[#This Row],[Utimo Bip Reserva]],TODAY(),"D"),"")</f>
        <v/>
      </c>
      <c r="AE621" s="23" t="s">
        <v>1059</v>
      </c>
      <c r="AF621" s="25" t="s">
        <v>49</v>
      </c>
      <c r="AG621" s="30" t="s">
        <v>153</v>
      </c>
      <c r="AH621" s="25">
        <v>84</v>
      </c>
      <c r="AI621" s="36" t="str">
        <f>IF(DadosViagem5[[#This Row],[Dias em manutenção ]]&lt;5,"Dentro do Prazo","Fora do Prazo")</f>
        <v>Fora do Prazo</v>
      </c>
      <c r="AJ621" s="36" t="e">
        <v>#REF!</v>
      </c>
    </row>
    <row r="622" spans="1:36">
      <c r="A622" s="19" t="s">
        <v>1073</v>
      </c>
      <c r="B622" s="20"/>
      <c r="C622" s="19" t="s">
        <v>88</v>
      </c>
      <c r="D622" s="19" t="s">
        <v>52</v>
      </c>
      <c r="E622" s="19" t="s">
        <v>114</v>
      </c>
      <c r="F622" s="19" t="s">
        <v>115</v>
      </c>
      <c r="G622" s="19"/>
      <c r="H622" s="20">
        <v>2021</v>
      </c>
      <c r="I622" s="19" t="s">
        <v>1040</v>
      </c>
      <c r="J622" s="19" t="s">
        <v>1041</v>
      </c>
      <c r="K622" s="38" t="s">
        <v>1042</v>
      </c>
      <c r="L622" s="22" t="s">
        <v>60</v>
      </c>
      <c r="M622" s="23" t="s">
        <v>45</v>
      </c>
      <c r="N622" s="36" t="s">
        <v>1043</v>
      </c>
      <c r="O622" s="36" t="s">
        <v>1044</v>
      </c>
      <c r="P622" s="26">
        <f ca="1">IFERROR(VLOOKUP(DadosViagem5[[#This Row],[Placa]],[1]BIP!A:E,5,FALSE),"")</f>
        <v>45977</v>
      </c>
      <c r="Q622" s="27">
        <f ca="1">DATEDIF(DadosViagem5[[#This Row],[BIP]],TODAY(),"D")</f>
        <v>13</v>
      </c>
      <c r="R622" s="28" t="str">
        <f>IFERROR(VLOOKUP(DadosViagem5[[#This Row],[Placa]],[1]DDS!B:C,2,FALSE),"Verificar cadastro")</f>
        <v>Manutenção</v>
      </c>
      <c r="S622" s="29" t="s">
        <v>48</v>
      </c>
      <c r="T622" s="23"/>
      <c r="U622" s="30"/>
      <c r="V622" s="31"/>
      <c r="W622" s="32" t="s">
        <v>608</v>
      </c>
      <c r="X622" s="33"/>
      <c r="Y622" s="34"/>
      <c r="Z622" s="32"/>
      <c r="AA622" s="20" t="s">
        <v>49</v>
      </c>
      <c r="AB622" s="20" t="s">
        <v>49</v>
      </c>
      <c r="AC622" s="19" t="s">
        <v>49</v>
      </c>
      <c r="AD622" s="19" t="str">
        <f ca="1">IFERROR(DATEDIF(DadosViagem5[[#This Row],[Utimo Bip Reserva]],TODAY(),"D"),"")</f>
        <v/>
      </c>
      <c r="AE622" s="36" t="s">
        <v>49</v>
      </c>
      <c r="AF622" s="25" t="s">
        <v>49</v>
      </c>
      <c r="AG622" s="36"/>
      <c r="AH622" s="25">
        <v>6</v>
      </c>
      <c r="AI622" s="36" t="str">
        <f>IF(DadosViagem5[[#This Row],[Dias em manutenção ]]&lt;5,"Dentro do Prazo","Fora do Prazo")</f>
        <v>Fora do Prazo</v>
      </c>
      <c r="AJ622" s="36" t="e">
        <v>#REF!</v>
      </c>
    </row>
    <row r="623" spans="1:36">
      <c r="A623" s="19" t="s">
        <v>1074</v>
      </c>
      <c r="B623" s="20"/>
      <c r="C623" s="19" t="s">
        <v>88</v>
      </c>
      <c r="D623" s="19" t="s">
        <v>52</v>
      </c>
      <c r="E623" s="19" t="s">
        <v>114</v>
      </c>
      <c r="F623" s="19" t="s">
        <v>115</v>
      </c>
      <c r="G623" s="19"/>
      <c r="H623" s="20">
        <v>2021</v>
      </c>
      <c r="I623" s="19" t="s">
        <v>1040</v>
      </c>
      <c r="J623" s="19" t="s">
        <v>1041</v>
      </c>
      <c r="K623" s="21" t="s">
        <v>1042</v>
      </c>
      <c r="L623" s="22" t="s">
        <v>60</v>
      </c>
      <c r="M623" s="23" t="s">
        <v>45</v>
      </c>
      <c r="N623" s="36" t="s">
        <v>1043</v>
      </c>
      <c r="O623" s="36" t="s">
        <v>1044</v>
      </c>
      <c r="P623" s="26">
        <f ca="1">IFERROR(VLOOKUP(DadosViagem5[[#This Row],[Placa]],[1]BIP!A:E,5,FALSE),"")</f>
        <v>45989</v>
      </c>
      <c r="Q623" s="27">
        <f ca="1">DATEDIF(DadosViagem5[[#This Row],[BIP]],TODAY(),"D")</f>
        <v>1</v>
      </c>
      <c r="R623" s="28" t="str">
        <f>IFERROR(VLOOKUP(DadosViagem5[[#This Row],[Placa]],[1]DDS!B:C,2,FALSE),"Verificar cadastro")</f>
        <v>Operando</v>
      </c>
      <c r="S623" s="29" t="s">
        <v>48</v>
      </c>
      <c r="T623" s="23"/>
      <c r="U623" s="30"/>
      <c r="V623" s="31"/>
      <c r="W623" s="32"/>
      <c r="X623" s="33"/>
      <c r="Y623" s="34"/>
      <c r="Z623" s="32"/>
      <c r="AA623" s="20" t="s">
        <v>49</v>
      </c>
      <c r="AB623" s="20" t="s">
        <v>49</v>
      </c>
      <c r="AC623" s="19" t="s">
        <v>49</v>
      </c>
      <c r="AD623" s="19" t="str">
        <f ca="1">IFERROR(DATEDIF(DadosViagem5[[#This Row],[Utimo Bip Reserva]],TODAY(),"D"),"")</f>
        <v/>
      </c>
      <c r="AE623" s="36"/>
      <c r="AF623" s="25" t="s">
        <v>49</v>
      </c>
      <c r="AG623" s="23"/>
      <c r="AH623" s="25">
        <v>45807</v>
      </c>
      <c r="AI623" s="36" t="str">
        <f>IF(DadosViagem5[[#This Row],[Dias em manutenção ]]&lt;5,"Dentro do Prazo","Fora do Prazo")</f>
        <v>Fora do Prazo</v>
      </c>
      <c r="AJ623" s="36" t="e">
        <v>#REF!</v>
      </c>
    </row>
    <row r="624" spans="1:36">
      <c r="A624" s="19" t="s">
        <v>1075</v>
      </c>
      <c r="B624" s="20"/>
      <c r="C624" s="19" t="s">
        <v>88</v>
      </c>
      <c r="D624" s="19" t="s">
        <v>52</v>
      </c>
      <c r="E624" s="19" t="s">
        <v>114</v>
      </c>
      <c r="F624" s="19" t="s">
        <v>115</v>
      </c>
      <c r="G624" s="19"/>
      <c r="H624" s="20">
        <v>2021</v>
      </c>
      <c r="I624" s="19"/>
      <c r="J624" s="19" t="s">
        <v>1041</v>
      </c>
      <c r="K624" s="21" t="s">
        <v>1042</v>
      </c>
      <c r="L624" s="22" t="s">
        <v>60</v>
      </c>
      <c r="M624" s="23" t="s">
        <v>45</v>
      </c>
      <c r="N624" s="36" t="s">
        <v>1043</v>
      </c>
      <c r="O624" s="36" t="s">
        <v>1044</v>
      </c>
      <c r="P624" s="26">
        <f ca="1">IFERROR(VLOOKUP(DadosViagem5[[#This Row],[Placa]],[1]BIP!A:E,5,FALSE),"")</f>
        <v>45989</v>
      </c>
      <c r="Q624" s="27">
        <f ca="1">DATEDIF(DadosViagem5[[#This Row],[BIP]],TODAY(),"D")</f>
        <v>1</v>
      </c>
      <c r="R624" s="28" t="str">
        <f>IFERROR(VLOOKUP(DadosViagem5[[#This Row],[Placa]],[1]DDS!B:C,2,FALSE),"Verificar cadastro")</f>
        <v>Manutenção</v>
      </c>
      <c r="S624" s="29" t="s">
        <v>173</v>
      </c>
      <c r="T624" s="23"/>
      <c r="U624" s="30"/>
      <c r="V624" s="31"/>
      <c r="W624" s="32" t="s">
        <v>152</v>
      </c>
      <c r="X624" s="33"/>
      <c r="Y624" s="34"/>
      <c r="Z624" s="32"/>
      <c r="AA624" s="20" t="s">
        <v>49</v>
      </c>
      <c r="AB624" s="20" t="s">
        <v>49</v>
      </c>
      <c r="AC624" s="19" t="s">
        <v>49</v>
      </c>
      <c r="AD624" s="19" t="str">
        <f ca="1">IFERROR(DATEDIF(DadosViagem5[[#This Row],[Utimo Bip Reserva]],TODAY(),"D"),"")</f>
        <v/>
      </c>
      <c r="AE624" s="36" t="s">
        <v>49</v>
      </c>
      <c r="AF624" s="25" t="s">
        <v>49</v>
      </c>
      <c r="AG624" s="36"/>
      <c r="AH624" s="25">
        <v>45807</v>
      </c>
      <c r="AI624" s="36" t="str">
        <f>IF(DadosViagem5[[#This Row],[Dias em manutenção ]]&lt;5,"Dentro do Prazo","Fora do Prazo")</f>
        <v>Fora do Prazo</v>
      </c>
      <c r="AJ624" s="36" t="e">
        <v>#REF!</v>
      </c>
    </row>
    <row r="625" spans="1:36">
      <c r="A625" s="19" t="s">
        <v>1076</v>
      </c>
      <c r="B625" s="20"/>
      <c r="C625" s="19" t="s">
        <v>88</v>
      </c>
      <c r="D625" s="19" t="s">
        <v>52</v>
      </c>
      <c r="E625" s="19" t="s">
        <v>57</v>
      </c>
      <c r="F625" s="19" t="s">
        <v>40</v>
      </c>
      <c r="G625" s="19"/>
      <c r="H625" s="20">
        <v>2023</v>
      </c>
      <c r="I625" s="19" t="s">
        <v>1040</v>
      </c>
      <c r="J625" s="19" t="s">
        <v>1041</v>
      </c>
      <c r="K625" s="21" t="s">
        <v>1042</v>
      </c>
      <c r="L625" s="22" t="s">
        <v>60</v>
      </c>
      <c r="M625" s="23" t="s">
        <v>45</v>
      </c>
      <c r="N625" s="36" t="s">
        <v>1043</v>
      </c>
      <c r="O625" s="36" t="s">
        <v>1044</v>
      </c>
      <c r="P625" s="26">
        <f ca="1">IFERROR(VLOOKUP(DadosViagem5[[#This Row],[Placa]],[1]BIP!A:E,5,FALSE),"")</f>
        <v>45989</v>
      </c>
      <c r="Q625" s="27">
        <f ca="1">DATEDIF(DadosViagem5[[#This Row],[BIP]],TODAY(),"D")</f>
        <v>1</v>
      </c>
      <c r="R625" s="28" t="str">
        <f>IFERROR(VLOOKUP(DadosViagem5[[#This Row],[Placa]],[1]DDS!B:C,2,FALSE),"Verificar cadastro")</f>
        <v>Operando</v>
      </c>
      <c r="S625" s="29" t="s">
        <v>48</v>
      </c>
      <c r="T625" s="23"/>
      <c r="U625" s="30"/>
      <c r="V625" s="31"/>
      <c r="W625" s="32"/>
      <c r="X625" s="33"/>
      <c r="Y625" s="34"/>
      <c r="Z625" s="32"/>
      <c r="AA625" s="20" t="s">
        <v>49</v>
      </c>
      <c r="AB625" s="20" t="s">
        <v>49</v>
      </c>
      <c r="AC625" s="19" t="s">
        <v>49</v>
      </c>
      <c r="AD625" s="19" t="str">
        <f ca="1">IFERROR(DATEDIF(DadosViagem5[[#This Row],[Utimo Bip Reserva]],TODAY(),"D"),"")</f>
        <v/>
      </c>
      <c r="AE625" s="25" t="s">
        <v>49</v>
      </c>
      <c r="AF625" s="25" t="s">
        <v>49</v>
      </c>
      <c r="AG625" s="36"/>
      <c r="AH625" s="25">
        <v>45807</v>
      </c>
      <c r="AI625" s="36" t="str">
        <f>IF(DadosViagem5[[#This Row],[Dias em manutenção ]]&lt;5,"Dentro do Prazo","Fora do Prazo")</f>
        <v>Fora do Prazo</v>
      </c>
      <c r="AJ625" s="36" t="e">
        <v>#REF!</v>
      </c>
    </row>
    <row r="626" spans="1:36">
      <c r="A626" s="19" t="s">
        <v>1077</v>
      </c>
      <c r="B626" s="20"/>
      <c r="C626" s="19" t="s">
        <v>88</v>
      </c>
      <c r="D626" s="19" t="s">
        <v>52</v>
      </c>
      <c r="E626" s="19" t="s">
        <v>57</v>
      </c>
      <c r="F626" s="19" t="s">
        <v>40</v>
      </c>
      <c r="G626" s="19"/>
      <c r="H626" s="20">
        <v>2023</v>
      </c>
      <c r="I626" s="19" t="s">
        <v>1040</v>
      </c>
      <c r="J626" s="19" t="s">
        <v>1041</v>
      </c>
      <c r="K626" s="21" t="s">
        <v>1042</v>
      </c>
      <c r="L626" s="22" t="s">
        <v>60</v>
      </c>
      <c r="M626" s="23" t="s">
        <v>45</v>
      </c>
      <c r="N626" s="36" t="s">
        <v>1043</v>
      </c>
      <c r="O626" s="36" t="s">
        <v>1044</v>
      </c>
      <c r="P626" s="26">
        <f ca="1">IFERROR(VLOOKUP(DadosViagem5[[#This Row],[Placa]],[1]BIP!A:E,5,FALSE),"")</f>
        <v>45989</v>
      </c>
      <c r="Q626" s="27">
        <f ca="1">DATEDIF(DadosViagem5[[#This Row],[BIP]],TODAY(),"D")</f>
        <v>1</v>
      </c>
      <c r="R626" s="28" t="str">
        <f>IFERROR(VLOOKUP(DadosViagem5[[#This Row],[Placa]],[1]DDS!B:C,2,FALSE),"Verificar cadastro")</f>
        <v>Operando</v>
      </c>
      <c r="S626" s="29" t="s">
        <v>48</v>
      </c>
      <c r="T626" s="23"/>
      <c r="U626" s="30"/>
      <c r="V626" s="31"/>
      <c r="W626" s="32"/>
      <c r="X626" s="33"/>
      <c r="Y626" s="34"/>
      <c r="Z626" s="32"/>
      <c r="AA626" s="20" t="s">
        <v>49</v>
      </c>
      <c r="AB626" s="20" t="s">
        <v>49</v>
      </c>
      <c r="AC626" s="19" t="s">
        <v>49</v>
      </c>
      <c r="AD626" s="19" t="str">
        <f ca="1">IFERROR(DATEDIF(DadosViagem5[[#This Row],[Utimo Bip Reserva]],TODAY(),"D"),"")</f>
        <v/>
      </c>
      <c r="AE626" s="62"/>
      <c r="AF626" s="35"/>
      <c r="AG626" s="36"/>
      <c r="AH626" s="25">
        <v>45807</v>
      </c>
      <c r="AI626" s="36" t="str">
        <f>IF(DadosViagem5[[#This Row],[Dias em manutenção ]]&lt;5,"Dentro do Prazo","Fora do Prazo")</f>
        <v>Fora do Prazo</v>
      </c>
      <c r="AJ626" s="36" t="e">
        <v>#REF!</v>
      </c>
    </row>
    <row r="627" spans="1:36">
      <c r="A627" s="19" t="s">
        <v>1078</v>
      </c>
      <c r="B627" s="20"/>
      <c r="C627" s="19" t="s">
        <v>88</v>
      </c>
      <c r="D627" s="19" t="s">
        <v>52</v>
      </c>
      <c r="E627" s="19" t="s">
        <v>114</v>
      </c>
      <c r="F627" s="19" t="s">
        <v>115</v>
      </c>
      <c r="G627" s="19"/>
      <c r="H627" s="20">
        <v>2021</v>
      </c>
      <c r="I627" s="19" t="s">
        <v>1040</v>
      </c>
      <c r="J627" s="19" t="s">
        <v>1041</v>
      </c>
      <c r="K627" s="21" t="s">
        <v>1042</v>
      </c>
      <c r="L627" s="22" t="s">
        <v>60</v>
      </c>
      <c r="M627" s="23" t="s">
        <v>45</v>
      </c>
      <c r="N627" s="36" t="s">
        <v>1043</v>
      </c>
      <c r="O627" s="36" t="s">
        <v>1044</v>
      </c>
      <c r="P627" s="26">
        <f ca="1">IFERROR(VLOOKUP(DadosViagem5[[#This Row],[Placa]],[1]BIP!A:E,5,FALSE),"")</f>
        <v>45989</v>
      </c>
      <c r="Q627" s="27">
        <f ca="1">DATEDIF(DadosViagem5[[#This Row],[BIP]],TODAY(),"D")</f>
        <v>1</v>
      </c>
      <c r="R627" s="28" t="str">
        <f>IFERROR(VLOOKUP(DadosViagem5[[#This Row],[Placa]],[1]DDS!B:C,2,FALSE),"Verificar cadastro")</f>
        <v>Operando</v>
      </c>
      <c r="S627" s="29" t="s">
        <v>48</v>
      </c>
      <c r="T627" s="23"/>
      <c r="U627" s="30"/>
      <c r="V627" s="31"/>
      <c r="W627" s="32"/>
      <c r="X627" s="33"/>
      <c r="Y627" s="34"/>
      <c r="Z627" s="42"/>
      <c r="AA627" s="20" t="s">
        <v>49</v>
      </c>
      <c r="AB627" s="20" t="s">
        <v>49</v>
      </c>
      <c r="AC627" s="19" t="s">
        <v>49</v>
      </c>
      <c r="AD627" s="19" t="str">
        <f ca="1">IFERROR(DATEDIF(DadosViagem5[[#This Row],[Utimo Bip Reserva]],TODAY(),"D"),"")</f>
        <v/>
      </c>
      <c r="AE627" s="36" t="s">
        <v>49</v>
      </c>
      <c r="AF627" s="25" t="s">
        <v>49</v>
      </c>
      <c r="AG627" s="36"/>
      <c r="AH627" s="25">
        <v>45807</v>
      </c>
      <c r="AI627" s="36" t="str">
        <f>IF(DadosViagem5[[#This Row],[Dias em manutenção ]]&lt;5,"Dentro do Prazo","Fora do Prazo")</f>
        <v>Fora do Prazo</v>
      </c>
      <c r="AJ627" s="36" t="e">
        <v>#REF!</v>
      </c>
    </row>
    <row r="628" spans="1:36">
      <c r="A628" s="19" t="s">
        <v>1079</v>
      </c>
      <c r="B628" s="20"/>
      <c r="C628" s="19" t="s">
        <v>88</v>
      </c>
      <c r="D628" s="19" t="s">
        <v>52</v>
      </c>
      <c r="E628" s="19" t="s">
        <v>114</v>
      </c>
      <c r="F628" s="19" t="s">
        <v>115</v>
      </c>
      <c r="G628" s="19"/>
      <c r="H628" s="20">
        <v>2021</v>
      </c>
      <c r="I628" s="19" t="s">
        <v>1040</v>
      </c>
      <c r="J628" s="19" t="s">
        <v>1041</v>
      </c>
      <c r="K628" s="21" t="s">
        <v>1042</v>
      </c>
      <c r="L628" s="22" t="s">
        <v>60</v>
      </c>
      <c r="M628" s="23" t="s">
        <v>45</v>
      </c>
      <c r="N628" s="36" t="s">
        <v>1043</v>
      </c>
      <c r="O628" s="36" t="s">
        <v>1044</v>
      </c>
      <c r="P628" s="26">
        <f ca="1">IFERROR(VLOOKUP(DadosViagem5[[#This Row],[Placa]],[1]BIP!A:E,5,FALSE),"")</f>
        <v>45813</v>
      </c>
      <c r="Q628" s="27">
        <f ca="1">DATEDIF(DadosViagem5[[#This Row],[BIP]],TODAY(),"D")</f>
        <v>177</v>
      </c>
      <c r="R628" s="28" t="str">
        <f>IFERROR(VLOOKUP(DadosViagem5[[#This Row],[Placa]],[1]DDS!B:C,2,FALSE),"Verificar cadastro")</f>
        <v>Manutenção</v>
      </c>
      <c r="S628" s="36" t="s">
        <v>574</v>
      </c>
      <c r="T628" s="23"/>
      <c r="U628" s="30"/>
      <c r="V628" s="31"/>
      <c r="W628" s="32" t="s">
        <v>1080</v>
      </c>
      <c r="X628" s="33"/>
      <c r="Y628" s="34"/>
      <c r="Z628" s="32"/>
      <c r="AA628" s="20" t="s">
        <v>49</v>
      </c>
      <c r="AB628" s="20" t="s">
        <v>49</v>
      </c>
      <c r="AC628" s="19" t="s">
        <v>49</v>
      </c>
      <c r="AD628" s="19" t="str">
        <f ca="1">IFERROR(DATEDIF(DadosViagem5[[#This Row],[Utimo Bip Reserva]],TODAY(),"D"),"")</f>
        <v/>
      </c>
      <c r="AE628" s="36" t="s">
        <v>35</v>
      </c>
      <c r="AF628" s="25" t="s">
        <v>49</v>
      </c>
      <c r="AG628" s="36"/>
      <c r="AH628" s="25">
        <v>45807</v>
      </c>
      <c r="AI628" s="36" t="str">
        <f>IF(DadosViagem5[[#This Row],[Dias em manutenção ]]&lt;5,"Dentro do Prazo","Fora do Prazo")</f>
        <v>Fora do Prazo</v>
      </c>
      <c r="AJ628" s="36" t="e">
        <v>#REF!</v>
      </c>
    </row>
    <row r="629" spans="1:36">
      <c r="A629" s="19" t="s">
        <v>1081</v>
      </c>
      <c r="B629" s="20"/>
      <c r="C629" s="19" t="s">
        <v>88</v>
      </c>
      <c r="D629" s="19" t="s">
        <v>52</v>
      </c>
      <c r="E629" s="19" t="s">
        <v>57</v>
      </c>
      <c r="F629" s="19" t="s">
        <v>396</v>
      </c>
      <c r="G629" s="19"/>
      <c r="H629" s="20">
        <v>2023</v>
      </c>
      <c r="I629" s="19" t="s">
        <v>1040</v>
      </c>
      <c r="J629" s="19" t="s">
        <v>1041</v>
      </c>
      <c r="K629" s="21" t="s">
        <v>1042</v>
      </c>
      <c r="L629" s="22" t="s">
        <v>60</v>
      </c>
      <c r="M629" s="23" t="s">
        <v>45</v>
      </c>
      <c r="N629" s="36" t="s">
        <v>1043</v>
      </c>
      <c r="O629" s="36" t="s">
        <v>1044</v>
      </c>
      <c r="P629" s="26">
        <f ca="1">IFERROR(VLOOKUP(DadosViagem5[[#This Row],[Placa]],[1]BIP!A:E,5,FALSE),"")</f>
        <v>45989</v>
      </c>
      <c r="Q629" s="27">
        <f ca="1">DATEDIF(DadosViagem5[[#This Row],[BIP]],TODAY(),"D")</f>
        <v>1</v>
      </c>
      <c r="R629" s="28" t="str">
        <f>IFERROR(VLOOKUP(DadosViagem5[[#This Row],[Placa]],[1]DDS!B:C,2,FALSE),"Verificar cadastro")</f>
        <v>Operando</v>
      </c>
      <c r="S629" s="29" t="s">
        <v>48</v>
      </c>
      <c r="T629" s="23"/>
      <c r="U629" s="30"/>
      <c r="V629" s="31"/>
      <c r="W629" s="32"/>
      <c r="X629" s="33"/>
      <c r="Y629" s="34"/>
      <c r="Z629" s="32"/>
      <c r="AA629" s="20" t="s">
        <v>49</v>
      </c>
      <c r="AB629" s="20" t="s">
        <v>49</v>
      </c>
      <c r="AC629" s="19" t="s">
        <v>49</v>
      </c>
      <c r="AD629" s="19" t="str">
        <f ca="1">IFERROR(DATEDIF(DadosViagem5[[#This Row],[Utimo Bip Reserva]],TODAY(),"D"),"")</f>
        <v/>
      </c>
      <c r="AE629" s="25" t="s">
        <v>49</v>
      </c>
      <c r="AF629" s="25" t="s">
        <v>49</v>
      </c>
      <c r="AG629" s="36"/>
      <c r="AH629" s="25">
        <v>45807</v>
      </c>
      <c r="AI629" s="36" t="str">
        <f>IF(DadosViagem5[[#This Row],[Dias em manutenção ]]&lt;5,"Dentro do Prazo","Fora do Prazo")</f>
        <v>Fora do Prazo</v>
      </c>
      <c r="AJ629" s="36" t="e">
        <v>#REF!</v>
      </c>
    </row>
    <row r="630" spans="1:36">
      <c r="A630" s="19" t="s">
        <v>1082</v>
      </c>
      <c r="B630" s="20"/>
      <c r="C630" s="19" t="s">
        <v>88</v>
      </c>
      <c r="D630" s="19" t="s">
        <v>52</v>
      </c>
      <c r="E630" s="19" t="s">
        <v>57</v>
      </c>
      <c r="F630" s="19" t="s">
        <v>40</v>
      </c>
      <c r="G630" s="19"/>
      <c r="H630" s="20">
        <v>2023</v>
      </c>
      <c r="I630" s="19" t="s">
        <v>1040</v>
      </c>
      <c r="J630" s="19" t="s">
        <v>1041</v>
      </c>
      <c r="K630" s="21" t="s">
        <v>1042</v>
      </c>
      <c r="L630" s="22" t="s">
        <v>60</v>
      </c>
      <c r="M630" s="23" t="s">
        <v>45</v>
      </c>
      <c r="N630" s="36" t="s">
        <v>1043</v>
      </c>
      <c r="O630" s="36" t="s">
        <v>1044</v>
      </c>
      <c r="P630" s="26">
        <f ca="1">IFERROR(VLOOKUP(DadosViagem5[[#This Row],[Placa]],[1]BIP!A:E,5,FALSE),"")</f>
        <v>45989</v>
      </c>
      <c r="Q630" s="27">
        <f ca="1">DATEDIF(DadosViagem5[[#This Row],[BIP]],TODAY(),"D")</f>
        <v>1</v>
      </c>
      <c r="R630" s="28" t="str">
        <f>IFERROR(VLOOKUP(DadosViagem5[[#This Row],[Placa]],[1]DDS!B:C,2,FALSE),"Verificar cadastro")</f>
        <v>Operando</v>
      </c>
      <c r="S630" s="29" t="s">
        <v>48</v>
      </c>
      <c r="T630" s="23"/>
      <c r="U630" s="30"/>
      <c r="V630" s="31"/>
      <c r="W630" s="32"/>
      <c r="X630" s="33"/>
      <c r="Y630" s="34"/>
      <c r="Z630" s="32"/>
      <c r="AA630" s="20" t="s">
        <v>49</v>
      </c>
      <c r="AB630" s="20" t="s">
        <v>49</v>
      </c>
      <c r="AC630" s="19" t="s">
        <v>49</v>
      </c>
      <c r="AD630" s="19" t="str">
        <f ca="1">IFERROR(DATEDIF(DadosViagem5[[#This Row],[Utimo Bip Reserva]],TODAY(),"D"),"")</f>
        <v/>
      </c>
      <c r="AE630" s="30" t="s">
        <v>49</v>
      </c>
      <c r="AF630" s="30" t="s">
        <v>49</v>
      </c>
      <c r="AG630" s="23"/>
      <c r="AH630" s="25">
        <v>45807</v>
      </c>
      <c r="AI630" s="36" t="str">
        <f>IF(DadosViagem5[[#This Row],[Dias em manutenção ]]&lt;5,"Dentro do Prazo","Fora do Prazo")</f>
        <v>Fora do Prazo</v>
      </c>
      <c r="AJ630" s="36" t="e">
        <v>#REF!</v>
      </c>
    </row>
    <row r="631" spans="1:36">
      <c r="A631" s="19" t="s">
        <v>1083</v>
      </c>
      <c r="B631" s="20"/>
      <c r="C631" s="19" t="s">
        <v>131</v>
      </c>
      <c r="D631" s="19" t="s">
        <v>132</v>
      </c>
      <c r="E631" s="19" t="s">
        <v>894</v>
      </c>
      <c r="F631" s="19" t="s">
        <v>115</v>
      </c>
      <c r="G631" s="19"/>
      <c r="H631" s="20">
        <v>2021</v>
      </c>
      <c r="I631" s="19" t="s">
        <v>1084</v>
      </c>
      <c r="J631" s="19" t="s">
        <v>1085</v>
      </c>
      <c r="K631" s="21" t="s">
        <v>1086</v>
      </c>
      <c r="L631" s="22" t="s">
        <v>60</v>
      </c>
      <c r="M631" s="23" t="s">
        <v>268</v>
      </c>
      <c r="N631" s="36" t="s">
        <v>1087</v>
      </c>
      <c r="O631" s="36" t="s">
        <v>1019</v>
      </c>
      <c r="P631" s="26">
        <f ca="1">IFERROR(VLOOKUP(DadosViagem5[[#This Row],[Placa]],[1]BIP!A:E,5,FALSE),"")</f>
        <v>45842</v>
      </c>
      <c r="Q631" s="27">
        <f ca="1">DATEDIF(DadosViagem5[[#This Row],[BIP]],TODAY(),"D")</f>
        <v>148</v>
      </c>
      <c r="R631" s="28" t="str">
        <f>IFERROR(VLOOKUP(DadosViagem5[[#This Row],[Placa]],[1]DDS!B:C,2,FALSE),"Verificar cadastro")</f>
        <v> </v>
      </c>
      <c r="S631" s="36" t="s">
        <v>35</v>
      </c>
      <c r="T631" s="23">
        <v>6825907</v>
      </c>
      <c r="U631" s="30">
        <v>45842</v>
      </c>
      <c r="V631" s="31">
        <v>45846</v>
      </c>
      <c r="W631" s="32" t="s">
        <v>1088</v>
      </c>
      <c r="X631" s="33" t="s">
        <v>65</v>
      </c>
      <c r="Y631" s="34" t="s">
        <v>159</v>
      </c>
      <c r="Z631" s="42" t="s">
        <v>1089</v>
      </c>
      <c r="AA631" s="20" t="s">
        <v>49</v>
      </c>
      <c r="AB631" s="20" t="s">
        <v>49</v>
      </c>
      <c r="AC631" s="19" t="s">
        <v>49</v>
      </c>
      <c r="AD631" s="19" t="str">
        <f ca="1">IFERROR(DATEDIF(DadosViagem5[[#This Row],[Utimo Bip Reserva]],TODAY(),"D"),"")</f>
        <v/>
      </c>
      <c r="AE631" s="25" t="s">
        <v>49</v>
      </c>
      <c r="AF631" s="25" t="s">
        <v>49</v>
      </c>
      <c r="AG631" s="36"/>
      <c r="AH631" s="25">
        <v>44</v>
      </c>
      <c r="AI631" s="36" t="str">
        <f>IF(DadosViagem5[[#This Row],[Dias em manutenção ]]&lt;5,"Dentro do Prazo","Fora do Prazo")</f>
        <v>Fora do Prazo</v>
      </c>
      <c r="AJ631" s="36" t="e">
        <v>#REF!</v>
      </c>
    </row>
    <row r="632" spans="1:36">
      <c r="A632" s="19" t="s">
        <v>1090</v>
      </c>
      <c r="B632" s="20"/>
      <c r="C632" s="19" t="s">
        <v>671</v>
      </c>
      <c r="D632" s="19" t="s">
        <v>132</v>
      </c>
      <c r="E632" s="19" t="s">
        <v>894</v>
      </c>
      <c r="F632" s="19" t="s">
        <v>115</v>
      </c>
      <c r="G632" s="19"/>
      <c r="H632" s="20">
        <v>2022</v>
      </c>
      <c r="I632" s="19" t="s">
        <v>1084</v>
      </c>
      <c r="J632" s="19" t="s">
        <v>1085</v>
      </c>
      <c r="K632" s="21" t="s">
        <v>1086</v>
      </c>
      <c r="L632" s="22" t="s">
        <v>60</v>
      </c>
      <c r="M632" s="23" t="s">
        <v>268</v>
      </c>
      <c r="N632" s="36" t="s">
        <v>1087</v>
      </c>
      <c r="O632" s="36" t="s">
        <v>1019</v>
      </c>
      <c r="P632" s="26">
        <f ca="1">IFERROR(VLOOKUP(DadosViagem5[[#This Row],[Placa]],[1]BIP!A:E,5,FALSE),"")</f>
        <v>45970</v>
      </c>
      <c r="Q632" s="27">
        <f ca="1">DATEDIF(DadosViagem5[[#This Row],[BIP]],TODAY(),"D")</f>
        <v>20</v>
      </c>
      <c r="R632" s="28" t="str">
        <f>IFERROR(VLOOKUP(DadosViagem5[[#This Row],[Placa]],[1]DDS!B:C,2,FALSE),"Verificar cadastro")</f>
        <v> </v>
      </c>
      <c r="S632" s="29" t="s">
        <v>574</v>
      </c>
      <c r="T632" s="23"/>
      <c r="U632" s="30"/>
      <c r="V632" s="31"/>
      <c r="W632" s="32" t="s">
        <v>1091</v>
      </c>
      <c r="X632" s="33"/>
      <c r="Y632" s="34"/>
      <c r="Z632" s="42"/>
      <c r="AA632" s="20" t="s">
        <v>49</v>
      </c>
      <c r="AB632" s="20" t="s">
        <v>49</v>
      </c>
      <c r="AC632" s="19" t="s">
        <v>49</v>
      </c>
      <c r="AD632" s="19" t="str">
        <f ca="1">IFERROR(DATEDIF(DadosViagem5[[#This Row],[Utimo Bip Reserva]],TODAY(),"D"),"")</f>
        <v/>
      </c>
      <c r="AE632" s="115"/>
      <c r="AF632" s="25" t="s">
        <v>49</v>
      </c>
      <c r="AG632" s="36"/>
      <c r="AH632" s="25">
        <v>45807</v>
      </c>
      <c r="AI632" s="36" t="str">
        <f>IF(DadosViagem5[[#This Row],[Dias em manutenção ]]&lt;5,"Dentro do Prazo","Fora do Prazo")</f>
        <v>Fora do Prazo</v>
      </c>
      <c r="AJ632" s="36" t="e">
        <v>#REF!</v>
      </c>
    </row>
    <row r="633" spans="1:36">
      <c r="A633" s="19" t="s">
        <v>1092</v>
      </c>
      <c r="B633" s="20"/>
      <c r="C633" s="19" t="s">
        <v>671</v>
      </c>
      <c r="D633" s="19" t="s">
        <v>132</v>
      </c>
      <c r="E633" s="19" t="s">
        <v>894</v>
      </c>
      <c r="F633" s="19" t="s">
        <v>115</v>
      </c>
      <c r="G633" s="19"/>
      <c r="H633" s="20">
        <v>2022</v>
      </c>
      <c r="I633" s="19" t="s">
        <v>1084</v>
      </c>
      <c r="J633" s="19" t="s">
        <v>1085</v>
      </c>
      <c r="K633" s="21" t="s">
        <v>1086</v>
      </c>
      <c r="L633" s="22" t="s">
        <v>60</v>
      </c>
      <c r="M633" s="23" t="s">
        <v>268</v>
      </c>
      <c r="N633" s="24" t="s">
        <v>1087</v>
      </c>
      <c r="O633" s="36" t="s">
        <v>1019</v>
      </c>
      <c r="P633" s="26">
        <f ca="1">IFERROR(VLOOKUP(DadosViagem5[[#This Row],[Placa]],[1]BIP!A:E,5,FALSE),"")</f>
        <v>45971</v>
      </c>
      <c r="Q633" s="27">
        <f ca="1">DATEDIF(DadosViagem5[[#This Row],[BIP]],TODAY(),"D")</f>
        <v>19</v>
      </c>
      <c r="R633" s="28" t="str">
        <f>IFERROR(VLOOKUP(DadosViagem5[[#This Row],[Placa]],[1]DDS!B:C,2,FALSE),"Verificar cadastro")</f>
        <v> </v>
      </c>
      <c r="S633" s="29" t="s">
        <v>574</v>
      </c>
      <c r="T633" s="23"/>
      <c r="U633" s="30"/>
      <c r="V633" s="31"/>
      <c r="W633" s="32" t="s">
        <v>1091</v>
      </c>
      <c r="X633" s="33"/>
      <c r="Y633" s="34"/>
      <c r="Z633" s="32"/>
      <c r="AA633" s="20">
        <v>0</v>
      </c>
      <c r="AB633" s="20" t="s">
        <v>49</v>
      </c>
      <c r="AC633" s="19" t="s">
        <v>49</v>
      </c>
      <c r="AD633" s="19" t="str">
        <f ca="1">IFERROR(DATEDIF(DadosViagem5[[#This Row],[Utimo Bip Reserva]],TODAY(),"D"),"")</f>
        <v/>
      </c>
      <c r="AE633" s="36"/>
      <c r="AF633" s="25">
        <v>45699</v>
      </c>
      <c r="AG633" s="36" t="s">
        <v>540</v>
      </c>
      <c r="AH633" s="25">
        <v>20</v>
      </c>
      <c r="AI633" s="36" t="str">
        <f>IF(DadosViagem5[[#This Row],[Dias em manutenção ]]&lt;5,"Dentro do Prazo","Fora do Prazo")</f>
        <v>Fora do Prazo</v>
      </c>
      <c r="AJ633" s="36" t="e">
        <v>#REF!</v>
      </c>
    </row>
    <row r="634" spans="1:36">
      <c r="A634" s="19" t="s">
        <v>1093</v>
      </c>
      <c r="B634" s="20"/>
      <c r="C634" s="19" t="s">
        <v>671</v>
      </c>
      <c r="D634" s="19" t="s">
        <v>132</v>
      </c>
      <c r="E634" s="19" t="s">
        <v>894</v>
      </c>
      <c r="F634" s="19" t="s">
        <v>115</v>
      </c>
      <c r="G634" s="19"/>
      <c r="H634" s="20">
        <v>2022</v>
      </c>
      <c r="I634" s="19" t="s">
        <v>1084</v>
      </c>
      <c r="J634" s="19" t="s">
        <v>1085</v>
      </c>
      <c r="K634" s="21" t="s">
        <v>1086</v>
      </c>
      <c r="L634" s="22" t="s">
        <v>60</v>
      </c>
      <c r="M634" s="23" t="s">
        <v>268</v>
      </c>
      <c r="N634" s="36" t="s">
        <v>1087</v>
      </c>
      <c r="O634" s="36" t="s">
        <v>1019</v>
      </c>
      <c r="P634" s="26">
        <f ca="1">IFERROR(VLOOKUP(DadosViagem5[[#This Row],[Placa]],[1]BIP!A:E,5,FALSE),"")</f>
        <v>45958</v>
      </c>
      <c r="Q634" s="27">
        <f ca="1">DATEDIF(DadosViagem5[[#This Row],[BIP]],TODAY(),"D")</f>
        <v>32</v>
      </c>
      <c r="R634" s="28" t="str">
        <f>IFERROR(VLOOKUP(DadosViagem5[[#This Row],[Placa]],[1]DDS!B:C,2,FALSE),"Verificar cadastro")</f>
        <v> </v>
      </c>
      <c r="S634" s="29" t="s">
        <v>48</v>
      </c>
      <c r="T634" s="23"/>
      <c r="U634" s="30"/>
      <c r="V634" s="31"/>
      <c r="W634" s="32" t="s">
        <v>1094</v>
      </c>
      <c r="X634" s="33"/>
      <c r="Y634" s="34"/>
      <c r="Z634" s="32"/>
      <c r="AA634" s="20" t="s">
        <v>49</v>
      </c>
      <c r="AB634" s="20" t="s">
        <v>49</v>
      </c>
      <c r="AC634" s="19" t="s">
        <v>49</v>
      </c>
      <c r="AD634" s="19" t="str">
        <f ca="1">IFERROR(DATEDIF(DadosViagem5[[#This Row],[Utimo Bip Reserva]],TODAY(),"D"),"")</f>
        <v/>
      </c>
      <c r="AE634" s="25" t="s">
        <v>49</v>
      </c>
      <c r="AF634" s="25" t="s">
        <v>49</v>
      </c>
      <c r="AG634" s="36"/>
      <c r="AH634" s="25">
        <v>45807</v>
      </c>
      <c r="AI634" s="36" t="str">
        <f>IF(DadosViagem5[[#This Row],[Dias em manutenção ]]&lt;5,"Dentro do Prazo","Fora do Prazo")</f>
        <v>Fora do Prazo</v>
      </c>
      <c r="AJ634" s="36" t="e">
        <v>#REF!</v>
      </c>
    </row>
    <row r="635" spans="1:36">
      <c r="A635" s="19" t="s">
        <v>1095</v>
      </c>
      <c r="B635" s="20"/>
      <c r="C635" s="19" t="s">
        <v>671</v>
      </c>
      <c r="D635" s="19" t="s">
        <v>132</v>
      </c>
      <c r="E635" s="19" t="s">
        <v>894</v>
      </c>
      <c r="F635" s="19" t="s">
        <v>115</v>
      </c>
      <c r="G635" s="19"/>
      <c r="H635" s="20">
        <v>2022</v>
      </c>
      <c r="I635" s="19" t="s">
        <v>1084</v>
      </c>
      <c r="J635" s="19" t="s">
        <v>1085</v>
      </c>
      <c r="K635" s="21" t="s">
        <v>1086</v>
      </c>
      <c r="L635" s="22" t="s">
        <v>60</v>
      </c>
      <c r="M635" s="23" t="s">
        <v>268</v>
      </c>
      <c r="N635" s="36" t="s">
        <v>1087</v>
      </c>
      <c r="O635" s="36" t="s">
        <v>1019</v>
      </c>
      <c r="P635" s="26">
        <f ca="1">IFERROR(VLOOKUP(DadosViagem5[[#This Row],[Placa]],[1]BIP!A:E,5,FALSE),"")</f>
        <v>45971</v>
      </c>
      <c r="Q635" s="27">
        <f ca="1">DATEDIF(DadosViagem5[[#This Row],[BIP]],TODAY(),"D")</f>
        <v>19</v>
      </c>
      <c r="R635" s="28" t="str">
        <f>IFERROR(VLOOKUP(DadosViagem5[[#This Row],[Placa]],[1]DDS!B:C,2,FALSE),"Verificar cadastro")</f>
        <v> </v>
      </c>
      <c r="S635" s="36" t="s">
        <v>574</v>
      </c>
      <c r="T635" s="23"/>
      <c r="U635" s="30"/>
      <c r="V635" s="31"/>
      <c r="W635" s="32" t="s">
        <v>1096</v>
      </c>
      <c r="X635" s="33"/>
      <c r="Y635" s="34"/>
      <c r="Z635" s="32"/>
      <c r="AA635" s="20" t="s">
        <v>49</v>
      </c>
      <c r="AB635" s="20" t="s">
        <v>49</v>
      </c>
      <c r="AC635" s="19" t="s">
        <v>49</v>
      </c>
      <c r="AD635" s="19" t="str">
        <f ca="1">IFERROR(DATEDIF(DadosViagem5[[#This Row],[Utimo Bip Reserva]],TODAY(),"D"),"")</f>
        <v/>
      </c>
      <c r="AE635" s="25" t="s">
        <v>49</v>
      </c>
      <c r="AF635" s="25" t="s">
        <v>49</v>
      </c>
      <c r="AG635" s="36"/>
      <c r="AH635" s="25">
        <v>7</v>
      </c>
      <c r="AI635" s="36" t="str">
        <f>IF(DadosViagem5[[#This Row],[Dias em manutenção ]]&lt;5,"Dentro do Prazo","Fora do Prazo")</f>
        <v>Fora do Prazo</v>
      </c>
      <c r="AJ635" s="36" t="e">
        <v>#REF!</v>
      </c>
    </row>
    <row r="636" spans="1:36">
      <c r="A636" s="19" t="s">
        <v>1097</v>
      </c>
      <c r="B636" s="20"/>
      <c r="C636" s="19" t="s">
        <v>671</v>
      </c>
      <c r="D636" s="19" t="s">
        <v>132</v>
      </c>
      <c r="E636" s="19" t="s">
        <v>894</v>
      </c>
      <c r="F636" s="19" t="s">
        <v>115</v>
      </c>
      <c r="G636" s="19"/>
      <c r="H636" s="20">
        <v>2022</v>
      </c>
      <c r="I636" s="19" t="s">
        <v>1084</v>
      </c>
      <c r="J636" s="19" t="s">
        <v>1085</v>
      </c>
      <c r="K636" s="21" t="s">
        <v>1086</v>
      </c>
      <c r="L636" s="22" t="s">
        <v>60</v>
      </c>
      <c r="M636" s="23" t="s">
        <v>268</v>
      </c>
      <c r="N636" s="36" t="s">
        <v>1087</v>
      </c>
      <c r="O636" s="36" t="s">
        <v>1019</v>
      </c>
      <c r="P636" s="26">
        <f ca="1">IFERROR(VLOOKUP(DadosViagem5[[#This Row],[Placa]],[1]BIP!A:E,5,FALSE),"")</f>
        <v>45915</v>
      </c>
      <c r="Q636" s="27">
        <f ca="1">DATEDIF(DadosViagem5[[#This Row],[BIP]],TODAY(),"D")</f>
        <v>75</v>
      </c>
      <c r="R636" s="28" t="str">
        <f>IFERROR(VLOOKUP(DadosViagem5[[#This Row],[Placa]],[1]DDS!B:C,2,FALSE),"Verificar cadastro")</f>
        <v> </v>
      </c>
      <c r="S636" s="36" t="s">
        <v>574</v>
      </c>
      <c r="T636" s="23"/>
      <c r="U636" s="30"/>
      <c r="V636" s="31"/>
      <c r="W636" s="32" t="s">
        <v>1098</v>
      </c>
      <c r="X636" s="33"/>
      <c r="Y636" s="34"/>
      <c r="Z636" s="42"/>
      <c r="AA636" s="20" t="s">
        <v>49</v>
      </c>
      <c r="AB636" s="20" t="s">
        <v>49</v>
      </c>
      <c r="AC636" s="19" t="s">
        <v>49</v>
      </c>
      <c r="AD636" s="19" t="str">
        <f ca="1">IFERROR(DATEDIF(DadosViagem5[[#This Row],[Utimo Bip Reserva]],TODAY(),"D"),"")</f>
        <v/>
      </c>
      <c r="AE636" s="25" t="s">
        <v>1099</v>
      </c>
      <c r="AF636" s="25" t="s">
        <v>49</v>
      </c>
      <c r="AG636" s="36"/>
      <c r="AH636" s="25">
        <v>45807</v>
      </c>
      <c r="AI636" s="36" t="str">
        <f>IF(DadosViagem5[[#This Row],[Dias em manutenção ]]&lt;5,"Dentro do Prazo","Fora do Prazo")</f>
        <v>Fora do Prazo</v>
      </c>
      <c r="AJ636" s="36" t="e">
        <v>#REF!</v>
      </c>
    </row>
    <row r="637" spans="1:36">
      <c r="A637" s="19" t="s">
        <v>1100</v>
      </c>
      <c r="B637" s="20"/>
      <c r="C637" s="19" t="s">
        <v>671</v>
      </c>
      <c r="D637" s="19" t="s">
        <v>132</v>
      </c>
      <c r="E637" s="19" t="s">
        <v>894</v>
      </c>
      <c r="F637" s="19" t="s">
        <v>115</v>
      </c>
      <c r="G637" s="19"/>
      <c r="H637" s="20">
        <v>2022</v>
      </c>
      <c r="I637" s="19" t="s">
        <v>1084</v>
      </c>
      <c r="J637" s="19" t="s">
        <v>1085</v>
      </c>
      <c r="K637" s="21" t="s">
        <v>1086</v>
      </c>
      <c r="L637" s="22" t="s">
        <v>60</v>
      </c>
      <c r="M637" s="23" t="s">
        <v>268</v>
      </c>
      <c r="N637" s="36" t="s">
        <v>1087</v>
      </c>
      <c r="O637" s="36" t="s">
        <v>1019</v>
      </c>
      <c r="P637" s="26">
        <f ca="1">IFERROR(VLOOKUP(DadosViagem5[[#This Row],[Placa]],[1]BIP!A:E,5,FALSE),"")</f>
        <v>45915</v>
      </c>
      <c r="Q637" s="27">
        <f ca="1">DATEDIF(DadosViagem5[[#This Row],[BIP]],TODAY(),"D")</f>
        <v>75</v>
      </c>
      <c r="R637" s="28" t="str">
        <f>IFERROR(VLOOKUP(DadosViagem5[[#This Row],[Placa]],[1]DDS!B:C,2,FALSE),"Verificar cadastro")</f>
        <v> </v>
      </c>
      <c r="S637" s="36" t="s">
        <v>574</v>
      </c>
      <c r="T637" s="23"/>
      <c r="U637" s="30"/>
      <c r="V637" s="31"/>
      <c r="W637" s="32" t="s">
        <v>1098</v>
      </c>
      <c r="X637" s="33"/>
      <c r="Y637" s="34"/>
      <c r="Z637" s="32"/>
      <c r="AA637" s="20" t="s">
        <v>49</v>
      </c>
      <c r="AB637" s="20" t="s">
        <v>49</v>
      </c>
      <c r="AC637" s="19" t="s">
        <v>49</v>
      </c>
      <c r="AD637" s="19" t="str">
        <f ca="1">IFERROR(DATEDIF(DadosViagem5[[#This Row],[Utimo Bip Reserva]],TODAY(),"D"),"")</f>
        <v/>
      </c>
      <c r="AE637" s="25" t="s">
        <v>49</v>
      </c>
      <c r="AF637" s="25" t="s">
        <v>49</v>
      </c>
      <c r="AG637" s="36"/>
      <c r="AH637" s="25">
        <v>49</v>
      </c>
      <c r="AI637" s="36" t="str">
        <f>IF(DadosViagem5[[#This Row],[Dias em manutenção ]]&lt;5,"Dentro do Prazo","Fora do Prazo")</f>
        <v>Fora do Prazo</v>
      </c>
      <c r="AJ637" s="36" t="e">
        <v>#REF!</v>
      </c>
    </row>
    <row r="638" spans="1:36">
      <c r="A638" s="19" t="s">
        <v>1101</v>
      </c>
      <c r="B638" s="20"/>
      <c r="C638" s="19" t="s">
        <v>131</v>
      </c>
      <c r="D638" s="19" t="s">
        <v>132</v>
      </c>
      <c r="E638" s="19" t="s">
        <v>894</v>
      </c>
      <c r="F638" s="19" t="s">
        <v>115</v>
      </c>
      <c r="G638" s="19"/>
      <c r="H638" s="20">
        <v>2022</v>
      </c>
      <c r="I638" s="19" t="s">
        <v>1084</v>
      </c>
      <c r="J638" s="19" t="s">
        <v>1085</v>
      </c>
      <c r="K638" s="21" t="s">
        <v>1086</v>
      </c>
      <c r="L638" s="22" t="s">
        <v>60</v>
      </c>
      <c r="M638" s="23" t="s">
        <v>268</v>
      </c>
      <c r="N638" s="36" t="s">
        <v>1087</v>
      </c>
      <c r="O638" s="36" t="s">
        <v>1019</v>
      </c>
      <c r="P638" s="26">
        <f ca="1">IFERROR(VLOOKUP(DadosViagem5[[#This Row],[Placa]],[1]BIP!A:E,5,FALSE),"")</f>
        <v>45971</v>
      </c>
      <c r="Q638" s="27">
        <f ca="1">DATEDIF(DadosViagem5[[#This Row],[BIP]],TODAY(),"D")</f>
        <v>19</v>
      </c>
      <c r="R638" s="28" t="str">
        <f>IFERROR(VLOOKUP(DadosViagem5[[#This Row],[Placa]],[1]DDS!B:C,2,FALSE),"Verificar cadastro")</f>
        <v> </v>
      </c>
      <c r="S638" s="36" t="s">
        <v>574</v>
      </c>
      <c r="T638" s="23"/>
      <c r="U638" s="30"/>
      <c r="V638" s="31"/>
      <c r="W638" s="32" t="s">
        <v>1096</v>
      </c>
      <c r="X638" s="33"/>
      <c r="Y638" s="34"/>
      <c r="Z638" s="32"/>
      <c r="AA638" s="20" t="s">
        <v>49</v>
      </c>
      <c r="AB638" s="20" t="s">
        <v>49</v>
      </c>
      <c r="AC638" s="19" t="s">
        <v>49</v>
      </c>
      <c r="AD638" s="19" t="str">
        <f ca="1">IFERROR(DATEDIF(DadosViagem5[[#This Row],[Utimo Bip Reserva]],TODAY(),"D"),"")</f>
        <v/>
      </c>
      <c r="AE638" s="25" t="s">
        <v>49</v>
      </c>
      <c r="AF638" s="25" t="s">
        <v>49</v>
      </c>
      <c r="AG638" s="36"/>
      <c r="AH638" s="25">
        <v>45807</v>
      </c>
      <c r="AI638" s="36" t="str">
        <f>IF(DadosViagem5[[#This Row],[Dias em manutenção ]]&lt;5,"Dentro do Prazo","Fora do Prazo")</f>
        <v>Fora do Prazo</v>
      </c>
      <c r="AJ638" s="36" t="e">
        <v>#REF!</v>
      </c>
    </row>
    <row r="639" spans="1:36">
      <c r="A639" s="19" t="s">
        <v>1102</v>
      </c>
      <c r="B639" s="20"/>
      <c r="C639" s="19" t="s">
        <v>131</v>
      </c>
      <c r="D639" s="19" t="s">
        <v>132</v>
      </c>
      <c r="E639" s="19" t="s">
        <v>114</v>
      </c>
      <c r="F639" s="19" t="s">
        <v>115</v>
      </c>
      <c r="G639" s="19"/>
      <c r="H639" s="20">
        <v>2022</v>
      </c>
      <c r="I639" s="19" t="s">
        <v>41</v>
      </c>
      <c r="J639" s="19" t="s">
        <v>1103</v>
      </c>
      <c r="K639" s="21" t="s">
        <v>1104</v>
      </c>
      <c r="L639" s="22" t="s">
        <v>60</v>
      </c>
      <c r="M639" s="23" t="s">
        <v>290</v>
      </c>
      <c r="N639" s="25" t="s">
        <v>1105</v>
      </c>
      <c r="O639" s="36" t="s">
        <v>1106</v>
      </c>
      <c r="P639" s="26">
        <f ca="1">IFERROR(VLOOKUP(DadosViagem5[[#This Row],[Placa]],[1]BIP!A:E,5,FALSE),"")</f>
        <v>45817</v>
      </c>
      <c r="Q639" s="27">
        <f ca="1">DATEDIF(DadosViagem5[[#This Row],[BIP]],TODAY(),"D")</f>
        <v>173</v>
      </c>
      <c r="R639" s="28" t="str">
        <f>IFERROR(VLOOKUP(DadosViagem5[[#This Row],[Placa]],[1]DDS!B:C,2,FALSE),"Verificar cadastro")</f>
        <v> </v>
      </c>
      <c r="S639" s="29" t="s">
        <v>173</v>
      </c>
      <c r="T639" s="31"/>
      <c r="U639" s="30"/>
      <c r="V639" s="31"/>
      <c r="W639" s="116" t="s">
        <v>1107</v>
      </c>
      <c r="X639" s="57"/>
      <c r="Y639" s="34"/>
      <c r="Z639" s="11"/>
      <c r="AA639" s="20" t="s">
        <v>49</v>
      </c>
      <c r="AB639" s="20" t="s">
        <v>49</v>
      </c>
      <c r="AC639" s="19" t="s">
        <v>49</v>
      </c>
      <c r="AD639" s="19" t="str">
        <f ca="1">IFERROR(DATEDIF(DadosViagem5[[#This Row],[Utimo Bip Reserva]],TODAY(),"D"),"")</f>
        <v/>
      </c>
      <c r="AE639" s="36" t="s">
        <v>49</v>
      </c>
      <c r="AF639" s="25" t="s">
        <v>49</v>
      </c>
      <c r="AG639" s="36"/>
      <c r="AH639" s="25">
        <v>45807</v>
      </c>
      <c r="AI639" s="36" t="str">
        <f>IF(DadosViagem5[[#This Row],[Dias em manutenção ]]&lt;5,"Dentro do Prazo","Fora do Prazo")</f>
        <v>Fora do Prazo</v>
      </c>
      <c r="AJ639" s="36" t="e">
        <v>#REF!</v>
      </c>
    </row>
    <row r="640" spans="1:36">
      <c r="A640" s="19" t="s">
        <v>1108</v>
      </c>
      <c r="B640" s="20"/>
      <c r="C640" s="19" t="s">
        <v>71</v>
      </c>
      <c r="D640" s="19" t="s">
        <v>38</v>
      </c>
      <c r="E640" s="19" t="s">
        <v>114</v>
      </c>
      <c r="F640" s="19" t="s">
        <v>115</v>
      </c>
      <c r="G640" s="19"/>
      <c r="H640" s="20">
        <v>2021</v>
      </c>
      <c r="I640" s="19" t="s">
        <v>41</v>
      </c>
      <c r="J640" s="19" t="s">
        <v>1109</v>
      </c>
      <c r="K640" s="21" t="s">
        <v>1110</v>
      </c>
      <c r="L640" s="22" t="s">
        <v>60</v>
      </c>
      <c r="M640" s="23" t="s">
        <v>290</v>
      </c>
      <c r="N640" s="36" t="s">
        <v>1111</v>
      </c>
      <c r="O640" s="36" t="s">
        <v>1106</v>
      </c>
      <c r="P640" s="26">
        <f ca="1">IFERROR(VLOOKUP(DadosViagem5[[#This Row],[Placa]],[1]BIP!A:E,5,FALSE),"")</f>
        <v>0</v>
      </c>
      <c r="Q640" s="27">
        <f ca="1">DATEDIF(DadosViagem5[[#This Row],[BIP]],TODAY(),"D")</f>
        <v>45990</v>
      </c>
      <c r="R640" s="28" t="str">
        <f>IFERROR(VLOOKUP(DadosViagem5[[#This Row],[Placa]],[1]DDS!B:C,2,FALSE),"Verificar cadastro")</f>
        <v>Manutenção</v>
      </c>
      <c r="S640" s="29" t="s">
        <v>173</v>
      </c>
      <c r="T640" s="23"/>
      <c r="U640" s="30"/>
      <c r="V640" s="31"/>
      <c r="W640" s="116" t="s">
        <v>1107</v>
      </c>
      <c r="X640" s="33"/>
      <c r="Y640" s="34"/>
      <c r="Z640" s="32"/>
      <c r="AA640" s="20"/>
      <c r="AB640" s="20" t="s">
        <v>49</v>
      </c>
      <c r="AC640" s="19" t="s">
        <v>49</v>
      </c>
      <c r="AD640" s="19" t="str">
        <f ca="1">IFERROR(DATEDIF(DadosViagem5[[#This Row],[Utimo Bip Reserva]],TODAY(),"D"),"")</f>
        <v/>
      </c>
      <c r="AE640" s="36" t="s">
        <v>49</v>
      </c>
      <c r="AF640" s="25" t="s">
        <v>49</v>
      </c>
      <c r="AG640" s="36"/>
      <c r="AH640" s="25">
        <v>45807</v>
      </c>
      <c r="AI640" s="36" t="str">
        <f>IF(DadosViagem5[[#This Row],[Dias em manutenção ]]&lt;5,"Dentro do Prazo","Fora do Prazo")</f>
        <v>Fora do Prazo</v>
      </c>
      <c r="AJ640" s="36" t="e">
        <v>#REF!</v>
      </c>
    </row>
    <row r="641" spans="1:36">
      <c r="A641" s="19" t="s">
        <v>1112</v>
      </c>
      <c r="B641" s="20"/>
      <c r="C641" s="19" t="s">
        <v>88</v>
      </c>
      <c r="D641" s="19" t="s">
        <v>52</v>
      </c>
      <c r="E641" s="19" t="s">
        <v>114</v>
      </c>
      <c r="F641" s="19" t="s">
        <v>115</v>
      </c>
      <c r="G641" s="19"/>
      <c r="H641" s="20">
        <v>2022</v>
      </c>
      <c r="I641" s="19" t="s">
        <v>41</v>
      </c>
      <c r="J641" s="19" t="s">
        <v>451</v>
      </c>
      <c r="K641" s="21" t="s">
        <v>452</v>
      </c>
      <c r="L641" s="22" t="s">
        <v>60</v>
      </c>
      <c r="M641" s="23" t="s">
        <v>61</v>
      </c>
      <c r="N641" s="36" t="s">
        <v>1113</v>
      </c>
      <c r="O641" s="36" t="s">
        <v>63</v>
      </c>
      <c r="P641" s="26">
        <f ca="1">IFERROR(VLOOKUP(DadosViagem5[[#This Row],[Placa]],[1]BIP!A:E,5,FALSE),"")</f>
        <v>45677</v>
      </c>
      <c r="Q641" s="27">
        <f ca="1">DATEDIF(DadosViagem5[[#This Row],[BIP]],TODAY(),"D")</f>
        <v>313</v>
      </c>
      <c r="R641" s="28" t="s">
        <v>1114</v>
      </c>
      <c r="S641" s="36" t="s">
        <v>35</v>
      </c>
      <c r="T641" s="23"/>
      <c r="U641" s="30"/>
      <c r="V641" s="31">
        <v>45677</v>
      </c>
      <c r="W641" s="32" t="s">
        <v>1115</v>
      </c>
      <c r="X641" s="33" t="s">
        <v>65</v>
      </c>
      <c r="Y641" s="34" t="s">
        <v>66</v>
      </c>
      <c r="Z641" s="42" t="s">
        <v>171</v>
      </c>
      <c r="AA641" s="20" t="s">
        <v>49</v>
      </c>
      <c r="AB641" s="20" t="s">
        <v>49</v>
      </c>
      <c r="AC641" s="19" t="s">
        <v>49</v>
      </c>
      <c r="AD641" s="19" t="str">
        <f ca="1">IFERROR(DATEDIF(DadosViagem5[[#This Row],[Utimo Bip Reserva]],TODAY(),"D"),"")</f>
        <v/>
      </c>
      <c r="AE641" s="61"/>
      <c r="AF641" s="25" t="s">
        <v>49</v>
      </c>
      <c r="AG641" s="30" t="s">
        <v>153</v>
      </c>
      <c r="AH641" s="25">
        <v>130</v>
      </c>
      <c r="AI641" s="36" t="str">
        <f>IF(DadosViagem5[[#This Row],[Dias em manutenção ]]&lt;5,"Dentro do Prazo","Fora do Prazo")</f>
        <v>Fora do Prazo</v>
      </c>
      <c r="AJ641" s="36" t="e">
        <v>#REF!</v>
      </c>
    </row>
    <row r="642" spans="1:36">
      <c r="A642" s="19" t="s">
        <v>1116</v>
      </c>
      <c r="B642" s="20"/>
      <c r="C642" s="19" t="s">
        <v>131</v>
      </c>
      <c r="D642" s="19" t="s">
        <v>132</v>
      </c>
      <c r="E642" s="19" t="s">
        <v>114</v>
      </c>
      <c r="F642" s="19" t="s">
        <v>115</v>
      </c>
      <c r="G642" s="19"/>
      <c r="H642" s="20">
        <v>2022</v>
      </c>
      <c r="I642" s="19" t="s">
        <v>41</v>
      </c>
      <c r="J642" s="19" t="s">
        <v>1109</v>
      </c>
      <c r="K642" s="21" t="s">
        <v>1110</v>
      </c>
      <c r="L642" s="22" t="s">
        <v>60</v>
      </c>
      <c r="M642" s="46" t="s">
        <v>290</v>
      </c>
      <c r="N642" s="36" t="s">
        <v>1111</v>
      </c>
      <c r="O642" s="36" t="s">
        <v>1106</v>
      </c>
      <c r="P642" s="26">
        <f ca="1">IFERROR(VLOOKUP(DadosViagem5[[#This Row],[Placa]],[1]BIP!A:E,5,FALSE),"")</f>
        <v>45885</v>
      </c>
      <c r="Q642" s="27">
        <f ca="1">DATEDIF(DadosViagem5[[#This Row],[BIP]],TODAY(),"D")</f>
        <v>105</v>
      </c>
      <c r="R642" s="28" t="str">
        <f>IFERROR(VLOOKUP(DadosViagem5[[#This Row],[Placa]],[1]DDS!B:C,2,FALSE),"Verificar cadastro")</f>
        <v>Verificar cadastro</v>
      </c>
      <c r="S642" s="36" t="s">
        <v>574</v>
      </c>
      <c r="T642" s="23"/>
      <c r="U642" s="30"/>
      <c r="V642" s="31"/>
      <c r="W642" s="116" t="s">
        <v>1117</v>
      </c>
      <c r="X642" s="33"/>
      <c r="Y642" s="34"/>
      <c r="Z642" s="32"/>
      <c r="AA642" s="20" t="s">
        <v>49</v>
      </c>
      <c r="AB642" s="20" t="s">
        <v>49</v>
      </c>
      <c r="AC642" s="19" t="s">
        <v>49</v>
      </c>
      <c r="AD642" s="19" t="str">
        <f ca="1">IFERROR(DATEDIF(DadosViagem5[[#This Row],[Utimo Bip Reserva]],TODAY(),"D"),"")</f>
        <v/>
      </c>
      <c r="AE642" s="36" t="s">
        <v>49</v>
      </c>
      <c r="AF642" s="25" t="s">
        <v>49</v>
      </c>
      <c r="AG642" s="36"/>
      <c r="AH642" s="25">
        <v>45807</v>
      </c>
      <c r="AI642" s="36" t="str">
        <f>IF(DadosViagem5[[#This Row],[Dias em manutenção ]]&lt;5,"Dentro do Prazo","Fora do Prazo")</f>
        <v>Fora do Prazo</v>
      </c>
      <c r="AJ642" s="36" t="e">
        <v>#REF!</v>
      </c>
    </row>
    <row r="643" spans="1:36">
      <c r="A643" s="19" t="s">
        <v>1118</v>
      </c>
      <c r="B643" s="20"/>
      <c r="C643" s="19" t="s">
        <v>131</v>
      </c>
      <c r="D643" s="19" t="s">
        <v>132</v>
      </c>
      <c r="E643" s="19" t="s">
        <v>114</v>
      </c>
      <c r="F643" s="19" t="s">
        <v>115</v>
      </c>
      <c r="G643" s="19"/>
      <c r="H643" s="20">
        <v>2022</v>
      </c>
      <c r="I643" s="19" t="s">
        <v>41</v>
      </c>
      <c r="J643" s="37" t="s">
        <v>1109</v>
      </c>
      <c r="K643" s="21" t="s">
        <v>1110</v>
      </c>
      <c r="L643" s="22" t="s">
        <v>60</v>
      </c>
      <c r="M643" s="23" t="s">
        <v>290</v>
      </c>
      <c r="N643" s="36" t="s">
        <v>1111</v>
      </c>
      <c r="O643" s="24" t="s">
        <v>1106</v>
      </c>
      <c r="P643" s="26">
        <f ca="1">IFERROR(VLOOKUP(DadosViagem5[[#This Row],[Placa]],[1]BIP!A:E,5,FALSE),"")</f>
        <v>45915</v>
      </c>
      <c r="Q643" s="27">
        <f ca="1">DATEDIF(DadosViagem5[[#This Row],[BIP]],TODAY(),"D")</f>
        <v>75</v>
      </c>
      <c r="R643" s="28" t="str">
        <f>IFERROR(VLOOKUP(DadosViagem5[[#This Row],[Placa]],[1]DDS!B:C,2,FALSE),"Verificar cadastro")</f>
        <v>Verificar cadastro</v>
      </c>
      <c r="S643" s="36" t="s">
        <v>35</v>
      </c>
      <c r="T643" s="23"/>
      <c r="U643" s="30"/>
      <c r="V643" s="31"/>
      <c r="W643" s="32" t="s">
        <v>1119</v>
      </c>
      <c r="X643" s="33"/>
      <c r="Y643" s="34"/>
      <c r="Z643" s="32"/>
      <c r="AA643" s="20" t="s">
        <v>49</v>
      </c>
      <c r="AB643" s="20" t="s">
        <v>49</v>
      </c>
      <c r="AC643" s="19" t="s">
        <v>49</v>
      </c>
      <c r="AD643" s="19" t="str">
        <f ca="1">IFERROR(DATEDIF(DadosViagem5[[#This Row],[Utimo Bip Reserva]],TODAY(),"D"),"")</f>
        <v/>
      </c>
      <c r="AE643" s="36" t="s">
        <v>49</v>
      </c>
      <c r="AF643" s="25" t="s">
        <v>49</v>
      </c>
      <c r="AG643" s="36"/>
      <c r="AH643" s="25">
        <v>45807</v>
      </c>
      <c r="AI643" s="36" t="str">
        <f>IF(DadosViagem5[[#This Row],[Dias em manutenção ]]&lt;5,"Dentro do Prazo","Fora do Prazo")</f>
        <v>Fora do Prazo</v>
      </c>
      <c r="AJ643" s="36" t="e">
        <v>#REF!</v>
      </c>
    </row>
    <row r="644" spans="1:36">
      <c r="A644" s="19" t="s">
        <v>1120</v>
      </c>
      <c r="B644" s="20"/>
      <c r="C644" s="19" t="s">
        <v>131</v>
      </c>
      <c r="D644" s="19" t="s">
        <v>132</v>
      </c>
      <c r="E644" s="19" t="s">
        <v>114</v>
      </c>
      <c r="F644" s="19" t="s">
        <v>115</v>
      </c>
      <c r="G644" s="19"/>
      <c r="H644" s="20">
        <v>2022</v>
      </c>
      <c r="I644" s="19" t="s">
        <v>41</v>
      </c>
      <c r="J644" s="19" t="s">
        <v>1109</v>
      </c>
      <c r="K644" s="38" t="s">
        <v>1110</v>
      </c>
      <c r="L644" s="39" t="s">
        <v>60</v>
      </c>
      <c r="M644" s="23" t="s">
        <v>290</v>
      </c>
      <c r="N644" s="24" t="s">
        <v>1111</v>
      </c>
      <c r="O644" s="24" t="s">
        <v>1106</v>
      </c>
      <c r="P644" s="26">
        <f ca="1">IFERROR(VLOOKUP(DadosViagem5[[#This Row],[Placa]],[1]BIP!A:E,5,FALSE),"")</f>
        <v>45910</v>
      </c>
      <c r="Q644" s="27">
        <f ca="1">DATEDIF(DadosViagem5[[#This Row],[BIP]],TODAY(),"D")</f>
        <v>80</v>
      </c>
      <c r="R644" s="28" t="str">
        <f>IFERROR(VLOOKUP(DadosViagem5[[#This Row],[Placa]],[1]DDS!B:C,2,FALSE),"Verificar cadastro")</f>
        <v> </v>
      </c>
      <c r="S644" s="36" t="s">
        <v>35</v>
      </c>
      <c r="T644" s="23"/>
      <c r="U644" s="30"/>
      <c r="V644" s="31"/>
      <c r="W644" s="32" t="s">
        <v>1121</v>
      </c>
      <c r="X644" s="33"/>
      <c r="Y644" s="34"/>
      <c r="Z644" s="32"/>
      <c r="AA644" s="20" t="s">
        <v>49</v>
      </c>
      <c r="AB644" s="20" t="s">
        <v>49</v>
      </c>
      <c r="AC644" s="19" t="s">
        <v>49</v>
      </c>
      <c r="AD644" s="19" t="str">
        <f ca="1">IFERROR(DATEDIF(DadosViagem5[[#This Row],[Utimo Bip Reserva]],TODAY(),"D"),"")</f>
        <v/>
      </c>
      <c r="AE644" s="36" t="s">
        <v>49</v>
      </c>
      <c r="AF644" s="25" t="s">
        <v>49</v>
      </c>
      <c r="AG644" s="36"/>
      <c r="AH644" s="25">
        <v>45807</v>
      </c>
      <c r="AI644" s="36" t="str">
        <f>IF(DadosViagem5[[#This Row],[Dias em manutenção ]]&lt;5,"Dentro do Prazo","Fora do Prazo")</f>
        <v>Fora do Prazo</v>
      </c>
      <c r="AJ644" s="36" t="e">
        <v>#REF!</v>
      </c>
    </row>
    <row r="645" spans="1:36">
      <c r="A645" s="19" t="s">
        <v>1122</v>
      </c>
      <c r="B645" s="20"/>
      <c r="C645" s="19" t="s">
        <v>131</v>
      </c>
      <c r="D645" s="19" t="s">
        <v>132</v>
      </c>
      <c r="E645" s="19" t="s">
        <v>114</v>
      </c>
      <c r="F645" s="19" t="s">
        <v>115</v>
      </c>
      <c r="G645" s="19"/>
      <c r="H645" s="20">
        <v>2022</v>
      </c>
      <c r="I645" s="37" t="s">
        <v>41</v>
      </c>
      <c r="J645" s="19" t="s">
        <v>1103</v>
      </c>
      <c r="K645" s="21" t="s">
        <v>1104</v>
      </c>
      <c r="L645" s="22" t="s">
        <v>60</v>
      </c>
      <c r="M645" s="23" t="s">
        <v>290</v>
      </c>
      <c r="N645" s="25" t="s">
        <v>1105</v>
      </c>
      <c r="O645" s="36" t="s">
        <v>1106</v>
      </c>
      <c r="P645" s="26">
        <f ca="1">IFERROR(VLOOKUP(DadosViagem5[[#This Row],[Placa]],[1]BIP!A:E,5,FALSE),"")</f>
        <v>45913</v>
      </c>
      <c r="Q645" s="27">
        <f ca="1">DATEDIF(DadosViagem5[[#This Row],[BIP]],TODAY(),"D")</f>
        <v>77</v>
      </c>
      <c r="R645" s="28" t="str">
        <f>IFERROR(VLOOKUP(DadosViagem5[[#This Row],[Placa]],[1]DDS!B:C,2,FALSE),"Verificar cadastro")</f>
        <v> </v>
      </c>
      <c r="S645" s="36" t="s">
        <v>35</v>
      </c>
      <c r="T645" s="23"/>
      <c r="U645" s="30"/>
      <c r="V645" s="31"/>
      <c r="W645" s="32" t="s">
        <v>1121</v>
      </c>
      <c r="X645" s="33"/>
      <c r="Y645" s="34"/>
      <c r="Z645" s="32"/>
      <c r="AA645" s="20" t="s">
        <v>49</v>
      </c>
      <c r="AB645" s="20" t="s">
        <v>49</v>
      </c>
      <c r="AC645" s="19" t="s">
        <v>49</v>
      </c>
      <c r="AD645" s="19" t="str">
        <f ca="1">IFERROR(DATEDIF(DadosViagem5[[#This Row],[Utimo Bip Reserva]],TODAY(),"D"),"")</f>
        <v/>
      </c>
      <c r="AE645" s="36" t="s">
        <v>49</v>
      </c>
      <c r="AF645" s="25" t="s">
        <v>49</v>
      </c>
      <c r="AG645" s="36"/>
      <c r="AH645" s="25">
        <v>45807</v>
      </c>
      <c r="AI645" s="36" t="str">
        <f>IF(DadosViagem5[[#This Row],[Dias em manutenção ]]&lt;5,"Dentro do Prazo","Fora do Prazo")</f>
        <v>Fora do Prazo</v>
      </c>
      <c r="AJ645" s="36" t="e">
        <v>#REF!</v>
      </c>
    </row>
    <row r="646" spans="1:36">
      <c r="A646" s="19" t="s">
        <v>1123</v>
      </c>
      <c r="B646" s="20"/>
      <c r="C646" s="19" t="s">
        <v>74</v>
      </c>
      <c r="D646" s="19" t="s">
        <v>52</v>
      </c>
      <c r="E646" s="19" t="s">
        <v>75</v>
      </c>
      <c r="F646" s="19" t="s">
        <v>115</v>
      </c>
      <c r="G646" s="19"/>
      <c r="H646" s="20">
        <v>2023</v>
      </c>
      <c r="I646" s="19" t="s">
        <v>41</v>
      </c>
      <c r="J646" s="19" t="s">
        <v>1109</v>
      </c>
      <c r="K646" s="21" t="s">
        <v>1110</v>
      </c>
      <c r="L646" s="22" t="s">
        <v>60</v>
      </c>
      <c r="M646" s="23" t="s">
        <v>77</v>
      </c>
      <c r="N646" s="24" t="s">
        <v>1111</v>
      </c>
      <c r="O646" s="36" t="s">
        <v>1106</v>
      </c>
      <c r="P646" s="26">
        <f ca="1">IFERROR(VLOOKUP(DadosViagem5[[#This Row],[Placa]],[1]BIP!A:E,5,FALSE),"")</f>
        <v>45989</v>
      </c>
      <c r="Q646" s="27">
        <f ca="1">DATEDIF(DadosViagem5[[#This Row],[BIP]],TODAY(),"D")</f>
        <v>1</v>
      </c>
      <c r="R646" s="28" t="str">
        <f>IFERROR(VLOOKUP(DadosViagem5[[#This Row],[Placa]],[1]DDS!B:C,2,FALSE),"Verificar cadastro")</f>
        <v>Operando</v>
      </c>
      <c r="S646" s="29" t="s">
        <v>48</v>
      </c>
      <c r="T646" s="23" t="s">
        <v>1124</v>
      </c>
      <c r="U646" s="30"/>
      <c r="V646" s="31"/>
      <c r="W646" s="32"/>
      <c r="X646" s="33"/>
      <c r="Y646" s="34"/>
      <c r="Z646" s="42"/>
      <c r="AA646" s="20" t="s">
        <v>49</v>
      </c>
      <c r="AB646" s="20" t="s">
        <v>49</v>
      </c>
      <c r="AC646" s="19" t="s">
        <v>49</v>
      </c>
      <c r="AD646" s="19" t="str">
        <f ca="1">IFERROR(DATEDIF(DadosViagem5[[#This Row],[Utimo Bip Reserva]],TODAY(),"D"),"")</f>
        <v/>
      </c>
      <c r="AE646" s="36"/>
      <c r="AF646" s="25"/>
      <c r="AG646" s="36"/>
      <c r="AH646" s="25">
        <v>45807</v>
      </c>
      <c r="AI646" s="36" t="str">
        <f>IF(DadosViagem5[[#This Row],[Dias em manutenção ]]&lt;5,"Dentro do Prazo","Fora do Prazo")</f>
        <v>Fora do Prazo</v>
      </c>
      <c r="AJ646" s="36" t="e">
        <v>#REF!</v>
      </c>
    </row>
    <row r="647" spans="1:36">
      <c r="A647" s="19" t="s">
        <v>1125</v>
      </c>
      <c r="B647" s="20"/>
      <c r="C647" s="19" t="s">
        <v>74</v>
      </c>
      <c r="D647" s="19" t="s">
        <v>52</v>
      </c>
      <c r="E647" s="19" t="s">
        <v>114</v>
      </c>
      <c r="F647" s="19" t="s">
        <v>115</v>
      </c>
      <c r="G647" s="19"/>
      <c r="H647" s="20">
        <v>2023</v>
      </c>
      <c r="I647" s="19" t="s">
        <v>41</v>
      </c>
      <c r="J647" s="19" t="s">
        <v>1109</v>
      </c>
      <c r="K647" s="21" t="s">
        <v>1110</v>
      </c>
      <c r="L647" s="22" t="s">
        <v>60</v>
      </c>
      <c r="M647" s="23" t="s">
        <v>77</v>
      </c>
      <c r="N647" s="24" t="s">
        <v>1111</v>
      </c>
      <c r="O647" s="36" t="s">
        <v>1106</v>
      </c>
      <c r="P647" s="26">
        <f ca="1">IFERROR(VLOOKUP(DadosViagem5[[#This Row],[Placa]],[1]BIP!A:E,5,FALSE),"")</f>
        <v>45696</v>
      </c>
      <c r="Q647" s="27">
        <f ca="1">DATEDIF(DadosViagem5[[#This Row],[BIP]],TODAY(),"D")</f>
        <v>294</v>
      </c>
      <c r="R647" s="28" t="str">
        <f>IFERROR(VLOOKUP(DadosViagem5[[#This Row],[Placa]],[1]DDS!B:C,2,FALSE),"Verificar cadastro")</f>
        <v>Verificar cadastro</v>
      </c>
      <c r="S647" s="36" t="s">
        <v>574</v>
      </c>
      <c r="T647" s="23"/>
      <c r="U647" s="30"/>
      <c r="V647" s="31"/>
      <c r="W647" s="32" t="s">
        <v>1126</v>
      </c>
      <c r="X647" s="33"/>
      <c r="Y647" s="34"/>
      <c r="Z647" s="32"/>
      <c r="AA647" s="20" t="s">
        <v>49</v>
      </c>
      <c r="AB647" s="20" t="s">
        <v>49</v>
      </c>
      <c r="AC647" s="19" t="s">
        <v>49</v>
      </c>
      <c r="AD647" s="19" t="str">
        <f ca="1">IFERROR(DATEDIF(DadosViagem5[[#This Row],[Utimo Bip Reserva]],TODAY(),"D"),"")</f>
        <v/>
      </c>
      <c r="AE647" s="23" t="s">
        <v>49</v>
      </c>
      <c r="AF647" s="30" t="s">
        <v>49</v>
      </c>
      <c r="AG647" s="23" t="s">
        <v>454</v>
      </c>
      <c r="AH647" s="25">
        <v>111</v>
      </c>
      <c r="AI647" s="36" t="str">
        <f>IF(DadosViagem5[[#This Row],[Dias em manutenção ]]&lt;5,"Dentro do Prazo","Fora do Prazo")</f>
        <v>Fora do Prazo</v>
      </c>
      <c r="AJ647" s="36" t="e">
        <v>#REF!</v>
      </c>
    </row>
    <row r="648" spans="1:36">
      <c r="A648" s="19" t="s">
        <v>1127</v>
      </c>
      <c r="B648" s="20"/>
      <c r="C648" s="19" t="s">
        <v>71</v>
      </c>
      <c r="D648" s="19" t="s">
        <v>38</v>
      </c>
      <c r="E648" s="19" t="s">
        <v>114</v>
      </c>
      <c r="F648" s="19" t="s">
        <v>115</v>
      </c>
      <c r="G648" s="19"/>
      <c r="H648" s="20">
        <v>2021</v>
      </c>
      <c r="I648" s="19" t="s">
        <v>41</v>
      </c>
      <c r="J648" s="19" t="s">
        <v>1109</v>
      </c>
      <c r="K648" s="21" t="s">
        <v>1110</v>
      </c>
      <c r="L648" s="22" t="s">
        <v>60</v>
      </c>
      <c r="M648" s="23" t="s">
        <v>290</v>
      </c>
      <c r="N648" s="24" t="s">
        <v>1111</v>
      </c>
      <c r="O648" s="36" t="s">
        <v>1106</v>
      </c>
      <c r="P648" s="26">
        <f ca="1">IFERROR(VLOOKUP(DadosViagem5[[#This Row],[Placa]],[1]BIP!A:E,5,FALSE),"")</f>
        <v>45989</v>
      </c>
      <c r="Q648" s="27">
        <f ca="1">DATEDIF(DadosViagem5[[#This Row],[BIP]],TODAY(),"D")</f>
        <v>1</v>
      </c>
      <c r="R648" s="28" t="str">
        <f>IFERROR(VLOOKUP(DadosViagem5[[#This Row],[Placa]],[1]DDS!B:C,2,FALSE),"Verificar cadastro")</f>
        <v>Carregado</v>
      </c>
      <c r="S648" s="36" t="s">
        <v>35</v>
      </c>
      <c r="T648" s="23"/>
      <c r="U648" s="30"/>
      <c r="V648" s="31"/>
      <c r="W648" s="32" t="s">
        <v>1128</v>
      </c>
      <c r="X648" s="33"/>
      <c r="Y648" s="34"/>
      <c r="Z648" s="32"/>
      <c r="AA648" s="20" t="s">
        <v>49</v>
      </c>
      <c r="AB648" s="20" t="s">
        <v>49</v>
      </c>
      <c r="AC648" s="19" t="s">
        <v>49</v>
      </c>
      <c r="AD648" s="19" t="str">
        <f ca="1">IFERROR(DATEDIF(DadosViagem5[[#This Row],[Utimo Bip Reserva]],TODAY(),"D"),"")</f>
        <v/>
      </c>
      <c r="AE648" s="36" t="s">
        <v>1129</v>
      </c>
      <c r="AF648" s="25" t="s">
        <v>49</v>
      </c>
      <c r="AG648" s="30" t="s">
        <v>153</v>
      </c>
      <c r="AH648" s="25">
        <v>45</v>
      </c>
      <c r="AI648" s="36" t="str">
        <f>IF(DadosViagem5[[#This Row],[Dias em manutenção ]]&lt;5,"Dentro do Prazo","Fora do Prazo")</f>
        <v>Fora do Prazo</v>
      </c>
      <c r="AJ648" s="36" t="e">
        <v>#REF!</v>
      </c>
    </row>
    <row r="649" spans="1:36">
      <c r="A649" s="19" t="s">
        <v>1130</v>
      </c>
      <c r="B649" s="20"/>
      <c r="C649" s="19" t="s">
        <v>88</v>
      </c>
      <c r="D649" s="19" t="s">
        <v>52</v>
      </c>
      <c r="E649" s="19" t="s">
        <v>114</v>
      </c>
      <c r="F649" s="19" t="s">
        <v>115</v>
      </c>
      <c r="G649" s="19"/>
      <c r="H649" s="20">
        <v>2021</v>
      </c>
      <c r="I649" s="19" t="s">
        <v>41</v>
      </c>
      <c r="J649" s="19" t="s">
        <v>1109</v>
      </c>
      <c r="K649" s="21" t="s">
        <v>1110</v>
      </c>
      <c r="L649" s="22" t="s">
        <v>60</v>
      </c>
      <c r="M649" s="23" t="s">
        <v>290</v>
      </c>
      <c r="N649" s="24" t="s">
        <v>1111</v>
      </c>
      <c r="O649" s="36" t="s">
        <v>1106</v>
      </c>
      <c r="P649" s="26">
        <f ca="1">IFERROR(VLOOKUP(DadosViagem5[[#This Row],[Placa]],[1]BIP!A:E,5,FALSE),"")</f>
        <v>0</v>
      </c>
      <c r="Q649" s="27">
        <f ca="1">DATEDIF(DadosViagem5[[#This Row],[BIP]],TODAY(),"D")</f>
        <v>45990</v>
      </c>
      <c r="R649" s="28" t="str">
        <f>IFERROR(VLOOKUP(DadosViagem5[[#This Row],[Placa]],[1]DDS!B:C,2,FALSE),"Verificar cadastro")</f>
        <v>Verificar cadastro</v>
      </c>
      <c r="S649" s="36" t="s">
        <v>574</v>
      </c>
      <c r="T649" s="23"/>
      <c r="U649" s="30"/>
      <c r="V649" s="31"/>
      <c r="W649" s="32" t="s">
        <v>1131</v>
      </c>
      <c r="X649" s="33"/>
      <c r="Y649" s="34"/>
      <c r="Z649" s="32"/>
      <c r="AA649" s="20" t="s">
        <v>49</v>
      </c>
      <c r="AB649" s="20" t="s">
        <v>49</v>
      </c>
      <c r="AC649" s="19" t="s">
        <v>49</v>
      </c>
      <c r="AD649" s="19" t="str">
        <f ca="1">IFERROR(DATEDIF(DadosViagem5[[#This Row],[Utimo Bip Reserva]],TODAY(),"D"),"")</f>
        <v/>
      </c>
      <c r="AE649" s="61"/>
      <c r="AF649" s="25" t="s">
        <v>49</v>
      </c>
      <c r="AG649" s="30" t="s">
        <v>153</v>
      </c>
      <c r="AH649" s="25">
        <v>62</v>
      </c>
      <c r="AI649" s="36" t="str">
        <f>IF(DadosViagem5[[#This Row],[Dias em manutenção ]]&lt;5,"Dentro do Prazo","Fora do Prazo")</f>
        <v>Fora do Prazo</v>
      </c>
      <c r="AJ649" s="36" t="e">
        <v>#REF!</v>
      </c>
    </row>
    <row r="650" spans="1:36">
      <c r="A650" s="19" t="s">
        <v>1132</v>
      </c>
      <c r="B650" s="20">
        <v>490</v>
      </c>
      <c r="C650" s="19" t="s">
        <v>74</v>
      </c>
      <c r="D650" s="19" t="s">
        <v>52</v>
      </c>
      <c r="E650" s="19" t="s">
        <v>75</v>
      </c>
      <c r="F650" s="19" t="s">
        <v>76</v>
      </c>
      <c r="G650" s="19"/>
      <c r="H650" s="20">
        <v>2024</v>
      </c>
      <c r="I650" s="37" t="s">
        <v>41</v>
      </c>
      <c r="J650" s="19" t="s">
        <v>1133</v>
      </c>
      <c r="K650" s="21" t="s">
        <v>1134</v>
      </c>
      <c r="L650" s="39" t="s">
        <v>60</v>
      </c>
      <c r="M650" s="23" t="s">
        <v>77</v>
      </c>
      <c r="N650" s="24" t="s">
        <v>1135</v>
      </c>
      <c r="O650" s="36" t="s">
        <v>1136</v>
      </c>
      <c r="P650" s="26">
        <v>45952</v>
      </c>
      <c r="Q650" s="27">
        <v>0</v>
      </c>
      <c r="R650" s="28" t="s">
        <v>1137</v>
      </c>
      <c r="S650" s="29" t="s">
        <v>48</v>
      </c>
      <c r="T650" s="23"/>
      <c r="U650" s="30"/>
      <c r="V650" s="31"/>
      <c r="W650" s="32"/>
      <c r="X650" s="33"/>
      <c r="Y650" s="34"/>
      <c r="Z650" s="32"/>
      <c r="AA650" s="20" t="s">
        <v>49</v>
      </c>
      <c r="AB650" s="20" t="s">
        <v>49</v>
      </c>
      <c r="AC650" s="19" t="s">
        <v>49</v>
      </c>
      <c r="AD650" s="19" t="str">
        <f ca="1">IFERROR(DATEDIF(DadosViagem5[[#This Row],[Utimo Bip Reserva]],TODAY(),"D"),"")</f>
        <v/>
      </c>
      <c r="AE650" s="36" t="s">
        <v>49</v>
      </c>
      <c r="AF650" s="25" t="s">
        <v>49</v>
      </c>
      <c r="AG650" s="36"/>
      <c r="AH650" s="25">
        <v>46</v>
      </c>
      <c r="AI650" s="36" t="str">
        <f>IF(DadosViagem5[[#This Row],[Dias em manutenção ]]&lt;5,"Dentro do Prazo","Fora do Prazo")</f>
        <v>Fora do Prazo</v>
      </c>
      <c r="AJ650" s="36" t="e">
        <v>#REF!</v>
      </c>
    </row>
    <row r="651" spans="1:36">
      <c r="A651" s="19" t="s">
        <v>1138</v>
      </c>
      <c r="B651" s="20"/>
      <c r="C651" s="19" t="s">
        <v>74</v>
      </c>
      <c r="D651" s="19" t="s">
        <v>52</v>
      </c>
      <c r="E651" s="19" t="s">
        <v>75</v>
      </c>
      <c r="F651" s="19" t="s">
        <v>76</v>
      </c>
      <c r="G651" s="19"/>
      <c r="H651" s="20">
        <v>2023</v>
      </c>
      <c r="I651" s="19" t="s">
        <v>41</v>
      </c>
      <c r="J651" s="19" t="s">
        <v>1109</v>
      </c>
      <c r="K651" s="21" t="s">
        <v>1110</v>
      </c>
      <c r="L651" s="22" t="s">
        <v>60</v>
      </c>
      <c r="M651" s="23" t="s">
        <v>77</v>
      </c>
      <c r="N651" s="36" t="s">
        <v>1111</v>
      </c>
      <c r="O651" s="36" t="s">
        <v>1106</v>
      </c>
      <c r="P651" s="26">
        <f ca="1">IFERROR(VLOOKUP(DadosViagem5[[#This Row],[Placa]],[1]BIP!A:E,5,FALSE),"")</f>
        <v>45989</v>
      </c>
      <c r="Q651" s="27">
        <f ca="1">DATEDIF(DadosViagem5[[#This Row],[BIP]],TODAY(),"D")</f>
        <v>1</v>
      </c>
      <c r="R651" s="28" t="str">
        <f>IFERROR(VLOOKUP(DadosViagem5[[#This Row],[Placa]],[1]DDS!B:C,2,FALSE),"Verificar cadastro")</f>
        <v>Operando</v>
      </c>
      <c r="S651" s="29" t="s">
        <v>48</v>
      </c>
      <c r="T651" s="23"/>
      <c r="U651" s="30"/>
      <c r="V651" s="31"/>
      <c r="W651" s="43"/>
      <c r="X651" s="33"/>
      <c r="Y651" s="34"/>
      <c r="Z651" s="32"/>
      <c r="AA651" s="20" t="s">
        <v>49</v>
      </c>
      <c r="AB651" s="20" t="s">
        <v>49</v>
      </c>
      <c r="AC651" s="19" t="s">
        <v>49</v>
      </c>
      <c r="AD651" s="19" t="str">
        <f ca="1">IFERROR(DATEDIF(DadosViagem5[[#This Row],[Utimo Bip Reserva]],TODAY(),"D"),"")</f>
        <v/>
      </c>
      <c r="AE651" s="36"/>
      <c r="AF651" s="25"/>
      <c r="AG651" s="36"/>
      <c r="AH651" s="25">
        <v>45807</v>
      </c>
      <c r="AI651" s="36" t="str">
        <f>IF(DadosViagem5[[#This Row],[Dias em manutenção ]]&lt;5,"Dentro do Prazo","Fora do Prazo")</f>
        <v>Fora do Prazo</v>
      </c>
      <c r="AJ651" s="36" t="e">
        <v>#REF!</v>
      </c>
    </row>
    <row r="652" spans="1:36">
      <c r="A652" s="19" t="s">
        <v>1139</v>
      </c>
      <c r="B652" s="20"/>
      <c r="C652" s="19" t="s">
        <v>74</v>
      </c>
      <c r="D652" s="19" t="s">
        <v>52</v>
      </c>
      <c r="E652" s="19" t="s">
        <v>75</v>
      </c>
      <c r="F652" s="19" t="s">
        <v>76</v>
      </c>
      <c r="G652" s="19"/>
      <c r="H652" s="20">
        <v>2023</v>
      </c>
      <c r="I652" s="19" t="s">
        <v>41</v>
      </c>
      <c r="J652" s="19" t="s">
        <v>1109</v>
      </c>
      <c r="K652" s="21" t="s">
        <v>1110</v>
      </c>
      <c r="L652" s="22" t="s">
        <v>60</v>
      </c>
      <c r="M652" s="23" t="s">
        <v>77</v>
      </c>
      <c r="N652" s="24" t="s">
        <v>1111</v>
      </c>
      <c r="O652" s="36" t="s">
        <v>1106</v>
      </c>
      <c r="P652" s="26">
        <f ca="1">IFERROR(VLOOKUP(DadosViagem5[[#This Row],[Placa]],[1]BIP!A:E,5,FALSE),"")</f>
        <v>45989</v>
      </c>
      <c r="Q652" s="27">
        <f ca="1">DATEDIF(DadosViagem5[[#This Row],[BIP]],TODAY(),"D")</f>
        <v>1</v>
      </c>
      <c r="R652" s="28" t="str">
        <f>IFERROR(VLOOKUP(DadosViagem5[[#This Row],[Placa]],[1]DDS!B:C,2,FALSE),"Verificar cadastro")</f>
        <v>Operando</v>
      </c>
      <c r="S652" s="29" t="s">
        <v>48</v>
      </c>
      <c r="T652" s="23"/>
      <c r="U652" s="30"/>
      <c r="V652" s="31"/>
      <c r="W652" s="32"/>
      <c r="X652" s="33"/>
      <c r="Y652" s="34"/>
      <c r="Z652" s="32"/>
      <c r="AA652" s="20" t="s">
        <v>49</v>
      </c>
      <c r="AB652" s="20" t="s">
        <v>49</v>
      </c>
      <c r="AC652" s="19" t="s">
        <v>49</v>
      </c>
      <c r="AD652" s="19" t="str">
        <f ca="1">IFERROR(DATEDIF(DadosViagem5[[#This Row],[Utimo Bip Reserva]],TODAY(),"D"),"")</f>
        <v/>
      </c>
      <c r="AE652" s="36"/>
      <c r="AF652" s="25"/>
      <c r="AG652" s="36"/>
      <c r="AH652" s="25">
        <v>45807</v>
      </c>
      <c r="AI652" s="36" t="str">
        <f>IF(DadosViagem5[[#This Row],[Dias em manutenção ]]&lt;5,"Dentro do Prazo","Fora do Prazo")</f>
        <v>Fora do Prazo</v>
      </c>
      <c r="AJ652" s="36" t="e">
        <v>#REF!</v>
      </c>
    </row>
    <row r="653" spans="1:36">
      <c r="A653" s="19" t="s">
        <v>1140</v>
      </c>
      <c r="B653" s="20"/>
      <c r="C653" s="19" t="s">
        <v>131</v>
      </c>
      <c r="D653" s="19" t="s">
        <v>132</v>
      </c>
      <c r="E653" s="19" t="s">
        <v>114</v>
      </c>
      <c r="F653" s="19" t="s">
        <v>115</v>
      </c>
      <c r="G653" s="19"/>
      <c r="H653" s="20">
        <v>2022</v>
      </c>
      <c r="I653" s="19" t="s">
        <v>41</v>
      </c>
      <c r="J653" s="19" t="s">
        <v>1109</v>
      </c>
      <c r="K653" s="21" t="s">
        <v>1110</v>
      </c>
      <c r="L653" s="22" t="s">
        <v>60</v>
      </c>
      <c r="M653" s="23" t="s">
        <v>290</v>
      </c>
      <c r="N653" s="24" t="s">
        <v>1111</v>
      </c>
      <c r="O653" s="36" t="s">
        <v>1106</v>
      </c>
      <c r="P653" s="26">
        <f ca="1">IFERROR(VLOOKUP(DadosViagem5[[#This Row],[Placa]],[1]BIP!A:E,5,FALSE),"")</f>
        <v>45915</v>
      </c>
      <c r="Q653" s="27">
        <f ca="1">DATEDIF(DadosViagem5[[#This Row],[BIP]],TODAY(),"D")</f>
        <v>75</v>
      </c>
      <c r="R653" s="28" t="str">
        <f>IFERROR(VLOOKUP(DadosViagem5[[#This Row],[Placa]],[1]DDS!B:C,2,FALSE),"Verificar cadastro")</f>
        <v>Verificar cadastro</v>
      </c>
      <c r="S653" s="36" t="s">
        <v>574</v>
      </c>
      <c r="T653" s="23"/>
      <c r="U653" s="30"/>
      <c r="V653" s="31"/>
      <c r="W653" s="32" t="s">
        <v>637</v>
      </c>
      <c r="X653" s="33"/>
      <c r="Y653" s="86"/>
      <c r="Z653" s="42"/>
      <c r="AA653" s="20" t="s">
        <v>49</v>
      </c>
      <c r="AB653" s="20" t="s">
        <v>49</v>
      </c>
      <c r="AC653" s="19" t="s">
        <v>49</v>
      </c>
      <c r="AD653" s="19" t="str">
        <f ca="1">IFERROR(DATEDIF(DadosViagem5[[#This Row],[Utimo Bip Reserva]],TODAY(),"D"),"")</f>
        <v/>
      </c>
      <c r="AE653" s="36" t="s">
        <v>1141</v>
      </c>
      <c r="AF653" s="25" t="s">
        <v>49</v>
      </c>
      <c r="AG653" s="36"/>
      <c r="AH653" s="25">
        <v>45807</v>
      </c>
      <c r="AI653" s="36" t="str">
        <f>IF(DadosViagem5[[#This Row],[Dias em manutenção ]]&lt;5,"Dentro do Prazo","Fora do Prazo")</f>
        <v>Fora do Prazo</v>
      </c>
      <c r="AJ653" s="36" t="e">
        <v>#REF!</v>
      </c>
    </row>
    <row r="654" spans="1:36">
      <c r="A654" s="19" t="s">
        <v>1142</v>
      </c>
      <c r="B654" s="20"/>
      <c r="C654" s="19" t="s">
        <v>131</v>
      </c>
      <c r="D654" s="19" t="s">
        <v>132</v>
      </c>
      <c r="E654" s="19" t="s">
        <v>114</v>
      </c>
      <c r="F654" s="19" t="s">
        <v>115</v>
      </c>
      <c r="G654" s="19"/>
      <c r="H654" s="20">
        <v>2022</v>
      </c>
      <c r="I654" s="19" t="s">
        <v>41</v>
      </c>
      <c r="J654" s="19" t="s">
        <v>1109</v>
      </c>
      <c r="K654" s="21" t="s">
        <v>1110</v>
      </c>
      <c r="L654" s="22" t="s">
        <v>60</v>
      </c>
      <c r="M654" s="23" t="s">
        <v>290</v>
      </c>
      <c r="N654" s="36" t="s">
        <v>1111</v>
      </c>
      <c r="O654" s="36" t="s">
        <v>1106</v>
      </c>
      <c r="P654" s="26">
        <f ca="1">IFERROR(VLOOKUP(DadosViagem5[[#This Row],[Placa]],[1]BIP!A:E,5,FALSE),"")</f>
        <v>45989</v>
      </c>
      <c r="Q654" s="27">
        <f ca="1">DATEDIF(DadosViagem5[[#This Row],[BIP]],TODAY(),"D")</f>
        <v>1</v>
      </c>
      <c r="R654" s="28" t="str">
        <f>IFERROR(VLOOKUP(DadosViagem5[[#This Row],[Placa]],[1]DDS!B:C,2,FALSE),"Verificar cadastro")</f>
        <v>Carregado</v>
      </c>
      <c r="S654" s="36" t="s">
        <v>574</v>
      </c>
      <c r="T654" s="23"/>
      <c r="U654" s="30"/>
      <c r="V654" s="31"/>
      <c r="W654" s="32" t="s">
        <v>1143</v>
      </c>
      <c r="X654" s="33"/>
      <c r="Y654" s="34"/>
      <c r="Z654" s="32"/>
      <c r="AA654" s="20" t="s">
        <v>49</v>
      </c>
      <c r="AB654" s="20" t="s">
        <v>49</v>
      </c>
      <c r="AC654" s="19" t="s">
        <v>49</v>
      </c>
      <c r="AD654" s="19" t="str">
        <f ca="1">IFERROR(DATEDIF(DadosViagem5[[#This Row],[Utimo Bip Reserva]],TODAY(),"D"),"")</f>
        <v/>
      </c>
      <c r="AE654" s="23" t="s">
        <v>49</v>
      </c>
      <c r="AF654" s="30" t="s">
        <v>49</v>
      </c>
      <c r="AG654" s="36"/>
      <c r="AH654" s="25">
        <v>45807</v>
      </c>
      <c r="AI654" s="36" t="str">
        <f>IF(DadosViagem5[[#This Row],[Dias em manutenção ]]&lt;5,"Dentro do Prazo","Fora do Prazo")</f>
        <v>Fora do Prazo</v>
      </c>
      <c r="AJ654" s="36" t="e">
        <v>#REF!</v>
      </c>
    </row>
    <row r="655" spans="1:36">
      <c r="A655" s="19" t="s">
        <v>1144</v>
      </c>
      <c r="B655" s="20"/>
      <c r="C655" s="19" t="s">
        <v>74</v>
      </c>
      <c r="D655" s="19" t="s">
        <v>52</v>
      </c>
      <c r="E655" s="19" t="s">
        <v>75</v>
      </c>
      <c r="F655" s="19" t="s">
        <v>76</v>
      </c>
      <c r="G655" s="19"/>
      <c r="H655" s="20">
        <v>2024</v>
      </c>
      <c r="I655" s="37" t="s">
        <v>41</v>
      </c>
      <c r="J655" s="19" t="s">
        <v>1133</v>
      </c>
      <c r="K655" s="21" t="s">
        <v>1134</v>
      </c>
      <c r="L655" s="39" t="s">
        <v>60</v>
      </c>
      <c r="M655" s="23" t="s">
        <v>77</v>
      </c>
      <c r="N655" s="24" t="s">
        <v>1135</v>
      </c>
      <c r="O655" s="36" t="s">
        <v>1136</v>
      </c>
      <c r="P655" s="26">
        <f ca="1">IFERROR(VLOOKUP(DadosViagem5[[#This Row],[Placa]],[1]BIP!A:E,5,FALSE),"")</f>
        <v>45989</v>
      </c>
      <c r="Q655" s="27">
        <f ca="1">DATEDIF(DadosViagem5[[#This Row],[BIP]],TODAY(),"D")</f>
        <v>1</v>
      </c>
      <c r="R655" s="28" t="str">
        <f>IFERROR(VLOOKUP(DadosViagem5[[#This Row],[Placa]],[1]DDS!B:C,2,FALSE),"Verificar cadastro")</f>
        <v>Operando</v>
      </c>
      <c r="S655" s="29" t="s">
        <v>48</v>
      </c>
      <c r="T655" s="23"/>
      <c r="U655" s="30"/>
      <c r="V655" s="31"/>
      <c r="W655" s="32"/>
      <c r="X655" s="33"/>
      <c r="Y655" s="34"/>
      <c r="Z655" s="32"/>
      <c r="AA655" s="20" t="s">
        <v>49</v>
      </c>
      <c r="AB655" s="20" t="s">
        <v>49</v>
      </c>
      <c r="AC655" s="19" t="s">
        <v>49</v>
      </c>
      <c r="AD655" s="19" t="str">
        <f ca="1">IFERROR(DATEDIF(DadosViagem5[[#This Row],[Utimo Bip Reserva]],TODAY(),"D"),"")</f>
        <v/>
      </c>
      <c r="AE655" s="36"/>
      <c r="AF655" s="25"/>
      <c r="AG655" s="36"/>
      <c r="AH655" s="25">
        <v>45807</v>
      </c>
      <c r="AI655" s="36" t="str">
        <f>IF(DadosViagem5[[#This Row],[Dias em manutenção ]]&lt;5,"Dentro do Prazo","Fora do Prazo")</f>
        <v>Fora do Prazo</v>
      </c>
      <c r="AJ655" s="36" t="e">
        <v>#REF!</v>
      </c>
    </row>
    <row r="656" spans="1:36">
      <c r="A656" s="19" t="s">
        <v>1145</v>
      </c>
      <c r="B656" s="20"/>
      <c r="C656" s="19" t="s">
        <v>74</v>
      </c>
      <c r="D656" s="19" t="s">
        <v>52</v>
      </c>
      <c r="E656" s="19" t="s">
        <v>75</v>
      </c>
      <c r="F656" s="19" t="s">
        <v>76</v>
      </c>
      <c r="G656" s="19"/>
      <c r="H656" s="20">
        <v>2024</v>
      </c>
      <c r="I656" s="37" t="s">
        <v>41</v>
      </c>
      <c r="J656" s="19" t="s">
        <v>1133</v>
      </c>
      <c r="K656" s="21" t="s">
        <v>1134</v>
      </c>
      <c r="L656" s="39" t="s">
        <v>60</v>
      </c>
      <c r="M656" s="23" t="s">
        <v>77</v>
      </c>
      <c r="N656" s="24" t="s">
        <v>1135</v>
      </c>
      <c r="O656" s="36" t="s">
        <v>1136</v>
      </c>
      <c r="P656" s="26">
        <f ca="1">IFERROR(VLOOKUP(DadosViagem5[[#This Row],[Placa]],[1]BIP!A:E,5,FALSE),"")</f>
        <v>45986</v>
      </c>
      <c r="Q656" s="27">
        <f ca="1">DATEDIF(DadosViagem5[[#This Row],[BIP]],TODAY(),"D")</f>
        <v>4</v>
      </c>
      <c r="R656" s="28" t="str">
        <f>IFERROR(VLOOKUP(DadosViagem5[[#This Row],[Placa]],[1]DDS!B:C,2,FALSE),"Verificar cadastro")</f>
        <v> </v>
      </c>
      <c r="S656" s="29" t="s">
        <v>48</v>
      </c>
      <c r="T656" s="23"/>
      <c r="U656" s="30"/>
      <c r="V656" s="31"/>
      <c r="W656" s="32"/>
      <c r="X656" s="33"/>
      <c r="Y656" s="34"/>
      <c r="Z656" s="32"/>
      <c r="AA656" s="20" t="s">
        <v>49</v>
      </c>
      <c r="AB656" s="20" t="s">
        <v>49</v>
      </c>
      <c r="AC656" s="19" t="s">
        <v>49</v>
      </c>
      <c r="AD656" s="19" t="str">
        <f ca="1">IFERROR(DATEDIF(DadosViagem5[[#This Row],[Utimo Bip Reserva]],TODAY(),"D"),"")</f>
        <v/>
      </c>
      <c r="AE656" s="36"/>
      <c r="AF656" s="25"/>
      <c r="AG656" s="36"/>
      <c r="AH656" s="25">
        <v>45807</v>
      </c>
      <c r="AI656" s="36" t="str">
        <f>IF(DadosViagem5[[#This Row],[Dias em manutenção ]]&lt;5,"Dentro do Prazo","Fora do Prazo")</f>
        <v>Fora do Prazo</v>
      </c>
      <c r="AJ656" s="36" t="e">
        <v>#REF!</v>
      </c>
    </row>
    <row r="657" spans="1:36">
      <c r="A657" s="19" t="s">
        <v>1146</v>
      </c>
      <c r="B657" s="20"/>
      <c r="C657" s="19" t="s">
        <v>88</v>
      </c>
      <c r="D657" s="19" t="s">
        <v>52</v>
      </c>
      <c r="E657" s="19" t="s">
        <v>57</v>
      </c>
      <c r="F657" s="19" t="s">
        <v>40</v>
      </c>
      <c r="G657" s="19"/>
      <c r="H657" s="20">
        <v>2023</v>
      </c>
      <c r="I657" s="19" t="s">
        <v>41</v>
      </c>
      <c r="J657" s="19" t="s">
        <v>1109</v>
      </c>
      <c r="K657" s="21" t="s">
        <v>1110</v>
      </c>
      <c r="L657" s="22" t="s">
        <v>60</v>
      </c>
      <c r="M657" s="23" t="s">
        <v>290</v>
      </c>
      <c r="N657" s="36" t="s">
        <v>1111</v>
      </c>
      <c r="O657" s="36" t="s">
        <v>1106</v>
      </c>
      <c r="P657" s="26">
        <f ca="1">IFERROR(VLOOKUP(DadosViagem5[[#This Row],[Placa]],[1]BIP!A:E,5,FALSE),"")</f>
        <v>0</v>
      </c>
      <c r="Q657" s="27">
        <f ca="1">DATEDIF(DadosViagem5[[#This Row],[BIP]],TODAY(),"D")</f>
        <v>45990</v>
      </c>
      <c r="R657" s="28" t="str">
        <f>IFERROR(VLOOKUP(DadosViagem5[[#This Row],[Placa]],[1]DDS!B:C,2,FALSE),"Verificar cadastro")</f>
        <v> </v>
      </c>
      <c r="S657" s="29" t="s">
        <v>173</v>
      </c>
      <c r="T657" s="23"/>
      <c r="U657" s="30"/>
      <c r="V657" s="31"/>
      <c r="W657" s="116" t="s">
        <v>1107</v>
      </c>
      <c r="X657" s="33"/>
      <c r="Y657" s="34"/>
      <c r="Z657" s="32"/>
      <c r="AA657" s="20" t="s">
        <v>49</v>
      </c>
      <c r="AB657" s="20" t="s">
        <v>49</v>
      </c>
      <c r="AC657" s="19" t="s">
        <v>49</v>
      </c>
      <c r="AD657" s="19" t="str">
        <f ca="1">IFERROR(DATEDIF(DadosViagem5[[#This Row],[Utimo Bip Reserva]],TODAY(),"D"),"")</f>
        <v/>
      </c>
      <c r="AE657" s="25" t="s">
        <v>49</v>
      </c>
      <c r="AF657" s="25" t="s">
        <v>49</v>
      </c>
      <c r="AG657" s="36" t="s">
        <v>290</v>
      </c>
      <c r="AH657" s="25">
        <v>45807</v>
      </c>
      <c r="AI657" s="36" t="str">
        <f>IF(DadosViagem5[[#This Row],[Dias em manutenção ]]&lt;5,"Dentro do Prazo","Fora do Prazo")</f>
        <v>Fora do Prazo</v>
      </c>
      <c r="AJ657" s="36" t="e">
        <v>#REF!</v>
      </c>
    </row>
    <row r="658" spans="1:36">
      <c r="A658" s="19" t="s">
        <v>1147</v>
      </c>
      <c r="B658" s="20"/>
      <c r="C658" s="19" t="s">
        <v>74</v>
      </c>
      <c r="D658" s="19" t="s">
        <v>52</v>
      </c>
      <c r="E658" s="19" t="s">
        <v>75</v>
      </c>
      <c r="F658" s="19" t="s">
        <v>76</v>
      </c>
      <c r="G658" s="19"/>
      <c r="H658" s="20">
        <v>2024</v>
      </c>
      <c r="I658" s="37" t="s">
        <v>41</v>
      </c>
      <c r="J658" s="19" t="s">
        <v>1133</v>
      </c>
      <c r="K658" s="21" t="s">
        <v>1134</v>
      </c>
      <c r="L658" s="39" t="s">
        <v>60</v>
      </c>
      <c r="M658" s="23" t="s">
        <v>77</v>
      </c>
      <c r="N658" s="24" t="s">
        <v>1135</v>
      </c>
      <c r="O658" s="36" t="s">
        <v>1136</v>
      </c>
      <c r="P658" s="26">
        <v>45952</v>
      </c>
      <c r="Q658" s="27">
        <v>0</v>
      </c>
      <c r="R658" s="28" t="s">
        <v>1137</v>
      </c>
      <c r="S658" s="29" t="s">
        <v>48</v>
      </c>
      <c r="T658" s="23"/>
      <c r="U658" s="30"/>
      <c r="V658" s="31"/>
      <c r="W658" s="32"/>
      <c r="X658" s="33"/>
      <c r="Y658" s="34"/>
      <c r="Z658" s="32"/>
      <c r="AA658" s="20" t="s">
        <v>49</v>
      </c>
      <c r="AB658" s="20" t="s">
        <v>49</v>
      </c>
      <c r="AC658" s="19" t="s">
        <v>49</v>
      </c>
      <c r="AD658" s="19" t="str">
        <f ca="1">IFERROR(DATEDIF(DadosViagem5[[#This Row],[Utimo Bip Reserva]],TODAY(),"D"),"")</f>
        <v/>
      </c>
      <c r="AE658" s="36"/>
      <c r="AF658" s="25"/>
      <c r="AG658" s="36"/>
      <c r="AH658" s="25">
        <v>45807</v>
      </c>
      <c r="AI658" s="36" t="str">
        <f>IF(DadosViagem5[[#This Row],[Dias em manutenção ]]&lt;5,"Dentro do Prazo","Fora do Prazo")</f>
        <v>Fora do Prazo</v>
      </c>
      <c r="AJ658" s="36" t="e">
        <v>#REF!</v>
      </c>
    </row>
    <row r="659" spans="1:36">
      <c r="A659" s="19" t="s">
        <v>1148</v>
      </c>
      <c r="B659" s="20"/>
      <c r="C659" s="19" t="s">
        <v>88</v>
      </c>
      <c r="D659" s="19" t="s">
        <v>52</v>
      </c>
      <c r="E659" s="19" t="s">
        <v>114</v>
      </c>
      <c r="F659" s="19" t="s">
        <v>115</v>
      </c>
      <c r="G659" s="19"/>
      <c r="H659" s="20">
        <v>2022</v>
      </c>
      <c r="I659" s="19" t="s">
        <v>1040</v>
      </c>
      <c r="J659" s="19" t="s">
        <v>1149</v>
      </c>
      <c r="K659" s="21" t="s">
        <v>1150</v>
      </c>
      <c r="L659" s="22" t="s">
        <v>60</v>
      </c>
      <c r="M659" s="23" t="s">
        <v>45</v>
      </c>
      <c r="N659" s="36" t="s">
        <v>1151</v>
      </c>
      <c r="O659" s="36" t="s">
        <v>1152</v>
      </c>
      <c r="P659" s="26">
        <f ca="1">IFERROR(VLOOKUP(DadosViagem5[[#This Row],[Placa]],[1]BIP!A:E,5,FALSE),"")</f>
        <v>45989</v>
      </c>
      <c r="Q659" s="27">
        <f ca="1">DATEDIF(DadosViagem5[[#This Row],[BIP]],TODAY(),"D")</f>
        <v>1</v>
      </c>
      <c r="R659" s="28" t="str">
        <f>IFERROR(VLOOKUP(DadosViagem5[[#This Row],[Placa]],[1]DDS!B:C,2,FALSE),"Verificar cadastro")</f>
        <v>Operando</v>
      </c>
      <c r="S659" s="36" t="s">
        <v>35</v>
      </c>
      <c r="T659" s="23"/>
      <c r="U659" s="30"/>
      <c r="V659" s="31"/>
      <c r="W659" s="32" t="s">
        <v>1153</v>
      </c>
      <c r="X659" s="33"/>
      <c r="Y659" s="34" t="s">
        <v>49</v>
      </c>
      <c r="Z659" s="32"/>
      <c r="AA659" s="20" t="s">
        <v>49</v>
      </c>
      <c r="AB659" s="20" t="s">
        <v>49</v>
      </c>
      <c r="AC659" s="19" t="s">
        <v>49</v>
      </c>
      <c r="AD659" s="19" t="str">
        <f ca="1">IFERROR(DATEDIF(DadosViagem5[[#This Row],[Utimo Bip Reserva]],TODAY(),"D"),"")</f>
        <v/>
      </c>
      <c r="AE659" s="36" t="s">
        <v>49</v>
      </c>
      <c r="AF659" s="25" t="s">
        <v>49</v>
      </c>
      <c r="AG659" s="36"/>
      <c r="AH659" s="25">
        <v>45807</v>
      </c>
      <c r="AI659" s="36" t="str">
        <f>IF(DadosViagem5[[#This Row],[Dias em manutenção ]]&lt;5,"Dentro do Prazo","Fora do Prazo")</f>
        <v>Fora do Prazo</v>
      </c>
      <c r="AJ659" s="36" t="e">
        <v>#REF!</v>
      </c>
    </row>
    <row r="660" spans="1:36">
      <c r="A660" s="19" t="s">
        <v>1154</v>
      </c>
      <c r="B660" s="20"/>
      <c r="C660" s="19" t="s">
        <v>131</v>
      </c>
      <c r="D660" s="19" t="s">
        <v>132</v>
      </c>
      <c r="E660" s="19" t="s">
        <v>894</v>
      </c>
      <c r="F660" s="19" t="s">
        <v>115</v>
      </c>
      <c r="G660" s="19"/>
      <c r="H660" s="20">
        <v>2022</v>
      </c>
      <c r="I660" s="19" t="s">
        <v>1040</v>
      </c>
      <c r="J660" s="19" t="s">
        <v>1149</v>
      </c>
      <c r="K660" s="21" t="s">
        <v>1150</v>
      </c>
      <c r="L660" s="22" t="s">
        <v>60</v>
      </c>
      <c r="M660" s="23" t="s">
        <v>45</v>
      </c>
      <c r="N660" s="36" t="s">
        <v>1151</v>
      </c>
      <c r="O660" s="36" t="s">
        <v>1152</v>
      </c>
      <c r="P660" s="26">
        <f ca="1">IFERROR(VLOOKUP(DadosViagem5[[#This Row],[Placa]],[1]BIP!A:E,5,FALSE),"")</f>
        <v>45848</v>
      </c>
      <c r="Q660" s="27">
        <f ca="1">DATEDIF(DadosViagem5[[#This Row],[BIP]],TODAY(),"D")</f>
        <v>142</v>
      </c>
      <c r="R660" s="28" t="str">
        <f>IFERROR(VLOOKUP(DadosViagem5[[#This Row],[Placa]],[1]DDS!B:C,2,FALSE),"Verificar cadastro")</f>
        <v>Verificar cadastro</v>
      </c>
      <c r="S660" s="29" t="s">
        <v>35</v>
      </c>
      <c r="T660" s="23">
        <v>6838378</v>
      </c>
      <c r="U660" s="30">
        <v>45848</v>
      </c>
      <c r="V660" s="31">
        <v>45848</v>
      </c>
      <c r="W660" s="32" t="s">
        <v>1155</v>
      </c>
      <c r="X660" s="57" t="s">
        <v>188</v>
      </c>
      <c r="Y660" s="34" t="s">
        <v>159</v>
      </c>
      <c r="Z660" s="58" t="s">
        <v>1156</v>
      </c>
      <c r="AA660" s="20" t="s">
        <v>49</v>
      </c>
      <c r="AB660" s="20" t="s">
        <v>49</v>
      </c>
      <c r="AC660" s="20" t="s">
        <v>49</v>
      </c>
      <c r="AD660" s="20" t="s">
        <v>49</v>
      </c>
      <c r="AE660" s="30" t="s">
        <v>1157</v>
      </c>
      <c r="AF660" s="25" t="s">
        <v>49</v>
      </c>
      <c r="AG660" s="23"/>
      <c r="AH660" s="25">
        <v>48</v>
      </c>
      <c r="AI660" s="36" t="str">
        <f>IF(DadosViagem5[[#This Row],[Dias em manutenção ]]&lt;5,"Dentro do Prazo","Fora do Prazo")</f>
        <v>Fora do Prazo</v>
      </c>
      <c r="AJ660" s="36" t="e">
        <v>#REF!</v>
      </c>
    </row>
    <row r="661" spans="1:36">
      <c r="A661" s="19" t="s">
        <v>1158</v>
      </c>
      <c r="B661" s="20"/>
      <c r="C661" s="19" t="s">
        <v>671</v>
      </c>
      <c r="D661" s="19" t="s">
        <v>132</v>
      </c>
      <c r="E661" s="19" t="s">
        <v>114</v>
      </c>
      <c r="F661" s="19" t="s">
        <v>115</v>
      </c>
      <c r="G661" s="19"/>
      <c r="H661" s="20">
        <v>2022</v>
      </c>
      <c r="I661" s="19" t="s">
        <v>1040</v>
      </c>
      <c r="J661" s="19" t="s">
        <v>1149</v>
      </c>
      <c r="K661" s="21" t="s">
        <v>1150</v>
      </c>
      <c r="L661" s="22" t="s">
        <v>60</v>
      </c>
      <c r="M661" s="23" t="s">
        <v>45</v>
      </c>
      <c r="N661" s="36" t="s">
        <v>1151</v>
      </c>
      <c r="O661" s="36" t="s">
        <v>1152</v>
      </c>
      <c r="P661" s="26">
        <f ca="1">IFERROR(VLOOKUP(DadosViagem5[[#This Row],[Placa]],[1]BIP!A:E,5,FALSE),"")</f>
        <v>45766</v>
      </c>
      <c r="Q661" s="27">
        <f ca="1">DATEDIF(DadosViagem5[[#This Row],[BIP]],TODAY(),"D")</f>
        <v>224</v>
      </c>
      <c r="R661" s="28" t="str">
        <f>IFERROR(VLOOKUP(DadosViagem5[[#This Row],[Placa]],[1]DDS!B:C,2,FALSE),"Verificar cadastro")</f>
        <v>Manutenção</v>
      </c>
      <c r="S661" s="36" t="s">
        <v>186</v>
      </c>
      <c r="T661" s="23"/>
      <c r="U661" s="30"/>
      <c r="V661" s="31">
        <v>45766</v>
      </c>
      <c r="W661" s="32" t="s">
        <v>1159</v>
      </c>
      <c r="X661" s="57" t="s">
        <v>188</v>
      </c>
      <c r="Y661" s="86">
        <v>45936</v>
      </c>
      <c r="Z661" s="58" t="s">
        <v>1160</v>
      </c>
      <c r="AA661" s="20" t="s">
        <v>49</v>
      </c>
      <c r="AB661" s="20" t="s">
        <v>49</v>
      </c>
      <c r="AC661" s="19" t="s">
        <v>49</v>
      </c>
      <c r="AD661" s="19" t="str">
        <f ca="1">IFERROR(DATEDIF(DadosViagem5[[#This Row],[Utimo Bip Reserva]],TODAY(),"D"),"")</f>
        <v/>
      </c>
      <c r="AE661" s="36"/>
      <c r="AF661" s="25" t="s">
        <v>49</v>
      </c>
      <c r="AG661" s="23"/>
      <c r="AH661" s="25">
        <v>41</v>
      </c>
      <c r="AI661" s="36" t="str">
        <f>IF(DadosViagem5[[#This Row],[Dias em manutenção ]]&lt;5,"Dentro do Prazo","Fora do Prazo")</f>
        <v>Fora do Prazo</v>
      </c>
      <c r="AJ661" s="36" t="e">
        <v>#REF!</v>
      </c>
    </row>
    <row r="662" spans="1:36">
      <c r="A662" s="19" t="s">
        <v>1161</v>
      </c>
      <c r="B662" s="20"/>
      <c r="C662" s="19" t="s">
        <v>671</v>
      </c>
      <c r="D662" s="19" t="s">
        <v>132</v>
      </c>
      <c r="E662" s="19" t="s">
        <v>114</v>
      </c>
      <c r="F662" s="19" t="s">
        <v>115</v>
      </c>
      <c r="G662" s="19"/>
      <c r="H662" s="20">
        <v>2022</v>
      </c>
      <c r="I662" s="19" t="s">
        <v>1040</v>
      </c>
      <c r="J662" s="19" t="s">
        <v>1149</v>
      </c>
      <c r="K662" s="21" t="s">
        <v>1150</v>
      </c>
      <c r="L662" s="22" t="s">
        <v>60</v>
      </c>
      <c r="M662" s="23" t="s">
        <v>45</v>
      </c>
      <c r="N662" s="36" t="s">
        <v>1151</v>
      </c>
      <c r="O662" s="36" t="s">
        <v>1152</v>
      </c>
      <c r="P662" s="26">
        <f ca="1">IFERROR(VLOOKUP(DadosViagem5[[#This Row],[Placa]],[1]BIP!A:E,5,FALSE),"")</f>
        <v>45940</v>
      </c>
      <c r="Q662" s="27">
        <f ca="1">DATEDIF(DadosViagem5[[#This Row],[BIP]],TODAY(),"D")</f>
        <v>50</v>
      </c>
      <c r="R662" s="28" t="str">
        <f>IFERROR(VLOOKUP(DadosViagem5[[#This Row],[Placa]],[1]DDS!B:C,2,FALSE),"Verificar cadastro")</f>
        <v> </v>
      </c>
      <c r="S662" s="29" t="s">
        <v>48</v>
      </c>
      <c r="T662" s="23"/>
      <c r="U662" s="30"/>
      <c r="V662" s="31"/>
      <c r="W662" s="32"/>
      <c r="X662" s="33"/>
      <c r="Y662" s="34"/>
      <c r="Z662" s="42"/>
      <c r="AA662" s="20" t="s">
        <v>49</v>
      </c>
      <c r="AB662" s="20" t="s">
        <v>49</v>
      </c>
      <c r="AC662" s="19" t="s">
        <v>49</v>
      </c>
      <c r="AD662" s="19" t="str">
        <f ca="1">IFERROR(DATEDIF(DadosViagem5[[#This Row],[Utimo Bip Reserva]],TODAY(),"D"),"")</f>
        <v/>
      </c>
      <c r="AE662" s="36" t="s">
        <v>49</v>
      </c>
      <c r="AF662" s="25" t="s">
        <v>49</v>
      </c>
      <c r="AG662" s="36"/>
      <c r="AH662" s="25">
        <v>61</v>
      </c>
      <c r="AI662" s="36" t="str">
        <f>IF(DadosViagem5[[#This Row],[Dias em manutenção ]]&lt;5,"Dentro do Prazo","Fora do Prazo")</f>
        <v>Fora do Prazo</v>
      </c>
      <c r="AJ662" s="36" t="e">
        <v>#REF!</v>
      </c>
    </row>
    <row r="663" spans="1:36">
      <c r="A663" s="19" t="s">
        <v>1162</v>
      </c>
      <c r="B663" s="20"/>
      <c r="C663" s="19" t="s">
        <v>88</v>
      </c>
      <c r="D663" s="19" t="s">
        <v>52</v>
      </c>
      <c r="E663" s="19" t="s">
        <v>114</v>
      </c>
      <c r="F663" s="19" t="s">
        <v>115</v>
      </c>
      <c r="G663" s="19"/>
      <c r="H663" s="20">
        <v>2021</v>
      </c>
      <c r="I663" s="19" t="s">
        <v>1040</v>
      </c>
      <c r="J663" s="19" t="s">
        <v>1149</v>
      </c>
      <c r="K663" s="21" t="s">
        <v>1150</v>
      </c>
      <c r="L663" s="22" t="s">
        <v>60</v>
      </c>
      <c r="M663" s="23" t="s">
        <v>45</v>
      </c>
      <c r="N663" s="36" t="s">
        <v>1151</v>
      </c>
      <c r="O663" s="36" t="s">
        <v>1152</v>
      </c>
      <c r="P663" s="26">
        <f ca="1">IFERROR(VLOOKUP(DadosViagem5[[#This Row],[Placa]],[1]BIP!A:E,5,FALSE),"")</f>
        <v>45810</v>
      </c>
      <c r="Q663" s="27">
        <f ca="1">DATEDIF(DadosViagem5[[#This Row],[BIP]],TODAY(),"D")</f>
        <v>180</v>
      </c>
      <c r="R663" s="28" t="str">
        <f>IFERROR(VLOOKUP(DadosViagem5[[#This Row],[Placa]],[1]DDS!B:C,2,FALSE),"Verificar cadastro")</f>
        <v>Verificar cadastro</v>
      </c>
      <c r="S663" s="29" t="s">
        <v>48</v>
      </c>
      <c r="T663" s="23"/>
      <c r="U663" s="30"/>
      <c r="V663" s="31"/>
      <c r="W663" s="32" t="s">
        <v>1163</v>
      </c>
      <c r="X663" s="33"/>
      <c r="Y663" s="34"/>
      <c r="Z663" s="42"/>
      <c r="AA663" s="117" t="s">
        <v>49</v>
      </c>
      <c r="AB663" s="20" t="s">
        <v>49</v>
      </c>
      <c r="AC663" s="19" t="s">
        <v>49</v>
      </c>
      <c r="AD663" s="19" t="str">
        <f ca="1">IFERROR(DATEDIF(DadosViagem5[[#This Row],[Utimo Bip Reserva]],TODAY(),"D"),"")</f>
        <v/>
      </c>
      <c r="AE663" s="23"/>
      <c r="AF663" s="25" t="s">
        <v>49</v>
      </c>
      <c r="AG663" s="36"/>
      <c r="AH663" s="25">
        <v>45807</v>
      </c>
      <c r="AI663" s="36" t="str">
        <f>IF(DadosViagem5[[#This Row],[Dias em manutenção ]]&lt;5,"Dentro do Prazo","Fora do Prazo")</f>
        <v>Fora do Prazo</v>
      </c>
      <c r="AJ663" s="36" t="e">
        <v>#REF!</v>
      </c>
    </row>
    <row r="664" spans="1:36">
      <c r="A664" s="19" t="s">
        <v>1164</v>
      </c>
      <c r="B664" s="20"/>
      <c r="C664" s="19" t="s">
        <v>88</v>
      </c>
      <c r="D664" s="19" t="s">
        <v>52</v>
      </c>
      <c r="E664" s="19" t="s">
        <v>114</v>
      </c>
      <c r="F664" s="19" t="s">
        <v>115</v>
      </c>
      <c r="G664" s="19"/>
      <c r="H664" s="20">
        <v>2021</v>
      </c>
      <c r="I664" s="19" t="s">
        <v>1040</v>
      </c>
      <c r="J664" s="19" t="s">
        <v>1149</v>
      </c>
      <c r="K664" s="21" t="s">
        <v>1150</v>
      </c>
      <c r="L664" s="22" t="s">
        <v>60</v>
      </c>
      <c r="M664" s="23" t="s">
        <v>45</v>
      </c>
      <c r="N664" s="36" t="s">
        <v>1151</v>
      </c>
      <c r="O664" s="36" t="s">
        <v>1152</v>
      </c>
      <c r="P664" s="26">
        <f ca="1">IFERROR(VLOOKUP(DadosViagem5[[#This Row],[Placa]],[1]BIP!A:E,5,FALSE),"")</f>
        <v>45946</v>
      </c>
      <c r="Q664" s="27">
        <f ca="1">DATEDIF(DadosViagem5[[#This Row],[BIP]],TODAY(),"D")</f>
        <v>44</v>
      </c>
      <c r="R664" s="28" t="str">
        <f>IFERROR(VLOOKUP(DadosViagem5[[#This Row],[Placa]],[1]DDS!B:C,2,FALSE),"Verificar cadastro")</f>
        <v> </v>
      </c>
      <c r="S664" s="36" t="s">
        <v>35</v>
      </c>
      <c r="T664" s="23"/>
      <c r="U664" s="30"/>
      <c r="V664" s="31"/>
      <c r="W664" s="32" t="s">
        <v>1153</v>
      </c>
      <c r="X664" s="33"/>
      <c r="Y664" s="34"/>
      <c r="Z664" s="32"/>
      <c r="AA664" s="20" t="s">
        <v>49</v>
      </c>
      <c r="AB664" s="20" t="s">
        <v>49</v>
      </c>
      <c r="AC664" s="19" t="s">
        <v>49</v>
      </c>
      <c r="AD664" s="19" t="str">
        <f ca="1">IFERROR(DATEDIF(DadosViagem5[[#This Row],[Utimo Bip Reserva]],TODAY(),"D"),"")</f>
        <v/>
      </c>
      <c r="AE664" s="36" t="s">
        <v>49</v>
      </c>
      <c r="AF664" s="25" t="s">
        <v>49</v>
      </c>
      <c r="AG664" s="36"/>
      <c r="AH664" s="25">
        <v>45807</v>
      </c>
      <c r="AI664" s="36" t="str">
        <f>IF(DadosViagem5[[#This Row],[Dias em manutenção ]]&lt;5,"Dentro do Prazo","Fora do Prazo")</f>
        <v>Fora do Prazo</v>
      </c>
      <c r="AJ664" s="36" t="e">
        <v>#REF!</v>
      </c>
    </row>
    <row r="665" spans="1:36">
      <c r="A665" s="19" t="s">
        <v>1165</v>
      </c>
      <c r="B665" s="20"/>
      <c r="C665" s="19" t="s">
        <v>88</v>
      </c>
      <c r="D665" s="19" t="s">
        <v>52</v>
      </c>
      <c r="E665" s="19" t="s">
        <v>114</v>
      </c>
      <c r="F665" s="19" t="s">
        <v>115</v>
      </c>
      <c r="G665" s="19"/>
      <c r="H665" s="20">
        <v>2021</v>
      </c>
      <c r="I665" s="19" t="s">
        <v>1040</v>
      </c>
      <c r="J665" s="19" t="s">
        <v>1149</v>
      </c>
      <c r="K665" s="21" t="s">
        <v>1150</v>
      </c>
      <c r="L665" s="22" t="s">
        <v>60</v>
      </c>
      <c r="M665" s="23" t="s">
        <v>45</v>
      </c>
      <c r="N665" s="24" t="s">
        <v>1151</v>
      </c>
      <c r="O665" s="36" t="s">
        <v>1152</v>
      </c>
      <c r="P665" s="26">
        <f ca="1">IFERROR(VLOOKUP(DadosViagem5[[#This Row],[Placa]],[1]BIP!A:E,5,FALSE),"")</f>
        <v>45956</v>
      </c>
      <c r="Q665" s="27">
        <f ca="1">DATEDIF(DadosViagem5[[#This Row],[BIP]],TODAY(),"D")</f>
        <v>34</v>
      </c>
      <c r="R665" s="28" t="str">
        <f>IFERROR(VLOOKUP(DadosViagem5[[#This Row],[Placa]],[1]DDS!B:C,2,FALSE),"Verificar cadastro")</f>
        <v> </v>
      </c>
      <c r="S665" s="29" t="s">
        <v>173</v>
      </c>
      <c r="T665" s="23"/>
      <c r="U665" s="30"/>
      <c r="V665" s="31"/>
      <c r="W665" s="32"/>
      <c r="X665" s="33"/>
      <c r="Y665" s="34"/>
      <c r="Z665" s="32"/>
      <c r="AA665" s="20" t="s">
        <v>49</v>
      </c>
      <c r="AB665" s="20" t="s">
        <v>49</v>
      </c>
      <c r="AC665" s="19" t="s">
        <v>49</v>
      </c>
      <c r="AD665" s="19" t="str">
        <f ca="1">IFERROR(DATEDIF(DadosViagem5[[#This Row],[Utimo Bip Reserva]],TODAY(),"D"),"")</f>
        <v/>
      </c>
      <c r="AE665" s="23"/>
      <c r="AF665" s="30" t="s">
        <v>49</v>
      </c>
      <c r="AG665" s="23"/>
      <c r="AH665" s="25">
        <v>41</v>
      </c>
      <c r="AI665" s="36" t="str">
        <f>IF(DadosViagem5[[#This Row],[Dias em manutenção ]]&lt;5,"Dentro do Prazo","Fora do Prazo")</f>
        <v>Fora do Prazo</v>
      </c>
      <c r="AJ665" s="36" t="e">
        <v>#REF!</v>
      </c>
    </row>
    <row r="666" spans="1:36">
      <c r="A666" s="19" t="s">
        <v>1166</v>
      </c>
      <c r="B666" s="20"/>
      <c r="C666" s="19" t="s">
        <v>131</v>
      </c>
      <c r="D666" s="19" t="s">
        <v>132</v>
      </c>
      <c r="E666" s="19" t="s">
        <v>894</v>
      </c>
      <c r="F666" s="19" t="s">
        <v>115</v>
      </c>
      <c r="G666" s="19"/>
      <c r="H666" s="20">
        <v>2022</v>
      </c>
      <c r="I666" s="19" t="s">
        <v>1040</v>
      </c>
      <c r="J666" s="19" t="s">
        <v>1149</v>
      </c>
      <c r="K666" s="21" t="s">
        <v>1150</v>
      </c>
      <c r="L666" s="22" t="s">
        <v>60</v>
      </c>
      <c r="M666" s="23" t="s">
        <v>45</v>
      </c>
      <c r="N666" s="36" t="s">
        <v>1151</v>
      </c>
      <c r="O666" s="36" t="s">
        <v>1152</v>
      </c>
      <c r="P666" s="26">
        <f ca="1">IFERROR(VLOOKUP(DadosViagem5[[#This Row],[Placa]],[1]BIP!A:E,5,FALSE),"")</f>
        <v>45987</v>
      </c>
      <c r="Q666" s="27">
        <f ca="1">DATEDIF(DadosViagem5[[#This Row],[BIP]],TODAY(),"D")</f>
        <v>3</v>
      </c>
      <c r="R666" s="28" t="str">
        <f>IFERROR(VLOOKUP(DadosViagem5[[#This Row],[Placa]],[1]DDS!B:C,2,FALSE),"Verificar cadastro")</f>
        <v> </v>
      </c>
      <c r="S666" s="29" t="s">
        <v>48</v>
      </c>
      <c r="T666" s="23"/>
      <c r="U666" s="30"/>
      <c r="V666" s="31"/>
      <c r="W666" s="32"/>
      <c r="X666" s="33"/>
      <c r="Y666" s="34"/>
      <c r="Z666" s="32"/>
      <c r="AA666" s="20" t="s">
        <v>49</v>
      </c>
      <c r="AB666" s="20" t="s">
        <v>49</v>
      </c>
      <c r="AC666" s="19" t="s">
        <v>49</v>
      </c>
      <c r="AD666" s="19" t="str">
        <f ca="1">IFERROR(DATEDIF(DadosViagem5[[#This Row],[Utimo Bip Reserva]],TODAY(),"D"),"")</f>
        <v/>
      </c>
      <c r="AE666" s="25" t="s">
        <v>1167</v>
      </c>
      <c r="AF666" s="25" t="s">
        <v>49</v>
      </c>
      <c r="AG666" s="23"/>
      <c r="AH666" s="25">
        <v>45807</v>
      </c>
      <c r="AI666" s="36" t="str">
        <f>IF(DadosViagem5[[#This Row],[Dias em manutenção ]]&lt;5,"Dentro do Prazo","Fora do Prazo")</f>
        <v>Fora do Prazo</v>
      </c>
      <c r="AJ666" s="36" t="e">
        <v>#REF!</v>
      </c>
    </row>
    <row r="667" spans="1:36">
      <c r="A667" s="19" t="s">
        <v>1168</v>
      </c>
      <c r="B667" s="20"/>
      <c r="C667" s="19" t="s">
        <v>88</v>
      </c>
      <c r="D667" s="19" t="s">
        <v>52</v>
      </c>
      <c r="E667" s="19" t="s">
        <v>114</v>
      </c>
      <c r="F667" s="19" t="s">
        <v>115</v>
      </c>
      <c r="G667" s="19"/>
      <c r="H667" s="20">
        <v>2021</v>
      </c>
      <c r="I667" s="19" t="s">
        <v>1040</v>
      </c>
      <c r="J667" s="19" t="s">
        <v>1149</v>
      </c>
      <c r="K667" s="118" t="s">
        <v>1150</v>
      </c>
      <c r="L667" s="22" t="s">
        <v>60</v>
      </c>
      <c r="M667" s="23" t="s">
        <v>45</v>
      </c>
      <c r="N667" s="36" t="s">
        <v>1151</v>
      </c>
      <c r="O667" s="36" t="s">
        <v>1152</v>
      </c>
      <c r="P667" s="26">
        <f ca="1">IFERROR(VLOOKUP(DadosViagem5[[#This Row],[Placa]],[1]BIP!A:E,5,FALSE),"")</f>
        <v>45953</v>
      </c>
      <c r="Q667" s="27">
        <f ca="1">DATEDIF(DadosViagem5[[#This Row],[BIP]],TODAY(),"D")</f>
        <v>37</v>
      </c>
      <c r="R667" s="28" t="str">
        <f>IFERROR(VLOOKUP(DadosViagem5[[#This Row],[Placa]],[1]DDS!B:C,2,FALSE),"Verificar cadastro")</f>
        <v> </v>
      </c>
      <c r="S667" s="36" t="s">
        <v>35</v>
      </c>
      <c r="T667" s="23"/>
      <c r="U667" s="30"/>
      <c r="V667" s="31"/>
      <c r="W667" s="32" t="s">
        <v>1045</v>
      </c>
      <c r="X667" s="33"/>
      <c r="Y667" s="34"/>
      <c r="Z667" s="32"/>
      <c r="AA667" s="20" t="s">
        <v>49</v>
      </c>
      <c r="AB667" s="20" t="s">
        <v>49</v>
      </c>
      <c r="AC667" s="19" t="s">
        <v>49</v>
      </c>
      <c r="AD667" s="19" t="str">
        <f ca="1">IFERROR(DATEDIF(DadosViagem5[[#This Row],[Utimo Bip Reserva]],TODAY(),"D"),"")</f>
        <v/>
      </c>
      <c r="AE667" s="36" t="s">
        <v>49</v>
      </c>
      <c r="AF667" s="25" t="s">
        <v>49</v>
      </c>
      <c r="AG667" s="36"/>
      <c r="AH667" s="25">
        <v>56</v>
      </c>
      <c r="AI667" s="36" t="str">
        <f>IF(DadosViagem5[[#This Row],[Dias em manutenção ]]&lt;5,"Dentro do Prazo","Fora do Prazo")</f>
        <v>Fora do Prazo</v>
      </c>
      <c r="AJ667" s="36" t="e">
        <v>#REF!</v>
      </c>
    </row>
    <row r="668" spans="1:36">
      <c r="A668" s="19" t="s">
        <v>1169</v>
      </c>
      <c r="B668" s="20"/>
      <c r="C668" s="19" t="s">
        <v>671</v>
      </c>
      <c r="D668" s="19" t="s">
        <v>132</v>
      </c>
      <c r="E668" s="19" t="s">
        <v>114</v>
      </c>
      <c r="F668" s="19" t="s">
        <v>115</v>
      </c>
      <c r="G668" s="19"/>
      <c r="H668" s="20">
        <v>2022</v>
      </c>
      <c r="I668" s="19" t="s">
        <v>1040</v>
      </c>
      <c r="J668" s="19" t="s">
        <v>1149</v>
      </c>
      <c r="K668" s="21" t="s">
        <v>1150</v>
      </c>
      <c r="L668" s="22" t="s">
        <v>60</v>
      </c>
      <c r="M668" s="23" t="s">
        <v>45</v>
      </c>
      <c r="N668" s="36" t="s">
        <v>1151</v>
      </c>
      <c r="O668" s="36" t="s">
        <v>1152</v>
      </c>
      <c r="P668" s="26">
        <f ca="1">IFERROR(VLOOKUP(DadosViagem5[[#This Row],[Placa]],[1]BIP!A:E,5,FALSE),"")</f>
        <v>45989</v>
      </c>
      <c r="Q668" s="27">
        <f ca="1">DATEDIF(DadosViagem5[[#This Row],[BIP]],TODAY(),"D")</f>
        <v>1</v>
      </c>
      <c r="R668" s="28" t="str">
        <f>IFERROR(VLOOKUP(DadosViagem5[[#This Row],[Placa]],[1]DDS!B:C,2,FALSE),"Verificar cadastro")</f>
        <v>Operando</v>
      </c>
      <c r="S668" s="29" t="s">
        <v>48</v>
      </c>
      <c r="T668" s="23"/>
      <c r="U668" s="30"/>
      <c r="V668" s="31"/>
      <c r="W668" s="32"/>
      <c r="X668" s="33"/>
      <c r="Y668" s="34"/>
      <c r="Z668" s="32"/>
      <c r="AA668" s="20" t="s">
        <v>49</v>
      </c>
      <c r="AB668" s="20" t="s">
        <v>49</v>
      </c>
      <c r="AC668" s="19" t="s">
        <v>49</v>
      </c>
      <c r="AD668" s="19" t="str">
        <f ca="1">IFERROR(DATEDIF(DadosViagem5[[#This Row],[Utimo Bip Reserva]],TODAY(),"D"),"")</f>
        <v/>
      </c>
      <c r="AE668" s="23" t="s">
        <v>1170</v>
      </c>
      <c r="AF668" s="30" t="s">
        <v>49</v>
      </c>
      <c r="AG668" s="23"/>
      <c r="AH668" s="25">
        <v>45807</v>
      </c>
      <c r="AI668" s="36" t="str">
        <f>IF(DadosViagem5[[#This Row],[Dias em manutenção ]]&lt;5,"Dentro do Prazo","Fora do Prazo")</f>
        <v>Fora do Prazo</v>
      </c>
      <c r="AJ668" s="36" t="e">
        <v>#REF!</v>
      </c>
    </row>
    <row r="669" spans="1:36">
      <c r="A669" s="19" t="s">
        <v>1171</v>
      </c>
      <c r="B669" s="20"/>
      <c r="C669" s="19" t="s">
        <v>671</v>
      </c>
      <c r="D669" s="19" t="s">
        <v>132</v>
      </c>
      <c r="E669" s="19" t="s">
        <v>114</v>
      </c>
      <c r="F669" s="19" t="s">
        <v>115</v>
      </c>
      <c r="G669" s="19"/>
      <c r="H669" s="20">
        <v>2022</v>
      </c>
      <c r="I669" s="19" t="s">
        <v>1040</v>
      </c>
      <c r="J669" s="19" t="s">
        <v>1149</v>
      </c>
      <c r="K669" s="21" t="s">
        <v>1150</v>
      </c>
      <c r="L669" s="22" t="s">
        <v>60</v>
      </c>
      <c r="M669" s="23" t="s">
        <v>45</v>
      </c>
      <c r="N669" s="36" t="s">
        <v>1151</v>
      </c>
      <c r="O669" s="36" t="s">
        <v>1152</v>
      </c>
      <c r="P669" s="26">
        <f ca="1">IFERROR(VLOOKUP(DadosViagem5[[#This Row],[Placa]],[1]BIP!A:E,5,FALSE),"")</f>
        <v>45989</v>
      </c>
      <c r="Q669" s="27">
        <f ca="1">DATEDIF(DadosViagem5[[#This Row],[BIP]],TODAY(),"D")</f>
        <v>1</v>
      </c>
      <c r="R669" s="28" t="str">
        <f>IFERROR(VLOOKUP(DadosViagem5[[#This Row],[Placa]],[1]DDS!B:C,2,FALSE),"Verificar cadastro")</f>
        <v>Operando</v>
      </c>
      <c r="S669" s="29" t="s">
        <v>48</v>
      </c>
      <c r="T669" s="23"/>
      <c r="U669" s="30"/>
      <c r="V669" s="31"/>
      <c r="W669" s="32"/>
      <c r="X669" s="33"/>
      <c r="Y669" s="34"/>
      <c r="Z669" s="32"/>
      <c r="AA669" s="20" t="s">
        <v>49</v>
      </c>
      <c r="AB669" s="20" t="s">
        <v>49</v>
      </c>
      <c r="AC669" s="19" t="s">
        <v>49</v>
      </c>
      <c r="AD669" s="19" t="str">
        <f ca="1">IFERROR(DATEDIF(DadosViagem5[[#This Row],[Utimo Bip Reserva]],TODAY(),"D"),"")</f>
        <v/>
      </c>
      <c r="AE669" s="36" t="s">
        <v>49</v>
      </c>
      <c r="AF669" s="25" t="s">
        <v>49</v>
      </c>
      <c r="AG669" s="36"/>
      <c r="AH669" s="25">
        <v>45807</v>
      </c>
      <c r="AI669" s="36" t="str">
        <f>IF(DadosViagem5[[#This Row],[Dias em manutenção ]]&lt;5,"Dentro do Prazo","Fora do Prazo")</f>
        <v>Fora do Prazo</v>
      </c>
      <c r="AJ669" s="36" t="e">
        <v>#REF!</v>
      </c>
    </row>
    <row r="670" spans="1:36">
      <c r="A670" s="19" t="s">
        <v>1172</v>
      </c>
      <c r="B670" s="20"/>
      <c r="C670" s="19" t="s">
        <v>74</v>
      </c>
      <c r="D670" s="19" t="s">
        <v>52</v>
      </c>
      <c r="E670" s="19" t="s">
        <v>75</v>
      </c>
      <c r="F670" s="19" t="s">
        <v>76</v>
      </c>
      <c r="G670" s="19"/>
      <c r="H670" s="20">
        <v>2023</v>
      </c>
      <c r="I670" s="19" t="s">
        <v>137</v>
      </c>
      <c r="J670" s="19" t="s">
        <v>1173</v>
      </c>
      <c r="K670" s="101" t="s">
        <v>1174</v>
      </c>
      <c r="L670" s="22" t="s">
        <v>60</v>
      </c>
      <c r="M670" s="23" t="s">
        <v>77</v>
      </c>
      <c r="N670" s="36" t="s">
        <v>479</v>
      </c>
      <c r="O670" s="36" t="s">
        <v>1106</v>
      </c>
      <c r="P670" s="26">
        <f ca="1">IFERROR(VLOOKUP(DadosViagem5[[#This Row],[Placa]],[1]BIP!A:E,5,FALSE),"")</f>
        <v>45591</v>
      </c>
      <c r="Q670" s="27">
        <f ca="1">DATEDIF(DadosViagem5[[#This Row],[BIP]],TODAY(),"D")</f>
        <v>399</v>
      </c>
      <c r="R670" s="28" t="str">
        <f>IFERROR(VLOOKUP(DadosViagem5[[#This Row],[Placa]],[1]DDS!B:C,2,FALSE),"Verificar cadastro")</f>
        <v>Verificar cadastro</v>
      </c>
      <c r="S670" s="36" t="s">
        <v>186</v>
      </c>
      <c r="T670" s="23"/>
      <c r="U670" s="30"/>
      <c r="V670" s="31">
        <v>45587</v>
      </c>
      <c r="W670" s="32" t="s">
        <v>1175</v>
      </c>
      <c r="X670" s="57" t="s">
        <v>188</v>
      </c>
      <c r="Y670" s="34">
        <v>45932</v>
      </c>
      <c r="Z670" s="58" t="s">
        <v>1176</v>
      </c>
      <c r="AA670" s="20" t="s">
        <v>49</v>
      </c>
      <c r="AB670" s="20" t="s">
        <v>49</v>
      </c>
      <c r="AC670" s="19" t="s">
        <v>49</v>
      </c>
      <c r="AD670" s="19" t="str">
        <f ca="1">IFERROR(DATEDIF(DadosViagem5[[#This Row],[Utimo Bip Reserva]],TODAY(),"D"),"")</f>
        <v/>
      </c>
      <c r="AE670" s="25" t="s">
        <v>49</v>
      </c>
      <c r="AF670" s="25" t="s">
        <v>49</v>
      </c>
      <c r="AG670" s="36" t="s">
        <v>290</v>
      </c>
      <c r="AH670" s="25">
        <v>220</v>
      </c>
      <c r="AI670" s="36" t="str">
        <f>IF(DadosViagem5[[#This Row],[Dias em manutenção ]]&lt;5,"Dentro do Prazo","Fora do Prazo")</f>
        <v>Fora do Prazo</v>
      </c>
      <c r="AJ670" s="36" t="e">
        <v>#REF!</v>
      </c>
    </row>
    <row r="671" spans="1:36">
      <c r="A671" s="19" t="s">
        <v>1177</v>
      </c>
      <c r="B671" s="20"/>
      <c r="C671" s="19" t="s">
        <v>74</v>
      </c>
      <c r="D671" s="19" t="s">
        <v>52</v>
      </c>
      <c r="E671" s="19" t="s">
        <v>75</v>
      </c>
      <c r="F671" s="19" t="s">
        <v>76</v>
      </c>
      <c r="G671" s="19"/>
      <c r="H671" s="20">
        <v>2024</v>
      </c>
      <c r="I671" s="19" t="s">
        <v>137</v>
      </c>
      <c r="J671" s="19" t="s">
        <v>1173</v>
      </c>
      <c r="K671" s="101" t="s">
        <v>1174</v>
      </c>
      <c r="L671" s="22" t="s">
        <v>60</v>
      </c>
      <c r="M671" s="23" t="s">
        <v>77</v>
      </c>
      <c r="N671" s="36" t="s">
        <v>479</v>
      </c>
      <c r="O671" s="36" t="s">
        <v>1106</v>
      </c>
      <c r="P671" s="26">
        <f ca="1">IFERROR(VLOOKUP(DadosViagem5[[#This Row],[Placa]],[1]BIP!A:E,5,FALSE),"")</f>
        <v>45989</v>
      </c>
      <c r="Q671" s="27">
        <f ca="1">DATEDIF(DadosViagem5[[#This Row],[BIP]],TODAY(),"D")</f>
        <v>1</v>
      </c>
      <c r="R671" s="28" t="str">
        <f>IFERROR(VLOOKUP(DadosViagem5[[#This Row],[Placa]],[1]DDS!B:C,2,FALSE),"Verificar cadastro")</f>
        <v>Operando</v>
      </c>
      <c r="S671" s="29" t="s">
        <v>48</v>
      </c>
      <c r="T671" s="23"/>
      <c r="U671" s="30"/>
      <c r="V671" s="31"/>
      <c r="W671" s="32"/>
      <c r="X671" s="33"/>
      <c r="Y671" s="34"/>
      <c r="Z671" s="32"/>
      <c r="AA671" s="20" t="s">
        <v>49</v>
      </c>
      <c r="AB671" s="20" t="s">
        <v>49</v>
      </c>
      <c r="AC671" s="19" t="s">
        <v>49</v>
      </c>
      <c r="AD671" s="19" t="str">
        <f ca="1">IFERROR(DATEDIF(DadosViagem5[[#This Row],[Utimo Bip Reserva]],TODAY(),"D"),"")</f>
        <v/>
      </c>
      <c r="AE671" s="25" t="s">
        <v>1178</v>
      </c>
      <c r="AF671" s="25"/>
      <c r="AG671" s="30"/>
      <c r="AH671" s="25">
        <v>45807</v>
      </c>
      <c r="AI671" s="36" t="str">
        <f>IF(DadosViagem5[[#This Row],[Dias em manutenção ]]&lt;5,"Dentro do Prazo","Fora do Prazo")</f>
        <v>Fora do Prazo</v>
      </c>
      <c r="AJ671" s="36" t="e">
        <v>#REF!</v>
      </c>
    </row>
    <row r="672" spans="1:36">
      <c r="A672" s="19" t="s">
        <v>1179</v>
      </c>
      <c r="B672" s="20"/>
      <c r="C672" s="19" t="s">
        <v>74</v>
      </c>
      <c r="D672" s="19" t="s">
        <v>52</v>
      </c>
      <c r="E672" s="19" t="s">
        <v>75</v>
      </c>
      <c r="F672" s="19" t="s">
        <v>76</v>
      </c>
      <c r="G672" s="19"/>
      <c r="H672" s="20">
        <v>2024</v>
      </c>
      <c r="I672" s="19" t="s">
        <v>137</v>
      </c>
      <c r="J672" s="19" t="s">
        <v>1173</v>
      </c>
      <c r="K672" s="21" t="s">
        <v>1174</v>
      </c>
      <c r="L672" s="22" t="s">
        <v>60</v>
      </c>
      <c r="M672" s="23" t="s">
        <v>77</v>
      </c>
      <c r="N672" s="36" t="s">
        <v>479</v>
      </c>
      <c r="O672" s="36" t="s">
        <v>1106</v>
      </c>
      <c r="P672" s="26">
        <f ca="1">IFERROR(VLOOKUP(DadosViagem5[[#This Row],[Placa]],[1]BIP!A:E,5,FALSE),"")</f>
        <v>45989</v>
      </c>
      <c r="Q672" s="27">
        <f ca="1">DATEDIF(DadosViagem5[[#This Row],[BIP]],TODAY(),"D")</f>
        <v>1</v>
      </c>
      <c r="R672" s="28" t="str">
        <f>IFERROR(VLOOKUP(DadosViagem5[[#This Row],[Placa]],[1]DDS!B:C,2,FALSE),"Verificar cadastro")</f>
        <v>Operando</v>
      </c>
      <c r="S672" s="29" t="s">
        <v>48</v>
      </c>
      <c r="T672" s="23"/>
      <c r="U672" s="30"/>
      <c r="V672" s="31"/>
      <c r="W672" s="32"/>
      <c r="X672" s="33"/>
      <c r="Y672" s="34"/>
      <c r="Z672" s="32"/>
      <c r="AA672" s="20" t="s">
        <v>49</v>
      </c>
      <c r="AB672" s="20" t="s">
        <v>49</v>
      </c>
      <c r="AC672" s="19" t="s">
        <v>49</v>
      </c>
      <c r="AD672" s="19" t="str">
        <f ca="1">IFERROR(DATEDIF(DadosViagem5[[#This Row],[Utimo Bip Reserva]],TODAY(),"D"),"")</f>
        <v/>
      </c>
      <c r="AE672" s="25" t="s">
        <v>49</v>
      </c>
      <c r="AF672" s="25" t="s">
        <v>49</v>
      </c>
      <c r="AG672" s="36" t="s">
        <v>290</v>
      </c>
      <c r="AH672" s="25">
        <v>45807</v>
      </c>
      <c r="AI672" s="36" t="str">
        <f>IF(DadosViagem5[[#This Row],[Dias em manutenção ]]&lt;5,"Dentro do Prazo","Fora do Prazo")</f>
        <v>Fora do Prazo</v>
      </c>
      <c r="AJ672" s="36" t="e">
        <v>#REF!</v>
      </c>
    </row>
    <row r="673" spans="1:36">
      <c r="A673" s="19" t="s">
        <v>1180</v>
      </c>
      <c r="B673" s="20">
        <v>351</v>
      </c>
      <c r="C673" s="19" t="s">
        <v>74</v>
      </c>
      <c r="D673" s="19" t="s">
        <v>52</v>
      </c>
      <c r="E673" s="19" t="s">
        <v>75</v>
      </c>
      <c r="F673" s="19" t="s">
        <v>76</v>
      </c>
      <c r="G673" s="19"/>
      <c r="H673" s="20">
        <v>2023</v>
      </c>
      <c r="I673" s="19" t="s">
        <v>137</v>
      </c>
      <c r="J673" s="19" t="s">
        <v>1173</v>
      </c>
      <c r="K673" s="21" t="s">
        <v>1174</v>
      </c>
      <c r="L673" s="22" t="s">
        <v>60</v>
      </c>
      <c r="M673" s="23" t="s">
        <v>77</v>
      </c>
      <c r="N673" s="36" t="s">
        <v>479</v>
      </c>
      <c r="O673" s="36" t="s">
        <v>479</v>
      </c>
      <c r="P673" s="26">
        <f ca="1">IFERROR(VLOOKUP(DadosViagem5[[#This Row],[Placa]],[1]BIP!A:E,5,FALSE),"")</f>
        <v>45984</v>
      </c>
      <c r="Q673" s="27">
        <f ca="1">DATEDIF(DadosViagem5[[#This Row],[BIP]],TODAY(),"D")</f>
        <v>6</v>
      </c>
      <c r="R673" s="28" t="str">
        <f>IFERROR(VLOOKUP(DadosViagem5[[#This Row],[Placa]],[1]DDS!B:C,2,FALSE),"Verificar cadastro")</f>
        <v> </v>
      </c>
      <c r="S673" s="29" t="s">
        <v>48</v>
      </c>
      <c r="T673" s="23"/>
      <c r="U673" s="30"/>
      <c r="V673" s="31"/>
      <c r="W673" s="32"/>
      <c r="X673" s="33"/>
      <c r="Y673" s="34"/>
      <c r="Z673" s="32"/>
      <c r="AA673" s="20" t="s">
        <v>49</v>
      </c>
      <c r="AB673" s="20" t="s">
        <v>49</v>
      </c>
      <c r="AC673" s="19" t="s">
        <v>49</v>
      </c>
      <c r="AD673" s="19" t="str">
        <f ca="1">IFERROR(DATEDIF(DadosViagem5[[#This Row],[Utimo Bip Reserva]],TODAY(),"D"),"")</f>
        <v/>
      </c>
      <c r="AE673" s="25"/>
      <c r="AF673" s="25"/>
      <c r="AG673" s="36" t="s">
        <v>290</v>
      </c>
      <c r="AH673" s="25">
        <v>45807</v>
      </c>
      <c r="AI673" s="36" t="str">
        <f>IF(DadosViagem5[[#This Row],[Dias em manutenção ]]&lt;5,"Dentro do Prazo","Fora do Prazo")</f>
        <v>Fora do Prazo</v>
      </c>
      <c r="AJ673" s="36" t="e">
        <v>#REF!</v>
      </c>
    </row>
    <row r="674" spans="1:36">
      <c r="A674" s="19" t="s">
        <v>1181</v>
      </c>
      <c r="B674" s="20">
        <v>347</v>
      </c>
      <c r="C674" s="19" t="s">
        <v>74</v>
      </c>
      <c r="D674" s="19" t="s">
        <v>52</v>
      </c>
      <c r="E674" s="19" t="s">
        <v>75</v>
      </c>
      <c r="F674" s="19" t="s">
        <v>76</v>
      </c>
      <c r="G674" s="19"/>
      <c r="H674" s="20">
        <v>2023</v>
      </c>
      <c r="I674" s="19" t="s">
        <v>137</v>
      </c>
      <c r="J674" s="19" t="s">
        <v>1173</v>
      </c>
      <c r="K674" s="21" t="s">
        <v>1174</v>
      </c>
      <c r="L674" s="22" t="s">
        <v>60</v>
      </c>
      <c r="M674" s="23" t="s">
        <v>77</v>
      </c>
      <c r="N674" s="36" t="s">
        <v>479</v>
      </c>
      <c r="O674" s="36" t="s">
        <v>1106</v>
      </c>
      <c r="P674" s="26">
        <f ca="1">IFERROR(VLOOKUP(DadosViagem5[[#This Row],[Placa]],[1]BIP!A:E,5,FALSE),"")</f>
        <v>45989</v>
      </c>
      <c r="Q674" s="27">
        <f ca="1">DATEDIF(DadosViagem5[[#This Row],[BIP]],TODAY(),"D")</f>
        <v>1</v>
      </c>
      <c r="R674" s="28" t="str">
        <f>IFERROR(VLOOKUP(DadosViagem5[[#This Row],[Placa]],[1]DDS!B:C,2,FALSE),"Verificar cadastro")</f>
        <v>Operando</v>
      </c>
      <c r="S674" s="29" t="s">
        <v>48</v>
      </c>
      <c r="T674" s="23"/>
      <c r="U674" s="30"/>
      <c r="V674" s="31"/>
      <c r="W674" s="32"/>
      <c r="X674" s="33"/>
      <c r="Y674" s="34"/>
      <c r="Z674" s="32"/>
      <c r="AA674" s="20" t="s">
        <v>49</v>
      </c>
      <c r="AB674" s="20" t="s">
        <v>49</v>
      </c>
      <c r="AC674" s="19" t="s">
        <v>49</v>
      </c>
      <c r="AD674" s="19" t="str">
        <f ca="1">IFERROR(DATEDIF(DadosViagem5[[#This Row],[Utimo Bip Reserva]],TODAY(),"D"),"")</f>
        <v/>
      </c>
      <c r="AE674" s="35"/>
      <c r="AF674" s="35"/>
      <c r="AG674" s="36" t="s">
        <v>290</v>
      </c>
      <c r="AH674" s="25">
        <v>45807</v>
      </c>
      <c r="AI674" s="36" t="str">
        <f>IF(DadosViagem5[[#This Row],[Dias em manutenção ]]&lt;5,"Dentro do Prazo","Fora do Prazo")</f>
        <v>Fora do Prazo</v>
      </c>
      <c r="AJ674" s="36" t="e">
        <v>#REF!</v>
      </c>
    </row>
    <row r="675" spans="1:36">
      <c r="A675" s="19" t="s">
        <v>1182</v>
      </c>
      <c r="B675" s="20"/>
      <c r="C675" s="19" t="s">
        <v>131</v>
      </c>
      <c r="D675" s="19" t="s">
        <v>132</v>
      </c>
      <c r="E675" s="19" t="s">
        <v>57</v>
      </c>
      <c r="F675" s="19" t="s">
        <v>40</v>
      </c>
      <c r="G675" s="19"/>
      <c r="H675" s="20">
        <v>2022</v>
      </c>
      <c r="I675" s="19" t="s">
        <v>1183</v>
      </c>
      <c r="J675" s="19" t="s">
        <v>1184</v>
      </c>
      <c r="K675" s="21" t="s">
        <v>1185</v>
      </c>
      <c r="L675" s="22" t="s">
        <v>60</v>
      </c>
      <c r="M675" s="23" t="s">
        <v>268</v>
      </c>
      <c r="N675" s="36" t="s">
        <v>1186</v>
      </c>
      <c r="O675" s="36" t="s">
        <v>1187</v>
      </c>
      <c r="P675" s="26">
        <f ca="1">IFERROR(VLOOKUP(DadosViagem5[[#This Row],[Placa]],[1]BIP!A:E,5,FALSE),"")</f>
        <v>0</v>
      </c>
      <c r="Q675" s="27">
        <f ca="1">DATEDIF(DadosViagem5[[#This Row],[BIP]],TODAY(),"D")</f>
        <v>45990</v>
      </c>
      <c r="R675" s="28" t="str">
        <f>IFERROR(VLOOKUP(DadosViagem5[[#This Row],[Placa]],[1]DDS!B:C,2,FALSE),"Verificar cadastro")</f>
        <v> </v>
      </c>
      <c r="S675" s="29" t="s">
        <v>48</v>
      </c>
      <c r="T675" s="23"/>
      <c r="U675" s="30"/>
      <c r="V675" s="31"/>
      <c r="W675" s="32"/>
      <c r="X675" s="33"/>
      <c r="Y675" s="34" t="s">
        <v>49</v>
      </c>
      <c r="Z675" s="32"/>
      <c r="AA675" s="20" t="s">
        <v>49</v>
      </c>
      <c r="AB675" s="20" t="s">
        <v>49</v>
      </c>
      <c r="AC675" s="19" t="s">
        <v>49</v>
      </c>
      <c r="AD675" s="19" t="str">
        <f ca="1">IFERROR(DATEDIF(DadosViagem5[[#This Row],[Utimo Bip Reserva]],TODAY(),"D"),"")</f>
        <v/>
      </c>
      <c r="AE675" s="36" t="s">
        <v>49</v>
      </c>
      <c r="AF675" s="25" t="s">
        <v>49</v>
      </c>
      <c r="AG675" s="36"/>
      <c r="AH675" s="25">
        <v>45807</v>
      </c>
      <c r="AI675" s="36" t="str">
        <f>IF(DadosViagem5[[#This Row],[Dias em manutenção ]]&lt;5,"Dentro do Prazo","Fora do Prazo")</f>
        <v>Fora do Prazo</v>
      </c>
      <c r="AJ675" s="36" t="e">
        <v>#REF!</v>
      </c>
    </row>
    <row r="676" spans="1:36">
      <c r="A676" s="19" t="s">
        <v>1188</v>
      </c>
      <c r="B676" s="20"/>
      <c r="C676" s="19" t="s">
        <v>131</v>
      </c>
      <c r="D676" s="19" t="s">
        <v>132</v>
      </c>
      <c r="E676" s="19" t="s">
        <v>57</v>
      </c>
      <c r="F676" s="19" t="s">
        <v>40</v>
      </c>
      <c r="G676" s="19"/>
      <c r="H676" s="20">
        <v>2022</v>
      </c>
      <c r="I676" s="19" t="s">
        <v>1183</v>
      </c>
      <c r="J676" s="19" t="s">
        <v>1184</v>
      </c>
      <c r="K676" s="21" t="s">
        <v>1185</v>
      </c>
      <c r="L676" s="22" t="s">
        <v>60</v>
      </c>
      <c r="M676" s="23" t="s">
        <v>268</v>
      </c>
      <c r="N676" s="36" t="s">
        <v>1186</v>
      </c>
      <c r="O676" s="36" t="s">
        <v>1187</v>
      </c>
      <c r="P676" s="26">
        <f ca="1">IFERROR(VLOOKUP(DadosViagem5[[#This Row],[Placa]],[1]BIP!A:E,5,FALSE),"")</f>
        <v>45989</v>
      </c>
      <c r="Q676" s="27">
        <f ca="1">DATEDIF(DadosViagem5[[#This Row],[BIP]],TODAY(),"D")</f>
        <v>1</v>
      </c>
      <c r="R676" s="28" t="str">
        <f>IFERROR(VLOOKUP(DadosViagem5[[#This Row],[Placa]],[1]DDS!B:C,2,FALSE),"Verificar cadastro")</f>
        <v>Operando</v>
      </c>
      <c r="S676" s="29" t="s">
        <v>48</v>
      </c>
      <c r="T676" s="23"/>
      <c r="U676" s="30"/>
      <c r="V676" s="31"/>
      <c r="W676" s="32"/>
      <c r="X676" s="33"/>
      <c r="Y676" s="34" t="s">
        <v>49</v>
      </c>
      <c r="Z676" s="32"/>
      <c r="AA676" s="20" t="s">
        <v>49</v>
      </c>
      <c r="AB676" s="20" t="s">
        <v>49</v>
      </c>
      <c r="AC676" s="19" t="s">
        <v>49</v>
      </c>
      <c r="AD676" s="19" t="str">
        <f ca="1">IFERROR(DATEDIF(DadosViagem5[[#This Row],[Utimo Bip Reserva]],TODAY(),"D"),"")</f>
        <v/>
      </c>
      <c r="AE676" s="36" t="s">
        <v>49</v>
      </c>
      <c r="AF676" s="25" t="s">
        <v>49</v>
      </c>
      <c r="AG676" s="36"/>
      <c r="AH676" s="25">
        <v>45807</v>
      </c>
      <c r="AI676" s="36" t="str">
        <f>IF(DadosViagem5[[#This Row],[Dias em manutenção ]]&lt;5,"Dentro do Prazo","Fora do Prazo")</f>
        <v>Fora do Prazo</v>
      </c>
      <c r="AJ676" s="36" t="e">
        <v>#REF!</v>
      </c>
    </row>
    <row r="677" spans="1:36">
      <c r="A677" s="19" t="s">
        <v>1189</v>
      </c>
      <c r="B677" s="20"/>
      <c r="C677" s="19" t="s">
        <v>88</v>
      </c>
      <c r="D677" s="19" t="s">
        <v>52</v>
      </c>
      <c r="E677" s="19" t="s">
        <v>114</v>
      </c>
      <c r="F677" s="19" t="s">
        <v>115</v>
      </c>
      <c r="G677" s="19"/>
      <c r="H677" s="20">
        <v>2023</v>
      </c>
      <c r="I677" s="19" t="s">
        <v>41</v>
      </c>
      <c r="J677" s="19" t="s">
        <v>1190</v>
      </c>
      <c r="K677" s="21" t="s">
        <v>1191</v>
      </c>
      <c r="L677" s="22" t="s">
        <v>60</v>
      </c>
      <c r="M677" s="23" t="s">
        <v>61</v>
      </c>
      <c r="N677" s="36" t="s">
        <v>1192</v>
      </c>
      <c r="O677" s="65" t="s">
        <v>1193</v>
      </c>
      <c r="P677" s="26">
        <f ca="1">IFERROR(VLOOKUP(DadosViagem5[[#This Row],[Placa]],[1]BIP!A:E,5,FALSE),"")</f>
        <v>45989</v>
      </c>
      <c r="Q677" s="27">
        <f ca="1">DATEDIF(DadosViagem5[[#This Row],[BIP]],TODAY(),"D")</f>
        <v>1</v>
      </c>
      <c r="R677" s="28" t="str">
        <f>IFERROR(VLOOKUP(DadosViagem5[[#This Row],[Placa]],[1]DDS!B:C,2,FALSE),"Verificar cadastro")</f>
        <v>Operando</v>
      </c>
      <c r="S677" s="29" t="s">
        <v>48</v>
      </c>
      <c r="T677" s="23"/>
      <c r="U677" s="30"/>
      <c r="V677" s="31"/>
      <c r="W677" s="32" t="s">
        <v>608</v>
      </c>
      <c r="X677" s="33"/>
      <c r="Y677" s="34" t="s">
        <v>49</v>
      </c>
      <c r="Z677" s="32"/>
      <c r="AA677" s="20" t="s">
        <v>49</v>
      </c>
      <c r="AB677" s="20" t="s">
        <v>49</v>
      </c>
      <c r="AC677" s="19" t="s">
        <v>49</v>
      </c>
      <c r="AD677" s="19" t="str">
        <f ca="1">IFERROR(DATEDIF(DadosViagem5[[#This Row],[Utimo Bip Reserva]],TODAY(),"D"),"")</f>
        <v/>
      </c>
      <c r="AE677" s="36" t="s">
        <v>49</v>
      </c>
      <c r="AF677" s="25" t="s">
        <v>49</v>
      </c>
      <c r="AG677" s="36"/>
      <c r="AH677" s="25">
        <v>45807</v>
      </c>
      <c r="AI677" s="36" t="str">
        <f>IF(DadosViagem5[[#This Row],[Dias em manutenção ]]&lt;5,"Dentro do Prazo","Fora do Prazo")</f>
        <v>Fora do Prazo</v>
      </c>
      <c r="AJ677" s="36" t="e">
        <v>#REF!</v>
      </c>
    </row>
    <row r="678" spans="1:36">
      <c r="A678" s="19" t="s">
        <v>1194</v>
      </c>
      <c r="B678" s="20"/>
      <c r="C678" s="19" t="s">
        <v>88</v>
      </c>
      <c r="D678" s="19" t="s">
        <v>52</v>
      </c>
      <c r="E678" s="19" t="s">
        <v>114</v>
      </c>
      <c r="F678" s="19" t="s">
        <v>115</v>
      </c>
      <c r="G678" s="19"/>
      <c r="H678" s="20">
        <v>2021</v>
      </c>
      <c r="I678" s="19" t="s">
        <v>41</v>
      </c>
      <c r="J678" s="19" t="s">
        <v>1190</v>
      </c>
      <c r="K678" s="21" t="s">
        <v>1191</v>
      </c>
      <c r="L678" s="22" t="s">
        <v>60</v>
      </c>
      <c r="M678" s="23" t="s">
        <v>268</v>
      </c>
      <c r="N678" s="36" t="s">
        <v>1192</v>
      </c>
      <c r="O678" s="65" t="s">
        <v>1193</v>
      </c>
      <c r="P678" s="26">
        <f ca="1">IFERROR(VLOOKUP(DadosViagem5[[#This Row],[Placa]],[1]BIP!A:E,5,FALSE),"")</f>
        <v>45901</v>
      </c>
      <c r="Q678" s="27">
        <f ca="1">DATEDIF(DadosViagem5[[#This Row],[BIP]],TODAY(),"D")</f>
        <v>89</v>
      </c>
      <c r="R678" s="28" t="str">
        <f>IFERROR(VLOOKUP(DadosViagem5[[#This Row],[Placa]],[1]DDS!B:C,2,FALSE),"Verificar cadastro")</f>
        <v>Verificar cadastro</v>
      </c>
      <c r="S678" s="36" t="s">
        <v>574</v>
      </c>
      <c r="T678" s="23"/>
      <c r="U678" s="30"/>
      <c r="V678" s="31"/>
      <c r="W678" s="32" t="s">
        <v>1195</v>
      </c>
      <c r="X678" s="33"/>
      <c r="Y678" s="34"/>
      <c r="Z678" s="42"/>
      <c r="AA678" s="20" t="s">
        <v>49</v>
      </c>
      <c r="AB678" s="20" t="s">
        <v>49</v>
      </c>
      <c r="AC678" s="19" t="s">
        <v>49</v>
      </c>
      <c r="AD678" s="19" t="str">
        <f ca="1">IFERROR(DATEDIF(DadosViagem5[[#This Row],[Utimo Bip Reserva]],TODAY(),"D"),"")</f>
        <v/>
      </c>
      <c r="AE678" s="36" t="s">
        <v>49</v>
      </c>
      <c r="AF678" s="25" t="s">
        <v>49</v>
      </c>
      <c r="AG678" s="36"/>
      <c r="AH678" s="25">
        <v>45807</v>
      </c>
      <c r="AI678" s="36" t="str">
        <f>IF(DadosViagem5[[#This Row],[Dias em manutenção ]]&lt;5,"Dentro do Prazo","Fora do Prazo")</f>
        <v>Fora do Prazo</v>
      </c>
      <c r="AJ678" s="36" t="e">
        <v>#REF!</v>
      </c>
    </row>
    <row r="679" spans="1:36">
      <c r="A679" s="19" t="s">
        <v>1196</v>
      </c>
      <c r="B679" s="20"/>
      <c r="C679" s="19" t="s">
        <v>88</v>
      </c>
      <c r="D679" s="19" t="s">
        <v>38</v>
      </c>
      <c r="E679" s="19" t="s">
        <v>114</v>
      </c>
      <c r="F679" s="19" t="s">
        <v>115</v>
      </c>
      <c r="G679" s="19"/>
      <c r="H679" s="20">
        <v>2021</v>
      </c>
      <c r="I679" s="19" t="s">
        <v>41</v>
      </c>
      <c r="J679" s="19" t="s">
        <v>1190</v>
      </c>
      <c r="K679" s="21" t="s">
        <v>1191</v>
      </c>
      <c r="L679" s="22" t="s">
        <v>60</v>
      </c>
      <c r="M679" s="23" t="s">
        <v>61</v>
      </c>
      <c r="N679" s="36" t="s">
        <v>1192</v>
      </c>
      <c r="O679" s="65" t="s">
        <v>1193</v>
      </c>
      <c r="P679" s="26">
        <f ca="1">IFERROR(VLOOKUP(DadosViagem5[[#This Row],[Placa]],[1]BIP!A:E,5,FALSE),"")</f>
        <v>45748</v>
      </c>
      <c r="Q679" s="27">
        <f ca="1">DATEDIF(DadosViagem5[[#This Row],[BIP]],TODAY(),"D")</f>
        <v>242</v>
      </c>
      <c r="R679" s="28" t="str">
        <f>IFERROR(VLOOKUP(DadosViagem5[[#This Row],[Placa]],[1]DDS!B:C,2,FALSE),"Verificar cadastro")</f>
        <v>Verificar cadastro</v>
      </c>
      <c r="S679" s="36" t="s">
        <v>574</v>
      </c>
      <c r="T679" s="23"/>
      <c r="U679" s="30"/>
      <c r="V679" s="31"/>
      <c r="W679" s="32" t="s">
        <v>1197</v>
      </c>
      <c r="X679" s="33"/>
      <c r="Y679" s="34"/>
      <c r="Z679" s="42"/>
      <c r="AA679" s="20" t="s">
        <v>49</v>
      </c>
      <c r="AB679" s="20" t="s">
        <v>49</v>
      </c>
      <c r="AC679" s="19" t="s">
        <v>49</v>
      </c>
      <c r="AD679" s="19" t="str">
        <f ca="1">IFERROR(DATEDIF(DadosViagem5[[#This Row],[Utimo Bip Reserva]],TODAY(),"D"),"")</f>
        <v/>
      </c>
      <c r="AE679" s="36"/>
      <c r="AF679" s="25" t="s">
        <v>49</v>
      </c>
      <c r="AG679" s="30" t="s">
        <v>153</v>
      </c>
      <c r="AH679" s="25">
        <v>58</v>
      </c>
      <c r="AI679" s="36" t="str">
        <f>IF(DadosViagem5[[#This Row],[Dias em manutenção ]]&lt;5,"Dentro do Prazo","Fora do Prazo")</f>
        <v>Fora do Prazo</v>
      </c>
      <c r="AJ679" s="36" t="e">
        <v>#REF!</v>
      </c>
    </row>
    <row r="680" spans="1:36">
      <c r="A680" s="19" t="s">
        <v>1198</v>
      </c>
      <c r="B680" s="20"/>
      <c r="C680" s="19" t="s">
        <v>88</v>
      </c>
      <c r="D680" s="19" t="s">
        <v>52</v>
      </c>
      <c r="E680" s="19" t="s">
        <v>114</v>
      </c>
      <c r="F680" s="19" t="s">
        <v>115</v>
      </c>
      <c r="G680" s="19"/>
      <c r="H680" s="20">
        <v>2021</v>
      </c>
      <c r="I680" s="19" t="s">
        <v>41</v>
      </c>
      <c r="J680" s="19" t="s">
        <v>1190</v>
      </c>
      <c r="K680" s="21" t="s">
        <v>1191</v>
      </c>
      <c r="L680" s="22" t="s">
        <v>60</v>
      </c>
      <c r="M680" s="23" t="s">
        <v>61</v>
      </c>
      <c r="N680" s="36" t="s">
        <v>1192</v>
      </c>
      <c r="O680" s="65" t="s">
        <v>1193</v>
      </c>
      <c r="P680" s="26">
        <f ca="1">IFERROR(VLOOKUP(DadosViagem5[[#This Row],[Placa]],[1]BIP!A:E,5,FALSE),"")</f>
        <v>45874</v>
      </c>
      <c r="Q680" s="27">
        <f ca="1">DATEDIF(DadosViagem5[[#This Row],[BIP]],TODAY(),"D")</f>
        <v>116</v>
      </c>
      <c r="R680" s="28" t="str">
        <f>IFERROR(VLOOKUP(DadosViagem5[[#This Row],[Placa]],[1]DDS!B:C,2,FALSE),"Verificar cadastro")</f>
        <v>Verificar cadastro</v>
      </c>
      <c r="S680" s="36" t="s">
        <v>574</v>
      </c>
      <c r="T680" s="23"/>
      <c r="U680" s="30"/>
      <c r="V680" s="31"/>
      <c r="W680" s="85" t="s">
        <v>1199</v>
      </c>
      <c r="X680" s="33"/>
      <c r="Y680" s="34"/>
      <c r="Z680" s="42"/>
      <c r="AA680" s="20" t="s">
        <v>49</v>
      </c>
      <c r="AB680" s="20" t="s">
        <v>49</v>
      </c>
      <c r="AC680" s="20" t="s">
        <v>49</v>
      </c>
      <c r="AD680" s="20" t="s">
        <v>49</v>
      </c>
      <c r="AE680" s="36" t="s">
        <v>49</v>
      </c>
      <c r="AF680" s="25" t="s">
        <v>49</v>
      </c>
      <c r="AG680" s="36"/>
      <c r="AH680" s="25">
        <v>45807</v>
      </c>
      <c r="AI680" s="36" t="str">
        <f>IF(DadosViagem5[[#This Row],[Dias em manutenção ]]&lt;5,"Dentro do Prazo","Fora do Prazo")</f>
        <v>Fora do Prazo</v>
      </c>
      <c r="AJ680" s="36" t="e">
        <v>#REF!</v>
      </c>
    </row>
    <row r="681" spans="1:36">
      <c r="A681" s="19" t="s">
        <v>1200</v>
      </c>
      <c r="B681" s="20"/>
      <c r="C681" s="19" t="s">
        <v>88</v>
      </c>
      <c r="D681" s="19" t="s">
        <v>52</v>
      </c>
      <c r="E681" s="19" t="s">
        <v>114</v>
      </c>
      <c r="F681" s="19" t="s">
        <v>115</v>
      </c>
      <c r="G681" s="19"/>
      <c r="H681" s="20">
        <v>2021</v>
      </c>
      <c r="I681" s="19" t="s">
        <v>41</v>
      </c>
      <c r="J681" s="19" t="s">
        <v>1190</v>
      </c>
      <c r="K681" s="21" t="s">
        <v>1191</v>
      </c>
      <c r="L681" s="22" t="s">
        <v>60</v>
      </c>
      <c r="M681" s="23" t="s">
        <v>61</v>
      </c>
      <c r="N681" s="36" t="s">
        <v>1192</v>
      </c>
      <c r="O681" s="65" t="s">
        <v>1193</v>
      </c>
      <c r="P681" s="26">
        <f ca="1">IFERROR(VLOOKUP(DadosViagem5[[#This Row],[Placa]],[1]BIP!A:E,5,FALSE),"")</f>
        <v>45813</v>
      </c>
      <c r="Q681" s="27">
        <f ca="1">DATEDIF(DadosViagem5[[#This Row],[BIP]],TODAY(),"D")</f>
        <v>177</v>
      </c>
      <c r="R681" s="28" t="str">
        <f>IFERROR(VLOOKUP(DadosViagem5[[#This Row],[Placa]],[1]DDS!B:C,2,FALSE),"Verificar cadastro")</f>
        <v>Verificar cadastro</v>
      </c>
      <c r="S681" s="36" t="s">
        <v>574</v>
      </c>
      <c r="T681" s="23"/>
      <c r="U681" s="30"/>
      <c r="V681" s="31"/>
      <c r="W681" s="32" t="s">
        <v>1201</v>
      </c>
      <c r="X681" s="33"/>
      <c r="Y681" s="34"/>
      <c r="Z681" s="32"/>
      <c r="AA681" s="20" t="s">
        <v>49</v>
      </c>
      <c r="AB681" s="20" t="s">
        <v>49</v>
      </c>
      <c r="AC681" s="19" t="s">
        <v>49</v>
      </c>
      <c r="AD681" s="19" t="str">
        <f ca="1">IFERROR(DATEDIF(DadosViagem5[[#This Row],[Utimo Bip Reserva]],TODAY(),"D"),"")</f>
        <v/>
      </c>
      <c r="AE681" s="36" t="s">
        <v>49</v>
      </c>
      <c r="AF681" s="25" t="s">
        <v>49</v>
      </c>
      <c r="AG681" s="36"/>
      <c r="AH681" s="25">
        <v>45807</v>
      </c>
      <c r="AI681" s="36" t="str">
        <f>IF(DadosViagem5[[#This Row],[Dias em manutenção ]]&lt;5,"Dentro do Prazo","Fora do Prazo")</f>
        <v>Fora do Prazo</v>
      </c>
      <c r="AJ681" s="36" t="e">
        <v>#REF!</v>
      </c>
    </row>
    <row r="682" spans="1:36">
      <c r="A682" s="19" t="s">
        <v>1202</v>
      </c>
      <c r="B682" s="20"/>
      <c r="C682" s="19" t="s">
        <v>88</v>
      </c>
      <c r="D682" s="19" t="s">
        <v>52</v>
      </c>
      <c r="E682" s="19" t="s">
        <v>114</v>
      </c>
      <c r="F682" s="19" t="s">
        <v>115</v>
      </c>
      <c r="H682" s="20">
        <v>2021</v>
      </c>
      <c r="I682" s="19" t="s">
        <v>41</v>
      </c>
      <c r="J682" s="19" t="s">
        <v>1190</v>
      </c>
      <c r="K682" s="21" t="s">
        <v>1191</v>
      </c>
      <c r="L682" s="22" t="s">
        <v>60</v>
      </c>
      <c r="M682" s="23" t="s">
        <v>61</v>
      </c>
      <c r="N682" s="36" t="s">
        <v>1192</v>
      </c>
      <c r="O682" s="65" t="s">
        <v>1193</v>
      </c>
      <c r="P682" s="26">
        <f ca="1">IFERROR(VLOOKUP(DadosViagem5[[#This Row],[Placa]],[1]BIP!A:E,5,FALSE),"")</f>
        <v>45820</v>
      </c>
      <c r="Q682" s="27">
        <f ca="1">DATEDIF(DadosViagem5[[#This Row],[BIP]],TODAY(),"D")</f>
        <v>170</v>
      </c>
      <c r="R682" s="28" t="str">
        <f>IFERROR(VLOOKUP(DadosViagem5[[#This Row],[Placa]],[1]DDS!B:C,2,FALSE),"Verificar cadastro")</f>
        <v>Verificar cadastro</v>
      </c>
      <c r="S682" s="36" t="s">
        <v>574</v>
      </c>
      <c r="T682" s="23"/>
      <c r="U682" s="30"/>
      <c r="V682" s="31"/>
      <c r="W682" s="32" t="s">
        <v>1203</v>
      </c>
      <c r="X682" s="33"/>
      <c r="Y682" s="34"/>
      <c r="Z682" s="32"/>
      <c r="AA682" s="20" t="s">
        <v>49</v>
      </c>
      <c r="AB682" s="20" t="s">
        <v>49</v>
      </c>
      <c r="AC682" s="19" t="s">
        <v>49</v>
      </c>
      <c r="AD682" s="19" t="str">
        <f ca="1">IFERROR(DATEDIF(DadosViagem5[[#This Row],[Utimo Bip Reserva]],TODAY(),"D"),"")</f>
        <v/>
      </c>
      <c r="AE682" s="36" t="s">
        <v>49</v>
      </c>
      <c r="AF682" s="25" t="s">
        <v>49</v>
      </c>
      <c r="AG682" s="36"/>
      <c r="AH682" s="25">
        <v>45807</v>
      </c>
      <c r="AI682" s="36" t="str">
        <f>IF(DadosViagem5[[#This Row],[Dias em manutenção ]]&lt;5,"Dentro do Prazo","Fora do Prazo")</f>
        <v>Fora do Prazo</v>
      </c>
      <c r="AJ682" s="36" t="e">
        <v>#REF!</v>
      </c>
    </row>
    <row r="683" spans="1:36">
      <c r="A683" s="19" t="s">
        <v>1204</v>
      </c>
      <c r="B683" s="20"/>
      <c r="C683" s="19" t="s">
        <v>88</v>
      </c>
      <c r="D683" s="19" t="s">
        <v>52</v>
      </c>
      <c r="E683" s="19" t="s">
        <v>114</v>
      </c>
      <c r="F683" s="19" t="s">
        <v>115</v>
      </c>
      <c r="G683" s="19"/>
      <c r="H683" s="20">
        <v>2021</v>
      </c>
      <c r="I683" s="19" t="s">
        <v>41</v>
      </c>
      <c r="J683" s="19" t="s">
        <v>1190</v>
      </c>
      <c r="K683" s="21" t="s">
        <v>1191</v>
      </c>
      <c r="L683" s="22" t="s">
        <v>60</v>
      </c>
      <c r="M683" s="23" t="s">
        <v>61</v>
      </c>
      <c r="N683" s="36" t="s">
        <v>1192</v>
      </c>
      <c r="O683" s="65" t="s">
        <v>1193</v>
      </c>
      <c r="P683" s="26">
        <f ca="1">IFERROR(VLOOKUP(DadosViagem5[[#This Row],[Placa]],[1]BIP!A:E,5,FALSE),"")</f>
        <v>45919</v>
      </c>
      <c r="Q683" s="27">
        <f ca="1">DATEDIF(DadosViagem5[[#This Row],[BIP]],TODAY(),"D")</f>
        <v>71</v>
      </c>
      <c r="R683" s="28" t="str">
        <f>IFERROR(VLOOKUP(DadosViagem5[[#This Row],[Placa]],[1]DDS!B:C,2,FALSE),"Verificar cadastro")</f>
        <v>Verificar cadastro</v>
      </c>
      <c r="S683" s="36" t="s">
        <v>574</v>
      </c>
      <c r="T683" s="23"/>
      <c r="U683" s="30"/>
      <c r="V683" s="31"/>
      <c r="W683" s="85" t="s">
        <v>1205</v>
      </c>
      <c r="X683" s="33"/>
      <c r="Y683" s="34"/>
      <c r="Z683" s="32"/>
      <c r="AA683" s="20" t="s">
        <v>49</v>
      </c>
      <c r="AB683" s="20" t="s">
        <v>49</v>
      </c>
      <c r="AC683" s="19" t="s">
        <v>49</v>
      </c>
      <c r="AD683" s="19" t="str">
        <f ca="1">IFERROR(DATEDIF(DadosViagem5[[#This Row],[Utimo Bip Reserva]],TODAY(),"D"),"")</f>
        <v/>
      </c>
      <c r="AE683" s="36" t="s">
        <v>1206</v>
      </c>
      <c r="AF683" s="25" t="s">
        <v>49</v>
      </c>
      <c r="AG683" s="36"/>
      <c r="AH683" s="25">
        <v>45807</v>
      </c>
      <c r="AI683" s="36" t="str">
        <f>IF(DadosViagem5[[#This Row],[Dias em manutenção ]]&lt;5,"Dentro do Prazo","Fora do Prazo")</f>
        <v>Fora do Prazo</v>
      </c>
      <c r="AJ683" s="36" t="e">
        <v>#REF!</v>
      </c>
    </row>
    <row r="684" spans="1:36">
      <c r="A684" s="19" t="s">
        <v>1207</v>
      </c>
      <c r="B684" s="20"/>
      <c r="C684" s="19" t="s">
        <v>88</v>
      </c>
      <c r="D684" s="19" t="s">
        <v>52</v>
      </c>
      <c r="E684" s="19" t="s">
        <v>114</v>
      </c>
      <c r="F684" s="19" t="s">
        <v>115</v>
      </c>
      <c r="G684" s="19"/>
      <c r="H684" s="20">
        <v>2021</v>
      </c>
      <c r="I684" s="19" t="s">
        <v>41</v>
      </c>
      <c r="J684" s="19" t="s">
        <v>1190</v>
      </c>
      <c r="K684" s="21" t="s">
        <v>1191</v>
      </c>
      <c r="L684" s="22" t="s">
        <v>60</v>
      </c>
      <c r="M684" s="23" t="s">
        <v>61</v>
      </c>
      <c r="N684" s="24" t="s">
        <v>1192</v>
      </c>
      <c r="O684" s="65" t="s">
        <v>1193</v>
      </c>
      <c r="P684" s="26">
        <f ca="1">IFERROR(VLOOKUP(DadosViagem5[[#This Row],[Placa]],[1]BIP!A:E,5,FALSE),"")</f>
        <v>45843</v>
      </c>
      <c r="Q684" s="27">
        <f ca="1">DATEDIF(DadosViagem5[[#This Row],[BIP]],TODAY(),"D")</f>
        <v>147</v>
      </c>
      <c r="R684" s="28" t="str">
        <f>IFERROR(VLOOKUP(DadosViagem5[[#This Row],[Placa]],[1]DDS!B:C,2,FALSE),"Verificar cadastro")</f>
        <v>Verificar cadastro</v>
      </c>
      <c r="S684" s="36" t="s">
        <v>574</v>
      </c>
      <c r="T684" s="23"/>
      <c r="U684" s="30"/>
      <c r="V684" s="31"/>
      <c r="W684" s="32" t="s">
        <v>1208</v>
      </c>
      <c r="X684" s="33"/>
      <c r="Y684" s="34"/>
      <c r="Z684" s="32"/>
      <c r="AA684" s="20" t="s">
        <v>49</v>
      </c>
      <c r="AB684" s="20" t="s">
        <v>49</v>
      </c>
      <c r="AC684" s="19" t="s">
        <v>49</v>
      </c>
      <c r="AD684" s="19" t="str">
        <f ca="1">IFERROR(DATEDIF(DadosViagem5[[#This Row],[Utimo Bip Reserva]],TODAY(),"D"),"")</f>
        <v/>
      </c>
      <c r="AE684" s="36" t="s">
        <v>49</v>
      </c>
      <c r="AF684" s="25" t="s">
        <v>49</v>
      </c>
      <c r="AG684" s="36"/>
      <c r="AH684" s="25">
        <v>32</v>
      </c>
      <c r="AI684" s="36" t="str">
        <f>IF(DadosViagem5[[#This Row],[Dias em manutenção ]]&lt;5,"Dentro do Prazo","Fora do Prazo")</f>
        <v>Fora do Prazo</v>
      </c>
      <c r="AJ684" s="36" t="e">
        <v>#REF!</v>
      </c>
    </row>
    <row r="685" spans="1:36">
      <c r="A685" s="19" t="s">
        <v>1209</v>
      </c>
      <c r="B685" s="20"/>
      <c r="C685" s="19" t="s">
        <v>88</v>
      </c>
      <c r="D685" s="19" t="s">
        <v>52</v>
      </c>
      <c r="E685" s="19" t="s">
        <v>114</v>
      </c>
      <c r="F685" s="19" t="s">
        <v>115</v>
      </c>
      <c r="G685" s="19"/>
      <c r="H685" s="20">
        <v>2021</v>
      </c>
      <c r="I685" s="19" t="s">
        <v>41</v>
      </c>
      <c r="J685" s="19" t="s">
        <v>1190</v>
      </c>
      <c r="K685" s="21" t="s">
        <v>1191</v>
      </c>
      <c r="L685" s="22" t="s">
        <v>60</v>
      </c>
      <c r="M685" s="23" t="s">
        <v>61</v>
      </c>
      <c r="N685" s="36" t="s">
        <v>1192</v>
      </c>
      <c r="O685" s="65" t="s">
        <v>1193</v>
      </c>
      <c r="P685" s="26">
        <f ca="1">IFERROR(VLOOKUP(DadosViagem5[[#This Row],[Placa]],[1]BIP!A:E,5,FALSE),"")</f>
        <v>45961</v>
      </c>
      <c r="Q685" s="27">
        <f ca="1">DATEDIF(DadosViagem5[[#This Row],[BIP]],TODAY(),"D")</f>
        <v>29</v>
      </c>
      <c r="R685" s="28" t="str">
        <f>IFERROR(VLOOKUP(DadosViagem5[[#This Row],[Placa]],[1]DDS!B:C,2,FALSE),"Verificar cadastro")</f>
        <v>Sem operação</v>
      </c>
      <c r="S685" s="29" t="s">
        <v>48</v>
      </c>
      <c r="T685" s="23"/>
      <c r="U685" s="30"/>
      <c r="V685" s="31"/>
      <c r="W685" s="32" t="s">
        <v>1210</v>
      </c>
      <c r="X685" s="33"/>
      <c r="Y685" s="34"/>
      <c r="Z685" s="32"/>
      <c r="AA685" s="20" t="s">
        <v>49</v>
      </c>
      <c r="AB685" s="20" t="s">
        <v>49</v>
      </c>
      <c r="AC685" s="19" t="s">
        <v>49</v>
      </c>
      <c r="AD685" s="19" t="str">
        <f ca="1">IFERROR(DATEDIF(DadosViagem5[[#This Row],[Utimo Bip Reserva]],TODAY(),"D"),"")</f>
        <v/>
      </c>
      <c r="AE685" s="36" t="s">
        <v>49</v>
      </c>
      <c r="AF685" s="25" t="s">
        <v>49</v>
      </c>
      <c r="AG685" s="36"/>
      <c r="AH685" s="25">
        <v>45807</v>
      </c>
      <c r="AI685" s="36" t="str">
        <f>IF(DadosViagem5[[#This Row],[Dias em manutenção ]]&lt;5,"Dentro do Prazo","Fora do Prazo")</f>
        <v>Fora do Prazo</v>
      </c>
      <c r="AJ685" s="36" t="e">
        <v>#REF!</v>
      </c>
    </row>
    <row r="686" spans="1:36">
      <c r="A686" s="19" t="s">
        <v>1211</v>
      </c>
      <c r="B686" s="20">
        <v>393</v>
      </c>
      <c r="C686" s="19" t="s">
        <v>74</v>
      </c>
      <c r="D686" s="19" t="s">
        <v>52</v>
      </c>
      <c r="E686" s="19" t="s">
        <v>75</v>
      </c>
      <c r="F686" s="19" t="s">
        <v>115</v>
      </c>
      <c r="G686" s="19"/>
      <c r="H686" s="20">
        <v>2024</v>
      </c>
      <c r="I686" s="19" t="s">
        <v>41</v>
      </c>
      <c r="J686" s="19" t="s">
        <v>1190</v>
      </c>
      <c r="K686" s="21" t="s">
        <v>1191</v>
      </c>
      <c r="L686" s="22" t="s">
        <v>60</v>
      </c>
      <c r="M686" s="23" t="s">
        <v>77</v>
      </c>
      <c r="N686" s="36" t="s">
        <v>1192</v>
      </c>
      <c r="O686" s="65" t="s">
        <v>1193</v>
      </c>
      <c r="P686" s="26">
        <f ca="1">IFERROR(VLOOKUP(DadosViagem5[[#This Row],[Placa]],[1]BIP!A:E,5,FALSE),"")</f>
        <v>45989</v>
      </c>
      <c r="Q686" s="27">
        <f ca="1">DATEDIF(DadosViagem5[[#This Row],[BIP]],TODAY(),"D")</f>
        <v>1</v>
      </c>
      <c r="R686" s="28" t="str">
        <f>IFERROR(VLOOKUP(DadosViagem5[[#This Row],[Placa]],[1]DDS!B:C,2,FALSE),"Verificar cadastro")</f>
        <v>Operando</v>
      </c>
      <c r="S686" s="29" t="s">
        <v>48</v>
      </c>
      <c r="T686" s="23"/>
      <c r="U686" s="30"/>
      <c r="V686" s="31"/>
      <c r="W686" s="32"/>
      <c r="X686" s="33"/>
      <c r="Y686" s="96"/>
      <c r="Z686" s="43"/>
      <c r="AA686" s="20" t="s">
        <v>49</v>
      </c>
      <c r="AB686" s="20" t="s">
        <v>49</v>
      </c>
      <c r="AC686" s="19" t="s">
        <v>49</v>
      </c>
      <c r="AD686" s="19" t="str">
        <f ca="1">IFERROR(DATEDIF(DadosViagem5[[#This Row],[Utimo Bip Reserva]],TODAY(),"D"),"")</f>
        <v/>
      </c>
      <c r="AE686" s="35" t="s">
        <v>49</v>
      </c>
      <c r="AF686" s="35" t="s">
        <v>49</v>
      </c>
      <c r="AG686" s="36"/>
      <c r="AH686" s="25">
        <v>11</v>
      </c>
      <c r="AI686" s="36" t="str">
        <f>IF(DadosViagem5[[#This Row],[Dias em manutenção ]]&lt;5,"Dentro do Prazo","Fora do Prazo")</f>
        <v>Fora do Prazo</v>
      </c>
      <c r="AJ686" s="36" t="e">
        <v>#REF!</v>
      </c>
    </row>
    <row r="687" spans="1:36">
      <c r="A687" s="19" t="s">
        <v>1212</v>
      </c>
      <c r="B687" s="20">
        <v>422</v>
      </c>
      <c r="C687" s="19" t="s">
        <v>74</v>
      </c>
      <c r="D687" s="19" t="s">
        <v>52</v>
      </c>
      <c r="E687" s="19" t="s">
        <v>75</v>
      </c>
      <c r="F687" s="19" t="s">
        <v>76</v>
      </c>
      <c r="G687" s="19"/>
      <c r="H687" s="20">
        <v>2024</v>
      </c>
      <c r="I687" s="19" t="s">
        <v>41</v>
      </c>
      <c r="J687" s="19" t="s">
        <v>1190</v>
      </c>
      <c r="K687" s="21" t="s">
        <v>1191</v>
      </c>
      <c r="L687" s="22" t="s">
        <v>60</v>
      </c>
      <c r="M687" s="23" t="s">
        <v>77</v>
      </c>
      <c r="N687" s="24" t="s">
        <v>1192</v>
      </c>
      <c r="O687" s="65" t="s">
        <v>1193</v>
      </c>
      <c r="P687" s="26">
        <f ca="1">IFERROR(VLOOKUP(DadosViagem5[[#This Row],[Placa]],[1]BIP!A:E,5,FALSE),"")</f>
        <v>45989</v>
      </c>
      <c r="Q687" s="27">
        <f ca="1">DATEDIF(DadosViagem5[[#This Row],[BIP]],TODAY(),"D")</f>
        <v>1</v>
      </c>
      <c r="R687" s="28" t="str">
        <f>IFERROR(VLOOKUP(DadosViagem5[[#This Row],[Placa]],[1]DDS!B:C,2,FALSE),"Verificar cadastro")</f>
        <v>Operando</v>
      </c>
      <c r="S687" s="29" t="s">
        <v>48</v>
      </c>
      <c r="T687" s="23"/>
      <c r="U687" s="30"/>
      <c r="V687" s="31"/>
      <c r="W687" s="32" t="s">
        <v>1213</v>
      </c>
      <c r="X687" s="33"/>
      <c r="Y687" s="34"/>
      <c r="Z687" s="32"/>
      <c r="AA687" s="20" t="s">
        <v>49</v>
      </c>
      <c r="AB687" s="20" t="s">
        <v>49</v>
      </c>
      <c r="AC687" s="19" t="s">
        <v>49</v>
      </c>
      <c r="AD687" s="19" t="str">
        <f ca="1">IFERROR(DATEDIF(DadosViagem5[[#This Row],[Utimo Bip Reserva]],TODAY(),"D"),"")</f>
        <v/>
      </c>
      <c r="AE687" s="35" t="s">
        <v>49</v>
      </c>
      <c r="AF687" s="35" t="s">
        <v>49</v>
      </c>
      <c r="AG687" s="36"/>
      <c r="AH687" s="25">
        <v>45807</v>
      </c>
      <c r="AI687" s="36" t="str">
        <f>IF(DadosViagem5[[#This Row],[Dias em manutenção ]]&lt;5,"Dentro do Prazo","Fora do Prazo")</f>
        <v>Fora do Prazo</v>
      </c>
      <c r="AJ687" s="36" t="e">
        <v>#REF!</v>
      </c>
    </row>
    <row r="688" spans="1:36">
      <c r="A688" s="19" t="s">
        <v>1214</v>
      </c>
      <c r="B688" s="20"/>
      <c r="C688" s="19" t="s">
        <v>88</v>
      </c>
      <c r="D688" s="19" t="s">
        <v>52</v>
      </c>
      <c r="E688" s="19" t="s">
        <v>114</v>
      </c>
      <c r="F688" s="19" t="s">
        <v>115</v>
      </c>
      <c r="G688" s="19"/>
      <c r="H688" s="20">
        <v>2022</v>
      </c>
      <c r="I688" s="19" t="s">
        <v>41</v>
      </c>
      <c r="J688" s="19" t="s">
        <v>1190</v>
      </c>
      <c r="K688" s="21" t="s">
        <v>1191</v>
      </c>
      <c r="L688" s="22" t="s">
        <v>60</v>
      </c>
      <c r="M688" s="23" t="s">
        <v>268</v>
      </c>
      <c r="N688" s="36" t="s">
        <v>1192</v>
      </c>
      <c r="O688" s="65" t="s">
        <v>1193</v>
      </c>
      <c r="P688" s="26">
        <f ca="1">IFERROR(VLOOKUP(DadosViagem5[[#This Row],[Placa]],[1]BIP!A:E,5,FALSE),"")</f>
        <v>45916</v>
      </c>
      <c r="Q688" s="27">
        <f ca="1">DATEDIF(DadosViagem5[[#This Row],[BIP]],TODAY(),"D")</f>
        <v>74</v>
      </c>
      <c r="R688" s="28" t="str">
        <f>IFERROR(VLOOKUP(DadosViagem5[[#This Row],[Placa]],[1]DDS!B:C,2,FALSE),"Verificar cadastro")</f>
        <v>Verificar cadastro</v>
      </c>
      <c r="S688" s="36" t="s">
        <v>574</v>
      </c>
      <c r="T688" s="23"/>
      <c r="U688" s="30"/>
      <c r="V688" s="31"/>
      <c r="W688" s="32" t="s">
        <v>1215</v>
      </c>
      <c r="X688" s="33"/>
      <c r="Y688" s="34"/>
      <c r="Z688" s="32"/>
      <c r="AA688" s="20" t="s">
        <v>49</v>
      </c>
      <c r="AB688" s="20" t="s">
        <v>49</v>
      </c>
      <c r="AC688" s="19" t="s">
        <v>49</v>
      </c>
      <c r="AD688" s="19" t="str">
        <f ca="1">IFERROR(DATEDIF(DadosViagem5[[#This Row],[Utimo Bip Reserva]],TODAY(),"D"),"")</f>
        <v/>
      </c>
      <c r="AE688" s="36" t="s">
        <v>1216</v>
      </c>
      <c r="AF688" s="25" t="s">
        <v>49</v>
      </c>
      <c r="AG688" s="36"/>
      <c r="AH688" s="25">
        <v>45807</v>
      </c>
      <c r="AI688" s="36" t="str">
        <f>IF(DadosViagem5[[#This Row],[Dias em manutenção ]]&lt;5,"Dentro do Prazo","Fora do Prazo")</f>
        <v>Fora do Prazo</v>
      </c>
      <c r="AJ688" s="36" t="e">
        <v>#REF!</v>
      </c>
    </row>
    <row r="689" spans="1:36">
      <c r="A689" s="19" t="s">
        <v>1217</v>
      </c>
      <c r="B689" s="20"/>
      <c r="C689" s="19" t="s">
        <v>74</v>
      </c>
      <c r="D689" s="19" t="s">
        <v>52</v>
      </c>
      <c r="E689" s="19" t="s">
        <v>75</v>
      </c>
      <c r="F689" s="19" t="s">
        <v>40</v>
      </c>
      <c r="G689" s="19"/>
      <c r="H689" s="20">
        <v>2023</v>
      </c>
      <c r="I689" s="19" t="s">
        <v>41</v>
      </c>
      <c r="J689" s="19" t="s">
        <v>1190</v>
      </c>
      <c r="K689" s="21" t="s">
        <v>1191</v>
      </c>
      <c r="L689" s="22" t="s">
        <v>60</v>
      </c>
      <c r="M689" s="23" t="s">
        <v>77</v>
      </c>
      <c r="N689" s="36" t="s">
        <v>1192</v>
      </c>
      <c r="O689" s="65" t="s">
        <v>1193</v>
      </c>
      <c r="P689" s="26">
        <f ca="1">IFERROR(VLOOKUP(DadosViagem5[[#This Row],[Placa]],[1]BIP!A:E,5,FALSE),"")</f>
        <v>45989</v>
      </c>
      <c r="Q689" s="27">
        <f ca="1">DATEDIF(DadosViagem5[[#This Row],[BIP]],TODAY(),"D")</f>
        <v>1</v>
      </c>
      <c r="R689" s="28" t="str">
        <f>IFERROR(VLOOKUP(DadosViagem5[[#This Row],[Placa]],[1]DDS!B:C,2,FALSE),"Verificar cadastro")</f>
        <v>Operando</v>
      </c>
      <c r="S689" s="29" t="s">
        <v>48</v>
      </c>
      <c r="T689" s="23"/>
      <c r="U689" s="30"/>
      <c r="V689" s="31"/>
      <c r="W689" s="32" t="s">
        <v>1218</v>
      </c>
      <c r="X689" s="33"/>
      <c r="Y689" s="34"/>
      <c r="Z689" s="32"/>
      <c r="AA689" s="20" t="s">
        <v>49</v>
      </c>
      <c r="AB689" s="20" t="s">
        <v>49</v>
      </c>
      <c r="AC689" s="19" t="s">
        <v>49</v>
      </c>
      <c r="AD689" s="19" t="str">
        <f ca="1">IFERROR(DATEDIF(DadosViagem5[[#This Row],[Utimo Bip Reserva]],TODAY(),"D"),"")</f>
        <v/>
      </c>
      <c r="AE689" s="36"/>
      <c r="AF689" s="25"/>
      <c r="AG689" s="36"/>
      <c r="AH689" s="25">
        <v>45807</v>
      </c>
      <c r="AI689" s="36" t="str">
        <f>IF(DadosViagem5[[#This Row],[Dias em manutenção ]]&lt;5,"Dentro do Prazo","Fora do Prazo")</f>
        <v>Fora do Prazo</v>
      </c>
      <c r="AJ689" s="36" t="e">
        <v>#REF!</v>
      </c>
    </row>
    <row r="690" spans="1:36">
      <c r="A690" s="19" t="s">
        <v>1219</v>
      </c>
      <c r="B690" s="20"/>
      <c r="C690" s="19" t="s">
        <v>88</v>
      </c>
      <c r="D690" s="19" t="s">
        <v>52</v>
      </c>
      <c r="E690" s="19" t="s">
        <v>114</v>
      </c>
      <c r="F690" s="19" t="s">
        <v>115</v>
      </c>
      <c r="G690" s="19"/>
      <c r="H690" s="20">
        <v>2021</v>
      </c>
      <c r="I690" s="19" t="s">
        <v>41</v>
      </c>
      <c r="J690" s="19" t="s">
        <v>1190</v>
      </c>
      <c r="K690" s="21" t="s">
        <v>1191</v>
      </c>
      <c r="L690" s="22" t="s">
        <v>60</v>
      </c>
      <c r="M690" s="23" t="s">
        <v>61</v>
      </c>
      <c r="N690" s="36" t="s">
        <v>1192</v>
      </c>
      <c r="O690" s="65" t="s">
        <v>1193</v>
      </c>
      <c r="P690" s="26">
        <f ca="1">IFERROR(VLOOKUP(DadosViagem5[[#This Row],[Placa]],[1]BIP!A:E,5,FALSE),"")</f>
        <v>0</v>
      </c>
      <c r="Q690" s="27">
        <f ca="1">DATEDIF(DadosViagem5[[#This Row],[BIP]],TODAY(),"D")</f>
        <v>45990</v>
      </c>
      <c r="R690" s="28" t="str">
        <f>IFERROR(VLOOKUP(DadosViagem5[[#This Row],[Placa]],[1]DDS!B:C,2,FALSE),"Verificar cadastro")</f>
        <v>Verificar cadastro</v>
      </c>
      <c r="S690" s="36" t="s">
        <v>574</v>
      </c>
      <c r="T690" s="23"/>
      <c r="U690" s="30"/>
      <c r="V690" s="31"/>
      <c r="W690" s="32" t="s">
        <v>1220</v>
      </c>
      <c r="X690" s="33"/>
      <c r="Y690" s="34"/>
      <c r="Z690" s="32"/>
      <c r="AA690" s="20" t="s">
        <v>49</v>
      </c>
      <c r="AB690" s="20" t="s">
        <v>49</v>
      </c>
      <c r="AC690" s="19" t="s">
        <v>49</v>
      </c>
      <c r="AD690" s="19" t="str">
        <f ca="1">IFERROR(DATEDIF(DadosViagem5[[#This Row],[Utimo Bip Reserva]],TODAY(),"D"),"")</f>
        <v/>
      </c>
      <c r="AE690" s="36" t="s">
        <v>49</v>
      </c>
      <c r="AF690" s="25" t="s">
        <v>49</v>
      </c>
      <c r="AG690" s="36"/>
      <c r="AH690" s="25">
        <v>45807</v>
      </c>
      <c r="AI690" s="36" t="str">
        <f>IF(DadosViagem5[[#This Row],[Dias em manutenção ]]&lt;5,"Dentro do Prazo","Fora do Prazo")</f>
        <v>Fora do Prazo</v>
      </c>
      <c r="AJ690" s="36" t="e">
        <v>#REF!</v>
      </c>
    </row>
    <row r="691" spans="1:36">
      <c r="A691" s="19" t="s">
        <v>1221</v>
      </c>
      <c r="B691" s="20"/>
      <c r="C691" s="19" t="s">
        <v>71</v>
      </c>
      <c r="D691" s="19" t="s">
        <v>38</v>
      </c>
      <c r="E691" s="19" t="s">
        <v>72</v>
      </c>
      <c r="F691" s="19" t="s">
        <v>115</v>
      </c>
      <c r="G691" s="19"/>
      <c r="H691" s="20">
        <v>2024</v>
      </c>
      <c r="I691" s="19" t="s">
        <v>41</v>
      </c>
      <c r="J691" s="19" t="s">
        <v>1190</v>
      </c>
      <c r="K691" s="21" t="s">
        <v>1191</v>
      </c>
      <c r="L691" s="22" t="s">
        <v>60</v>
      </c>
      <c r="M691" s="23" t="s">
        <v>61</v>
      </c>
      <c r="N691" s="36" t="s">
        <v>1192</v>
      </c>
      <c r="O691" s="65" t="s">
        <v>1193</v>
      </c>
      <c r="P691" s="26">
        <f ca="1">IFERROR(VLOOKUP(DadosViagem5[[#This Row],[Placa]],[1]BIP!A:E,5,FALSE),"")</f>
        <v>45989</v>
      </c>
      <c r="Q691" s="27">
        <f ca="1">DATEDIF(DadosViagem5[[#This Row],[BIP]],TODAY(),"D")</f>
        <v>1</v>
      </c>
      <c r="R691" s="28" t="str">
        <f>IFERROR(VLOOKUP(DadosViagem5[[#This Row],[Placa]],[1]DDS!B:C,2,FALSE),"Verificar cadastro")</f>
        <v>Falta Motorista</v>
      </c>
      <c r="S691" s="29" t="s">
        <v>48</v>
      </c>
      <c r="T691" s="23"/>
      <c r="U691" s="30"/>
      <c r="V691" s="31"/>
      <c r="W691" s="32" t="s">
        <v>1218</v>
      </c>
      <c r="X691" s="33"/>
      <c r="Y691" s="34"/>
      <c r="Z691" s="32"/>
      <c r="AA691" s="20" t="s">
        <v>49</v>
      </c>
      <c r="AB691" s="20" t="s">
        <v>49</v>
      </c>
      <c r="AC691" s="19" t="s">
        <v>49</v>
      </c>
      <c r="AD691" s="19" t="str">
        <f ca="1">IFERROR(DATEDIF(DadosViagem5[[#This Row],[Utimo Bip Reserva]],TODAY(),"D"),"")</f>
        <v/>
      </c>
      <c r="AE691" s="25" t="s">
        <v>49</v>
      </c>
      <c r="AF691" s="25" t="s">
        <v>49</v>
      </c>
      <c r="AG691" s="36"/>
      <c r="AH691" s="25">
        <v>45807</v>
      </c>
      <c r="AI691" s="36" t="str">
        <f>IF(DadosViagem5[[#This Row],[Dias em manutenção ]]&lt;5,"Dentro do Prazo","Fora do Prazo")</f>
        <v>Fora do Prazo</v>
      </c>
      <c r="AJ691" s="36" t="e">
        <v>#REF!</v>
      </c>
    </row>
    <row r="692" spans="1:36">
      <c r="A692" s="19" t="s">
        <v>1222</v>
      </c>
      <c r="B692" s="20"/>
      <c r="C692" s="19" t="s">
        <v>71</v>
      </c>
      <c r="D692" s="19" t="s">
        <v>38</v>
      </c>
      <c r="E692" s="19" t="s">
        <v>265</v>
      </c>
      <c r="F692" s="19" t="s">
        <v>40</v>
      </c>
      <c r="G692" s="19"/>
      <c r="H692" s="20">
        <v>2023</v>
      </c>
      <c r="I692" s="19" t="s">
        <v>41</v>
      </c>
      <c r="J692" s="19" t="s">
        <v>1190</v>
      </c>
      <c r="K692" s="21" t="s">
        <v>1191</v>
      </c>
      <c r="L692" s="22" t="s">
        <v>60</v>
      </c>
      <c r="M692" s="23" t="s">
        <v>61</v>
      </c>
      <c r="N692" s="36" t="s">
        <v>1192</v>
      </c>
      <c r="O692" s="65" t="s">
        <v>1193</v>
      </c>
      <c r="P692" s="26">
        <f ca="1">IFERROR(VLOOKUP(DadosViagem5[[#This Row],[Placa]],[1]BIP!A:E,5,FALSE),"")</f>
        <v>45889</v>
      </c>
      <c r="Q692" s="27">
        <f ca="1">DATEDIF(DadosViagem5[[#This Row],[BIP]],TODAY(),"D")</f>
        <v>101</v>
      </c>
      <c r="R692" s="28" t="str">
        <f>IFERROR(VLOOKUP(DadosViagem5[[#This Row],[Placa]],[1]DDS!B:C,2,FALSE),"Verificar cadastro")</f>
        <v>Sinistrado</v>
      </c>
      <c r="S692" s="36" t="s">
        <v>574</v>
      </c>
      <c r="T692" s="23"/>
      <c r="U692" s="30"/>
      <c r="V692" s="31"/>
      <c r="W692" s="32" t="s">
        <v>1223</v>
      </c>
      <c r="X692" s="33"/>
      <c r="Y692" s="34"/>
      <c r="Z692" s="32"/>
      <c r="AA692" s="20" t="s">
        <v>49</v>
      </c>
      <c r="AB692" s="20" t="s">
        <v>49</v>
      </c>
      <c r="AC692" s="19" t="s">
        <v>49</v>
      </c>
      <c r="AD692" s="19" t="str">
        <f ca="1">IFERROR(DATEDIF(DadosViagem5[[#This Row],[Utimo Bip Reserva]],TODAY(),"D"),"")</f>
        <v/>
      </c>
      <c r="AE692" s="25" t="s">
        <v>49</v>
      </c>
      <c r="AF692" s="25" t="s">
        <v>49</v>
      </c>
      <c r="AG692" s="36"/>
      <c r="AH692" s="25">
        <v>45807</v>
      </c>
      <c r="AI692" s="36" t="str">
        <f>IF(DadosViagem5[[#This Row],[Dias em manutenção ]]&lt;5,"Dentro do Prazo","Fora do Prazo")</f>
        <v>Fora do Prazo</v>
      </c>
      <c r="AJ692" s="36" t="e">
        <v>#REF!</v>
      </c>
    </row>
    <row r="693" spans="1:36">
      <c r="A693" s="19" t="s">
        <v>1224</v>
      </c>
      <c r="B693" s="20">
        <v>394</v>
      </c>
      <c r="C693" s="19" t="s">
        <v>74</v>
      </c>
      <c r="D693" s="19" t="s">
        <v>52</v>
      </c>
      <c r="E693" s="19" t="s">
        <v>75</v>
      </c>
      <c r="F693" s="19" t="s">
        <v>115</v>
      </c>
      <c r="G693" s="19"/>
      <c r="H693" s="20">
        <v>2024</v>
      </c>
      <c r="I693" s="19" t="s">
        <v>41</v>
      </c>
      <c r="J693" s="19" t="s">
        <v>1190</v>
      </c>
      <c r="K693" s="21" t="s">
        <v>1191</v>
      </c>
      <c r="L693" s="22" t="s">
        <v>60</v>
      </c>
      <c r="M693" s="23" t="s">
        <v>77</v>
      </c>
      <c r="N693" s="36" t="s">
        <v>1192</v>
      </c>
      <c r="O693" s="65" t="s">
        <v>1193</v>
      </c>
      <c r="P693" s="26">
        <f ca="1">IFERROR(VLOOKUP(DadosViagem5[[#This Row],[Placa]],[1]BIP!A:E,5,FALSE),"")</f>
        <v>45989</v>
      </c>
      <c r="Q693" s="27">
        <f ca="1">DATEDIF(DadosViagem5[[#This Row],[BIP]],TODAY(),"D")</f>
        <v>1</v>
      </c>
      <c r="R693" s="28" t="str">
        <f>IFERROR(VLOOKUP(DadosViagem5[[#This Row],[Placa]],[1]DDS!B:C,2,FALSE),"Verificar cadastro")</f>
        <v>Operando</v>
      </c>
      <c r="S693" s="29" t="s">
        <v>48</v>
      </c>
      <c r="T693" s="23"/>
      <c r="U693" s="30"/>
      <c r="V693" s="31"/>
      <c r="W693" s="32"/>
      <c r="X693" s="33"/>
      <c r="Y693" s="34"/>
      <c r="Z693" s="32"/>
      <c r="AA693" s="20" t="s">
        <v>49</v>
      </c>
      <c r="AB693" s="20" t="s">
        <v>49</v>
      </c>
      <c r="AC693" s="19" t="s">
        <v>49</v>
      </c>
      <c r="AD693" s="19" t="str">
        <f ca="1">IFERROR(DATEDIF(DadosViagem5[[#This Row],[Utimo Bip Reserva]],TODAY(),"D"),"")</f>
        <v/>
      </c>
      <c r="AE693" s="36"/>
      <c r="AF693" s="25"/>
      <c r="AG693" s="36"/>
      <c r="AH693" s="25">
        <v>45807</v>
      </c>
      <c r="AI693" s="36" t="str">
        <f>IF(DadosViagem5[[#This Row],[Dias em manutenção ]]&lt;5,"Dentro do Prazo","Fora do Prazo")</f>
        <v>Fora do Prazo</v>
      </c>
      <c r="AJ693" s="36" t="e">
        <v>#REF!</v>
      </c>
    </row>
    <row r="694" spans="1:36">
      <c r="A694" s="19" t="s">
        <v>1225</v>
      </c>
      <c r="B694" s="20"/>
      <c r="C694" s="19" t="s">
        <v>88</v>
      </c>
      <c r="D694" s="19" t="s">
        <v>52</v>
      </c>
      <c r="E694" s="19" t="s">
        <v>114</v>
      </c>
      <c r="F694" s="19" t="s">
        <v>115</v>
      </c>
      <c r="G694" s="19"/>
      <c r="H694" s="20">
        <v>2023</v>
      </c>
      <c r="I694" s="19" t="s">
        <v>41</v>
      </c>
      <c r="J694" s="19" t="s">
        <v>1190</v>
      </c>
      <c r="K694" s="21" t="s">
        <v>1191</v>
      </c>
      <c r="L694" s="22" t="s">
        <v>60</v>
      </c>
      <c r="M694" s="23" t="s">
        <v>61</v>
      </c>
      <c r="N694" s="36" t="s">
        <v>1192</v>
      </c>
      <c r="O694" s="65" t="s">
        <v>1193</v>
      </c>
      <c r="P694" s="26">
        <f ca="1">IFERROR(VLOOKUP(DadosViagem5[[#This Row],[Placa]],[1]BIP!A:E,5,FALSE),"")</f>
        <v>45989</v>
      </c>
      <c r="Q694" s="27">
        <f ca="1">DATEDIF(DadosViagem5[[#This Row],[BIP]],TODAY(),"D")</f>
        <v>1</v>
      </c>
      <c r="R694" s="28" t="str">
        <f>IFERROR(VLOOKUP(DadosViagem5[[#This Row],[Placa]],[1]DDS!B:C,2,FALSE),"Verificar cadastro")</f>
        <v>Falta Motorista</v>
      </c>
      <c r="S694" s="29" t="s">
        <v>48</v>
      </c>
      <c r="T694" s="23"/>
      <c r="U694" s="30"/>
      <c r="V694" s="31"/>
      <c r="W694" s="32" t="s">
        <v>783</v>
      </c>
      <c r="X694" s="33"/>
      <c r="Y694" s="34"/>
      <c r="Z694" s="32"/>
      <c r="AA694" s="20" t="s">
        <v>49</v>
      </c>
      <c r="AB694" s="20" t="s">
        <v>49</v>
      </c>
      <c r="AC694" s="19" t="s">
        <v>49</v>
      </c>
      <c r="AD694" s="19" t="str">
        <f ca="1">IFERROR(DATEDIF(DadosViagem5[[#This Row],[Utimo Bip Reserva]],TODAY(),"D"),"")</f>
        <v/>
      </c>
      <c r="AE694" s="36" t="s">
        <v>49</v>
      </c>
      <c r="AF694" s="25" t="s">
        <v>49</v>
      </c>
      <c r="AG694" s="36"/>
      <c r="AH694" s="25">
        <v>45807</v>
      </c>
      <c r="AI694" s="36" t="str">
        <f>IF(DadosViagem5[[#This Row],[Dias em manutenção ]]&lt;5,"Dentro do Prazo","Fora do Prazo")</f>
        <v>Fora do Prazo</v>
      </c>
      <c r="AJ694" s="36" t="e">
        <v>#REF!</v>
      </c>
    </row>
    <row r="695" spans="1:36">
      <c r="A695" s="19" t="s">
        <v>1226</v>
      </c>
      <c r="B695" s="20"/>
      <c r="C695" s="19" t="s">
        <v>88</v>
      </c>
      <c r="D695" s="19" t="s">
        <v>52</v>
      </c>
      <c r="E695" s="19"/>
      <c r="F695" s="19" t="s">
        <v>115</v>
      </c>
      <c r="G695" s="19"/>
      <c r="H695" s="20">
        <v>2021</v>
      </c>
      <c r="I695" s="19" t="s">
        <v>41</v>
      </c>
      <c r="J695" s="19" t="s">
        <v>1190</v>
      </c>
      <c r="K695" s="21" t="s">
        <v>1191</v>
      </c>
      <c r="L695" s="22" t="s">
        <v>60</v>
      </c>
      <c r="M695" s="23" t="s">
        <v>61</v>
      </c>
      <c r="N695" s="36" t="s">
        <v>1192</v>
      </c>
      <c r="O695" s="65" t="s">
        <v>1193</v>
      </c>
      <c r="P695" s="26">
        <f ca="1">IFERROR(VLOOKUP(DadosViagem5[[#This Row],[Placa]],[1]BIP!A:E,5,FALSE),"")</f>
        <v>45885</v>
      </c>
      <c r="Q695" s="27">
        <f ca="1">DATEDIF(DadosViagem5[[#This Row],[BIP]],TODAY(),"D")</f>
        <v>105</v>
      </c>
      <c r="R695" s="28" t="str">
        <f>IFERROR(VLOOKUP(DadosViagem5[[#This Row],[Placa]],[1]DDS!B:C,2,FALSE),"Verificar cadastro")</f>
        <v>Verificar cadastro</v>
      </c>
      <c r="S695" s="36" t="s">
        <v>574</v>
      </c>
      <c r="T695" s="23"/>
      <c r="U695" s="30"/>
      <c r="V695" s="31"/>
      <c r="W695" s="32" t="s">
        <v>1227</v>
      </c>
      <c r="X695" s="33"/>
      <c r="Y695" s="96"/>
      <c r="Z695" s="43"/>
      <c r="AA695" s="20" t="s">
        <v>49</v>
      </c>
      <c r="AB695" s="20" t="s">
        <v>49</v>
      </c>
      <c r="AC695" s="20" t="s">
        <v>49</v>
      </c>
      <c r="AD695" s="20" t="s">
        <v>49</v>
      </c>
      <c r="AE695" s="36" t="s">
        <v>49</v>
      </c>
      <c r="AF695" s="25" t="s">
        <v>49</v>
      </c>
      <c r="AG695" s="36" t="s">
        <v>481</v>
      </c>
      <c r="AH695" s="25">
        <v>45807</v>
      </c>
      <c r="AI695" s="36" t="str">
        <f>IF(DadosViagem5[[#This Row],[Dias em manutenção ]]&lt;5,"Dentro do Prazo","Fora do Prazo")</f>
        <v>Fora do Prazo</v>
      </c>
      <c r="AJ695" s="36" t="e">
        <v>#REF!</v>
      </c>
    </row>
    <row r="696" spans="1:36">
      <c r="A696" s="19" t="s">
        <v>1228</v>
      </c>
      <c r="B696" s="20"/>
      <c r="C696" s="19" t="s">
        <v>88</v>
      </c>
      <c r="D696" s="19" t="s">
        <v>52</v>
      </c>
      <c r="E696" s="19" t="s">
        <v>57</v>
      </c>
      <c r="F696" s="19" t="s">
        <v>115</v>
      </c>
      <c r="G696" s="19"/>
      <c r="H696" s="20">
        <v>2022</v>
      </c>
      <c r="I696" s="19" t="s">
        <v>41</v>
      </c>
      <c r="J696" s="19" t="s">
        <v>1190</v>
      </c>
      <c r="K696" s="21" t="s">
        <v>1191</v>
      </c>
      <c r="L696" s="22" t="s">
        <v>60</v>
      </c>
      <c r="M696" s="23" t="s">
        <v>61</v>
      </c>
      <c r="N696" s="36" t="s">
        <v>1192</v>
      </c>
      <c r="O696" s="65" t="s">
        <v>1193</v>
      </c>
      <c r="P696" s="26">
        <f ca="1">IFERROR(VLOOKUP(DadosViagem5[[#This Row],[Placa]],[1]BIP!A:E,5,FALSE),"")</f>
        <v>45989</v>
      </c>
      <c r="Q696" s="27">
        <f ca="1">DATEDIF(DadosViagem5[[#This Row],[BIP]],TODAY(),"D")</f>
        <v>1</v>
      </c>
      <c r="R696" s="28" t="str">
        <f>IFERROR(VLOOKUP(DadosViagem5[[#This Row],[Placa]],[1]DDS!B:C,2,FALSE),"Verificar cadastro")</f>
        <v>Falta Motorista</v>
      </c>
      <c r="S696" s="29" t="s">
        <v>48</v>
      </c>
      <c r="T696" s="23"/>
      <c r="U696" s="30"/>
      <c r="V696" s="31"/>
      <c r="W696" s="32" t="s">
        <v>152</v>
      </c>
      <c r="X696" s="33"/>
      <c r="Y696" s="34"/>
      <c r="Z696" s="32"/>
      <c r="AA696" s="20" t="s">
        <v>49</v>
      </c>
      <c r="AB696" s="20" t="s">
        <v>49</v>
      </c>
      <c r="AC696" s="19" t="s">
        <v>49</v>
      </c>
      <c r="AD696" s="19" t="str">
        <f ca="1">IFERROR(DATEDIF(DadosViagem5[[#This Row],[Utimo Bip Reserva]],TODAY(),"D"),"")</f>
        <v/>
      </c>
      <c r="AE696" s="36" t="s">
        <v>49</v>
      </c>
      <c r="AF696" s="25" t="s">
        <v>49</v>
      </c>
      <c r="AG696" s="36"/>
      <c r="AH696" s="25">
        <v>7</v>
      </c>
      <c r="AI696" s="36" t="str">
        <f>IF(DadosViagem5[[#This Row],[Dias em manutenção ]]&lt;5,"Dentro do Prazo","Fora do Prazo")</f>
        <v>Fora do Prazo</v>
      </c>
      <c r="AJ696" s="36" t="e">
        <v>#REF!</v>
      </c>
    </row>
    <row r="697" spans="1:36">
      <c r="A697" s="19" t="s">
        <v>1229</v>
      </c>
      <c r="B697" s="20"/>
      <c r="C697" s="19" t="s">
        <v>51</v>
      </c>
      <c r="D697" s="19" t="s">
        <v>52</v>
      </c>
      <c r="E697" s="19" t="s">
        <v>53</v>
      </c>
      <c r="F697" s="19" t="s">
        <v>40</v>
      </c>
      <c r="G697" s="19"/>
      <c r="H697" s="20">
        <v>2023</v>
      </c>
      <c r="I697" s="19" t="s">
        <v>137</v>
      </c>
      <c r="J697" s="19" t="s">
        <v>138</v>
      </c>
      <c r="K697" s="21" t="s">
        <v>139</v>
      </c>
      <c r="L697" s="22" t="s">
        <v>60</v>
      </c>
      <c r="M697" s="23" t="s">
        <v>140</v>
      </c>
      <c r="N697" s="25" t="s">
        <v>141</v>
      </c>
      <c r="O697" s="25" t="s">
        <v>142</v>
      </c>
      <c r="P697" s="26">
        <f ca="1">IFERROR(VLOOKUP(DadosViagem5[[#This Row],[Placa]],[1]BIP!A:E,5,FALSE),"")</f>
        <v>0</v>
      </c>
      <c r="Q697" s="27">
        <f ca="1">DATEDIF(DadosViagem5[[#This Row],[BIP]],TODAY(),"D")</f>
        <v>45990</v>
      </c>
      <c r="R697" s="28" t="str">
        <f>IFERROR(VLOOKUP(DadosViagem5[[#This Row],[Placa]],[1]DDS!B:C,2,FALSE),"Verificar cadastro")</f>
        <v>Manutenção</v>
      </c>
      <c r="S697" s="29" t="s">
        <v>173</v>
      </c>
      <c r="T697" s="23"/>
      <c r="U697" s="30"/>
      <c r="V697" s="31">
        <v>45794</v>
      </c>
      <c r="W697" s="32" t="s">
        <v>1230</v>
      </c>
      <c r="X697" s="33" t="s">
        <v>65</v>
      </c>
      <c r="Y697" s="34">
        <v>45924</v>
      </c>
      <c r="Z697" s="42" t="s">
        <v>990</v>
      </c>
      <c r="AA697" s="20" t="s">
        <v>49</v>
      </c>
      <c r="AB697" s="20" t="s">
        <v>49</v>
      </c>
      <c r="AC697" s="19" t="s">
        <v>49</v>
      </c>
      <c r="AD697" s="19" t="str">
        <f ca="1">IFERROR(DATEDIF(DadosViagem5[[#This Row],[Utimo Bip Reserva]],TODAY(),"D"),"")</f>
        <v/>
      </c>
      <c r="AE697" s="25" t="s">
        <v>1231</v>
      </c>
      <c r="AF697" s="25" t="s">
        <v>49</v>
      </c>
      <c r="AG697" s="36" t="s">
        <v>290</v>
      </c>
      <c r="AH697" s="25">
        <v>45807</v>
      </c>
      <c r="AI697" s="36" t="str">
        <f>IF(DadosViagem5[[#This Row],[Dias em manutenção ]]&lt;5,"Dentro do Prazo","Fora do Prazo")</f>
        <v>Fora do Prazo</v>
      </c>
      <c r="AJ697" s="36" t="e">
        <v>#REF!</v>
      </c>
    </row>
    <row r="698" spans="1:36">
      <c r="A698" s="19" t="s">
        <v>1232</v>
      </c>
      <c r="B698" s="20"/>
      <c r="C698" s="19" t="s">
        <v>74</v>
      </c>
      <c r="D698" s="19" t="s">
        <v>52</v>
      </c>
      <c r="E698" s="19" t="s">
        <v>75</v>
      </c>
      <c r="F698" s="19" t="s">
        <v>76</v>
      </c>
      <c r="G698" s="19"/>
      <c r="H698" s="20">
        <v>2024</v>
      </c>
      <c r="I698" s="19" t="s">
        <v>137</v>
      </c>
      <c r="J698" s="119" t="s">
        <v>138</v>
      </c>
      <c r="K698" s="120" t="s">
        <v>139</v>
      </c>
      <c r="L698" s="121" t="s">
        <v>60</v>
      </c>
      <c r="M698" s="23" t="s">
        <v>77</v>
      </c>
      <c r="N698" s="25" t="s">
        <v>141</v>
      </c>
      <c r="O698" s="25" t="s">
        <v>142</v>
      </c>
      <c r="P698" s="26">
        <f ca="1">IFERROR(VLOOKUP(DadosViagem5[[#This Row],[Placa]],[1]BIP!A:E,5,FALSE),"")</f>
        <v>45789</v>
      </c>
      <c r="Q698" s="27">
        <f ca="1">DATEDIF(DadosViagem5[[#This Row],[BIP]],TODAY(),"D")</f>
        <v>201</v>
      </c>
      <c r="R698" s="28" t="str">
        <f>IFERROR(VLOOKUP(DadosViagem5[[#This Row],[Placa]],[1]DDS!B:C,2,FALSE),"Verificar cadastro")</f>
        <v>Manutenção</v>
      </c>
      <c r="S698" s="36" t="s">
        <v>186</v>
      </c>
      <c r="T698" s="23"/>
      <c r="U698" s="30"/>
      <c r="V698" s="31">
        <v>45789</v>
      </c>
      <c r="W698" s="32" t="s">
        <v>1233</v>
      </c>
      <c r="X698" s="57" t="s">
        <v>188</v>
      </c>
      <c r="Y698" s="86">
        <v>45930</v>
      </c>
      <c r="Z698" s="42" t="s">
        <v>1234</v>
      </c>
      <c r="AA698" s="20" t="s">
        <v>49</v>
      </c>
      <c r="AB698" s="20" t="s">
        <v>49</v>
      </c>
      <c r="AC698" s="19" t="s">
        <v>49</v>
      </c>
      <c r="AD698" s="19" t="str">
        <f ca="1">IFERROR(DATEDIF(DadosViagem5[[#This Row],[Utimo Bip Reserva]],TODAY(),"D"),"")</f>
        <v/>
      </c>
      <c r="AE698" s="36"/>
      <c r="AF698" s="25"/>
      <c r="AG698" s="36" t="s">
        <v>290</v>
      </c>
      <c r="AH698" s="25">
        <v>18</v>
      </c>
      <c r="AI698" s="36" t="str">
        <f>IF(DadosViagem5[[#This Row],[Dias em manutenção ]]&lt;5,"Dentro do Prazo","Fora do Prazo")</f>
        <v>Fora do Prazo</v>
      </c>
      <c r="AJ698" s="36" t="e">
        <v>#REF!</v>
      </c>
    </row>
    <row r="699" spans="1:36">
      <c r="A699" s="19" t="s">
        <v>1235</v>
      </c>
      <c r="B699" s="20"/>
      <c r="C699" s="19" t="s">
        <v>671</v>
      </c>
      <c r="D699" s="19" t="s">
        <v>132</v>
      </c>
      <c r="E699" s="19" t="s">
        <v>114</v>
      </c>
      <c r="F699" s="19" t="s">
        <v>115</v>
      </c>
      <c r="G699" s="19"/>
      <c r="H699" s="20">
        <v>2022</v>
      </c>
      <c r="I699" s="19" t="s">
        <v>137</v>
      </c>
      <c r="J699" s="19" t="s">
        <v>138</v>
      </c>
      <c r="K699" s="122" t="s">
        <v>139</v>
      </c>
      <c r="L699" s="22" t="s">
        <v>60</v>
      </c>
      <c r="M699" s="23" t="s">
        <v>140</v>
      </c>
      <c r="N699" s="25" t="s">
        <v>141</v>
      </c>
      <c r="O699" s="25" t="s">
        <v>142</v>
      </c>
      <c r="P699" s="26">
        <f ca="1">IFERROR(VLOOKUP(DadosViagem5[[#This Row],[Placa]],[1]BIP!A:E,5,FALSE),"")</f>
        <v>45986</v>
      </c>
      <c r="Q699" s="27">
        <f ca="1">DATEDIF(DadosViagem5[[#This Row],[BIP]],TODAY(),"D")</f>
        <v>4</v>
      </c>
      <c r="R699" s="28" t="str">
        <f>IFERROR(VLOOKUP(DadosViagem5[[#This Row],[Placa]],[1]DDS!B:C,2,FALSE),"Verificar cadastro")</f>
        <v> </v>
      </c>
      <c r="S699" s="29" t="s">
        <v>173</v>
      </c>
      <c r="T699" s="23"/>
      <c r="U699" s="30"/>
      <c r="V699" s="31">
        <v>45821</v>
      </c>
      <c r="W699" s="32" t="s">
        <v>1236</v>
      </c>
      <c r="X699" s="33" t="s">
        <v>65</v>
      </c>
      <c r="Y699" s="34" t="s">
        <v>66</v>
      </c>
      <c r="Z699" s="42" t="s">
        <v>1237</v>
      </c>
      <c r="AA699" s="20" t="s">
        <v>49</v>
      </c>
      <c r="AB699" s="20" t="s">
        <v>49</v>
      </c>
      <c r="AC699" s="19" t="s">
        <v>49</v>
      </c>
      <c r="AD699" s="19" t="str">
        <f ca="1">IFERROR(DATEDIF(DadosViagem5[[#This Row],[Utimo Bip Reserva]],TODAY(),"D"),"")</f>
        <v/>
      </c>
      <c r="AE699" s="36" t="s">
        <v>49</v>
      </c>
      <c r="AF699" s="25" t="s">
        <v>49</v>
      </c>
      <c r="AG699" s="36" t="s">
        <v>290</v>
      </c>
      <c r="AH699" s="25">
        <v>45807</v>
      </c>
      <c r="AI699" s="36" t="str">
        <f>IF(DadosViagem5[[#This Row],[Dias em manutenção ]]&lt;5,"Dentro do Prazo","Fora do Prazo")</f>
        <v>Fora do Prazo</v>
      </c>
      <c r="AJ699" s="36" t="e">
        <v>#REF!</v>
      </c>
    </row>
    <row r="700" spans="1:36">
      <c r="A700" s="19" t="s">
        <v>1238</v>
      </c>
      <c r="B700" s="20"/>
      <c r="C700" s="19" t="s">
        <v>671</v>
      </c>
      <c r="D700" s="19" t="s">
        <v>132</v>
      </c>
      <c r="E700" s="19" t="s">
        <v>114</v>
      </c>
      <c r="F700" s="19" t="s">
        <v>115</v>
      </c>
      <c r="G700" s="19"/>
      <c r="H700" s="20">
        <v>2022</v>
      </c>
      <c r="I700" s="19" t="s">
        <v>137</v>
      </c>
      <c r="J700" s="19" t="s">
        <v>138</v>
      </c>
      <c r="K700" s="21" t="s">
        <v>139</v>
      </c>
      <c r="L700" s="22" t="s">
        <v>60</v>
      </c>
      <c r="M700" s="23" t="s">
        <v>140</v>
      </c>
      <c r="N700" s="40" t="s">
        <v>141</v>
      </c>
      <c r="O700" s="25" t="s">
        <v>142</v>
      </c>
      <c r="P700" s="26">
        <f ca="1">IFERROR(VLOOKUP(DadosViagem5[[#This Row],[Placa]],[1]BIP!A:E,5,FALSE),"")</f>
        <v>45933</v>
      </c>
      <c r="Q700" s="27">
        <f ca="1">DATEDIF(DadosViagem5[[#This Row],[BIP]],TODAY(),"D")</f>
        <v>57</v>
      </c>
      <c r="R700" s="28" t="str">
        <f>IFERROR(VLOOKUP(DadosViagem5[[#This Row],[Placa]],[1]DDS!B:C,2,FALSE),"Verificar cadastro")</f>
        <v>Verificar cadastro</v>
      </c>
      <c r="S700" s="36" t="s">
        <v>574</v>
      </c>
      <c r="T700" s="23"/>
      <c r="U700" s="30"/>
      <c r="V700" s="31"/>
      <c r="W700" s="32" t="s">
        <v>1239</v>
      </c>
      <c r="X700" s="33"/>
      <c r="Y700" s="34"/>
      <c r="Z700" s="32"/>
      <c r="AA700" s="20" t="s">
        <v>49</v>
      </c>
      <c r="AB700" s="20" t="s">
        <v>49</v>
      </c>
      <c r="AC700" s="19" t="s">
        <v>49</v>
      </c>
      <c r="AD700" s="19" t="str">
        <f ca="1">IFERROR(DATEDIF(DadosViagem5[[#This Row],[Utimo Bip Reserva]],TODAY(),"D"),"")</f>
        <v/>
      </c>
      <c r="AE700" s="36" t="s">
        <v>49</v>
      </c>
      <c r="AF700" s="25" t="s">
        <v>49</v>
      </c>
      <c r="AG700" s="36" t="s">
        <v>290</v>
      </c>
      <c r="AH700" s="25">
        <v>45807</v>
      </c>
      <c r="AI700" s="36" t="str">
        <f>IF(DadosViagem5[[#This Row],[Dias em manutenção ]]&lt;5,"Dentro do Prazo","Fora do Prazo")</f>
        <v>Fora do Prazo</v>
      </c>
      <c r="AJ700" s="36" t="e">
        <v>#REF!</v>
      </c>
    </row>
    <row r="701" spans="1:36">
      <c r="A701" s="19" t="s">
        <v>1240</v>
      </c>
      <c r="B701" s="20"/>
      <c r="C701" s="19" t="s">
        <v>51</v>
      </c>
      <c r="D701" s="19" t="s">
        <v>52</v>
      </c>
      <c r="E701" s="19" t="s">
        <v>53</v>
      </c>
      <c r="F701" s="19" t="s">
        <v>40</v>
      </c>
      <c r="G701" s="19"/>
      <c r="H701" s="20">
        <v>2022</v>
      </c>
      <c r="I701" s="19" t="s">
        <v>137</v>
      </c>
      <c r="J701" s="19" t="s">
        <v>138</v>
      </c>
      <c r="K701" s="21" t="s">
        <v>139</v>
      </c>
      <c r="L701" s="22" t="s">
        <v>60</v>
      </c>
      <c r="M701" s="23" t="s">
        <v>140</v>
      </c>
      <c r="N701" s="40" t="s">
        <v>141</v>
      </c>
      <c r="O701" s="25" t="s">
        <v>142</v>
      </c>
      <c r="P701" s="26">
        <f ca="1">IFERROR(VLOOKUP(DadosViagem5[[#This Row],[Placa]],[1]BIP!A:E,5,FALSE),"")</f>
        <v>0</v>
      </c>
      <c r="Q701" s="27">
        <f ca="1">DATEDIF(DadosViagem5[[#This Row],[BIP]],TODAY(),"D")</f>
        <v>45990</v>
      </c>
      <c r="R701" s="28" t="str">
        <f>IFERROR(VLOOKUP(DadosViagem5[[#This Row],[Placa]],[1]DDS!B:C,2,FALSE),"Verificar cadastro")</f>
        <v>Manutenção</v>
      </c>
      <c r="S701" s="29" t="s">
        <v>173</v>
      </c>
      <c r="T701" s="23"/>
      <c r="U701" s="30"/>
      <c r="V701" s="31">
        <v>45807</v>
      </c>
      <c r="W701" s="32" t="s">
        <v>1241</v>
      </c>
      <c r="X701" s="33" t="s">
        <v>65</v>
      </c>
      <c r="Y701" s="34" t="s">
        <v>159</v>
      </c>
      <c r="Z701" s="42" t="s">
        <v>1242</v>
      </c>
      <c r="AA701" s="20" t="s">
        <v>49</v>
      </c>
      <c r="AB701" s="20" t="s">
        <v>49</v>
      </c>
      <c r="AC701" s="19" t="s">
        <v>49</v>
      </c>
      <c r="AD701" s="19" t="str">
        <f ca="1">IFERROR(DATEDIF(DadosViagem5[[#This Row],[Utimo Bip Reserva]],TODAY(),"D"),"")</f>
        <v/>
      </c>
      <c r="AE701" s="35" t="s">
        <v>1243</v>
      </c>
      <c r="AF701" s="35" t="s">
        <v>49</v>
      </c>
      <c r="AG701" s="36" t="s">
        <v>290</v>
      </c>
      <c r="AH701" s="25">
        <v>45807</v>
      </c>
      <c r="AI701" s="36" t="str">
        <f>IF(DadosViagem5[[#This Row],[Dias em manutenção ]]&lt;5,"Dentro do Prazo","Fora do Prazo")</f>
        <v>Fora do Prazo</v>
      </c>
      <c r="AJ701" s="36" t="e">
        <v>#REF!</v>
      </c>
    </row>
    <row r="702" spans="1:36">
      <c r="A702" s="19" t="s">
        <v>1244</v>
      </c>
      <c r="B702" s="20"/>
      <c r="C702" s="19" t="s">
        <v>74</v>
      </c>
      <c r="D702" s="19" t="s">
        <v>52</v>
      </c>
      <c r="E702" s="19" t="s">
        <v>75</v>
      </c>
      <c r="F702" s="19" t="s">
        <v>76</v>
      </c>
      <c r="G702" s="19"/>
      <c r="H702" s="20">
        <v>2024</v>
      </c>
      <c r="I702" s="19" t="s">
        <v>137</v>
      </c>
      <c r="J702" s="19" t="s">
        <v>138</v>
      </c>
      <c r="K702" s="21" t="s">
        <v>139</v>
      </c>
      <c r="L702" s="22" t="s">
        <v>60</v>
      </c>
      <c r="M702" s="23" t="s">
        <v>77</v>
      </c>
      <c r="N702" s="40" t="s">
        <v>141</v>
      </c>
      <c r="O702" s="25" t="s">
        <v>142</v>
      </c>
      <c r="P702" s="26">
        <f ca="1">IFERROR(VLOOKUP(DadosViagem5[[#This Row],[Placa]],[1]BIP!A:E,5,FALSE),"")</f>
        <v>45953</v>
      </c>
      <c r="Q702" s="27">
        <f ca="1">DATEDIF(DadosViagem5[[#This Row],[BIP]],TODAY(),"D")</f>
        <v>37</v>
      </c>
      <c r="R702" s="28" t="str">
        <f>IFERROR(VLOOKUP(DadosViagem5[[#This Row],[Placa]],[1]DDS!B:C,2,FALSE),"Verificar cadastro")</f>
        <v>Manutenção</v>
      </c>
      <c r="S702" s="29" t="s">
        <v>48</v>
      </c>
      <c r="T702" s="23"/>
      <c r="U702" s="30"/>
      <c r="V702" s="31"/>
      <c r="W702" s="32" t="s">
        <v>1245</v>
      </c>
      <c r="X702" s="33"/>
      <c r="Y702" s="86"/>
      <c r="Z702" s="42"/>
      <c r="AA702" s="20" t="s">
        <v>49</v>
      </c>
      <c r="AB702" s="20" t="s">
        <v>49</v>
      </c>
      <c r="AC702" s="19" t="s">
        <v>49</v>
      </c>
      <c r="AD702" s="19" t="str">
        <f ca="1">IFERROR(DATEDIF(DadosViagem5[[#This Row],[Utimo Bip Reserva]],TODAY(),"D"),"")</f>
        <v/>
      </c>
      <c r="AE702" s="123"/>
      <c r="AF702" s="25"/>
      <c r="AG702" s="36" t="s">
        <v>290</v>
      </c>
      <c r="AH702" s="25">
        <v>45807</v>
      </c>
      <c r="AI702" s="36" t="str">
        <f>IF(DadosViagem5[[#This Row],[Dias em manutenção ]]&lt;5,"Dentro do Prazo","Fora do Prazo")</f>
        <v>Fora do Prazo</v>
      </c>
      <c r="AJ702" s="36" t="e">
        <v>#REF!</v>
      </c>
    </row>
    <row r="703" spans="1:36">
      <c r="A703" s="19" t="s">
        <v>1246</v>
      </c>
      <c r="B703" s="20"/>
      <c r="C703" s="19" t="s">
        <v>74</v>
      </c>
      <c r="D703" s="19" t="s">
        <v>52</v>
      </c>
      <c r="E703" s="19" t="s">
        <v>75</v>
      </c>
      <c r="F703" s="19" t="s">
        <v>76</v>
      </c>
      <c r="G703" s="19"/>
      <c r="H703" s="20">
        <v>2024</v>
      </c>
      <c r="I703" s="19" t="s">
        <v>137</v>
      </c>
      <c r="J703" s="19" t="s">
        <v>138</v>
      </c>
      <c r="K703" s="21" t="s">
        <v>139</v>
      </c>
      <c r="L703" s="22" t="s">
        <v>60</v>
      </c>
      <c r="M703" s="23" t="s">
        <v>77</v>
      </c>
      <c r="N703" s="40" t="s">
        <v>141</v>
      </c>
      <c r="O703" s="25" t="s">
        <v>142</v>
      </c>
      <c r="P703" s="26">
        <f ca="1">IFERROR(VLOOKUP(DadosViagem5[[#This Row],[Placa]],[1]BIP!A:E,5,FALSE),"")</f>
        <v>45989</v>
      </c>
      <c r="Q703" s="27">
        <f ca="1">DATEDIF(DadosViagem5[[#This Row],[BIP]],TODAY(),"D")</f>
        <v>1</v>
      </c>
      <c r="R703" s="28" t="str">
        <f>IFERROR(VLOOKUP(DadosViagem5[[#This Row],[Placa]],[1]DDS!B:C,2,FALSE),"Verificar cadastro")</f>
        <v>Operando</v>
      </c>
      <c r="S703" s="29" t="s">
        <v>48</v>
      </c>
      <c r="T703" s="23"/>
      <c r="U703" s="30"/>
      <c r="V703" s="31"/>
      <c r="W703" s="32" t="s">
        <v>993</v>
      </c>
      <c r="X703" s="33"/>
      <c r="Y703" s="86"/>
      <c r="Z703" s="42"/>
      <c r="AA703" s="20" t="s">
        <v>49</v>
      </c>
      <c r="AB703" s="20" t="s">
        <v>49</v>
      </c>
      <c r="AC703" s="19" t="s">
        <v>49</v>
      </c>
      <c r="AD703" s="19" t="str">
        <f ca="1">IFERROR(DATEDIF(DadosViagem5[[#This Row],[Utimo Bip Reserva]],TODAY(),"D"),"")</f>
        <v/>
      </c>
      <c r="AE703" s="35"/>
      <c r="AF703" s="35"/>
      <c r="AG703" s="36" t="s">
        <v>290</v>
      </c>
      <c r="AH703" s="25">
        <v>45807</v>
      </c>
      <c r="AI703" s="36" t="str">
        <f>IF(DadosViagem5[[#This Row],[Dias em manutenção ]]&lt;5,"Dentro do Prazo","Fora do Prazo")</f>
        <v>Fora do Prazo</v>
      </c>
      <c r="AJ703" s="36" t="e">
        <v>#REF!</v>
      </c>
    </row>
    <row r="704" spans="1:36">
      <c r="A704" s="124" t="s">
        <v>1247</v>
      </c>
      <c r="B704" s="20"/>
      <c r="C704" s="19" t="s">
        <v>671</v>
      </c>
      <c r="D704" s="19" t="s">
        <v>132</v>
      </c>
      <c r="E704" s="19" t="s">
        <v>114</v>
      </c>
      <c r="F704" s="19" t="s">
        <v>115</v>
      </c>
      <c r="G704" s="19"/>
      <c r="H704" s="20">
        <v>2022</v>
      </c>
      <c r="I704" s="19" t="s">
        <v>137</v>
      </c>
      <c r="J704" s="19" t="s">
        <v>138</v>
      </c>
      <c r="K704" s="21" t="s">
        <v>139</v>
      </c>
      <c r="L704" s="22" t="s">
        <v>60</v>
      </c>
      <c r="M704" s="23" t="s">
        <v>140</v>
      </c>
      <c r="N704" s="40" t="s">
        <v>141</v>
      </c>
      <c r="O704" s="25" t="s">
        <v>142</v>
      </c>
      <c r="P704" s="26">
        <f ca="1">IFERROR(VLOOKUP(DadosViagem5[[#This Row],[Placa]],[1]BIP!A:E,5,FALSE),"")</f>
        <v>45939</v>
      </c>
      <c r="Q704" s="27">
        <f ca="1">DATEDIF(DadosViagem5[[#This Row],[BIP]],TODAY(),"D")</f>
        <v>51</v>
      </c>
      <c r="R704" s="28" t="str">
        <f>IFERROR(VLOOKUP(DadosViagem5[[#This Row],[Placa]],[1]DDS!B:C,2,FALSE),"Verificar cadastro")</f>
        <v> </v>
      </c>
      <c r="S704" s="36" t="s">
        <v>35</v>
      </c>
      <c r="T704" s="23"/>
      <c r="U704" s="30"/>
      <c r="V704" s="31"/>
      <c r="W704" s="32" t="s">
        <v>1248</v>
      </c>
      <c r="X704" s="33"/>
      <c r="Y704" s="34"/>
      <c r="Z704" s="42"/>
      <c r="AA704" s="20" t="s">
        <v>49</v>
      </c>
      <c r="AB704" s="20" t="s">
        <v>49</v>
      </c>
      <c r="AC704" s="19" t="s">
        <v>49</v>
      </c>
      <c r="AD704" s="19" t="str">
        <f ca="1">IFERROR(DATEDIF(DadosViagem5[[#This Row],[Utimo Bip Reserva]],TODAY(),"D"),"")</f>
        <v/>
      </c>
      <c r="AE704" s="36" t="s">
        <v>49</v>
      </c>
      <c r="AF704" s="25" t="s">
        <v>49</v>
      </c>
      <c r="AG704" s="36" t="s">
        <v>290</v>
      </c>
      <c r="AH704" s="25">
        <v>45807</v>
      </c>
      <c r="AI704" s="36" t="str">
        <f>IF(DadosViagem5[[#This Row],[Dias em manutenção ]]&lt;5,"Dentro do Prazo","Fora do Prazo")</f>
        <v>Fora do Prazo</v>
      </c>
      <c r="AJ704" s="36" t="e">
        <v>#REF!</v>
      </c>
    </row>
    <row r="705" spans="1:36">
      <c r="A705" s="19" t="s">
        <v>1249</v>
      </c>
      <c r="B705" s="125"/>
      <c r="C705" s="19" t="s">
        <v>671</v>
      </c>
      <c r="D705" s="19" t="s">
        <v>132</v>
      </c>
      <c r="E705" s="19" t="s">
        <v>114</v>
      </c>
      <c r="F705" s="19" t="s">
        <v>115</v>
      </c>
      <c r="G705" s="19"/>
      <c r="H705" s="20">
        <v>2022</v>
      </c>
      <c r="I705" s="19" t="s">
        <v>137</v>
      </c>
      <c r="J705" s="19" t="s">
        <v>138</v>
      </c>
      <c r="K705" s="21" t="s">
        <v>139</v>
      </c>
      <c r="L705" s="22" t="s">
        <v>60</v>
      </c>
      <c r="M705" s="23" t="s">
        <v>140</v>
      </c>
      <c r="N705" s="40" t="s">
        <v>141</v>
      </c>
      <c r="O705" s="25" t="s">
        <v>142</v>
      </c>
      <c r="P705" s="26">
        <f ca="1">IFERROR(VLOOKUP(DadosViagem5[[#This Row],[Placa]],[1]BIP!A:E,5,FALSE),"")</f>
        <v>45987</v>
      </c>
      <c r="Q705" s="27">
        <f ca="1">DATEDIF(DadosViagem5[[#This Row],[BIP]],TODAY(),"D")</f>
        <v>3</v>
      </c>
      <c r="R705" s="28" t="str">
        <f>IFERROR(VLOOKUP(DadosViagem5[[#This Row],[Placa]],[1]DDS!B:C,2,FALSE),"Verificar cadastro")</f>
        <v> </v>
      </c>
      <c r="S705" s="29" t="s">
        <v>48</v>
      </c>
      <c r="T705" s="23"/>
      <c r="U705" s="30"/>
      <c r="V705" s="31"/>
      <c r="W705" s="32"/>
      <c r="X705" s="33"/>
      <c r="Y705" s="34"/>
      <c r="Z705" s="42"/>
      <c r="AA705" s="20" t="s">
        <v>49</v>
      </c>
      <c r="AB705" s="20" t="s">
        <v>49</v>
      </c>
      <c r="AC705" s="19" t="s">
        <v>49</v>
      </c>
      <c r="AD705" s="19" t="str">
        <f ca="1">IFERROR(DATEDIF(DadosViagem5[[#This Row],[Utimo Bip Reserva]],TODAY(),"D"),"")</f>
        <v/>
      </c>
      <c r="AE705" s="36" t="s">
        <v>49</v>
      </c>
      <c r="AF705" s="25" t="s">
        <v>49</v>
      </c>
      <c r="AG705" s="36" t="s">
        <v>290</v>
      </c>
      <c r="AH705" s="25">
        <v>45807</v>
      </c>
      <c r="AI705" s="36" t="str">
        <f>IF(DadosViagem5[[#This Row],[Dias em manutenção ]]&lt;5,"Dentro do Prazo","Fora do Prazo")</f>
        <v>Fora do Prazo</v>
      </c>
      <c r="AJ705" s="36" t="e">
        <v>#REF!</v>
      </c>
    </row>
    <row r="706" spans="1:36">
      <c r="A706" s="19" t="s">
        <v>1250</v>
      </c>
      <c r="B706" s="20"/>
      <c r="C706" s="19" t="s">
        <v>671</v>
      </c>
      <c r="D706" s="19" t="s">
        <v>132</v>
      </c>
      <c r="E706" s="19" t="s">
        <v>114</v>
      </c>
      <c r="F706" s="19" t="s">
        <v>115</v>
      </c>
      <c r="G706" s="19"/>
      <c r="H706" s="20">
        <v>2022</v>
      </c>
      <c r="I706" s="19" t="s">
        <v>137</v>
      </c>
      <c r="J706" s="19" t="s">
        <v>138</v>
      </c>
      <c r="K706" s="21" t="s">
        <v>139</v>
      </c>
      <c r="L706" s="22" t="s">
        <v>60</v>
      </c>
      <c r="M706" s="23" t="s">
        <v>140</v>
      </c>
      <c r="N706" s="25" t="s">
        <v>141</v>
      </c>
      <c r="O706" s="25" t="s">
        <v>142</v>
      </c>
      <c r="P706" s="26">
        <f ca="1">IFERROR(VLOOKUP(DadosViagem5[[#This Row],[Placa]],[1]BIP!A:E,5,FALSE),"")</f>
        <v>45943</v>
      </c>
      <c r="Q706" s="27">
        <f ca="1">DATEDIF(DadosViagem5[[#This Row],[BIP]],TODAY(),"D")</f>
        <v>47</v>
      </c>
      <c r="R706" s="28" t="str">
        <f>IFERROR(VLOOKUP(DadosViagem5[[#This Row],[Placa]],[1]DDS!B:C,2,FALSE),"Verificar cadastro")</f>
        <v> </v>
      </c>
      <c r="S706" s="29" t="s">
        <v>173</v>
      </c>
      <c r="T706" s="23"/>
      <c r="U706" s="30"/>
      <c r="V706" s="31"/>
      <c r="W706" s="32"/>
      <c r="X706" s="33"/>
      <c r="Y706" s="34"/>
      <c r="Z706" s="32"/>
      <c r="AA706" s="20" t="s">
        <v>49</v>
      </c>
      <c r="AB706" s="20" t="s">
        <v>49</v>
      </c>
      <c r="AC706" s="19" t="s">
        <v>49</v>
      </c>
      <c r="AD706" s="19" t="str">
        <f ca="1">IFERROR(DATEDIF(DadosViagem5[[#This Row],[Utimo Bip Reserva]],TODAY(),"D"),"")</f>
        <v/>
      </c>
      <c r="AE706" s="36" t="s">
        <v>49</v>
      </c>
      <c r="AF706" s="25" t="s">
        <v>49</v>
      </c>
      <c r="AG706" s="36" t="s">
        <v>290</v>
      </c>
      <c r="AH706" s="25">
        <v>45807</v>
      </c>
      <c r="AI706" s="36" t="str">
        <f>IF(DadosViagem5[[#This Row],[Dias em manutenção ]]&lt;5,"Dentro do Prazo","Fora do Prazo")</f>
        <v>Fora do Prazo</v>
      </c>
      <c r="AJ706" s="36" t="e">
        <v>#REF!</v>
      </c>
    </row>
    <row r="707" spans="1:36">
      <c r="A707" s="19" t="s">
        <v>1251</v>
      </c>
      <c r="B707" s="20"/>
      <c r="C707" s="19" t="s">
        <v>74</v>
      </c>
      <c r="D707" s="19" t="s">
        <v>52</v>
      </c>
      <c r="E707" s="19" t="s">
        <v>114</v>
      </c>
      <c r="F707" s="19" t="s">
        <v>115</v>
      </c>
      <c r="G707" s="19"/>
      <c r="H707" s="20">
        <v>2022</v>
      </c>
      <c r="I707" s="19" t="s">
        <v>137</v>
      </c>
      <c r="J707" s="19" t="s">
        <v>138</v>
      </c>
      <c r="K707" s="21" t="s">
        <v>139</v>
      </c>
      <c r="L707" s="22" t="s">
        <v>60</v>
      </c>
      <c r="M707" s="23" t="s">
        <v>77</v>
      </c>
      <c r="N707" s="25" t="s">
        <v>141</v>
      </c>
      <c r="O707" s="25" t="s">
        <v>142</v>
      </c>
      <c r="P707" s="26">
        <f ca="1">IFERROR(VLOOKUP(DadosViagem5[[#This Row],[Placa]],[1]BIP!A:E,5,FALSE),"")</f>
        <v>45825</v>
      </c>
      <c r="Q707" s="27">
        <f ca="1">DATEDIF(DadosViagem5[[#This Row],[BIP]],TODAY(),"D")</f>
        <v>165</v>
      </c>
      <c r="R707" s="28" t="str">
        <f>IFERROR(VLOOKUP(DadosViagem5[[#This Row],[Placa]],[1]DDS!B:C,2,FALSE),"Verificar cadastro")</f>
        <v>Verificar cadastro</v>
      </c>
      <c r="S707" s="36" t="s">
        <v>574</v>
      </c>
      <c r="T707" s="23"/>
      <c r="U707" s="30"/>
      <c r="V707" s="31"/>
      <c r="W707" s="32" t="s">
        <v>1252</v>
      </c>
      <c r="X707" s="33"/>
      <c r="Y707" s="34"/>
      <c r="Z707" s="32"/>
      <c r="AA707" s="20" t="s">
        <v>49</v>
      </c>
      <c r="AB707" s="20" t="s">
        <v>49</v>
      </c>
      <c r="AC707" s="19" t="s">
        <v>49</v>
      </c>
      <c r="AD707" s="19" t="str">
        <f ca="1">IFERROR(DATEDIF(DadosViagem5[[#This Row],[Utimo Bip Reserva]],TODAY(),"D"),"")</f>
        <v/>
      </c>
      <c r="AE707" s="36" t="s">
        <v>1253</v>
      </c>
      <c r="AF707" s="25" t="s">
        <v>49</v>
      </c>
      <c r="AG707" s="36" t="s">
        <v>290</v>
      </c>
      <c r="AH707" s="25">
        <v>45807</v>
      </c>
      <c r="AI707" s="36" t="str">
        <f>IF(DadosViagem5[[#This Row],[Dias em manutenção ]]&lt;5,"Dentro do Prazo","Fora do Prazo")</f>
        <v>Fora do Prazo</v>
      </c>
      <c r="AJ707" s="36" t="e">
        <v>#REF!</v>
      </c>
    </row>
    <row r="708" spans="1:36">
      <c r="A708" s="19" t="s">
        <v>1254</v>
      </c>
      <c r="B708" s="20"/>
      <c r="C708" s="19" t="s">
        <v>671</v>
      </c>
      <c r="D708" s="19" t="s">
        <v>132</v>
      </c>
      <c r="E708" s="19" t="s">
        <v>114</v>
      </c>
      <c r="F708" s="19" t="s">
        <v>115</v>
      </c>
      <c r="G708" s="19"/>
      <c r="H708" s="20">
        <v>2022</v>
      </c>
      <c r="I708" s="19" t="s">
        <v>137</v>
      </c>
      <c r="J708" s="19" t="s">
        <v>138</v>
      </c>
      <c r="K708" s="21" t="s">
        <v>139</v>
      </c>
      <c r="L708" s="22" t="s">
        <v>60</v>
      </c>
      <c r="M708" s="23" t="s">
        <v>140</v>
      </c>
      <c r="N708" s="25" t="s">
        <v>141</v>
      </c>
      <c r="O708" s="25" t="s">
        <v>142</v>
      </c>
      <c r="P708" s="26">
        <f ca="1">IFERROR(VLOOKUP(DadosViagem5[[#This Row],[Placa]],[1]BIP!A:E,5,FALSE),"")</f>
        <v>45989</v>
      </c>
      <c r="Q708" s="27">
        <f ca="1">DATEDIF(DadosViagem5[[#This Row],[BIP]],TODAY(),"D")</f>
        <v>1</v>
      </c>
      <c r="R708" s="28" t="str">
        <f>IFERROR(VLOOKUP(DadosViagem5[[#This Row],[Placa]],[1]DDS!B:C,2,FALSE),"Verificar cadastro")</f>
        <v>Operando</v>
      </c>
      <c r="S708" s="29" t="s">
        <v>48</v>
      </c>
      <c r="T708" s="23"/>
      <c r="U708" s="30"/>
      <c r="V708" s="31"/>
      <c r="W708" s="32"/>
      <c r="X708" s="33"/>
      <c r="Y708" s="34"/>
      <c r="Z708" s="32"/>
      <c r="AA708" s="20" t="s">
        <v>49</v>
      </c>
      <c r="AB708" s="20" t="s">
        <v>49</v>
      </c>
      <c r="AC708" s="19" t="s">
        <v>49</v>
      </c>
      <c r="AD708" s="19" t="str">
        <f ca="1">IFERROR(DATEDIF(DadosViagem5[[#This Row],[Utimo Bip Reserva]],TODAY(),"D"),"")</f>
        <v/>
      </c>
      <c r="AE708" s="36" t="s">
        <v>1255</v>
      </c>
      <c r="AF708" s="25" t="s">
        <v>49</v>
      </c>
      <c r="AG708" s="36" t="s">
        <v>290</v>
      </c>
      <c r="AH708" s="25">
        <v>30</v>
      </c>
      <c r="AI708" s="36" t="str">
        <f>IF(DadosViagem5[[#This Row],[Dias em manutenção ]]&lt;5,"Dentro do Prazo","Fora do Prazo")</f>
        <v>Fora do Prazo</v>
      </c>
      <c r="AJ708" s="36" t="e">
        <v>#REF!</v>
      </c>
    </row>
    <row r="709" spans="1:36">
      <c r="A709" s="19" t="s">
        <v>1256</v>
      </c>
      <c r="B709" s="20"/>
      <c r="C709" s="19" t="s">
        <v>671</v>
      </c>
      <c r="D709" s="19" t="s">
        <v>132</v>
      </c>
      <c r="E709" s="19" t="s">
        <v>114</v>
      </c>
      <c r="F709" s="19" t="s">
        <v>115</v>
      </c>
      <c r="G709" s="19"/>
      <c r="H709" s="20">
        <v>2022</v>
      </c>
      <c r="I709" s="19" t="s">
        <v>137</v>
      </c>
      <c r="J709" s="19" t="s">
        <v>138</v>
      </c>
      <c r="K709" s="21" t="s">
        <v>139</v>
      </c>
      <c r="L709" s="22" t="s">
        <v>60</v>
      </c>
      <c r="M709" s="23" t="s">
        <v>140</v>
      </c>
      <c r="N709" s="25" t="s">
        <v>141</v>
      </c>
      <c r="O709" s="25" t="s">
        <v>142</v>
      </c>
      <c r="P709" s="26">
        <f ca="1">IFERROR(VLOOKUP(DadosViagem5[[#This Row],[Placa]],[1]BIP!A:E,5,FALSE),"")</f>
        <v>45985</v>
      </c>
      <c r="Q709" s="27">
        <f ca="1">DATEDIF(DadosViagem5[[#This Row],[BIP]],TODAY(),"D")</f>
        <v>5</v>
      </c>
      <c r="R709" s="28" t="str">
        <f>IFERROR(VLOOKUP(DadosViagem5[[#This Row],[Placa]],[1]DDS!B:C,2,FALSE),"Verificar cadastro")</f>
        <v> </v>
      </c>
      <c r="S709" s="29" t="s">
        <v>48</v>
      </c>
      <c r="T709" s="23"/>
      <c r="U709" s="30"/>
      <c r="V709" s="31"/>
      <c r="W709" s="32"/>
      <c r="X709" s="33"/>
      <c r="Y709" s="34"/>
      <c r="Z709" s="32"/>
      <c r="AA709" s="20" t="s">
        <v>49</v>
      </c>
      <c r="AB709" s="20" t="s">
        <v>49</v>
      </c>
      <c r="AC709" s="19" t="s">
        <v>49</v>
      </c>
      <c r="AD709" s="19" t="str">
        <f ca="1">IFERROR(DATEDIF(DadosViagem5[[#This Row],[Utimo Bip Reserva]],TODAY(),"D"),"")</f>
        <v/>
      </c>
      <c r="AE709" s="36" t="s">
        <v>49</v>
      </c>
      <c r="AF709" s="25" t="s">
        <v>49</v>
      </c>
      <c r="AG709" s="36" t="s">
        <v>290</v>
      </c>
      <c r="AH709" s="25">
        <v>45807</v>
      </c>
      <c r="AI709" s="36" t="str">
        <f>IF(DadosViagem5[[#This Row],[Dias em manutenção ]]&lt;5,"Dentro do Prazo","Fora do Prazo")</f>
        <v>Fora do Prazo</v>
      </c>
      <c r="AJ709" s="36" t="e">
        <v>#REF!</v>
      </c>
    </row>
    <row r="710" spans="1:36">
      <c r="A710" s="19" t="s">
        <v>1257</v>
      </c>
      <c r="B710" s="20"/>
      <c r="C710" s="19" t="s">
        <v>97</v>
      </c>
      <c r="D710" s="19" t="s">
        <v>98</v>
      </c>
      <c r="E710" s="19" t="s">
        <v>53</v>
      </c>
      <c r="F710" s="19" t="s">
        <v>40</v>
      </c>
      <c r="G710" s="19"/>
      <c r="H710" s="20">
        <v>2023</v>
      </c>
      <c r="I710" s="19" t="s">
        <v>137</v>
      </c>
      <c r="J710" s="19" t="s">
        <v>138</v>
      </c>
      <c r="K710" s="21" t="s">
        <v>139</v>
      </c>
      <c r="L710" s="22" t="s">
        <v>60</v>
      </c>
      <c r="M710" s="23" t="s">
        <v>140</v>
      </c>
      <c r="N710" s="25" t="s">
        <v>141</v>
      </c>
      <c r="O710" s="25" t="s">
        <v>142</v>
      </c>
      <c r="P710" s="26">
        <f ca="1">IFERROR(VLOOKUP(DadosViagem5[[#This Row],[Placa]],[1]BIP!A:E,5,FALSE),"")</f>
        <v>0</v>
      </c>
      <c r="Q710" s="27">
        <f ca="1">DATEDIF(DadosViagem5[[#This Row],[BIP]],TODAY(),"D")</f>
        <v>45990</v>
      </c>
      <c r="R710" s="28" t="str">
        <f>IFERROR(VLOOKUP(DadosViagem5[[#This Row],[Placa]],[1]DDS!B:C,2,FALSE),"Verificar cadastro")</f>
        <v> </v>
      </c>
      <c r="S710" s="29" t="s">
        <v>48</v>
      </c>
      <c r="T710" s="23"/>
      <c r="U710" s="30"/>
      <c r="V710" s="31"/>
      <c r="W710" s="32" t="s">
        <v>1258</v>
      </c>
      <c r="X710" s="33"/>
      <c r="Y710" s="34"/>
      <c r="Z710" s="32"/>
      <c r="AA710" s="20" t="s">
        <v>49</v>
      </c>
      <c r="AB710" s="20" t="s">
        <v>49</v>
      </c>
      <c r="AC710" s="19" t="s">
        <v>49</v>
      </c>
      <c r="AD710" s="19" t="str">
        <f ca="1">IFERROR(DATEDIF(DadosViagem5[[#This Row],[Utimo Bip Reserva]],TODAY(),"D"),"")</f>
        <v/>
      </c>
      <c r="AE710" s="25" t="s">
        <v>49</v>
      </c>
      <c r="AF710" s="25" t="s">
        <v>49</v>
      </c>
      <c r="AG710" s="36"/>
      <c r="AH710" s="25">
        <v>45807</v>
      </c>
      <c r="AI710" s="36" t="str">
        <f>IF(DadosViagem5[[#This Row],[Dias em manutenção ]]&lt;5,"Dentro do Prazo","Fora do Prazo")</f>
        <v>Fora do Prazo</v>
      </c>
      <c r="AJ710" s="36" t="e">
        <v>#REF!</v>
      </c>
    </row>
    <row r="711" spans="1:36">
      <c r="A711" s="19" t="s">
        <v>1259</v>
      </c>
      <c r="B711" s="20"/>
      <c r="C711" s="19" t="s">
        <v>71</v>
      </c>
      <c r="D711" s="19" t="s">
        <v>38</v>
      </c>
      <c r="E711" s="19" t="s">
        <v>114</v>
      </c>
      <c r="F711" s="19" t="s">
        <v>115</v>
      </c>
      <c r="G711" s="19"/>
      <c r="H711" s="20">
        <v>2021</v>
      </c>
      <c r="I711" s="19"/>
      <c r="J711" s="19" t="s">
        <v>138</v>
      </c>
      <c r="K711" s="21" t="s">
        <v>139</v>
      </c>
      <c r="L711" s="22" t="s">
        <v>60</v>
      </c>
      <c r="M711" s="23" t="s">
        <v>140</v>
      </c>
      <c r="N711" s="25" t="s">
        <v>141</v>
      </c>
      <c r="O711" s="25" t="s">
        <v>142</v>
      </c>
      <c r="P711" s="26">
        <f ca="1">IFERROR(VLOOKUP(DadosViagem5[[#This Row],[Placa]],[1]BIP!A:E,5,FALSE),"")</f>
        <v>45989</v>
      </c>
      <c r="Q711" s="27">
        <f ca="1">DATEDIF(DadosViagem5[[#This Row],[BIP]],TODAY(),"D")</f>
        <v>1</v>
      </c>
      <c r="R711" s="28" t="str">
        <f>IFERROR(VLOOKUP(DadosViagem5[[#This Row],[Placa]],[1]DDS!B:C,2,FALSE),"Verificar cadastro")</f>
        <v>Operando</v>
      </c>
      <c r="S711" s="29" t="s">
        <v>48</v>
      </c>
      <c r="T711" s="23"/>
      <c r="U711" s="30"/>
      <c r="V711" s="31"/>
      <c r="W711" s="32" t="s">
        <v>1260</v>
      </c>
      <c r="X711" s="33"/>
      <c r="Y711" s="34"/>
      <c r="Z711" s="32"/>
      <c r="AA711" s="20" t="s">
        <v>49</v>
      </c>
      <c r="AB711" s="20" t="s">
        <v>49</v>
      </c>
      <c r="AC711" s="20" t="s">
        <v>49</v>
      </c>
      <c r="AD711" s="20" t="s">
        <v>49</v>
      </c>
      <c r="AE711" s="36" t="s">
        <v>49</v>
      </c>
      <c r="AF711" s="25" t="s">
        <v>49</v>
      </c>
      <c r="AG711" s="36" t="s">
        <v>290</v>
      </c>
      <c r="AH711" s="25">
        <v>45807</v>
      </c>
      <c r="AI711" s="36" t="str">
        <f>IF(DadosViagem5[[#This Row],[Dias em manutenção ]]&lt;5,"Dentro do Prazo","Fora do Prazo")</f>
        <v>Fora do Prazo</v>
      </c>
      <c r="AJ711" s="36" t="e">
        <v>#REF!</v>
      </c>
    </row>
    <row r="712" spans="1:36">
      <c r="A712" s="19" t="s">
        <v>1261</v>
      </c>
      <c r="B712" s="20"/>
      <c r="C712" s="19" t="s">
        <v>97</v>
      </c>
      <c r="D712" s="19" t="s">
        <v>98</v>
      </c>
      <c r="E712" s="19" t="s">
        <v>53</v>
      </c>
      <c r="F712" s="19" t="s">
        <v>40</v>
      </c>
      <c r="G712" s="19"/>
      <c r="H712" s="20">
        <v>2023</v>
      </c>
      <c r="I712" s="19" t="s">
        <v>137</v>
      </c>
      <c r="J712" s="19" t="s">
        <v>138</v>
      </c>
      <c r="K712" s="21" t="s">
        <v>139</v>
      </c>
      <c r="L712" s="22" t="s">
        <v>60</v>
      </c>
      <c r="M712" s="23" t="s">
        <v>140</v>
      </c>
      <c r="N712" s="25" t="s">
        <v>141</v>
      </c>
      <c r="O712" s="25" t="s">
        <v>142</v>
      </c>
      <c r="P712" s="26">
        <f ca="1">IFERROR(VLOOKUP(DadosViagem5[[#This Row],[Placa]],[1]BIP!A:E,5,FALSE),"")</f>
        <v>45989</v>
      </c>
      <c r="Q712" s="27">
        <f ca="1">DATEDIF(DadosViagem5[[#This Row],[BIP]],TODAY(),"D")</f>
        <v>1</v>
      </c>
      <c r="R712" s="28" t="str">
        <f>IFERROR(VLOOKUP(DadosViagem5[[#This Row],[Placa]],[1]DDS!B:C,2,FALSE),"Verificar cadastro")</f>
        <v>Operando</v>
      </c>
      <c r="S712" s="29" t="s">
        <v>48</v>
      </c>
      <c r="T712" s="23"/>
      <c r="U712" s="30"/>
      <c r="V712" s="31"/>
      <c r="W712" s="32"/>
      <c r="X712" s="33" t="s">
        <v>55</v>
      </c>
      <c r="Y712" s="34"/>
      <c r="Z712" s="32"/>
      <c r="AA712" s="20" t="s">
        <v>49</v>
      </c>
      <c r="AB712" s="20" t="s">
        <v>49</v>
      </c>
      <c r="AC712" s="19" t="s">
        <v>49</v>
      </c>
      <c r="AD712" s="19" t="str">
        <f ca="1">IFERROR(DATEDIF(DadosViagem5[[#This Row],[Utimo Bip Reserva]],TODAY(),"D"),"")</f>
        <v/>
      </c>
      <c r="AE712" s="25" t="s">
        <v>49</v>
      </c>
      <c r="AF712" s="25" t="s">
        <v>49</v>
      </c>
      <c r="AG712" s="36" t="s">
        <v>290</v>
      </c>
      <c r="AH712" s="25">
        <v>45807</v>
      </c>
      <c r="AI712" s="36" t="str">
        <f>IF(DadosViagem5[[#This Row],[Dias em manutenção ]]&lt;5,"Dentro do Prazo","Fora do Prazo")</f>
        <v>Fora do Prazo</v>
      </c>
      <c r="AJ712" s="36" t="e">
        <v>#REF!</v>
      </c>
    </row>
    <row r="713" spans="1:36">
      <c r="A713" s="19" t="s">
        <v>1262</v>
      </c>
      <c r="B713" s="20"/>
      <c r="C713" s="19" t="s">
        <v>88</v>
      </c>
      <c r="D713" s="19" t="s">
        <v>52</v>
      </c>
      <c r="E713" s="19" t="s">
        <v>57</v>
      </c>
      <c r="F713" s="19" t="s">
        <v>40</v>
      </c>
      <c r="G713" s="19"/>
      <c r="H713" s="20">
        <v>2023</v>
      </c>
      <c r="I713" s="19" t="s">
        <v>137</v>
      </c>
      <c r="J713" s="19" t="s">
        <v>138</v>
      </c>
      <c r="K713" s="21" t="s">
        <v>139</v>
      </c>
      <c r="L713" s="22" t="s">
        <v>60</v>
      </c>
      <c r="M713" s="23" t="s">
        <v>140</v>
      </c>
      <c r="N713" s="25" t="s">
        <v>141</v>
      </c>
      <c r="O713" s="25" t="s">
        <v>142</v>
      </c>
      <c r="P713" s="26">
        <f ca="1">IFERROR(VLOOKUP(DadosViagem5[[#This Row],[Placa]],[1]BIP!A:E,5,FALSE),"")</f>
        <v>45989</v>
      </c>
      <c r="Q713" s="27">
        <f ca="1">DATEDIF(DadosViagem5[[#This Row],[BIP]],TODAY(),"D")</f>
        <v>1</v>
      </c>
      <c r="R713" s="28" t="str">
        <f>IFERROR(VLOOKUP(DadosViagem5[[#This Row],[Placa]],[1]DDS!B:C,2,FALSE),"Verificar cadastro")</f>
        <v>Operando</v>
      </c>
      <c r="S713" s="29" t="s">
        <v>48</v>
      </c>
      <c r="T713" s="23"/>
      <c r="U713" s="30"/>
      <c r="V713" s="31"/>
      <c r="W713" s="94"/>
      <c r="X713" s="33"/>
      <c r="Y713" s="34"/>
      <c r="Z713" s="32"/>
      <c r="AA713" s="20" t="s">
        <v>49</v>
      </c>
      <c r="AB713" s="20" t="s">
        <v>49</v>
      </c>
      <c r="AC713" s="19" t="s">
        <v>49</v>
      </c>
      <c r="AD713" s="19" t="str">
        <f ca="1">IFERROR(DATEDIF(DadosViagem5[[#This Row],[Utimo Bip Reserva]],TODAY(),"D"),"")</f>
        <v/>
      </c>
      <c r="AE713" s="35" t="s">
        <v>49</v>
      </c>
      <c r="AF713" s="35" t="s">
        <v>49</v>
      </c>
      <c r="AG713" s="36" t="s">
        <v>290</v>
      </c>
      <c r="AH713" s="25">
        <v>45807</v>
      </c>
      <c r="AI713" s="36" t="str">
        <f>IF(DadosViagem5[[#This Row],[Dias em manutenção ]]&lt;5,"Dentro do Prazo","Fora do Prazo")</f>
        <v>Fora do Prazo</v>
      </c>
      <c r="AJ713" s="36" t="e">
        <v>#REF!</v>
      </c>
    </row>
    <row r="714" spans="1:36">
      <c r="A714" s="19" t="s">
        <v>1263</v>
      </c>
      <c r="B714" s="20"/>
      <c r="C714" s="19" t="s">
        <v>71</v>
      </c>
      <c r="D714" s="19" t="s">
        <v>38</v>
      </c>
      <c r="E714" s="19" t="s">
        <v>114</v>
      </c>
      <c r="F714" s="19" t="s">
        <v>115</v>
      </c>
      <c r="G714" s="19"/>
      <c r="H714" s="20">
        <v>2021</v>
      </c>
      <c r="I714" s="19"/>
      <c r="J714" s="19" t="s">
        <v>138</v>
      </c>
      <c r="K714" s="21" t="s">
        <v>139</v>
      </c>
      <c r="L714" s="22" t="s">
        <v>60</v>
      </c>
      <c r="M714" s="23" t="s">
        <v>140</v>
      </c>
      <c r="N714" s="25" t="s">
        <v>141</v>
      </c>
      <c r="O714" s="25" t="s">
        <v>142</v>
      </c>
      <c r="P714" s="26">
        <f ca="1">IFERROR(VLOOKUP(DadosViagem5[[#This Row],[Placa]],[1]BIP!A:E,5,FALSE),"")</f>
        <v>45989</v>
      </c>
      <c r="Q714" s="27">
        <f ca="1">DATEDIF(DadosViagem5[[#This Row],[BIP]],TODAY(),"D")</f>
        <v>1</v>
      </c>
      <c r="R714" s="28" t="str">
        <f>IFERROR(VLOOKUP(DadosViagem5[[#This Row],[Placa]],[1]DDS!B:C,2,FALSE),"Verificar cadastro")</f>
        <v>Operando</v>
      </c>
      <c r="S714" s="29" t="s">
        <v>48</v>
      </c>
      <c r="T714" s="23"/>
      <c r="U714" s="30"/>
      <c r="V714" s="31"/>
      <c r="W714" s="32"/>
      <c r="X714" s="33"/>
      <c r="Y714" s="34"/>
      <c r="Z714" s="32"/>
      <c r="AA714" s="20" t="s">
        <v>49</v>
      </c>
      <c r="AB714" s="20" t="s">
        <v>49</v>
      </c>
      <c r="AC714" s="19" t="s">
        <v>49</v>
      </c>
      <c r="AD714" s="19" t="str">
        <f ca="1">IFERROR(DATEDIF(DadosViagem5[[#This Row],[Utimo Bip Reserva]],TODAY(),"D"),"")</f>
        <v/>
      </c>
      <c r="AE714" s="36" t="s">
        <v>49</v>
      </c>
      <c r="AF714" s="25" t="s">
        <v>49</v>
      </c>
      <c r="AG714" s="36" t="s">
        <v>290</v>
      </c>
      <c r="AH714" s="25">
        <v>45807</v>
      </c>
      <c r="AI714" s="36" t="str">
        <f>IF(DadosViagem5[[#This Row],[Dias em manutenção ]]&lt;5,"Dentro do Prazo","Fora do Prazo")</f>
        <v>Fora do Prazo</v>
      </c>
      <c r="AJ714" s="36" t="e">
        <v>#REF!</v>
      </c>
    </row>
    <row r="715" spans="1:36">
      <c r="A715" s="19" t="s">
        <v>1264</v>
      </c>
      <c r="B715" s="20"/>
      <c r="C715" s="19" t="s">
        <v>671</v>
      </c>
      <c r="D715" s="19" t="s">
        <v>132</v>
      </c>
      <c r="E715" s="19" t="s">
        <v>114</v>
      </c>
      <c r="F715" s="19" t="s">
        <v>115</v>
      </c>
      <c r="G715" s="19"/>
      <c r="H715" s="20">
        <v>2022</v>
      </c>
      <c r="I715" s="19" t="s">
        <v>137</v>
      </c>
      <c r="J715" s="19" t="s">
        <v>138</v>
      </c>
      <c r="K715" s="21" t="s">
        <v>139</v>
      </c>
      <c r="L715" s="22" t="s">
        <v>60</v>
      </c>
      <c r="M715" s="23" t="s">
        <v>140</v>
      </c>
      <c r="N715" s="25" t="s">
        <v>141</v>
      </c>
      <c r="O715" s="25" t="s">
        <v>142</v>
      </c>
      <c r="P715" s="26">
        <f ca="1">IFERROR(VLOOKUP(DadosViagem5[[#This Row],[Placa]],[1]BIP!A:E,5,FALSE),"")</f>
        <v>45989</v>
      </c>
      <c r="Q715" s="27">
        <f ca="1">DATEDIF(DadosViagem5[[#This Row],[BIP]],TODAY(),"D")</f>
        <v>1</v>
      </c>
      <c r="R715" s="28" t="str">
        <f>IFERROR(VLOOKUP(DadosViagem5[[#This Row],[Placa]],[1]DDS!B:C,2,FALSE),"Verificar cadastro")</f>
        <v>Operando</v>
      </c>
      <c r="S715" s="29" t="s">
        <v>48</v>
      </c>
      <c r="T715" s="23"/>
      <c r="U715" s="30"/>
      <c r="V715" s="31"/>
      <c r="W715" s="32"/>
      <c r="X715" s="33"/>
      <c r="Y715" s="34"/>
      <c r="Z715" s="32"/>
      <c r="AA715" s="20" t="s">
        <v>49</v>
      </c>
      <c r="AB715" s="20" t="s">
        <v>49</v>
      </c>
      <c r="AC715" s="19" t="s">
        <v>49</v>
      </c>
      <c r="AD715" s="19" t="str">
        <f ca="1">IFERROR(DATEDIF(DadosViagem5[[#This Row],[Utimo Bip Reserva]],TODAY(),"D"),"")</f>
        <v/>
      </c>
      <c r="AE715" s="36" t="s">
        <v>49</v>
      </c>
      <c r="AF715" s="25" t="s">
        <v>49</v>
      </c>
      <c r="AG715" s="36" t="s">
        <v>290</v>
      </c>
      <c r="AH715" s="25">
        <v>45807</v>
      </c>
      <c r="AI715" s="36" t="str">
        <f>IF(DadosViagem5[[#This Row],[Dias em manutenção ]]&lt;5,"Dentro do Prazo","Fora do Prazo")</f>
        <v>Fora do Prazo</v>
      </c>
      <c r="AJ715" s="36" t="e">
        <v>#REF!</v>
      </c>
    </row>
    <row r="716" spans="1:36">
      <c r="A716" s="19" t="s">
        <v>1265</v>
      </c>
      <c r="B716" s="20"/>
      <c r="C716" s="19" t="s">
        <v>671</v>
      </c>
      <c r="D716" s="19" t="s">
        <v>132</v>
      </c>
      <c r="E716" s="19" t="s">
        <v>114</v>
      </c>
      <c r="F716" s="19" t="s">
        <v>115</v>
      </c>
      <c r="G716" s="19"/>
      <c r="H716" s="20">
        <v>2022</v>
      </c>
      <c r="I716" s="19" t="s">
        <v>137</v>
      </c>
      <c r="J716" s="19" t="s">
        <v>138</v>
      </c>
      <c r="K716" s="21" t="s">
        <v>139</v>
      </c>
      <c r="L716" s="22" t="s">
        <v>60</v>
      </c>
      <c r="M716" s="23" t="s">
        <v>140</v>
      </c>
      <c r="N716" s="25" t="s">
        <v>141</v>
      </c>
      <c r="O716" s="25" t="s">
        <v>142</v>
      </c>
      <c r="P716" s="26">
        <f ca="1">IFERROR(VLOOKUP(DadosViagem5[[#This Row],[Placa]],[1]BIP!A:E,5,FALSE),"")</f>
        <v>45932</v>
      </c>
      <c r="Q716" s="27">
        <f ca="1">DATEDIF(DadosViagem5[[#This Row],[BIP]],TODAY(),"D")</f>
        <v>58</v>
      </c>
      <c r="R716" s="28" t="str">
        <f>IFERROR(VLOOKUP(DadosViagem5[[#This Row],[Placa]],[1]DDS!B:C,2,FALSE),"Verificar cadastro")</f>
        <v> </v>
      </c>
      <c r="S716" s="29" t="s">
        <v>48</v>
      </c>
      <c r="T716" s="23"/>
      <c r="U716" s="30"/>
      <c r="V716" s="31"/>
      <c r="W716" s="32"/>
      <c r="X716" s="33"/>
      <c r="Y716" s="34"/>
      <c r="Z716" s="42"/>
      <c r="AA716" s="20" t="s">
        <v>49</v>
      </c>
      <c r="AB716" s="20" t="s">
        <v>49</v>
      </c>
      <c r="AC716" s="19" t="s">
        <v>49</v>
      </c>
      <c r="AD716" s="19" t="str">
        <f ca="1">IFERROR(DATEDIF(DadosViagem5[[#This Row],[Utimo Bip Reserva]],TODAY(),"D"),"")</f>
        <v/>
      </c>
      <c r="AE716" s="36" t="s">
        <v>49</v>
      </c>
      <c r="AF716" s="25" t="s">
        <v>49</v>
      </c>
      <c r="AG716" s="36" t="s">
        <v>290</v>
      </c>
      <c r="AH716" s="25">
        <v>45807</v>
      </c>
      <c r="AI716" s="36" t="str">
        <f>IF(DadosViagem5[[#This Row],[Dias em manutenção ]]&lt;5,"Dentro do Prazo","Fora do Prazo")</f>
        <v>Fora do Prazo</v>
      </c>
      <c r="AJ716" s="36" t="e">
        <v>#REF!</v>
      </c>
    </row>
    <row r="717" spans="1:36">
      <c r="A717" s="19" t="s">
        <v>1266</v>
      </c>
      <c r="B717" s="20"/>
      <c r="C717" s="19" t="s">
        <v>671</v>
      </c>
      <c r="D717" s="19" t="s">
        <v>132</v>
      </c>
      <c r="E717" s="19" t="s">
        <v>114</v>
      </c>
      <c r="F717" s="19" t="s">
        <v>115</v>
      </c>
      <c r="G717" s="19"/>
      <c r="H717" s="20">
        <v>2022</v>
      </c>
      <c r="I717" s="19" t="s">
        <v>137</v>
      </c>
      <c r="J717" s="19" t="s">
        <v>138</v>
      </c>
      <c r="K717" s="21" t="s">
        <v>139</v>
      </c>
      <c r="L717" s="22" t="s">
        <v>60</v>
      </c>
      <c r="M717" s="23" t="s">
        <v>140</v>
      </c>
      <c r="N717" s="25" t="s">
        <v>141</v>
      </c>
      <c r="O717" s="25" t="s">
        <v>142</v>
      </c>
      <c r="P717" s="26">
        <f ca="1">IFERROR(VLOOKUP(DadosViagem5[[#This Row],[Placa]],[1]BIP!A:E,5,FALSE),"")</f>
        <v>45943</v>
      </c>
      <c r="Q717" s="27">
        <f ca="1">DATEDIF(DadosViagem5[[#This Row],[BIP]],TODAY(),"D")</f>
        <v>47</v>
      </c>
      <c r="R717" s="28" t="str">
        <f>IFERROR(VLOOKUP(DadosViagem5[[#This Row],[Placa]],[1]DDS!B:C,2,FALSE),"Verificar cadastro")</f>
        <v>Verificar cadastro</v>
      </c>
      <c r="S717" s="36" t="s">
        <v>574</v>
      </c>
      <c r="T717" s="23"/>
      <c r="U717" s="30" t="s">
        <v>1267</v>
      </c>
      <c r="V717" s="31"/>
      <c r="W717" s="32" t="s">
        <v>1268</v>
      </c>
      <c r="X717" s="33"/>
      <c r="Y717" s="34"/>
      <c r="Z717" s="32"/>
      <c r="AA717" s="20" t="s">
        <v>49</v>
      </c>
      <c r="AB717" s="20" t="s">
        <v>49</v>
      </c>
      <c r="AC717" s="19" t="s">
        <v>49</v>
      </c>
      <c r="AD717" s="19" t="str">
        <f ca="1">IFERROR(DATEDIF(DadosViagem5[[#This Row],[Utimo Bip Reserva]],TODAY(),"D"),"")</f>
        <v/>
      </c>
      <c r="AE717" s="36" t="s">
        <v>49</v>
      </c>
      <c r="AF717" s="25" t="s">
        <v>49</v>
      </c>
      <c r="AG717" s="36" t="s">
        <v>290</v>
      </c>
      <c r="AH717" s="25">
        <v>45807</v>
      </c>
      <c r="AI717" s="36" t="str">
        <f>IF(DadosViagem5[[#This Row],[Dias em manutenção ]]&lt;5,"Dentro do Prazo","Fora do Prazo")</f>
        <v>Fora do Prazo</v>
      </c>
      <c r="AJ717" s="36" t="e">
        <v>#REF!</v>
      </c>
    </row>
    <row r="718" spans="1:36">
      <c r="A718" s="19" t="s">
        <v>1269</v>
      </c>
      <c r="B718" s="20"/>
      <c r="C718" s="19" t="s">
        <v>74</v>
      </c>
      <c r="D718" s="19" t="s">
        <v>52</v>
      </c>
      <c r="E718" s="19" t="s">
        <v>75</v>
      </c>
      <c r="F718" s="19" t="s">
        <v>76</v>
      </c>
      <c r="G718" s="19"/>
      <c r="H718" s="20">
        <v>2024</v>
      </c>
      <c r="I718" s="19" t="s">
        <v>137</v>
      </c>
      <c r="J718" s="19" t="s">
        <v>138</v>
      </c>
      <c r="K718" s="21" t="s">
        <v>139</v>
      </c>
      <c r="L718" s="22" t="s">
        <v>60</v>
      </c>
      <c r="M718" s="23" t="s">
        <v>77</v>
      </c>
      <c r="N718" s="25" t="s">
        <v>141</v>
      </c>
      <c r="O718" s="25" t="s">
        <v>142</v>
      </c>
      <c r="P718" s="26">
        <f ca="1">IFERROR(VLOOKUP(DadosViagem5[[#This Row],[Placa]],[1]BIP!A:E,5,FALSE),"")</f>
        <v>45989</v>
      </c>
      <c r="Q718" s="27">
        <f ca="1">DATEDIF(DadosViagem5[[#This Row],[BIP]],TODAY(),"D")</f>
        <v>1</v>
      </c>
      <c r="R718" s="28" t="str">
        <f>IFERROR(VLOOKUP(DadosViagem5[[#This Row],[Placa]],[1]DDS!B:C,2,FALSE),"Verificar cadastro")</f>
        <v>Operando</v>
      </c>
      <c r="S718" s="29" t="s">
        <v>48</v>
      </c>
      <c r="T718" s="23"/>
      <c r="U718" s="30"/>
      <c r="V718" s="31"/>
      <c r="W718" s="32"/>
      <c r="X718" s="33"/>
      <c r="Y718" s="34"/>
      <c r="Z718" s="32"/>
      <c r="AA718" s="20" t="s">
        <v>49</v>
      </c>
      <c r="AB718" s="20" t="s">
        <v>49</v>
      </c>
      <c r="AC718" s="19" t="s">
        <v>49</v>
      </c>
      <c r="AD718" s="19" t="str">
        <f ca="1">IFERROR(DATEDIF(DadosViagem5[[#This Row],[Utimo Bip Reserva]],TODAY(),"D"),"")</f>
        <v/>
      </c>
      <c r="AE718" s="36"/>
      <c r="AF718" s="25"/>
      <c r="AG718" s="36" t="s">
        <v>290</v>
      </c>
      <c r="AH718" s="25">
        <v>45807</v>
      </c>
      <c r="AI718" s="36" t="str">
        <f>IF(DadosViagem5[[#This Row],[Dias em manutenção ]]&lt;5,"Dentro do Prazo","Fora do Prazo")</f>
        <v>Fora do Prazo</v>
      </c>
      <c r="AJ718" s="36" t="e">
        <v>#REF!</v>
      </c>
    </row>
    <row r="719" spans="1:36">
      <c r="A719" s="19" t="s">
        <v>1270</v>
      </c>
      <c r="B719" s="20"/>
      <c r="C719" s="19" t="s">
        <v>74</v>
      </c>
      <c r="D719" s="19" t="s">
        <v>52</v>
      </c>
      <c r="E719" s="19" t="s">
        <v>75</v>
      </c>
      <c r="F719" s="19" t="s">
        <v>76</v>
      </c>
      <c r="G719" s="19"/>
      <c r="H719" s="20">
        <v>2023</v>
      </c>
      <c r="I719" s="19" t="s">
        <v>137</v>
      </c>
      <c r="J719" s="19" t="s">
        <v>138</v>
      </c>
      <c r="K719" s="21" t="s">
        <v>139</v>
      </c>
      <c r="L719" s="22" t="s">
        <v>60</v>
      </c>
      <c r="M719" s="23" t="s">
        <v>77</v>
      </c>
      <c r="N719" s="25" t="s">
        <v>141</v>
      </c>
      <c r="O719" s="25" t="s">
        <v>142</v>
      </c>
      <c r="P719" s="26">
        <f ca="1">IFERROR(VLOOKUP(DadosViagem5[[#This Row],[Placa]],[1]BIP!A:E,5,FALSE),"")</f>
        <v>45989</v>
      </c>
      <c r="Q719" s="27">
        <f ca="1">DATEDIF(DadosViagem5[[#This Row],[BIP]],TODAY(),"D")</f>
        <v>1</v>
      </c>
      <c r="R719" s="28" t="str">
        <f>IFERROR(VLOOKUP(DadosViagem5[[#This Row],[Placa]],[1]DDS!B:C,2,FALSE),"Verificar cadastro")</f>
        <v>Operando</v>
      </c>
      <c r="S719" s="29" t="s">
        <v>48</v>
      </c>
      <c r="T719" s="23"/>
      <c r="U719" s="30"/>
      <c r="V719" s="31"/>
      <c r="W719" s="32"/>
      <c r="X719" s="33"/>
      <c r="Y719" s="34"/>
      <c r="Z719" s="32"/>
      <c r="AA719" s="20" t="s">
        <v>49</v>
      </c>
      <c r="AB719" s="20" t="s">
        <v>49</v>
      </c>
      <c r="AC719" s="19" t="s">
        <v>49</v>
      </c>
      <c r="AD719" s="19" t="str">
        <f ca="1">IFERROR(DATEDIF(DadosViagem5[[#This Row],[Utimo Bip Reserva]],TODAY(),"D"),"")</f>
        <v/>
      </c>
      <c r="AE719" s="36"/>
      <c r="AF719" s="25"/>
      <c r="AG719" s="36" t="s">
        <v>290</v>
      </c>
      <c r="AH719" s="25">
        <v>45807</v>
      </c>
      <c r="AI719" s="36" t="str">
        <f>IF(DadosViagem5[[#This Row],[Dias em manutenção ]]&lt;5,"Dentro do Prazo","Fora do Prazo")</f>
        <v>Fora do Prazo</v>
      </c>
      <c r="AJ719" s="36" t="e">
        <v>#REF!</v>
      </c>
    </row>
    <row r="720" spans="1:36">
      <c r="A720" s="19" t="s">
        <v>1271</v>
      </c>
      <c r="B720" s="20"/>
      <c r="C720" s="19" t="s">
        <v>671</v>
      </c>
      <c r="D720" s="19" t="s">
        <v>132</v>
      </c>
      <c r="E720" s="19" t="s">
        <v>114</v>
      </c>
      <c r="F720" s="19" t="s">
        <v>115</v>
      </c>
      <c r="G720" s="19"/>
      <c r="H720" s="20">
        <v>2022</v>
      </c>
      <c r="I720" s="19" t="s">
        <v>137</v>
      </c>
      <c r="J720" s="19" t="s">
        <v>138</v>
      </c>
      <c r="K720" s="21" t="s">
        <v>139</v>
      </c>
      <c r="L720" s="22" t="s">
        <v>60</v>
      </c>
      <c r="M720" s="23" t="s">
        <v>140</v>
      </c>
      <c r="N720" s="25" t="s">
        <v>141</v>
      </c>
      <c r="O720" s="25" t="s">
        <v>142</v>
      </c>
      <c r="P720" s="26">
        <f ca="1">IFERROR(VLOOKUP(DadosViagem5[[#This Row],[Placa]],[1]BIP!A:E,5,FALSE),"")</f>
        <v>0</v>
      </c>
      <c r="Q720" s="27">
        <f ca="1">DATEDIF(DadosViagem5[[#This Row],[BIP]],TODAY(),"D")</f>
        <v>45990</v>
      </c>
      <c r="R720" s="28" t="str">
        <f>IFERROR(VLOOKUP(DadosViagem5[[#This Row],[Placa]],[1]DDS!B:C,2,FALSE),"Verificar cadastro")</f>
        <v> </v>
      </c>
      <c r="S720" s="29" t="s">
        <v>48</v>
      </c>
      <c r="T720" s="23"/>
      <c r="U720" s="30"/>
      <c r="V720" s="31"/>
      <c r="W720" s="32"/>
      <c r="X720" s="33"/>
      <c r="Y720" s="34"/>
      <c r="Z720" s="32"/>
      <c r="AA720" s="20" t="s">
        <v>49</v>
      </c>
      <c r="AB720" s="20" t="s">
        <v>49</v>
      </c>
      <c r="AC720" s="19" t="s">
        <v>49</v>
      </c>
      <c r="AD720" s="19" t="str">
        <f ca="1">IFERROR(DATEDIF(DadosViagem5[[#This Row],[Utimo Bip Reserva]],TODAY(),"D"),"")</f>
        <v/>
      </c>
      <c r="AE720" s="36" t="s">
        <v>49</v>
      </c>
      <c r="AF720" s="25" t="s">
        <v>49</v>
      </c>
      <c r="AG720" s="36" t="s">
        <v>290</v>
      </c>
      <c r="AH720" s="25">
        <v>45807</v>
      </c>
      <c r="AI720" s="36" t="str">
        <f>IF(DadosViagem5[[#This Row],[Dias em manutenção ]]&lt;5,"Dentro do Prazo","Fora do Prazo")</f>
        <v>Fora do Prazo</v>
      </c>
      <c r="AJ720" s="36" t="e">
        <v>#REF!</v>
      </c>
    </row>
    <row r="721" spans="1:36">
      <c r="A721" s="19" t="s">
        <v>1272</v>
      </c>
      <c r="B721" s="20"/>
      <c r="C721" s="19" t="s">
        <v>671</v>
      </c>
      <c r="D721" s="19" t="s">
        <v>132</v>
      </c>
      <c r="E721" s="19" t="s">
        <v>114</v>
      </c>
      <c r="F721" s="19" t="s">
        <v>115</v>
      </c>
      <c r="G721" s="19"/>
      <c r="H721" s="20">
        <v>2022</v>
      </c>
      <c r="I721" s="19" t="s">
        <v>137</v>
      </c>
      <c r="J721" s="19" t="s">
        <v>138</v>
      </c>
      <c r="K721" s="21" t="s">
        <v>139</v>
      </c>
      <c r="L721" s="22" t="s">
        <v>60</v>
      </c>
      <c r="M721" s="23" t="s">
        <v>140</v>
      </c>
      <c r="N721" s="25" t="s">
        <v>141</v>
      </c>
      <c r="O721" s="25" t="s">
        <v>142</v>
      </c>
      <c r="P721" s="26">
        <f ca="1">IFERROR(VLOOKUP(DadosViagem5[[#This Row],[Placa]],[1]BIP!A:E,5,FALSE),"")</f>
        <v>45989</v>
      </c>
      <c r="Q721" s="27">
        <f ca="1">DATEDIF(DadosViagem5[[#This Row],[BIP]],TODAY(),"D")</f>
        <v>1</v>
      </c>
      <c r="R721" s="28" t="str">
        <f>IFERROR(VLOOKUP(DadosViagem5[[#This Row],[Placa]],[1]DDS!B:C,2,FALSE),"Verificar cadastro")</f>
        <v>Operando</v>
      </c>
      <c r="S721" s="29" t="s">
        <v>48</v>
      </c>
      <c r="T721" s="23"/>
      <c r="U721" s="30"/>
      <c r="V721" s="31"/>
      <c r="W721" s="32"/>
      <c r="X721" s="33"/>
      <c r="Y721" s="34"/>
      <c r="Z721" s="32"/>
      <c r="AA721" s="20" t="s">
        <v>49</v>
      </c>
      <c r="AB721" s="20" t="s">
        <v>49</v>
      </c>
      <c r="AC721" s="19" t="s">
        <v>49</v>
      </c>
      <c r="AD721" s="19" t="str">
        <f ca="1">IFERROR(DATEDIF(DadosViagem5[[#This Row],[Utimo Bip Reserva]],TODAY(),"D"),"")</f>
        <v/>
      </c>
      <c r="AE721" s="36" t="s">
        <v>49</v>
      </c>
      <c r="AF721" s="25" t="s">
        <v>49</v>
      </c>
      <c r="AG721" s="36" t="s">
        <v>290</v>
      </c>
      <c r="AH721" s="25">
        <v>3</v>
      </c>
      <c r="AI721" s="36" t="str">
        <f>IF(DadosViagem5[[#This Row],[Dias em manutenção ]]&lt;5,"Dentro do Prazo","Fora do Prazo")</f>
        <v>Dentro do Prazo</v>
      </c>
      <c r="AJ721" s="36" t="e">
        <v>#REF!</v>
      </c>
    </row>
    <row r="722" spans="1:36">
      <c r="A722" s="19" t="s">
        <v>1273</v>
      </c>
      <c r="B722" s="20"/>
      <c r="C722" s="19" t="s">
        <v>671</v>
      </c>
      <c r="D722" s="19" t="s">
        <v>132</v>
      </c>
      <c r="E722" s="19" t="s">
        <v>114</v>
      </c>
      <c r="F722" s="19" t="s">
        <v>115</v>
      </c>
      <c r="G722" s="19"/>
      <c r="H722" s="20">
        <v>2022</v>
      </c>
      <c r="I722" s="19" t="s">
        <v>1274</v>
      </c>
      <c r="J722" s="19" t="s">
        <v>1275</v>
      </c>
      <c r="K722" s="21" t="s">
        <v>1276</v>
      </c>
      <c r="L722" s="22" t="s">
        <v>60</v>
      </c>
      <c r="M722" s="23" t="s">
        <v>268</v>
      </c>
      <c r="N722" s="36" t="s">
        <v>1277</v>
      </c>
      <c r="O722" s="36" t="s">
        <v>1019</v>
      </c>
      <c r="P722" s="26">
        <f ca="1">IFERROR(VLOOKUP(DadosViagem5[[#This Row],[Placa]],[1]BIP!A:E,5,FALSE),"")</f>
        <v>45731</v>
      </c>
      <c r="Q722" s="27">
        <f ca="1">DATEDIF(DadosViagem5[[#This Row],[BIP]],TODAY(),"D")</f>
        <v>259</v>
      </c>
      <c r="R722" s="28" t="str">
        <f>IFERROR(VLOOKUP(DadosViagem5[[#This Row],[Placa]],[1]DDS!B:C,2,FALSE),"Verificar cadastro")</f>
        <v>Manutenção</v>
      </c>
      <c r="S722" s="29" t="s">
        <v>173</v>
      </c>
      <c r="T722" s="23"/>
      <c r="U722" s="30"/>
      <c r="V722" s="31">
        <v>45730</v>
      </c>
      <c r="W722" s="32" t="s">
        <v>1278</v>
      </c>
      <c r="X722" s="33" t="s">
        <v>65</v>
      </c>
      <c r="Y722" s="34">
        <v>45924</v>
      </c>
      <c r="Z722" s="42" t="s">
        <v>1279</v>
      </c>
      <c r="AA722" s="20" t="s">
        <v>49</v>
      </c>
      <c r="AB722" s="20" t="s">
        <v>49</v>
      </c>
      <c r="AC722" s="19" t="s">
        <v>49</v>
      </c>
      <c r="AD722" s="19" t="str">
        <f ca="1">IFERROR(DATEDIF(DadosViagem5[[#This Row],[Utimo Bip Reserva]],TODAY(),"D"),"")</f>
        <v/>
      </c>
      <c r="AE722" s="36" t="s">
        <v>49</v>
      </c>
      <c r="AF722" s="25" t="s">
        <v>49</v>
      </c>
      <c r="AG722" s="30" t="s">
        <v>153</v>
      </c>
      <c r="AH722" s="25">
        <v>77</v>
      </c>
      <c r="AI722" s="36" t="str">
        <f>IF(DadosViagem5[[#This Row],[Dias em manutenção ]]&lt;5,"Dentro do Prazo","Fora do Prazo")</f>
        <v>Fora do Prazo</v>
      </c>
      <c r="AJ722" s="36" t="e">
        <v>#REF!</v>
      </c>
    </row>
    <row r="723" spans="1:36">
      <c r="A723" s="19" t="s">
        <v>1280</v>
      </c>
      <c r="B723" s="20"/>
      <c r="C723" s="19" t="s">
        <v>671</v>
      </c>
      <c r="D723" s="19" t="s">
        <v>132</v>
      </c>
      <c r="E723" s="19" t="s">
        <v>114</v>
      </c>
      <c r="F723" s="19" t="s">
        <v>115</v>
      </c>
      <c r="G723" s="19"/>
      <c r="H723" s="20">
        <v>2023</v>
      </c>
      <c r="I723" s="19" t="s">
        <v>1274</v>
      </c>
      <c r="J723" s="19" t="s">
        <v>1275</v>
      </c>
      <c r="K723" s="21" t="s">
        <v>1276</v>
      </c>
      <c r="L723" s="22" t="s">
        <v>60</v>
      </c>
      <c r="M723" s="23" t="s">
        <v>268</v>
      </c>
      <c r="N723" s="24" t="s">
        <v>1277</v>
      </c>
      <c r="O723" s="36" t="s">
        <v>1019</v>
      </c>
      <c r="P723" s="26">
        <f ca="1">IFERROR(VLOOKUP(DadosViagem5[[#This Row],[Placa]],[1]BIP!A:E,5,FALSE),"")</f>
        <v>45703</v>
      </c>
      <c r="Q723" s="27">
        <f ca="1">DATEDIF(DadosViagem5[[#This Row],[BIP]],TODAY(),"D")</f>
        <v>287</v>
      </c>
      <c r="R723" s="28" t="str">
        <f>IFERROR(VLOOKUP(DadosViagem5[[#This Row],[Placa]],[1]DDS!B:C,2,FALSE),"Verificar cadastro")</f>
        <v>Verificar cadastro</v>
      </c>
      <c r="S723" s="29" t="s">
        <v>173</v>
      </c>
      <c r="T723" s="23"/>
      <c r="U723" s="30"/>
      <c r="V723" s="31">
        <v>45704</v>
      </c>
      <c r="W723" s="32" t="s">
        <v>1281</v>
      </c>
      <c r="X723" s="33" t="s">
        <v>65</v>
      </c>
      <c r="Y723" s="34" t="s">
        <v>66</v>
      </c>
      <c r="Z723" s="42" t="s">
        <v>1279</v>
      </c>
      <c r="AA723" s="20" t="s">
        <v>49</v>
      </c>
      <c r="AB723" s="20" t="s">
        <v>49</v>
      </c>
      <c r="AC723" s="19" t="s">
        <v>49</v>
      </c>
      <c r="AD723" s="19" t="str">
        <f ca="1">IFERROR(DATEDIF(DadosViagem5[[#This Row],[Utimo Bip Reserva]],TODAY(),"D"),"")</f>
        <v/>
      </c>
      <c r="AE723" s="36" t="s">
        <v>898</v>
      </c>
      <c r="AF723" s="25" t="s">
        <v>49</v>
      </c>
      <c r="AG723" s="30" t="s">
        <v>153</v>
      </c>
      <c r="AH723" s="25">
        <v>103</v>
      </c>
      <c r="AI723" s="36" t="str">
        <f>IF(DadosViagem5[[#This Row],[Dias em manutenção ]]&lt;5,"Dentro do Prazo","Fora do Prazo")</f>
        <v>Fora do Prazo</v>
      </c>
      <c r="AJ723" s="36" t="e">
        <v>#REF!</v>
      </c>
    </row>
    <row r="724" spans="1:36">
      <c r="A724" s="19" t="s">
        <v>1282</v>
      </c>
      <c r="B724" s="20"/>
      <c r="C724" s="19" t="s">
        <v>671</v>
      </c>
      <c r="D724" s="19" t="s">
        <v>132</v>
      </c>
      <c r="E724" s="19" t="s">
        <v>114</v>
      </c>
      <c r="F724" s="19" t="s">
        <v>115</v>
      </c>
      <c r="G724" s="19"/>
      <c r="H724" s="20">
        <v>2024</v>
      </c>
      <c r="I724" s="19" t="s">
        <v>1274</v>
      </c>
      <c r="J724" s="19" t="s">
        <v>1275</v>
      </c>
      <c r="K724" s="21" t="s">
        <v>1276</v>
      </c>
      <c r="L724" s="22" t="s">
        <v>60</v>
      </c>
      <c r="M724" s="23" t="s">
        <v>268</v>
      </c>
      <c r="N724" s="36" t="s">
        <v>1277</v>
      </c>
      <c r="O724" s="36" t="s">
        <v>1019</v>
      </c>
      <c r="P724" s="26">
        <f ca="1">IFERROR(VLOOKUP(DadosViagem5[[#This Row],[Placa]],[1]BIP!A:E,5,FALSE),"")</f>
        <v>45880</v>
      </c>
      <c r="Q724" s="27">
        <f ca="1">DATEDIF(DadosViagem5[[#This Row],[BIP]],TODAY(),"D")</f>
        <v>110</v>
      </c>
      <c r="R724" s="28" t="str">
        <f>IFERROR(VLOOKUP(DadosViagem5[[#This Row],[Placa]],[1]DDS!B:C,2,FALSE),"Verificar cadastro")</f>
        <v> </v>
      </c>
      <c r="S724" s="36" t="s">
        <v>35</v>
      </c>
      <c r="T724" s="23"/>
      <c r="U724" s="30"/>
      <c r="V724" s="31">
        <v>45880</v>
      </c>
      <c r="W724" s="32" t="s">
        <v>1283</v>
      </c>
      <c r="X724" s="33" t="s">
        <v>65</v>
      </c>
      <c r="Y724" s="34" t="s">
        <v>159</v>
      </c>
      <c r="Z724" s="42" t="s">
        <v>1279</v>
      </c>
      <c r="AA724" s="20" t="s">
        <v>49</v>
      </c>
      <c r="AB724" s="20" t="s">
        <v>49</v>
      </c>
      <c r="AC724" s="19" t="s">
        <v>49</v>
      </c>
      <c r="AD724" s="19" t="str">
        <f ca="1">IFERROR(DATEDIF(DadosViagem5[[#This Row],[Utimo Bip Reserva]],TODAY(),"D"),"")</f>
        <v/>
      </c>
      <c r="AE724" s="36" t="s">
        <v>1284</v>
      </c>
      <c r="AF724" s="25" t="s">
        <v>49</v>
      </c>
      <c r="AG724" s="30" t="s">
        <v>153</v>
      </c>
      <c r="AH724" s="25">
        <v>64</v>
      </c>
      <c r="AI724" s="36" t="str">
        <f>IF(DadosViagem5[[#This Row],[Dias em manutenção ]]&lt;5,"Dentro do Prazo","Fora do Prazo")</f>
        <v>Fora do Prazo</v>
      </c>
      <c r="AJ724" s="36" t="e">
        <v>#REF!</v>
      </c>
    </row>
    <row r="725" spans="1:36">
      <c r="A725" s="19" t="s">
        <v>1285</v>
      </c>
      <c r="B725" s="20"/>
      <c r="C725" s="19" t="s">
        <v>671</v>
      </c>
      <c r="D725" s="19" t="s">
        <v>132</v>
      </c>
      <c r="E725" s="19" t="s">
        <v>114</v>
      </c>
      <c r="F725" s="19" t="s">
        <v>115</v>
      </c>
      <c r="G725" s="19"/>
      <c r="H725" s="20">
        <v>2021</v>
      </c>
      <c r="I725" s="19" t="s">
        <v>1274</v>
      </c>
      <c r="J725" s="19" t="s">
        <v>1275</v>
      </c>
      <c r="K725" s="21" t="s">
        <v>1276</v>
      </c>
      <c r="L725" s="22" t="s">
        <v>60</v>
      </c>
      <c r="M725" s="23" t="s">
        <v>268</v>
      </c>
      <c r="N725" s="36" t="s">
        <v>1277</v>
      </c>
      <c r="O725" s="36" t="s">
        <v>1019</v>
      </c>
      <c r="P725" s="26">
        <f ca="1">IFERROR(VLOOKUP(DadosViagem5[[#This Row],[Placa]],[1]BIP!A:E,5,FALSE),"")</f>
        <v>45874</v>
      </c>
      <c r="Q725" s="27">
        <f ca="1">DATEDIF(DadosViagem5[[#This Row],[BIP]],TODAY(),"D")</f>
        <v>116</v>
      </c>
      <c r="R725" s="28" t="str">
        <f>IFERROR(VLOOKUP(DadosViagem5[[#This Row],[Placa]],[1]DDS!B:C,2,FALSE),"Verificar cadastro")</f>
        <v> </v>
      </c>
      <c r="S725" s="36" t="s">
        <v>35</v>
      </c>
      <c r="T725" s="23"/>
      <c r="U725" s="30"/>
      <c r="V725" s="31"/>
      <c r="W725" s="32" t="s">
        <v>1286</v>
      </c>
      <c r="X725" s="33"/>
      <c r="Y725" s="34"/>
      <c r="Z725" s="42"/>
      <c r="AA725" s="20" t="s">
        <v>49</v>
      </c>
      <c r="AB725" s="20" t="s">
        <v>49</v>
      </c>
      <c r="AC725" s="19" t="s">
        <v>49</v>
      </c>
      <c r="AD725" s="19" t="str">
        <f ca="1">IFERROR(DATEDIF(DadosViagem5[[#This Row],[Utimo Bip Reserva]],TODAY(),"D"),"")</f>
        <v/>
      </c>
      <c r="AE725" s="36" t="s">
        <v>49</v>
      </c>
      <c r="AF725" s="25" t="s">
        <v>49</v>
      </c>
      <c r="AG725" s="36" t="s">
        <v>290</v>
      </c>
      <c r="AH725" s="25">
        <v>45807</v>
      </c>
      <c r="AI725" s="36" t="str">
        <f>IF(DadosViagem5[[#This Row],[Dias em manutenção ]]&lt;5,"Dentro do Prazo","Fora do Prazo")</f>
        <v>Fora do Prazo</v>
      </c>
      <c r="AJ725" s="36" t="e">
        <v>#REF!</v>
      </c>
    </row>
    <row r="726" spans="1:36">
      <c r="A726" s="19" t="s">
        <v>1287</v>
      </c>
      <c r="B726" s="20"/>
      <c r="C726" s="19" t="s">
        <v>74</v>
      </c>
      <c r="D726" s="19" t="s">
        <v>52</v>
      </c>
      <c r="E726" s="19" t="s">
        <v>114</v>
      </c>
      <c r="F726" s="19" t="s">
        <v>115</v>
      </c>
      <c r="G726" s="19"/>
      <c r="H726" s="20">
        <v>2022</v>
      </c>
      <c r="I726" s="19" t="s">
        <v>1274</v>
      </c>
      <c r="J726" s="19" t="s">
        <v>1275</v>
      </c>
      <c r="K726" s="21" t="s">
        <v>1276</v>
      </c>
      <c r="L726" s="22" t="s">
        <v>60</v>
      </c>
      <c r="M726" s="23" t="s">
        <v>77</v>
      </c>
      <c r="N726" s="36" t="s">
        <v>1277</v>
      </c>
      <c r="O726" s="36" t="s">
        <v>1019</v>
      </c>
      <c r="P726" s="26">
        <f ca="1">IFERROR(VLOOKUP(DadosViagem5[[#This Row],[Placa]],[1]BIP!A:E,5,FALSE),"")</f>
        <v>45737</v>
      </c>
      <c r="Q726" s="27">
        <f ca="1">DATEDIF(DadosViagem5[[#This Row],[BIP]],TODAY(),"D")</f>
        <v>253</v>
      </c>
      <c r="R726" s="28" t="str">
        <f>IFERROR(VLOOKUP(DadosViagem5[[#This Row],[Placa]],[1]DDS!B:C,2,FALSE),"Verificar cadastro")</f>
        <v>Verificar cadastro</v>
      </c>
      <c r="S726" s="36" t="s">
        <v>574</v>
      </c>
      <c r="T726" s="23"/>
      <c r="U726" s="30"/>
      <c r="V726" s="31"/>
      <c r="W726" s="32" t="s">
        <v>1288</v>
      </c>
      <c r="X726" s="33"/>
      <c r="Y726" s="34"/>
      <c r="Z726" s="32"/>
      <c r="AA726" s="20" t="s">
        <v>49</v>
      </c>
      <c r="AB726" s="20" t="s">
        <v>49</v>
      </c>
      <c r="AC726" s="19" t="s">
        <v>49</v>
      </c>
      <c r="AD726" s="19" t="str">
        <f ca="1">IFERROR(DATEDIF(DadosViagem5[[#This Row],[Utimo Bip Reserva]],TODAY(),"D"),"")</f>
        <v/>
      </c>
      <c r="AE726" s="36" t="s">
        <v>1289</v>
      </c>
      <c r="AF726" s="25" t="s">
        <v>49</v>
      </c>
      <c r="AG726" s="30" t="s">
        <v>153</v>
      </c>
      <c r="AH726" s="25">
        <v>69</v>
      </c>
      <c r="AI726" s="36" t="str">
        <f>IF(DadosViagem5[[#This Row],[Dias em manutenção ]]&lt;5,"Dentro do Prazo","Fora do Prazo")</f>
        <v>Fora do Prazo</v>
      </c>
      <c r="AJ726" s="36" t="e">
        <v>#REF!</v>
      </c>
    </row>
    <row r="727" spans="1:36">
      <c r="A727" s="19" t="s">
        <v>1290</v>
      </c>
      <c r="B727" s="20"/>
      <c r="C727" s="19" t="s">
        <v>671</v>
      </c>
      <c r="D727" s="19" t="s">
        <v>132</v>
      </c>
      <c r="E727" s="19" t="s">
        <v>114</v>
      </c>
      <c r="F727" s="19" t="s">
        <v>115</v>
      </c>
      <c r="G727" s="19"/>
      <c r="H727" s="20">
        <v>2022</v>
      </c>
      <c r="I727" s="19" t="s">
        <v>1274</v>
      </c>
      <c r="J727" s="19" t="s">
        <v>1275</v>
      </c>
      <c r="K727" s="21" t="s">
        <v>1276</v>
      </c>
      <c r="L727" s="22" t="s">
        <v>60</v>
      </c>
      <c r="M727" s="23" t="s">
        <v>268</v>
      </c>
      <c r="N727" s="36" t="s">
        <v>1277</v>
      </c>
      <c r="O727" s="36" t="s">
        <v>1019</v>
      </c>
      <c r="P727" s="26">
        <f ca="1">IFERROR(VLOOKUP(DadosViagem5[[#This Row],[Placa]],[1]BIP!A:E,5,FALSE),"")</f>
        <v>45881</v>
      </c>
      <c r="Q727" s="27">
        <f ca="1">DATEDIF(DadosViagem5[[#This Row],[BIP]],TODAY(),"D")</f>
        <v>109</v>
      </c>
      <c r="R727" s="28" t="str">
        <f>IFERROR(VLOOKUP(DadosViagem5[[#This Row],[Placa]],[1]DDS!B:C,2,FALSE),"Verificar cadastro")</f>
        <v>Verificar cadastro</v>
      </c>
      <c r="S727" s="36" t="s">
        <v>35</v>
      </c>
      <c r="T727" s="23"/>
      <c r="U727" s="30"/>
      <c r="V727" s="31"/>
      <c r="W727" s="32" t="s">
        <v>1291</v>
      </c>
      <c r="X727" s="33"/>
      <c r="Y727" s="34"/>
      <c r="Z727" s="93"/>
      <c r="AA727" s="20" t="s">
        <v>49</v>
      </c>
      <c r="AB727" s="20" t="s">
        <v>49</v>
      </c>
      <c r="AC727" s="19" t="s">
        <v>49</v>
      </c>
      <c r="AD727" s="19" t="str">
        <f ca="1">IFERROR(DATEDIF(DadosViagem5[[#This Row],[Utimo Bip Reserva]],TODAY(),"D"),"")</f>
        <v/>
      </c>
      <c r="AE727" s="36" t="s">
        <v>49</v>
      </c>
      <c r="AF727" s="25" t="s">
        <v>49</v>
      </c>
      <c r="AG727" s="36"/>
      <c r="AH727" s="25">
        <v>45807</v>
      </c>
      <c r="AI727" s="36" t="str">
        <f>IF(DadosViagem5[[#This Row],[Dias em manutenção ]]&lt;5,"Dentro do Prazo","Fora do Prazo")</f>
        <v>Fora do Prazo</v>
      </c>
      <c r="AJ727" s="36" t="e">
        <v>#REF!</v>
      </c>
    </row>
    <row r="728" spans="1:36">
      <c r="A728" s="19" t="s">
        <v>1292</v>
      </c>
      <c r="B728" s="20"/>
      <c r="C728" s="19" t="s">
        <v>74</v>
      </c>
      <c r="D728" s="19" t="s">
        <v>52</v>
      </c>
      <c r="E728" s="19" t="s">
        <v>114</v>
      </c>
      <c r="F728" s="19" t="s">
        <v>115</v>
      </c>
      <c r="G728" s="19"/>
      <c r="H728" s="20">
        <v>2022</v>
      </c>
      <c r="I728" s="19" t="s">
        <v>1274</v>
      </c>
      <c r="J728" s="19" t="s">
        <v>1275</v>
      </c>
      <c r="K728" s="21" t="s">
        <v>1276</v>
      </c>
      <c r="L728" s="22" t="s">
        <v>60</v>
      </c>
      <c r="M728" s="23" t="s">
        <v>77</v>
      </c>
      <c r="N728" s="36" t="s">
        <v>1277</v>
      </c>
      <c r="O728" s="36" t="s">
        <v>1019</v>
      </c>
      <c r="P728" s="26">
        <f ca="1">IFERROR(VLOOKUP(DadosViagem5[[#This Row],[Placa]],[1]BIP!A:E,5,FALSE),"")</f>
        <v>45824</v>
      </c>
      <c r="Q728" s="27">
        <f ca="1">DATEDIF(DadosViagem5[[#This Row],[BIP]],TODAY(),"D")</f>
        <v>166</v>
      </c>
      <c r="R728" s="28" t="str">
        <f>IFERROR(VLOOKUP(DadosViagem5[[#This Row],[Placa]],[1]DDS!B:C,2,FALSE),"Verificar cadastro")</f>
        <v>Verificar cadastro</v>
      </c>
      <c r="S728" s="36" t="s">
        <v>574</v>
      </c>
      <c r="T728" s="23"/>
      <c r="U728" s="30"/>
      <c r="V728" s="31"/>
      <c r="W728" s="32" t="s">
        <v>1293</v>
      </c>
      <c r="X728" s="33"/>
      <c r="Y728" s="34"/>
      <c r="Z728" s="32"/>
      <c r="AA728" s="20" t="s">
        <v>49</v>
      </c>
      <c r="AB728" s="20" t="s">
        <v>49</v>
      </c>
      <c r="AC728" s="19" t="s">
        <v>49</v>
      </c>
      <c r="AD728" s="19" t="str">
        <f ca="1">IFERROR(DATEDIF(DadosViagem5[[#This Row],[Utimo Bip Reserva]],TODAY(),"D"),"")</f>
        <v/>
      </c>
      <c r="AE728" s="36" t="s">
        <v>49</v>
      </c>
      <c r="AF728" s="25" t="s">
        <v>49</v>
      </c>
      <c r="AG728" s="36"/>
      <c r="AH728" s="25">
        <v>45807</v>
      </c>
      <c r="AI728" s="36" t="str">
        <f>IF(DadosViagem5[[#This Row],[Dias em manutenção ]]&lt;5,"Dentro do Prazo","Fora do Prazo")</f>
        <v>Fora do Prazo</v>
      </c>
      <c r="AJ728" s="36" t="e">
        <v>#REF!</v>
      </c>
    </row>
    <row r="729" spans="1:36">
      <c r="A729" s="19" t="s">
        <v>1294</v>
      </c>
      <c r="B729" s="20"/>
      <c r="C729" s="19" t="s">
        <v>671</v>
      </c>
      <c r="D729" s="19" t="s">
        <v>132</v>
      </c>
      <c r="E729" s="19" t="s">
        <v>114</v>
      </c>
      <c r="F729" s="19" t="s">
        <v>115</v>
      </c>
      <c r="G729" s="19"/>
      <c r="H729" s="20">
        <v>2022</v>
      </c>
      <c r="I729" s="19" t="s">
        <v>1274</v>
      </c>
      <c r="J729" s="19" t="s">
        <v>1275</v>
      </c>
      <c r="K729" s="21" t="s">
        <v>1276</v>
      </c>
      <c r="L729" s="22" t="s">
        <v>60</v>
      </c>
      <c r="M729" s="23" t="s">
        <v>268</v>
      </c>
      <c r="N729" s="36" t="s">
        <v>1277</v>
      </c>
      <c r="O729" s="36" t="s">
        <v>1019</v>
      </c>
      <c r="P729" s="26">
        <f ca="1">IFERROR(VLOOKUP(DadosViagem5[[#This Row],[Placa]],[1]BIP!A:E,5,FALSE),"")</f>
        <v>45879</v>
      </c>
      <c r="Q729" s="27">
        <f ca="1">DATEDIF(DadosViagem5[[#This Row],[BIP]],TODAY(),"D")</f>
        <v>111</v>
      </c>
      <c r="R729" s="28" t="str">
        <f>IFERROR(VLOOKUP(DadosViagem5[[#This Row],[Placa]],[1]DDS!B:C,2,FALSE),"Verificar cadastro")</f>
        <v> </v>
      </c>
      <c r="S729" s="36" t="s">
        <v>35</v>
      </c>
      <c r="T729" s="23"/>
      <c r="U729" s="30"/>
      <c r="V729" s="31"/>
      <c r="W729" s="32" t="s">
        <v>1295</v>
      </c>
      <c r="X729" s="33"/>
      <c r="Y729" s="34"/>
      <c r="Z729" s="32"/>
      <c r="AA729" s="20" t="s">
        <v>49</v>
      </c>
      <c r="AB729" s="20" t="s">
        <v>49</v>
      </c>
      <c r="AC729" s="19" t="s">
        <v>49</v>
      </c>
      <c r="AD729" s="19" t="str">
        <f ca="1">IFERROR(DATEDIF(DadosViagem5[[#This Row],[Utimo Bip Reserva]],TODAY(),"D"),"")</f>
        <v/>
      </c>
      <c r="AE729" s="36" t="s">
        <v>49</v>
      </c>
      <c r="AF729" s="25" t="s">
        <v>49</v>
      </c>
      <c r="AG729" s="36"/>
      <c r="AH729" s="25">
        <v>45807</v>
      </c>
      <c r="AI729" s="36" t="str">
        <f>IF(DadosViagem5[[#This Row],[Dias em manutenção ]]&lt;5,"Dentro do Prazo","Fora do Prazo")</f>
        <v>Fora do Prazo</v>
      </c>
      <c r="AJ729" s="36" t="e">
        <v>#REF!</v>
      </c>
    </row>
    <row r="730" spans="1:36">
      <c r="A730" s="19" t="s">
        <v>1296</v>
      </c>
      <c r="B730" s="20"/>
      <c r="C730" s="19" t="s">
        <v>671</v>
      </c>
      <c r="D730" s="19" t="s">
        <v>132</v>
      </c>
      <c r="E730" s="19" t="s">
        <v>114</v>
      </c>
      <c r="F730" s="19" t="s">
        <v>115</v>
      </c>
      <c r="G730" s="19"/>
      <c r="H730" s="20">
        <v>2022</v>
      </c>
      <c r="I730" s="19" t="s">
        <v>1274</v>
      </c>
      <c r="J730" s="19" t="s">
        <v>1275</v>
      </c>
      <c r="K730" s="21" t="s">
        <v>1276</v>
      </c>
      <c r="L730" s="22" t="s">
        <v>60</v>
      </c>
      <c r="M730" s="23" t="s">
        <v>268</v>
      </c>
      <c r="N730" s="36" t="s">
        <v>1277</v>
      </c>
      <c r="O730" s="36" t="s">
        <v>1019</v>
      </c>
      <c r="P730" s="26">
        <f ca="1">IFERROR(VLOOKUP(DadosViagem5[[#This Row],[Placa]],[1]BIP!A:E,5,FALSE),"")</f>
        <v>45881</v>
      </c>
      <c r="Q730" s="27">
        <f ca="1">DATEDIF(DadosViagem5[[#This Row],[BIP]],TODAY(),"D")</f>
        <v>109</v>
      </c>
      <c r="R730" s="28" t="str">
        <f>IFERROR(VLOOKUP(DadosViagem5[[#This Row],[Placa]],[1]DDS!B:C,2,FALSE),"Verificar cadastro")</f>
        <v>Verificar cadastro</v>
      </c>
      <c r="S730" s="36" t="s">
        <v>35</v>
      </c>
      <c r="T730" s="23"/>
      <c r="U730" s="30"/>
      <c r="V730" s="31"/>
      <c r="W730" s="32" t="s">
        <v>1291</v>
      </c>
      <c r="X730" s="33"/>
      <c r="Y730" s="34"/>
      <c r="Z730" s="32"/>
      <c r="AA730" s="20" t="s">
        <v>49</v>
      </c>
      <c r="AB730" s="20" t="s">
        <v>49</v>
      </c>
      <c r="AC730" s="19" t="s">
        <v>49</v>
      </c>
      <c r="AD730" s="19" t="str">
        <f ca="1">IFERROR(DATEDIF(DadosViagem5[[#This Row],[Utimo Bip Reserva]],TODAY(),"D"),"")</f>
        <v/>
      </c>
      <c r="AE730" s="36" t="s">
        <v>49</v>
      </c>
      <c r="AF730" s="25" t="s">
        <v>49</v>
      </c>
      <c r="AG730" s="36"/>
      <c r="AH730" s="25">
        <v>46</v>
      </c>
      <c r="AI730" s="36" t="str">
        <f>IF(DadosViagem5[[#This Row],[Dias em manutenção ]]&lt;5,"Dentro do Prazo","Fora do Prazo")</f>
        <v>Fora do Prazo</v>
      </c>
      <c r="AJ730" s="36" t="e">
        <v>#REF!</v>
      </c>
    </row>
    <row r="731" spans="1:36">
      <c r="A731" s="19" t="s">
        <v>1297</v>
      </c>
      <c r="B731" s="20"/>
      <c r="C731" s="19" t="s">
        <v>131</v>
      </c>
      <c r="D731" s="19" t="s">
        <v>132</v>
      </c>
      <c r="E731" s="19" t="s">
        <v>114</v>
      </c>
      <c r="F731" s="19" t="s">
        <v>115</v>
      </c>
      <c r="G731" s="19"/>
      <c r="H731" s="20">
        <v>2022</v>
      </c>
      <c r="I731" s="19" t="s">
        <v>1274</v>
      </c>
      <c r="J731" s="19" t="s">
        <v>1275</v>
      </c>
      <c r="K731" s="21" t="s">
        <v>1276</v>
      </c>
      <c r="L731" s="22" t="s">
        <v>60</v>
      </c>
      <c r="M731" s="23" t="s">
        <v>268</v>
      </c>
      <c r="N731" s="36" t="s">
        <v>1277</v>
      </c>
      <c r="O731" s="36" t="s">
        <v>1019</v>
      </c>
      <c r="P731" s="26">
        <f ca="1">IFERROR(VLOOKUP(DadosViagem5[[#This Row],[Placa]],[1]BIP!A:E,5,FALSE),"")</f>
        <v>45563</v>
      </c>
      <c r="Q731" s="27">
        <f ca="1">DATEDIF(DadosViagem5[[#This Row],[BIP]],TODAY(),"D")</f>
        <v>427</v>
      </c>
      <c r="R731" s="28" t="str">
        <f>IFERROR(VLOOKUP(DadosViagem5[[#This Row],[Placa]],[1]DDS!B:C,2,FALSE),"Verificar cadastro")</f>
        <v>Verificar cadastro</v>
      </c>
      <c r="S731" s="36" t="s">
        <v>574</v>
      </c>
      <c r="T731" s="23"/>
      <c r="U731" s="30"/>
      <c r="V731" s="31"/>
      <c r="W731" s="32" t="s">
        <v>1298</v>
      </c>
      <c r="X731" s="33"/>
      <c r="Y731" s="34"/>
      <c r="Z731" s="32"/>
      <c r="AA731" s="20" t="s">
        <v>49</v>
      </c>
      <c r="AB731" s="20" t="s">
        <v>49</v>
      </c>
      <c r="AC731" s="19" t="s">
        <v>49</v>
      </c>
      <c r="AD731" s="19" t="str">
        <f ca="1">IFERROR(DATEDIF(DadosViagem5[[#This Row],[Utimo Bip Reserva]],TODAY(),"D"),"")</f>
        <v/>
      </c>
      <c r="AE731" s="36" t="s">
        <v>1299</v>
      </c>
      <c r="AF731" s="25" t="s">
        <v>49</v>
      </c>
      <c r="AG731" s="36"/>
      <c r="AH731" s="25">
        <v>45807</v>
      </c>
      <c r="AI731" s="36" t="str">
        <f>IF(DadosViagem5[[#This Row],[Dias em manutenção ]]&lt;5,"Dentro do Prazo","Fora do Prazo")</f>
        <v>Fora do Prazo</v>
      </c>
      <c r="AJ731" s="36" t="e">
        <v>#REF!</v>
      </c>
    </row>
    <row r="732" spans="1:36">
      <c r="A732" s="19" t="s">
        <v>1300</v>
      </c>
      <c r="B732" s="20"/>
      <c r="C732" s="19" t="s">
        <v>671</v>
      </c>
      <c r="D732" s="19" t="s">
        <v>132</v>
      </c>
      <c r="E732" s="19" t="s">
        <v>114</v>
      </c>
      <c r="F732" s="19" t="s">
        <v>115</v>
      </c>
      <c r="G732" s="19"/>
      <c r="H732" s="20">
        <v>2022</v>
      </c>
      <c r="I732" s="19" t="s">
        <v>1274</v>
      </c>
      <c r="J732" s="19" t="s">
        <v>1275</v>
      </c>
      <c r="K732" s="21" t="s">
        <v>1276</v>
      </c>
      <c r="L732" s="22" t="s">
        <v>60</v>
      </c>
      <c r="M732" s="23" t="s">
        <v>268</v>
      </c>
      <c r="N732" s="36" t="s">
        <v>1277</v>
      </c>
      <c r="O732" s="36" t="s">
        <v>1019</v>
      </c>
      <c r="P732" s="26">
        <f ca="1">IFERROR(VLOOKUP(DadosViagem5[[#This Row],[Placa]],[1]BIP!A:E,5,FALSE),"")</f>
        <v>45881</v>
      </c>
      <c r="Q732" s="27">
        <f ca="1">DATEDIF(DadosViagem5[[#This Row],[BIP]],TODAY(),"D")</f>
        <v>109</v>
      </c>
      <c r="R732" s="28" t="str">
        <f>IFERROR(VLOOKUP(DadosViagem5[[#This Row],[Placa]],[1]DDS!B:C,2,FALSE),"Verificar cadastro")</f>
        <v>Verificar cadastro</v>
      </c>
      <c r="S732" s="36" t="s">
        <v>35</v>
      </c>
      <c r="T732" s="23"/>
      <c r="U732" s="30"/>
      <c r="V732" s="31"/>
      <c r="W732" s="32" t="s">
        <v>1291</v>
      </c>
      <c r="X732" s="33"/>
      <c r="Y732" s="34"/>
      <c r="Z732" s="32"/>
      <c r="AA732" s="20" t="s">
        <v>49</v>
      </c>
      <c r="AB732" s="20" t="s">
        <v>49</v>
      </c>
      <c r="AC732" s="19" t="s">
        <v>49</v>
      </c>
      <c r="AD732" s="19" t="str">
        <f ca="1">IFERROR(DATEDIF(DadosViagem5[[#This Row],[Utimo Bip Reserva]],TODAY(),"D"),"")</f>
        <v/>
      </c>
      <c r="AE732" s="36" t="s">
        <v>49</v>
      </c>
      <c r="AF732" s="25" t="s">
        <v>49</v>
      </c>
      <c r="AG732" s="36"/>
      <c r="AH732" s="25">
        <v>45807</v>
      </c>
      <c r="AI732" s="36" t="str">
        <f>IF(DadosViagem5[[#This Row],[Dias em manutenção ]]&lt;5,"Dentro do Prazo","Fora do Prazo")</f>
        <v>Fora do Prazo</v>
      </c>
      <c r="AJ732" s="36" t="e">
        <v>#REF!</v>
      </c>
    </row>
    <row r="733" spans="1:36">
      <c r="A733" s="19" t="s">
        <v>1301</v>
      </c>
      <c r="B733" s="20"/>
      <c r="C733" s="19" t="s">
        <v>562</v>
      </c>
      <c r="D733" s="19" t="s">
        <v>563</v>
      </c>
      <c r="E733" s="19" t="s">
        <v>114</v>
      </c>
      <c r="F733" s="19" t="s">
        <v>115</v>
      </c>
      <c r="G733" s="19"/>
      <c r="H733" s="20">
        <v>2022</v>
      </c>
      <c r="I733" s="19" t="s">
        <v>1040</v>
      </c>
      <c r="J733" s="19" t="s">
        <v>1302</v>
      </c>
      <c r="K733" s="21" t="s">
        <v>1303</v>
      </c>
      <c r="L733" s="22" t="s">
        <v>60</v>
      </c>
      <c r="M733" s="23" t="s">
        <v>45</v>
      </c>
      <c r="N733" s="36" t="s">
        <v>1044</v>
      </c>
      <c r="O733" s="36" t="s">
        <v>1152</v>
      </c>
      <c r="P733" s="26">
        <f ca="1">IFERROR(VLOOKUP(DadosViagem5[[#This Row],[Placa]],[1]BIP!A:E,5,FALSE),"")</f>
        <v>45989</v>
      </c>
      <c r="Q733" s="27">
        <f ca="1">DATEDIF(DadosViagem5[[#This Row],[BIP]],TODAY(),"D")</f>
        <v>1</v>
      </c>
      <c r="R733" s="28" t="str">
        <f>IFERROR(VLOOKUP(DadosViagem5[[#This Row],[Placa]],[1]DDS!B:C,2,FALSE),"Verificar cadastro")</f>
        <v>Operando</v>
      </c>
      <c r="S733" s="29" t="s">
        <v>48</v>
      </c>
      <c r="T733" s="23"/>
      <c r="U733" s="30"/>
      <c r="V733" s="31"/>
      <c r="W733" s="32" t="s">
        <v>1304</v>
      </c>
      <c r="X733" s="33"/>
      <c r="Y733" s="34"/>
      <c r="Z733" s="42"/>
      <c r="AA733" s="20" t="s">
        <v>49</v>
      </c>
      <c r="AB733" s="20" t="s">
        <v>49</v>
      </c>
      <c r="AC733" s="19" t="s">
        <v>49</v>
      </c>
      <c r="AD733" s="19" t="str">
        <f ca="1">IFERROR(DATEDIF(DadosViagem5[[#This Row],[Utimo Bip Reserva]],TODAY(),"D"),"")</f>
        <v/>
      </c>
      <c r="AE733" s="36" t="s">
        <v>49</v>
      </c>
      <c r="AF733" s="25" t="s">
        <v>49</v>
      </c>
      <c r="AG733" s="36"/>
      <c r="AH733" s="25">
        <v>45807</v>
      </c>
      <c r="AI733" s="36" t="str">
        <f>IF(DadosViagem5[[#This Row],[Dias em manutenção ]]&lt;5,"Dentro do Prazo","Fora do Prazo")</f>
        <v>Fora do Prazo</v>
      </c>
      <c r="AJ733" s="36" t="e">
        <v>#REF!</v>
      </c>
    </row>
    <row r="734" spans="1:36">
      <c r="A734" s="19" t="s">
        <v>1305</v>
      </c>
      <c r="B734" s="20"/>
      <c r="C734" s="19" t="s">
        <v>88</v>
      </c>
      <c r="D734" s="19" t="s">
        <v>52</v>
      </c>
      <c r="E734" s="19" t="s">
        <v>114</v>
      </c>
      <c r="F734" s="19" t="s">
        <v>115</v>
      </c>
      <c r="G734" s="19"/>
      <c r="H734" s="20">
        <v>2022</v>
      </c>
      <c r="I734" s="19" t="s">
        <v>1040</v>
      </c>
      <c r="J734" s="19" t="s">
        <v>1302</v>
      </c>
      <c r="K734" s="21" t="s">
        <v>1303</v>
      </c>
      <c r="L734" s="22" t="s">
        <v>60</v>
      </c>
      <c r="M734" s="23" t="s">
        <v>45</v>
      </c>
      <c r="N734" s="36" t="s">
        <v>1044</v>
      </c>
      <c r="O734" s="36" t="s">
        <v>1152</v>
      </c>
      <c r="P734" s="26">
        <f ca="1">IFERROR(VLOOKUP(DadosViagem5[[#This Row],[Placa]],[1]BIP!A:E,5,FALSE),"")</f>
        <v>45988</v>
      </c>
      <c r="Q734" s="27">
        <f ca="1">DATEDIF(DadosViagem5[[#This Row],[BIP]],TODAY(),"D")</f>
        <v>2</v>
      </c>
      <c r="R734" s="28" t="str">
        <f>IFERROR(VLOOKUP(DadosViagem5[[#This Row],[Placa]],[1]DDS!B:C,2,FALSE),"Verificar cadastro")</f>
        <v>Verificar cadastro</v>
      </c>
      <c r="S734" s="36" t="s">
        <v>35</v>
      </c>
      <c r="T734" s="23"/>
      <c r="U734" s="30"/>
      <c r="V734" s="31"/>
      <c r="W734" s="32" t="s">
        <v>1045</v>
      </c>
      <c r="X734" s="33"/>
      <c r="Y734" s="34" t="s">
        <v>49</v>
      </c>
      <c r="Z734" s="32"/>
      <c r="AA734" s="20" t="s">
        <v>49</v>
      </c>
      <c r="AB734" s="20" t="s">
        <v>49</v>
      </c>
      <c r="AC734" s="19" t="s">
        <v>49</v>
      </c>
      <c r="AD734" s="19" t="str">
        <f ca="1">IFERROR(DATEDIF(DadosViagem5[[#This Row],[Utimo Bip Reserva]],TODAY(),"D"),"")</f>
        <v/>
      </c>
      <c r="AE734" s="36" t="s">
        <v>49</v>
      </c>
      <c r="AF734" s="25" t="s">
        <v>49</v>
      </c>
      <c r="AG734" s="36"/>
      <c r="AH734" s="25">
        <v>45807</v>
      </c>
      <c r="AI734" s="36" t="str">
        <f>IF(DadosViagem5[[#This Row],[Dias em manutenção ]]&lt;5,"Dentro do Prazo","Fora do Prazo")</f>
        <v>Fora do Prazo</v>
      </c>
      <c r="AJ734" s="36" t="e">
        <v>#REF!</v>
      </c>
    </row>
    <row r="735" spans="1:36">
      <c r="A735" s="19" t="s">
        <v>1306</v>
      </c>
      <c r="B735" s="20"/>
      <c r="C735" s="19" t="s">
        <v>88</v>
      </c>
      <c r="D735" s="19" t="s">
        <v>52</v>
      </c>
      <c r="E735" s="19" t="s">
        <v>114</v>
      </c>
      <c r="F735" s="19" t="s">
        <v>115</v>
      </c>
      <c r="G735" s="19"/>
      <c r="H735" s="20">
        <v>2022</v>
      </c>
      <c r="I735" s="19" t="s">
        <v>1040</v>
      </c>
      <c r="J735" s="19" t="s">
        <v>1302</v>
      </c>
      <c r="K735" s="21" t="s">
        <v>1303</v>
      </c>
      <c r="L735" s="22" t="s">
        <v>60</v>
      </c>
      <c r="M735" s="23" t="s">
        <v>45</v>
      </c>
      <c r="N735" s="36" t="s">
        <v>1044</v>
      </c>
      <c r="O735" s="36" t="s">
        <v>1152</v>
      </c>
      <c r="P735" s="26">
        <f ca="1">IFERROR(VLOOKUP(DadosViagem5[[#This Row],[Placa]],[1]BIP!A:E,5,FALSE),"")</f>
        <v>0</v>
      </c>
      <c r="Q735" s="27">
        <f ca="1">DATEDIF(DadosViagem5[[#This Row],[BIP]],TODAY(),"D")</f>
        <v>45990</v>
      </c>
      <c r="R735" s="28" t="str">
        <f>IFERROR(VLOOKUP(DadosViagem5[[#This Row],[Placa]],[1]DDS!B:C,2,FALSE),"Verificar cadastro")</f>
        <v> </v>
      </c>
      <c r="S735" s="36" t="s">
        <v>35</v>
      </c>
      <c r="T735" s="23"/>
      <c r="U735" s="30"/>
      <c r="V735" s="31"/>
      <c r="W735" s="32" t="s">
        <v>1045</v>
      </c>
      <c r="X735" s="33"/>
      <c r="Y735" s="34" t="s">
        <v>49</v>
      </c>
      <c r="Z735" s="32"/>
      <c r="AA735" s="20" t="s">
        <v>49</v>
      </c>
      <c r="AB735" s="20" t="s">
        <v>49</v>
      </c>
      <c r="AC735" s="19" t="s">
        <v>49</v>
      </c>
      <c r="AD735" s="19" t="str">
        <f ca="1">IFERROR(DATEDIF(DadosViagem5[[#This Row],[Utimo Bip Reserva]],TODAY(),"D"),"")</f>
        <v/>
      </c>
      <c r="AE735" s="36" t="s">
        <v>49</v>
      </c>
      <c r="AF735" s="25" t="s">
        <v>49</v>
      </c>
      <c r="AG735" s="36"/>
      <c r="AH735" s="25">
        <v>45807</v>
      </c>
      <c r="AI735" s="36" t="str">
        <f>IF(DadosViagem5[[#This Row],[Dias em manutenção ]]&lt;5,"Dentro do Prazo","Fora do Prazo")</f>
        <v>Fora do Prazo</v>
      </c>
      <c r="AJ735" s="36" t="e">
        <v>#REF!</v>
      </c>
    </row>
    <row r="736" spans="1:36">
      <c r="A736" s="19" t="s">
        <v>1307</v>
      </c>
      <c r="B736" s="20"/>
      <c r="C736" s="19" t="s">
        <v>562</v>
      </c>
      <c r="D736" s="19" t="s">
        <v>563</v>
      </c>
      <c r="E736" s="19" t="s">
        <v>114</v>
      </c>
      <c r="F736" s="19" t="s">
        <v>115</v>
      </c>
      <c r="G736" s="19"/>
      <c r="H736" s="20">
        <v>2022</v>
      </c>
      <c r="I736" s="19" t="s">
        <v>1040</v>
      </c>
      <c r="J736" s="19" t="s">
        <v>1302</v>
      </c>
      <c r="K736" s="21" t="s">
        <v>1303</v>
      </c>
      <c r="L736" s="22" t="s">
        <v>60</v>
      </c>
      <c r="M736" s="23" t="s">
        <v>45</v>
      </c>
      <c r="N736" s="36" t="s">
        <v>1044</v>
      </c>
      <c r="O736" s="36" t="s">
        <v>1152</v>
      </c>
      <c r="P736" s="26">
        <f ca="1">IFERROR(VLOOKUP(DadosViagem5[[#This Row],[Placa]],[1]BIP!A:E,5,FALSE),"")</f>
        <v>45989</v>
      </c>
      <c r="Q736" s="27">
        <f ca="1">DATEDIF(DadosViagem5[[#This Row],[BIP]],TODAY(),"D")</f>
        <v>1</v>
      </c>
      <c r="R736" s="28" t="str">
        <f>IFERROR(VLOOKUP(DadosViagem5[[#This Row],[Placa]],[1]DDS!B:C,2,FALSE),"Verificar cadastro")</f>
        <v>Operando</v>
      </c>
      <c r="S736" s="29" t="s">
        <v>48</v>
      </c>
      <c r="T736" s="23"/>
      <c r="U736" s="30"/>
      <c r="V736" s="31"/>
      <c r="W736" s="32"/>
      <c r="X736" s="33"/>
      <c r="Y736" s="34" t="s">
        <v>49</v>
      </c>
      <c r="Z736" s="32"/>
      <c r="AA736" s="20" t="s">
        <v>49</v>
      </c>
      <c r="AB736" s="20" t="s">
        <v>49</v>
      </c>
      <c r="AC736" s="19" t="s">
        <v>49</v>
      </c>
      <c r="AD736" s="19" t="str">
        <f ca="1">IFERROR(DATEDIF(DadosViagem5[[#This Row],[Utimo Bip Reserva]],TODAY(),"D"),"")</f>
        <v/>
      </c>
      <c r="AE736" s="36" t="s">
        <v>49</v>
      </c>
      <c r="AF736" s="25" t="s">
        <v>49</v>
      </c>
      <c r="AG736" s="36"/>
      <c r="AH736" s="25">
        <v>45807</v>
      </c>
      <c r="AI736" s="36" t="str">
        <f>IF(DadosViagem5[[#This Row],[Dias em manutenção ]]&lt;5,"Dentro do Prazo","Fora do Prazo")</f>
        <v>Fora do Prazo</v>
      </c>
      <c r="AJ736" s="36" t="e">
        <v>#REF!</v>
      </c>
    </row>
    <row r="737" spans="1:36">
      <c r="A737" s="19" t="s">
        <v>1308</v>
      </c>
      <c r="B737" s="20"/>
      <c r="C737" s="19" t="s">
        <v>562</v>
      </c>
      <c r="D737" s="19" t="s">
        <v>563</v>
      </c>
      <c r="E737" s="19" t="s">
        <v>114</v>
      </c>
      <c r="F737" s="19" t="s">
        <v>115</v>
      </c>
      <c r="G737" s="19"/>
      <c r="H737" s="20">
        <v>2022</v>
      </c>
      <c r="I737" s="19" t="s">
        <v>1040</v>
      </c>
      <c r="J737" s="19" t="s">
        <v>1302</v>
      </c>
      <c r="K737" s="21" t="s">
        <v>1303</v>
      </c>
      <c r="L737" s="22" t="s">
        <v>60</v>
      </c>
      <c r="M737" s="23" t="s">
        <v>45</v>
      </c>
      <c r="N737" s="24" t="s">
        <v>1044</v>
      </c>
      <c r="O737" s="36" t="s">
        <v>1152</v>
      </c>
      <c r="P737" s="26">
        <f ca="1">IFERROR(VLOOKUP(DadosViagem5[[#This Row],[Placa]],[1]BIP!A:E,5,FALSE),"")</f>
        <v>45972</v>
      </c>
      <c r="Q737" s="27">
        <f ca="1">DATEDIF(DadosViagem5[[#This Row],[BIP]],TODAY(),"D")</f>
        <v>18</v>
      </c>
      <c r="R737" s="28" t="str">
        <f>IFERROR(VLOOKUP(DadosViagem5[[#This Row],[Placa]],[1]DDS!B:C,2,FALSE),"Verificar cadastro")</f>
        <v> </v>
      </c>
      <c r="S737" s="29" t="s">
        <v>48</v>
      </c>
      <c r="T737" s="23"/>
      <c r="U737" s="30"/>
      <c r="V737" s="31"/>
      <c r="W737" s="32"/>
      <c r="X737" s="33"/>
      <c r="Y737" s="34" t="s">
        <v>49</v>
      </c>
      <c r="Z737" s="32"/>
      <c r="AA737" s="20" t="s">
        <v>49</v>
      </c>
      <c r="AB737" s="20" t="s">
        <v>49</v>
      </c>
      <c r="AC737" s="19" t="s">
        <v>49</v>
      </c>
      <c r="AD737" s="19" t="str">
        <f ca="1">IFERROR(DATEDIF(DadosViagem5[[#This Row],[Utimo Bip Reserva]],TODAY(),"D"),"")</f>
        <v/>
      </c>
      <c r="AE737" s="36" t="s">
        <v>49</v>
      </c>
      <c r="AF737" s="25" t="s">
        <v>49</v>
      </c>
      <c r="AG737" s="36"/>
      <c r="AH737" s="25">
        <v>45807</v>
      </c>
      <c r="AI737" s="36" t="str">
        <f>IF(DadosViagem5[[#This Row],[Dias em manutenção ]]&lt;5,"Dentro do Prazo","Fora do Prazo")</f>
        <v>Fora do Prazo</v>
      </c>
      <c r="AJ737" s="36" t="e">
        <v>#REF!</v>
      </c>
    </row>
    <row r="738" spans="1:36">
      <c r="A738" s="19" t="s">
        <v>1309</v>
      </c>
      <c r="B738" s="20"/>
      <c r="C738" s="19" t="s">
        <v>1310</v>
      </c>
      <c r="D738" s="19" t="s">
        <v>563</v>
      </c>
      <c r="E738" s="19" t="s">
        <v>114</v>
      </c>
      <c r="F738" s="19" t="s">
        <v>115</v>
      </c>
      <c r="G738" s="19"/>
      <c r="H738" s="20">
        <v>2022</v>
      </c>
      <c r="I738" s="19" t="s">
        <v>1040</v>
      </c>
      <c r="J738" s="19" t="s">
        <v>1302</v>
      </c>
      <c r="K738" s="21" t="s">
        <v>1303</v>
      </c>
      <c r="L738" s="22" t="s">
        <v>60</v>
      </c>
      <c r="M738" s="23" t="s">
        <v>45</v>
      </c>
      <c r="N738" s="36" t="s">
        <v>1044</v>
      </c>
      <c r="O738" s="36" t="s">
        <v>1152</v>
      </c>
      <c r="P738" s="26">
        <f ca="1">IFERROR(VLOOKUP(DadosViagem5[[#This Row],[Placa]],[1]BIP!A:E,5,FALSE),"")</f>
        <v>45973</v>
      </c>
      <c r="Q738" s="27">
        <f ca="1">DATEDIF(DadosViagem5[[#This Row],[BIP]],TODAY(),"D")</f>
        <v>17</v>
      </c>
      <c r="R738" s="28" t="str">
        <f>IFERROR(VLOOKUP(DadosViagem5[[#This Row],[Placa]],[1]DDS!B:C,2,FALSE),"Verificar cadastro")</f>
        <v> </v>
      </c>
      <c r="S738" s="29" t="s">
        <v>48</v>
      </c>
      <c r="T738" s="23"/>
      <c r="U738" s="30"/>
      <c r="V738" s="31"/>
      <c r="W738" s="32"/>
      <c r="X738" s="33"/>
      <c r="Y738" s="34" t="s">
        <v>49</v>
      </c>
      <c r="Z738" s="32"/>
      <c r="AA738" s="20" t="s">
        <v>49</v>
      </c>
      <c r="AB738" s="20" t="s">
        <v>49</v>
      </c>
      <c r="AC738" s="19" t="s">
        <v>49</v>
      </c>
      <c r="AD738" s="19" t="str">
        <f ca="1">IFERROR(DATEDIF(DadosViagem5[[#This Row],[Utimo Bip Reserva]],TODAY(),"D"),"")</f>
        <v/>
      </c>
      <c r="AE738" s="36" t="s">
        <v>49</v>
      </c>
      <c r="AF738" s="25" t="s">
        <v>49</v>
      </c>
      <c r="AG738" s="36"/>
      <c r="AH738" s="25">
        <v>45807</v>
      </c>
      <c r="AI738" s="36" t="str">
        <f>IF(DadosViagem5[[#This Row],[Dias em manutenção ]]&lt;5,"Dentro do Prazo","Fora do Prazo")</f>
        <v>Fora do Prazo</v>
      </c>
      <c r="AJ738" s="36" t="e">
        <v>#REF!</v>
      </c>
    </row>
    <row r="739" spans="1:36">
      <c r="A739" s="19" t="s">
        <v>1311</v>
      </c>
      <c r="B739" s="20"/>
      <c r="C739" s="19" t="s">
        <v>88</v>
      </c>
      <c r="D739" s="19" t="s">
        <v>52</v>
      </c>
      <c r="E739" s="19" t="s">
        <v>114</v>
      </c>
      <c r="F739" s="19" t="s">
        <v>115</v>
      </c>
      <c r="G739" s="19"/>
      <c r="H739" s="20">
        <v>2022</v>
      </c>
      <c r="I739" s="19" t="s">
        <v>1040</v>
      </c>
      <c r="J739" s="19" t="s">
        <v>1302</v>
      </c>
      <c r="K739" s="21" t="s">
        <v>1303</v>
      </c>
      <c r="L739" s="22" t="s">
        <v>60</v>
      </c>
      <c r="M739" s="23" t="s">
        <v>45</v>
      </c>
      <c r="N739" s="36" t="s">
        <v>1044</v>
      </c>
      <c r="O739" s="36" t="s">
        <v>1152</v>
      </c>
      <c r="P739" s="26">
        <f ca="1">IFERROR(VLOOKUP(DadosViagem5[[#This Row],[Placa]],[1]BIP!A:E,5,FALSE),"")</f>
        <v>45936</v>
      </c>
      <c r="Q739" s="27">
        <f ca="1">DATEDIF(DadosViagem5[[#This Row],[BIP]],TODAY(),"D")</f>
        <v>54</v>
      </c>
      <c r="R739" s="28" t="str">
        <f>IFERROR(VLOOKUP(DadosViagem5[[#This Row],[Placa]],[1]DDS!B:C,2,FALSE),"Verificar cadastro")</f>
        <v> </v>
      </c>
      <c r="S739" s="29" t="s">
        <v>48</v>
      </c>
      <c r="T739" s="23"/>
      <c r="U739" s="30"/>
      <c r="V739" s="31"/>
      <c r="W739" s="32"/>
      <c r="X739" s="33"/>
      <c r="Y739" s="34" t="s">
        <v>49</v>
      </c>
      <c r="Z739" s="32"/>
      <c r="AA739" s="20" t="s">
        <v>49</v>
      </c>
      <c r="AB739" s="20" t="s">
        <v>49</v>
      </c>
      <c r="AC739" s="19" t="s">
        <v>49</v>
      </c>
      <c r="AD739" s="19" t="str">
        <f ca="1">IFERROR(DATEDIF(DadosViagem5[[#This Row],[Utimo Bip Reserva]],TODAY(),"D"),"")</f>
        <v/>
      </c>
      <c r="AE739" s="36" t="s">
        <v>49</v>
      </c>
      <c r="AF739" s="25" t="s">
        <v>49</v>
      </c>
      <c r="AG739" s="36"/>
      <c r="AH739" s="25">
        <v>45807</v>
      </c>
      <c r="AI739" s="36" t="str">
        <f>IF(DadosViagem5[[#This Row],[Dias em manutenção ]]&lt;5,"Dentro do Prazo","Fora do Prazo")</f>
        <v>Fora do Prazo</v>
      </c>
      <c r="AJ739" s="36" t="e">
        <v>#REF!</v>
      </c>
    </row>
    <row r="740" spans="1:36">
      <c r="A740" s="19" t="s">
        <v>1312</v>
      </c>
      <c r="B740" s="20"/>
      <c r="C740" s="19" t="s">
        <v>88</v>
      </c>
      <c r="D740" s="19" t="s">
        <v>52</v>
      </c>
      <c r="E740" s="19" t="s">
        <v>114</v>
      </c>
      <c r="F740" s="19" t="s">
        <v>115</v>
      </c>
      <c r="G740" s="19"/>
      <c r="H740" s="20">
        <v>2022</v>
      </c>
      <c r="I740" s="19" t="s">
        <v>1040</v>
      </c>
      <c r="J740" s="19" t="s">
        <v>1302</v>
      </c>
      <c r="K740" s="21" t="s">
        <v>1303</v>
      </c>
      <c r="L740" s="22" t="s">
        <v>60</v>
      </c>
      <c r="M740" s="23" t="s">
        <v>45</v>
      </c>
      <c r="N740" s="36" t="s">
        <v>1044</v>
      </c>
      <c r="O740" s="36" t="s">
        <v>1152</v>
      </c>
      <c r="P740" s="26">
        <f ca="1">IFERROR(VLOOKUP(DadosViagem5[[#This Row],[Placa]],[1]BIP!A:E,5,FALSE),"")</f>
        <v>45989</v>
      </c>
      <c r="Q740" s="27">
        <f ca="1">DATEDIF(DadosViagem5[[#This Row],[BIP]],TODAY(),"D")</f>
        <v>1</v>
      </c>
      <c r="R740" s="28" t="str">
        <f>IFERROR(VLOOKUP(DadosViagem5[[#This Row],[Placa]],[1]DDS!B:C,2,FALSE),"Verificar cadastro")</f>
        <v> </v>
      </c>
      <c r="S740" s="36" t="s">
        <v>35</v>
      </c>
      <c r="T740" s="23"/>
      <c r="U740" s="30"/>
      <c r="V740" s="31"/>
      <c r="W740" s="32" t="s">
        <v>1045</v>
      </c>
      <c r="X740" s="33"/>
      <c r="Y740" s="34" t="s">
        <v>49</v>
      </c>
      <c r="Z740" s="32"/>
      <c r="AA740" s="20" t="s">
        <v>49</v>
      </c>
      <c r="AB740" s="20" t="s">
        <v>49</v>
      </c>
      <c r="AC740" s="19" t="s">
        <v>49</v>
      </c>
      <c r="AD740" s="19" t="str">
        <f ca="1">IFERROR(DATEDIF(DadosViagem5[[#This Row],[Utimo Bip Reserva]],TODAY(),"D"),"")</f>
        <v/>
      </c>
      <c r="AE740" s="36" t="s">
        <v>49</v>
      </c>
      <c r="AF740" s="25" t="s">
        <v>49</v>
      </c>
      <c r="AG740" s="36"/>
      <c r="AH740" s="25">
        <v>45807</v>
      </c>
      <c r="AI740" s="36" t="str">
        <f>IF(DadosViagem5[[#This Row],[Dias em manutenção ]]&lt;5,"Dentro do Prazo","Fora do Prazo")</f>
        <v>Fora do Prazo</v>
      </c>
      <c r="AJ740" s="36" t="e">
        <v>#REF!</v>
      </c>
    </row>
    <row r="741" spans="1:36">
      <c r="A741" s="19" t="s">
        <v>1313</v>
      </c>
      <c r="B741" s="20"/>
      <c r="C741" s="19" t="s">
        <v>671</v>
      </c>
      <c r="D741" s="19" t="s">
        <v>132</v>
      </c>
      <c r="E741" s="19" t="s">
        <v>114</v>
      </c>
      <c r="F741" s="19" t="s">
        <v>115</v>
      </c>
      <c r="G741" s="19"/>
      <c r="H741" s="20">
        <v>2022</v>
      </c>
      <c r="I741" s="19" t="s">
        <v>1040</v>
      </c>
      <c r="J741" s="19" t="s">
        <v>1302</v>
      </c>
      <c r="K741" s="21" t="s">
        <v>1303</v>
      </c>
      <c r="L741" s="22" t="s">
        <v>60</v>
      </c>
      <c r="M741" s="23" t="s">
        <v>45</v>
      </c>
      <c r="N741" s="36" t="s">
        <v>1044</v>
      </c>
      <c r="O741" s="36" t="s">
        <v>1152</v>
      </c>
      <c r="P741" s="26">
        <f ca="1">IFERROR(VLOOKUP(DadosViagem5[[#This Row],[Placa]],[1]BIP!A:E,5,FALSE),"")</f>
        <v>45989</v>
      </c>
      <c r="Q741" s="27">
        <f ca="1">DATEDIF(DadosViagem5[[#This Row],[BIP]],TODAY(),"D")</f>
        <v>1</v>
      </c>
      <c r="R741" s="28" t="str">
        <f>IFERROR(VLOOKUP(DadosViagem5[[#This Row],[Placa]],[1]DDS!B:C,2,FALSE),"Verificar cadastro")</f>
        <v>Operando</v>
      </c>
      <c r="S741" s="29" t="s">
        <v>48</v>
      </c>
      <c r="T741" s="23"/>
      <c r="U741" s="30"/>
      <c r="V741" s="31"/>
      <c r="W741" s="32" t="s">
        <v>155</v>
      </c>
      <c r="X741" s="33"/>
      <c r="Y741" s="34"/>
      <c r="Z741" s="42"/>
      <c r="AA741" s="20" t="s">
        <v>49</v>
      </c>
      <c r="AB741" s="20" t="s">
        <v>49</v>
      </c>
      <c r="AC741" s="19" t="s">
        <v>49</v>
      </c>
      <c r="AD741" s="19" t="str">
        <f ca="1">IFERROR(DATEDIF(DadosViagem5[[#This Row],[Utimo Bip Reserva]],TODAY(),"D"),"")</f>
        <v/>
      </c>
      <c r="AE741" s="36" t="s">
        <v>49</v>
      </c>
      <c r="AF741" s="25" t="s">
        <v>49</v>
      </c>
      <c r="AG741" s="36"/>
      <c r="AH741" s="25">
        <v>45807</v>
      </c>
      <c r="AI741" s="36" t="str">
        <f>IF(DadosViagem5[[#This Row],[Dias em manutenção ]]&lt;5,"Dentro do Prazo","Fora do Prazo")</f>
        <v>Fora do Prazo</v>
      </c>
      <c r="AJ741" s="36" t="e">
        <v>#REF!</v>
      </c>
    </row>
    <row r="742" spans="1:36">
      <c r="A742" s="19" t="s">
        <v>1314</v>
      </c>
      <c r="B742" s="20"/>
      <c r="C742" s="19" t="s">
        <v>671</v>
      </c>
      <c r="D742" s="19" t="s">
        <v>132</v>
      </c>
      <c r="E742" s="19" t="s">
        <v>114</v>
      </c>
      <c r="F742" s="19" t="s">
        <v>115</v>
      </c>
      <c r="G742" s="19"/>
      <c r="H742" s="20">
        <v>2022</v>
      </c>
      <c r="I742" s="19" t="s">
        <v>1040</v>
      </c>
      <c r="J742" s="19" t="s">
        <v>1302</v>
      </c>
      <c r="K742" s="21" t="s">
        <v>1303</v>
      </c>
      <c r="L742" s="22" t="s">
        <v>60</v>
      </c>
      <c r="M742" s="23" t="s">
        <v>45</v>
      </c>
      <c r="N742" s="36" t="s">
        <v>1044</v>
      </c>
      <c r="O742" s="36" t="s">
        <v>1152</v>
      </c>
      <c r="P742" s="26">
        <f ca="1">IFERROR(VLOOKUP(DadosViagem5[[#This Row],[Placa]],[1]BIP!A:E,5,FALSE),"")</f>
        <v>45936</v>
      </c>
      <c r="Q742" s="27">
        <f ca="1">DATEDIF(DadosViagem5[[#This Row],[BIP]],TODAY(),"D")</f>
        <v>54</v>
      </c>
      <c r="R742" s="28" t="str">
        <f>IFERROR(VLOOKUP(DadosViagem5[[#This Row],[Placa]],[1]DDS!B:C,2,FALSE),"Verificar cadastro")</f>
        <v> </v>
      </c>
      <c r="S742" s="29" t="s">
        <v>48</v>
      </c>
      <c r="T742" s="23"/>
      <c r="U742" s="30"/>
      <c r="V742" s="31"/>
      <c r="W742" s="32"/>
      <c r="X742" s="33"/>
      <c r="Y742" s="34"/>
      <c r="Z742" s="42"/>
      <c r="AA742" s="20" t="s">
        <v>49</v>
      </c>
      <c r="AB742" s="20" t="s">
        <v>49</v>
      </c>
      <c r="AC742" s="19" t="s">
        <v>49</v>
      </c>
      <c r="AD742" s="19" t="str">
        <f ca="1">IFERROR(DATEDIF(DadosViagem5[[#This Row],[Utimo Bip Reserva]],TODAY(),"D"),"")</f>
        <v/>
      </c>
      <c r="AE742" s="36"/>
      <c r="AF742" s="25" t="s">
        <v>49</v>
      </c>
      <c r="AG742" s="23"/>
      <c r="AH742" s="25">
        <v>45807</v>
      </c>
      <c r="AI742" s="36" t="str">
        <f>IF(DadosViagem5[[#This Row],[Dias em manutenção ]]&lt;5,"Dentro do Prazo","Fora do Prazo")</f>
        <v>Fora do Prazo</v>
      </c>
      <c r="AJ742" s="36" t="e">
        <v>#REF!</v>
      </c>
    </row>
    <row r="743" spans="1:36">
      <c r="A743" s="19" t="s">
        <v>1315</v>
      </c>
      <c r="B743" s="20"/>
      <c r="C743" s="19" t="s">
        <v>131</v>
      </c>
      <c r="D743" s="19" t="s">
        <v>132</v>
      </c>
      <c r="E743" s="19" t="s">
        <v>894</v>
      </c>
      <c r="F743" s="19" t="s">
        <v>115</v>
      </c>
      <c r="G743" s="19"/>
      <c r="H743" s="20">
        <v>2022</v>
      </c>
      <c r="I743" s="19" t="s">
        <v>1040</v>
      </c>
      <c r="J743" s="19" t="s">
        <v>1302</v>
      </c>
      <c r="K743" s="21" t="s">
        <v>1303</v>
      </c>
      <c r="L743" s="22" t="s">
        <v>60</v>
      </c>
      <c r="M743" s="23" t="s">
        <v>45</v>
      </c>
      <c r="N743" s="36" t="s">
        <v>1044</v>
      </c>
      <c r="O743" s="36" t="s">
        <v>1152</v>
      </c>
      <c r="P743" s="26">
        <f ca="1">IFERROR(VLOOKUP(DadosViagem5[[#This Row],[Placa]],[1]BIP!A:E,5,FALSE),"")</f>
        <v>45958</v>
      </c>
      <c r="Q743" s="27">
        <f ca="1">DATEDIF(DadosViagem5[[#This Row],[BIP]],TODAY(),"D")</f>
        <v>32</v>
      </c>
      <c r="R743" s="28" t="str">
        <f>IFERROR(VLOOKUP(DadosViagem5[[#This Row],[Placa]],[1]DDS!B:C,2,FALSE),"Verificar cadastro")</f>
        <v> </v>
      </c>
      <c r="S743" s="29" t="s">
        <v>48</v>
      </c>
      <c r="T743" s="23"/>
      <c r="U743" s="30"/>
      <c r="V743" s="31"/>
      <c r="W743" s="32" t="s">
        <v>155</v>
      </c>
      <c r="X743" s="33"/>
      <c r="Y743" s="34"/>
      <c r="Z743" s="42"/>
      <c r="AA743" s="20" t="s">
        <v>49</v>
      </c>
      <c r="AB743" s="20" t="s">
        <v>49</v>
      </c>
      <c r="AC743" s="20" t="s">
        <v>49</v>
      </c>
      <c r="AD743" s="20" t="s">
        <v>49</v>
      </c>
      <c r="AE743" s="30"/>
      <c r="AF743" s="30" t="s">
        <v>49</v>
      </c>
      <c r="AG743" s="23"/>
      <c r="AH743" s="25">
        <v>45807</v>
      </c>
      <c r="AI743" s="36" t="str">
        <f>IF(DadosViagem5[[#This Row],[Dias em manutenção ]]&lt;5,"Dentro do Prazo","Fora do Prazo")</f>
        <v>Fora do Prazo</v>
      </c>
      <c r="AJ743" s="36" t="e">
        <v>#REF!</v>
      </c>
    </row>
    <row r="744" spans="1:36">
      <c r="A744" s="19" t="s">
        <v>1316</v>
      </c>
      <c r="B744" s="20"/>
      <c r="C744" s="19" t="s">
        <v>562</v>
      </c>
      <c r="D744" s="19" t="s">
        <v>563</v>
      </c>
      <c r="E744" s="19" t="s">
        <v>114</v>
      </c>
      <c r="F744" s="19" t="s">
        <v>115</v>
      </c>
      <c r="G744" s="19"/>
      <c r="H744" s="20">
        <v>2022</v>
      </c>
      <c r="I744" s="19" t="s">
        <v>1040</v>
      </c>
      <c r="J744" s="19" t="s">
        <v>1302</v>
      </c>
      <c r="K744" s="21" t="s">
        <v>1303</v>
      </c>
      <c r="L744" s="22" t="s">
        <v>60</v>
      </c>
      <c r="M744" s="23" t="s">
        <v>45</v>
      </c>
      <c r="N744" s="36" t="s">
        <v>1044</v>
      </c>
      <c r="O744" s="36" t="s">
        <v>1152</v>
      </c>
      <c r="P744" s="26">
        <f ca="1">IFERROR(VLOOKUP(DadosViagem5[[#This Row],[Placa]],[1]BIP!A:E,5,FALSE),"")</f>
        <v>45989</v>
      </c>
      <c r="Q744" s="27">
        <f ca="1">DATEDIF(DadosViagem5[[#This Row],[BIP]],TODAY(),"D")</f>
        <v>1</v>
      </c>
      <c r="R744" s="28" t="str">
        <f>IFERROR(VLOOKUP(DadosViagem5[[#This Row],[Placa]],[1]DDS!B:C,2,FALSE),"Verificar cadastro")</f>
        <v>Operando</v>
      </c>
      <c r="S744" s="29" t="s">
        <v>48</v>
      </c>
      <c r="T744" s="23"/>
      <c r="U744" s="30"/>
      <c r="V744" s="31"/>
      <c r="W744" s="32"/>
      <c r="X744" s="33"/>
      <c r="Y744" s="34"/>
      <c r="Z744" s="42"/>
      <c r="AA744" s="20" t="s">
        <v>49</v>
      </c>
      <c r="AB744" s="20" t="s">
        <v>49</v>
      </c>
      <c r="AC744" s="19" t="s">
        <v>49</v>
      </c>
      <c r="AD744" s="19" t="str">
        <f ca="1">IFERROR(DATEDIF(DadosViagem5[[#This Row],[Utimo Bip Reserva]],TODAY(),"D"),"")</f>
        <v/>
      </c>
      <c r="AE744" s="36" t="s">
        <v>49</v>
      </c>
      <c r="AF744" s="25" t="s">
        <v>49</v>
      </c>
      <c r="AG744" s="36"/>
      <c r="AH744" s="25">
        <v>45807</v>
      </c>
      <c r="AI744" s="36" t="str">
        <f>IF(DadosViagem5[[#This Row],[Dias em manutenção ]]&lt;5,"Dentro do Prazo","Fora do Prazo")</f>
        <v>Fora do Prazo</v>
      </c>
      <c r="AJ744" s="36" t="e">
        <v>#REF!</v>
      </c>
    </row>
    <row r="745" spans="1:36">
      <c r="A745" s="19" t="s">
        <v>1317</v>
      </c>
      <c r="B745" s="20"/>
      <c r="C745" s="19" t="s">
        <v>671</v>
      </c>
      <c r="D745" s="19" t="s">
        <v>132</v>
      </c>
      <c r="E745" s="19" t="s">
        <v>114</v>
      </c>
      <c r="F745" s="19" t="s">
        <v>115</v>
      </c>
      <c r="G745" s="19"/>
      <c r="H745" s="20">
        <v>2022</v>
      </c>
      <c r="I745" s="19" t="s">
        <v>1040</v>
      </c>
      <c r="J745" s="19" t="s">
        <v>1302</v>
      </c>
      <c r="K745" s="21" t="s">
        <v>1303</v>
      </c>
      <c r="L745" s="22" t="s">
        <v>60</v>
      </c>
      <c r="M745" s="23" t="s">
        <v>45</v>
      </c>
      <c r="N745" s="36" t="s">
        <v>1044</v>
      </c>
      <c r="O745" s="36" t="s">
        <v>1152</v>
      </c>
      <c r="P745" s="26">
        <f ca="1">IFERROR(VLOOKUP(DadosViagem5[[#This Row],[Placa]],[1]BIP!A:E,5,FALSE),"")</f>
        <v>45926</v>
      </c>
      <c r="Q745" s="27">
        <f ca="1">DATEDIF(DadosViagem5[[#This Row],[BIP]],TODAY(),"D")</f>
        <v>64</v>
      </c>
      <c r="R745" s="28" t="str">
        <f>IFERROR(VLOOKUP(DadosViagem5[[#This Row],[Placa]],[1]DDS!B:C,2,FALSE),"Verificar cadastro")</f>
        <v>Manutenção</v>
      </c>
      <c r="S745" s="29" t="s">
        <v>48</v>
      </c>
      <c r="T745" s="23"/>
      <c r="U745" s="30"/>
      <c r="V745" s="31"/>
      <c r="W745" s="32" t="s">
        <v>1318</v>
      </c>
      <c r="X745" s="33"/>
      <c r="Y745" s="34"/>
      <c r="Z745" s="32"/>
      <c r="AA745" s="20" t="s">
        <v>49</v>
      </c>
      <c r="AB745" s="20" t="s">
        <v>49</v>
      </c>
      <c r="AC745" s="19" t="s">
        <v>49</v>
      </c>
      <c r="AD745" s="19" t="str">
        <f ca="1">IFERROR(DATEDIF(DadosViagem5[[#This Row],[Utimo Bip Reserva]],TODAY(),"D"),"")</f>
        <v/>
      </c>
      <c r="AE745" s="36" t="s">
        <v>1319</v>
      </c>
      <c r="AF745" s="25" t="s">
        <v>49</v>
      </c>
      <c r="AG745" s="36" t="s">
        <v>997</v>
      </c>
      <c r="AH745" s="25">
        <v>45807</v>
      </c>
      <c r="AI745" s="36" t="str">
        <f>IF(DadosViagem5[[#This Row],[Dias em manutenção ]]&lt;5,"Dentro do Prazo","Fora do Prazo")</f>
        <v>Fora do Prazo</v>
      </c>
      <c r="AJ745" s="36" t="e">
        <v>#REF!</v>
      </c>
    </row>
    <row r="746" spans="1:36">
      <c r="A746" s="19" t="s">
        <v>1320</v>
      </c>
      <c r="B746" s="20"/>
      <c r="C746" s="19" t="s">
        <v>131</v>
      </c>
      <c r="D746" s="19" t="s">
        <v>132</v>
      </c>
      <c r="E746" s="19" t="s">
        <v>894</v>
      </c>
      <c r="F746" s="19" t="s">
        <v>115</v>
      </c>
      <c r="G746" s="19"/>
      <c r="H746" s="20">
        <v>2022</v>
      </c>
      <c r="I746" s="19" t="s">
        <v>1040</v>
      </c>
      <c r="J746" s="19" t="s">
        <v>1302</v>
      </c>
      <c r="K746" s="21" t="s">
        <v>1303</v>
      </c>
      <c r="L746" s="22" t="s">
        <v>60</v>
      </c>
      <c r="M746" s="23" t="s">
        <v>45</v>
      </c>
      <c r="N746" s="36" t="s">
        <v>1044</v>
      </c>
      <c r="O746" s="36" t="s">
        <v>1152</v>
      </c>
      <c r="P746" s="26">
        <f ca="1">IFERROR(VLOOKUP(DadosViagem5[[#This Row],[Placa]],[1]BIP!A:E,5,FALSE),"")</f>
        <v>45848</v>
      </c>
      <c r="Q746" s="27">
        <f ca="1">DATEDIF(DadosViagem5[[#This Row],[BIP]],TODAY(),"D")</f>
        <v>142</v>
      </c>
      <c r="R746" s="28" t="str">
        <f>IFERROR(VLOOKUP(DadosViagem5[[#This Row],[Placa]],[1]DDS!B:C,2,FALSE),"Verificar cadastro")</f>
        <v>Verificar cadastro</v>
      </c>
      <c r="S746" s="36" t="s">
        <v>574</v>
      </c>
      <c r="T746" s="23"/>
      <c r="U746" s="30"/>
      <c r="V746" s="31"/>
      <c r="W746" s="32" t="s">
        <v>1321</v>
      </c>
      <c r="X746" s="126"/>
      <c r="Y746" s="127"/>
      <c r="Z746" s="128"/>
      <c r="AA746" s="20" t="s">
        <v>49</v>
      </c>
      <c r="AB746" s="20" t="s">
        <v>49</v>
      </c>
      <c r="AC746" s="19" t="s">
        <v>49</v>
      </c>
      <c r="AD746" s="19" t="str">
        <f ca="1">IFERROR(DATEDIF(DadosViagem5[[#This Row],[Utimo Bip Reserva]],TODAY(),"D"),"")</f>
        <v/>
      </c>
      <c r="AE746" s="36" t="s">
        <v>1322</v>
      </c>
      <c r="AF746" s="25">
        <v>45699</v>
      </c>
      <c r="AG746" s="36" t="s">
        <v>540</v>
      </c>
      <c r="AH746" s="25">
        <v>45807</v>
      </c>
      <c r="AI746" s="36" t="str">
        <f>IF(DadosViagem5[[#This Row],[Dias em manutenção ]]&lt;5,"Dentro do Prazo","Fora do Prazo")</f>
        <v>Fora do Prazo</v>
      </c>
      <c r="AJ746" s="36" t="e">
        <v>#REF!</v>
      </c>
    </row>
    <row r="747" spans="1:36">
      <c r="A747" s="19" t="s">
        <v>1323</v>
      </c>
      <c r="B747" s="20"/>
      <c r="C747" s="19" t="s">
        <v>131</v>
      </c>
      <c r="D747" s="19" t="s">
        <v>132</v>
      </c>
      <c r="E747" s="19" t="s">
        <v>894</v>
      </c>
      <c r="F747" s="19" t="s">
        <v>115</v>
      </c>
      <c r="G747" s="19"/>
      <c r="H747" s="20">
        <v>2022</v>
      </c>
      <c r="I747" s="19" t="s">
        <v>1040</v>
      </c>
      <c r="J747" s="19" t="s">
        <v>1302</v>
      </c>
      <c r="K747" s="21" t="s">
        <v>1303</v>
      </c>
      <c r="L747" s="22" t="s">
        <v>60</v>
      </c>
      <c r="M747" s="23" t="s">
        <v>45</v>
      </c>
      <c r="N747" s="36" t="s">
        <v>1044</v>
      </c>
      <c r="O747" s="36" t="s">
        <v>1152</v>
      </c>
      <c r="P747" s="26">
        <f ca="1">IFERROR(VLOOKUP(DadosViagem5[[#This Row],[Placa]],[1]BIP!A:E,5,FALSE),"")</f>
        <v>45989</v>
      </c>
      <c r="Q747" s="27">
        <f ca="1">DATEDIF(DadosViagem5[[#This Row],[BIP]],TODAY(),"D")</f>
        <v>1</v>
      </c>
      <c r="R747" s="28" t="str">
        <f>IFERROR(VLOOKUP(DadosViagem5[[#This Row],[Placa]],[1]DDS!B:C,2,FALSE),"Verificar cadastro")</f>
        <v> </v>
      </c>
      <c r="S747" s="29" t="s">
        <v>48</v>
      </c>
      <c r="T747" s="23"/>
      <c r="U747" s="30"/>
      <c r="V747" s="31"/>
      <c r="W747" s="32"/>
      <c r="X747" s="33"/>
      <c r="Y747" s="34"/>
      <c r="Z747" s="32"/>
      <c r="AA747" s="20" t="s">
        <v>49</v>
      </c>
      <c r="AB747" s="20" t="s">
        <v>49</v>
      </c>
      <c r="AC747" s="19" t="s">
        <v>49</v>
      </c>
      <c r="AD747" s="19" t="str">
        <f ca="1">IFERROR(DATEDIF(DadosViagem5[[#This Row],[Utimo Bip Reserva]],TODAY(),"D"),"")</f>
        <v/>
      </c>
      <c r="AE747" s="25" t="s">
        <v>49</v>
      </c>
      <c r="AF747" s="25" t="s">
        <v>49</v>
      </c>
      <c r="AG747" s="36" t="s">
        <v>481</v>
      </c>
      <c r="AH747" s="25">
        <v>45807</v>
      </c>
      <c r="AI747" s="36" t="str">
        <f>IF(DadosViagem5[[#This Row],[Dias em manutenção ]]&lt;5,"Dentro do Prazo","Fora do Prazo")</f>
        <v>Fora do Prazo</v>
      </c>
      <c r="AJ747" s="36" t="e">
        <v>#REF!</v>
      </c>
    </row>
    <row r="748" spans="1:36">
      <c r="A748" s="19" t="s">
        <v>1324</v>
      </c>
      <c r="B748" s="20"/>
      <c r="C748" s="19" t="s">
        <v>131</v>
      </c>
      <c r="D748" s="19" t="s">
        <v>132</v>
      </c>
      <c r="E748" s="19" t="s">
        <v>894</v>
      </c>
      <c r="F748" s="19" t="s">
        <v>115</v>
      </c>
      <c r="G748" s="19"/>
      <c r="H748" s="20">
        <v>2022</v>
      </c>
      <c r="I748" s="19" t="s">
        <v>1040</v>
      </c>
      <c r="J748" s="19" t="s">
        <v>1302</v>
      </c>
      <c r="K748" s="21" t="s">
        <v>1303</v>
      </c>
      <c r="L748" s="22" t="s">
        <v>60</v>
      </c>
      <c r="M748" s="23" t="s">
        <v>45</v>
      </c>
      <c r="N748" s="36" t="s">
        <v>1044</v>
      </c>
      <c r="O748" s="36" t="s">
        <v>1152</v>
      </c>
      <c r="P748" s="26">
        <f ca="1">IFERROR(VLOOKUP(DadosViagem5[[#This Row],[Placa]],[1]BIP!A:E,5,FALSE),"")</f>
        <v>45989</v>
      </c>
      <c r="Q748" s="27">
        <f ca="1">DATEDIF(DadosViagem5[[#This Row],[BIP]],TODAY(),"D")</f>
        <v>1</v>
      </c>
      <c r="R748" s="28"/>
      <c r="S748" s="29" t="s">
        <v>48</v>
      </c>
      <c r="T748" s="23"/>
      <c r="U748" s="30"/>
      <c r="V748" s="31"/>
      <c r="W748" s="32" t="s">
        <v>1218</v>
      </c>
      <c r="X748" s="33"/>
      <c r="Y748" s="34"/>
      <c r="Z748" s="42"/>
      <c r="AA748" s="20" t="s">
        <v>49</v>
      </c>
      <c r="AB748" s="20" t="s">
        <v>49</v>
      </c>
      <c r="AC748" s="19" t="s">
        <v>49</v>
      </c>
      <c r="AD748" s="19" t="str">
        <f ca="1">IFERROR(DATEDIF(DadosViagem5[[#This Row],[Utimo Bip Reserva]],TODAY(),"D"),"")</f>
        <v/>
      </c>
      <c r="AE748" s="25" t="s">
        <v>49</v>
      </c>
      <c r="AF748" s="25" t="s">
        <v>49</v>
      </c>
      <c r="AG748" s="23"/>
      <c r="AH748" s="25">
        <v>45807</v>
      </c>
      <c r="AI748" s="36" t="str">
        <f>IF(DadosViagem5[[#This Row],[Dias em manutenção ]]&lt;5,"Dentro do Prazo","Fora do Prazo")</f>
        <v>Fora do Prazo</v>
      </c>
      <c r="AJ748" s="36" t="e">
        <v>#REF!</v>
      </c>
    </row>
    <row r="749" spans="1:36">
      <c r="A749" s="19" t="s">
        <v>1325</v>
      </c>
      <c r="B749" s="20"/>
      <c r="C749" s="19" t="s">
        <v>671</v>
      </c>
      <c r="D749" s="19" t="s">
        <v>132</v>
      </c>
      <c r="E749" s="19" t="s">
        <v>894</v>
      </c>
      <c r="F749" s="19" t="s">
        <v>115</v>
      </c>
      <c r="G749" s="19"/>
      <c r="H749" s="20">
        <v>2022</v>
      </c>
      <c r="I749" s="19" t="s">
        <v>1040</v>
      </c>
      <c r="J749" s="19" t="s">
        <v>1302</v>
      </c>
      <c r="K749" s="21" t="s">
        <v>1303</v>
      </c>
      <c r="L749" s="22" t="s">
        <v>60</v>
      </c>
      <c r="M749" s="23" t="s">
        <v>45</v>
      </c>
      <c r="N749" s="36" t="s">
        <v>1044</v>
      </c>
      <c r="O749" s="36" t="s">
        <v>1152</v>
      </c>
      <c r="P749" s="26">
        <f ca="1">IFERROR(VLOOKUP(DadosViagem5[[#This Row],[Placa]],[1]BIP!A:E,5,FALSE),"")</f>
        <v>45977</v>
      </c>
      <c r="Q749" s="27">
        <f ca="1">DATEDIF(DadosViagem5[[#This Row],[BIP]],TODAY(),"D")</f>
        <v>13</v>
      </c>
      <c r="R749" s="28" t="str">
        <f>IFERROR(VLOOKUP(DadosViagem5[[#This Row],[Placa]],[1]DDS!B:C,2,FALSE),"Verificar cadastro")</f>
        <v> </v>
      </c>
      <c r="S749" s="29" t="s">
        <v>48</v>
      </c>
      <c r="T749" s="23"/>
      <c r="U749" s="30"/>
      <c r="V749" s="31"/>
      <c r="W749" s="32"/>
      <c r="X749" s="33"/>
      <c r="Y749" s="34"/>
      <c r="Z749" s="42"/>
      <c r="AA749" s="20" t="s">
        <v>49</v>
      </c>
      <c r="AB749" s="20" t="s">
        <v>49</v>
      </c>
      <c r="AC749" s="19" t="s">
        <v>49</v>
      </c>
      <c r="AD749" s="19"/>
      <c r="AE749" s="25"/>
      <c r="AF749" s="25" t="s">
        <v>49</v>
      </c>
      <c r="AG749" s="36"/>
      <c r="AH749" s="25">
        <v>11</v>
      </c>
      <c r="AI749" s="36" t="str">
        <f>IF(DadosViagem5[[#This Row],[Dias em manutenção ]]&lt;5,"Dentro do Prazo","Fora do Prazo")</f>
        <v>Fora do Prazo</v>
      </c>
      <c r="AJ749" s="36" t="e">
        <v>#REF!</v>
      </c>
    </row>
    <row r="750" spans="1:36">
      <c r="A750" s="19" t="s">
        <v>1326</v>
      </c>
      <c r="B750" s="20"/>
      <c r="C750" s="19" t="s">
        <v>131</v>
      </c>
      <c r="D750" s="19" t="s">
        <v>132</v>
      </c>
      <c r="E750" s="19" t="s">
        <v>894</v>
      </c>
      <c r="F750" s="19" t="s">
        <v>115</v>
      </c>
      <c r="G750" s="19"/>
      <c r="H750" s="20">
        <v>2022</v>
      </c>
      <c r="I750" s="19" t="s">
        <v>1040</v>
      </c>
      <c r="J750" s="19" t="s">
        <v>1302</v>
      </c>
      <c r="K750" s="21" t="s">
        <v>1303</v>
      </c>
      <c r="L750" s="22" t="s">
        <v>60</v>
      </c>
      <c r="M750" s="23" t="s">
        <v>45</v>
      </c>
      <c r="N750" s="36" t="s">
        <v>1044</v>
      </c>
      <c r="O750" s="36" t="s">
        <v>1152</v>
      </c>
      <c r="P750" s="26">
        <f ca="1">IFERROR(VLOOKUP(DadosViagem5[[#This Row],[Placa]],[1]BIP!A:E,5,FALSE),"")</f>
        <v>45919</v>
      </c>
      <c r="Q750" s="27">
        <f ca="1">DATEDIF(DadosViagem5[[#This Row],[BIP]],TODAY(),"D")</f>
        <v>71</v>
      </c>
      <c r="R750" s="28" t="str">
        <f>IFERROR(VLOOKUP(DadosViagem5[[#This Row],[Placa]],[1]DDS!B:C,2,FALSE),"Verificar cadastro")</f>
        <v> </v>
      </c>
      <c r="S750" s="29" t="s">
        <v>48</v>
      </c>
      <c r="T750" s="23"/>
      <c r="U750" s="30"/>
      <c r="V750" s="31"/>
      <c r="W750" s="32"/>
      <c r="X750" s="33"/>
      <c r="Y750" s="34"/>
      <c r="Z750" s="32"/>
      <c r="AA750" s="20" t="s">
        <v>49</v>
      </c>
      <c r="AB750" s="20" t="s">
        <v>49</v>
      </c>
      <c r="AC750" s="19" t="s">
        <v>49</v>
      </c>
      <c r="AD750" s="19" t="str">
        <f ca="1">IFERROR(DATEDIF(DadosViagem5[[#This Row],[Utimo Bip Reserva]],TODAY(),"D"),"")</f>
        <v/>
      </c>
      <c r="AE750" s="25" t="s">
        <v>49</v>
      </c>
      <c r="AF750" s="25" t="s">
        <v>49</v>
      </c>
      <c r="AG750" s="36"/>
      <c r="AH750" s="25">
        <v>45807</v>
      </c>
      <c r="AI750" s="36" t="str">
        <f>IF(DadosViagem5[[#This Row],[Dias em manutenção ]]&lt;5,"Dentro do Prazo","Fora do Prazo")</f>
        <v>Fora do Prazo</v>
      </c>
      <c r="AJ750" s="36" t="e">
        <v>#REF!</v>
      </c>
    </row>
    <row r="751" spans="1:36">
      <c r="A751" s="19" t="s">
        <v>1327</v>
      </c>
      <c r="B751" s="20"/>
      <c r="C751" s="19" t="s">
        <v>562</v>
      </c>
      <c r="D751" s="19" t="s">
        <v>563</v>
      </c>
      <c r="E751" s="19" t="s">
        <v>114</v>
      </c>
      <c r="F751" s="19" t="s">
        <v>115</v>
      </c>
      <c r="G751" s="19"/>
      <c r="H751" s="20">
        <v>2022</v>
      </c>
      <c r="I751" s="19" t="s">
        <v>1040</v>
      </c>
      <c r="J751" s="19" t="s">
        <v>1302</v>
      </c>
      <c r="K751" s="21" t="s">
        <v>1303</v>
      </c>
      <c r="L751" s="22" t="s">
        <v>60</v>
      </c>
      <c r="M751" s="23" t="s">
        <v>45</v>
      </c>
      <c r="N751" s="36" t="s">
        <v>1044</v>
      </c>
      <c r="O751" s="36" t="s">
        <v>1152</v>
      </c>
      <c r="P751" s="26">
        <f ca="1">IFERROR(VLOOKUP(DadosViagem5[[#This Row],[Placa]],[1]BIP!A:E,5,FALSE),"")</f>
        <v>45989</v>
      </c>
      <c r="Q751" s="27">
        <f ca="1">DATEDIF(DadosViagem5[[#This Row],[BIP]],TODAY(),"D")</f>
        <v>1</v>
      </c>
      <c r="R751" s="28" t="str">
        <f>IFERROR(VLOOKUP(DadosViagem5[[#This Row],[Placa]],[1]DDS!B:C,2,FALSE),"Verificar cadastro")</f>
        <v>Operando</v>
      </c>
      <c r="S751" s="29" t="s">
        <v>48</v>
      </c>
      <c r="T751" s="23"/>
      <c r="U751" s="30"/>
      <c r="V751" s="31"/>
      <c r="W751" s="32" t="s">
        <v>608</v>
      </c>
      <c r="X751" s="33"/>
      <c r="Y751" s="34"/>
      <c r="Z751" s="32"/>
      <c r="AA751" s="20" t="s">
        <v>49</v>
      </c>
      <c r="AB751" s="20" t="s">
        <v>49</v>
      </c>
      <c r="AC751" s="19" t="s">
        <v>49</v>
      </c>
      <c r="AD751" s="19" t="str">
        <f ca="1">IFERROR(DATEDIF(DadosViagem5[[#This Row],[Utimo Bip Reserva]],TODAY(),"D"),"")</f>
        <v/>
      </c>
      <c r="AE751" s="36" t="s">
        <v>49</v>
      </c>
      <c r="AF751" s="25" t="s">
        <v>49</v>
      </c>
      <c r="AG751" s="36"/>
      <c r="AH751" s="25">
        <v>45807</v>
      </c>
      <c r="AI751" s="36" t="str">
        <f>IF(DadosViagem5[[#This Row],[Dias em manutenção ]]&lt;5,"Dentro do Prazo","Fora do Prazo")</f>
        <v>Fora do Prazo</v>
      </c>
      <c r="AJ751" s="36" t="e">
        <v>#REF!</v>
      </c>
    </row>
    <row r="752" spans="1:36">
      <c r="A752" s="19" t="s">
        <v>1328</v>
      </c>
      <c r="B752" s="20"/>
      <c r="C752" s="19" t="s">
        <v>88</v>
      </c>
      <c r="D752" s="19" t="s">
        <v>52</v>
      </c>
      <c r="E752" s="19" t="s">
        <v>114</v>
      </c>
      <c r="F752" s="19" t="s">
        <v>115</v>
      </c>
      <c r="G752" s="19"/>
      <c r="H752" s="20">
        <v>2022</v>
      </c>
      <c r="I752" s="19" t="s">
        <v>1040</v>
      </c>
      <c r="J752" s="19" t="s">
        <v>1302</v>
      </c>
      <c r="K752" s="21" t="s">
        <v>1303</v>
      </c>
      <c r="L752" s="22" t="s">
        <v>60</v>
      </c>
      <c r="M752" s="23" t="s">
        <v>45</v>
      </c>
      <c r="N752" s="36" t="s">
        <v>1044</v>
      </c>
      <c r="O752" s="36" t="s">
        <v>1152</v>
      </c>
      <c r="P752" s="26">
        <f ca="1">IFERROR(VLOOKUP(DadosViagem5[[#This Row],[Placa]],[1]BIP!A:E,5,FALSE),"")</f>
        <v>45989</v>
      </c>
      <c r="Q752" s="27">
        <f ca="1">DATEDIF(DadosViagem5[[#This Row],[BIP]],TODAY(),"D")</f>
        <v>1</v>
      </c>
      <c r="R752" s="28" t="str">
        <f>IFERROR(VLOOKUP(DadosViagem5[[#This Row],[Placa]],[1]DDS!B:C,2,FALSE),"Verificar cadastro")</f>
        <v> </v>
      </c>
      <c r="S752" s="29" t="s">
        <v>48</v>
      </c>
      <c r="T752" s="23"/>
      <c r="U752" s="30"/>
      <c r="V752" s="31"/>
      <c r="W752" s="32"/>
      <c r="X752" s="33"/>
      <c r="Y752" s="34"/>
      <c r="Z752" s="32"/>
      <c r="AA752" s="20" t="s">
        <v>49</v>
      </c>
      <c r="AB752" s="20" t="s">
        <v>49</v>
      </c>
      <c r="AC752" s="19" t="s">
        <v>49</v>
      </c>
      <c r="AD752" s="19" t="str">
        <f ca="1">IFERROR(DATEDIF(DadosViagem5[[#This Row],[Utimo Bip Reserva]],TODAY(),"D"),"")</f>
        <v/>
      </c>
      <c r="AE752" s="36" t="s">
        <v>49</v>
      </c>
      <c r="AF752" s="25" t="s">
        <v>49</v>
      </c>
      <c r="AG752" s="36"/>
      <c r="AH752" s="25">
        <v>45807</v>
      </c>
      <c r="AI752" s="36" t="str">
        <f>IF(DadosViagem5[[#This Row],[Dias em manutenção ]]&lt;5,"Dentro do Prazo","Fora do Prazo")</f>
        <v>Fora do Prazo</v>
      </c>
      <c r="AJ752" s="36" t="e">
        <v>#REF!</v>
      </c>
    </row>
    <row r="753" spans="1:36">
      <c r="A753" s="19" t="s">
        <v>1329</v>
      </c>
      <c r="B753" s="20"/>
      <c r="C753" s="19" t="s">
        <v>1330</v>
      </c>
      <c r="D753" s="19" t="s">
        <v>52</v>
      </c>
      <c r="E753" s="19" t="s">
        <v>114</v>
      </c>
      <c r="F753" s="19" t="s">
        <v>115</v>
      </c>
      <c r="G753" s="19"/>
      <c r="H753" s="20">
        <v>2022</v>
      </c>
      <c r="I753" s="19" t="s">
        <v>1040</v>
      </c>
      <c r="J753" s="19" t="s">
        <v>1302</v>
      </c>
      <c r="K753" s="21" t="s">
        <v>1303</v>
      </c>
      <c r="L753" s="22" t="s">
        <v>60</v>
      </c>
      <c r="M753" s="23" t="s">
        <v>45</v>
      </c>
      <c r="N753" s="36" t="s">
        <v>1044</v>
      </c>
      <c r="O753" s="36" t="s">
        <v>1152</v>
      </c>
      <c r="P753" s="26">
        <f ca="1">IFERROR(VLOOKUP(DadosViagem5[[#This Row],[Placa]],[1]BIP!A:E,5,FALSE),"")</f>
        <v>45989</v>
      </c>
      <c r="Q753" s="27">
        <f ca="1">DATEDIF(DadosViagem5[[#This Row],[BIP]],TODAY(),"D")</f>
        <v>1</v>
      </c>
      <c r="R753" s="28" t="str">
        <f>IFERROR(VLOOKUP(DadosViagem5[[#This Row],[Placa]],[1]DDS!B:C,2,FALSE),"Verificar cadastro")</f>
        <v> </v>
      </c>
      <c r="S753" s="29" t="s">
        <v>48</v>
      </c>
      <c r="T753" s="23"/>
      <c r="U753" s="30"/>
      <c r="V753" s="31"/>
      <c r="W753" s="32" t="s">
        <v>686</v>
      </c>
      <c r="X753" s="33"/>
      <c r="Y753" s="34"/>
      <c r="Z753" s="32"/>
      <c r="AA753" s="20" t="s">
        <v>49</v>
      </c>
      <c r="AB753" s="20" t="s">
        <v>49</v>
      </c>
      <c r="AC753" s="19" t="s">
        <v>49</v>
      </c>
      <c r="AD753" s="19" t="str">
        <f ca="1">IFERROR(DATEDIF(DadosViagem5[[#This Row],[Utimo Bip Reserva]],TODAY(),"D"),"")</f>
        <v/>
      </c>
      <c r="AE753" s="36" t="s">
        <v>49</v>
      </c>
      <c r="AF753" s="25" t="s">
        <v>49</v>
      </c>
      <c r="AG753" s="36"/>
      <c r="AH753" s="25">
        <v>45807</v>
      </c>
      <c r="AI753" s="36" t="str">
        <f>IF(DadosViagem5[[#This Row],[Dias em manutenção ]]&lt;5,"Dentro do Prazo","Fora do Prazo")</f>
        <v>Fora do Prazo</v>
      </c>
      <c r="AJ753" s="36" t="e">
        <v>#REF!</v>
      </c>
    </row>
    <row r="754" spans="1:36">
      <c r="A754" s="19" t="s">
        <v>1331</v>
      </c>
      <c r="B754" s="20"/>
      <c r="C754" s="19" t="s">
        <v>88</v>
      </c>
      <c r="D754" s="19" t="s">
        <v>52</v>
      </c>
      <c r="E754" s="19" t="s">
        <v>114</v>
      </c>
      <c r="F754" s="19" t="s">
        <v>115</v>
      </c>
      <c r="G754" s="19"/>
      <c r="H754" s="20">
        <v>2022</v>
      </c>
      <c r="I754" s="19" t="s">
        <v>1040</v>
      </c>
      <c r="J754" s="19" t="s">
        <v>1302</v>
      </c>
      <c r="K754" s="21" t="s">
        <v>1303</v>
      </c>
      <c r="L754" s="22" t="s">
        <v>60</v>
      </c>
      <c r="M754" s="23" t="s">
        <v>45</v>
      </c>
      <c r="N754" s="36" t="s">
        <v>1044</v>
      </c>
      <c r="O754" s="36" t="s">
        <v>1152</v>
      </c>
      <c r="P754" s="26">
        <f ca="1">IFERROR(VLOOKUP(DadosViagem5[[#This Row],[Placa]],[1]BIP!A:E,5,FALSE),"")</f>
        <v>45987</v>
      </c>
      <c r="Q754" s="27">
        <f ca="1">DATEDIF(DadosViagem5[[#This Row],[BIP]],TODAY(),"D")</f>
        <v>3</v>
      </c>
      <c r="R754" s="28" t="str">
        <f>IFERROR(VLOOKUP(DadosViagem5[[#This Row],[Placa]],[1]DDS!B:C,2,FALSE),"Verificar cadastro")</f>
        <v>Verificar cadastro</v>
      </c>
      <c r="S754" s="36" t="s">
        <v>35</v>
      </c>
      <c r="T754" s="23"/>
      <c r="U754" s="30"/>
      <c r="V754" s="31"/>
      <c r="W754" s="32" t="s">
        <v>1045</v>
      </c>
      <c r="X754" s="33"/>
      <c r="Y754" s="34"/>
      <c r="Z754" s="32"/>
      <c r="AA754" s="20" t="s">
        <v>49</v>
      </c>
      <c r="AB754" s="20" t="s">
        <v>49</v>
      </c>
      <c r="AC754" s="19" t="s">
        <v>49</v>
      </c>
      <c r="AD754" s="19" t="str">
        <f ca="1">IFERROR(DATEDIF(DadosViagem5[[#This Row],[Utimo Bip Reserva]],TODAY(),"D"),"")</f>
        <v/>
      </c>
      <c r="AE754" s="36" t="s">
        <v>49</v>
      </c>
      <c r="AF754" s="25" t="s">
        <v>49</v>
      </c>
      <c r="AG754" s="36"/>
      <c r="AH754" s="25">
        <v>45807</v>
      </c>
      <c r="AI754" s="36" t="str">
        <f>IF(DadosViagem5[[#This Row],[Dias em manutenção ]]&lt;5,"Dentro do Prazo","Fora do Prazo")</f>
        <v>Fora do Prazo</v>
      </c>
      <c r="AJ754" s="36" t="e">
        <v>#REF!</v>
      </c>
    </row>
    <row r="755" spans="1:36">
      <c r="A755" s="19" t="s">
        <v>1332</v>
      </c>
      <c r="B755" s="20"/>
      <c r="C755" s="19" t="s">
        <v>88</v>
      </c>
      <c r="D755" s="19" t="s">
        <v>52</v>
      </c>
      <c r="E755" s="19" t="s">
        <v>114</v>
      </c>
      <c r="F755" s="19" t="s">
        <v>115</v>
      </c>
      <c r="G755" s="19"/>
      <c r="H755" s="20">
        <v>2022</v>
      </c>
      <c r="I755" s="19" t="s">
        <v>1040</v>
      </c>
      <c r="J755" s="19" t="s">
        <v>1302</v>
      </c>
      <c r="K755" s="21" t="s">
        <v>1303</v>
      </c>
      <c r="L755" s="22" t="s">
        <v>60</v>
      </c>
      <c r="M755" s="23" t="s">
        <v>45</v>
      </c>
      <c r="N755" s="36" t="s">
        <v>1044</v>
      </c>
      <c r="O755" s="36" t="s">
        <v>1152</v>
      </c>
      <c r="P755" s="26">
        <f ca="1">IFERROR(VLOOKUP(DadosViagem5[[#This Row],[Placa]],[1]BIP!A:E,5,FALSE),"")</f>
        <v>45989</v>
      </c>
      <c r="Q755" s="27">
        <f ca="1">DATEDIF(DadosViagem5[[#This Row],[BIP]],TODAY(),"D")</f>
        <v>1</v>
      </c>
      <c r="R755" s="28" t="str">
        <f>IFERROR(VLOOKUP(DadosViagem5[[#This Row],[Placa]],[1]DDS!B:C,2,FALSE),"Verificar cadastro")</f>
        <v>Verificar cadastro</v>
      </c>
      <c r="S755" s="36" t="s">
        <v>35</v>
      </c>
      <c r="T755" s="23"/>
      <c r="U755" s="30"/>
      <c r="V755" s="31"/>
      <c r="W755" s="32" t="s">
        <v>1045</v>
      </c>
      <c r="X755" s="33"/>
      <c r="Y755" s="34"/>
      <c r="Z755" s="32"/>
      <c r="AA755" s="20" t="s">
        <v>49</v>
      </c>
      <c r="AB755" s="20" t="s">
        <v>49</v>
      </c>
      <c r="AC755" s="19" t="s">
        <v>49</v>
      </c>
      <c r="AD755" s="19" t="str">
        <f ca="1">IFERROR(DATEDIF(DadosViagem5[[#This Row],[Utimo Bip Reserva]],TODAY(),"D"),"")</f>
        <v/>
      </c>
      <c r="AE755" s="36" t="s">
        <v>49</v>
      </c>
      <c r="AF755" s="25" t="s">
        <v>49</v>
      </c>
      <c r="AG755" s="36"/>
      <c r="AH755" s="25">
        <v>45807</v>
      </c>
      <c r="AI755" s="36" t="str">
        <f>IF(DadosViagem5[[#This Row],[Dias em manutenção ]]&lt;5,"Dentro do Prazo","Fora do Prazo")</f>
        <v>Fora do Prazo</v>
      </c>
      <c r="AJ755" s="36" t="e">
        <v>#REF!</v>
      </c>
    </row>
    <row r="756" spans="1:36">
      <c r="A756" s="19" t="s">
        <v>1333</v>
      </c>
      <c r="B756" s="20"/>
      <c r="C756" s="19" t="s">
        <v>88</v>
      </c>
      <c r="D756" s="19" t="s">
        <v>52</v>
      </c>
      <c r="E756" s="19" t="s">
        <v>114</v>
      </c>
      <c r="F756" s="19" t="s">
        <v>115</v>
      </c>
      <c r="G756" s="19"/>
      <c r="H756" s="20">
        <v>2022</v>
      </c>
      <c r="I756" s="19" t="s">
        <v>1040</v>
      </c>
      <c r="J756" s="19" t="s">
        <v>1302</v>
      </c>
      <c r="K756" s="21" t="s">
        <v>1303</v>
      </c>
      <c r="L756" s="22" t="s">
        <v>60</v>
      </c>
      <c r="M756" s="23" t="s">
        <v>45</v>
      </c>
      <c r="N756" s="36" t="s">
        <v>1044</v>
      </c>
      <c r="O756" s="36" t="s">
        <v>1152</v>
      </c>
      <c r="P756" s="26">
        <f ca="1">IFERROR(VLOOKUP(DadosViagem5[[#This Row],[Placa]],[1]BIP!A:E,5,FALSE),"")</f>
        <v>45989</v>
      </c>
      <c r="Q756" s="27">
        <f ca="1">DATEDIF(DadosViagem5[[#This Row],[BIP]],TODAY(),"D")</f>
        <v>1</v>
      </c>
      <c r="R756" s="28" t="str">
        <f>IFERROR(VLOOKUP(DadosViagem5[[#This Row],[Placa]],[1]DDS!B:C,2,FALSE),"Verificar cadastro")</f>
        <v> </v>
      </c>
      <c r="S756" s="36" t="s">
        <v>574</v>
      </c>
      <c r="T756" s="23"/>
      <c r="U756" s="30"/>
      <c r="V756" s="31"/>
      <c r="W756" s="32" t="s">
        <v>1045</v>
      </c>
      <c r="X756" s="33"/>
      <c r="Y756" s="34"/>
      <c r="Z756" s="32"/>
      <c r="AA756" s="20" t="s">
        <v>49</v>
      </c>
      <c r="AB756" s="20" t="s">
        <v>49</v>
      </c>
      <c r="AC756" s="19" t="s">
        <v>49</v>
      </c>
      <c r="AD756" s="19" t="str">
        <f ca="1">IFERROR(DATEDIF(DadosViagem5[[#This Row],[Utimo Bip Reserva]],TODAY(),"D"),"")</f>
        <v/>
      </c>
      <c r="AE756" s="36" t="s">
        <v>49</v>
      </c>
      <c r="AF756" s="25" t="s">
        <v>49</v>
      </c>
      <c r="AG756" s="36"/>
      <c r="AH756" s="25">
        <v>45807</v>
      </c>
      <c r="AI756" s="36" t="str">
        <f>IF(DadosViagem5[[#This Row],[Dias em manutenção ]]&lt;5,"Dentro do Prazo","Fora do Prazo")</f>
        <v>Fora do Prazo</v>
      </c>
      <c r="AJ756" s="36" t="e">
        <v>#REF!</v>
      </c>
    </row>
    <row r="757" spans="1:36">
      <c r="A757" s="19" t="s">
        <v>1334</v>
      </c>
      <c r="B757" s="20"/>
      <c r="C757" s="19" t="s">
        <v>671</v>
      </c>
      <c r="D757" s="19" t="s">
        <v>132</v>
      </c>
      <c r="E757" s="19" t="s">
        <v>894</v>
      </c>
      <c r="F757" s="19" t="s">
        <v>115</v>
      </c>
      <c r="G757" s="19"/>
      <c r="H757" s="20">
        <v>2022</v>
      </c>
      <c r="I757" s="19" t="s">
        <v>1040</v>
      </c>
      <c r="J757" s="19" t="s">
        <v>1302</v>
      </c>
      <c r="K757" s="21" t="s">
        <v>1303</v>
      </c>
      <c r="L757" s="22" t="s">
        <v>60</v>
      </c>
      <c r="M757" s="23" t="s">
        <v>45</v>
      </c>
      <c r="N757" s="36" t="s">
        <v>1044</v>
      </c>
      <c r="O757" s="36" t="s">
        <v>1152</v>
      </c>
      <c r="P757" s="26">
        <f ca="1">IFERROR(VLOOKUP(DadosViagem5[[#This Row],[Placa]],[1]BIP!A:E,5,FALSE),"")</f>
        <v>45989</v>
      </c>
      <c r="Q757" s="27">
        <f ca="1">DATEDIF(DadosViagem5[[#This Row],[BIP]],TODAY(),"D")</f>
        <v>1</v>
      </c>
      <c r="R757" s="28" t="str">
        <f>IFERROR(VLOOKUP(DadosViagem5[[#This Row],[Placa]],[1]DDS!B:C,2,FALSE),"Verificar cadastro")</f>
        <v>Operando</v>
      </c>
      <c r="S757" s="29" t="s">
        <v>48</v>
      </c>
      <c r="T757" s="23"/>
      <c r="U757" s="30"/>
      <c r="V757" s="31"/>
      <c r="W757" s="32"/>
      <c r="X757" s="33"/>
      <c r="Y757" s="34"/>
      <c r="Z757" s="32"/>
      <c r="AA757" s="20" t="s">
        <v>49</v>
      </c>
      <c r="AB757" s="20" t="s">
        <v>49</v>
      </c>
      <c r="AC757" s="19" t="s">
        <v>49</v>
      </c>
      <c r="AD757" s="19" t="str">
        <f ca="1">IFERROR(DATEDIF(DadosViagem5[[#This Row],[Utimo Bip Reserva]],TODAY(),"D"),"")</f>
        <v/>
      </c>
      <c r="AE757" s="25" t="s">
        <v>1335</v>
      </c>
      <c r="AF757" s="25" t="s">
        <v>49</v>
      </c>
      <c r="AG757" s="36"/>
      <c r="AH757" s="25">
        <v>45807</v>
      </c>
      <c r="AI757" s="36" t="str">
        <f>IF(DadosViagem5[[#This Row],[Dias em manutenção ]]&lt;5,"Dentro do Prazo","Fora do Prazo")</f>
        <v>Fora do Prazo</v>
      </c>
      <c r="AJ757" s="36" t="e">
        <v>#REF!</v>
      </c>
    </row>
    <row r="758" spans="1:36">
      <c r="A758" s="19" t="s">
        <v>1336</v>
      </c>
      <c r="B758" s="20"/>
      <c r="C758" s="19" t="s">
        <v>562</v>
      </c>
      <c r="D758" s="19" t="s">
        <v>563</v>
      </c>
      <c r="E758" s="19" t="s">
        <v>114</v>
      </c>
      <c r="F758" s="19" t="s">
        <v>115</v>
      </c>
      <c r="G758" s="19"/>
      <c r="H758" s="20">
        <v>2022</v>
      </c>
      <c r="I758" s="19" t="s">
        <v>1040</v>
      </c>
      <c r="J758" s="19" t="s">
        <v>1302</v>
      </c>
      <c r="K758" s="21" t="s">
        <v>1303</v>
      </c>
      <c r="L758" s="22" t="s">
        <v>60</v>
      </c>
      <c r="M758" s="23" t="s">
        <v>45</v>
      </c>
      <c r="N758" s="36" t="s">
        <v>1044</v>
      </c>
      <c r="O758" s="36" t="s">
        <v>1152</v>
      </c>
      <c r="P758" s="26">
        <f ca="1">IFERROR(VLOOKUP(DadosViagem5[[#This Row],[Placa]],[1]BIP!A:E,5,FALSE),"")</f>
        <v>45989</v>
      </c>
      <c r="Q758" s="27">
        <f ca="1">DATEDIF(DadosViagem5[[#This Row],[BIP]],TODAY(),"D")</f>
        <v>1</v>
      </c>
      <c r="R758" s="28" t="str">
        <f>IFERROR(VLOOKUP(DadosViagem5[[#This Row],[Placa]],[1]DDS!B:C,2,FALSE),"Verificar cadastro")</f>
        <v>Operando</v>
      </c>
      <c r="S758" s="29" t="s">
        <v>48</v>
      </c>
      <c r="T758" s="23"/>
      <c r="U758" s="30"/>
      <c r="V758" s="31"/>
      <c r="W758" s="32"/>
      <c r="X758" s="33"/>
      <c r="Y758" s="34"/>
      <c r="Z758" s="32"/>
      <c r="AA758" s="20" t="s">
        <v>49</v>
      </c>
      <c r="AB758" s="20" t="s">
        <v>49</v>
      </c>
      <c r="AC758" s="19" t="s">
        <v>49</v>
      </c>
      <c r="AD758" s="19" t="str">
        <f ca="1">IFERROR(DATEDIF(DadosViagem5[[#This Row],[Utimo Bip Reserva]],TODAY(),"D"),"")</f>
        <v/>
      </c>
      <c r="AE758" s="36" t="s">
        <v>1337</v>
      </c>
      <c r="AF758" s="25" t="s">
        <v>49</v>
      </c>
      <c r="AG758" s="36"/>
      <c r="AH758" s="25">
        <v>58</v>
      </c>
      <c r="AI758" s="36" t="str">
        <f>IF(DadosViagem5[[#This Row],[Dias em manutenção ]]&lt;5,"Dentro do Prazo","Fora do Prazo")</f>
        <v>Fora do Prazo</v>
      </c>
      <c r="AJ758" s="36" t="e">
        <v>#REF!</v>
      </c>
    </row>
    <row r="759" spans="1:36">
      <c r="A759" s="19" t="s">
        <v>1338</v>
      </c>
      <c r="B759" s="20"/>
      <c r="C759" s="19" t="s">
        <v>131</v>
      </c>
      <c r="D759" s="19" t="s">
        <v>132</v>
      </c>
      <c r="E759" s="19" t="s">
        <v>894</v>
      </c>
      <c r="F759" s="19" t="s">
        <v>115</v>
      </c>
      <c r="G759" s="19"/>
      <c r="H759" s="20">
        <v>2022</v>
      </c>
      <c r="I759" s="19" t="s">
        <v>1040</v>
      </c>
      <c r="J759" s="19" t="s">
        <v>1302</v>
      </c>
      <c r="K759" s="21" t="s">
        <v>1303</v>
      </c>
      <c r="L759" s="22" t="s">
        <v>60</v>
      </c>
      <c r="M759" s="23" t="s">
        <v>45</v>
      </c>
      <c r="N759" s="36" t="s">
        <v>1044</v>
      </c>
      <c r="O759" s="36" t="s">
        <v>1152</v>
      </c>
      <c r="P759" s="26">
        <f ca="1">IFERROR(VLOOKUP(DadosViagem5[[#This Row],[Placa]],[1]BIP!A:E,5,FALSE),"")</f>
        <v>45989</v>
      </c>
      <c r="Q759" s="27">
        <f ca="1">DATEDIF(DadosViagem5[[#This Row],[BIP]],TODAY(),"D")</f>
        <v>1</v>
      </c>
      <c r="R759" s="28" t="str">
        <f>IFERROR(VLOOKUP(DadosViagem5[[#This Row],[Placa]],[1]DDS!B:C,2,FALSE),"Verificar cadastro")</f>
        <v>Operando</v>
      </c>
      <c r="S759" s="29" t="s">
        <v>48</v>
      </c>
      <c r="T759" s="23"/>
      <c r="U759" s="30"/>
      <c r="V759" s="31"/>
      <c r="W759" s="32"/>
      <c r="X759" s="33"/>
      <c r="Y759" s="34"/>
      <c r="Z759" s="32"/>
      <c r="AA759" s="20" t="s">
        <v>49</v>
      </c>
      <c r="AB759" s="20" t="s">
        <v>49</v>
      </c>
      <c r="AC759" s="19" t="s">
        <v>49</v>
      </c>
      <c r="AD759" s="19" t="str">
        <f ca="1">IFERROR(DATEDIF(DadosViagem5[[#This Row],[Utimo Bip Reserva]],TODAY(),"D"),"")</f>
        <v/>
      </c>
      <c r="AE759" s="36" t="s">
        <v>1322</v>
      </c>
      <c r="AF759" s="25">
        <v>45699</v>
      </c>
      <c r="AG759" s="36" t="s">
        <v>540</v>
      </c>
      <c r="AH759" s="25">
        <v>45807</v>
      </c>
      <c r="AI759" s="36" t="str">
        <f>IF(DadosViagem5[[#This Row],[Dias em manutenção ]]&lt;5,"Dentro do Prazo","Fora do Prazo")</f>
        <v>Fora do Prazo</v>
      </c>
      <c r="AJ759" s="36" t="e">
        <v>#REF!</v>
      </c>
    </row>
    <row r="760" spans="1:36">
      <c r="A760" s="19" t="s">
        <v>1339</v>
      </c>
      <c r="B760" s="20"/>
      <c r="C760" s="19" t="s">
        <v>671</v>
      </c>
      <c r="D760" s="19" t="s">
        <v>132</v>
      </c>
      <c r="E760" s="19" t="s">
        <v>894</v>
      </c>
      <c r="F760" s="19" t="s">
        <v>115</v>
      </c>
      <c r="G760" s="19"/>
      <c r="H760" s="20">
        <v>2022</v>
      </c>
      <c r="I760" s="19" t="s">
        <v>1040</v>
      </c>
      <c r="J760" s="19" t="s">
        <v>1302</v>
      </c>
      <c r="K760" s="21" t="s">
        <v>1303</v>
      </c>
      <c r="L760" s="22" t="s">
        <v>60</v>
      </c>
      <c r="M760" s="23" t="s">
        <v>45</v>
      </c>
      <c r="N760" s="129" t="s">
        <v>1044</v>
      </c>
      <c r="O760" s="36" t="s">
        <v>1152</v>
      </c>
      <c r="P760" s="26">
        <f ca="1">IFERROR(VLOOKUP(DadosViagem5[[#This Row],[Placa]],[1]BIP!A:E,5,FALSE),"")</f>
        <v>45989</v>
      </c>
      <c r="Q760" s="27">
        <f ca="1">DATEDIF(DadosViagem5[[#This Row],[BIP]],TODAY(),"D")</f>
        <v>1</v>
      </c>
      <c r="R760" s="28" t="str">
        <f>IFERROR(VLOOKUP(DadosViagem5[[#This Row],[Placa]],[1]DDS!B:C,2,FALSE),"Verificar cadastro")</f>
        <v>Operando</v>
      </c>
      <c r="S760" s="29" t="s">
        <v>48</v>
      </c>
      <c r="T760" s="23"/>
      <c r="U760" s="30"/>
      <c r="V760" s="31"/>
      <c r="W760" s="11"/>
      <c r="X760" s="33"/>
      <c r="Y760" s="34"/>
      <c r="Z760" s="32"/>
      <c r="AA760" s="20" t="s">
        <v>49</v>
      </c>
      <c r="AB760" s="20" t="s">
        <v>49</v>
      </c>
      <c r="AC760" s="19" t="s">
        <v>49</v>
      </c>
      <c r="AD760" s="19" t="str">
        <f ca="1">IFERROR(DATEDIF(DadosViagem5[[#This Row],[Utimo Bip Reserva]],TODAY(),"D"),"")</f>
        <v/>
      </c>
      <c r="AE760" s="25"/>
      <c r="AF760" s="25" t="s">
        <v>49</v>
      </c>
      <c r="AG760" s="30" t="s">
        <v>153</v>
      </c>
      <c r="AH760" s="25">
        <v>37</v>
      </c>
      <c r="AI760" s="36" t="str">
        <f>IF(DadosViagem5[[#This Row],[Dias em manutenção ]]&lt;5,"Dentro do Prazo","Fora do Prazo")</f>
        <v>Fora do Prazo</v>
      </c>
      <c r="AJ760" s="36" t="e">
        <v>#REF!</v>
      </c>
    </row>
    <row r="761" spans="1:36">
      <c r="A761" s="19" t="s">
        <v>1340</v>
      </c>
      <c r="B761" s="20"/>
      <c r="C761" s="19" t="s">
        <v>562</v>
      </c>
      <c r="D761" s="19" t="s">
        <v>563</v>
      </c>
      <c r="E761" s="19" t="s">
        <v>114</v>
      </c>
      <c r="F761" s="19" t="s">
        <v>115</v>
      </c>
      <c r="G761" s="19"/>
      <c r="H761" s="20">
        <v>2022</v>
      </c>
      <c r="I761" s="19" t="s">
        <v>1040</v>
      </c>
      <c r="J761" s="19" t="s">
        <v>1302</v>
      </c>
      <c r="K761" s="21" t="s">
        <v>1303</v>
      </c>
      <c r="L761" s="22" t="s">
        <v>60</v>
      </c>
      <c r="M761" s="23" t="s">
        <v>45</v>
      </c>
      <c r="N761" s="36" t="s">
        <v>1044</v>
      </c>
      <c r="O761" s="36" t="s">
        <v>1152</v>
      </c>
      <c r="P761" s="26">
        <f ca="1">IFERROR(VLOOKUP(DadosViagem5[[#This Row],[Placa]],[1]BIP!A:E,5,FALSE),"")</f>
        <v>45989</v>
      </c>
      <c r="Q761" s="27">
        <f ca="1">DATEDIF(DadosViagem5[[#This Row],[BIP]],TODAY(),"D")</f>
        <v>1</v>
      </c>
      <c r="R761" s="28" t="str">
        <f>IFERROR(VLOOKUP(DadosViagem5[[#This Row],[Placa]],[1]DDS!B:C,2,FALSE),"Verificar cadastro")</f>
        <v>Operando</v>
      </c>
      <c r="S761" s="29" t="s">
        <v>48</v>
      </c>
      <c r="T761" s="23"/>
      <c r="U761" s="30"/>
      <c r="V761" s="31"/>
      <c r="W761" s="32"/>
      <c r="X761" s="33"/>
      <c r="Y761" s="34" t="s">
        <v>1341</v>
      </c>
      <c r="Z761" s="32"/>
      <c r="AA761" s="20" t="s">
        <v>49</v>
      </c>
      <c r="AB761" s="20" t="s">
        <v>49</v>
      </c>
      <c r="AC761" s="19" t="s">
        <v>49</v>
      </c>
      <c r="AD761" s="19" t="str">
        <f ca="1">IFERROR(DATEDIF(DadosViagem5[[#This Row],[Utimo Bip Reserva]],TODAY(),"D"),"")</f>
        <v/>
      </c>
      <c r="AE761" s="36" t="s">
        <v>49</v>
      </c>
      <c r="AF761" s="25" t="s">
        <v>49</v>
      </c>
      <c r="AG761" s="36"/>
      <c r="AH761" s="25">
        <v>10</v>
      </c>
      <c r="AI761" s="36" t="str">
        <f>IF(DadosViagem5[[#This Row],[Dias em manutenção ]]&lt;5,"Dentro do Prazo","Fora do Prazo")</f>
        <v>Fora do Prazo</v>
      </c>
      <c r="AJ761" s="36" t="e">
        <v>#REF!</v>
      </c>
    </row>
    <row r="762" spans="1:36">
      <c r="A762" s="19" t="s">
        <v>1342</v>
      </c>
      <c r="B762" s="20"/>
      <c r="C762" s="19" t="s">
        <v>562</v>
      </c>
      <c r="D762" s="19" t="s">
        <v>563</v>
      </c>
      <c r="E762" s="19" t="s">
        <v>114</v>
      </c>
      <c r="F762" s="19" t="s">
        <v>115</v>
      </c>
      <c r="G762" s="19"/>
      <c r="H762" s="20">
        <v>2022</v>
      </c>
      <c r="I762" s="19" t="s">
        <v>1040</v>
      </c>
      <c r="J762" s="37" t="s">
        <v>1302</v>
      </c>
      <c r="K762" s="38" t="s">
        <v>1303</v>
      </c>
      <c r="L762" s="22" t="s">
        <v>60</v>
      </c>
      <c r="M762" s="23" t="s">
        <v>45</v>
      </c>
      <c r="N762" s="24" t="s">
        <v>1044</v>
      </c>
      <c r="O762" s="24" t="s">
        <v>1152</v>
      </c>
      <c r="P762" s="26">
        <f ca="1">IFERROR(VLOOKUP(DadosViagem5[[#This Row],[Placa]],[1]BIP!A:E,5,FALSE),"")</f>
        <v>45989</v>
      </c>
      <c r="Q762" s="27">
        <f ca="1">DATEDIF(DadosViagem5[[#This Row],[BIP]],TODAY(),"D")</f>
        <v>1</v>
      </c>
      <c r="R762" s="28" t="str">
        <f>IFERROR(VLOOKUP(DadosViagem5[[#This Row],[Placa]],[1]DDS!B:C,2,FALSE),"Verificar cadastro")</f>
        <v>Operando</v>
      </c>
      <c r="S762" s="29" t="s">
        <v>48</v>
      </c>
      <c r="T762" s="23"/>
      <c r="U762" s="30"/>
      <c r="V762" s="31"/>
      <c r="W762" s="32"/>
      <c r="X762" s="33"/>
      <c r="Y762" s="34"/>
      <c r="Z762" s="32"/>
      <c r="AA762" s="20" t="s">
        <v>49</v>
      </c>
      <c r="AB762" s="20" t="s">
        <v>49</v>
      </c>
      <c r="AC762" s="19" t="s">
        <v>49</v>
      </c>
      <c r="AD762" s="19" t="str">
        <f ca="1">IFERROR(DATEDIF(DadosViagem5[[#This Row],[Utimo Bip Reserva]],TODAY(),"D"),"")</f>
        <v/>
      </c>
      <c r="AE762" s="30" t="s">
        <v>1343</v>
      </c>
      <c r="AF762" s="30" t="s">
        <v>49</v>
      </c>
      <c r="AG762" s="130" t="s">
        <v>205</v>
      </c>
      <c r="AH762" s="25">
        <v>25</v>
      </c>
      <c r="AI762" s="36" t="str">
        <f>IF(DadosViagem5[[#This Row],[Dias em manutenção ]]&lt;5,"Dentro do Prazo","Fora do Prazo")</f>
        <v>Fora do Prazo</v>
      </c>
      <c r="AJ762" s="36" t="e">
        <v>#REF!</v>
      </c>
    </row>
    <row r="763" spans="1:36">
      <c r="A763" s="19" t="s">
        <v>1344</v>
      </c>
      <c r="B763" s="20"/>
      <c r="C763" s="19" t="s">
        <v>562</v>
      </c>
      <c r="D763" s="19" t="s">
        <v>563</v>
      </c>
      <c r="E763" s="19" t="s">
        <v>114</v>
      </c>
      <c r="F763" s="19" t="s">
        <v>115</v>
      </c>
      <c r="G763" s="19"/>
      <c r="H763" s="20">
        <v>2022</v>
      </c>
      <c r="I763" s="19" t="s">
        <v>1040</v>
      </c>
      <c r="J763" s="19" t="s">
        <v>1302</v>
      </c>
      <c r="K763" s="21" t="s">
        <v>1303</v>
      </c>
      <c r="L763" s="22" t="s">
        <v>60</v>
      </c>
      <c r="M763" s="23" t="s">
        <v>45</v>
      </c>
      <c r="N763" s="36" t="s">
        <v>1044</v>
      </c>
      <c r="O763" s="36" t="s">
        <v>1152</v>
      </c>
      <c r="P763" s="26">
        <f ca="1">IFERROR(VLOOKUP(DadosViagem5[[#This Row],[Placa]],[1]BIP!A:E,5,FALSE),"")</f>
        <v>45989</v>
      </c>
      <c r="Q763" s="27">
        <f ca="1">DATEDIF(DadosViagem5[[#This Row],[BIP]],TODAY(),"D")</f>
        <v>1</v>
      </c>
      <c r="R763" s="28" t="str">
        <f>IFERROR(VLOOKUP(DadosViagem5[[#This Row],[Placa]],[1]DDS!B:C,2,FALSE),"Verificar cadastro")</f>
        <v>Operando</v>
      </c>
      <c r="S763" s="29" t="s">
        <v>48</v>
      </c>
      <c r="T763" s="23"/>
      <c r="U763" s="30"/>
      <c r="V763" s="31"/>
      <c r="W763" s="32"/>
      <c r="X763" s="33"/>
      <c r="Y763" s="34"/>
      <c r="Z763" s="32"/>
      <c r="AA763" s="20" t="s">
        <v>49</v>
      </c>
      <c r="AB763" s="20" t="s">
        <v>49</v>
      </c>
      <c r="AC763" s="19" t="s">
        <v>49</v>
      </c>
      <c r="AD763" s="19" t="str">
        <f ca="1">IFERROR(DATEDIF(DadosViagem5[[#This Row],[Utimo Bip Reserva]],TODAY(),"D"),"")</f>
        <v/>
      </c>
      <c r="AE763" s="36" t="s">
        <v>49</v>
      </c>
      <c r="AF763" s="25" t="s">
        <v>49</v>
      </c>
      <c r="AG763" s="36"/>
      <c r="AH763" s="25">
        <v>10</v>
      </c>
      <c r="AI763" s="36" t="str">
        <f>IF(DadosViagem5[[#This Row],[Dias em manutenção ]]&lt;5,"Dentro do Prazo","Fora do Prazo")</f>
        <v>Fora do Prazo</v>
      </c>
      <c r="AJ763" s="36" t="e">
        <v>#REF!</v>
      </c>
    </row>
    <row r="764" spans="1:36">
      <c r="A764" s="19" t="s">
        <v>1345</v>
      </c>
      <c r="B764" s="20"/>
      <c r="C764" s="19" t="s">
        <v>131</v>
      </c>
      <c r="D764" s="19" t="s">
        <v>132</v>
      </c>
      <c r="E764" s="19" t="s">
        <v>894</v>
      </c>
      <c r="F764" s="19" t="s">
        <v>115</v>
      </c>
      <c r="G764" s="19"/>
      <c r="H764" s="20">
        <v>2022</v>
      </c>
      <c r="I764" s="19" t="s">
        <v>1040</v>
      </c>
      <c r="J764" s="19" t="s">
        <v>1302</v>
      </c>
      <c r="K764" s="21" t="s">
        <v>1303</v>
      </c>
      <c r="L764" s="22" t="s">
        <v>60</v>
      </c>
      <c r="M764" s="23" t="s">
        <v>45</v>
      </c>
      <c r="N764" s="36" t="s">
        <v>1044</v>
      </c>
      <c r="O764" s="36" t="s">
        <v>1152</v>
      </c>
      <c r="P764" s="26">
        <f ca="1">IFERROR(VLOOKUP(DadosViagem5[[#This Row],[Placa]],[1]BIP!A:E,5,FALSE),"")</f>
        <v>45987</v>
      </c>
      <c r="Q764" s="27">
        <f ca="1">DATEDIF(DadosViagem5[[#This Row],[BIP]],TODAY(),"D")</f>
        <v>3</v>
      </c>
      <c r="R764" s="28" t="str">
        <f>IFERROR(VLOOKUP(DadosViagem5[[#This Row],[Placa]],[1]DDS!B:C,2,FALSE),"Verificar cadastro")</f>
        <v> </v>
      </c>
      <c r="S764" s="29" t="s">
        <v>48</v>
      </c>
      <c r="T764" s="23"/>
      <c r="U764" s="30"/>
      <c r="V764" s="31"/>
      <c r="W764" s="32" t="s">
        <v>81</v>
      </c>
      <c r="X764" s="33"/>
      <c r="Y764" s="34"/>
      <c r="Z764" s="42"/>
      <c r="AA764" s="20" t="s">
        <v>49</v>
      </c>
      <c r="AB764" s="20" t="s">
        <v>49</v>
      </c>
      <c r="AC764" s="20" t="s">
        <v>49</v>
      </c>
      <c r="AD764" s="20" t="s">
        <v>49</v>
      </c>
      <c r="AE764" s="30" t="s">
        <v>1346</v>
      </c>
      <c r="AF764" s="25">
        <v>45699</v>
      </c>
      <c r="AG764" s="36" t="s">
        <v>540</v>
      </c>
      <c r="AH764" s="25">
        <v>45807</v>
      </c>
      <c r="AI764" s="36" t="str">
        <f>IF(DadosViagem5[[#This Row],[Dias em manutenção ]]&lt;5,"Dentro do Prazo","Fora do Prazo")</f>
        <v>Fora do Prazo</v>
      </c>
      <c r="AJ764" s="36" t="e">
        <v>#REF!</v>
      </c>
    </row>
    <row r="765" spans="1:36">
      <c r="A765" s="19" t="s">
        <v>1347</v>
      </c>
      <c r="B765" s="20"/>
      <c r="C765" s="19" t="s">
        <v>671</v>
      </c>
      <c r="D765" s="19" t="s">
        <v>132</v>
      </c>
      <c r="E765" s="19" t="s">
        <v>114</v>
      </c>
      <c r="F765" s="19" t="s">
        <v>115</v>
      </c>
      <c r="G765" s="19"/>
      <c r="H765" s="20">
        <v>2022</v>
      </c>
      <c r="I765" s="19" t="s">
        <v>1040</v>
      </c>
      <c r="J765" s="19" t="s">
        <v>1348</v>
      </c>
      <c r="K765" s="38" t="s">
        <v>1349</v>
      </c>
      <c r="L765" s="22" t="s">
        <v>60</v>
      </c>
      <c r="M765" s="23" t="s">
        <v>45</v>
      </c>
      <c r="N765" s="24" t="s">
        <v>1350</v>
      </c>
      <c r="O765" s="24" t="s">
        <v>1152</v>
      </c>
      <c r="P765" s="26">
        <f ca="1">IFERROR(VLOOKUP(DadosViagem5[[#This Row],[Placa]],[1]BIP!A:E,5,FALSE),"")</f>
        <v>45967</v>
      </c>
      <c r="Q765" s="27">
        <f ca="1">DATEDIF(DadosViagem5[[#This Row],[BIP]],TODAY(),"D")</f>
        <v>23</v>
      </c>
      <c r="R765" s="28" t="str">
        <f>IFERROR(VLOOKUP(DadosViagem5[[#This Row],[Placa]],[1]DDS!B:C,2,FALSE),"Verificar cadastro")</f>
        <v> </v>
      </c>
      <c r="S765" s="29" t="s">
        <v>48</v>
      </c>
      <c r="T765" s="23"/>
      <c r="U765" s="30"/>
      <c r="V765" s="31"/>
      <c r="W765" s="32"/>
      <c r="X765" s="33"/>
      <c r="Y765" s="34"/>
      <c r="Z765" s="32"/>
      <c r="AA765" s="20" t="s">
        <v>49</v>
      </c>
      <c r="AB765" s="20" t="s">
        <v>49</v>
      </c>
      <c r="AC765" s="19" t="s">
        <v>49</v>
      </c>
      <c r="AD765" s="19" t="str">
        <f ca="1">IFERROR(DATEDIF(DadosViagem5[[#This Row],[Utimo Bip Reserva]],TODAY(),"D"),"")</f>
        <v/>
      </c>
      <c r="AE765" s="36" t="s">
        <v>49</v>
      </c>
      <c r="AF765" s="25" t="s">
        <v>49</v>
      </c>
      <c r="AG765" s="36"/>
      <c r="AH765" s="25">
        <v>45807</v>
      </c>
      <c r="AI765" s="36" t="str">
        <f>IF(DadosViagem5[[#This Row],[Dias em manutenção ]]&lt;5,"Dentro do Prazo","Fora do Prazo")</f>
        <v>Fora do Prazo</v>
      </c>
      <c r="AJ765" s="36" t="e">
        <v>#REF!</v>
      </c>
    </row>
    <row r="766" spans="1:36">
      <c r="A766" s="19" t="s">
        <v>1351</v>
      </c>
      <c r="B766" s="20"/>
      <c r="C766" s="19" t="s">
        <v>562</v>
      </c>
      <c r="D766" s="19" t="s">
        <v>563</v>
      </c>
      <c r="E766" s="19" t="s">
        <v>114</v>
      </c>
      <c r="F766" s="19" t="s">
        <v>115</v>
      </c>
      <c r="G766" s="19"/>
      <c r="H766" s="20">
        <v>2022</v>
      </c>
      <c r="I766" s="19" t="s">
        <v>1040</v>
      </c>
      <c r="J766" s="19" t="s">
        <v>1302</v>
      </c>
      <c r="K766" s="38" t="s">
        <v>1303</v>
      </c>
      <c r="L766" s="22" t="s">
        <v>60</v>
      </c>
      <c r="M766" s="23" t="s">
        <v>45</v>
      </c>
      <c r="N766" s="24" t="s">
        <v>1044</v>
      </c>
      <c r="O766" s="24" t="s">
        <v>1152</v>
      </c>
      <c r="P766" s="26">
        <f ca="1">IFERROR(VLOOKUP(DadosViagem5[[#This Row],[Placa]],[1]BIP!A:E,5,FALSE),"")</f>
        <v>45989</v>
      </c>
      <c r="Q766" s="27">
        <f ca="1">DATEDIF(DadosViagem5[[#This Row],[BIP]],TODAY(),"D")</f>
        <v>1</v>
      </c>
      <c r="R766" s="28" t="str">
        <f>IFERROR(VLOOKUP(DadosViagem5[[#This Row],[Placa]],[1]DDS!B:C,2,FALSE),"Verificar cadastro")</f>
        <v>Operando</v>
      </c>
      <c r="S766" s="29" t="s">
        <v>48</v>
      </c>
      <c r="T766" s="23"/>
      <c r="U766" s="30"/>
      <c r="V766" s="31"/>
      <c r="W766" s="32"/>
      <c r="X766" s="33"/>
      <c r="Y766" s="34"/>
      <c r="Z766" s="32"/>
      <c r="AA766" s="20" t="s">
        <v>49</v>
      </c>
      <c r="AB766" s="20" t="s">
        <v>49</v>
      </c>
      <c r="AC766" s="19" t="s">
        <v>49</v>
      </c>
      <c r="AD766" s="19" t="str">
        <f ca="1">IFERROR(DATEDIF(DadosViagem5[[#This Row],[Utimo Bip Reserva]],TODAY(),"D"),"")</f>
        <v/>
      </c>
      <c r="AE766" s="36" t="s">
        <v>49</v>
      </c>
      <c r="AF766" s="25" t="s">
        <v>49</v>
      </c>
      <c r="AG766" s="36"/>
      <c r="AH766" s="25">
        <v>45807</v>
      </c>
      <c r="AI766" s="36" t="str">
        <f>IF(DadosViagem5[[#This Row],[Dias em manutenção ]]&lt;5,"Dentro do Prazo","Fora do Prazo")</f>
        <v>Fora do Prazo</v>
      </c>
      <c r="AJ766" s="36" t="e">
        <v>#REF!</v>
      </c>
    </row>
    <row r="767" spans="1:36">
      <c r="A767" s="19" t="s">
        <v>1352</v>
      </c>
      <c r="B767" s="20"/>
      <c r="C767" s="19" t="s">
        <v>88</v>
      </c>
      <c r="D767" s="19" t="s">
        <v>52</v>
      </c>
      <c r="E767" s="19" t="s">
        <v>114</v>
      </c>
      <c r="F767" s="19" t="s">
        <v>115</v>
      </c>
      <c r="G767" s="19"/>
      <c r="H767" s="20">
        <v>2022</v>
      </c>
      <c r="I767" s="37" t="s">
        <v>1040</v>
      </c>
      <c r="J767" s="37" t="s">
        <v>1353</v>
      </c>
      <c r="K767" s="38" t="s">
        <v>1354</v>
      </c>
      <c r="L767" s="39" t="s">
        <v>60</v>
      </c>
      <c r="M767" s="46" t="s">
        <v>45</v>
      </c>
      <c r="N767" s="24" t="s">
        <v>1355</v>
      </c>
      <c r="O767" s="40" t="s">
        <v>1356</v>
      </c>
      <c r="P767" s="26">
        <f ca="1">IFERROR(VLOOKUP(DadosViagem5[[#This Row],[Placa]],[1]BIP!A:E,5,FALSE),"")</f>
        <v>45961</v>
      </c>
      <c r="Q767" s="27">
        <f ca="1">DATEDIF(DadosViagem5[[#This Row],[BIP]],TODAY(),"D")</f>
        <v>29</v>
      </c>
      <c r="R767" s="28" t="str">
        <f>IFERROR(VLOOKUP(DadosViagem5[[#This Row],[Placa]],[1]DDS!B:C,2,FALSE),"Verificar cadastro")</f>
        <v> </v>
      </c>
      <c r="S767" s="36" t="s">
        <v>35</v>
      </c>
      <c r="T767" s="23"/>
      <c r="U767" s="30"/>
      <c r="V767" s="31"/>
      <c r="W767" s="32" t="s">
        <v>1357</v>
      </c>
      <c r="X767" s="33"/>
      <c r="Y767" s="34"/>
      <c r="Z767" s="32"/>
      <c r="AA767" s="20" t="s">
        <v>49</v>
      </c>
      <c r="AB767" s="20" t="s">
        <v>49</v>
      </c>
      <c r="AC767" s="19" t="s">
        <v>49</v>
      </c>
      <c r="AD767" s="19" t="str">
        <f ca="1">IFERROR(DATEDIF(DadosViagem5[[#This Row],[Utimo Bip Reserva]],TODAY(),"D"),"")</f>
        <v/>
      </c>
      <c r="AE767" s="36" t="s">
        <v>49</v>
      </c>
      <c r="AF767" s="25" t="s">
        <v>49</v>
      </c>
      <c r="AG767" s="36"/>
      <c r="AH767" s="25">
        <v>45807</v>
      </c>
      <c r="AI767" s="36" t="str">
        <f>IF(DadosViagem5[[#This Row],[Dias em manutenção ]]&lt;5,"Dentro do Prazo","Fora do Prazo")</f>
        <v>Fora do Prazo</v>
      </c>
      <c r="AJ767" s="36" t="e">
        <v>#REF!</v>
      </c>
    </row>
    <row r="768" spans="1:36">
      <c r="A768" s="19" t="s">
        <v>1358</v>
      </c>
      <c r="B768" s="20"/>
      <c r="C768" s="19" t="s">
        <v>671</v>
      </c>
      <c r="D768" s="19" t="s">
        <v>132</v>
      </c>
      <c r="E768" s="19" t="s">
        <v>114</v>
      </c>
      <c r="F768" s="19" t="s">
        <v>115</v>
      </c>
      <c r="G768" s="19"/>
      <c r="H768" s="20">
        <v>2022</v>
      </c>
      <c r="I768" s="19" t="s">
        <v>1040</v>
      </c>
      <c r="J768" s="19" t="s">
        <v>1302</v>
      </c>
      <c r="K768" s="21" t="s">
        <v>1303</v>
      </c>
      <c r="L768" s="22" t="s">
        <v>60</v>
      </c>
      <c r="M768" s="23" t="s">
        <v>45</v>
      </c>
      <c r="N768" s="79" t="s">
        <v>1044</v>
      </c>
      <c r="O768" s="36" t="s">
        <v>1152</v>
      </c>
      <c r="P768" s="26">
        <f ca="1">IFERROR(VLOOKUP(DadosViagem5[[#This Row],[Placa]],[1]BIP!A:E,5,FALSE),"")</f>
        <v>45936</v>
      </c>
      <c r="Q768" s="27">
        <f ca="1">DATEDIF(DadosViagem5[[#This Row],[BIP]],TODAY(),"D")</f>
        <v>54</v>
      </c>
      <c r="R768" s="28" t="str">
        <f>IFERROR(VLOOKUP(DadosViagem5[[#This Row],[Placa]],[1]DDS!B:C,2,FALSE),"Verificar cadastro")</f>
        <v> </v>
      </c>
      <c r="S768" s="29" t="s">
        <v>48</v>
      </c>
      <c r="T768" s="23"/>
      <c r="U768" s="30"/>
      <c r="V768" s="31"/>
      <c r="W768" s="32"/>
      <c r="X768" s="33"/>
      <c r="Y768" s="34"/>
      <c r="Z768" s="32"/>
      <c r="AA768" s="20" t="s">
        <v>49</v>
      </c>
      <c r="AB768" s="20" t="s">
        <v>49</v>
      </c>
      <c r="AC768" s="19" t="s">
        <v>49</v>
      </c>
      <c r="AD768" s="19" t="str">
        <f ca="1">IFERROR(DATEDIF(DadosViagem5[[#This Row],[Utimo Bip Reserva]],TODAY(),"D"),"")</f>
        <v/>
      </c>
      <c r="AE768" s="36" t="s">
        <v>49</v>
      </c>
      <c r="AF768" s="25" t="s">
        <v>49</v>
      </c>
      <c r="AG768" s="36"/>
      <c r="AH768" s="25">
        <v>45807</v>
      </c>
      <c r="AI768" s="36" t="str">
        <f>IF(DadosViagem5[[#This Row],[Dias em manutenção ]]&lt;5,"Dentro do Prazo","Fora do Prazo")</f>
        <v>Fora do Prazo</v>
      </c>
      <c r="AJ768" s="36" t="e">
        <v>#REF!</v>
      </c>
    </row>
    <row r="769" spans="1:36">
      <c r="A769" s="19" t="s">
        <v>1359</v>
      </c>
      <c r="B769" s="20"/>
      <c r="C769" s="19" t="s">
        <v>562</v>
      </c>
      <c r="D769" s="19" t="s">
        <v>563</v>
      </c>
      <c r="E769" s="19" t="s">
        <v>114</v>
      </c>
      <c r="F769" s="19" t="s">
        <v>115</v>
      </c>
      <c r="G769" s="19"/>
      <c r="H769" s="20">
        <v>2022</v>
      </c>
      <c r="I769" s="19" t="s">
        <v>1040</v>
      </c>
      <c r="J769" s="19" t="s">
        <v>1302</v>
      </c>
      <c r="K769" s="21" t="s">
        <v>1303</v>
      </c>
      <c r="L769" s="22" t="s">
        <v>60</v>
      </c>
      <c r="M769" s="23" t="s">
        <v>45</v>
      </c>
      <c r="N769" s="79" t="s">
        <v>1044</v>
      </c>
      <c r="O769" s="36" t="s">
        <v>1152</v>
      </c>
      <c r="P769" s="26">
        <f ca="1">IFERROR(VLOOKUP(DadosViagem5[[#This Row],[Placa]],[1]BIP!A:E,5,FALSE),"")</f>
        <v>45989</v>
      </c>
      <c r="Q769" s="27">
        <f ca="1">DATEDIF(DadosViagem5[[#This Row],[BIP]],TODAY(),"D")</f>
        <v>1</v>
      </c>
      <c r="R769" s="28" t="str">
        <f>IFERROR(VLOOKUP(DadosViagem5[[#This Row],[Placa]],[1]DDS!B:C,2,FALSE),"Verificar cadastro")</f>
        <v>Operando</v>
      </c>
      <c r="S769" s="29" t="s">
        <v>48</v>
      </c>
      <c r="T769" s="31"/>
      <c r="U769" s="30"/>
      <c r="V769" s="31"/>
      <c r="W769" s="32"/>
      <c r="X769" s="33"/>
      <c r="Y769" s="34"/>
      <c r="Z769" s="32"/>
      <c r="AA769" s="20" t="s">
        <v>49</v>
      </c>
      <c r="AB769" s="20" t="s">
        <v>49</v>
      </c>
      <c r="AC769" s="19" t="s">
        <v>49</v>
      </c>
      <c r="AD769" s="19" t="str">
        <f ca="1">IFERROR(DATEDIF(DadosViagem5[[#This Row],[Utimo Bip Reserva]],TODAY(),"D"),"")</f>
        <v/>
      </c>
      <c r="AE769" s="36" t="s">
        <v>49</v>
      </c>
      <c r="AF769" s="25" t="s">
        <v>49</v>
      </c>
      <c r="AG769" s="36"/>
      <c r="AH769" s="25">
        <v>45807</v>
      </c>
      <c r="AI769" s="36" t="str">
        <f>IF(DadosViagem5[[#This Row],[Dias em manutenção ]]&lt;5,"Dentro do Prazo","Fora do Prazo")</f>
        <v>Fora do Prazo</v>
      </c>
      <c r="AJ769" s="36" t="e">
        <v>#REF!</v>
      </c>
    </row>
    <row r="770" spans="1:36">
      <c r="A770" s="19" t="s">
        <v>1360</v>
      </c>
      <c r="B770" s="20"/>
      <c r="C770" s="19" t="s">
        <v>562</v>
      </c>
      <c r="D770" s="19" t="s">
        <v>563</v>
      </c>
      <c r="E770" s="19" t="s">
        <v>114</v>
      </c>
      <c r="F770" s="19" t="s">
        <v>115</v>
      </c>
      <c r="G770" s="19"/>
      <c r="H770" s="20">
        <v>2022</v>
      </c>
      <c r="I770" s="19" t="s">
        <v>1040</v>
      </c>
      <c r="J770" s="19" t="s">
        <v>1302</v>
      </c>
      <c r="K770" s="21" t="s">
        <v>1303</v>
      </c>
      <c r="L770" s="22" t="s">
        <v>60</v>
      </c>
      <c r="M770" s="23" t="s">
        <v>45</v>
      </c>
      <c r="N770" s="36" t="s">
        <v>1044</v>
      </c>
      <c r="O770" s="36" t="s">
        <v>1152</v>
      </c>
      <c r="P770" s="26">
        <f ca="1">IFERROR(VLOOKUP(DadosViagem5[[#This Row],[Placa]],[1]BIP!A:E,5,FALSE),"")</f>
        <v>45989</v>
      </c>
      <c r="Q770" s="27">
        <f ca="1">DATEDIF(DadosViagem5[[#This Row],[BIP]],TODAY(),"D")</f>
        <v>1</v>
      </c>
      <c r="R770" s="28" t="str">
        <f>IFERROR(VLOOKUP(DadosViagem5[[#This Row],[Placa]],[1]DDS!B:C,2,FALSE),"Verificar cadastro")</f>
        <v>Operando</v>
      </c>
      <c r="S770" s="29" t="s">
        <v>48</v>
      </c>
      <c r="T770" s="23"/>
      <c r="U770" s="30"/>
      <c r="V770" s="31"/>
      <c r="W770" s="32"/>
      <c r="X770" s="33"/>
      <c r="Y770" s="34"/>
      <c r="Z770" s="32"/>
      <c r="AA770" s="20" t="s">
        <v>49</v>
      </c>
      <c r="AB770" s="20" t="s">
        <v>49</v>
      </c>
      <c r="AC770" s="19" t="s">
        <v>49</v>
      </c>
      <c r="AD770" s="19" t="str">
        <f ca="1">IFERROR(DATEDIF(DadosViagem5[[#This Row],[Utimo Bip Reserva]],TODAY(),"D"),"")</f>
        <v/>
      </c>
      <c r="AE770" s="36" t="s">
        <v>49</v>
      </c>
      <c r="AF770" s="25" t="s">
        <v>49</v>
      </c>
      <c r="AG770" s="36"/>
      <c r="AH770" s="25">
        <v>45807</v>
      </c>
      <c r="AI770" s="36" t="str">
        <f>IF(DadosViagem5[[#This Row],[Dias em manutenção ]]&lt;5,"Dentro do Prazo","Fora do Prazo")</f>
        <v>Fora do Prazo</v>
      </c>
      <c r="AJ770" s="36" t="e">
        <v>#REF!</v>
      </c>
    </row>
    <row r="771" spans="1:36">
      <c r="A771" s="19" t="s">
        <v>1361</v>
      </c>
      <c r="B771" s="20"/>
      <c r="C771" s="19" t="s">
        <v>131</v>
      </c>
      <c r="D771" s="19" t="s">
        <v>132</v>
      </c>
      <c r="E771" s="19" t="s">
        <v>114</v>
      </c>
      <c r="F771" s="19" t="s">
        <v>115</v>
      </c>
      <c r="G771" s="19"/>
      <c r="H771" s="20">
        <v>2022</v>
      </c>
      <c r="I771" s="19" t="s">
        <v>1040</v>
      </c>
      <c r="J771" s="19" t="s">
        <v>1302</v>
      </c>
      <c r="K771" s="21" t="s">
        <v>1303</v>
      </c>
      <c r="L771" s="22" t="s">
        <v>60</v>
      </c>
      <c r="M771" s="23" t="s">
        <v>45</v>
      </c>
      <c r="N771" s="36" t="s">
        <v>1044</v>
      </c>
      <c r="O771" s="36" t="s">
        <v>1152</v>
      </c>
      <c r="P771" s="26">
        <f ca="1">IFERROR(VLOOKUP(DadosViagem5[[#This Row],[Placa]],[1]BIP!A:E,5,FALSE),"")</f>
        <v>45936</v>
      </c>
      <c r="Q771" s="27">
        <f ca="1">DATEDIF(DadosViagem5[[#This Row],[BIP]],TODAY(),"D")</f>
        <v>54</v>
      </c>
      <c r="R771" s="28" t="str">
        <f>IFERROR(VLOOKUP(DadosViagem5[[#This Row],[Placa]],[1]DDS!B:C,2,FALSE),"Verificar cadastro")</f>
        <v> </v>
      </c>
      <c r="S771" s="29" t="s">
        <v>48</v>
      </c>
      <c r="T771" s="23"/>
      <c r="U771" s="30"/>
      <c r="V771" s="31"/>
      <c r="W771" s="32"/>
      <c r="X771" s="33"/>
      <c r="Y771" s="34"/>
      <c r="Z771" s="42"/>
      <c r="AA771" s="20" t="s">
        <v>49</v>
      </c>
      <c r="AB771" s="20" t="s">
        <v>49</v>
      </c>
      <c r="AC771" s="19" t="s">
        <v>49</v>
      </c>
      <c r="AD771" s="19" t="str">
        <f ca="1">IFERROR(DATEDIF(DadosViagem5[[#This Row],[Utimo Bip Reserva]],TODAY(),"D"),"")</f>
        <v/>
      </c>
      <c r="AE771" s="36" t="s">
        <v>49</v>
      </c>
      <c r="AF771" s="25">
        <v>45699</v>
      </c>
      <c r="AG771" s="36" t="s">
        <v>540</v>
      </c>
      <c r="AH771" s="25">
        <v>45807</v>
      </c>
      <c r="AI771" s="36" t="str">
        <f>IF(DadosViagem5[[#This Row],[Dias em manutenção ]]&lt;5,"Dentro do Prazo","Fora do Prazo")</f>
        <v>Fora do Prazo</v>
      </c>
      <c r="AJ771" s="36" t="e">
        <v>#REF!</v>
      </c>
    </row>
    <row r="772" spans="1:36">
      <c r="A772" s="19" t="s">
        <v>1362</v>
      </c>
      <c r="B772" s="20"/>
      <c r="C772" s="19" t="s">
        <v>671</v>
      </c>
      <c r="D772" s="19" t="s">
        <v>132</v>
      </c>
      <c r="E772" s="19" t="s">
        <v>114</v>
      </c>
      <c r="F772" s="19" t="s">
        <v>115</v>
      </c>
      <c r="G772" s="19"/>
      <c r="H772" s="20">
        <v>2022</v>
      </c>
      <c r="I772" s="19" t="s">
        <v>1040</v>
      </c>
      <c r="J772" s="19" t="s">
        <v>1302</v>
      </c>
      <c r="K772" s="21" t="s">
        <v>1303</v>
      </c>
      <c r="L772" s="22" t="s">
        <v>60</v>
      </c>
      <c r="M772" s="23" t="s">
        <v>45</v>
      </c>
      <c r="N772" s="36" t="s">
        <v>1044</v>
      </c>
      <c r="O772" s="36" t="s">
        <v>1152</v>
      </c>
      <c r="P772" s="26">
        <f ca="1">IFERROR(VLOOKUP(DadosViagem5[[#This Row],[Placa]],[1]BIP!A:E,5,FALSE),"")</f>
        <v>45930</v>
      </c>
      <c r="Q772" s="27">
        <f ca="1">DATEDIF(DadosViagem5[[#This Row],[BIP]],TODAY(),"D")</f>
        <v>60</v>
      </c>
      <c r="R772" s="28" t="str">
        <f>IFERROR(VLOOKUP(DadosViagem5[[#This Row],[Placa]],[1]DDS!B:C,2,FALSE),"Verificar cadastro")</f>
        <v> </v>
      </c>
      <c r="S772" s="29" t="s">
        <v>48</v>
      </c>
      <c r="T772" s="23"/>
      <c r="U772" s="30"/>
      <c r="V772" s="31"/>
      <c r="W772" s="32"/>
      <c r="X772" s="33"/>
      <c r="Y772" s="34"/>
      <c r="Z772" s="32"/>
      <c r="AA772" s="20" t="s">
        <v>49</v>
      </c>
      <c r="AB772" s="20" t="s">
        <v>49</v>
      </c>
      <c r="AC772" s="19" t="s">
        <v>49</v>
      </c>
      <c r="AD772" s="19" t="str">
        <f ca="1">IFERROR(DATEDIF(DadosViagem5[[#This Row],[Utimo Bip Reserva]],TODAY(),"D"),"")</f>
        <v/>
      </c>
      <c r="AE772" s="36" t="s">
        <v>49</v>
      </c>
      <c r="AF772" s="25" t="s">
        <v>49</v>
      </c>
      <c r="AG772" s="36"/>
      <c r="AH772" s="25">
        <v>45807</v>
      </c>
      <c r="AI772" s="36" t="str">
        <f>IF(DadosViagem5[[#This Row],[Dias em manutenção ]]&lt;5,"Dentro do Prazo","Fora do Prazo")</f>
        <v>Fora do Prazo</v>
      </c>
      <c r="AJ772" s="36" t="e">
        <v>#REF!</v>
      </c>
    </row>
    <row r="773" spans="1:36">
      <c r="A773" s="19" t="s">
        <v>1363</v>
      </c>
      <c r="B773" s="20"/>
      <c r="C773" s="19" t="s">
        <v>562</v>
      </c>
      <c r="D773" s="19" t="s">
        <v>563</v>
      </c>
      <c r="E773" s="19" t="s">
        <v>114</v>
      </c>
      <c r="F773" s="19" t="s">
        <v>115</v>
      </c>
      <c r="G773" s="19"/>
      <c r="H773" s="20">
        <v>2022</v>
      </c>
      <c r="I773" s="19" t="s">
        <v>1040</v>
      </c>
      <c r="J773" s="19" t="s">
        <v>1302</v>
      </c>
      <c r="K773" s="21" t="s">
        <v>1303</v>
      </c>
      <c r="L773" s="22" t="s">
        <v>60</v>
      </c>
      <c r="M773" s="23" t="s">
        <v>45</v>
      </c>
      <c r="N773" s="36" t="s">
        <v>1044</v>
      </c>
      <c r="O773" s="36" t="s">
        <v>1152</v>
      </c>
      <c r="P773" s="26">
        <f ca="1">IFERROR(VLOOKUP(DadosViagem5[[#This Row],[Placa]],[1]BIP!A:E,5,FALSE),"")</f>
        <v>45989</v>
      </c>
      <c r="Q773" s="27">
        <f ca="1">DATEDIF(DadosViagem5[[#This Row],[BIP]],TODAY(),"D")</f>
        <v>1</v>
      </c>
      <c r="R773" s="28" t="str">
        <f>IFERROR(VLOOKUP(DadosViagem5[[#This Row],[Placa]],[1]DDS!B:C,2,FALSE),"Verificar cadastro")</f>
        <v>Operando</v>
      </c>
      <c r="S773" s="29" t="s">
        <v>48</v>
      </c>
      <c r="T773" s="23"/>
      <c r="U773" s="30"/>
      <c r="V773" s="31"/>
      <c r="W773" s="32"/>
      <c r="X773" s="33"/>
      <c r="Y773" s="34"/>
      <c r="Z773" s="32"/>
      <c r="AA773" s="20" t="s">
        <v>49</v>
      </c>
      <c r="AB773" s="20" t="s">
        <v>49</v>
      </c>
      <c r="AC773" s="19" t="s">
        <v>49</v>
      </c>
      <c r="AD773" s="19" t="str">
        <f ca="1">IFERROR(DATEDIF(DadosViagem5[[#This Row],[Utimo Bip Reserva]],TODAY(),"D"),"")</f>
        <v/>
      </c>
      <c r="AE773" s="36" t="s">
        <v>49</v>
      </c>
      <c r="AF773" s="25" t="s">
        <v>49</v>
      </c>
      <c r="AG773" s="36"/>
      <c r="AH773" s="25">
        <v>45807</v>
      </c>
      <c r="AI773" s="36" t="str">
        <f>IF(DadosViagem5[[#This Row],[Dias em manutenção ]]&lt;5,"Dentro do Prazo","Fora do Prazo")</f>
        <v>Fora do Prazo</v>
      </c>
      <c r="AJ773" s="36" t="e">
        <v>#REF!</v>
      </c>
    </row>
    <row r="774" spans="1:36">
      <c r="A774" s="19" t="s">
        <v>1364</v>
      </c>
      <c r="B774" s="20"/>
      <c r="C774" s="19" t="s">
        <v>562</v>
      </c>
      <c r="D774" s="19" t="s">
        <v>563</v>
      </c>
      <c r="E774" s="19" t="s">
        <v>114</v>
      </c>
      <c r="F774" s="19" t="s">
        <v>115</v>
      </c>
      <c r="G774" s="19"/>
      <c r="H774" s="20">
        <v>2021</v>
      </c>
      <c r="I774" s="19" t="s">
        <v>1040</v>
      </c>
      <c r="J774" s="19" t="s">
        <v>1302</v>
      </c>
      <c r="K774" s="21" t="s">
        <v>1303</v>
      </c>
      <c r="L774" s="22" t="s">
        <v>60</v>
      </c>
      <c r="M774" s="23" t="s">
        <v>45</v>
      </c>
      <c r="N774" s="36" t="s">
        <v>1044</v>
      </c>
      <c r="O774" s="36" t="s">
        <v>1152</v>
      </c>
      <c r="P774" s="26">
        <f ca="1">IFERROR(VLOOKUP(DadosViagem5[[#This Row],[Placa]],[1]BIP!A:E,5,FALSE),"")</f>
        <v>45989</v>
      </c>
      <c r="Q774" s="27">
        <f ca="1">DATEDIF(DadosViagem5[[#This Row],[BIP]],TODAY(),"D")</f>
        <v>1</v>
      </c>
      <c r="R774" s="28" t="str">
        <f>IFERROR(VLOOKUP(DadosViagem5[[#This Row],[Placa]],[1]DDS!B:C,2,FALSE),"Verificar cadastro")</f>
        <v>Operando</v>
      </c>
      <c r="S774" s="29" t="s">
        <v>48</v>
      </c>
      <c r="T774" s="23"/>
      <c r="U774" s="30"/>
      <c r="V774" s="31"/>
      <c r="W774" s="32"/>
      <c r="X774" s="33"/>
      <c r="Y774" s="34"/>
      <c r="Z774" s="32"/>
      <c r="AA774" s="20" t="s">
        <v>49</v>
      </c>
      <c r="AB774" s="20" t="s">
        <v>49</v>
      </c>
      <c r="AC774" s="20" t="s">
        <v>49</v>
      </c>
      <c r="AD774" s="20" t="s">
        <v>49</v>
      </c>
      <c r="AE774" s="36" t="s">
        <v>49</v>
      </c>
      <c r="AF774" s="25" t="s">
        <v>49</v>
      </c>
      <c r="AG774" s="36"/>
      <c r="AH774" s="25">
        <v>45807</v>
      </c>
      <c r="AI774" s="36" t="str">
        <f>IF(DadosViagem5[[#This Row],[Dias em manutenção ]]&lt;5,"Dentro do Prazo","Fora do Prazo")</f>
        <v>Fora do Prazo</v>
      </c>
      <c r="AJ774" s="36" t="e">
        <v>#REF!</v>
      </c>
    </row>
    <row r="775" spans="1:36">
      <c r="A775" s="19" t="s">
        <v>1365</v>
      </c>
      <c r="B775" s="20"/>
      <c r="C775" s="19" t="s">
        <v>88</v>
      </c>
      <c r="D775" s="19" t="s">
        <v>52</v>
      </c>
      <c r="E775" s="19" t="s">
        <v>114</v>
      </c>
      <c r="F775" s="19" t="s">
        <v>115</v>
      </c>
      <c r="G775" s="19"/>
      <c r="H775" s="20">
        <v>2022</v>
      </c>
      <c r="I775" s="19" t="s">
        <v>1040</v>
      </c>
      <c r="J775" s="19" t="s">
        <v>1302</v>
      </c>
      <c r="K775" s="21" t="s">
        <v>1303</v>
      </c>
      <c r="L775" s="22" t="s">
        <v>60</v>
      </c>
      <c r="M775" s="23" t="s">
        <v>45</v>
      </c>
      <c r="N775" s="24" t="s">
        <v>1044</v>
      </c>
      <c r="O775" s="36" t="s">
        <v>1152</v>
      </c>
      <c r="P775" s="26">
        <f ca="1">IFERROR(VLOOKUP(DadosViagem5[[#This Row],[Placa]],[1]BIP!A:E,5,FALSE),"")</f>
        <v>45989</v>
      </c>
      <c r="Q775" s="27">
        <f ca="1">DATEDIF(DadosViagem5[[#This Row],[BIP]],TODAY(),"D")</f>
        <v>1</v>
      </c>
      <c r="R775" s="28" t="str">
        <f>IFERROR(VLOOKUP(DadosViagem5[[#This Row],[Placa]],[1]DDS!B:C,2,FALSE),"Verificar cadastro")</f>
        <v>Operando</v>
      </c>
      <c r="S775" s="29" t="s">
        <v>48</v>
      </c>
      <c r="T775" s="23"/>
      <c r="U775" s="30"/>
      <c r="V775" s="31"/>
      <c r="W775" s="32"/>
      <c r="X775" s="33"/>
      <c r="Y775" s="34"/>
      <c r="Z775" s="32"/>
      <c r="AA775" s="20" t="s">
        <v>49</v>
      </c>
      <c r="AB775" s="20" t="s">
        <v>49</v>
      </c>
      <c r="AC775" s="20" t="s">
        <v>49</v>
      </c>
      <c r="AD775" s="20" t="s">
        <v>49</v>
      </c>
      <c r="AE775" s="23" t="s">
        <v>49</v>
      </c>
      <c r="AF775" s="30" t="s">
        <v>49</v>
      </c>
      <c r="AG775" s="23"/>
      <c r="AH775" s="25">
        <v>45807</v>
      </c>
      <c r="AI775" s="36" t="str">
        <f>IF(DadosViagem5[[#This Row],[Dias em manutenção ]]&lt;5,"Dentro do Prazo","Fora do Prazo")</f>
        <v>Fora do Prazo</v>
      </c>
      <c r="AJ775" s="36" t="e">
        <v>#REF!</v>
      </c>
    </row>
    <row r="776" spans="1:36">
      <c r="A776" s="19" t="s">
        <v>1366</v>
      </c>
      <c r="B776" s="20"/>
      <c r="C776" s="19" t="s">
        <v>88</v>
      </c>
      <c r="D776" s="19" t="s">
        <v>52</v>
      </c>
      <c r="E776" s="19" t="s">
        <v>57</v>
      </c>
      <c r="F776" s="19" t="s">
        <v>40</v>
      </c>
      <c r="G776" s="19"/>
      <c r="H776" s="20">
        <v>2023</v>
      </c>
      <c r="I776" s="19" t="s">
        <v>1040</v>
      </c>
      <c r="J776" s="19" t="s">
        <v>1302</v>
      </c>
      <c r="K776" s="21" t="s">
        <v>1303</v>
      </c>
      <c r="L776" s="22" t="s">
        <v>60</v>
      </c>
      <c r="M776" s="23" t="s">
        <v>45</v>
      </c>
      <c r="N776" s="36" t="s">
        <v>1044</v>
      </c>
      <c r="O776" s="36" t="s">
        <v>1152</v>
      </c>
      <c r="P776" s="26">
        <f ca="1">IFERROR(VLOOKUP(DadosViagem5[[#This Row],[Placa]],[1]BIP!A:E,5,FALSE),"")</f>
        <v>45989</v>
      </c>
      <c r="Q776" s="27">
        <f ca="1">DATEDIF(DadosViagem5[[#This Row],[BIP]],TODAY(),"D")</f>
        <v>1</v>
      </c>
      <c r="R776" s="28" t="str">
        <f>IFERROR(VLOOKUP(DadosViagem5[[#This Row],[Placa]],[1]DDS!B:C,2,FALSE),"Verificar cadastro")</f>
        <v>Operando</v>
      </c>
      <c r="S776" s="29" t="s">
        <v>48</v>
      </c>
      <c r="T776" s="23"/>
      <c r="U776" s="30"/>
      <c r="V776" s="31"/>
      <c r="W776" s="32"/>
      <c r="X776" s="33"/>
      <c r="Y776" s="34"/>
      <c r="Z776" s="32"/>
      <c r="AA776" s="20" t="s">
        <v>49</v>
      </c>
      <c r="AB776" s="20" t="s">
        <v>49</v>
      </c>
      <c r="AC776" s="19" t="s">
        <v>49</v>
      </c>
      <c r="AD776" s="19" t="str">
        <f ca="1">IFERROR(DATEDIF(DadosViagem5[[#This Row],[Utimo Bip Reserva]],TODAY(),"D"),"")</f>
        <v/>
      </c>
      <c r="AE776" s="25" t="s">
        <v>49</v>
      </c>
      <c r="AF776" s="25" t="s">
        <v>49</v>
      </c>
      <c r="AG776" s="36"/>
      <c r="AH776" s="25">
        <v>45807</v>
      </c>
      <c r="AI776" s="36" t="str">
        <f>IF(DadosViagem5[[#This Row],[Dias em manutenção ]]&lt;5,"Dentro do Prazo","Fora do Prazo")</f>
        <v>Fora do Prazo</v>
      </c>
      <c r="AJ776" s="36" t="e">
        <v>#REF!</v>
      </c>
    </row>
    <row r="777" spans="1:36">
      <c r="A777" s="19" t="s">
        <v>1367</v>
      </c>
      <c r="B777" s="20"/>
      <c r="C777" s="19" t="s">
        <v>1013</v>
      </c>
      <c r="D777" s="19" t="s">
        <v>1014</v>
      </c>
      <c r="E777" s="19" t="s">
        <v>114</v>
      </c>
      <c r="F777" s="19" t="s">
        <v>115</v>
      </c>
      <c r="G777" s="19"/>
      <c r="H777" s="20">
        <v>2022</v>
      </c>
      <c r="I777" s="19" t="s">
        <v>137</v>
      </c>
      <c r="J777" s="19" t="s">
        <v>1368</v>
      </c>
      <c r="K777" s="21" t="s">
        <v>1369</v>
      </c>
      <c r="L777" s="22" t="s">
        <v>60</v>
      </c>
      <c r="M777" s="23" t="s">
        <v>140</v>
      </c>
      <c r="N777" s="36" t="s">
        <v>1370</v>
      </c>
      <c r="O777" s="36" t="s">
        <v>1371</v>
      </c>
      <c r="P777" s="26">
        <f ca="1">IFERROR(VLOOKUP(DadosViagem5[[#This Row],[Placa]],[1]BIP!A:E,5,FALSE),"")</f>
        <v>45989</v>
      </c>
      <c r="Q777" s="27">
        <f ca="1">DATEDIF(DadosViagem5[[#This Row],[BIP]],TODAY(),"D")</f>
        <v>1</v>
      </c>
      <c r="R777" s="28"/>
      <c r="S777" s="36" t="s">
        <v>48</v>
      </c>
      <c r="T777" s="23"/>
      <c r="U777" s="30"/>
      <c r="V777" s="31">
        <v>45867</v>
      </c>
      <c r="W777" s="32" t="s">
        <v>1372</v>
      </c>
      <c r="X777" s="57" t="s">
        <v>188</v>
      </c>
      <c r="Y777" s="34">
        <v>45930</v>
      </c>
      <c r="Z777" s="58" t="s">
        <v>1373</v>
      </c>
      <c r="AA777" s="20" t="s">
        <v>49</v>
      </c>
      <c r="AB777" s="20" t="s">
        <v>49</v>
      </c>
      <c r="AC777" s="19" t="s">
        <v>49</v>
      </c>
      <c r="AD777" s="19" t="str">
        <f ca="1">IFERROR(DATEDIF(DadosViagem5[[#This Row],[Utimo Bip Reserva]],TODAY(),"D"),"")</f>
        <v/>
      </c>
      <c r="AE777" s="36" t="s">
        <v>1374</v>
      </c>
      <c r="AF777" s="25" t="s">
        <v>49</v>
      </c>
      <c r="AG777" s="36"/>
      <c r="AH777" s="25">
        <v>7</v>
      </c>
      <c r="AI777" s="36" t="str">
        <f>IF(DadosViagem5[[#This Row],[Dias em manutenção ]]&lt;5,"Dentro do Prazo","Fora do Prazo")</f>
        <v>Fora do Prazo</v>
      </c>
      <c r="AJ777" s="36" t="e">
        <v>#REF!</v>
      </c>
    </row>
    <row r="778" spans="1:36">
      <c r="A778" s="19" t="s">
        <v>1375</v>
      </c>
      <c r="B778" s="20"/>
      <c r="C778" s="19" t="s">
        <v>1013</v>
      </c>
      <c r="D778" s="19" t="s">
        <v>1014</v>
      </c>
      <c r="E778" s="19" t="s">
        <v>114</v>
      </c>
      <c r="F778" s="19" t="s">
        <v>115</v>
      </c>
      <c r="G778" s="19"/>
      <c r="H778" s="20">
        <v>2022</v>
      </c>
      <c r="I778" s="19" t="s">
        <v>137</v>
      </c>
      <c r="J778" s="19" t="s">
        <v>1368</v>
      </c>
      <c r="K778" s="21" t="s">
        <v>1369</v>
      </c>
      <c r="L778" s="22" t="s">
        <v>60</v>
      </c>
      <c r="M778" s="23" t="s">
        <v>140</v>
      </c>
      <c r="N778" s="36" t="s">
        <v>1370</v>
      </c>
      <c r="O778" s="36" t="s">
        <v>1371</v>
      </c>
      <c r="P778" s="26">
        <f ca="1">IFERROR(VLOOKUP(DadosViagem5[[#This Row],[Placa]],[1]BIP!A:E,5,FALSE),"")</f>
        <v>45987</v>
      </c>
      <c r="Q778" s="27">
        <f ca="1">DATEDIF(DadosViagem5[[#This Row],[BIP]],TODAY(),"D")</f>
        <v>3</v>
      </c>
      <c r="R778" s="28" t="str">
        <f>IFERROR(VLOOKUP(DadosViagem5[[#This Row],[Placa]],[1]DDS!B:C,2,FALSE),"Verificar cadastro")</f>
        <v> </v>
      </c>
      <c r="S778" s="29" t="s">
        <v>48</v>
      </c>
      <c r="T778" s="23"/>
      <c r="U778" s="30"/>
      <c r="V778" s="31"/>
      <c r="W778" s="32"/>
      <c r="X778" s="33"/>
      <c r="Y778" s="34"/>
      <c r="Z778" s="32"/>
      <c r="AA778" s="20" t="s">
        <v>1376</v>
      </c>
      <c r="AB778" s="20" t="s">
        <v>49</v>
      </c>
      <c r="AC778" s="19" t="s">
        <v>49</v>
      </c>
      <c r="AD778" s="19" t="str">
        <f ca="1">IFERROR(DATEDIF(DadosViagem5[[#This Row],[Utimo Bip Reserva]],TODAY(),"D"),"")</f>
        <v/>
      </c>
      <c r="AE778" s="36" t="s">
        <v>49</v>
      </c>
      <c r="AF778" s="25" t="s">
        <v>49</v>
      </c>
      <c r="AG778" s="36"/>
      <c r="AH778" s="25">
        <v>45807</v>
      </c>
      <c r="AI778" s="36" t="str">
        <f>IF(DadosViagem5[[#This Row],[Dias em manutenção ]]&lt;5,"Dentro do Prazo","Fora do Prazo")</f>
        <v>Fora do Prazo</v>
      </c>
      <c r="AJ778" s="36" t="e">
        <v>#REF!</v>
      </c>
    </row>
    <row r="779" spans="1:36">
      <c r="A779" s="19" t="s">
        <v>1377</v>
      </c>
      <c r="B779" s="20"/>
      <c r="C779" s="19" t="s">
        <v>74</v>
      </c>
      <c r="D779" s="19" t="s">
        <v>52</v>
      </c>
      <c r="E779" s="19" t="s">
        <v>75</v>
      </c>
      <c r="F779" s="19" t="s">
        <v>115</v>
      </c>
      <c r="G779" s="19"/>
      <c r="H779" s="20">
        <v>2024</v>
      </c>
      <c r="I779" s="19" t="s">
        <v>137</v>
      </c>
      <c r="J779" s="19" t="s">
        <v>1368</v>
      </c>
      <c r="K779" s="21" t="s">
        <v>1369</v>
      </c>
      <c r="L779" s="22" t="s">
        <v>60</v>
      </c>
      <c r="M779" s="23" t="s">
        <v>77</v>
      </c>
      <c r="N779" s="36" t="s">
        <v>1370</v>
      </c>
      <c r="O779" s="36" t="s">
        <v>1371</v>
      </c>
      <c r="P779" s="26">
        <f ca="1">IFERROR(VLOOKUP(DadosViagem5[[#This Row],[Placa]],[1]BIP!A:E,5,FALSE),"")</f>
        <v>45838</v>
      </c>
      <c r="Q779" s="27">
        <f ca="1">DATEDIF(DadosViagem5[[#This Row],[BIP]],TODAY(),"D")</f>
        <v>152</v>
      </c>
      <c r="R779" s="28" t="str">
        <f>IFERROR(VLOOKUP(DadosViagem5[[#This Row],[Placa]],[1]DDS!B:C,2,FALSE),"Verificar cadastro")</f>
        <v> </v>
      </c>
      <c r="S779" s="36" t="s">
        <v>186</v>
      </c>
      <c r="T779" s="23"/>
      <c r="U779" s="30"/>
      <c r="V779" s="31">
        <v>45838</v>
      </c>
      <c r="W779" s="32" t="s">
        <v>1378</v>
      </c>
      <c r="X779" s="57" t="s">
        <v>188</v>
      </c>
      <c r="Y779" s="34" t="s">
        <v>159</v>
      </c>
      <c r="Z779" s="32" t="s">
        <v>1379</v>
      </c>
      <c r="AA779" s="20" t="s">
        <v>49</v>
      </c>
      <c r="AB779" s="20" t="s">
        <v>49</v>
      </c>
      <c r="AC779" s="19" t="s">
        <v>49</v>
      </c>
      <c r="AD779" s="19" t="str">
        <f ca="1">IFERROR(DATEDIF(DadosViagem5[[#This Row],[Utimo Bip Reserva]],TODAY(),"D"),"")</f>
        <v/>
      </c>
      <c r="AE779" s="25"/>
      <c r="AF779" s="25"/>
      <c r="AG779" s="36"/>
      <c r="AH779" s="25">
        <v>45807</v>
      </c>
      <c r="AI779" s="36" t="str">
        <f>IF(DadosViagem5[[#This Row],[Dias em manutenção ]]&lt;5,"Dentro do Prazo","Fora do Prazo")</f>
        <v>Fora do Prazo</v>
      </c>
      <c r="AJ779" s="36" t="e">
        <v>#REF!</v>
      </c>
    </row>
    <row r="780" spans="1:36">
      <c r="A780" s="19" t="s">
        <v>1380</v>
      </c>
      <c r="B780" s="20"/>
      <c r="C780" s="19" t="s">
        <v>1013</v>
      </c>
      <c r="D780" s="19" t="s">
        <v>1014</v>
      </c>
      <c r="E780" s="19" t="s">
        <v>114</v>
      </c>
      <c r="F780" s="19" t="s">
        <v>115</v>
      </c>
      <c r="G780" s="19"/>
      <c r="H780" s="20">
        <v>2022</v>
      </c>
      <c r="I780" s="19" t="s">
        <v>137</v>
      </c>
      <c r="J780" s="19" t="s">
        <v>1368</v>
      </c>
      <c r="K780" s="21" t="s">
        <v>1369</v>
      </c>
      <c r="L780" s="22" t="s">
        <v>60</v>
      </c>
      <c r="M780" s="23" t="s">
        <v>140</v>
      </c>
      <c r="N780" s="36" t="s">
        <v>1370</v>
      </c>
      <c r="O780" s="36" t="s">
        <v>1371</v>
      </c>
      <c r="P780" s="26">
        <f ca="1">IFERROR(VLOOKUP(DadosViagem5[[#This Row],[Placa]],[1]BIP!A:E,5,FALSE),"")</f>
        <v>45985</v>
      </c>
      <c r="Q780" s="27">
        <f ca="1">DATEDIF(DadosViagem5[[#This Row],[BIP]],TODAY(),"D")</f>
        <v>5</v>
      </c>
      <c r="R780" s="28" t="str">
        <f>IFERROR(VLOOKUP(DadosViagem5[[#This Row],[Placa]],[1]DDS!B:C,2,FALSE),"Verificar cadastro")</f>
        <v> </v>
      </c>
      <c r="S780" s="29" t="s">
        <v>48</v>
      </c>
      <c r="T780" s="23"/>
      <c r="U780" s="30"/>
      <c r="V780" s="31"/>
      <c r="W780" s="32"/>
      <c r="X780" s="33"/>
      <c r="Y780" s="34" t="s">
        <v>49</v>
      </c>
      <c r="Z780" s="32"/>
      <c r="AA780" s="20" t="s">
        <v>49</v>
      </c>
      <c r="AB780" s="20" t="s">
        <v>49</v>
      </c>
      <c r="AC780" s="19" t="s">
        <v>49</v>
      </c>
      <c r="AD780" s="19" t="str">
        <f ca="1">IFERROR(DATEDIF(DadosViagem5[[#This Row],[Utimo Bip Reserva]],TODAY(),"D"),"")</f>
        <v/>
      </c>
      <c r="AE780" s="36" t="s">
        <v>49</v>
      </c>
      <c r="AF780" s="25" t="s">
        <v>49</v>
      </c>
      <c r="AG780" s="36"/>
      <c r="AH780" s="25">
        <v>45807</v>
      </c>
      <c r="AI780" s="36" t="str">
        <f>IF(DadosViagem5[[#This Row],[Dias em manutenção ]]&lt;5,"Dentro do Prazo","Fora do Prazo")</f>
        <v>Fora do Prazo</v>
      </c>
      <c r="AJ780" s="36" t="e">
        <v>#REF!</v>
      </c>
    </row>
    <row r="781" spans="1:36">
      <c r="A781" s="19" t="s">
        <v>1381</v>
      </c>
      <c r="B781" s="20"/>
      <c r="C781" s="19" t="s">
        <v>562</v>
      </c>
      <c r="D781" s="19" t="s">
        <v>563</v>
      </c>
      <c r="E781" s="19" t="s">
        <v>114</v>
      </c>
      <c r="F781" s="19" t="s">
        <v>115</v>
      </c>
      <c r="G781" s="19"/>
      <c r="H781" s="20">
        <v>2022</v>
      </c>
      <c r="I781" s="19" t="s">
        <v>137</v>
      </c>
      <c r="J781" s="19" t="s">
        <v>1368</v>
      </c>
      <c r="K781" s="21" t="s">
        <v>1369</v>
      </c>
      <c r="L781" s="22" t="s">
        <v>60</v>
      </c>
      <c r="M781" s="23" t="s">
        <v>140</v>
      </c>
      <c r="N781" s="36" t="s">
        <v>1370</v>
      </c>
      <c r="O781" s="36" t="s">
        <v>1371</v>
      </c>
      <c r="P781" s="26">
        <f ca="1">IFERROR(VLOOKUP(DadosViagem5[[#This Row],[Placa]],[1]BIP!A:E,5,FALSE),"")</f>
        <v>45989</v>
      </c>
      <c r="Q781" s="27">
        <f ca="1">DATEDIF(DadosViagem5[[#This Row],[BIP]],TODAY(),"D")</f>
        <v>1</v>
      </c>
      <c r="R781" s="28" t="str">
        <f>IFERROR(VLOOKUP(DadosViagem5[[#This Row],[Placa]],[1]DDS!B:C,2,FALSE),"Verificar cadastro")</f>
        <v>Operando</v>
      </c>
      <c r="S781" s="29" t="s">
        <v>48</v>
      </c>
      <c r="T781" s="23"/>
      <c r="U781" s="30"/>
      <c r="V781" s="31"/>
      <c r="W781" s="32"/>
      <c r="X781" s="33"/>
      <c r="Y781" s="34" t="s">
        <v>49</v>
      </c>
      <c r="Z781" s="32"/>
      <c r="AA781" s="20" t="s">
        <v>49</v>
      </c>
      <c r="AB781" s="20" t="s">
        <v>49</v>
      </c>
      <c r="AC781" s="19" t="s">
        <v>49</v>
      </c>
      <c r="AD781" s="19" t="str">
        <f ca="1">IFERROR(DATEDIF(DadosViagem5[[#This Row],[Utimo Bip Reserva]],TODAY(),"D"),"")</f>
        <v/>
      </c>
      <c r="AE781" s="36" t="s">
        <v>49</v>
      </c>
      <c r="AF781" s="25" t="s">
        <v>49</v>
      </c>
      <c r="AG781" s="36"/>
      <c r="AH781" s="25">
        <v>45807</v>
      </c>
      <c r="AI781" s="36" t="str">
        <f>IF(DadosViagem5[[#This Row],[Dias em manutenção ]]&lt;5,"Dentro do Prazo","Fora do Prazo")</f>
        <v>Fora do Prazo</v>
      </c>
      <c r="AJ781" s="36" t="e">
        <v>#REF!</v>
      </c>
    </row>
    <row r="782" spans="1:36">
      <c r="A782" s="19" t="s">
        <v>1382</v>
      </c>
      <c r="B782" s="20"/>
      <c r="C782" s="19" t="s">
        <v>88</v>
      </c>
      <c r="D782" s="19" t="s">
        <v>52</v>
      </c>
      <c r="E782" s="19" t="s">
        <v>114</v>
      </c>
      <c r="F782" s="19" t="s">
        <v>115</v>
      </c>
      <c r="G782" s="19"/>
      <c r="H782" s="20">
        <v>2021</v>
      </c>
      <c r="I782" s="19" t="s">
        <v>137</v>
      </c>
      <c r="J782" s="19" t="s">
        <v>1368</v>
      </c>
      <c r="K782" s="21" t="s">
        <v>1369</v>
      </c>
      <c r="L782" s="22" t="s">
        <v>60</v>
      </c>
      <c r="M782" s="23" t="s">
        <v>140</v>
      </c>
      <c r="N782" s="36" t="s">
        <v>1370</v>
      </c>
      <c r="O782" s="36" t="s">
        <v>1371</v>
      </c>
      <c r="P782" s="26">
        <f ca="1">IFERROR(VLOOKUP(DadosViagem5[[#This Row],[Placa]],[1]BIP!A:E,5,FALSE),"")</f>
        <v>45989</v>
      </c>
      <c r="Q782" s="27">
        <f ca="1">DATEDIF(DadosViagem5[[#This Row],[BIP]],TODAY(),"D")</f>
        <v>1</v>
      </c>
      <c r="R782" s="28" t="str">
        <f>IFERROR(VLOOKUP(DadosViagem5[[#This Row],[Placa]],[1]DDS!B:C,2,FALSE),"Verificar cadastro")</f>
        <v>Operando</v>
      </c>
      <c r="S782" s="29" t="s">
        <v>48</v>
      </c>
      <c r="T782" s="23"/>
      <c r="U782" s="30"/>
      <c r="V782" s="31"/>
      <c r="W782" s="32" t="s">
        <v>1383</v>
      </c>
      <c r="X782" s="33"/>
      <c r="Y782" s="34"/>
      <c r="Z782" s="32"/>
      <c r="AA782" s="20" t="s">
        <v>49</v>
      </c>
      <c r="AB782" s="20" t="s">
        <v>49</v>
      </c>
      <c r="AC782" s="19" t="s">
        <v>49</v>
      </c>
      <c r="AD782" s="19" t="str">
        <f ca="1">IFERROR(DATEDIF(DadosViagem5[[#This Row],[Utimo Bip Reserva]],TODAY(),"D"),"")</f>
        <v/>
      </c>
      <c r="AE782" s="36" t="s">
        <v>49</v>
      </c>
      <c r="AF782" s="25" t="s">
        <v>49</v>
      </c>
      <c r="AG782" s="36"/>
      <c r="AH782" s="25">
        <v>45807</v>
      </c>
      <c r="AI782" s="36" t="str">
        <f>IF(DadosViagem5[[#This Row],[Dias em manutenção ]]&lt;5,"Dentro do Prazo","Fora do Prazo")</f>
        <v>Fora do Prazo</v>
      </c>
      <c r="AJ782" s="36" t="e">
        <v>#REF!</v>
      </c>
    </row>
    <row r="783" spans="1:36">
      <c r="A783" s="19" t="s">
        <v>1384</v>
      </c>
      <c r="B783" s="20"/>
      <c r="C783" s="19" t="s">
        <v>131</v>
      </c>
      <c r="D783" s="19" t="s">
        <v>132</v>
      </c>
      <c r="E783" s="19" t="s">
        <v>894</v>
      </c>
      <c r="F783" s="19" t="s">
        <v>115</v>
      </c>
      <c r="G783" s="19"/>
      <c r="H783" s="20">
        <v>2022</v>
      </c>
      <c r="I783" s="19" t="s">
        <v>137</v>
      </c>
      <c r="J783" s="19" t="s">
        <v>1368</v>
      </c>
      <c r="K783" s="21" t="s">
        <v>1369</v>
      </c>
      <c r="L783" s="22" t="s">
        <v>60</v>
      </c>
      <c r="M783" s="23" t="s">
        <v>140</v>
      </c>
      <c r="N783" s="36" t="s">
        <v>1370</v>
      </c>
      <c r="O783" s="36" t="s">
        <v>1371</v>
      </c>
      <c r="P783" s="26">
        <f ca="1">IFERROR(VLOOKUP(DadosViagem5[[#This Row],[Placa]],[1]BIP!A:E,5,FALSE),"")</f>
        <v>45989</v>
      </c>
      <c r="Q783" s="27">
        <f ca="1">DATEDIF(DadosViagem5[[#This Row],[BIP]],TODAY(),"D")</f>
        <v>1</v>
      </c>
      <c r="R783" s="28" t="str">
        <f>IFERROR(VLOOKUP(DadosViagem5[[#This Row],[Placa]],[1]DDS!B:C,2,FALSE),"Verificar cadastro")</f>
        <v>Operando</v>
      </c>
      <c r="S783" s="29" t="s">
        <v>48</v>
      </c>
      <c r="T783" s="23"/>
      <c r="U783" s="30"/>
      <c r="V783" s="31"/>
      <c r="W783" s="131"/>
      <c r="X783" s="33"/>
      <c r="Y783" s="34"/>
      <c r="Z783" s="32"/>
      <c r="AA783" s="20" t="s">
        <v>49</v>
      </c>
      <c r="AB783" s="20" t="s">
        <v>49</v>
      </c>
      <c r="AC783" s="19" t="s">
        <v>49</v>
      </c>
      <c r="AD783" s="19" t="str">
        <f ca="1">IFERROR(DATEDIF(DadosViagem5[[#This Row],[Utimo Bip Reserva]],TODAY(),"D"),"")</f>
        <v/>
      </c>
      <c r="AE783" s="25" t="s">
        <v>1385</v>
      </c>
      <c r="AF783" s="25" t="s">
        <v>49</v>
      </c>
      <c r="AG783" s="36" t="s">
        <v>454</v>
      </c>
      <c r="AH783" s="25">
        <v>5</v>
      </c>
      <c r="AI783" s="36" t="str">
        <f>IF(DadosViagem5[[#This Row],[Dias em manutenção ]]&lt;5,"Dentro do Prazo","Fora do Prazo")</f>
        <v>Fora do Prazo</v>
      </c>
      <c r="AJ783" s="36" t="e">
        <v>#REF!</v>
      </c>
    </row>
    <row r="784" spans="1:36">
      <c r="A784" s="19" t="s">
        <v>1386</v>
      </c>
      <c r="B784" s="20"/>
      <c r="C784" s="19" t="s">
        <v>131</v>
      </c>
      <c r="D784" s="19" t="s">
        <v>132</v>
      </c>
      <c r="E784" s="19" t="s">
        <v>894</v>
      </c>
      <c r="F784" s="19" t="s">
        <v>115</v>
      </c>
      <c r="G784" s="19"/>
      <c r="H784" s="20">
        <v>2022</v>
      </c>
      <c r="I784" s="19" t="s">
        <v>137</v>
      </c>
      <c r="J784" s="19" t="s">
        <v>1368</v>
      </c>
      <c r="K784" s="21" t="s">
        <v>1369</v>
      </c>
      <c r="L784" s="22" t="s">
        <v>60</v>
      </c>
      <c r="M784" s="23" t="s">
        <v>140</v>
      </c>
      <c r="N784" s="36" t="s">
        <v>1370</v>
      </c>
      <c r="O784" s="36" t="s">
        <v>1371</v>
      </c>
      <c r="P784" s="26">
        <f ca="1">IFERROR(VLOOKUP(DadosViagem5[[#This Row],[Placa]],[1]BIP!A:E,5,FALSE),"")</f>
        <v>45979</v>
      </c>
      <c r="Q784" s="27">
        <f ca="1">DATEDIF(DadosViagem5[[#This Row],[BIP]],TODAY(),"D")</f>
        <v>11</v>
      </c>
      <c r="R784" s="28"/>
      <c r="S784" s="29" t="s">
        <v>48</v>
      </c>
      <c r="T784" s="23"/>
      <c r="U784" s="30"/>
      <c r="V784" s="31"/>
      <c r="W784" s="32"/>
      <c r="X784" s="33"/>
      <c r="Y784" s="34"/>
      <c r="Z784" s="32"/>
      <c r="AA784" s="20" t="s">
        <v>49</v>
      </c>
      <c r="AB784" s="20" t="s">
        <v>49</v>
      </c>
      <c r="AC784" s="19" t="s">
        <v>49</v>
      </c>
      <c r="AD784" s="19" t="str">
        <f ca="1">IFERROR(DATEDIF(DadosViagem5[[#This Row],[Utimo Bip Reserva]],TODAY(),"D"),"")</f>
        <v/>
      </c>
      <c r="AE784" s="25" t="s">
        <v>1387</v>
      </c>
      <c r="AF784" s="25" t="s">
        <v>49</v>
      </c>
      <c r="AG784" s="30"/>
      <c r="AH784" s="25">
        <v>16</v>
      </c>
      <c r="AI784" s="36" t="str">
        <f>IF(DadosViagem5[[#This Row],[Dias em manutenção ]]&lt;5,"Dentro do Prazo","Fora do Prazo")</f>
        <v>Fora do Prazo</v>
      </c>
      <c r="AJ784" s="36" t="e">
        <v>#REF!</v>
      </c>
    </row>
    <row r="785" spans="1:36">
      <c r="A785" s="19" t="s">
        <v>1388</v>
      </c>
      <c r="B785" s="20"/>
      <c r="C785" s="19" t="s">
        <v>562</v>
      </c>
      <c r="D785" s="19" t="s">
        <v>563</v>
      </c>
      <c r="E785" s="19" t="s">
        <v>114</v>
      </c>
      <c r="F785" s="19" t="s">
        <v>115</v>
      </c>
      <c r="G785" s="19"/>
      <c r="H785" s="20">
        <v>2022</v>
      </c>
      <c r="I785" s="19" t="s">
        <v>137</v>
      </c>
      <c r="J785" s="19" t="s">
        <v>1368</v>
      </c>
      <c r="K785" s="21" t="s">
        <v>1369</v>
      </c>
      <c r="L785" s="22" t="s">
        <v>60</v>
      </c>
      <c r="M785" s="23" t="s">
        <v>140</v>
      </c>
      <c r="N785" s="36" t="s">
        <v>1370</v>
      </c>
      <c r="O785" s="36" t="s">
        <v>1371</v>
      </c>
      <c r="P785" s="26">
        <f ca="1">IFERROR(VLOOKUP(DadosViagem5[[#This Row],[Placa]],[1]BIP!A:E,5,FALSE),"")</f>
        <v>0</v>
      </c>
      <c r="Q785" s="27">
        <f ca="1">DATEDIF(DadosViagem5[[#This Row],[BIP]],TODAY(),"D")</f>
        <v>45990</v>
      </c>
      <c r="R785" s="28" t="str">
        <f>IFERROR(VLOOKUP(DadosViagem5[[#This Row],[Placa]],[1]DDS!B:C,2,FALSE),"Verificar cadastro")</f>
        <v>Manutenção</v>
      </c>
      <c r="S785" s="29" t="s">
        <v>48</v>
      </c>
      <c r="T785" s="23"/>
      <c r="U785" s="30"/>
      <c r="V785" s="31"/>
      <c r="W785" s="32" t="s">
        <v>1050</v>
      </c>
      <c r="X785" s="33"/>
      <c r="Y785" s="34"/>
      <c r="Z785" s="58"/>
      <c r="AA785" s="20" t="s">
        <v>49</v>
      </c>
      <c r="AB785" s="20" t="s">
        <v>49</v>
      </c>
      <c r="AC785" s="19" t="s">
        <v>49</v>
      </c>
      <c r="AD785" s="19" t="str">
        <f ca="1">IFERROR(DATEDIF(DadosViagem5[[#This Row],[Utimo Bip Reserva]],TODAY(),"D"),"")</f>
        <v/>
      </c>
      <c r="AE785" s="36" t="s">
        <v>49</v>
      </c>
      <c r="AF785" s="25" t="s">
        <v>49</v>
      </c>
      <c r="AG785" s="36"/>
      <c r="AH785" s="25">
        <v>10</v>
      </c>
      <c r="AI785" s="36" t="str">
        <f>IF(DadosViagem5[[#This Row],[Dias em manutenção ]]&lt;5,"Dentro do Prazo","Fora do Prazo")</f>
        <v>Fora do Prazo</v>
      </c>
      <c r="AJ785" s="36" t="e">
        <v>#REF!</v>
      </c>
    </row>
    <row r="786" spans="1:36">
      <c r="A786" s="19" t="s">
        <v>1389</v>
      </c>
      <c r="B786" s="20"/>
      <c r="C786" s="19" t="s">
        <v>131</v>
      </c>
      <c r="D786" s="19" t="s">
        <v>132</v>
      </c>
      <c r="E786" s="19" t="s">
        <v>114</v>
      </c>
      <c r="F786" s="19" t="s">
        <v>115</v>
      </c>
      <c r="G786" s="19"/>
      <c r="H786" s="20">
        <v>2022</v>
      </c>
      <c r="I786" s="19" t="s">
        <v>137</v>
      </c>
      <c r="J786" s="19" t="s">
        <v>1368</v>
      </c>
      <c r="K786" s="21" t="s">
        <v>1369</v>
      </c>
      <c r="L786" s="22" t="s">
        <v>60</v>
      </c>
      <c r="M786" s="23" t="s">
        <v>140</v>
      </c>
      <c r="N786" s="36" t="s">
        <v>1370</v>
      </c>
      <c r="O786" s="36" t="s">
        <v>1371</v>
      </c>
      <c r="P786" s="26">
        <f ca="1">IFERROR(VLOOKUP(DadosViagem5[[#This Row],[Placa]],[1]BIP!A:E,5,FALSE),"")</f>
        <v>45987</v>
      </c>
      <c r="Q786" s="27">
        <f ca="1">DATEDIF(DadosViagem5[[#This Row],[BIP]],TODAY(),"D")</f>
        <v>3</v>
      </c>
      <c r="R786" s="28" t="str">
        <f>IFERROR(VLOOKUP(DadosViagem5[[#This Row],[Placa]],[1]DDS!B:C,2,FALSE),"Verificar cadastro")</f>
        <v>Manutenção</v>
      </c>
      <c r="S786" s="29" t="s">
        <v>173</v>
      </c>
      <c r="T786" s="23"/>
      <c r="U786" s="30"/>
      <c r="V786" s="31">
        <v>45908</v>
      </c>
      <c r="W786" s="32" t="s">
        <v>1390</v>
      </c>
      <c r="X786" s="33" t="s">
        <v>65</v>
      </c>
      <c r="Y786" s="34" t="s">
        <v>159</v>
      </c>
      <c r="Z786" s="58" t="s">
        <v>1373</v>
      </c>
      <c r="AA786" s="20" t="s">
        <v>49</v>
      </c>
      <c r="AB786" s="20" t="s">
        <v>49</v>
      </c>
      <c r="AC786" s="19" t="s">
        <v>49</v>
      </c>
      <c r="AD786" s="19" t="str">
        <f ca="1">IFERROR(DATEDIF(DadosViagem5[[#This Row],[Utimo Bip Reserva]],TODAY(),"D"),"")</f>
        <v/>
      </c>
      <c r="AE786" s="36" t="s">
        <v>49</v>
      </c>
      <c r="AF786" s="25" t="s">
        <v>49</v>
      </c>
      <c r="AG786" s="36"/>
      <c r="AH786" s="25">
        <v>45807</v>
      </c>
      <c r="AI786" s="36" t="str">
        <f>IF(DadosViagem5[[#This Row],[Dias em manutenção ]]&lt;5,"Dentro do Prazo","Fora do Prazo")</f>
        <v>Fora do Prazo</v>
      </c>
      <c r="AJ786" s="36" t="e">
        <v>#REF!</v>
      </c>
    </row>
    <row r="787" spans="1:36">
      <c r="A787" s="19" t="s">
        <v>1391</v>
      </c>
      <c r="B787" s="20"/>
      <c r="C787" s="19" t="s">
        <v>562</v>
      </c>
      <c r="D787" s="19" t="s">
        <v>563</v>
      </c>
      <c r="E787" s="19" t="s">
        <v>114</v>
      </c>
      <c r="F787" s="19" t="s">
        <v>115</v>
      </c>
      <c r="G787" s="19"/>
      <c r="H787" s="20">
        <v>2022</v>
      </c>
      <c r="I787" s="19" t="s">
        <v>137</v>
      </c>
      <c r="J787" s="19" t="s">
        <v>1368</v>
      </c>
      <c r="K787" s="21" t="s">
        <v>1369</v>
      </c>
      <c r="L787" s="22" t="s">
        <v>60</v>
      </c>
      <c r="M787" s="23" t="s">
        <v>140</v>
      </c>
      <c r="N787" s="36" t="s">
        <v>1370</v>
      </c>
      <c r="O787" s="36" t="s">
        <v>1371</v>
      </c>
      <c r="P787" s="26">
        <f ca="1">IFERROR(VLOOKUP(DadosViagem5[[#This Row],[Placa]],[1]BIP!A:E,5,FALSE),"")</f>
        <v>45989</v>
      </c>
      <c r="Q787" s="27">
        <f ca="1">DATEDIF(DadosViagem5[[#This Row],[BIP]],TODAY(),"D")</f>
        <v>1</v>
      </c>
      <c r="R787" s="28" t="str">
        <f>IFERROR(VLOOKUP(DadosViagem5[[#This Row],[Placa]],[1]DDS!B:C,2,FALSE),"Verificar cadastro")</f>
        <v>Operando</v>
      </c>
      <c r="S787" s="29" t="s">
        <v>48</v>
      </c>
      <c r="T787" s="23"/>
      <c r="U787" s="30"/>
      <c r="V787" s="31"/>
      <c r="W787" s="32" t="s">
        <v>155</v>
      </c>
      <c r="X787" s="33"/>
      <c r="Y787" s="34"/>
      <c r="Z787" s="42"/>
      <c r="AA787" s="20" t="s">
        <v>49</v>
      </c>
      <c r="AB787" s="20" t="s">
        <v>49</v>
      </c>
      <c r="AC787" s="19" t="s">
        <v>49</v>
      </c>
      <c r="AD787" s="19" t="str">
        <f ca="1">IFERROR(DATEDIF(DadosViagem5[[#This Row],[Utimo Bip Reserva]],TODAY(),"D"),"")</f>
        <v/>
      </c>
      <c r="AE787" s="36" t="s">
        <v>49</v>
      </c>
      <c r="AF787" s="25" t="s">
        <v>49</v>
      </c>
      <c r="AG787" s="36"/>
      <c r="AH787" s="25">
        <v>45807</v>
      </c>
      <c r="AI787" s="36" t="str">
        <f>IF(DadosViagem5[[#This Row],[Dias em manutenção ]]&lt;5,"Dentro do Prazo","Fora do Prazo")</f>
        <v>Fora do Prazo</v>
      </c>
      <c r="AJ787" s="36" t="e">
        <v>#REF!</v>
      </c>
    </row>
    <row r="788" spans="1:36">
      <c r="A788" s="19" t="s">
        <v>1392</v>
      </c>
      <c r="B788" s="20"/>
      <c r="C788" s="19" t="s">
        <v>562</v>
      </c>
      <c r="D788" s="19" t="s">
        <v>563</v>
      </c>
      <c r="E788" s="19" t="s">
        <v>114</v>
      </c>
      <c r="F788" s="19" t="s">
        <v>115</v>
      </c>
      <c r="G788" s="19"/>
      <c r="H788" s="20">
        <v>2022</v>
      </c>
      <c r="I788" s="19" t="s">
        <v>137</v>
      </c>
      <c r="J788" s="19" t="s">
        <v>1368</v>
      </c>
      <c r="K788" s="21" t="s">
        <v>1369</v>
      </c>
      <c r="L788" s="22" t="s">
        <v>60</v>
      </c>
      <c r="M788" s="23" t="s">
        <v>140</v>
      </c>
      <c r="N788" s="36" t="s">
        <v>1370</v>
      </c>
      <c r="O788" s="36" t="s">
        <v>1371</v>
      </c>
      <c r="P788" s="26">
        <f ca="1">IFERROR(VLOOKUP(DadosViagem5[[#This Row],[Placa]],[1]BIP!A:E,5,FALSE),"")</f>
        <v>45989</v>
      </c>
      <c r="Q788" s="27">
        <f ca="1">DATEDIF(DadosViagem5[[#This Row],[BIP]],TODAY(),"D")</f>
        <v>1</v>
      </c>
      <c r="R788" s="28" t="str">
        <f>IFERROR(VLOOKUP(DadosViagem5[[#This Row],[Placa]],[1]DDS!B:C,2,FALSE),"Verificar cadastro")</f>
        <v>Operando</v>
      </c>
      <c r="S788" s="29" t="s">
        <v>48</v>
      </c>
      <c r="T788" s="23"/>
      <c r="U788" s="30"/>
      <c r="V788" s="31"/>
      <c r="W788" s="32"/>
      <c r="X788" s="33"/>
      <c r="Y788" s="34"/>
      <c r="Z788" s="42"/>
      <c r="AA788" s="20" t="s">
        <v>49</v>
      </c>
      <c r="AB788" s="20" t="s">
        <v>49</v>
      </c>
      <c r="AC788" s="19" t="s">
        <v>49</v>
      </c>
      <c r="AD788" s="19" t="str">
        <f ca="1">IFERROR(DATEDIF(DadosViagem5[[#This Row],[Utimo Bip Reserva]],TODAY(),"D"),"")</f>
        <v/>
      </c>
      <c r="AE788" s="36" t="s">
        <v>49</v>
      </c>
      <c r="AF788" s="25" t="s">
        <v>49</v>
      </c>
      <c r="AG788" s="30"/>
      <c r="AH788" s="25">
        <v>10</v>
      </c>
      <c r="AI788" s="36" t="str">
        <f>IF(DadosViagem5[[#This Row],[Dias em manutenção ]]&lt;5,"Dentro do Prazo","Fora do Prazo")</f>
        <v>Fora do Prazo</v>
      </c>
      <c r="AJ788" s="36" t="e">
        <v>#REF!</v>
      </c>
    </row>
    <row r="789" spans="1:36">
      <c r="A789" s="19" t="s">
        <v>1393</v>
      </c>
      <c r="B789" s="19"/>
      <c r="C789" s="19" t="s">
        <v>1013</v>
      </c>
      <c r="D789" s="19" t="s">
        <v>1014</v>
      </c>
      <c r="E789" s="19" t="s">
        <v>114</v>
      </c>
      <c r="F789" s="19" t="s">
        <v>115</v>
      </c>
      <c r="G789" s="19"/>
      <c r="H789" s="20">
        <v>2023</v>
      </c>
      <c r="I789" s="19" t="s">
        <v>137</v>
      </c>
      <c r="J789" s="19" t="s">
        <v>1368</v>
      </c>
      <c r="K789" s="21" t="s">
        <v>1369</v>
      </c>
      <c r="L789" s="22" t="s">
        <v>60</v>
      </c>
      <c r="M789" s="23" t="s">
        <v>140</v>
      </c>
      <c r="N789" s="36" t="s">
        <v>1370</v>
      </c>
      <c r="O789" s="36" t="s">
        <v>1371</v>
      </c>
      <c r="P789" s="26">
        <f ca="1">IFERROR(VLOOKUP(DadosViagem5[[#This Row],[Placa]],[1]BIP!A:E,5,FALSE),"")</f>
        <v>45986</v>
      </c>
      <c r="Q789" s="27">
        <f ca="1">DATEDIF(DadosViagem5[[#This Row],[BIP]],TODAY(),"D")</f>
        <v>4</v>
      </c>
      <c r="R789" s="28" t="str">
        <f>IFERROR(VLOOKUP(DadosViagem5[[#This Row],[Placa]],[1]DDS!B:C,2,FALSE),"Verificar cadastro")</f>
        <v> </v>
      </c>
      <c r="S789" s="29" t="s">
        <v>48</v>
      </c>
      <c r="T789" s="23"/>
      <c r="U789" s="30"/>
      <c r="V789" s="31"/>
      <c r="W789" s="32" t="s">
        <v>1394</v>
      </c>
      <c r="X789" s="33"/>
      <c r="Y789" s="34"/>
      <c r="Z789" s="32"/>
      <c r="AA789" s="20" t="s">
        <v>49</v>
      </c>
      <c r="AB789" s="20" t="s">
        <v>49</v>
      </c>
      <c r="AC789" s="19" t="s">
        <v>49</v>
      </c>
      <c r="AD789" s="19" t="str">
        <f ca="1">IFERROR(DATEDIF(DadosViagem5[[#This Row],[Utimo Bip Reserva]],TODAY(),"D"),"")</f>
        <v/>
      </c>
      <c r="AE789" s="36" t="s">
        <v>49</v>
      </c>
      <c r="AF789" s="25" t="s">
        <v>49</v>
      </c>
      <c r="AG789" s="36"/>
      <c r="AH789" s="25">
        <v>45807</v>
      </c>
      <c r="AI789" s="36" t="str">
        <f>IF(DadosViagem5[[#This Row],[Dias em manutenção ]]&lt;5,"Dentro do Prazo","Fora do Prazo")</f>
        <v>Fora do Prazo</v>
      </c>
      <c r="AJ789" s="36" t="e">
        <v>#REF!</v>
      </c>
    </row>
    <row r="790" spans="1:36">
      <c r="A790" s="19" t="s">
        <v>1395</v>
      </c>
      <c r="B790" s="20"/>
      <c r="C790" s="19" t="s">
        <v>671</v>
      </c>
      <c r="D790" s="19" t="s">
        <v>132</v>
      </c>
      <c r="E790" s="19" t="s">
        <v>114</v>
      </c>
      <c r="F790" s="19" t="s">
        <v>115</v>
      </c>
      <c r="G790" s="19"/>
      <c r="H790" s="20">
        <v>2022</v>
      </c>
      <c r="I790" s="19" t="s">
        <v>137</v>
      </c>
      <c r="J790" s="19" t="s">
        <v>1368</v>
      </c>
      <c r="K790" s="21" t="s">
        <v>1369</v>
      </c>
      <c r="L790" s="22" t="s">
        <v>60</v>
      </c>
      <c r="M790" s="23" t="s">
        <v>140</v>
      </c>
      <c r="N790" s="36" t="s">
        <v>1370</v>
      </c>
      <c r="O790" s="36" t="s">
        <v>1371</v>
      </c>
      <c r="P790" s="26">
        <f ca="1">IFERROR(VLOOKUP(DadosViagem5[[#This Row],[Placa]],[1]BIP!A:E,5,FALSE),"")</f>
        <v>45982</v>
      </c>
      <c r="Q790" s="27">
        <f ca="1">DATEDIF(DadosViagem5[[#This Row],[BIP]],TODAY(),"D")</f>
        <v>8</v>
      </c>
      <c r="R790" s="28" t="str">
        <f>IFERROR(VLOOKUP(DadosViagem5[[#This Row],[Placa]],[1]DDS!B:C,2,FALSE),"Verificar cadastro")</f>
        <v> </v>
      </c>
      <c r="S790" s="29" t="s">
        <v>48</v>
      </c>
      <c r="T790" s="23"/>
      <c r="U790" s="30"/>
      <c r="V790" s="31"/>
      <c r="W790" s="32" t="s">
        <v>1396</v>
      </c>
      <c r="X790" s="33"/>
      <c r="Y790" s="34"/>
      <c r="Z790" s="42"/>
      <c r="AA790" s="20" t="s">
        <v>49</v>
      </c>
      <c r="AB790" s="20" t="s">
        <v>49</v>
      </c>
      <c r="AC790" s="19" t="s">
        <v>49</v>
      </c>
      <c r="AD790" s="19" t="str">
        <f ca="1">IFERROR(DATEDIF(DadosViagem5[[#This Row],[Utimo Bip Reserva]],TODAY(),"D"),"")</f>
        <v/>
      </c>
      <c r="AE790" s="36" t="s">
        <v>1397</v>
      </c>
      <c r="AF790" s="25">
        <v>45699</v>
      </c>
      <c r="AG790" s="36" t="s">
        <v>481</v>
      </c>
      <c r="AH790" s="25">
        <v>45807</v>
      </c>
      <c r="AI790" s="36" t="str">
        <f>IF(DadosViagem5[[#This Row],[Dias em manutenção ]]&lt;5,"Dentro do Prazo","Fora do Prazo")</f>
        <v>Fora do Prazo</v>
      </c>
      <c r="AJ790" s="36" t="e">
        <v>#REF!</v>
      </c>
    </row>
    <row r="791" spans="1:36">
      <c r="A791" s="19" t="s">
        <v>1398</v>
      </c>
      <c r="B791" s="20"/>
      <c r="C791" s="19" t="s">
        <v>562</v>
      </c>
      <c r="D791" s="19" t="s">
        <v>563</v>
      </c>
      <c r="E791" s="19" t="s">
        <v>114</v>
      </c>
      <c r="F791" s="19" t="s">
        <v>115</v>
      </c>
      <c r="G791" s="19"/>
      <c r="H791" s="20">
        <v>2022</v>
      </c>
      <c r="I791" s="19" t="s">
        <v>137</v>
      </c>
      <c r="J791" s="19" t="s">
        <v>1368</v>
      </c>
      <c r="K791" s="21" t="s">
        <v>1369</v>
      </c>
      <c r="L791" s="22" t="s">
        <v>60</v>
      </c>
      <c r="M791" s="23" t="s">
        <v>140</v>
      </c>
      <c r="N791" s="36" t="s">
        <v>1370</v>
      </c>
      <c r="O791" s="36" t="s">
        <v>1371</v>
      </c>
      <c r="P791" s="26">
        <f ca="1">IFERROR(VLOOKUP(DadosViagem5[[#This Row],[Placa]],[1]BIP!A:E,5,FALSE),"")</f>
        <v>45989</v>
      </c>
      <c r="Q791" s="27">
        <f ca="1">DATEDIF(DadosViagem5[[#This Row],[BIP]],TODAY(),"D")</f>
        <v>1</v>
      </c>
      <c r="R791" s="28" t="str">
        <f>IFERROR(VLOOKUP(DadosViagem5[[#This Row],[Placa]],[1]DDS!B:C,2,FALSE),"Verificar cadastro")</f>
        <v>Operando</v>
      </c>
      <c r="S791" s="29" t="s">
        <v>48</v>
      </c>
      <c r="T791" s="23"/>
      <c r="U791" s="30"/>
      <c r="V791" s="31"/>
      <c r="W791" s="32"/>
      <c r="X791" s="33"/>
      <c r="Y791" s="34"/>
      <c r="Z791" s="42"/>
      <c r="AA791" s="20" t="s">
        <v>49</v>
      </c>
      <c r="AB791" s="20" t="s">
        <v>49</v>
      </c>
      <c r="AC791" s="19" t="s">
        <v>49</v>
      </c>
      <c r="AD791" s="19" t="str">
        <f ca="1">IFERROR(DATEDIF(DadosViagem5[[#This Row],[Utimo Bip Reserva]],TODAY(),"D"),"")</f>
        <v/>
      </c>
      <c r="AE791" s="36" t="s">
        <v>49</v>
      </c>
      <c r="AF791" s="25" t="s">
        <v>49</v>
      </c>
      <c r="AG791" s="36"/>
      <c r="AH791" s="25">
        <v>45807</v>
      </c>
      <c r="AI791" s="36" t="str">
        <f>IF(DadosViagem5[[#This Row],[Dias em manutenção ]]&lt;5,"Dentro do Prazo","Fora do Prazo")</f>
        <v>Fora do Prazo</v>
      </c>
      <c r="AJ791" s="36" t="e">
        <v>#REF!</v>
      </c>
    </row>
    <row r="792" spans="1:36">
      <c r="A792" s="19" t="s">
        <v>1399</v>
      </c>
      <c r="B792" s="20"/>
      <c r="C792" s="19" t="s">
        <v>1013</v>
      </c>
      <c r="D792" s="19" t="s">
        <v>1014</v>
      </c>
      <c r="E792" s="19" t="s">
        <v>114</v>
      </c>
      <c r="F792" s="19" t="s">
        <v>115</v>
      </c>
      <c r="G792" s="19"/>
      <c r="H792" s="20">
        <v>2022</v>
      </c>
      <c r="I792" s="19" t="s">
        <v>137</v>
      </c>
      <c r="J792" s="19" t="s">
        <v>1368</v>
      </c>
      <c r="K792" s="21" t="s">
        <v>1369</v>
      </c>
      <c r="L792" s="22" t="s">
        <v>60</v>
      </c>
      <c r="M792" s="23" t="s">
        <v>140</v>
      </c>
      <c r="N792" s="36" t="s">
        <v>1370</v>
      </c>
      <c r="O792" s="36" t="s">
        <v>1371</v>
      </c>
      <c r="P792" s="26">
        <f ca="1">IFERROR(VLOOKUP(DadosViagem5[[#This Row],[Placa]],[1]BIP!A:E,5,FALSE),"")</f>
        <v>45989</v>
      </c>
      <c r="Q792" s="27">
        <f ca="1">DATEDIF(DadosViagem5[[#This Row],[BIP]],TODAY(),"D")</f>
        <v>1</v>
      </c>
      <c r="R792" s="28" t="str">
        <f>IFERROR(VLOOKUP(DadosViagem5[[#This Row],[Placa]],[1]DDS!B:C,2,FALSE),"Verificar cadastro")</f>
        <v>Operando</v>
      </c>
      <c r="S792" s="29" t="s">
        <v>48</v>
      </c>
      <c r="T792" s="23"/>
      <c r="U792" s="30"/>
      <c r="V792" s="31"/>
      <c r="W792" s="32"/>
      <c r="X792" s="33"/>
      <c r="Y792" s="34"/>
      <c r="Z792" s="42"/>
      <c r="AA792" s="20" t="s">
        <v>49</v>
      </c>
      <c r="AB792" s="20" t="s">
        <v>49</v>
      </c>
      <c r="AC792" s="19" t="s">
        <v>49</v>
      </c>
      <c r="AD792" s="19" t="str">
        <f ca="1">IFERROR(DATEDIF(DadosViagem5[[#This Row],[Utimo Bip Reserva]],TODAY(),"D"),"")</f>
        <v/>
      </c>
      <c r="AE792" s="36" t="s">
        <v>49</v>
      </c>
      <c r="AF792" s="25" t="s">
        <v>49</v>
      </c>
      <c r="AG792" s="36"/>
      <c r="AH792" s="25">
        <v>45807</v>
      </c>
      <c r="AI792" s="36" t="str">
        <f>IF(DadosViagem5[[#This Row],[Dias em manutenção ]]&lt;5,"Dentro do Prazo","Fora do Prazo")</f>
        <v>Fora do Prazo</v>
      </c>
      <c r="AJ792" s="36" t="e">
        <v>#REF!</v>
      </c>
    </row>
    <row r="793" spans="1:36">
      <c r="A793" s="19" t="s">
        <v>1400</v>
      </c>
      <c r="B793" s="20">
        <v>474</v>
      </c>
      <c r="C793" s="19" t="s">
        <v>74</v>
      </c>
      <c r="D793" s="19" t="s">
        <v>52</v>
      </c>
      <c r="E793" s="19" t="s">
        <v>75</v>
      </c>
      <c r="F793" s="19" t="s">
        <v>115</v>
      </c>
      <c r="G793" s="19"/>
      <c r="H793" s="20">
        <v>2023</v>
      </c>
      <c r="I793" s="19" t="s">
        <v>137</v>
      </c>
      <c r="J793" s="19" t="s">
        <v>1368</v>
      </c>
      <c r="K793" s="21" t="s">
        <v>1369</v>
      </c>
      <c r="L793" s="22" t="s">
        <v>60</v>
      </c>
      <c r="M793" s="23" t="s">
        <v>77</v>
      </c>
      <c r="N793" s="36" t="s">
        <v>1370</v>
      </c>
      <c r="O793" s="36" t="s">
        <v>1371</v>
      </c>
      <c r="P793" s="26">
        <f ca="1">IFERROR(VLOOKUP(DadosViagem5[[#This Row],[Placa]],[1]BIP!A:E,5,FALSE),"")</f>
        <v>45989</v>
      </c>
      <c r="Q793" s="27">
        <f ca="1">DATEDIF(DadosViagem5[[#This Row],[BIP]],TODAY(),"D")</f>
        <v>1</v>
      </c>
      <c r="R793" s="28" t="str">
        <f>IFERROR(VLOOKUP(DadosViagem5[[#This Row],[Placa]],[1]DDS!B:C,2,FALSE),"Verificar cadastro")</f>
        <v>Operando</v>
      </c>
      <c r="S793" s="29" t="s">
        <v>48</v>
      </c>
      <c r="T793" s="23"/>
      <c r="U793" s="30"/>
      <c r="V793" s="31"/>
      <c r="W793" s="32"/>
      <c r="X793" s="33"/>
      <c r="Y793" s="34"/>
      <c r="Z793" s="42"/>
      <c r="AA793" s="20" t="s">
        <v>49</v>
      </c>
      <c r="AB793" s="20" t="s">
        <v>49</v>
      </c>
      <c r="AC793" s="19" t="s">
        <v>49</v>
      </c>
      <c r="AD793" s="19" t="str">
        <f ca="1">IFERROR(DATEDIF(DadosViagem5[[#This Row],[Utimo Bip Reserva]],TODAY(),"D"),"")</f>
        <v/>
      </c>
      <c r="AE793" s="29"/>
      <c r="AF793" s="35"/>
      <c r="AG793" s="36"/>
      <c r="AH793" s="25">
        <v>45807</v>
      </c>
      <c r="AI793" s="36" t="str">
        <f>IF(DadosViagem5[[#This Row],[Dias em manutenção ]]&lt;5,"Dentro do Prazo","Fora do Prazo")</f>
        <v>Fora do Prazo</v>
      </c>
      <c r="AJ793" s="36" t="e">
        <v>#REF!</v>
      </c>
    </row>
    <row r="794" spans="1:36">
      <c r="A794" s="19" t="s">
        <v>1401</v>
      </c>
      <c r="B794" s="20"/>
      <c r="C794" s="19" t="s">
        <v>562</v>
      </c>
      <c r="D794" s="19" t="s">
        <v>563</v>
      </c>
      <c r="E794" s="19" t="s">
        <v>114</v>
      </c>
      <c r="F794" s="19" t="s">
        <v>115</v>
      </c>
      <c r="G794" s="19"/>
      <c r="H794" s="20">
        <v>2022</v>
      </c>
      <c r="I794" s="19" t="s">
        <v>137</v>
      </c>
      <c r="J794" s="19" t="s">
        <v>1368</v>
      </c>
      <c r="K794" s="21" t="s">
        <v>1369</v>
      </c>
      <c r="L794" s="22" t="s">
        <v>60</v>
      </c>
      <c r="M794" s="23" t="s">
        <v>140</v>
      </c>
      <c r="N794" s="36" t="s">
        <v>1370</v>
      </c>
      <c r="O794" s="36" t="s">
        <v>1371</v>
      </c>
      <c r="P794" s="26">
        <f ca="1">IFERROR(VLOOKUP(DadosViagem5[[#This Row],[Placa]],[1]BIP!A:E,5,FALSE),"")</f>
        <v>45982</v>
      </c>
      <c r="Q794" s="27">
        <f ca="1">DATEDIF(DadosViagem5[[#This Row],[BIP]],TODAY(),"D")</f>
        <v>8</v>
      </c>
      <c r="R794" s="28" t="str">
        <f>IFERROR(VLOOKUP(DadosViagem5[[#This Row],[Placa]],[1]DDS!B:C,2,FALSE),"Verificar cadastro")</f>
        <v>Manutenção</v>
      </c>
      <c r="S794" s="29" t="s">
        <v>48</v>
      </c>
      <c r="T794" s="23"/>
      <c r="U794" s="30"/>
      <c r="V794" s="31"/>
      <c r="W794" s="32"/>
      <c r="X794" s="33"/>
      <c r="Y794" s="34"/>
      <c r="Z794" s="42"/>
      <c r="AA794" s="20" t="s">
        <v>49</v>
      </c>
      <c r="AB794" s="20" t="s">
        <v>49</v>
      </c>
      <c r="AC794" s="19" t="s">
        <v>49</v>
      </c>
      <c r="AD794" s="19" t="str">
        <f ca="1">IFERROR(DATEDIF(DadosViagem5[[#This Row],[Utimo Bip Reserva]],TODAY(),"D"),"")</f>
        <v/>
      </c>
      <c r="AE794" s="36" t="s">
        <v>49</v>
      </c>
      <c r="AF794" s="25" t="s">
        <v>49</v>
      </c>
      <c r="AG794" s="36"/>
      <c r="AH794" s="25">
        <v>45807</v>
      </c>
      <c r="AI794" s="36" t="str">
        <f>IF(DadosViagem5[[#This Row],[Dias em manutenção ]]&lt;5,"Dentro do Prazo","Fora do Prazo")</f>
        <v>Fora do Prazo</v>
      </c>
      <c r="AJ794" s="36" t="e">
        <v>#REF!</v>
      </c>
    </row>
    <row r="795" spans="1:36">
      <c r="A795" s="19" t="s">
        <v>1402</v>
      </c>
      <c r="B795" s="20"/>
      <c r="C795" s="19" t="s">
        <v>131</v>
      </c>
      <c r="D795" s="19" t="s">
        <v>132</v>
      </c>
      <c r="E795" s="19" t="s">
        <v>894</v>
      </c>
      <c r="F795" s="19" t="s">
        <v>115</v>
      </c>
      <c r="G795" s="19"/>
      <c r="H795" s="20">
        <v>2022</v>
      </c>
      <c r="I795" s="19" t="s">
        <v>137</v>
      </c>
      <c r="J795" s="19" t="s">
        <v>1368</v>
      </c>
      <c r="K795" s="21" t="s">
        <v>1369</v>
      </c>
      <c r="L795" s="22" t="s">
        <v>60</v>
      </c>
      <c r="M795" s="23" t="s">
        <v>140</v>
      </c>
      <c r="N795" s="36" t="s">
        <v>1370</v>
      </c>
      <c r="O795" s="36" t="s">
        <v>1371</v>
      </c>
      <c r="P795" s="26">
        <f ca="1">IFERROR(VLOOKUP(DadosViagem5[[#This Row],[Placa]],[1]BIP!A:E,5,FALSE),"")</f>
        <v>45982</v>
      </c>
      <c r="Q795" s="27">
        <f ca="1">DATEDIF(DadosViagem5[[#This Row],[BIP]],TODAY(),"D")</f>
        <v>8</v>
      </c>
      <c r="R795" s="28" t="str">
        <f>IFERROR(VLOOKUP(DadosViagem5[[#This Row],[Placa]],[1]DDS!B:C,2,FALSE),"Verificar cadastro")</f>
        <v> </v>
      </c>
      <c r="S795" s="29" t="s">
        <v>48</v>
      </c>
      <c r="T795" s="23"/>
      <c r="U795" s="30"/>
      <c r="V795" s="31"/>
      <c r="W795" s="32"/>
      <c r="X795" s="33"/>
      <c r="Y795" s="34"/>
      <c r="Z795" s="32"/>
      <c r="AA795" s="20" t="s">
        <v>49</v>
      </c>
      <c r="AB795" s="20" t="s">
        <v>49</v>
      </c>
      <c r="AC795" s="19" t="s">
        <v>49</v>
      </c>
      <c r="AD795" s="19" t="str">
        <f ca="1">IFERROR(DATEDIF(DadosViagem5[[#This Row],[Utimo Bip Reserva]],TODAY(),"D"),"")</f>
        <v/>
      </c>
      <c r="AE795" s="25" t="s">
        <v>1403</v>
      </c>
      <c r="AF795" s="25" t="s">
        <v>49</v>
      </c>
      <c r="AG795" s="36" t="s">
        <v>454</v>
      </c>
      <c r="AH795" s="25">
        <v>11</v>
      </c>
      <c r="AI795" s="36" t="str">
        <f>IF(DadosViagem5[[#This Row],[Dias em manutenção ]]&lt;5,"Dentro do Prazo","Fora do Prazo")</f>
        <v>Fora do Prazo</v>
      </c>
      <c r="AJ795" s="36" t="e">
        <v>#REF!</v>
      </c>
    </row>
    <row r="796" spans="1:36">
      <c r="A796" s="19" t="s">
        <v>1404</v>
      </c>
      <c r="B796" s="20"/>
      <c r="C796" s="19" t="s">
        <v>88</v>
      </c>
      <c r="D796" s="19" t="s">
        <v>52</v>
      </c>
      <c r="E796" s="19" t="s">
        <v>114</v>
      </c>
      <c r="F796" s="19" t="s">
        <v>115</v>
      </c>
      <c r="G796" s="19"/>
      <c r="H796" s="20">
        <v>2021</v>
      </c>
      <c r="I796" s="19" t="s">
        <v>137</v>
      </c>
      <c r="J796" s="19" t="s">
        <v>1368</v>
      </c>
      <c r="K796" s="21" t="s">
        <v>1369</v>
      </c>
      <c r="L796" s="22" t="s">
        <v>60</v>
      </c>
      <c r="M796" s="23" t="s">
        <v>140</v>
      </c>
      <c r="N796" s="36" t="s">
        <v>1370</v>
      </c>
      <c r="O796" s="36" t="s">
        <v>1371</v>
      </c>
      <c r="P796" s="26">
        <f ca="1">IFERROR(VLOOKUP(DadosViagem5[[#This Row],[Placa]],[1]BIP!A:E,5,FALSE),"")</f>
        <v>45989</v>
      </c>
      <c r="Q796" s="27">
        <f ca="1">DATEDIF(DadosViagem5[[#This Row],[BIP]],TODAY(),"D")</f>
        <v>1</v>
      </c>
      <c r="R796" s="28" t="str">
        <f>IFERROR(VLOOKUP(DadosViagem5[[#This Row],[Placa]],[1]DDS!B:C,2,FALSE),"Verificar cadastro")</f>
        <v>Operando</v>
      </c>
      <c r="S796" s="29" t="s">
        <v>48</v>
      </c>
      <c r="T796" s="23"/>
      <c r="U796" s="30"/>
      <c r="V796" s="31"/>
      <c r="W796" s="32"/>
      <c r="X796" s="33"/>
      <c r="Y796" s="34"/>
      <c r="Z796" s="32"/>
      <c r="AA796" s="20" t="s">
        <v>49</v>
      </c>
      <c r="AB796" s="20" t="s">
        <v>49</v>
      </c>
      <c r="AC796" s="19" t="s">
        <v>49</v>
      </c>
      <c r="AD796" s="19" t="str">
        <f ca="1">IFERROR(DATEDIF(DadosViagem5[[#This Row],[Utimo Bip Reserva]],TODAY(),"D"),"")</f>
        <v/>
      </c>
      <c r="AE796" s="36" t="s">
        <v>49</v>
      </c>
      <c r="AF796" s="25" t="s">
        <v>49</v>
      </c>
      <c r="AG796" s="36" t="s">
        <v>628</v>
      </c>
      <c r="AH796" s="25">
        <v>45807</v>
      </c>
      <c r="AI796" s="36" t="str">
        <f>IF(DadosViagem5[[#This Row],[Dias em manutenção ]]&lt;5,"Dentro do Prazo","Fora do Prazo")</f>
        <v>Fora do Prazo</v>
      </c>
      <c r="AJ796" s="36" t="e">
        <v>#REF!</v>
      </c>
    </row>
    <row r="797" spans="1:36">
      <c r="A797" s="19" t="s">
        <v>1405</v>
      </c>
      <c r="B797" s="20"/>
      <c r="C797" s="19" t="s">
        <v>74</v>
      </c>
      <c r="D797" s="19" t="s">
        <v>52</v>
      </c>
      <c r="E797" s="19" t="s">
        <v>57</v>
      </c>
      <c r="F797" s="19" t="s">
        <v>115</v>
      </c>
      <c r="G797" s="19"/>
      <c r="H797" s="20">
        <v>2024</v>
      </c>
      <c r="I797" s="19" t="s">
        <v>137</v>
      </c>
      <c r="J797" s="19" t="s">
        <v>1368</v>
      </c>
      <c r="K797" s="21" t="s">
        <v>1369</v>
      </c>
      <c r="L797" s="22" t="s">
        <v>60</v>
      </c>
      <c r="M797" s="23" t="s">
        <v>77</v>
      </c>
      <c r="N797" s="36" t="s">
        <v>1370</v>
      </c>
      <c r="O797" s="36" t="s">
        <v>1371</v>
      </c>
      <c r="P797" s="26">
        <f ca="1">IFERROR(VLOOKUP(DadosViagem5[[#This Row],[Placa]],[1]BIP!A:E,5,FALSE),"")</f>
        <v>45989</v>
      </c>
      <c r="Q797" s="27">
        <f ca="1">DATEDIF(DadosViagem5[[#This Row],[BIP]],TODAY(),"D")</f>
        <v>1</v>
      </c>
      <c r="R797" s="28" t="str">
        <f>IFERROR(VLOOKUP(DadosViagem5[[#This Row],[Placa]],[1]DDS!B:C,2,FALSE),"Verificar cadastro")</f>
        <v>Operando</v>
      </c>
      <c r="S797" s="29" t="s">
        <v>48</v>
      </c>
      <c r="T797" s="23"/>
      <c r="U797" s="30"/>
      <c r="V797" s="31"/>
      <c r="W797" s="32"/>
      <c r="X797" s="33"/>
      <c r="Y797" s="34"/>
      <c r="Z797" s="32"/>
      <c r="AA797" s="20" t="s">
        <v>49</v>
      </c>
      <c r="AB797" s="20" t="s">
        <v>49</v>
      </c>
      <c r="AC797" s="19" t="s">
        <v>49</v>
      </c>
      <c r="AD797" s="19" t="str">
        <f ca="1">IFERROR(DATEDIF(DadosViagem5[[#This Row],[Utimo Bip Reserva]],TODAY(),"D"),"")</f>
        <v/>
      </c>
      <c r="AE797" s="25" t="s">
        <v>49</v>
      </c>
      <c r="AF797" s="25" t="s">
        <v>49</v>
      </c>
      <c r="AG797" s="36"/>
      <c r="AH797" s="25">
        <v>45807</v>
      </c>
      <c r="AI797" s="36" t="str">
        <f>IF(DadosViagem5[[#This Row],[Dias em manutenção ]]&lt;5,"Dentro do Prazo","Fora do Prazo")</f>
        <v>Fora do Prazo</v>
      </c>
      <c r="AJ797" s="36" t="e">
        <v>#REF!</v>
      </c>
    </row>
    <row r="798" spans="1:36">
      <c r="A798" s="19" t="s">
        <v>1406</v>
      </c>
      <c r="B798" s="20"/>
      <c r="C798" s="19" t="s">
        <v>131</v>
      </c>
      <c r="D798" s="19" t="s">
        <v>132</v>
      </c>
      <c r="E798" s="19" t="s">
        <v>894</v>
      </c>
      <c r="F798" s="19" t="s">
        <v>115</v>
      </c>
      <c r="G798" s="19"/>
      <c r="H798" s="20">
        <v>2022</v>
      </c>
      <c r="I798" s="19" t="s">
        <v>137</v>
      </c>
      <c r="J798" s="19" t="s">
        <v>1368</v>
      </c>
      <c r="K798" s="21" t="s">
        <v>1369</v>
      </c>
      <c r="L798" s="22" t="s">
        <v>60</v>
      </c>
      <c r="M798" s="23" t="s">
        <v>140</v>
      </c>
      <c r="N798" s="36" t="s">
        <v>1370</v>
      </c>
      <c r="O798" s="36" t="s">
        <v>1371</v>
      </c>
      <c r="P798" s="26">
        <f ca="1">IFERROR(VLOOKUP(DadosViagem5[[#This Row],[Placa]],[1]BIP!A:E,5,FALSE),"")</f>
        <v>45964</v>
      </c>
      <c r="Q798" s="27">
        <f ca="1">DATEDIF(DadosViagem5[[#This Row],[BIP]],TODAY(),"D")</f>
        <v>26</v>
      </c>
      <c r="R798" s="28" t="str">
        <f>IFERROR(VLOOKUP(DadosViagem5[[#This Row],[Placa]],[1]DDS!B:C,2,FALSE),"Verificar cadastro")</f>
        <v>Manutenção</v>
      </c>
      <c r="S798" s="29" t="s">
        <v>48</v>
      </c>
      <c r="T798" s="23"/>
      <c r="U798" s="30"/>
      <c r="V798" s="31"/>
      <c r="W798" s="32"/>
      <c r="X798" s="33"/>
      <c r="Y798" s="34"/>
      <c r="Z798" s="32"/>
      <c r="AA798" s="20" t="s">
        <v>49</v>
      </c>
      <c r="AB798" s="20" t="s">
        <v>49</v>
      </c>
      <c r="AC798" s="19" t="s">
        <v>49</v>
      </c>
      <c r="AD798" s="19" t="str">
        <f ca="1">IFERROR(DATEDIF(DadosViagem5[[#This Row],[Utimo Bip Reserva]],TODAY(),"D"),"")</f>
        <v/>
      </c>
      <c r="AE798" s="25" t="s">
        <v>49</v>
      </c>
      <c r="AF798" s="25" t="s">
        <v>49</v>
      </c>
      <c r="AG798" s="36"/>
      <c r="AH798" s="25">
        <v>37</v>
      </c>
      <c r="AI798" s="36" t="str">
        <f>IF(DadosViagem5[[#This Row],[Dias em manutenção ]]&lt;5,"Dentro do Prazo","Fora do Prazo")</f>
        <v>Fora do Prazo</v>
      </c>
      <c r="AJ798" s="36" t="e">
        <v>#REF!</v>
      </c>
    </row>
    <row r="799" spans="1:36">
      <c r="A799" s="19" t="s">
        <v>1407</v>
      </c>
      <c r="B799" s="20"/>
      <c r="C799" s="19" t="s">
        <v>88</v>
      </c>
      <c r="D799" s="19" t="s">
        <v>52</v>
      </c>
      <c r="E799" s="19" t="s">
        <v>114</v>
      </c>
      <c r="F799" s="19" t="s">
        <v>115</v>
      </c>
      <c r="G799" s="19"/>
      <c r="H799" s="20">
        <v>2021</v>
      </c>
      <c r="I799" s="19" t="s">
        <v>137</v>
      </c>
      <c r="J799" s="19" t="s">
        <v>1368</v>
      </c>
      <c r="K799" s="21" t="s">
        <v>1369</v>
      </c>
      <c r="L799" s="22" t="s">
        <v>60</v>
      </c>
      <c r="M799" s="23" t="s">
        <v>140</v>
      </c>
      <c r="N799" s="36" t="s">
        <v>1370</v>
      </c>
      <c r="O799" s="36" t="s">
        <v>1371</v>
      </c>
      <c r="P799" s="26">
        <f ca="1">IFERROR(VLOOKUP(DadosViagem5[[#This Row],[Placa]],[1]BIP!A:E,5,FALSE),"")</f>
        <v>45985</v>
      </c>
      <c r="Q799" s="27">
        <f ca="1">DATEDIF(DadosViagem5[[#This Row],[BIP]],TODAY(),"D")</f>
        <v>5</v>
      </c>
      <c r="R799" s="28" t="str">
        <f>IFERROR(VLOOKUP(DadosViagem5[[#This Row],[Placa]],[1]DDS!B:C,2,FALSE),"Verificar cadastro")</f>
        <v> </v>
      </c>
      <c r="S799" s="29" t="s">
        <v>48</v>
      </c>
      <c r="T799" s="23"/>
      <c r="U799" s="30"/>
      <c r="V799" s="31"/>
      <c r="W799" s="32"/>
      <c r="X799" s="33"/>
      <c r="Y799" s="34"/>
      <c r="Z799" s="32"/>
      <c r="AA799" s="20" t="s">
        <v>49</v>
      </c>
      <c r="AB799" s="20" t="s">
        <v>49</v>
      </c>
      <c r="AC799" s="19" t="s">
        <v>49</v>
      </c>
      <c r="AD799" s="19" t="str">
        <f ca="1">IFERROR(DATEDIF(DadosViagem5[[#This Row],[Utimo Bip Reserva]],TODAY(),"D"),"")</f>
        <v/>
      </c>
      <c r="AE799" s="36" t="s">
        <v>49</v>
      </c>
      <c r="AF799" s="25">
        <v>45699</v>
      </c>
      <c r="AG799" s="30"/>
      <c r="AH799" s="25">
        <v>45807</v>
      </c>
      <c r="AI799" s="36" t="str">
        <f>IF(DadosViagem5[[#This Row],[Dias em manutenção ]]&lt;5,"Dentro do Prazo","Fora do Prazo")</f>
        <v>Fora do Prazo</v>
      </c>
      <c r="AJ799" s="36" t="e">
        <v>#REF!</v>
      </c>
    </row>
    <row r="800" spans="1:36">
      <c r="A800" s="19" t="s">
        <v>1408</v>
      </c>
      <c r="B800" s="20"/>
      <c r="C800" s="19" t="s">
        <v>562</v>
      </c>
      <c r="D800" s="19" t="s">
        <v>563</v>
      </c>
      <c r="E800" s="19" t="s">
        <v>114</v>
      </c>
      <c r="F800" s="19" t="s">
        <v>115</v>
      </c>
      <c r="G800" s="19"/>
      <c r="H800" s="20">
        <v>2022</v>
      </c>
      <c r="I800" s="19" t="s">
        <v>137</v>
      </c>
      <c r="J800" s="19" t="s">
        <v>1368</v>
      </c>
      <c r="K800" s="21" t="s">
        <v>1369</v>
      </c>
      <c r="L800" s="22" t="s">
        <v>60</v>
      </c>
      <c r="M800" s="23" t="s">
        <v>140</v>
      </c>
      <c r="N800" s="36" t="s">
        <v>1370</v>
      </c>
      <c r="O800" s="36" t="s">
        <v>1371</v>
      </c>
      <c r="P800" s="26">
        <f ca="1">IFERROR(VLOOKUP(DadosViagem5[[#This Row],[Placa]],[1]BIP!A:E,5,FALSE),"")</f>
        <v>45989</v>
      </c>
      <c r="Q800" s="27">
        <f ca="1">DATEDIF(DadosViagem5[[#This Row],[BIP]],TODAY(),"D")</f>
        <v>1</v>
      </c>
      <c r="R800" s="28" t="str">
        <f>IFERROR(VLOOKUP(DadosViagem5[[#This Row],[Placa]],[1]DDS!B:C,2,FALSE),"Verificar cadastro")</f>
        <v>Operando</v>
      </c>
      <c r="S800" s="29" t="s">
        <v>48</v>
      </c>
      <c r="T800" s="23"/>
      <c r="U800" s="30"/>
      <c r="V800" s="31"/>
      <c r="W800" s="32"/>
      <c r="X800" s="33"/>
      <c r="Y800" s="34"/>
      <c r="Z800" s="32"/>
      <c r="AA800" s="20" t="s">
        <v>49</v>
      </c>
      <c r="AB800" s="20" t="s">
        <v>49</v>
      </c>
      <c r="AC800" s="19" t="s">
        <v>49</v>
      </c>
      <c r="AD800" s="19" t="str">
        <f ca="1">IFERROR(DATEDIF(DadosViagem5[[#This Row],[Utimo Bip Reserva]],TODAY(),"D"),"")</f>
        <v/>
      </c>
      <c r="AE800" s="36" t="s">
        <v>1409</v>
      </c>
      <c r="AF800" s="25" t="s">
        <v>49</v>
      </c>
      <c r="AG800" s="36"/>
      <c r="AH800" s="25">
        <v>45807</v>
      </c>
      <c r="AI800" s="36" t="str">
        <f>IF(DadosViagem5[[#This Row],[Dias em manutenção ]]&lt;5,"Dentro do Prazo","Fora do Prazo")</f>
        <v>Fora do Prazo</v>
      </c>
      <c r="AJ800" s="36" t="e">
        <v>#REF!</v>
      </c>
    </row>
    <row r="801" spans="1:36">
      <c r="A801" s="19" t="s">
        <v>1410</v>
      </c>
      <c r="B801" s="20">
        <v>459</v>
      </c>
      <c r="C801" s="19" t="s">
        <v>74</v>
      </c>
      <c r="D801" s="19" t="s">
        <v>52</v>
      </c>
      <c r="E801" s="19" t="s">
        <v>75</v>
      </c>
      <c r="F801" s="19" t="s">
        <v>115</v>
      </c>
      <c r="G801" s="19"/>
      <c r="H801" s="20">
        <v>2023</v>
      </c>
      <c r="I801" s="19" t="s">
        <v>137</v>
      </c>
      <c r="J801" s="19" t="s">
        <v>1368</v>
      </c>
      <c r="K801" s="21" t="s">
        <v>1369</v>
      </c>
      <c r="L801" s="22" t="s">
        <v>60</v>
      </c>
      <c r="M801" s="23" t="s">
        <v>77</v>
      </c>
      <c r="N801" s="36" t="s">
        <v>1370</v>
      </c>
      <c r="O801" s="36" t="s">
        <v>1371</v>
      </c>
      <c r="P801" s="26">
        <f ca="1">IFERROR(VLOOKUP(DadosViagem5[[#This Row],[Placa]],[1]BIP!A:E,5,FALSE),"")</f>
        <v>45989</v>
      </c>
      <c r="Q801" s="27">
        <f ca="1">DATEDIF(DadosViagem5[[#This Row],[BIP]],TODAY(),"D")</f>
        <v>1</v>
      </c>
      <c r="R801" s="28" t="str">
        <f>IFERROR(VLOOKUP(DadosViagem5[[#This Row],[Placa]],[1]DDS!B:C,2,FALSE),"Verificar cadastro")</f>
        <v>Operando</v>
      </c>
      <c r="S801" s="29" t="s">
        <v>48</v>
      </c>
      <c r="T801" s="23"/>
      <c r="U801" s="30"/>
      <c r="V801" s="31"/>
      <c r="W801" s="32"/>
      <c r="X801" s="33"/>
      <c r="Y801" s="34"/>
      <c r="Z801" s="132"/>
      <c r="AA801" s="20" t="s">
        <v>49</v>
      </c>
      <c r="AB801" s="20" t="s">
        <v>49</v>
      </c>
      <c r="AC801" s="19" t="s">
        <v>49</v>
      </c>
      <c r="AD801" s="19" t="str">
        <f ca="1">IFERROR(DATEDIF(DadosViagem5[[#This Row],[Utimo Bip Reserva]],TODAY(),"D"),"")</f>
        <v/>
      </c>
      <c r="AE801" s="36"/>
      <c r="AF801" s="25"/>
      <c r="AG801" s="36"/>
      <c r="AH801" s="25">
        <v>45807</v>
      </c>
      <c r="AI801" s="36" t="str">
        <f>IF(DadosViagem5[[#This Row],[Dias em manutenção ]]&lt;5,"Dentro do Prazo","Fora do Prazo")</f>
        <v>Fora do Prazo</v>
      </c>
      <c r="AJ801" s="36" t="e">
        <v>#REF!</v>
      </c>
    </row>
    <row r="802" spans="1:36">
      <c r="A802" s="19" t="s">
        <v>1411</v>
      </c>
      <c r="B802" s="20"/>
      <c r="C802" s="19" t="s">
        <v>671</v>
      </c>
      <c r="D802" s="19" t="s">
        <v>132</v>
      </c>
      <c r="E802" s="19" t="s">
        <v>114</v>
      </c>
      <c r="F802" s="19" t="s">
        <v>115</v>
      </c>
      <c r="G802" s="19"/>
      <c r="H802" s="20">
        <v>2022</v>
      </c>
      <c r="I802" s="19" t="s">
        <v>137</v>
      </c>
      <c r="J802" s="19" t="s">
        <v>1368</v>
      </c>
      <c r="K802" s="21" t="s">
        <v>1369</v>
      </c>
      <c r="L802" s="22" t="s">
        <v>60</v>
      </c>
      <c r="M802" s="23" t="s">
        <v>140</v>
      </c>
      <c r="N802" s="36" t="s">
        <v>1370</v>
      </c>
      <c r="O802" s="36" t="s">
        <v>1371</v>
      </c>
      <c r="P802" s="26">
        <f ca="1">IFERROR(VLOOKUP(DadosViagem5[[#This Row],[Placa]],[1]BIP!A:E,5,FALSE),"")</f>
        <v>45966</v>
      </c>
      <c r="Q802" s="27">
        <f ca="1">DATEDIF(DadosViagem5[[#This Row],[BIP]],TODAY(),"D")</f>
        <v>24</v>
      </c>
      <c r="R802" s="28" t="str">
        <f>IFERROR(VLOOKUP(DadosViagem5[[#This Row],[Placa]],[1]DDS!B:C,2,FALSE),"Verificar cadastro")</f>
        <v>Manutenção</v>
      </c>
      <c r="S802" s="29" t="s">
        <v>48</v>
      </c>
      <c r="T802" s="23"/>
      <c r="U802" s="30"/>
      <c r="V802" s="31"/>
      <c r="W802" s="32"/>
      <c r="X802" s="33"/>
      <c r="Y802" s="34"/>
      <c r="Z802" s="32"/>
      <c r="AA802" s="20" t="s">
        <v>49</v>
      </c>
      <c r="AB802" s="20" t="s">
        <v>49</v>
      </c>
      <c r="AC802" s="19" t="s">
        <v>49</v>
      </c>
      <c r="AD802" s="19" t="str">
        <f ca="1">IFERROR(DATEDIF(DadosViagem5[[#This Row],[Utimo Bip Reserva]],TODAY(),"D"),"")</f>
        <v/>
      </c>
      <c r="AE802" s="36" t="s">
        <v>49</v>
      </c>
      <c r="AF802" s="25" t="s">
        <v>49</v>
      </c>
      <c r="AG802" s="36" t="s">
        <v>997</v>
      </c>
      <c r="AH802" s="25">
        <v>7</v>
      </c>
      <c r="AI802" s="36" t="str">
        <f>IF(DadosViagem5[[#This Row],[Dias em manutenção ]]&lt;5,"Dentro do Prazo","Fora do Prazo")</f>
        <v>Fora do Prazo</v>
      </c>
      <c r="AJ802" s="36" t="e">
        <v>#REF!</v>
      </c>
    </row>
    <row r="803" spans="1:36">
      <c r="A803" s="19" t="s">
        <v>1412</v>
      </c>
      <c r="B803" s="20"/>
      <c r="C803" s="19" t="s">
        <v>671</v>
      </c>
      <c r="D803" s="19" t="s">
        <v>132</v>
      </c>
      <c r="E803" s="19" t="s">
        <v>114</v>
      </c>
      <c r="F803" s="19" t="s">
        <v>115</v>
      </c>
      <c r="G803" s="19"/>
      <c r="H803" s="20">
        <v>2022</v>
      </c>
      <c r="I803" s="19" t="s">
        <v>137</v>
      </c>
      <c r="J803" s="19" t="s">
        <v>1368</v>
      </c>
      <c r="K803" s="21" t="s">
        <v>1369</v>
      </c>
      <c r="L803" s="22" t="s">
        <v>60</v>
      </c>
      <c r="M803" s="23" t="s">
        <v>140</v>
      </c>
      <c r="N803" s="36" t="s">
        <v>1370</v>
      </c>
      <c r="O803" s="36" t="s">
        <v>1371</v>
      </c>
      <c r="P803" s="26">
        <f ca="1">IFERROR(VLOOKUP(DadosViagem5[[#This Row],[Placa]],[1]BIP!A:E,5,FALSE),"")</f>
        <v>45989</v>
      </c>
      <c r="Q803" s="27">
        <f ca="1">DATEDIF(DadosViagem5[[#This Row],[BIP]],TODAY(),"D")</f>
        <v>1</v>
      </c>
      <c r="R803" s="28"/>
      <c r="S803" s="29" t="s">
        <v>48</v>
      </c>
      <c r="T803" s="23"/>
      <c r="U803" s="30"/>
      <c r="V803" s="31"/>
      <c r="W803" s="32"/>
      <c r="X803" s="33"/>
      <c r="Y803" s="34"/>
      <c r="Z803" s="42"/>
      <c r="AA803" s="20" t="s">
        <v>49</v>
      </c>
      <c r="AB803" s="20" t="s">
        <v>49</v>
      </c>
      <c r="AC803" s="19" t="s">
        <v>49</v>
      </c>
      <c r="AD803" s="19" t="str">
        <f ca="1">IFERROR(DATEDIF(DadosViagem5[[#This Row],[Utimo Bip Reserva]],TODAY(),"D"),"")</f>
        <v/>
      </c>
      <c r="AE803" s="36" t="s">
        <v>49</v>
      </c>
      <c r="AF803" s="25">
        <v>45699</v>
      </c>
      <c r="AG803" s="36" t="s">
        <v>481</v>
      </c>
      <c r="AH803" s="25">
        <v>45807</v>
      </c>
      <c r="AI803" s="36" t="str">
        <f>IF(DadosViagem5[[#This Row],[Dias em manutenção ]]&lt;5,"Dentro do Prazo","Fora do Prazo")</f>
        <v>Fora do Prazo</v>
      </c>
      <c r="AJ803" s="36" t="e">
        <v>#REF!</v>
      </c>
    </row>
    <row r="804" spans="1:36">
      <c r="A804" s="19" t="s">
        <v>1413</v>
      </c>
      <c r="B804" s="20"/>
      <c r="C804" s="19" t="s">
        <v>671</v>
      </c>
      <c r="D804" s="19" t="s">
        <v>132</v>
      </c>
      <c r="E804" s="19" t="s">
        <v>114</v>
      </c>
      <c r="F804" s="19" t="s">
        <v>115</v>
      </c>
      <c r="G804" s="19"/>
      <c r="H804" s="20">
        <v>2021</v>
      </c>
      <c r="I804" s="19" t="s">
        <v>137</v>
      </c>
      <c r="J804" s="19" t="s">
        <v>1368</v>
      </c>
      <c r="K804" s="21" t="s">
        <v>1369</v>
      </c>
      <c r="L804" s="22" t="s">
        <v>60</v>
      </c>
      <c r="M804" s="23" t="s">
        <v>140</v>
      </c>
      <c r="N804" s="36" t="s">
        <v>1370</v>
      </c>
      <c r="O804" s="36" t="s">
        <v>1371</v>
      </c>
      <c r="P804" s="26">
        <f ca="1">IFERROR(VLOOKUP(DadosViagem5[[#This Row],[Placa]],[1]BIP!A:E,5,FALSE),"")</f>
        <v>45957</v>
      </c>
      <c r="Q804" s="27">
        <f ca="1">DATEDIF(DadosViagem5[[#This Row],[BIP]],TODAY(),"D")</f>
        <v>33</v>
      </c>
      <c r="R804" s="28" t="str">
        <f>IFERROR(VLOOKUP(DadosViagem5[[#This Row],[Placa]],[1]DDS!B:C,2,FALSE),"Verificar cadastro")</f>
        <v>Manutenção</v>
      </c>
      <c r="S804" s="29" t="s">
        <v>48</v>
      </c>
      <c r="T804" s="23"/>
      <c r="U804" s="30"/>
      <c r="V804" s="31"/>
      <c r="W804" s="32" t="s">
        <v>1414</v>
      </c>
      <c r="X804" s="33"/>
      <c r="Y804" s="34"/>
      <c r="Z804" s="42"/>
      <c r="AA804" s="20" t="s">
        <v>49</v>
      </c>
      <c r="AB804" s="20" t="s">
        <v>49</v>
      </c>
      <c r="AC804" s="19" t="s">
        <v>49</v>
      </c>
      <c r="AD804" s="19" t="str">
        <f ca="1">IFERROR(DATEDIF(DadosViagem5[[#This Row],[Utimo Bip Reserva]],TODAY(),"D"),"")</f>
        <v/>
      </c>
      <c r="AE804" s="36" t="s">
        <v>49</v>
      </c>
      <c r="AF804" s="25" t="s">
        <v>49</v>
      </c>
      <c r="AG804" s="36"/>
      <c r="AH804" s="25">
        <v>45807</v>
      </c>
      <c r="AI804" s="36" t="str">
        <f>IF(DadosViagem5[[#This Row],[Dias em manutenção ]]&lt;5,"Dentro do Prazo","Fora do Prazo")</f>
        <v>Fora do Prazo</v>
      </c>
      <c r="AJ804" s="36" t="e">
        <v>#REF!</v>
      </c>
    </row>
    <row r="805" spans="1:36">
      <c r="A805" s="19" t="s">
        <v>1415</v>
      </c>
      <c r="B805" s="20">
        <v>476</v>
      </c>
      <c r="C805" s="19" t="s">
        <v>74</v>
      </c>
      <c r="D805" s="19" t="s">
        <v>52</v>
      </c>
      <c r="E805" s="19" t="s">
        <v>75</v>
      </c>
      <c r="F805" s="19" t="s">
        <v>115</v>
      </c>
      <c r="G805" s="19"/>
      <c r="H805" s="20">
        <v>2023</v>
      </c>
      <c r="I805" s="19" t="s">
        <v>137</v>
      </c>
      <c r="J805" s="19" t="s">
        <v>1368</v>
      </c>
      <c r="K805" s="21" t="s">
        <v>1369</v>
      </c>
      <c r="L805" s="22" t="s">
        <v>60</v>
      </c>
      <c r="M805" s="23" t="s">
        <v>77</v>
      </c>
      <c r="N805" s="36" t="s">
        <v>1370</v>
      </c>
      <c r="O805" s="36" t="s">
        <v>1371</v>
      </c>
      <c r="P805" s="26">
        <f ca="1">IFERROR(VLOOKUP(DadosViagem5[[#This Row],[Placa]],[1]BIP!A:E,5,FALSE),"")</f>
        <v>45989</v>
      </c>
      <c r="Q805" s="27">
        <f ca="1">DATEDIF(DadosViagem5[[#This Row],[BIP]],TODAY(),"D")</f>
        <v>1</v>
      </c>
      <c r="R805" s="28" t="str">
        <f>IFERROR(VLOOKUP(DadosViagem5[[#This Row],[Placa]],[1]DDS!B:C,2,FALSE),"Verificar cadastro")</f>
        <v>Operando</v>
      </c>
      <c r="S805" s="29" t="s">
        <v>48</v>
      </c>
      <c r="T805" s="23"/>
      <c r="U805" s="30"/>
      <c r="V805" s="31"/>
      <c r="W805" s="32"/>
      <c r="X805" s="33"/>
      <c r="Y805" s="34"/>
      <c r="Z805" s="32"/>
      <c r="AA805" s="20" t="s">
        <v>49</v>
      </c>
      <c r="AB805" s="20" t="s">
        <v>49</v>
      </c>
      <c r="AC805" s="19" t="s">
        <v>49</v>
      </c>
      <c r="AD805" s="19" t="str">
        <f ca="1">IFERROR(DATEDIF(DadosViagem5[[#This Row],[Utimo Bip Reserva]],TODAY(),"D"),"")</f>
        <v/>
      </c>
      <c r="AE805" s="36"/>
      <c r="AF805" s="25"/>
      <c r="AG805" s="36"/>
      <c r="AH805" s="25">
        <v>13</v>
      </c>
      <c r="AI805" s="36" t="str">
        <f>IF(DadosViagem5[[#This Row],[Dias em manutenção ]]&lt;5,"Dentro do Prazo","Fora do Prazo")</f>
        <v>Fora do Prazo</v>
      </c>
      <c r="AJ805" s="36" t="e">
        <v>#REF!</v>
      </c>
    </row>
    <row r="806" spans="1:36">
      <c r="A806" s="19" t="s">
        <v>1416</v>
      </c>
      <c r="B806" s="20">
        <v>473</v>
      </c>
      <c r="C806" s="19" t="s">
        <v>74</v>
      </c>
      <c r="D806" s="19" t="s">
        <v>52</v>
      </c>
      <c r="E806" s="19" t="s">
        <v>75</v>
      </c>
      <c r="F806" s="19" t="s">
        <v>115</v>
      </c>
      <c r="G806" s="19"/>
      <c r="H806" s="20">
        <v>2023</v>
      </c>
      <c r="I806" s="19" t="s">
        <v>137</v>
      </c>
      <c r="J806" s="19" t="s">
        <v>1368</v>
      </c>
      <c r="K806" s="21" t="s">
        <v>1369</v>
      </c>
      <c r="L806" s="22" t="s">
        <v>60</v>
      </c>
      <c r="M806" s="23" t="s">
        <v>77</v>
      </c>
      <c r="N806" s="36" t="s">
        <v>1370</v>
      </c>
      <c r="O806" s="36" t="s">
        <v>1371</v>
      </c>
      <c r="P806" s="26">
        <f ca="1">IFERROR(VLOOKUP(DadosViagem5[[#This Row],[Placa]],[1]BIP!A:E,5,FALSE),"")</f>
        <v>45989</v>
      </c>
      <c r="Q806" s="27">
        <f ca="1">DATEDIF(DadosViagem5[[#This Row],[BIP]],TODAY(),"D")</f>
        <v>1</v>
      </c>
      <c r="R806" s="28" t="str">
        <f>IFERROR(VLOOKUP(DadosViagem5[[#This Row],[Placa]],[1]DDS!B:C,2,FALSE),"Verificar cadastro")</f>
        <v>Operando</v>
      </c>
      <c r="S806" s="29" t="s">
        <v>48</v>
      </c>
      <c r="T806" s="23"/>
      <c r="U806" s="30"/>
      <c r="V806" s="31"/>
      <c r="W806" s="32"/>
      <c r="X806" s="33"/>
      <c r="Y806" s="34"/>
      <c r="Z806" s="32"/>
      <c r="AA806" s="20" t="s">
        <v>49</v>
      </c>
      <c r="AB806" s="20" t="s">
        <v>49</v>
      </c>
      <c r="AC806" s="19" t="s">
        <v>49</v>
      </c>
      <c r="AD806" s="19" t="str">
        <f ca="1">IFERROR(DATEDIF(DadosViagem5[[#This Row],[Utimo Bip Reserva]],TODAY(),"D"),"")</f>
        <v/>
      </c>
      <c r="AE806" s="36" t="s">
        <v>49</v>
      </c>
      <c r="AF806" s="25" t="s">
        <v>49</v>
      </c>
      <c r="AG806" s="36"/>
      <c r="AH806" s="25">
        <v>45807</v>
      </c>
      <c r="AI806" s="36" t="str">
        <f>IF(DadosViagem5[[#This Row],[Dias em manutenção ]]&lt;5,"Dentro do Prazo","Fora do Prazo")</f>
        <v>Fora do Prazo</v>
      </c>
      <c r="AJ806" s="36" t="e">
        <v>#REF!</v>
      </c>
    </row>
    <row r="807" spans="1:36">
      <c r="A807" s="19" t="s">
        <v>1417</v>
      </c>
      <c r="B807" s="20"/>
      <c r="C807" s="19" t="s">
        <v>74</v>
      </c>
      <c r="D807" s="19" t="s">
        <v>52</v>
      </c>
      <c r="E807" s="19" t="s">
        <v>75</v>
      </c>
      <c r="F807" s="19" t="s">
        <v>115</v>
      </c>
      <c r="G807" s="19"/>
      <c r="H807" s="20">
        <v>2023</v>
      </c>
      <c r="I807" s="19" t="s">
        <v>137</v>
      </c>
      <c r="J807" s="19" t="s">
        <v>1368</v>
      </c>
      <c r="K807" s="21" t="s">
        <v>1369</v>
      </c>
      <c r="L807" s="22" t="s">
        <v>60</v>
      </c>
      <c r="M807" s="23" t="s">
        <v>77</v>
      </c>
      <c r="N807" s="36" t="s">
        <v>1370</v>
      </c>
      <c r="O807" s="36" t="s">
        <v>1371</v>
      </c>
      <c r="P807" s="26">
        <f ca="1">IFERROR(VLOOKUP(DadosViagem5[[#This Row],[Placa]],[1]BIP!A:E,5,FALSE),"")</f>
        <v>45989</v>
      </c>
      <c r="Q807" s="27">
        <f ca="1">DATEDIF(DadosViagem5[[#This Row],[BIP]],TODAY(),"D")</f>
        <v>1</v>
      </c>
      <c r="R807" s="28" t="str">
        <f>IFERROR(VLOOKUP(DadosViagem5[[#This Row],[Placa]],[1]DDS!B:C,2,FALSE),"Verificar cadastro")</f>
        <v>Operando</v>
      </c>
      <c r="S807" s="29" t="s">
        <v>48</v>
      </c>
      <c r="T807" s="23"/>
      <c r="U807" s="30"/>
      <c r="V807" s="31"/>
      <c r="W807" s="32"/>
      <c r="X807" s="33"/>
      <c r="Y807" s="34"/>
      <c r="Z807" s="32"/>
      <c r="AA807" s="20" t="s">
        <v>49</v>
      </c>
      <c r="AB807" s="20" t="s">
        <v>49</v>
      </c>
      <c r="AC807" s="19" t="s">
        <v>49</v>
      </c>
      <c r="AD807" s="19" t="str">
        <f ca="1">IFERROR(DATEDIF(DadosViagem5[[#This Row],[Utimo Bip Reserva]],TODAY(),"D"),"")</f>
        <v/>
      </c>
      <c r="AE807" s="25" t="s">
        <v>49</v>
      </c>
      <c r="AF807" s="25" t="s">
        <v>49</v>
      </c>
      <c r="AG807" s="36"/>
      <c r="AH807" s="25">
        <v>45807</v>
      </c>
      <c r="AI807" s="36" t="str">
        <f>IF(DadosViagem5[[#This Row],[Dias em manutenção ]]&lt;5,"Dentro do Prazo","Fora do Prazo")</f>
        <v>Fora do Prazo</v>
      </c>
      <c r="AJ807" s="36" t="e">
        <v>#REF!</v>
      </c>
    </row>
    <row r="808" spans="1:36">
      <c r="A808" s="19" t="s">
        <v>1418</v>
      </c>
      <c r="B808" s="20"/>
      <c r="C808" s="19" t="s">
        <v>88</v>
      </c>
      <c r="D808" s="19" t="s">
        <v>52</v>
      </c>
      <c r="E808" s="19" t="s">
        <v>114</v>
      </c>
      <c r="F808" s="19" t="s">
        <v>115</v>
      </c>
      <c r="G808" s="19"/>
      <c r="H808" s="20">
        <v>2021</v>
      </c>
      <c r="I808" s="19" t="s">
        <v>137</v>
      </c>
      <c r="J808" s="19" t="s">
        <v>1368</v>
      </c>
      <c r="K808" s="21" t="s">
        <v>1369</v>
      </c>
      <c r="L808" s="39" t="s">
        <v>60</v>
      </c>
      <c r="M808" s="23" t="s">
        <v>140</v>
      </c>
      <c r="N808" s="36" t="s">
        <v>1370</v>
      </c>
      <c r="O808" s="36" t="s">
        <v>1371</v>
      </c>
      <c r="P808" s="26">
        <f ca="1">IFERROR(VLOOKUP(DadosViagem5[[#This Row],[Placa]],[1]BIP!A:E,5,FALSE),"")</f>
        <v>45989</v>
      </c>
      <c r="Q808" s="27">
        <f ca="1">DATEDIF(DadosViagem5[[#This Row],[BIP]],TODAY(),"D")</f>
        <v>1</v>
      </c>
      <c r="R808" s="28" t="str">
        <f>IFERROR(VLOOKUP(DadosViagem5[[#This Row],[Placa]],[1]DDS!B:C,2,FALSE),"Verificar cadastro")</f>
        <v>Operando</v>
      </c>
      <c r="S808" s="29" t="s">
        <v>48</v>
      </c>
      <c r="T808" s="23"/>
      <c r="U808" s="30"/>
      <c r="V808" s="31"/>
      <c r="W808" s="32" t="s">
        <v>122</v>
      </c>
      <c r="X808" s="33"/>
      <c r="Y808" s="34"/>
      <c r="Z808" s="32"/>
      <c r="AA808" s="20" t="s">
        <v>49</v>
      </c>
      <c r="AB808" s="20" t="s">
        <v>49</v>
      </c>
      <c r="AC808" s="19" t="s">
        <v>49</v>
      </c>
      <c r="AD808" s="19" t="str">
        <f ca="1">IFERROR(DATEDIF(DadosViagem5[[#This Row],[Utimo Bip Reserva]],TODAY(),"D"),"")</f>
        <v/>
      </c>
      <c r="AE808" s="36" t="s">
        <v>1419</v>
      </c>
      <c r="AF808" s="25" t="s">
        <v>49</v>
      </c>
      <c r="AG808" s="36"/>
      <c r="AH808" s="25">
        <v>17</v>
      </c>
      <c r="AI808" s="36" t="str">
        <f>IF(DadosViagem5[[#This Row],[Dias em manutenção ]]&lt;5,"Dentro do Prazo","Fora do Prazo")</f>
        <v>Fora do Prazo</v>
      </c>
      <c r="AJ808" s="36" t="e">
        <v>#REF!</v>
      </c>
    </row>
    <row r="809" spans="1:36">
      <c r="A809" s="19" t="s">
        <v>1420</v>
      </c>
      <c r="B809" s="20"/>
      <c r="C809" s="19" t="s">
        <v>88</v>
      </c>
      <c r="D809" s="19" t="s">
        <v>52</v>
      </c>
      <c r="E809" s="19" t="s">
        <v>114</v>
      </c>
      <c r="F809" s="19" t="s">
        <v>115</v>
      </c>
      <c r="G809" s="19"/>
      <c r="H809" s="20">
        <v>2021</v>
      </c>
      <c r="I809" s="19" t="s">
        <v>137</v>
      </c>
      <c r="J809" s="19" t="s">
        <v>1368</v>
      </c>
      <c r="K809" s="21" t="s">
        <v>1369</v>
      </c>
      <c r="L809" s="22" t="s">
        <v>60</v>
      </c>
      <c r="M809" s="23" t="s">
        <v>140</v>
      </c>
      <c r="N809" s="36" t="s">
        <v>1370</v>
      </c>
      <c r="O809" s="36" t="s">
        <v>1371</v>
      </c>
      <c r="P809" s="26">
        <f ca="1">IFERROR(VLOOKUP(DadosViagem5[[#This Row],[Placa]],[1]BIP!A:E,5,FALSE),"")</f>
        <v>45982</v>
      </c>
      <c r="Q809" s="27">
        <f ca="1">DATEDIF(DadosViagem5[[#This Row],[BIP]],TODAY(),"D")</f>
        <v>8</v>
      </c>
      <c r="R809" s="28" t="str">
        <f>IFERROR(VLOOKUP(DadosViagem5[[#This Row],[Placa]],[1]DDS!B:C,2,FALSE),"Verificar cadastro")</f>
        <v> </v>
      </c>
      <c r="S809" s="29" t="s">
        <v>48</v>
      </c>
      <c r="T809" s="23"/>
      <c r="U809" s="30"/>
      <c r="V809" s="31"/>
      <c r="W809" s="32" t="s">
        <v>608</v>
      </c>
      <c r="X809" s="33"/>
      <c r="Y809" s="34"/>
      <c r="Z809" s="32"/>
      <c r="AA809" s="20" t="s">
        <v>49</v>
      </c>
      <c r="AB809" s="20" t="s">
        <v>49</v>
      </c>
      <c r="AC809" s="20" t="s">
        <v>49</v>
      </c>
      <c r="AD809" s="20" t="s">
        <v>49</v>
      </c>
      <c r="AE809" s="36" t="s">
        <v>49</v>
      </c>
      <c r="AF809" s="25" t="s">
        <v>49</v>
      </c>
      <c r="AG809" s="36"/>
      <c r="AH809" s="25">
        <v>10</v>
      </c>
      <c r="AI809" s="36" t="str">
        <f>IF(DadosViagem5[[#This Row],[Dias em manutenção ]]&lt;5,"Dentro do Prazo","Fora do Prazo")</f>
        <v>Fora do Prazo</v>
      </c>
      <c r="AJ809" s="36" t="e">
        <v>#REF!</v>
      </c>
    </row>
    <row r="810" spans="1:36">
      <c r="A810" s="19" t="s">
        <v>1421</v>
      </c>
      <c r="B810" s="20"/>
      <c r="C810" s="19" t="s">
        <v>88</v>
      </c>
      <c r="D810" s="19" t="s">
        <v>52</v>
      </c>
      <c r="E810" s="19" t="s">
        <v>114</v>
      </c>
      <c r="F810" s="19" t="s">
        <v>115</v>
      </c>
      <c r="G810" s="19"/>
      <c r="H810" s="20">
        <v>2021</v>
      </c>
      <c r="I810" s="19" t="s">
        <v>137</v>
      </c>
      <c r="J810" s="19" t="s">
        <v>1368</v>
      </c>
      <c r="K810" s="21" t="s">
        <v>1369</v>
      </c>
      <c r="L810" s="39" t="s">
        <v>60</v>
      </c>
      <c r="M810" s="23" t="s">
        <v>140</v>
      </c>
      <c r="N810" s="36" t="s">
        <v>1370</v>
      </c>
      <c r="O810" s="36" t="s">
        <v>1371</v>
      </c>
      <c r="P810" s="26">
        <f ca="1">IFERROR(VLOOKUP(DadosViagem5[[#This Row],[Placa]],[1]BIP!A:E,5,FALSE),"")</f>
        <v>45989</v>
      </c>
      <c r="Q810" s="27">
        <f ca="1">DATEDIF(DadosViagem5[[#This Row],[BIP]],TODAY(),"D")</f>
        <v>1</v>
      </c>
      <c r="R810" s="28" t="str">
        <f>IFERROR(VLOOKUP(DadosViagem5[[#This Row],[Placa]],[1]DDS!B:C,2,FALSE),"Verificar cadastro")</f>
        <v>Operando</v>
      </c>
      <c r="S810" s="29" t="s">
        <v>48</v>
      </c>
      <c r="T810" s="23"/>
      <c r="U810" s="30"/>
      <c r="V810" s="31"/>
      <c r="W810" s="32" t="s">
        <v>1422</v>
      </c>
      <c r="X810" s="33"/>
      <c r="Y810" s="34"/>
      <c r="Z810" s="42"/>
      <c r="AA810" s="20" t="s">
        <v>49</v>
      </c>
      <c r="AB810" s="20" t="s">
        <v>49</v>
      </c>
      <c r="AC810" s="19" t="s">
        <v>49</v>
      </c>
      <c r="AD810" s="19" t="str">
        <f ca="1">IFERROR(DATEDIF(DadosViagem5[[#This Row],[Utimo Bip Reserva]],TODAY(),"D"),"")</f>
        <v/>
      </c>
      <c r="AE810" s="36" t="s">
        <v>49</v>
      </c>
      <c r="AF810" s="25">
        <v>45699</v>
      </c>
      <c r="AG810" s="36" t="s">
        <v>481</v>
      </c>
      <c r="AH810" s="25">
        <v>45807</v>
      </c>
      <c r="AI810" s="36" t="str">
        <f>IF(DadosViagem5[[#This Row],[Dias em manutenção ]]&lt;5,"Dentro do Prazo","Fora do Prazo")</f>
        <v>Fora do Prazo</v>
      </c>
      <c r="AJ810" s="36" t="e">
        <v>#REF!</v>
      </c>
    </row>
    <row r="811" spans="1:36">
      <c r="A811" s="19" t="s">
        <v>1423</v>
      </c>
      <c r="B811" s="20"/>
      <c r="C811" s="19" t="s">
        <v>1013</v>
      </c>
      <c r="D811" s="19" t="s">
        <v>1014</v>
      </c>
      <c r="E811" s="19" t="s">
        <v>114</v>
      </c>
      <c r="F811" s="19" t="s">
        <v>115</v>
      </c>
      <c r="G811" s="19"/>
      <c r="H811" s="20">
        <v>2023</v>
      </c>
      <c r="I811" s="19" t="s">
        <v>137</v>
      </c>
      <c r="J811" s="19" t="s">
        <v>1368</v>
      </c>
      <c r="K811" s="21" t="s">
        <v>1369</v>
      </c>
      <c r="L811" s="39" t="s">
        <v>60</v>
      </c>
      <c r="M811" s="23" t="s">
        <v>140</v>
      </c>
      <c r="N811" s="36" t="s">
        <v>1370</v>
      </c>
      <c r="O811" s="36" t="s">
        <v>1371</v>
      </c>
      <c r="P811" s="26">
        <f ca="1">IFERROR(VLOOKUP(DadosViagem5[[#This Row],[Placa]],[1]BIP!A:E,5,FALSE),"")</f>
        <v>45987</v>
      </c>
      <c r="Q811" s="27">
        <f ca="1">DATEDIF(DadosViagem5[[#This Row],[BIP]],TODAY(),"D")</f>
        <v>3</v>
      </c>
      <c r="R811" s="28" t="s">
        <v>1137</v>
      </c>
      <c r="S811" s="29" t="s">
        <v>48</v>
      </c>
      <c r="T811" s="23" t="s">
        <v>1424</v>
      </c>
      <c r="U811" s="30"/>
      <c r="V811" s="31"/>
      <c r="W811" s="32" t="s">
        <v>1425</v>
      </c>
      <c r="X811" s="33"/>
      <c r="Y811" s="34"/>
      <c r="Z811" s="32"/>
      <c r="AA811" s="20" t="s">
        <v>49</v>
      </c>
      <c r="AB811" s="20" t="s">
        <v>49</v>
      </c>
      <c r="AC811" s="19" t="s">
        <v>49</v>
      </c>
      <c r="AD811" s="19" t="str">
        <f ca="1">IFERROR(DATEDIF(DadosViagem5[[#This Row],[Utimo Bip Reserva]],TODAY(),"D"),"")</f>
        <v/>
      </c>
      <c r="AE811" s="36" t="s">
        <v>49</v>
      </c>
      <c r="AF811" s="25" t="s">
        <v>49</v>
      </c>
      <c r="AG811" s="36"/>
      <c r="AH811" s="25">
        <v>45807</v>
      </c>
      <c r="AI811" s="36" t="str">
        <f>IF(DadosViagem5[[#This Row],[Dias em manutenção ]]&lt;5,"Dentro do Prazo","Fora do Prazo")</f>
        <v>Fora do Prazo</v>
      </c>
      <c r="AJ811" s="36" t="e">
        <v>#REF!</v>
      </c>
    </row>
    <row r="812" spans="1:36">
      <c r="A812" s="19" t="s">
        <v>1426</v>
      </c>
      <c r="B812" s="20"/>
      <c r="C812" s="19" t="s">
        <v>1013</v>
      </c>
      <c r="D812" s="19" t="s">
        <v>1014</v>
      </c>
      <c r="E812" s="19" t="s">
        <v>114</v>
      </c>
      <c r="F812" s="19" t="s">
        <v>115</v>
      </c>
      <c r="G812" s="19"/>
      <c r="H812" s="20">
        <v>2023</v>
      </c>
      <c r="I812" s="19" t="s">
        <v>137</v>
      </c>
      <c r="J812" s="19" t="s">
        <v>1368</v>
      </c>
      <c r="K812" s="21" t="s">
        <v>1369</v>
      </c>
      <c r="L812" s="39" t="s">
        <v>60</v>
      </c>
      <c r="M812" s="23" t="s">
        <v>140</v>
      </c>
      <c r="N812" s="36" t="s">
        <v>1370</v>
      </c>
      <c r="O812" s="36" t="s">
        <v>1371</v>
      </c>
      <c r="P812" s="26">
        <f ca="1">IFERROR(VLOOKUP(DadosViagem5[[#This Row],[Placa]],[1]BIP!A:E,5,FALSE),"")</f>
        <v>45989</v>
      </c>
      <c r="Q812" s="27">
        <f ca="1">DATEDIF(DadosViagem5[[#This Row],[BIP]],TODAY(),"D")</f>
        <v>1</v>
      </c>
      <c r="R812" s="28"/>
      <c r="S812" s="36" t="s">
        <v>48</v>
      </c>
      <c r="T812" s="23"/>
      <c r="U812" s="30"/>
      <c r="V812" s="31"/>
      <c r="W812" s="32"/>
      <c r="X812" s="33"/>
      <c r="Y812" s="34"/>
      <c r="Z812" s="32"/>
      <c r="AA812" s="20" t="s">
        <v>49</v>
      </c>
      <c r="AB812" s="20" t="s">
        <v>49</v>
      </c>
      <c r="AC812" s="19" t="s">
        <v>49</v>
      </c>
      <c r="AD812" s="19" t="str">
        <f ca="1">IFERROR(DATEDIF(DadosViagem5[[#This Row],[Utimo Bip Reserva]],TODAY(),"D"),"")</f>
        <v/>
      </c>
      <c r="AE812" s="36" t="s">
        <v>49</v>
      </c>
      <c r="AF812" s="25" t="s">
        <v>49</v>
      </c>
      <c r="AG812" s="36"/>
      <c r="AH812" s="25">
        <v>5</v>
      </c>
      <c r="AI812" s="36" t="str">
        <f>IF(DadosViagem5[[#This Row],[Dias em manutenção ]]&lt;5,"Dentro do Prazo","Fora do Prazo")</f>
        <v>Fora do Prazo</v>
      </c>
      <c r="AJ812" s="36" t="e">
        <v>#REF!</v>
      </c>
    </row>
    <row r="813" spans="1:36">
      <c r="A813" s="19" t="s">
        <v>1427</v>
      </c>
      <c r="B813" s="20"/>
      <c r="C813" s="19" t="s">
        <v>562</v>
      </c>
      <c r="D813" s="19" t="s">
        <v>563</v>
      </c>
      <c r="E813" s="19" t="s">
        <v>114</v>
      </c>
      <c r="F813" s="19" t="s">
        <v>115</v>
      </c>
      <c r="G813" s="19"/>
      <c r="H813" s="20">
        <v>2021</v>
      </c>
      <c r="I813" s="19" t="s">
        <v>137</v>
      </c>
      <c r="J813" s="19" t="s">
        <v>1368</v>
      </c>
      <c r="K813" s="21" t="s">
        <v>1369</v>
      </c>
      <c r="L813" s="22" t="s">
        <v>60</v>
      </c>
      <c r="M813" s="23" t="s">
        <v>140</v>
      </c>
      <c r="N813" s="36" t="s">
        <v>1370</v>
      </c>
      <c r="O813" s="36" t="s">
        <v>1371</v>
      </c>
      <c r="P813" s="26">
        <f ca="1">IFERROR(VLOOKUP(DadosViagem5[[#This Row],[Placa]],[1]BIP!A:E,5,FALSE),"")</f>
        <v>45989</v>
      </c>
      <c r="Q813" s="27">
        <f ca="1">DATEDIF(DadosViagem5[[#This Row],[BIP]],TODAY(),"D")</f>
        <v>1</v>
      </c>
      <c r="R813" s="28" t="str">
        <f>IFERROR(VLOOKUP(DadosViagem5[[#This Row],[Placa]],[1]DDS!B:C,2,FALSE),"Verificar cadastro")</f>
        <v>Operando</v>
      </c>
      <c r="S813" s="29" t="s">
        <v>48</v>
      </c>
      <c r="T813" s="23"/>
      <c r="U813" s="30"/>
      <c r="V813" s="31"/>
      <c r="W813" s="32" t="s">
        <v>122</v>
      </c>
      <c r="X813" s="33"/>
      <c r="Y813" s="34"/>
      <c r="Z813" s="32"/>
      <c r="AA813" s="20" t="s">
        <v>49</v>
      </c>
      <c r="AB813" s="20" t="s">
        <v>49</v>
      </c>
      <c r="AC813" s="19" t="s">
        <v>49</v>
      </c>
      <c r="AD813" s="19" t="str">
        <f ca="1">IFERROR(DATEDIF(DadosViagem5[[#This Row],[Utimo Bip Reserva]],TODAY(),"D"),"")</f>
        <v/>
      </c>
      <c r="AE813" s="36"/>
      <c r="AF813" s="25" t="s">
        <v>49</v>
      </c>
      <c r="AG813" s="36"/>
      <c r="AH813" s="25">
        <v>45807</v>
      </c>
      <c r="AI813" s="36" t="str">
        <f>IF(DadosViagem5[[#This Row],[Dias em manutenção ]]&lt;5,"Dentro do Prazo","Fora do Prazo")</f>
        <v>Fora do Prazo</v>
      </c>
      <c r="AJ813" s="36" t="e">
        <v>#REF!</v>
      </c>
    </row>
    <row r="814" spans="1:36">
      <c r="A814" s="19" t="s">
        <v>1428</v>
      </c>
      <c r="B814" s="20"/>
      <c r="C814" s="19" t="s">
        <v>74</v>
      </c>
      <c r="D814" s="19" t="s">
        <v>52</v>
      </c>
      <c r="E814" s="19" t="s">
        <v>75</v>
      </c>
      <c r="F814" s="19" t="s">
        <v>76</v>
      </c>
      <c r="G814" s="19"/>
      <c r="H814" s="20">
        <v>2024</v>
      </c>
      <c r="I814" s="19" t="s">
        <v>137</v>
      </c>
      <c r="J814" s="19" t="s">
        <v>1368</v>
      </c>
      <c r="K814" s="21" t="s">
        <v>1369</v>
      </c>
      <c r="L814" s="22" t="s">
        <v>60</v>
      </c>
      <c r="M814" s="23" t="s">
        <v>77</v>
      </c>
      <c r="N814" s="36" t="s">
        <v>1370</v>
      </c>
      <c r="O814" s="36" t="s">
        <v>1371</v>
      </c>
      <c r="P814" s="26">
        <f ca="1">IFERROR(VLOOKUP(DadosViagem5[[#This Row],[Placa]],[1]BIP!A:E,5,FALSE),"")</f>
        <v>45989</v>
      </c>
      <c r="Q814" s="27">
        <f ca="1">DATEDIF(DadosViagem5[[#This Row],[BIP]],TODAY(),"D")</f>
        <v>1</v>
      </c>
      <c r="R814" s="28" t="str">
        <f>IFERROR(VLOOKUP(DadosViagem5[[#This Row],[Placa]],[1]DDS!B:C,2,FALSE),"Verificar cadastro")</f>
        <v>Operando</v>
      </c>
      <c r="S814" s="29" t="s">
        <v>48</v>
      </c>
      <c r="T814" s="23"/>
      <c r="U814" s="30"/>
      <c r="V814" s="31"/>
      <c r="W814" s="32"/>
      <c r="X814" s="33"/>
      <c r="Y814" s="34"/>
      <c r="Z814" s="32"/>
      <c r="AA814" s="20" t="s">
        <v>49</v>
      </c>
      <c r="AB814" s="20" t="s">
        <v>49</v>
      </c>
      <c r="AC814" s="19" t="s">
        <v>49</v>
      </c>
      <c r="AD814" s="19" t="str">
        <f ca="1">IFERROR(DATEDIF(DadosViagem5[[#This Row],[Utimo Bip Reserva]],TODAY(),"D"),"")</f>
        <v/>
      </c>
      <c r="AE814" s="36" t="s">
        <v>49</v>
      </c>
      <c r="AF814" s="25" t="s">
        <v>49</v>
      </c>
      <c r="AG814" s="36"/>
      <c r="AH814" s="25">
        <v>45807</v>
      </c>
      <c r="AI814" s="36" t="str">
        <f>IF(DadosViagem5[[#This Row],[Dias em manutenção ]]&lt;5,"Dentro do Prazo","Fora do Prazo")</f>
        <v>Fora do Prazo</v>
      </c>
      <c r="AJ814" s="36" t="e">
        <v>#REF!</v>
      </c>
    </row>
    <row r="815" spans="1:36">
      <c r="A815" s="19" t="s">
        <v>1429</v>
      </c>
      <c r="B815" s="20">
        <v>478</v>
      </c>
      <c r="C815" s="19" t="s">
        <v>74</v>
      </c>
      <c r="D815" s="19" t="s">
        <v>52</v>
      </c>
      <c r="E815" s="19" t="s">
        <v>75</v>
      </c>
      <c r="F815" s="19" t="s">
        <v>115</v>
      </c>
      <c r="G815" s="19"/>
      <c r="H815" s="20">
        <v>2023</v>
      </c>
      <c r="I815" s="19" t="s">
        <v>137</v>
      </c>
      <c r="J815" s="19" t="s">
        <v>1368</v>
      </c>
      <c r="K815" s="21" t="s">
        <v>1369</v>
      </c>
      <c r="L815" s="22" t="s">
        <v>60</v>
      </c>
      <c r="M815" s="23" t="s">
        <v>77</v>
      </c>
      <c r="N815" s="36" t="s">
        <v>1370</v>
      </c>
      <c r="O815" s="36" t="s">
        <v>1371</v>
      </c>
      <c r="P815" s="26">
        <f ca="1">IFERROR(VLOOKUP(DadosViagem5[[#This Row],[Placa]],[1]BIP!A:E,5,FALSE),"")</f>
        <v>45989</v>
      </c>
      <c r="Q815" s="27">
        <f ca="1">DATEDIF(DadosViagem5[[#This Row],[BIP]],TODAY(),"D")</f>
        <v>1</v>
      </c>
      <c r="R815" s="28" t="str">
        <f>IFERROR(VLOOKUP(DadosViagem5[[#This Row],[Placa]],[1]DDS!B:C,2,FALSE),"Verificar cadastro")</f>
        <v>Operando</v>
      </c>
      <c r="S815" s="29" t="s">
        <v>48</v>
      </c>
      <c r="T815" s="23"/>
      <c r="U815" s="30"/>
      <c r="V815" s="31"/>
      <c r="W815" s="32"/>
      <c r="X815" s="33"/>
      <c r="Y815" s="34"/>
      <c r="Z815" s="32"/>
      <c r="AA815" s="20" t="s">
        <v>49</v>
      </c>
      <c r="AB815" s="20" t="s">
        <v>49</v>
      </c>
      <c r="AC815" s="19" t="s">
        <v>49</v>
      </c>
      <c r="AD815" s="19" t="str">
        <f ca="1">IFERROR(DATEDIF(DadosViagem5[[#This Row],[Utimo Bip Reserva]],TODAY(),"D"),"")</f>
        <v/>
      </c>
      <c r="AE815" s="25" t="s">
        <v>49</v>
      </c>
      <c r="AF815" s="25" t="s">
        <v>49</v>
      </c>
      <c r="AG815" s="36"/>
      <c r="AH815" s="25">
        <v>45807</v>
      </c>
      <c r="AI815" s="36" t="str">
        <f>IF(DadosViagem5[[#This Row],[Dias em manutenção ]]&lt;5,"Dentro do Prazo","Fora do Prazo")</f>
        <v>Fora do Prazo</v>
      </c>
      <c r="AJ815" s="36" t="e">
        <v>#REF!</v>
      </c>
    </row>
    <row r="816" spans="1:36">
      <c r="A816" s="19" t="s">
        <v>1430</v>
      </c>
      <c r="B816" s="20"/>
      <c r="C816" s="19" t="s">
        <v>51</v>
      </c>
      <c r="D816" s="19" t="s">
        <v>52</v>
      </c>
      <c r="E816" s="19" t="s">
        <v>53</v>
      </c>
      <c r="F816" s="19" t="s">
        <v>115</v>
      </c>
      <c r="G816" s="19"/>
      <c r="H816" s="20">
        <v>2023</v>
      </c>
      <c r="I816" s="19" t="s">
        <v>137</v>
      </c>
      <c r="J816" s="19" t="s">
        <v>1368</v>
      </c>
      <c r="K816" s="21" t="s">
        <v>1369</v>
      </c>
      <c r="L816" s="22" t="s">
        <v>60</v>
      </c>
      <c r="M816" s="23" t="s">
        <v>140</v>
      </c>
      <c r="N816" s="36" t="s">
        <v>1370</v>
      </c>
      <c r="O816" s="36" t="s">
        <v>1371</v>
      </c>
      <c r="P816" s="26">
        <f ca="1">IFERROR(VLOOKUP(DadosViagem5[[#This Row],[Placa]],[1]BIP!A:E,5,FALSE),"")</f>
        <v>0</v>
      </c>
      <c r="Q816" s="27">
        <f ca="1">DATEDIF(DadosViagem5[[#This Row],[BIP]],TODAY(),"D")</f>
        <v>45990</v>
      </c>
      <c r="R816" s="28" t="s">
        <v>1137</v>
      </c>
      <c r="S816" s="29" t="s">
        <v>48</v>
      </c>
      <c r="T816" s="23"/>
      <c r="U816" s="30"/>
      <c r="V816" s="31">
        <v>45908</v>
      </c>
      <c r="W816" s="32" t="s">
        <v>1431</v>
      </c>
      <c r="X816" s="33"/>
      <c r="Y816" s="34"/>
      <c r="Z816" s="32"/>
      <c r="AA816" s="20" t="s">
        <v>49</v>
      </c>
      <c r="AB816" s="20" t="s">
        <v>49</v>
      </c>
      <c r="AC816" s="19" t="s">
        <v>49</v>
      </c>
      <c r="AD816" s="19" t="str">
        <f ca="1">IFERROR(DATEDIF(DadosViagem5[[#This Row],[Utimo Bip Reserva]],TODAY(),"D"),"")</f>
        <v/>
      </c>
      <c r="AE816" s="36" t="s">
        <v>49</v>
      </c>
      <c r="AF816" s="25">
        <v>45699</v>
      </c>
      <c r="AG816" s="36" t="s">
        <v>481</v>
      </c>
      <c r="AH816" s="25">
        <v>45807</v>
      </c>
      <c r="AI816" s="36" t="str">
        <f>IF(DadosViagem5[[#This Row],[Dias em manutenção ]]&lt;5,"Dentro do Prazo","Fora do Prazo")</f>
        <v>Fora do Prazo</v>
      </c>
      <c r="AJ816" s="36" t="e">
        <v>#REF!</v>
      </c>
    </row>
    <row r="817" spans="1:36">
      <c r="A817" s="19" t="s">
        <v>1432</v>
      </c>
      <c r="B817" s="20"/>
      <c r="C817" s="19" t="s">
        <v>74</v>
      </c>
      <c r="D817" s="19" t="s">
        <v>52</v>
      </c>
      <c r="E817" s="19" t="s">
        <v>75</v>
      </c>
      <c r="F817" s="19" t="s">
        <v>115</v>
      </c>
      <c r="G817" s="19"/>
      <c r="H817" s="20">
        <v>2024</v>
      </c>
      <c r="I817" s="19" t="s">
        <v>137</v>
      </c>
      <c r="J817" s="19" t="s">
        <v>1368</v>
      </c>
      <c r="K817" s="21" t="s">
        <v>1369</v>
      </c>
      <c r="L817" s="22" t="s">
        <v>60</v>
      </c>
      <c r="M817" s="23" t="s">
        <v>77</v>
      </c>
      <c r="N817" s="36" t="s">
        <v>1370</v>
      </c>
      <c r="O817" s="36" t="s">
        <v>1371</v>
      </c>
      <c r="P817" s="26">
        <f ca="1">IFERROR(VLOOKUP(DadosViagem5[[#This Row],[Placa]],[1]BIP!A:E,5,FALSE),"")</f>
        <v>45987</v>
      </c>
      <c r="Q817" s="27">
        <f ca="1">DATEDIF(DadosViagem5[[#This Row],[BIP]],TODAY(),"D")</f>
        <v>3</v>
      </c>
      <c r="R817" s="28" t="str">
        <f>IFERROR(VLOOKUP(DadosViagem5[[#This Row],[Placa]],[1]DDS!B:C,2,FALSE),"Verificar cadastro")</f>
        <v> </v>
      </c>
      <c r="S817" s="29" t="s">
        <v>48</v>
      </c>
      <c r="T817" s="23"/>
      <c r="U817" s="30"/>
      <c r="V817" s="31"/>
      <c r="W817" s="32"/>
      <c r="X817" s="33"/>
      <c r="Y817" s="34"/>
      <c r="Z817" s="32"/>
      <c r="AA817" s="20" t="s">
        <v>49</v>
      </c>
      <c r="AB817" s="20" t="s">
        <v>49</v>
      </c>
      <c r="AC817" s="19" t="s">
        <v>49</v>
      </c>
      <c r="AD817" s="19" t="str">
        <f ca="1">IFERROR(DATEDIF(DadosViagem5[[#This Row],[Utimo Bip Reserva]],TODAY(),"D"),"")</f>
        <v/>
      </c>
      <c r="AE817" s="25" t="s">
        <v>49</v>
      </c>
      <c r="AF817" s="25" t="s">
        <v>49</v>
      </c>
      <c r="AG817" s="36"/>
      <c r="AH817" s="25">
        <v>45807</v>
      </c>
      <c r="AI817" s="36" t="str">
        <f>IF(DadosViagem5[[#This Row],[Dias em manutenção ]]&lt;5,"Dentro do Prazo","Fora do Prazo")</f>
        <v>Fora do Prazo</v>
      </c>
      <c r="AJ817" s="36" t="e">
        <v>#REF!</v>
      </c>
    </row>
    <row r="818" spans="1:36">
      <c r="A818" s="19" t="s">
        <v>1433</v>
      </c>
      <c r="B818" s="20"/>
      <c r="C818" s="19" t="s">
        <v>51</v>
      </c>
      <c r="D818" s="19" t="s">
        <v>52</v>
      </c>
      <c r="E818" s="19" t="s">
        <v>53</v>
      </c>
      <c r="F818" s="19" t="s">
        <v>115</v>
      </c>
      <c r="G818" s="19"/>
      <c r="H818" s="20">
        <v>2023</v>
      </c>
      <c r="I818" s="19" t="s">
        <v>137</v>
      </c>
      <c r="J818" s="19" t="s">
        <v>1368</v>
      </c>
      <c r="K818" s="21" t="s">
        <v>1369</v>
      </c>
      <c r="L818" s="22" t="s">
        <v>60</v>
      </c>
      <c r="M818" s="23" t="s">
        <v>140</v>
      </c>
      <c r="N818" s="36" t="s">
        <v>1370</v>
      </c>
      <c r="O818" s="36" t="s">
        <v>1371</v>
      </c>
      <c r="P818" s="26">
        <f ca="1">IFERROR(VLOOKUP(DadosViagem5[[#This Row],[Placa]],[1]BIP!A:E,5,FALSE),"")</f>
        <v>45989</v>
      </c>
      <c r="Q818" s="27">
        <f ca="1">DATEDIF(DadosViagem5[[#This Row],[BIP]],TODAY(),"D")</f>
        <v>1</v>
      </c>
      <c r="R818" s="28" t="str">
        <f>IFERROR(VLOOKUP(DadosViagem5[[#This Row],[Placa]],[1]DDS!B:C,2,FALSE),"Verificar cadastro")</f>
        <v>Operando</v>
      </c>
      <c r="S818" s="29" t="s">
        <v>48</v>
      </c>
      <c r="T818" s="23"/>
      <c r="U818" s="30"/>
      <c r="V818" s="31"/>
      <c r="W818" s="32"/>
      <c r="X818" s="33"/>
      <c r="Y818" s="34"/>
      <c r="Z818" s="32"/>
      <c r="AA818" s="20" t="s">
        <v>49</v>
      </c>
      <c r="AB818" s="20" t="s">
        <v>49</v>
      </c>
      <c r="AC818" s="19" t="s">
        <v>49</v>
      </c>
      <c r="AD818" s="19" t="str">
        <f ca="1">IFERROR(DATEDIF(DadosViagem5[[#This Row],[Utimo Bip Reserva]],TODAY(),"D"),"")</f>
        <v/>
      </c>
      <c r="AE818" s="36" t="s">
        <v>49</v>
      </c>
      <c r="AF818" s="25" t="s">
        <v>1434</v>
      </c>
      <c r="AG818" s="36" t="s">
        <v>481</v>
      </c>
      <c r="AH818" s="25">
        <v>45807</v>
      </c>
      <c r="AI818" s="36" t="str">
        <f>IF(DadosViagem5[[#This Row],[Dias em manutenção ]]&lt;5,"Dentro do Prazo","Fora do Prazo")</f>
        <v>Fora do Prazo</v>
      </c>
      <c r="AJ818" s="36" t="e">
        <v>#REF!</v>
      </c>
    </row>
    <row r="819" spans="1:36">
      <c r="A819" s="19" t="s">
        <v>1435</v>
      </c>
      <c r="B819" s="20"/>
      <c r="C819" s="19" t="s">
        <v>1436</v>
      </c>
      <c r="D819" s="19" t="s">
        <v>563</v>
      </c>
      <c r="E819" s="19" t="s">
        <v>114</v>
      </c>
      <c r="F819" s="19" t="s">
        <v>115</v>
      </c>
      <c r="G819" s="19"/>
      <c r="H819" s="20">
        <v>2022</v>
      </c>
      <c r="I819" s="19" t="s">
        <v>137</v>
      </c>
      <c r="J819" s="19" t="s">
        <v>1368</v>
      </c>
      <c r="K819" s="21" t="s">
        <v>1369</v>
      </c>
      <c r="L819" s="22" t="s">
        <v>60</v>
      </c>
      <c r="M819" s="23" t="s">
        <v>140</v>
      </c>
      <c r="N819" s="36" t="s">
        <v>1370</v>
      </c>
      <c r="O819" s="36" t="s">
        <v>1371</v>
      </c>
      <c r="P819" s="26">
        <f ca="1">IFERROR(VLOOKUP(DadosViagem5[[#This Row],[Placa]],[1]BIP!A:E,5,FALSE),"")</f>
        <v>45987</v>
      </c>
      <c r="Q819" s="27">
        <f ca="1">DATEDIF(DadosViagem5[[#This Row],[BIP]],TODAY(),"D")</f>
        <v>3</v>
      </c>
      <c r="R819" s="28" t="str">
        <f>IFERROR(VLOOKUP(DadosViagem5[[#This Row],[Placa]],[1]DDS!B:C,2,FALSE),"Verificar cadastro")</f>
        <v> </v>
      </c>
      <c r="S819" s="29" t="s">
        <v>48</v>
      </c>
      <c r="T819" s="23"/>
      <c r="U819" s="30"/>
      <c r="V819" s="31"/>
      <c r="W819" s="32"/>
      <c r="X819" s="33"/>
      <c r="Y819" s="34"/>
      <c r="Z819" s="32"/>
      <c r="AA819" s="20" t="s">
        <v>49</v>
      </c>
      <c r="AB819" s="20" t="s">
        <v>49</v>
      </c>
      <c r="AC819" s="19" t="s">
        <v>49</v>
      </c>
      <c r="AD819" s="19" t="str">
        <f ca="1">IFERROR(DATEDIF(DadosViagem5[[#This Row],[Utimo Bip Reserva]],TODAY(),"D"),"")</f>
        <v/>
      </c>
      <c r="AE819" s="36" t="s">
        <v>49</v>
      </c>
      <c r="AF819" s="25">
        <v>45699</v>
      </c>
      <c r="AG819" s="36" t="s">
        <v>481</v>
      </c>
      <c r="AH819" s="25">
        <v>45807</v>
      </c>
      <c r="AI819" s="36" t="str">
        <f>IF(DadosViagem5[[#This Row],[Dias em manutenção ]]&lt;5,"Dentro do Prazo","Fora do Prazo")</f>
        <v>Fora do Prazo</v>
      </c>
      <c r="AJ819" s="36" t="e">
        <v>#REF!</v>
      </c>
    </row>
    <row r="820" spans="1:36">
      <c r="A820" s="19" t="s">
        <v>1437</v>
      </c>
      <c r="B820" s="20"/>
      <c r="C820" s="19" t="s">
        <v>1013</v>
      </c>
      <c r="D820" s="19" t="s">
        <v>1014</v>
      </c>
      <c r="E820" s="19" t="s">
        <v>114</v>
      </c>
      <c r="F820" s="19" t="s">
        <v>115</v>
      </c>
      <c r="G820" s="19"/>
      <c r="H820" s="20">
        <v>2023</v>
      </c>
      <c r="I820" s="19" t="s">
        <v>137</v>
      </c>
      <c r="J820" s="19" t="s">
        <v>1368</v>
      </c>
      <c r="K820" s="21" t="s">
        <v>1369</v>
      </c>
      <c r="L820" s="22" t="s">
        <v>60</v>
      </c>
      <c r="M820" s="23" t="s">
        <v>140</v>
      </c>
      <c r="N820" s="36" t="s">
        <v>1370</v>
      </c>
      <c r="O820" s="36" t="s">
        <v>1371</v>
      </c>
      <c r="P820" s="26">
        <f ca="1">IFERROR(VLOOKUP(DadosViagem5[[#This Row],[Placa]],[1]BIP!A:E,5,FALSE),"")</f>
        <v>45931</v>
      </c>
      <c r="Q820" s="27">
        <f ca="1">DATEDIF(DadosViagem5[[#This Row],[BIP]],TODAY(),"D")</f>
        <v>59</v>
      </c>
      <c r="R820" s="28" t="str">
        <f>IFERROR(VLOOKUP(DadosViagem5[[#This Row],[Placa]],[1]DDS!B:C,2,FALSE),"Verificar cadastro")</f>
        <v>Manutenção</v>
      </c>
      <c r="S820" s="29" t="s">
        <v>48</v>
      </c>
      <c r="T820" s="23"/>
      <c r="U820" s="30"/>
      <c r="V820" s="31"/>
      <c r="W820" s="32"/>
      <c r="X820" s="33"/>
      <c r="Y820" s="34"/>
      <c r="Z820" s="32"/>
      <c r="AA820" s="20" t="s">
        <v>49</v>
      </c>
      <c r="AB820" s="20" t="s">
        <v>49</v>
      </c>
      <c r="AC820" s="19" t="s">
        <v>49</v>
      </c>
      <c r="AD820" s="19" t="str">
        <f ca="1">IFERROR(DATEDIF(DadosViagem5[[#This Row],[Utimo Bip Reserva]],TODAY(),"D"),"")</f>
        <v/>
      </c>
      <c r="AE820" s="36" t="s">
        <v>49</v>
      </c>
      <c r="AF820" s="25" t="s">
        <v>49</v>
      </c>
      <c r="AG820" s="36"/>
      <c r="AH820" s="25">
        <v>45807</v>
      </c>
      <c r="AI820" s="36" t="str">
        <f>IF(DadosViagem5[[#This Row],[Dias em manutenção ]]&lt;5,"Dentro do Prazo","Fora do Prazo")</f>
        <v>Fora do Prazo</v>
      </c>
      <c r="AJ820" s="36" t="e">
        <v>#REF!</v>
      </c>
    </row>
    <row r="821" spans="1:36">
      <c r="A821" s="19" t="s">
        <v>1438</v>
      </c>
      <c r="B821" s="20"/>
      <c r="C821" s="19" t="s">
        <v>1013</v>
      </c>
      <c r="D821" s="19" t="s">
        <v>1014</v>
      </c>
      <c r="E821" s="19" t="s">
        <v>114</v>
      </c>
      <c r="F821" s="19" t="s">
        <v>115</v>
      </c>
      <c r="G821" s="19"/>
      <c r="H821" s="20">
        <v>2022</v>
      </c>
      <c r="I821" s="19" t="s">
        <v>137</v>
      </c>
      <c r="J821" s="19" t="s">
        <v>1368</v>
      </c>
      <c r="K821" s="21" t="s">
        <v>1369</v>
      </c>
      <c r="L821" s="22" t="s">
        <v>60</v>
      </c>
      <c r="M821" s="23" t="s">
        <v>140</v>
      </c>
      <c r="N821" s="36" t="s">
        <v>1370</v>
      </c>
      <c r="O821" s="36" t="s">
        <v>1371</v>
      </c>
      <c r="P821" s="26">
        <f ca="1">IFERROR(VLOOKUP(DadosViagem5[[#This Row],[Placa]],[1]BIP!A:E,5,FALSE),"")</f>
        <v>45986</v>
      </c>
      <c r="Q821" s="27">
        <f ca="1">DATEDIF(DadosViagem5[[#This Row],[BIP]],TODAY(),"D")</f>
        <v>4</v>
      </c>
      <c r="R821" s="28" t="str">
        <f>IFERROR(VLOOKUP(DadosViagem5[[#This Row],[Placa]],[1]DDS!B:C,2,FALSE),"Verificar cadastro")</f>
        <v> </v>
      </c>
      <c r="S821" s="29" t="s">
        <v>48</v>
      </c>
      <c r="T821" s="23"/>
      <c r="U821" s="30"/>
      <c r="V821" s="31"/>
      <c r="W821" s="32"/>
      <c r="X821" s="33"/>
      <c r="Y821" s="34"/>
      <c r="Z821" s="32"/>
      <c r="AA821" s="20" t="s">
        <v>49</v>
      </c>
      <c r="AB821" s="20" t="s">
        <v>49</v>
      </c>
      <c r="AC821" s="19" t="s">
        <v>49</v>
      </c>
      <c r="AD821" s="19" t="str">
        <f ca="1">IFERROR(DATEDIF(DadosViagem5[[#This Row],[Utimo Bip Reserva]],TODAY(),"D"),"")</f>
        <v/>
      </c>
      <c r="AE821" s="36" t="s">
        <v>49</v>
      </c>
      <c r="AF821" s="25" t="s">
        <v>49</v>
      </c>
      <c r="AG821" s="36"/>
      <c r="AH821" s="25">
        <v>45807</v>
      </c>
      <c r="AI821" s="36" t="str">
        <f>IF(DadosViagem5[[#This Row],[Dias em manutenção ]]&lt;5,"Dentro do Prazo","Fora do Prazo")</f>
        <v>Fora do Prazo</v>
      </c>
      <c r="AJ821" s="36" t="e">
        <v>#REF!</v>
      </c>
    </row>
    <row r="822" spans="1:36">
      <c r="A822" s="19" t="s">
        <v>1439</v>
      </c>
      <c r="B822" s="20"/>
      <c r="C822" s="19" t="s">
        <v>562</v>
      </c>
      <c r="D822" s="19" t="s">
        <v>563</v>
      </c>
      <c r="E822" s="19" t="s">
        <v>114</v>
      </c>
      <c r="F822" s="19" t="s">
        <v>115</v>
      </c>
      <c r="G822" s="19"/>
      <c r="H822" s="20">
        <v>2022</v>
      </c>
      <c r="I822" s="19" t="s">
        <v>137</v>
      </c>
      <c r="J822" s="19" t="s">
        <v>1368</v>
      </c>
      <c r="K822" s="21" t="s">
        <v>1369</v>
      </c>
      <c r="L822" s="22" t="s">
        <v>60</v>
      </c>
      <c r="M822" s="23" t="s">
        <v>140</v>
      </c>
      <c r="N822" s="36" t="s">
        <v>1370</v>
      </c>
      <c r="O822" s="36" t="s">
        <v>1371</v>
      </c>
      <c r="P822" s="26">
        <f ca="1">IFERROR(VLOOKUP(DadosViagem5[[#This Row],[Placa]],[1]BIP!A:E,5,FALSE),"")</f>
        <v>45989</v>
      </c>
      <c r="Q822" s="27">
        <f ca="1">DATEDIF(DadosViagem5[[#This Row],[BIP]],TODAY(),"D")</f>
        <v>1</v>
      </c>
      <c r="R822" s="28" t="str">
        <f>IFERROR(VLOOKUP(DadosViagem5[[#This Row],[Placa]],[1]DDS!B:C,2,FALSE),"Verificar cadastro")</f>
        <v>Operando</v>
      </c>
      <c r="S822" s="29" t="s">
        <v>48</v>
      </c>
      <c r="T822" s="23"/>
      <c r="U822" s="30"/>
      <c r="V822" s="31"/>
      <c r="W822" s="32"/>
      <c r="X822" s="33"/>
      <c r="Y822" s="34"/>
      <c r="Z822" s="32"/>
      <c r="AA822" s="20" t="s">
        <v>49</v>
      </c>
      <c r="AB822" s="20" t="s">
        <v>49</v>
      </c>
      <c r="AC822" s="19" t="s">
        <v>49</v>
      </c>
      <c r="AD822" s="19" t="str">
        <f ca="1">IFERROR(DATEDIF(DadosViagem5[[#This Row],[Utimo Bip Reserva]],TODAY(),"D"),"")</f>
        <v/>
      </c>
      <c r="AE822" s="36" t="s">
        <v>49</v>
      </c>
      <c r="AF822" s="25" t="s">
        <v>49</v>
      </c>
      <c r="AG822" s="36"/>
      <c r="AH822" s="25">
        <v>45807</v>
      </c>
      <c r="AI822" s="36" t="str">
        <f>IF(DadosViagem5[[#This Row],[Dias em manutenção ]]&lt;5,"Dentro do Prazo","Fora do Prazo")</f>
        <v>Fora do Prazo</v>
      </c>
      <c r="AJ822" s="36" t="e">
        <v>#REF!</v>
      </c>
    </row>
    <row r="823" spans="1:36">
      <c r="A823" s="19" t="s">
        <v>1440</v>
      </c>
      <c r="B823" s="20">
        <v>458</v>
      </c>
      <c r="C823" s="19" t="s">
        <v>74</v>
      </c>
      <c r="D823" s="19" t="s">
        <v>52</v>
      </c>
      <c r="E823" s="19" t="s">
        <v>75</v>
      </c>
      <c r="F823" s="19" t="s">
        <v>115</v>
      </c>
      <c r="G823" s="19"/>
      <c r="H823" s="20">
        <v>2024</v>
      </c>
      <c r="I823" s="19" t="s">
        <v>137</v>
      </c>
      <c r="J823" s="19" t="s">
        <v>1368</v>
      </c>
      <c r="K823" s="21" t="s">
        <v>1369</v>
      </c>
      <c r="L823" s="22" t="s">
        <v>60</v>
      </c>
      <c r="M823" s="23" t="s">
        <v>77</v>
      </c>
      <c r="N823" s="36" t="s">
        <v>1370</v>
      </c>
      <c r="O823" s="36" t="s">
        <v>1371</v>
      </c>
      <c r="P823" s="26">
        <f ca="1">IFERROR(VLOOKUP(DadosViagem5[[#This Row],[Placa]],[1]BIP!A:E,5,FALSE),"")</f>
        <v>45989</v>
      </c>
      <c r="Q823" s="27">
        <f ca="1">DATEDIF(DadosViagem5[[#This Row],[BIP]],TODAY(),"D")</f>
        <v>1</v>
      </c>
      <c r="R823" s="28" t="str">
        <f>IFERROR(VLOOKUP(DadosViagem5[[#This Row],[Placa]],[1]DDS!B:C,2,FALSE),"Verificar cadastro")</f>
        <v>Operando</v>
      </c>
      <c r="S823" s="29" t="s">
        <v>48</v>
      </c>
      <c r="T823" s="23"/>
      <c r="U823" s="30"/>
      <c r="V823" s="31"/>
      <c r="W823" s="32"/>
      <c r="X823" s="33"/>
      <c r="Y823" s="34"/>
      <c r="Z823" s="32"/>
      <c r="AA823" s="20" t="s">
        <v>49</v>
      </c>
      <c r="AB823" s="20" t="s">
        <v>49</v>
      </c>
      <c r="AC823" s="19" t="s">
        <v>49</v>
      </c>
      <c r="AD823" s="19" t="str">
        <f ca="1">IFERROR(DATEDIF(DadosViagem5[[#This Row],[Utimo Bip Reserva]],TODAY(),"D"),"")</f>
        <v/>
      </c>
      <c r="AE823" s="36" t="s">
        <v>49</v>
      </c>
      <c r="AF823" s="25" t="s">
        <v>49</v>
      </c>
      <c r="AG823" s="36"/>
      <c r="AH823" s="25">
        <v>45807</v>
      </c>
      <c r="AI823" s="36" t="str">
        <f>IF(DadosViagem5[[#This Row],[Dias em manutenção ]]&lt;5,"Dentro do Prazo","Fora do Prazo")</f>
        <v>Fora do Prazo</v>
      </c>
      <c r="AJ823" s="36" t="e">
        <v>#REF!</v>
      </c>
    </row>
    <row r="824" spans="1:36">
      <c r="A824" s="19" t="s">
        <v>1441</v>
      </c>
      <c r="B824" s="20">
        <v>469</v>
      </c>
      <c r="C824" s="19" t="s">
        <v>74</v>
      </c>
      <c r="D824" s="19" t="s">
        <v>52</v>
      </c>
      <c r="E824" s="19" t="s">
        <v>75</v>
      </c>
      <c r="F824" s="19" t="s">
        <v>76</v>
      </c>
      <c r="G824" s="19"/>
      <c r="H824" s="20">
        <v>2023</v>
      </c>
      <c r="I824" s="19" t="s">
        <v>137</v>
      </c>
      <c r="J824" s="19" t="s">
        <v>1368</v>
      </c>
      <c r="K824" s="21" t="s">
        <v>1369</v>
      </c>
      <c r="L824" s="22" t="s">
        <v>60</v>
      </c>
      <c r="M824" s="23" t="s">
        <v>77</v>
      </c>
      <c r="N824" s="36" t="s">
        <v>1370</v>
      </c>
      <c r="O824" s="36" t="s">
        <v>1371</v>
      </c>
      <c r="P824" s="26">
        <f ca="1">IFERROR(VLOOKUP(DadosViagem5[[#This Row],[Placa]],[1]BIP!A:E,5,FALSE),"")</f>
        <v>45989</v>
      </c>
      <c r="Q824" s="27">
        <f ca="1">DATEDIF(DadosViagem5[[#This Row],[BIP]],TODAY(),"D")</f>
        <v>1</v>
      </c>
      <c r="R824" s="28" t="str">
        <f>IFERROR(VLOOKUP(DadosViagem5[[#This Row],[Placa]],[1]DDS!B:C,2,FALSE),"Verificar cadastro")</f>
        <v>Operando</v>
      </c>
      <c r="S824" s="29" t="s">
        <v>48</v>
      </c>
      <c r="T824" s="23"/>
      <c r="U824" s="30"/>
      <c r="V824" s="31"/>
      <c r="W824" s="32"/>
      <c r="X824" s="33"/>
      <c r="Y824" s="34"/>
      <c r="Z824" s="32"/>
      <c r="AA824" s="20" t="s">
        <v>49</v>
      </c>
      <c r="AB824" s="20" t="s">
        <v>49</v>
      </c>
      <c r="AC824" s="19" t="s">
        <v>49</v>
      </c>
      <c r="AD824" s="19" t="str">
        <f ca="1">IFERROR(DATEDIF(DadosViagem5[[#This Row],[Utimo Bip Reserva]],TODAY(),"D"),"")</f>
        <v/>
      </c>
      <c r="AE824" s="35"/>
      <c r="AF824" s="35"/>
      <c r="AG824" s="36"/>
      <c r="AH824" s="25">
        <v>45807</v>
      </c>
      <c r="AI824" s="36" t="str">
        <f>IF(DadosViagem5[[#This Row],[Dias em manutenção ]]&lt;5,"Dentro do Prazo","Fora do Prazo")</f>
        <v>Fora do Prazo</v>
      </c>
      <c r="AJ824" s="36" t="e">
        <v>#REF!</v>
      </c>
    </row>
    <row r="825" spans="1:36">
      <c r="A825" s="19" t="s">
        <v>1442</v>
      </c>
      <c r="B825" s="20">
        <v>460</v>
      </c>
      <c r="C825" s="19" t="s">
        <v>74</v>
      </c>
      <c r="D825" s="19" t="s">
        <v>52</v>
      </c>
      <c r="E825" s="19" t="s">
        <v>75</v>
      </c>
      <c r="F825" s="19" t="s">
        <v>76</v>
      </c>
      <c r="G825" s="19"/>
      <c r="H825" s="20">
        <v>2024</v>
      </c>
      <c r="I825" s="19" t="s">
        <v>137</v>
      </c>
      <c r="J825" s="19" t="s">
        <v>1368</v>
      </c>
      <c r="K825" s="21" t="s">
        <v>1369</v>
      </c>
      <c r="L825" s="22" t="s">
        <v>60</v>
      </c>
      <c r="M825" s="23" t="s">
        <v>77</v>
      </c>
      <c r="N825" s="36" t="s">
        <v>1370</v>
      </c>
      <c r="O825" s="36" t="s">
        <v>1371</v>
      </c>
      <c r="P825" s="26">
        <f ca="1">IFERROR(VLOOKUP(DadosViagem5[[#This Row],[Placa]],[1]BIP!A:E,5,FALSE),"")</f>
        <v>45989</v>
      </c>
      <c r="Q825" s="27">
        <f ca="1">DATEDIF(DadosViagem5[[#This Row],[BIP]],TODAY(),"D")</f>
        <v>1</v>
      </c>
      <c r="R825" s="28" t="str">
        <f>IFERROR(VLOOKUP(DadosViagem5[[#This Row],[Placa]],[1]DDS!B:C,2,FALSE),"Verificar cadastro")</f>
        <v>Operando</v>
      </c>
      <c r="S825" s="29" t="s">
        <v>48</v>
      </c>
      <c r="T825" s="23"/>
      <c r="U825" s="30"/>
      <c r="V825" s="31"/>
      <c r="W825" s="32"/>
      <c r="X825" s="33"/>
      <c r="Y825" s="34"/>
      <c r="Z825" s="32"/>
      <c r="AA825" s="20" t="s">
        <v>49</v>
      </c>
      <c r="AB825" s="20" t="s">
        <v>49</v>
      </c>
      <c r="AC825" s="19" t="s">
        <v>49</v>
      </c>
      <c r="AD825" s="19" t="str">
        <f ca="1">IFERROR(DATEDIF(DadosViagem5[[#This Row],[Utimo Bip Reserva]],TODAY(),"D"),"")</f>
        <v/>
      </c>
      <c r="AE825" s="25"/>
      <c r="AF825" s="25"/>
      <c r="AG825" s="36"/>
      <c r="AH825" s="25">
        <v>45807</v>
      </c>
      <c r="AI825" s="36" t="str">
        <f>IF(DadosViagem5[[#This Row],[Dias em manutenção ]]&lt;5,"Dentro do Prazo","Fora do Prazo")</f>
        <v>Fora do Prazo</v>
      </c>
      <c r="AJ825" s="36" t="e">
        <v>#REF!</v>
      </c>
    </row>
    <row r="826" spans="1:36">
      <c r="A826" s="19" t="s">
        <v>1443</v>
      </c>
      <c r="B826" s="20"/>
      <c r="C826" s="19" t="s">
        <v>562</v>
      </c>
      <c r="D826" s="19" t="s">
        <v>563</v>
      </c>
      <c r="E826" s="19" t="s">
        <v>114</v>
      </c>
      <c r="F826" s="19" t="s">
        <v>115</v>
      </c>
      <c r="G826" s="19"/>
      <c r="H826" s="20">
        <v>2023</v>
      </c>
      <c r="I826" s="19" t="s">
        <v>1444</v>
      </c>
      <c r="J826" s="19" t="s">
        <v>1445</v>
      </c>
      <c r="K826" s="21" t="s">
        <v>1446</v>
      </c>
      <c r="L826" s="22" t="s">
        <v>60</v>
      </c>
      <c r="M826" s="23" t="s">
        <v>268</v>
      </c>
      <c r="N826" s="36" t="s">
        <v>1447</v>
      </c>
      <c r="O826" s="36" t="s">
        <v>1448</v>
      </c>
      <c r="P826" s="26">
        <f ca="1">IFERROR(VLOOKUP(DadosViagem5[[#This Row],[Placa]],[1]BIP!A:E,5,FALSE),"")</f>
        <v>45989</v>
      </c>
      <c r="Q826" s="27">
        <f ca="1">DATEDIF(DadosViagem5[[#This Row],[BIP]],TODAY(),"D")</f>
        <v>1</v>
      </c>
      <c r="R826" s="28" t="s">
        <v>1137</v>
      </c>
      <c r="S826" s="29" t="s">
        <v>48</v>
      </c>
      <c r="T826" s="23">
        <v>6468939</v>
      </c>
      <c r="U826" s="30">
        <v>45728</v>
      </c>
      <c r="V826" s="31">
        <v>45726</v>
      </c>
      <c r="W826" s="32" t="s">
        <v>1449</v>
      </c>
      <c r="X826" s="33" t="s">
        <v>65</v>
      </c>
      <c r="Y826" s="34">
        <v>45936</v>
      </c>
      <c r="Z826" s="42" t="s">
        <v>1450</v>
      </c>
      <c r="AA826" s="20" t="s">
        <v>49</v>
      </c>
      <c r="AB826" s="20" t="s">
        <v>49</v>
      </c>
      <c r="AC826" s="19" t="s">
        <v>49</v>
      </c>
      <c r="AD826" s="19" t="str">
        <f ca="1">IFERROR(DATEDIF(DadosViagem5[[#This Row],[Utimo Bip Reserva]],TODAY(),"D"),"")</f>
        <v/>
      </c>
      <c r="AE826" s="36"/>
      <c r="AF826" s="25" t="s">
        <v>49</v>
      </c>
      <c r="AH826" s="25">
        <v>153</v>
      </c>
      <c r="AI826" s="36" t="str">
        <f>IF(DadosViagem5[[#This Row],[Dias em manutenção ]]&lt;5,"Dentro do Prazo","Fora do Prazo")</f>
        <v>Fora do Prazo</v>
      </c>
      <c r="AJ826" s="36" t="e">
        <v>#REF!</v>
      </c>
    </row>
    <row r="827" spans="1:36">
      <c r="A827" s="19" t="s">
        <v>1451</v>
      </c>
      <c r="B827" s="20"/>
      <c r="C827" s="19" t="s">
        <v>562</v>
      </c>
      <c r="D827" s="19" t="s">
        <v>563</v>
      </c>
      <c r="E827" s="19" t="s">
        <v>114</v>
      </c>
      <c r="F827" s="19" t="s">
        <v>115</v>
      </c>
      <c r="G827" s="19"/>
      <c r="H827" s="20">
        <v>2023</v>
      </c>
      <c r="I827" s="19" t="s">
        <v>1444</v>
      </c>
      <c r="J827" s="19" t="s">
        <v>1445</v>
      </c>
      <c r="K827" s="21" t="s">
        <v>1446</v>
      </c>
      <c r="L827" s="22" t="s">
        <v>60</v>
      </c>
      <c r="M827" s="23" t="s">
        <v>268</v>
      </c>
      <c r="N827" s="36" t="s">
        <v>1447</v>
      </c>
      <c r="O827" s="36" t="s">
        <v>1448</v>
      </c>
      <c r="P827" s="26">
        <f ca="1">IFERROR(VLOOKUP(DadosViagem5[[#This Row],[Placa]],[1]BIP!A:E,5,FALSE),"")</f>
        <v>45948</v>
      </c>
      <c r="Q827" s="27">
        <f ca="1">DATEDIF(DadosViagem5[[#This Row],[BIP]],TODAY(),"D")</f>
        <v>42</v>
      </c>
      <c r="R827" s="28" t="str">
        <f>IFERROR(VLOOKUP(DadosViagem5[[#This Row],[Placa]],[1]DDS!B:C,2,FALSE),"Verificar cadastro")</f>
        <v>Sinistrado</v>
      </c>
      <c r="S827" s="29" t="s">
        <v>48</v>
      </c>
      <c r="T827" s="23"/>
      <c r="U827" s="30"/>
      <c r="V827" s="31"/>
      <c r="W827" s="32" t="s">
        <v>1050</v>
      </c>
      <c r="X827" s="33"/>
      <c r="Y827" s="34"/>
      <c r="Z827" s="42"/>
      <c r="AA827" s="20" t="s">
        <v>49</v>
      </c>
      <c r="AB827" s="20" t="s">
        <v>49</v>
      </c>
      <c r="AC827" s="19" t="s">
        <v>49</v>
      </c>
      <c r="AD827" s="19" t="str">
        <f ca="1">IFERROR(DATEDIF(DadosViagem5[[#This Row],[Utimo Bip Reserva]],TODAY(),"D"),"")</f>
        <v/>
      </c>
      <c r="AE827" s="36" t="s">
        <v>49</v>
      </c>
      <c r="AF827" s="25">
        <v>45699</v>
      </c>
      <c r="AG827" s="36" t="s">
        <v>481</v>
      </c>
      <c r="AH827" s="25">
        <v>45807</v>
      </c>
      <c r="AI827" s="36" t="str">
        <f>IF(DadosViagem5[[#This Row],[Dias em manutenção ]]&lt;5,"Dentro do Prazo","Fora do Prazo")</f>
        <v>Fora do Prazo</v>
      </c>
      <c r="AJ827" s="36" t="e">
        <v>#REF!</v>
      </c>
    </row>
    <row r="828" spans="1:36">
      <c r="A828" s="19" t="s">
        <v>1452</v>
      </c>
      <c r="B828" s="20"/>
      <c r="C828" s="19" t="s">
        <v>562</v>
      </c>
      <c r="D828" s="19" t="s">
        <v>563</v>
      </c>
      <c r="E828" s="19" t="s">
        <v>114</v>
      </c>
      <c r="F828" s="19" t="s">
        <v>115</v>
      </c>
      <c r="G828" s="19"/>
      <c r="H828" s="20">
        <v>2023</v>
      </c>
      <c r="I828" s="19" t="s">
        <v>1444</v>
      </c>
      <c r="J828" s="19" t="s">
        <v>1445</v>
      </c>
      <c r="K828" s="21" t="s">
        <v>1446</v>
      </c>
      <c r="L828" s="22" t="s">
        <v>60</v>
      </c>
      <c r="M828" s="23" t="s">
        <v>268</v>
      </c>
      <c r="N828" s="36" t="s">
        <v>1447</v>
      </c>
      <c r="O828" s="36" t="s">
        <v>1448</v>
      </c>
      <c r="P828" s="26">
        <f ca="1">IFERROR(VLOOKUP(DadosViagem5[[#This Row],[Placa]],[1]BIP!A:E,5,FALSE),"")</f>
        <v>45899</v>
      </c>
      <c r="Q828" s="27">
        <f ca="1">DATEDIF(DadosViagem5[[#This Row],[BIP]],TODAY(),"D")</f>
        <v>91</v>
      </c>
      <c r="R828" s="28" t="str">
        <f>IFERROR(VLOOKUP(DadosViagem5[[#This Row],[Placa]],[1]DDS!B:C,2,FALSE),"Verificar cadastro")</f>
        <v> </v>
      </c>
      <c r="S828" s="36" t="s">
        <v>947</v>
      </c>
      <c r="T828" s="23">
        <v>6771633</v>
      </c>
      <c r="U828" s="30">
        <v>45901</v>
      </c>
      <c r="V828" s="31">
        <v>45901</v>
      </c>
      <c r="W828" s="32" t="s">
        <v>1453</v>
      </c>
      <c r="X828" s="33" t="s">
        <v>65</v>
      </c>
      <c r="Y828" s="34">
        <v>45929</v>
      </c>
      <c r="Z828" s="32" t="s">
        <v>1450</v>
      </c>
      <c r="AA828" s="20" t="s">
        <v>1454</v>
      </c>
      <c r="AB828" s="20" t="s">
        <v>49</v>
      </c>
      <c r="AC828" s="19" t="s">
        <v>49</v>
      </c>
      <c r="AD828" s="19" t="str">
        <f ca="1">IFERROR(DATEDIF(DadosViagem5[[#This Row],[Utimo Bip Reserva]],TODAY(),"D"),"")</f>
        <v/>
      </c>
      <c r="AE828" s="36" t="s">
        <v>49</v>
      </c>
      <c r="AF828" s="25">
        <v>45699</v>
      </c>
      <c r="AG828" s="36" t="s">
        <v>481</v>
      </c>
      <c r="AH828" s="25">
        <v>45807</v>
      </c>
      <c r="AI828" s="36" t="str">
        <f>IF(DadosViagem5[[#This Row],[Dias em manutenção ]]&lt;5,"Dentro do Prazo","Fora do Prazo")</f>
        <v>Fora do Prazo</v>
      </c>
      <c r="AJ828" s="36" t="e">
        <v>#REF!</v>
      </c>
    </row>
    <row r="829" spans="1:36">
      <c r="A829" s="19" t="s">
        <v>1455</v>
      </c>
      <c r="B829" s="20"/>
      <c r="C829" s="19" t="s">
        <v>88</v>
      </c>
      <c r="D829" s="19" t="s">
        <v>52</v>
      </c>
      <c r="E829" s="19" t="s">
        <v>114</v>
      </c>
      <c r="F829" s="19" t="s">
        <v>115</v>
      </c>
      <c r="G829" s="19"/>
      <c r="H829" s="20">
        <v>2021</v>
      </c>
      <c r="I829" s="19" t="s">
        <v>41</v>
      </c>
      <c r="J829" s="19" t="s">
        <v>1456</v>
      </c>
      <c r="K829" s="21" t="s">
        <v>1457</v>
      </c>
      <c r="L829" s="22" t="s">
        <v>60</v>
      </c>
      <c r="M829" s="23" t="s">
        <v>290</v>
      </c>
      <c r="N829" s="25" t="s">
        <v>1458</v>
      </c>
      <c r="O829" s="25" t="s">
        <v>1459</v>
      </c>
      <c r="P829" s="26">
        <f ca="1">IFERROR(VLOOKUP(DadosViagem5[[#This Row],[Placa]],[1]BIP!A:E,5,FALSE),"")</f>
        <v>45676</v>
      </c>
      <c r="Q829" s="27">
        <f ca="1">DATEDIF(DadosViagem5[[#This Row],[BIP]],TODAY(),"D")</f>
        <v>314</v>
      </c>
      <c r="R829" s="28" t="str">
        <f>IFERROR(VLOOKUP(DadosViagem5[[#This Row],[Placa]],[1]DDS!B:C,2,FALSE),"Verificar cadastro")</f>
        <v>Manutenção</v>
      </c>
      <c r="S829" s="29" t="s">
        <v>173</v>
      </c>
      <c r="T829" s="31"/>
      <c r="U829" s="30"/>
      <c r="V829" s="31"/>
      <c r="W829" s="116" t="s">
        <v>1107</v>
      </c>
      <c r="X829" s="33"/>
      <c r="Y829" s="34"/>
      <c r="Z829" s="42"/>
      <c r="AA829" s="20" t="s">
        <v>49</v>
      </c>
      <c r="AB829" s="20" t="s">
        <v>49</v>
      </c>
      <c r="AC829" s="19" t="s">
        <v>49</v>
      </c>
      <c r="AD829" s="19" t="str">
        <f ca="1">IFERROR(DATEDIF(DadosViagem5[[#This Row],[Utimo Bip Reserva]],TODAY(),"D"),"")</f>
        <v/>
      </c>
      <c r="AE829" s="36" t="s">
        <v>1460</v>
      </c>
      <c r="AF829" s="25" t="s">
        <v>49</v>
      </c>
      <c r="AG829" s="36" t="s">
        <v>290</v>
      </c>
      <c r="AH829" s="25">
        <v>129</v>
      </c>
      <c r="AI829" s="36" t="str">
        <f>IF(DadosViagem5[[#This Row],[Dias em manutenção ]]&lt;5,"Dentro do Prazo","Fora do Prazo")</f>
        <v>Fora do Prazo</v>
      </c>
      <c r="AJ829" s="36" t="e">
        <v>#REF!</v>
      </c>
    </row>
    <row r="830" spans="1:36">
      <c r="A830" s="19" t="s">
        <v>1461</v>
      </c>
      <c r="B830" s="20"/>
      <c r="C830" s="19" t="s">
        <v>88</v>
      </c>
      <c r="D830" s="19" t="s">
        <v>52</v>
      </c>
      <c r="E830" s="19" t="s">
        <v>114</v>
      </c>
      <c r="F830" s="19" t="s">
        <v>115</v>
      </c>
      <c r="G830" s="19"/>
      <c r="H830" s="20">
        <v>2023</v>
      </c>
      <c r="I830" s="19" t="s">
        <v>41</v>
      </c>
      <c r="J830" s="19" t="s">
        <v>1456</v>
      </c>
      <c r="K830" s="21" t="s">
        <v>1457</v>
      </c>
      <c r="L830" s="22" t="s">
        <v>60</v>
      </c>
      <c r="M830" s="23" t="s">
        <v>290</v>
      </c>
      <c r="N830" s="25" t="s">
        <v>1458</v>
      </c>
      <c r="O830" s="25" t="s">
        <v>1459</v>
      </c>
      <c r="P830" s="26">
        <f ca="1">IFERROR(VLOOKUP(DadosViagem5[[#This Row],[Placa]],[1]BIP!A:E,5,FALSE),"")</f>
        <v>45962</v>
      </c>
      <c r="Q830" s="27">
        <f ca="1">DATEDIF(DadosViagem5[[#This Row],[BIP]],TODAY(),"D")</f>
        <v>28</v>
      </c>
      <c r="R830" s="28" t="str">
        <f>IFERROR(VLOOKUP(DadosViagem5[[#This Row],[Placa]],[1]DDS!B:C,2,FALSE),"Verificar cadastro")</f>
        <v>Manutenção</v>
      </c>
      <c r="S830" s="29" t="s">
        <v>1462</v>
      </c>
      <c r="T830" s="23"/>
      <c r="U830" s="30"/>
      <c r="V830" s="31"/>
      <c r="W830" s="116" t="s">
        <v>1107</v>
      </c>
      <c r="X830" s="33"/>
      <c r="Y830" s="34"/>
      <c r="Z830" s="42"/>
      <c r="AA830" s="20" t="s">
        <v>49</v>
      </c>
      <c r="AB830" s="20" t="s">
        <v>49</v>
      </c>
      <c r="AC830" s="19" t="s">
        <v>1463</v>
      </c>
      <c r="AD830" s="19" t="str">
        <f ca="1">IFERROR(DATEDIF(DadosViagem5[[#This Row],[Utimo Bip Reserva]],TODAY(),"D"),"")</f>
        <v/>
      </c>
      <c r="AE830" s="36" t="s">
        <v>49</v>
      </c>
      <c r="AF830" s="25" t="s">
        <v>49</v>
      </c>
      <c r="AG830" s="36" t="s">
        <v>290</v>
      </c>
      <c r="AH830" s="25">
        <v>45807</v>
      </c>
      <c r="AI830" s="36" t="str">
        <f>IF(DadosViagem5[[#This Row],[Dias em manutenção ]]&lt;5,"Dentro do Prazo","Fora do Prazo")</f>
        <v>Fora do Prazo</v>
      </c>
      <c r="AJ830" s="36" t="e">
        <v>#REF!</v>
      </c>
    </row>
    <row r="831" spans="1:36">
      <c r="A831" s="19" t="s">
        <v>1464</v>
      </c>
      <c r="B831" s="20"/>
      <c r="C831" s="19" t="s">
        <v>131</v>
      </c>
      <c r="D831" s="19" t="s">
        <v>132</v>
      </c>
      <c r="E831" s="19" t="s">
        <v>114</v>
      </c>
      <c r="F831" s="19" t="s">
        <v>115</v>
      </c>
      <c r="G831" s="19"/>
      <c r="H831" s="20">
        <v>2022</v>
      </c>
      <c r="I831" s="19" t="s">
        <v>41</v>
      </c>
      <c r="J831" s="19" t="s">
        <v>1456</v>
      </c>
      <c r="K831" s="21" t="s">
        <v>1457</v>
      </c>
      <c r="L831" s="22" t="s">
        <v>60</v>
      </c>
      <c r="M831" s="23" t="s">
        <v>290</v>
      </c>
      <c r="N831" s="25" t="s">
        <v>1458</v>
      </c>
      <c r="O831" s="25" t="s">
        <v>1459</v>
      </c>
      <c r="P831" s="26">
        <f ca="1">IFERROR(VLOOKUP(DadosViagem5[[#This Row],[Placa]],[1]BIP!A:E,5,FALSE),"")</f>
        <v>45989</v>
      </c>
      <c r="Q831" s="27">
        <f ca="1">DATEDIF(DadosViagem5[[#This Row],[BIP]],TODAY(),"D")</f>
        <v>1</v>
      </c>
      <c r="R831" s="28" t="str">
        <f>IFERROR(VLOOKUP(DadosViagem5[[#This Row],[Placa]],[1]DDS!B:C,2,FALSE),"Verificar cadastro")</f>
        <v>Operando</v>
      </c>
      <c r="S831" s="29" t="s">
        <v>48</v>
      </c>
      <c r="T831" s="23"/>
      <c r="U831" s="30"/>
      <c r="V831" s="31"/>
      <c r="W831" s="32"/>
      <c r="X831" s="33"/>
      <c r="Y831" s="34" t="s">
        <v>49</v>
      </c>
      <c r="Z831" s="32"/>
      <c r="AA831" s="20" t="s">
        <v>49</v>
      </c>
      <c r="AB831" s="20" t="s">
        <v>49</v>
      </c>
      <c r="AC831" s="19" t="s">
        <v>49</v>
      </c>
      <c r="AD831" s="19" t="str">
        <f ca="1">IFERROR(DATEDIF(DadosViagem5[[#This Row],[Utimo Bip Reserva]],TODAY(),"D"),"")</f>
        <v/>
      </c>
      <c r="AE831" s="36" t="s">
        <v>49</v>
      </c>
      <c r="AF831" s="25" t="s">
        <v>49</v>
      </c>
      <c r="AG831" s="36" t="s">
        <v>290</v>
      </c>
      <c r="AH831" s="25">
        <v>45807</v>
      </c>
      <c r="AI831" s="36" t="str">
        <f>IF(DadosViagem5[[#This Row],[Dias em manutenção ]]&lt;5,"Dentro do Prazo","Fora do Prazo")</f>
        <v>Fora do Prazo</v>
      </c>
      <c r="AJ831" s="36" t="e">
        <v>#REF!</v>
      </c>
    </row>
    <row r="832" spans="1:36">
      <c r="A832" s="19" t="s">
        <v>1465</v>
      </c>
      <c r="B832" s="20"/>
      <c r="C832" s="19" t="s">
        <v>131</v>
      </c>
      <c r="D832" s="19" t="s">
        <v>132</v>
      </c>
      <c r="E832" s="19" t="s">
        <v>114</v>
      </c>
      <c r="F832" s="19" t="s">
        <v>115</v>
      </c>
      <c r="G832" s="19"/>
      <c r="H832" s="20">
        <v>2022</v>
      </c>
      <c r="I832" s="19" t="s">
        <v>41</v>
      </c>
      <c r="J832" s="19" t="s">
        <v>1456</v>
      </c>
      <c r="K832" s="21" t="s">
        <v>1457</v>
      </c>
      <c r="L832" s="22" t="s">
        <v>60</v>
      </c>
      <c r="M832" s="23" t="s">
        <v>290</v>
      </c>
      <c r="N832" s="25" t="s">
        <v>1458</v>
      </c>
      <c r="O832" s="25" t="s">
        <v>1459</v>
      </c>
      <c r="P832" s="26">
        <f ca="1">IFERROR(VLOOKUP(DadosViagem5[[#This Row],[Placa]],[1]BIP!A:E,5,FALSE),"")</f>
        <v>45936</v>
      </c>
      <c r="Q832" s="27">
        <f ca="1">DATEDIF(DadosViagem5[[#This Row],[BIP]],TODAY(),"D")</f>
        <v>54</v>
      </c>
      <c r="R832" s="28" t="str">
        <f>IFERROR(VLOOKUP(DadosViagem5[[#This Row],[Placa]],[1]DDS!B:C,2,FALSE),"Verificar cadastro")</f>
        <v> </v>
      </c>
      <c r="S832" s="36" t="s">
        <v>35</v>
      </c>
      <c r="T832" s="23"/>
      <c r="U832" s="30"/>
      <c r="V832" s="31"/>
      <c r="W832" s="32" t="s">
        <v>1466</v>
      </c>
      <c r="X832" s="33" t="s">
        <v>55</v>
      </c>
      <c r="Y832" s="34" t="s">
        <v>49</v>
      </c>
      <c r="Z832" s="32"/>
      <c r="AA832" s="20" t="s">
        <v>49</v>
      </c>
      <c r="AB832" s="20" t="s">
        <v>49</v>
      </c>
      <c r="AC832" s="19" t="s">
        <v>49</v>
      </c>
      <c r="AD832" s="19" t="str">
        <f ca="1">IFERROR(DATEDIF(DadosViagem5[[#This Row],[Utimo Bip Reserva]],TODAY(),"D"),"")</f>
        <v/>
      </c>
      <c r="AE832" s="36" t="s">
        <v>49</v>
      </c>
      <c r="AF832" s="25" t="s">
        <v>49</v>
      </c>
      <c r="AG832" s="36" t="s">
        <v>290</v>
      </c>
      <c r="AH832" s="25">
        <v>45807</v>
      </c>
      <c r="AI832" s="36" t="str">
        <f>IF(DadosViagem5[[#This Row],[Dias em manutenção ]]&lt;5,"Dentro do Prazo","Fora do Prazo")</f>
        <v>Fora do Prazo</v>
      </c>
      <c r="AJ832" s="36" t="e">
        <v>#REF!</v>
      </c>
    </row>
    <row r="833" spans="1:36">
      <c r="A833" s="19" t="s">
        <v>1467</v>
      </c>
      <c r="B833" s="20"/>
      <c r="C833" s="19" t="s">
        <v>131</v>
      </c>
      <c r="D833" s="19" t="s">
        <v>132</v>
      </c>
      <c r="E833" s="19" t="s">
        <v>114</v>
      </c>
      <c r="F833" s="19" t="s">
        <v>115</v>
      </c>
      <c r="G833" s="19"/>
      <c r="H833" s="20">
        <v>2022</v>
      </c>
      <c r="I833" s="19" t="s">
        <v>41</v>
      </c>
      <c r="J833" s="19" t="s">
        <v>1456</v>
      </c>
      <c r="K833" s="21" t="s">
        <v>1457</v>
      </c>
      <c r="L833" s="22" t="s">
        <v>60</v>
      </c>
      <c r="M833" s="23" t="s">
        <v>290</v>
      </c>
      <c r="N833" s="25" t="s">
        <v>1458</v>
      </c>
      <c r="O833" s="25" t="s">
        <v>1459</v>
      </c>
      <c r="P833" s="26">
        <f ca="1">IFERROR(VLOOKUP(DadosViagem5[[#This Row],[Placa]],[1]BIP!A:E,5,FALSE),"")</f>
        <v>45936</v>
      </c>
      <c r="Q833" s="27">
        <f ca="1">DATEDIF(DadosViagem5[[#This Row],[BIP]],TODAY(),"D")</f>
        <v>54</v>
      </c>
      <c r="R833" s="28" t="str">
        <f>IFERROR(VLOOKUP(DadosViagem5[[#This Row],[Placa]],[1]DDS!B:C,2,FALSE),"Verificar cadastro")</f>
        <v>Verificar cadastro</v>
      </c>
      <c r="S833" s="36" t="s">
        <v>574</v>
      </c>
      <c r="T833" s="23"/>
      <c r="U833" s="30"/>
      <c r="V833" s="31"/>
      <c r="W833" s="32" t="s">
        <v>1468</v>
      </c>
      <c r="X833" s="33"/>
      <c r="Y833" s="34"/>
      <c r="Z833" s="32"/>
      <c r="AA833" s="20" t="s">
        <v>49</v>
      </c>
      <c r="AB833" s="20" t="s">
        <v>49</v>
      </c>
      <c r="AC833" s="19" t="s">
        <v>49</v>
      </c>
      <c r="AD833" s="19" t="str">
        <f ca="1">IFERROR(DATEDIF(DadosViagem5[[#This Row],[Utimo Bip Reserva]],TODAY(),"D"),"")</f>
        <v/>
      </c>
      <c r="AE833" s="36" t="s">
        <v>49</v>
      </c>
      <c r="AF833" s="25" t="s">
        <v>49</v>
      </c>
      <c r="AG833" s="36" t="s">
        <v>290</v>
      </c>
      <c r="AH833" s="25">
        <v>45807</v>
      </c>
      <c r="AI833" s="36" t="str">
        <f>IF(DadosViagem5[[#This Row],[Dias em manutenção ]]&lt;5,"Dentro do Prazo","Fora do Prazo")</f>
        <v>Fora do Prazo</v>
      </c>
      <c r="AJ833" s="36" t="e">
        <v>#REF!</v>
      </c>
    </row>
    <row r="834" spans="1:36">
      <c r="A834" s="19" t="s">
        <v>1469</v>
      </c>
      <c r="B834" s="20"/>
      <c r="C834" s="19" t="s">
        <v>131</v>
      </c>
      <c r="D834" s="19" t="s">
        <v>132</v>
      </c>
      <c r="E834" s="19" t="s">
        <v>114</v>
      </c>
      <c r="F834" s="19" t="s">
        <v>115</v>
      </c>
      <c r="G834" s="19"/>
      <c r="H834" s="20">
        <v>2022</v>
      </c>
      <c r="I834" s="19" t="s">
        <v>41</v>
      </c>
      <c r="J834" s="19" t="s">
        <v>1456</v>
      </c>
      <c r="K834" s="21" t="s">
        <v>1457</v>
      </c>
      <c r="L834" s="22" t="s">
        <v>60</v>
      </c>
      <c r="M834" s="23" t="s">
        <v>290</v>
      </c>
      <c r="N834" s="25" t="s">
        <v>1458</v>
      </c>
      <c r="O834" s="25" t="s">
        <v>1459</v>
      </c>
      <c r="P834" s="26">
        <f ca="1">IFERROR(VLOOKUP(DadosViagem5[[#This Row],[Placa]],[1]BIP!A:E,5,FALSE),"")</f>
        <v>45936</v>
      </c>
      <c r="Q834" s="27">
        <f ca="1">DATEDIF(DadosViagem5[[#This Row],[BIP]],TODAY(),"D")</f>
        <v>54</v>
      </c>
      <c r="R834" s="28" t="str">
        <f>IFERROR(VLOOKUP(DadosViagem5[[#This Row],[Placa]],[1]DDS!B:C,2,FALSE),"Verificar cadastro")</f>
        <v>Verificar cadastro</v>
      </c>
      <c r="S834" s="36" t="s">
        <v>574</v>
      </c>
      <c r="T834" s="23"/>
      <c r="U834" s="30"/>
      <c r="V834" s="31"/>
      <c r="W834" s="32" t="s">
        <v>1470</v>
      </c>
      <c r="X834" s="57"/>
      <c r="Y834" s="34"/>
      <c r="Z834" s="58"/>
      <c r="AA834" s="20" t="s">
        <v>49</v>
      </c>
      <c r="AB834" s="20" t="s">
        <v>49</v>
      </c>
      <c r="AC834" s="19" t="s">
        <v>49</v>
      </c>
      <c r="AD834" s="19" t="str">
        <f ca="1">IFERROR(DATEDIF(DadosViagem5[[#This Row],[Utimo Bip Reserva]],TODAY(),"D"),"")</f>
        <v/>
      </c>
      <c r="AE834" s="36" t="s">
        <v>49</v>
      </c>
      <c r="AF834" s="25" t="s">
        <v>49</v>
      </c>
      <c r="AG834" s="36" t="s">
        <v>290</v>
      </c>
      <c r="AH834" s="25">
        <v>45807</v>
      </c>
      <c r="AI834" s="36" t="str">
        <f>IF(DadosViagem5[[#This Row],[Dias em manutenção ]]&lt;5,"Dentro do Prazo","Fora do Prazo")</f>
        <v>Fora do Prazo</v>
      </c>
      <c r="AJ834" s="36" t="e">
        <v>#REF!</v>
      </c>
    </row>
    <row r="835" spans="1:36">
      <c r="A835" s="19" t="s">
        <v>1471</v>
      </c>
      <c r="B835" s="20"/>
      <c r="C835" s="19" t="s">
        <v>671</v>
      </c>
      <c r="D835" s="19" t="s">
        <v>132</v>
      </c>
      <c r="E835" s="19" t="s">
        <v>114</v>
      </c>
      <c r="F835" s="19" t="s">
        <v>115</v>
      </c>
      <c r="G835" s="19"/>
      <c r="H835" s="20">
        <v>2022</v>
      </c>
      <c r="I835" s="19" t="s">
        <v>41</v>
      </c>
      <c r="J835" s="19" t="s">
        <v>1456</v>
      </c>
      <c r="K835" s="21" t="s">
        <v>1457</v>
      </c>
      <c r="L835" s="22" t="s">
        <v>60</v>
      </c>
      <c r="M835" s="23" t="s">
        <v>290</v>
      </c>
      <c r="N835" s="25" t="s">
        <v>1458</v>
      </c>
      <c r="O835" s="25" t="s">
        <v>1459</v>
      </c>
      <c r="P835" s="26">
        <f ca="1">IFERROR(VLOOKUP(DadosViagem5[[#This Row],[Placa]],[1]BIP!A:E,5,FALSE),"")</f>
        <v>45989</v>
      </c>
      <c r="Q835" s="27">
        <f ca="1">DATEDIF(DadosViagem5[[#This Row],[BIP]],TODAY(),"D")</f>
        <v>1</v>
      </c>
      <c r="R835" s="28" t="str">
        <f>IFERROR(VLOOKUP(DadosViagem5[[#This Row],[Placa]],[1]DDS!B:C,2,FALSE),"Verificar cadastro")</f>
        <v>Operando</v>
      </c>
      <c r="S835" s="36" t="s">
        <v>35</v>
      </c>
      <c r="T835" s="23"/>
      <c r="U835" s="30"/>
      <c r="V835" s="31"/>
      <c r="W835" s="32" t="s">
        <v>1466</v>
      </c>
      <c r="X835" s="33"/>
      <c r="Y835" s="34"/>
      <c r="Z835" s="42"/>
      <c r="AA835" s="20" t="s">
        <v>49</v>
      </c>
      <c r="AB835" s="20" t="s">
        <v>49</v>
      </c>
      <c r="AC835" s="19" t="s">
        <v>49</v>
      </c>
      <c r="AD835" s="19" t="str">
        <f ca="1">IFERROR(DATEDIF(DadosViagem5[[#This Row],[Utimo Bip Reserva]],TODAY(),"D"),"")</f>
        <v/>
      </c>
      <c r="AE835" s="36" t="s">
        <v>49</v>
      </c>
      <c r="AF835" s="25" t="s">
        <v>49</v>
      </c>
      <c r="AG835" s="36" t="s">
        <v>290</v>
      </c>
      <c r="AH835" s="25">
        <v>45807</v>
      </c>
      <c r="AI835" s="36" t="str">
        <f>IF(DadosViagem5[[#This Row],[Dias em manutenção ]]&lt;5,"Dentro do Prazo","Fora do Prazo")</f>
        <v>Fora do Prazo</v>
      </c>
      <c r="AJ835" s="36" t="e">
        <v>#REF!</v>
      </c>
    </row>
    <row r="836" spans="1:36">
      <c r="A836" s="19" t="s">
        <v>1472</v>
      </c>
      <c r="B836" s="20"/>
      <c r="C836" s="19" t="s">
        <v>131</v>
      </c>
      <c r="D836" s="19" t="s">
        <v>132</v>
      </c>
      <c r="E836" s="19" t="s">
        <v>114</v>
      </c>
      <c r="F836" s="19" t="s">
        <v>115</v>
      </c>
      <c r="G836" s="19"/>
      <c r="H836" s="20">
        <v>2022</v>
      </c>
      <c r="I836" s="19" t="s">
        <v>41</v>
      </c>
      <c r="J836" s="19" t="s">
        <v>1456</v>
      </c>
      <c r="K836" s="21" t="s">
        <v>1457</v>
      </c>
      <c r="L836" s="22" t="s">
        <v>60</v>
      </c>
      <c r="M836" s="23" t="s">
        <v>290</v>
      </c>
      <c r="N836" s="25" t="s">
        <v>1458</v>
      </c>
      <c r="O836" s="36" t="s">
        <v>1459</v>
      </c>
      <c r="P836" s="26">
        <f ca="1">IFERROR(VLOOKUP(DadosViagem5[[#This Row],[Placa]],[1]BIP!A:E,5,FALSE),"")</f>
        <v>45989</v>
      </c>
      <c r="Q836" s="27">
        <f ca="1">DATEDIF(DadosViagem5[[#This Row],[BIP]],TODAY(),"D")</f>
        <v>1</v>
      </c>
      <c r="R836" s="28" t="str">
        <f>IFERROR(VLOOKUP(DadosViagem5[[#This Row],[Placa]],[1]DDS!B:C,2,FALSE),"Verificar cadastro")</f>
        <v>Operando</v>
      </c>
      <c r="S836" s="29" t="s">
        <v>48</v>
      </c>
      <c r="T836" s="23"/>
      <c r="U836" s="30"/>
      <c r="V836" s="31"/>
      <c r="W836" s="32" t="s">
        <v>1473</v>
      </c>
      <c r="X836" s="33"/>
      <c r="Y836" s="34"/>
      <c r="Z836" s="42"/>
      <c r="AA836" s="20" t="s">
        <v>49</v>
      </c>
      <c r="AB836" s="20" t="s">
        <v>49</v>
      </c>
      <c r="AC836" s="19" t="s">
        <v>49</v>
      </c>
      <c r="AD836" s="19" t="str">
        <f ca="1">IFERROR(DATEDIF(DadosViagem5[[#This Row],[Utimo Bip Reserva]],TODAY(),"D"),"")</f>
        <v/>
      </c>
      <c r="AE836" s="36" t="s">
        <v>49</v>
      </c>
      <c r="AF836" s="25" t="s">
        <v>49</v>
      </c>
      <c r="AG836" s="36" t="s">
        <v>290</v>
      </c>
      <c r="AH836" s="25">
        <v>45807</v>
      </c>
      <c r="AI836" s="36" t="str">
        <f>IF(DadosViagem5[[#This Row],[Dias em manutenção ]]&lt;5,"Dentro do Prazo","Fora do Prazo")</f>
        <v>Fora do Prazo</v>
      </c>
      <c r="AJ836" s="36" t="e">
        <v>#REF!</v>
      </c>
    </row>
    <row r="837" spans="1:36">
      <c r="A837" s="19" t="s">
        <v>1474</v>
      </c>
      <c r="B837" s="20"/>
      <c r="C837" s="19" t="s">
        <v>88</v>
      </c>
      <c r="D837" s="19" t="s">
        <v>52</v>
      </c>
      <c r="E837" s="19" t="s">
        <v>114</v>
      </c>
      <c r="F837" s="19" t="s">
        <v>115</v>
      </c>
      <c r="G837" s="19"/>
      <c r="H837" s="20">
        <v>2023</v>
      </c>
      <c r="I837" s="19" t="s">
        <v>41</v>
      </c>
      <c r="J837" s="19" t="s">
        <v>1456</v>
      </c>
      <c r="K837" s="21" t="s">
        <v>1457</v>
      </c>
      <c r="L837" s="22" t="s">
        <v>60</v>
      </c>
      <c r="M837" s="23" t="s">
        <v>290</v>
      </c>
      <c r="N837" s="25" t="s">
        <v>1458</v>
      </c>
      <c r="O837" s="25" t="s">
        <v>1459</v>
      </c>
      <c r="P837" s="26">
        <f ca="1">IFERROR(VLOOKUP(DadosViagem5[[#This Row],[Placa]],[1]BIP!A:E,5,FALSE),"")</f>
        <v>45929</v>
      </c>
      <c r="Q837" s="27">
        <f ca="1">DATEDIF(DadosViagem5[[#This Row],[BIP]],TODAY(),"D")</f>
        <v>61</v>
      </c>
      <c r="R837" s="28" t="str">
        <f>IFERROR(VLOOKUP(DadosViagem5[[#This Row],[Placa]],[1]DDS!B:C,2,FALSE),"Verificar cadastro")</f>
        <v>Verificar cadastro</v>
      </c>
      <c r="S837" s="36" t="s">
        <v>574</v>
      </c>
      <c r="T837" s="23"/>
      <c r="U837" s="30"/>
      <c r="V837" s="31"/>
      <c r="W837" s="32" t="s">
        <v>1475</v>
      </c>
      <c r="X837" s="33"/>
      <c r="Y837" s="34"/>
      <c r="Z837" s="32"/>
      <c r="AA837" s="20" t="s">
        <v>49</v>
      </c>
      <c r="AB837" s="20" t="s">
        <v>49</v>
      </c>
      <c r="AC837" s="19" t="s">
        <v>49</v>
      </c>
      <c r="AD837" s="19" t="str">
        <f ca="1">IFERROR(DATEDIF(DadosViagem5[[#This Row],[Utimo Bip Reserva]],TODAY(),"D"),"")</f>
        <v/>
      </c>
      <c r="AE837" s="36" t="s">
        <v>49</v>
      </c>
      <c r="AF837" s="25" t="s">
        <v>49</v>
      </c>
      <c r="AG837" s="36" t="s">
        <v>290</v>
      </c>
      <c r="AH837" s="25">
        <v>45807</v>
      </c>
      <c r="AI837" s="36" t="str">
        <f>IF(DadosViagem5[[#This Row],[Dias em manutenção ]]&lt;5,"Dentro do Prazo","Fora do Prazo")</f>
        <v>Fora do Prazo</v>
      </c>
      <c r="AJ837" s="36" t="e">
        <v>#REF!</v>
      </c>
    </row>
    <row r="838" spans="1:36">
      <c r="A838" s="19" t="s">
        <v>1476</v>
      </c>
      <c r="B838" s="20"/>
      <c r="C838" s="19" t="s">
        <v>131</v>
      </c>
      <c r="D838" s="19" t="s">
        <v>132</v>
      </c>
      <c r="E838" s="19" t="s">
        <v>114</v>
      </c>
      <c r="F838" s="19" t="s">
        <v>115</v>
      </c>
      <c r="G838" s="19"/>
      <c r="H838" s="20">
        <v>2022</v>
      </c>
      <c r="I838" s="19" t="s">
        <v>41</v>
      </c>
      <c r="J838" s="19" t="s">
        <v>1456</v>
      </c>
      <c r="K838" s="21" t="s">
        <v>1457</v>
      </c>
      <c r="L838" s="22" t="s">
        <v>60</v>
      </c>
      <c r="M838" s="23" t="s">
        <v>290</v>
      </c>
      <c r="N838" s="25" t="s">
        <v>1458</v>
      </c>
      <c r="O838" s="36" t="s">
        <v>1459</v>
      </c>
      <c r="P838" s="26">
        <f ca="1">IFERROR(VLOOKUP(DadosViagem5[[#This Row],[Placa]],[1]BIP!A:E,5,FALSE),"")</f>
        <v>45989</v>
      </c>
      <c r="Q838" s="27">
        <f ca="1">DATEDIF(DadosViagem5[[#This Row],[BIP]],TODAY(),"D")</f>
        <v>1</v>
      </c>
      <c r="R838" s="28" t="str">
        <f>IFERROR(VLOOKUP(DadosViagem5[[#This Row],[Placa]],[1]DDS!B:C,2,FALSE),"Verificar cadastro")</f>
        <v>Operando</v>
      </c>
      <c r="S838" s="29" t="s">
        <v>48</v>
      </c>
      <c r="T838" s="23"/>
      <c r="U838" s="30"/>
      <c r="V838" s="31"/>
      <c r="W838" s="32" t="s">
        <v>1473</v>
      </c>
      <c r="X838" s="33"/>
      <c r="Y838" s="34"/>
      <c r="Z838" s="42"/>
      <c r="AA838" s="20" t="s">
        <v>49</v>
      </c>
      <c r="AB838" s="20" t="s">
        <v>49</v>
      </c>
      <c r="AC838" s="19" t="s">
        <v>49</v>
      </c>
      <c r="AD838" s="19" t="str">
        <f ca="1">IFERROR(DATEDIF(DadosViagem5[[#This Row],[Utimo Bip Reserva]],TODAY(),"D"),"")</f>
        <v/>
      </c>
      <c r="AE838" s="36" t="s">
        <v>49</v>
      </c>
      <c r="AF838" s="25" t="s">
        <v>49</v>
      </c>
      <c r="AG838" s="36" t="s">
        <v>290</v>
      </c>
      <c r="AH838" s="25">
        <v>45807</v>
      </c>
      <c r="AI838" s="36" t="str">
        <f>IF(DadosViagem5[[#This Row],[Dias em manutenção ]]&lt;5,"Dentro do Prazo","Fora do Prazo")</f>
        <v>Fora do Prazo</v>
      </c>
      <c r="AJ838" s="36" t="e">
        <v>#REF!</v>
      </c>
    </row>
    <row r="839" spans="1:36">
      <c r="A839" s="19" t="s">
        <v>1477</v>
      </c>
      <c r="B839" s="20"/>
      <c r="C839" s="19" t="s">
        <v>88</v>
      </c>
      <c r="D839" s="19" t="s">
        <v>52</v>
      </c>
      <c r="E839" s="19" t="s">
        <v>114</v>
      </c>
      <c r="F839" s="19" t="s">
        <v>115</v>
      </c>
      <c r="G839" s="19"/>
      <c r="H839" s="20">
        <v>2022</v>
      </c>
      <c r="I839" s="19" t="s">
        <v>41</v>
      </c>
      <c r="J839" s="19" t="s">
        <v>1456</v>
      </c>
      <c r="K839" s="21" t="s">
        <v>1457</v>
      </c>
      <c r="L839" s="22" t="s">
        <v>60</v>
      </c>
      <c r="M839" s="23" t="s">
        <v>290</v>
      </c>
      <c r="N839" s="25" t="s">
        <v>1458</v>
      </c>
      <c r="O839" s="25" t="s">
        <v>1459</v>
      </c>
      <c r="P839" s="26">
        <f ca="1">IFERROR(VLOOKUP(DadosViagem5[[#This Row],[Placa]],[1]BIP!A:E,5,FALSE),"")</f>
        <v>45983</v>
      </c>
      <c r="Q839" s="27">
        <f ca="1">DATEDIF(DadosViagem5[[#This Row],[BIP]],TODAY(),"D")</f>
        <v>7</v>
      </c>
      <c r="R839" s="28" t="str">
        <f>IFERROR(VLOOKUP(DadosViagem5[[#This Row],[Placa]],[1]DDS!B:C,2,FALSE),"Verificar cadastro")</f>
        <v>Manutenção</v>
      </c>
      <c r="S839" s="29" t="s">
        <v>48</v>
      </c>
      <c r="T839" s="23"/>
      <c r="U839" s="30"/>
      <c r="V839" s="31"/>
      <c r="W839" s="32" t="s">
        <v>1473</v>
      </c>
      <c r="X839" s="33"/>
      <c r="Y839" s="34"/>
      <c r="Z839" s="32"/>
      <c r="AA839" s="20" t="s">
        <v>49</v>
      </c>
      <c r="AB839" s="20" t="s">
        <v>49</v>
      </c>
      <c r="AC839" s="19" t="s">
        <v>49</v>
      </c>
      <c r="AD839" s="19" t="str">
        <f ca="1">IFERROR(DATEDIF(DadosViagem5[[#This Row],[Utimo Bip Reserva]],TODAY(),"D"),"")</f>
        <v/>
      </c>
      <c r="AE839" s="36" t="s">
        <v>1478</v>
      </c>
      <c r="AF839" s="25" t="s">
        <v>49</v>
      </c>
      <c r="AG839" s="36" t="s">
        <v>290</v>
      </c>
      <c r="AH839" s="25">
        <v>45807</v>
      </c>
      <c r="AI839" s="36" t="str">
        <f>IF(DadosViagem5[[#This Row],[Dias em manutenção ]]&lt;5,"Dentro do Prazo","Fora do Prazo")</f>
        <v>Fora do Prazo</v>
      </c>
      <c r="AJ839" s="36" t="e">
        <v>#REF!</v>
      </c>
    </row>
    <row r="840" spans="1:36">
      <c r="A840" s="19" t="s">
        <v>1479</v>
      </c>
      <c r="B840" s="20"/>
      <c r="C840" s="19" t="s">
        <v>88</v>
      </c>
      <c r="D840" s="19" t="s">
        <v>52</v>
      </c>
      <c r="E840" s="19" t="s">
        <v>114</v>
      </c>
      <c r="F840" s="19" t="s">
        <v>115</v>
      </c>
      <c r="G840" s="19"/>
      <c r="H840" s="20">
        <v>2023</v>
      </c>
      <c r="I840" s="19" t="s">
        <v>41</v>
      </c>
      <c r="J840" s="19" t="s">
        <v>1456</v>
      </c>
      <c r="K840" s="21" t="s">
        <v>1457</v>
      </c>
      <c r="L840" s="22" t="s">
        <v>60</v>
      </c>
      <c r="M840" s="23" t="s">
        <v>290</v>
      </c>
      <c r="N840" s="25" t="s">
        <v>1458</v>
      </c>
      <c r="O840" s="25" t="s">
        <v>1459</v>
      </c>
      <c r="P840" s="26">
        <f ca="1">IFERROR(VLOOKUP(DadosViagem5[[#This Row],[Placa]],[1]BIP!A:E,5,FALSE),"")</f>
        <v>0</v>
      </c>
      <c r="Q840" s="27">
        <f ca="1">DATEDIF(DadosViagem5[[#This Row],[BIP]],TODAY(),"D")</f>
        <v>45990</v>
      </c>
      <c r="R840" s="28" t="str">
        <f>IFERROR(VLOOKUP(DadosViagem5[[#This Row],[Placa]],[1]DDS!B:C,2,FALSE),"Verificar cadastro")</f>
        <v>Verificar cadastro</v>
      </c>
      <c r="S840" s="36" t="s">
        <v>574</v>
      </c>
      <c r="T840" s="23"/>
      <c r="U840" s="30"/>
      <c r="V840" s="31"/>
      <c r="W840" s="32" t="s">
        <v>1480</v>
      </c>
      <c r="X840" s="33"/>
      <c r="Y840" s="34"/>
      <c r="Z840" s="32"/>
      <c r="AA840" s="20" t="s">
        <v>49</v>
      </c>
      <c r="AB840" s="20" t="s">
        <v>49</v>
      </c>
      <c r="AC840" s="19" t="s">
        <v>49</v>
      </c>
      <c r="AD840" s="19" t="str">
        <f ca="1">IFERROR(DATEDIF(DadosViagem5[[#This Row],[Utimo Bip Reserva]],TODAY(),"D"),"")</f>
        <v/>
      </c>
      <c r="AE840" s="36" t="s">
        <v>49</v>
      </c>
      <c r="AF840" s="25" t="s">
        <v>49</v>
      </c>
      <c r="AG840" s="36" t="s">
        <v>290</v>
      </c>
      <c r="AH840" s="25">
        <v>45807</v>
      </c>
      <c r="AI840" s="36" t="str">
        <f>IF(DadosViagem5[[#This Row],[Dias em manutenção ]]&lt;5,"Dentro do Prazo","Fora do Prazo")</f>
        <v>Fora do Prazo</v>
      </c>
      <c r="AJ840" s="36" t="e">
        <v>#REF!</v>
      </c>
    </row>
    <row r="841" spans="1:36">
      <c r="A841" s="19" t="s">
        <v>1481</v>
      </c>
      <c r="B841" s="20"/>
      <c r="C841" s="19" t="s">
        <v>671</v>
      </c>
      <c r="D841" s="19" t="s">
        <v>132</v>
      </c>
      <c r="E841" s="19" t="s">
        <v>894</v>
      </c>
      <c r="F841" s="19" t="s">
        <v>115</v>
      </c>
      <c r="G841" s="19"/>
      <c r="H841" s="20">
        <v>2022</v>
      </c>
      <c r="I841" s="19" t="s">
        <v>41</v>
      </c>
      <c r="J841" s="19" t="s">
        <v>1456</v>
      </c>
      <c r="K841" s="21" t="s">
        <v>1457</v>
      </c>
      <c r="L841" s="22" t="s">
        <v>60</v>
      </c>
      <c r="M841" s="23" t="s">
        <v>290</v>
      </c>
      <c r="N841" s="25" t="s">
        <v>1458</v>
      </c>
      <c r="O841" s="25" t="s">
        <v>1459</v>
      </c>
      <c r="P841" s="26">
        <f ca="1">IFERROR(VLOOKUP(DadosViagem5[[#This Row],[Placa]],[1]BIP!A:E,5,FALSE),"")</f>
        <v>45927</v>
      </c>
      <c r="Q841" s="27">
        <f ca="1">DATEDIF(DadosViagem5[[#This Row],[BIP]],TODAY(),"D")</f>
        <v>63</v>
      </c>
      <c r="R841" s="28" t="str">
        <f>IFERROR(VLOOKUP(DadosViagem5[[#This Row],[Placa]],[1]DDS!B:C,2,FALSE),"Verificar cadastro")</f>
        <v>Verificar cadastro</v>
      </c>
      <c r="S841" s="36" t="s">
        <v>574</v>
      </c>
      <c r="T841" s="23"/>
      <c r="U841" s="30"/>
      <c r="V841" s="31"/>
      <c r="W841" s="32" t="s">
        <v>1482</v>
      </c>
      <c r="X841" s="33"/>
      <c r="Y841" s="34"/>
      <c r="Z841" s="32"/>
      <c r="AA841" s="20" t="s">
        <v>49</v>
      </c>
      <c r="AB841" s="20" t="s">
        <v>49</v>
      </c>
      <c r="AC841" s="19" t="s">
        <v>49</v>
      </c>
      <c r="AD841" s="19" t="str">
        <f ca="1">IFERROR(DATEDIF(DadosViagem5[[#This Row],[Utimo Bip Reserva]],TODAY(),"D"),"")</f>
        <v/>
      </c>
      <c r="AE841" s="25" t="s">
        <v>49</v>
      </c>
      <c r="AF841" s="25" t="s">
        <v>49</v>
      </c>
      <c r="AG841" s="36" t="s">
        <v>290</v>
      </c>
      <c r="AH841" s="25">
        <v>45807</v>
      </c>
      <c r="AI841" s="36" t="str">
        <f>IF(DadosViagem5[[#This Row],[Dias em manutenção ]]&lt;5,"Dentro do Prazo","Fora do Prazo")</f>
        <v>Fora do Prazo</v>
      </c>
      <c r="AJ841" s="36" t="e">
        <v>#REF!</v>
      </c>
    </row>
    <row r="842" spans="1:36">
      <c r="A842" s="19" t="s">
        <v>1483</v>
      </c>
      <c r="B842" s="20"/>
      <c r="C842" s="19" t="s">
        <v>131</v>
      </c>
      <c r="D842" s="19" t="s">
        <v>132</v>
      </c>
      <c r="E842" s="19" t="s">
        <v>114</v>
      </c>
      <c r="F842" s="19" t="s">
        <v>115</v>
      </c>
      <c r="G842" s="19"/>
      <c r="H842" s="20">
        <v>2022</v>
      </c>
      <c r="I842" s="19" t="s">
        <v>41</v>
      </c>
      <c r="J842" s="19" t="s">
        <v>1456</v>
      </c>
      <c r="K842" s="21" t="s">
        <v>1457</v>
      </c>
      <c r="L842" s="22" t="s">
        <v>60</v>
      </c>
      <c r="M842" s="23" t="s">
        <v>290</v>
      </c>
      <c r="N842" s="25" t="s">
        <v>1458</v>
      </c>
      <c r="O842" s="25" t="s">
        <v>1459</v>
      </c>
      <c r="P842" s="26">
        <f ca="1">IFERROR(VLOOKUP(DadosViagem5[[#This Row],[Placa]],[1]BIP!A:E,5,FALSE),"")</f>
        <v>45936</v>
      </c>
      <c r="Q842" s="27">
        <f ca="1">DATEDIF(DadosViagem5[[#This Row],[BIP]],TODAY(),"D")</f>
        <v>54</v>
      </c>
      <c r="R842" s="28" t="str">
        <f>IFERROR(VLOOKUP(DadosViagem5[[#This Row],[Placa]],[1]DDS!B:C,2,FALSE),"Verificar cadastro")</f>
        <v>Verificar cadastro</v>
      </c>
      <c r="S842" s="36" t="s">
        <v>574</v>
      </c>
      <c r="T842" s="23"/>
      <c r="U842" s="30"/>
      <c r="V842" s="31"/>
      <c r="W842" s="32" t="s">
        <v>1475</v>
      </c>
      <c r="X842" s="33"/>
      <c r="Y842" s="34"/>
      <c r="Z842" s="32"/>
      <c r="AA842" s="20" t="s">
        <v>49</v>
      </c>
      <c r="AB842" s="20" t="s">
        <v>49</v>
      </c>
      <c r="AC842" s="19" t="s">
        <v>49</v>
      </c>
      <c r="AD842" s="19" t="str">
        <f ca="1">IFERROR(DATEDIF(DadosViagem5[[#This Row],[Utimo Bip Reserva]],TODAY(),"D"),"")</f>
        <v/>
      </c>
      <c r="AE842" s="36" t="s">
        <v>49</v>
      </c>
      <c r="AF842" s="25" t="s">
        <v>49</v>
      </c>
      <c r="AG842" s="36" t="s">
        <v>290</v>
      </c>
      <c r="AH842" s="25">
        <v>45807</v>
      </c>
      <c r="AI842" s="36" t="str">
        <f>IF(DadosViagem5[[#This Row],[Dias em manutenção ]]&lt;5,"Dentro do Prazo","Fora do Prazo")</f>
        <v>Fora do Prazo</v>
      </c>
      <c r="AJ842" s="36" t="e">
        <v>#REF!</v>
      </c>
    </row>
    <row r="843" spans="1:36">
      <c r="A843" s="19" t="s">
        <v>1484</v>
      </c>
      <c r="B843" s="20"/>
      <c r="C843" s="19" t="s">
        <v>88</v>
      </c>
      <c r="D843" s="19" t="s">
        <v>52</v>
      </c>
      <c r="E843" s="19" t="s">
        <v>114</v>
      </c>
      <c r="F843" s="19" t="s">
        <v>115</v>
      </c>
      <c r="G843" s="19"/>
      <c r="H843" s="20">
        <v>2023</v>
      </c>
      <c r="I843" s="19" t="s">
        <v>41</v>
      </c>
      <c r="J843" s="19" t="s">
        <v>1456</v>
      </c>
      <c r="K843" s="21" t="s">
        <v>1457</v>
      </c>
      <c r="L843" s="22" t="s">
        <v>60</v>
      </c>
      <c r="M843" s="23" t="s">
        <v>290</v>
      </c>
      <c r="N843" s="25" t="s">
        <v>1458</v>
      </c>
      <c r="O843" s="25" t="s">
        <v>1459</v>
      </c>
      <c r="P843" s="26">
        <f ca="1">IFERROR(VLOOKUP(DadosViagem5[[#This Row],[Placa]],[1]BIP!A:E,5,FALSE),"")</f>
        <v>45929</v>
      </c>
      <c r="Q843" s="27">
        <f ca="1">DATEDIF(DadosViagem5[[#This Row],[BIP]],TODAY(),"D")</f>
        <v>61</v>
      </c>
      <c r="R843" s="28" t="str">
        <f>IFERROR(VLOOKUP(DadosViagem5[[#This Row],[Placa]],[1]DDS!B:C,2,FALSE),"Verificar cadastro")</f>
        <v>Verificar cadastro</v>
      </c>
      <c r="S843" s="36" t="s">
        <v>574</v>
      </c>
      <c r="T843" s="23"/>
      <c r="U843" s="30"/>
      <c r="V843" s="31"/>
      <c r="W843" s="32" t="s">
        <v>1470</v>
      </c>
      <c r="X843" s="33"/>
      <c r="Y843" s="34"/>
      <c r="Z843" s="42"/>
      <c r="AA843" s="20" t="s">
        <v>49</v>
      </c>
      <c r="AB843" s="20" t="s">
        <v>49</v>
      </c>
      <c r="AC843" s="19" t="s">
        <v>49</v>
      </c>
      <c r="AD843" s="19" t="str">
        <f ca="1">IFERROR(DATEDIF(DadosViagem5[[#This Row],[Utimo Bip Reserva]],TODAY(),"D"),"")</f>
        <v/>
      </c>
      <c r="AE843" s="36" t="s">
        <v>49</v>
      </c>
      <c r="AF843" s="25" t="s">
        <v>49</v>
      </c>
      <c r="AG843" s="36" t="s">
        <v>290</v>
      </c>
      <c r="AH843" s="25">
        <v>45807</v>
      </c>
      <c r="AI843" s="36" t="str">
        <f>IF(DadosViagem5[[#This Row],[Dias em manutenção ]]&lt;5,"Dentro do Prazo","Fora do Prazo")</f>
        <v>Fora do Prazo</v>
      </c>
      <c r="AJ843" s="36" t="e">
        <v>#REF!</v>
      </c>
    </row>
    <row r="844" spans="1:36">
      <c r="A844" s="19" t="s">
        <v>1485</v>
      </c>
      <c r="B844" s="20"/>
      <c r="C844" s="19" t="s">
        <v>131</v>
      </c>
      <c r="D844" s="19" t="s">
        <v>132</v>
      </c>
      <c r="E844" s="19" t="s">
        <v>114</v>
      </c>
      <c r="F844" s="19" t="s">
        <v>115</v>
      </c>
      <c r="G844" s="19"/>
      <c r="H844" s="20">
        <v>2022</v>
      </c>
      <c r="I844" s="19" t="s">
        <v>41</v>
      </c>
      <c r="J844" s="19" t="s">
        <v>1456</v>
      </c>
      <c r="K844" s="21" t="s">
        <v>1457</v>
      </c>
      <c r="L844" s="39" t="s">
        <v>60</v>
      </c>
      <c r="M844" s="23" t="s">
        <v>290</v>
      </c>
      <c r="N844" s="25" t="s">
        <v>1458</v>
      </c>
      <c r="O844" s="25" t="s">
        <v>1459</v>
      </c>
      <c r="P844" s="26">
        <f ca="1">IFERROR(VLOOKUP(DadosViagem5[[#This Row],[Placa]],[1]BIP!A:E,5,FALSE),"")</f>
        <v>45989</v>
      </c>
      <c r="Q844" s="27">
        <f ca="1">DATEDIF(DadosViagem5[[#This Row],[BIP]],TODAY(),"D")</f>
        <v>1</v>
      </c>
      <c r="R844" s="28" t="str">
        <f>IFERROR(VLOOKUP(DadosViagem5[[#This Row],[Placa]],[1]DDS!B:C,2,FALSE),"Verificar cadastro")</f>
        <v>Operando</v>
      </c>
      <c r="S844" s="29" t="s">
        <v>48</v>
      </c>
      <c r="T844" s="23"/>
      <c r="U844" s="30"/>
      <c r="V844" s="31"/>
      <c r="W844" s="32" t="s">
        <v>1473</v>
      </c>
      <c r="X844" s="33"/>
      <c r="Y844" s="34"/>
      <c r="Z844" s="32"/>
      <c r="AA844" s="20" t="s">
        <v>49</v>
      </c>
      <c r="AB844" s="20" t="s">
        <v>49</v>
      </c>
      <c r="AC844" s="19" t="s">
        <v>49</v>
      </c>
      <c r="AD844" s="19" t="str">
        <f ca="1">IFERROR(DATEDIF(DadosViagem5[[#This Row],[Utimo Bip Reserva]],TODAY(),"D"),"")</f>
        <v/>
      </c>
      <c r="AE844" s="36" t="s">
        <v>49</v>
      </c>
      <c r="AF844" s="25" t="s">
        <v>49</v>
      </c>
      <c r="AG844" s="36" t="s">
        <v>290</v>
      </c>
      <c r="AH844" s="25">
        <v>45807</v>
      </c>
      <c r="AI844" s="36" t="str">
        <f>IF(DadosViagem5[[#This Row],[Dias em manutenção ]]&lt;5,"Dentro do Prazo","Fora do Prazo")</f>
        <v>Fora do Prazo</v>
      </c>
      <c r="AJ844" s="36" t="e">
        <v>#REF!</v>
      </c>
    </row>
    <row r="845" spans="1:36">
      <c r="A845" s="19" t="s">
        <v>1486</v>
      </c>
      <c r="B845" s="20"/>
      <c r="C845" s="19" t="s">
        <v>131</v>
      </c>
      <c r="D845" s="19" t="s">
        <v>132</v>
      </c>
      <c r="E845" s="19" t="s">
        <v>114</v>
      </c>
      <c r="F845" s="19" t="s">
        <v>115</v>
      </c>
      <c r="G845" s="19"/>
      <c r="H845" s="20">
        <v>2022</v>
      </c>
      <c r="I845" s="19" t="s">
        <v>41</v>
      </c>
      <c r="J845" s="19" t="s">
        <v>1456</v>
      </c>
      <c r="K845" s="21" t="s">
        <v>1457</v>
      </c>
      <c r="L845" s="39" t="s">
        <v>60</v>
      </c>
      <c r="M845" s="23" t="s">
        <v>290</v>
      </c>
      <c r="N845" s="25" t="s">
        <v>1458</v>
      </c>
      <c r="O845" s="25" t="s">
        <v>1459</v>
      </c>
      <c r="P845" s="26">
        <f ca="1">IFERROR(VLOOKUP(DadosViagem5[[#This Row],[Placa]],[1]BIP!A:E,5,FALSE),"")</f>
        <v>45929</v>
      </c>
      <c r="Q845" s="27">
        <f ca="1">DATEDIF(DadosViagem5[[#This Row],[BIP]],TODAY(),"D")</f>
        <v>61</v>
      </c>
      <c r="R845" s="28" t="str">
        <f>IFERROR(VLOOKUP(DadosViagem5[[#This Row],[Placa]],[1]DDS!B:C,2,FALSE),"Verificar cadastro")</f>
        <v>Verificar cadastro</v>
      </c>
      <c r="S845" s="36" t="s">
        <v>574</v>
      </c>
      <c r="T845" s="23"/>
      <c r="U845" s="30"/>
      <c r="V845" s="31"/>
      <c r="W845" s="32" t="s">
        <v>1487</v>
      </c>
      <c r="X845" s="33"/>
      <c r="Y845" s="34"/>
      <c r="Z845" s="32"/>
      <c r="AA845" s="20" t="s">
        <v>49</v>
      </c>
      <c r="AB845" s="20" t="s">
        <v>49</v>
      </c>
      <c r="AC845" s="19" t="s">
        <v>49</v>
      </c>
      <c r="AD845" s="19" t="str">
        <f ca="1">IFERROR(DATEDIF(DadosViagem5[[#This Row],[Utimo Bip Reserva]],TODAY(),"D"),"")</f>
        <v/>
      </c>
      <c r="AE845" s="36" t="s">
        <v>49</v>
      </c>
      <c r="AF845" s="25" t="s">
        <v>49</v>
      </c>
      <c r="AG845" s="36" t="s">
        <v>290</v>
      </c>
      <c r="AH845" s="25">
        <v>45807</v>
      </c>
      <c r="AI845" s="36" t="str">
        <f>IF(DadosViagem5[[#This Row],[Dias em manutenção ]]&lt;5,"Dentro do Prazo","Fora do Prazo")</f>
        <v>Fora do Prazo</v>
      </c>
      <c r="AJ845" s="36" t="e">
        <v>#REF!</v>
      </c>
    </row>
    <row r="846" spans="1:36">
      <c r="A846" s="19" t="s">
        <v>1488</v>
      </c>
      <c r="B846" s="20"/>
      <c r="C846" s="19" t="s">
        <v>671</v>
      </c>
      <c r="D846" s="19" t="s">
        <v>132</v>
      </c>
      <c r="E846" s="19" t="s">
        <v>894</v>
      </c>
      <c r="F846" s="19" t="s">
        <v>115</v>
      </c>
      <c r="G846" s="19"/>
      <c r="H846" s="20">
        <v>2022</v>
      </c>
      <c r="I846" s="19" t="s">
        <v>41</v>
      </c>
      <c r="J846" s="19" t="s">
        <v>1456</v>
      </c>
      <c r="K846" s="21" t="s">
        <v>1457</v>
      </c>
      <c r="L846" s="39" t="s">
        <v>60</v>
      </c>
      <c r="M846" s="23" t="s">
        <v>290</v>
      </c>
      <c r="N846" s="25" t="s">
        <v>1458</v>
      </c>
      <c r="O846" s="25" t="s">
        <v>1459</v>
      </c>
      <c r="P846" s="26">
        <f ca="1">IFERROR(VLOOKUP(DadosViagem5[[#This Row],[Placa]],[1]BIP!A:E,5,FALSE),"")</f>
        <v>45928</v>
      </c>
      <c r="Q846" s="27">
        <f ca="1">DATEDIF(DadosViagem5[[#This Row],[BIP]],TODAY(),"D")</f>
        <v>62</v>
      </c>
      <c r="R846" s="28" t="str">
        <f>IFERROR(VLOOKUP(DadosViagem5[[#This Row],[Placa]],[1]DDS!B:C,2,FALSE),"Verificar cadastro")</f>
        <v>Verificar cadastro</v>
      </c>
      <c r="S846" s="36" t="s">
        <v>574</v>
      </c>
      <c r="T846" s="23"/>
      <c r="U846" s="30"/>
      <c r="V846" s="31"/>
      <c r="W846" s="32" t="s">
        <v>1482</v>
      </c>
      <c r="X846" s="33"/>
      <c r="Y846" s="34"/>
      <c r="Z846" s="32"/>
      <c r="AA846" s="20" t="s">
        <v>49</v>
      </c>
      <c r="AB846" s="20" t="s">
        <v>49</v>
      </c>
      <c r="AC846" s="19" t="s">
        <v>49</v>
      </c>
      <c r="AD846" s="19" t="str">
        <f ca="1">IFERROR(DATEDIF(DadosViagem5[[#This Row],[Utimo Bip Reserva]],TODAY(),"D"),"")</f>
        <v/>
      </c>
      <c r="AE846" s="25" t="s">
        <v>1489</v>
      </c>
      <c r="AF846" s="25" t="s">
        <v>49</v>
      </c>
      <c r="AG846" s="36" t="s">
        <v>290</v>
      </c>
      <c r="AH846" s="25">
        <v>45807</v>
      </c>
      <c r="AI846" s="36" t="str">
        <f>IF(DadosViagem5[[#This Row],[Dias em manutenção ]]&lt;5,"Dentro do Prazo","Fora do Prazo")</f>
        <v>Fora do Prazo</v>
      </c>
      <c r="AJ846" s="36" t="e">
        <v>#REF!</v>
      </c>
    </row>
    <row r="847" spans="1:36">
      <c r="A847" s="19" t="s">
        <v>1490</v>
      </c>
      <c r="B847" s="20"/>
      <c r="C847" s="19" t="s">
        <v>131</v>
      </c>
      <c r="D847" s="19" t="s">
        <v>132</v>
      </c>
      <c r="E847" s="19" t="s">
        <v>114</v>
      </c>
      <c r="F847" s="19" t="s">
        <v>115</v>
      </c>
      <c r="G847" s="19"/>
      <c r="H847" s="20">
        <v>2022</v>
      </c>
      <c r="I847" s="19" t="s">
        <v>41</v>
      </c>
      <c r="J847" s="19" t="s">
        <v>1456</v>
      </c>
      <c r="K847" s="21" t="s">
        <v>1457</v>
      </c>
      <c r="L847" s="39" t="s">
        <v>60</v>
      </c>
      <c r="M847" s="23" t="s">
        <v>290</v>
      </c>
      <c r="N847" s="25" t="s">
        <v>1458</v>
      </c>
      <c r="O847" s="25" t="s">
        <v>1459</v>
      </c>
      <c r="P847" s="26">
        <f ca="1">IFERROR(VLOOKUP(DadosViagem5[[#This Row],[Placa]],[1]BIP!A:E,5,FALSE),"")</f>
        <v>45936</v>
      </c>
      <c r="Q847" s="27">
        <f ca="1">DATEDIF(DadosViagem5[[#This Row],[BIP]],TODAY(),"D")</f>
        <v>54</v>
      </c>
      <c r="R847" s="28" t="str">
        <f>IFERROR(VLOOKUP(DadosViagem5[[#This Row],[Placa]],[1]DDS!B:C,2,FALSE),"Verificar cadastro")</f>
        <v> </v>
      </c>
      <c r="S847" s="36" t="s">
        <v>574</v>
      </c>
      <c r="T847" s="23"/>
      <c r="U847" s="30"/>
      <c r="V847" s="31"/>
      <c r="W847" s="32" t="s">
        <v>1491</v>
      </c>
      <c r="X847" s="33"/>
      <c r="Y847" s="34"/>
      <c r="Z847" s="32"/>
      <c r="AA847" s="20" t="s">
        <v>49</v>
      </c>
      <c r="AB847" s="20" t="s">
        <v>49</v>
      </c>
      <c r="AC847" s="19" t="s">
        <v>49</v>
      </c>
      <c r="AD847" s="19" t="str">
        <f ca="1">IFERROR(DATEDIF(DadosViagem5[[#This Row],[Utimo Bip Reserva]],TODAY(),"D"),"")</f>
        <v/>
      </c>
      <c r="AE847" s="36" t="s">
        <v>49</v>
      </c>
      <c r="AF847" s="25" t="s">
        <v>49</v>
      </c>
      <c r="AG847" s="36" t="s">
        <v>290</v>
      </c>
      <c r="AH847" s="25">
        <v>45807</v>
      </c>
      <c r="AI847" s="36" t="str">
        <f>IF(DadosViagem5[[#This Row],[Dias em manutenção ]]&lt;5,"Dentro do Prazo","Fora do Prazo")</f>
        <v>Fora do Prazo</v>
      </c>
      <c r="AJ847" s="36" t="e">
        <v>#REF!</v>
      </c>
    </row>
    <row r="848" spans="1:36">
      <c r="A848" s="19" t="s">
        <v>1492</v>
      </c>
      <c r="B848" s="20"/>
      <c r="C848" s="19" t="s">
        <v>131</v>
      </c>
      <c r="D848" s="19" t="s">
        <v>132</v>
      </c>
      <c r="E848" s="19" t="s">
        <v>114</v>
      </c>
      <c r="F848" s="19" t="s">
        <v>115</v>
      </c>
      <c r="G848" s="19"/>
      <c r="H848" s="20">
        <v>2022</v>
      </c>
      <c r="I848" s="19" t="s">
        <v>41</v>
      </c>
      <c r="J848" s="19" t="s">
        <v>1456</v>
      </c>
      <c r="K848" s="21" t="s">
        <v>1457</v>
      </c>
      <c r="L848" s="39" t="s">
        <v>60</v>
      </c>
      <c r="M848" s="23" t="s">
        <v>290</v>
      </c>
      <c r="N848" s="25" t="s">
        <v>1458</v>
      </c>
      <c r="O848" s="25" t="s">
        <v>1459</v>
      </c>
      <c r="P848" s="26">
        <f ca="1">IFERROR(VLOOKUP(DadosViagem5[[#This Row],[Placa]],[1]BIP!A:E,5,FALSE),"")</f>
        <v>45936</v>
      </c>
      <c r="Q848" s="27">
        <f ca="1">DATEDIF(DadosViagem5[[#This Row],[BIP]],TODAY(),"D")</f>
        <v>54</v>
      </c>
      <c r="R848" s="28" t="str">
        <f>IFERROR(VLOOKUP(DadosViagem5[[#This Row],[Placa]],[1]DDS!B:C,2,FALSE),"Verificar cadastro")</f>
        <v>Verificar cadastro</v>
      </c>
      <c r="S848" s="36" t="s">
        <v>574</v>
      </c>
      <c r="T848" s="23"/>
      <c r="U848" s="30"/>
      <c r="V848" s="31"/>
      <c r="W848" s="32" t="s">
        <v>1493</v>
      </c>
      <c r="X848" s="33"/>
      <c r="Y848" s="34"/>
      <c r="Z848" s="32"/>
      <c r="AA848" s="20" t="s">
        <v>49</v>
      </c>
      <c r="AB848" s="20" t="s">
        <v>49</v>
      </c>
      <c r="AC848" s="19" t="s">
        <v>49</v>
      </c>
      <c r="AD848" s="19" t="str">
        <f ca="1">IFERROR(DATEDIF(DadosViagem5[[#This Row],[Utimo Bip Reserva]],TODAY(),"D"),"")</f>
        <v/>
      </c>
      <c r="AE848" s="36" t="s">
        <v>49</v>
      </c>
      <c r="AF848" s="25" t="s">
        <v>49</v>
      </c>
      <c r="AG848" s="36" t="s">
        <v>290</v>
      </c>
      <c r="AH848" s="25">
        <v>45807</v>
      </c>
      <c r="AI848" s="36" t="str">
        <f>IF(DadosViagem5[[#This Row],[Dias em manutenção ]]&lt;5,"Dentro do Prazo","Fora do Prazo")</f>
        <v>Fora do Prazo</v>
      </c>
      <c r="AJ848" s="36" t="e">
        <v>#REF!</v>
      </c>
    </row>
    <row r="849" spans="1:36">
      <c r="A849" s="19" t="s">
        <v>1494</v>
      </c>
      <c r="B849" s="20"/>
      <c r="C849" s="19" t="s">
        <v>671</v>
      </c>
      <c r="D849" s="19" t="s">
        <v>132</v>
      </c>
      <c r="E849" s="19" t="s">
        <v>894</v>
      </c>
      <c r="F849" s="19" t="s">
        <v>115</v>
      </c>
      <c r="G849" s="19"/>
      <c r="H849" s="20">
        <v>2022</v>
      </c>
      <c r="I849" s="19" t="s">
        <v>41</v>
      </c>
      <c r="J849" s="19" t="s">
        <v>1456</v>
      </c>
      <c r="K849" s="21" t="s">
        <v>1457</v>
      </c>
      <c r="L849" s="39" t="s">
        <v>60</v>
      </c>
      <c r="M849" s="23" t="s">
        <v>290</v>
      </c>
      <c r="N849" s="25" t="s">
        <v>1458</v>
      </c>
      <c r="O849" s="25" t="s">
        <v>1459</v>
      </c>
      <c r="P849" s="26">
        <f ca="1">IFERROR(VLOOKUP(DadosViagem5[[#This Row],[Placa]],[1]BIP!A:E,5,FALSE),"")</f>
        <v>45921</v>
      </c>
      <c r="Q849" s="27">
        <f ca="1">DATEDIF(DadosViagem5[[#This Row],[BIP]],TODAY(),"D")</f>
        <v>69</v>
      </c>
      <c r="R849" s="28" t="str">
        <f>IFERROR(VLOOKUP(DadosViagem5[[#This Row],[Placa]],[1]DDS!B:C,2,FALSE),"Verificar cadastro")</f>
        <v>Verificar cadastro</v>
      </c>
      <c r="S849" s="36" t="s">
        <v>574</v>
      </c>
      <c r="T849" s="23"/>
      <c r="U849" s="30"/>
      <c r="V849" s="31"/>
      <c r="W849" s="32" t="s">
        <v>1495</v>
      </c>
      <c r="X849" s="33"/>
      <c r="Y849" s="34"/>
      <c r="Z849" s="32"/>
      <c r="AA849" s="20" t="s">
        <v>49</v>
      </c>
      <c r="AB849" s="20" t="s">
        <v>49</v>
      </c>
      <c r="AC849" s="19" t="s">
        <v>49</v>
      </c>
      <c r="AD849" s="19" t="str">
        <f ca="1">IFERROR(DATEDIF(DadosViagem5[[#This Row],[Utimo Bip Reserva]],TODAY(),"D"),"")</f>
        <v/>
      </c>
      <c r="AE849" s="36" t="s">
        <v>49</v>
      </c>
      <c r="AF849" s="25" t="s">
        <v>49</v>
      </c>
      <c r="AG849" s="36" t="s">
        <v>290</v>
      </c>
      <c r="AH849" s="25">
        <v>45807</v>
      </c>
      <c r="AI849" s="36" t="str">
        <f>IF(DadosViagem5[[#This Row],[Dias em manutenção ]]&lt;5,"Dentro do Prazo","Fora do Prazo")</f>
        <v>Fora do Prazo</v>
      </c>
      <c r="AJ849" s="36" t="e">
        <v>#REF!</v>
      </c>
    </row>
    <row r="850" spans="1:36">
      <c r="A850" s="19" t="s">
        <v>1496</v>
      </c>
      <c r="B850" s="20"/>
      <c r="C850" s="19" t="s">
        <v>88</v>
      </c>
      <c r="D850" s="19" t="s">
        <v>52</v>
      </c>
      <c r="E850" s="19" t="s">
        <v>114</v>
      </c>
      <c r="F850" s="19" t="s">
        <v>115</v>
      </c>
      <c r="G850" s="19"/>
      <c r="H850" s="20">
        <v>2023</v>
      </c>
      <c r="I850" s="19" t="s">
        <v>41</v>
      </c>
      <c r="J850" s="19" t="s">
        <v>58</v>
      </c>
      <c r="K850" s="21" t="s">
        <v>59</v>
      </c>
      <c r="L850" s="39" t="s">
        <v>60</v>
      </c>
      <c r="M850" s="23" t="s">
        <v>61</v>
      </c>
      <c r="N850" s="25" t="s">
        <v>62</v>
      </c>
      <c r="O850" s="65" t="s">
        <v>63</v>
      </c>
      <c r="P850" s="26">
        <f ca="1">IFERROR(VLOOKUP(DadosViagem5[[#This Row],[Placa]],[1]BIP!A:E,5,FALSE),"")</f>
        <v>45989</v>
      </c>
      <c r="Q850" s="27">
        <f ca="1">DATEDIF(DadosViagem5[[#This Row],[BIP]],TODAY(),"D")</f>
        <v>1</v>
      </c>
      <c r="R850" s="28" t="str">
        <f>IFERROR(VLOOKUP(DadosViagem5[[#This Row],[Placa]],[1]DDS!B:C,2,FALSE),"Verificar cadastro")</f>
        <v>Carregado</v>
      </c>
      <c r="S850" s="29" t="s">
        <v>48</v>
      </c>
      <c r="T850" s="23"/>
      <c r="U850" s="30"/>
      <c r="V850" s="31"/>
      <c r="W850" s="32"/>
      <c r="X850" s="33"/>
      <c r="Y850" s="34" t="s">
        <v>49</v>
      </c>
      <c r="Z850" s="32"/>
      <c r="AA850" s="20" t="s">
        <v>49</v>
      </c>
      <c r="AB850" s="20" t="s">
        <v>49</v>
      </c>
      <c r="AC850" s="19" t="s">
        <v>49</v>
      </c>
      <c r="AD850" s="19" t="str">
        <f ca="1">IFERROR(DATEDIF(DadosViagem5[[#This Row],[Utimo Bip Reserva]],TODAY(),"D"),"")</f>
        <v/>
      </c>
      <c r="AE850" s="36" t="s">
        <v>49</v>
      </c>
      <c r="AF850" s="25" t="s">
        <v>49</v>
      </c>
      <c r="AG850" s="36"/>
      <c r="AH850" s="25">
        <v>45807</v>
      </c>
      <c r="AI850" s="36" t="str">
        <f>IF(DadosViagem5[[#This Row],[Dias em manutenção ]]&lt;5,"Dentro do Prazo","Fora do Prazo")</f>
        <v>Fora do Prazo</v>
      </c>
      <c r="AJ850" s="36" t="e">
        <v>#REF!</v>
      </c>
    </row>
    <row r="851" spans="1:36">
      <c r="A851" s="19" t="s">
        <v>1497</v>
      </c>
      <c r="B851" s="20"/>
      <c r="C851" s="19" t="s">
        <v>51</v>
      </c>
      <c r="D851" s="19" t="s">
        <v>52</v>
      </c>
      <c r="E851" s="19" t="s">
        <v>53</v>
      </c>
      <c r="F851" s="19" t="s">
        <v>40</v>
      </c>
      <c r="G851" s="19"/>
      <c r="H851" s="20">
        <v>2022</v>
      </c>
      <c r="I851" s="19" t="s">
        <v>41</v>
      </c>
      <c r="J851" s="19" t="s">
        <v>58</v>
      </c>
      <c r="K851" s="21" t="s">
        <v>59</v>
      </c>
      <c r="L851" s="39" t="s">
        <v>60</v>
      </c>
      <c r="M851" s="23" t="s">
        <v>61</v>
      </c>
      <c r="N851" s="25" t="s">
        <v>62</v>
      </c>
      <c r="O851" s="65" t="s">
        <v>63</v>
      </c>
      <c r="P851" s="26">
        <f ca="1">IFERROR(VLOOKUP(DadosViagem5[[#This Row],[Placa]],[1]BIP!A:E,5,FALSE),"")</f>
        <v>0</v>
      </c>
      <c r="Q851" s="27">
        <f ca="1">DATEDIF(DadosViagem5[[#This Row],[BIP]],TODAY(),"D")</f>
        <v>45990</v>
      </c>
      <c r="R851" s="28" t="str">
        <f>IFERROR(VLOOKUP(DadosViagem5[[#This Row],[Placa]],[1]DDS!B:C,2,FALSE),"Verificar cadastro")</f>
        <v>Manutenção</v>
      </c>
      <c r="S851" s="29" t="s">
        <v>48</v>
      </c>
      <c r="T851" s="23"/>
      <c r="U851" s="30"/>
      <c r="V851" s="31"/>
      <c r="W851" s="32" t="s">
        <v>1498</v>
      </c>
      <c r="X851" s="33"/>
      <c r="Y851" s="86"/>
      <c r="Z851" s="42"/>
      <c r="AA851" s="20" t="s">
        <v>49</v>
      </c>
      <c r="AB851" s="20" t="s">
        <v>49</v>
      </c>
      <c r="AC851" s="19" t="s">
        <v>49</v>
      </c>
      <c r="AD851" s="19" t="str">
        <f ca="1">IFERROR(DATEDIF(DadosViagem5[[#This Row],[Utimo Bip Reserva]],TODAY(),"D"),"")</f>
        <v/>
      </c>
      <c r="AE851" s="25"/>
      <c r="AF851" s="25" t="s">
        <v>49</v>
      </c>
      <c r="AG851" s="30" t="s">
        <v>153</v>
      </c>
      <c r="AH851" s="25">
        <v>45807</v>
      </c>
      <c r="AI851" s="36" t="str">
        <f>IF(DadosViagem5[[#This Row],[Dias em manutenção ]]&lt;5,"Dentro do Prazo","Fora do Prazo")</f>
        <v>Fora do Prazo</v>
      </c>
      <c r="AJ851" s="36" t="e">
        <v>#REF!</v>
      </c>
    </row>
    <row r="852" spans="1:36">
      <c r="A852" s="19" t="s">
        <v>1499</v>
      </c>
      <c r="B852" s="20"/>
      <c r="C852" s="19" t="s">
        <v>88</v>
      </c>
      <c r="D852" s="19" t="s">
        <v>52</v>
      </c>
      <c r="E852" s="19" t="s">
        <v>114</v>
      </c>
      <c r="F852" s="19" t="s">
        <v>115</v>
      </c>
      <c r="G852" s="19"/>
      <c r="H852" s="20">
        <v>2021</v>
      </c>
      <c r="I852" s="19" t="s">
        <v>41</v>
      </c>
      <c r="J852" s="19" t="s">
        <v>58</v>
      </c>
      <c r="K852" s="21" t="s">
        <v>59</v>
      </c>
      <c r="L852" s="39" t="s">
        <v>60</v>
      </c>
      <c r="M852" s="23" t="s">
        <v>61</v>
      </c>
      <c r="N852" s="25" t="s">
        <v>62</v>
      </c>
      <c r="O852" s="65" t="s">
        <v>63</v>
      </c>
      <c r="P852" s="26">
        <f ca="1">IFERROR(VLOOKUP(DadosViagem5[[#This Row],[Placa]],[1]BIP!A:E,5,FALSE),"")</f>
        <v>45955</v>
      </c>
      <c r="Q852" s="27">
        <f ca="1">DATEDIF(DadosViagem5[[#This Row],[BIP]],TODAY(),"D")</f>
        <v>35</v>
      </c>
      <c r="R852" s="28" t="str">
        <f>IFERROR(VLOOKUP(DadosViagem5[[#This Row],[Placa]],[1]DDS!B:C,2,FALSE),"Verificar cadastro")</f>
        <v>Verificar cadastro</v>
      </c>
      <c r="S852" s="36" t="s">
        <v>35</v>
      </c>
      <c r="T852" s="23"/>
      <c r="U852" s="30"/>
      <c r="V852" s="31">
        <v>45714</v>
      </c>
      <c r="W852" s="32" t="s">
        <v>1500</v>
      </c>
      <c r="X852" s="33" t="s">
        <v>65</v>
      </c>
      <c r="Y852" s="86" t="s">
        <v>1501</v>
      </c>
      <c r="Z852" s="42" t="s">
        <v>597</v>
      </c>
      <c r="AA852" s="20" t="s">
        <v>49</v>
      </c>
      <c r="AB852" s="20" t="s">
        <v>49</v>
      </c>
      <c r="AC852" s="19" t="s">
        <v>49</v>
      </c>
      <c r="AD852" s="19" t="str">
        <f ca="1">IFERROR(DATEDIF(DadosViagem5[[#This Row],[Utimo Bip Reserva]],TODAY(),"D"),"")</f>
        <v/>
      </c>
      <c r="AE852" s="36" t="s">
        <v>1502</v>
      </c>
      <c r="AF852" s="25" t="s">
        <v>49</v>
      </c>
      <c r="AG852" s="30" t="s">
        <v>153</v>
      </c>
      <c r="AH852" s="25">
        <v>93</v>
      </c>
      <c r="AI852" s="36" t="str">
        <f>IF(DadosViagem5[[#This Row],[Dias em manutenção ]]&lt;5,"Dentro do Prazo","Fora do Prazo")</f>
        <v>Fora do Prazo</v>
      </c>
      <c r="AJ852" s="36" t="e">
        <v>#REF!</v>
      </c>
    </row>
    <row r="853" spans="1:36">
      <c r="A853" s="19" t="s">
        <v>1503</v>
      </c>
      <c r="B853" s="20"/>
      <c r="C853" s="19" t="s">
        <v>1504</v>
      </c>
      <c r="D853" s="19" t="s">
        <v>52</v>
      </c>
      <c r="E853" s="19" t="s">
        <v>114</v>
      </c>
      <c r="F853" s="19" t="s">
        <v>115</v>
      </c>
      <c r="G853" s="19"/>
      <c r="H853" s="20">
        <v>2021</v>
      </c>
      <c r="I853" s="19" t="s">
        <v>41</v>
      </c>
      <c r="J853" s="19" t="s">
        <v>58</v>
      </c>
      <c r="K853" s="21" t="s">
        <v>59</v>
      </c>
      <c r="L853" s="39" t="s">
        <v>60</v>
      </c>
      <c r="M853" s="23" t="s">
        <v>61</v>
      </c>
      <c r="N853" s="25" t="s">
        <v>62</v>
      </c>
      <c r="O853" s="65" t="s">
        <v>63</v>
      </c>
      <c r="P853" s="26">
        <f ca="1">IFERROR(VLOOKUP(DadosViagem5[[#This Row],[Placa]],[1]BIP!A:E,5,FALSE),"")</f>
        <v>45820</v>
      </c>
      <c r="Q853" s="27">
        <f ca="1">DATEDIF(DadosViagem5[[#This Row],[BIP]],TODAY(),"D")</f>
        <v>170</v>
      </c>
      <c r="R853" s="28" t="str">
        <f>IFERROR(VLOOKUP(DadosViagem5[[#This Row],[Placa]],[1]DDS!B:C,2,FALSE),"Verificar cadastro")</f>
        <v>Verificar cadastro</v>
      </c>
      <c r="S853" s="36" t="s">
        <v>574</v>
      </c>
      <c r="T853" s="23"/>
      <c r="U853" s="30"/>
      <c r="V853" s="31"/>
      <c r="W853" s="32" t="s">
        <v>1505</v>
      </c>
      <c r="X853" s="33"/>
      <c r="Y853" s="34"/>
      <c r="Z853" s="32"/>
      <c r="AA853" s="20" t="s">
        <v>49</v>
      </c>
      <c r="AB853" s="20" t="s">
        <v>49</v>
      </c>
      <c r="AC853" s="19" t="s">
        <v>49</v>
      </c>
      <c r="AD853" s="19" t="str">
        <f ca="1">IFERROR(DATEDIF(DadosViagem5[[#This Row],[Utimo Bip Reserva]],TODAY(),"D"),"")</f>
        <v/>
      </c>
      <c r="AE853" s="36"/>
      <c r="AF853" s="25" t="s">
        <v>49</v>
      </c>
      <c r="AG853" s="36"/>
      <c r="AH853" s="25">
        <v>15</v>
      </c>
      <c r="AI853" s="36" t="str">
        <f>IF(DadosViagem5[[#This Row],[Dias em manutenção ]]&lt;5,"Dentro do Prazo","Fora do Prazo")</f>
        <v>Fora do Prazo</v>
      </c>
      <c r="AJ853" s="36" t="e">
        <v>#REF!</v>
      </c>
    </row>
    <row r="854" spans="1:36">
      <c r="A854" s="19" t="s">
        <v>1506</v>
      </c>
      <c r="B854" s="20"/>
      <c r="C854" s="19" t="s">
        <v>1507</v>
      </c>
      <c r="D854" s="19" t="s">
        <v>592</v>
      </c>
      <c r="E854" s="19" t="s">
        <v>114</v>
      </c>
      <c r="F854" s="19" t="s">
        <v>115</v>
      </c>
      <c r="G854" s="19"/>
      <c r="H854" s="20">
        <v>2021</v>
      </c>
      <c r="I854" s="19" t="s">
        <v>41</v>
      </c>
      <c r="J854" s="19" t="s">
        <v>58</v>
      </c>
      <c r="K854" s="21" t="s">
        <v>59</v>
      </c>
      <c r="L854" s="39" t="s">
        <v>60</v>
      </c>
      <c r="M854" s="23" t="s">
        <v>61</v>
      </c>
      <c r="N854" s="25" t="s">
        <v>62</v>
      </c>
      <c r="O854" s="65" t="s">
        <v>63</v>
      </c>
      <c r="P854" s="26">
        <f ca="1">IFERROR(VLOOKUP(DadosViagem5[[#This Row],[Placa]],[1]BIP!A:E,5,FALSE),"")</f>
        <v>45989</v>
      </c>
      <c r="Q854" s="27">
        <f ca="1">DATEDIF(DadosViagem5[[#This Row],[BIP]],TODAY(),"D")</f>
        <v>1</v>
      </c>
      <c r="R854" s="28" t="str">
        <f>IFERROR(VLOOKUP(DadosViagem5[[#This Row],[Placa]],[1]DDS!B:C,2,FALSE),"Verificar cadastro")</f>
        <v>Carregado</v>
      </c>
      <c r="S854" s="29" t="s">
        <v>48</v>
      </c>
      <c r="T854" s="23"/>
      <c r="U854" s="30"/>
      <c r="V854" s="31"/>
      <c r="W854" s="32" t="s">
        <v>1050</v>
      </c>
      <c r="X854" s="33"/>
      <c r="Y854" s="34"/>
      <c r="Z854" s="42"/>
      <c r="AA854" s="20" t="s">
        <v>49</v>
      </c>
      <c r="AB854" s="20" t="s">
        <v>49</v>
      </c>
      <c r="AC854" s="19" t="s">
        <v>49</v>
      </c>
      <c r="AD854" s="19" t="str">
        <f ca="1">IFERROR(DATEDIF(DadosViagem5[[#This Row],[Utimo Bip Reserva]],TODAY(),"D"),"")</f>
        <v/>
      </c>
      <c r="AE854" s="36" t="s">
        <v>49</v>
      </c>
      <c r="AF854" s="25" t="s">
        <v>49</v>
      </c>
      <c r="AG854" s="36"/>
      <c r="AH854" s="25">
        <v>45807</v>
      </c>
      <c r="AI854" s="36" t="str">
        <f>IF(DadosViagem5[[#This Row],[Dias em manutenção ]]&lt;5,"Dentro do Prazo","Fora do Prazo")</f>
        <v>Fora do Prazo</v>
      </c>
      <c r="AJ854" s="36" t="e">
        <v>#REF!</v>
      </c>
    </row>
    <row r="855" spans="1:36">
      <c r="A855" s="19" t="s">
        <v>1508</v>
      </c>
      <c r="B855" s="20"/>
      <c r="C855" s="19" t="s">
        <v>1509</v>
      </c>
      <c r="D855" s="19" t="s">
        <v>38</v>
      </c>
      <c r="E855" s="19" t="s">
        <v>114</v>
      </c>
      <c r="F855" s="19" t="s">
        <v>115</v>
      </c>
      <c r="G855" s="19"/>
      <c r="H855" s="20">
        <v>2022</v>
      </c>
      <c r="I855" s="19" t="s">
        <v>41</v>
      </c>
      <c r="J855" s="19" t="s">
        <v>58</v>
      </c>
      <c r="K855" s="21" t="s">
        <v>59</v>
      </c>
      <c r="L855" s="39" t="s">
        <v>60</v>
      </c>
      <c r="M855" s="23" t="s">
        <v>61</v>
      </c>
      <c r="N855" s="25" t="s">
        <v>62</v>
      </c>
      <c r="O855" s="65" t="s">
        <v>63</v>
      </c>
      <c r="P855" s="26">
        <f ca="1">IFERROR(VLOOKUP(DadosViagem5[[#This Row],[Placa]],[1]BIP!A:E,5,FALSE),"")</f>
        <v>45989</v>
      </c>
      <c r="Q855" s="27">
        <f ca="1">DATEDIF(DadosViagem5[[#This Row],[BIP]],TODAY(),"D")</f>
        <v>1</v>
      </c>
      <c r="R855" s="28" t="str">
        <f>IFERROR(VLOOKUP(DadosViagem5[[#This Row],[Placa]],[1]DDS!B:C,2,FALSE),"Verificar cadastro")</f>
        <v>Carregado</v>
      </c>
      <c r="S855" s="29" t="s">
        <v>48</v>
      </c>
      <c r="T855" s="23"/>
      <c r="U855" s="30"/>
      <c r="V855" s="31"/>
      <c r="W855" s="133" t="s">
        <v>1510</v>
      </c>
      <c r="X855" s="33"/>
      <c r="Y855" s="34"/>
      <c r="Z855" s="32"/>
      <c r="AA855" s="20" t="s">
        <v>49</v>
      </c>
      <c r="AB855" s="20" t="s">
        <v>49</v>
      </c>
      <c r="AC855" s="19" t="s">
        <v>49</v>
      </c>
      <c r="AD855" s="19" t="str">
        <f ca="1">IFERROR(DATEDIF(DadosViagem5[[#This Row],[Utimo Bip Reserva]],TODAY(),"D"),"")</f>
        <v/>
      </c>
      <c r="AE855" s="36" t="s">
        <v>49</v>
      </c>
      <c r="AF855" s="25" t="s">
        <v>49</v>
      </c>
      <c r="AG855" s="36"/>
      <c r="AH855" s="25">
        <v>45807</v>
      </c>
      <c r="AI855" s="36" t="str">
        <f>IF(DadosViagem5[[#This Row],[Dias em manutenção ]]&lt;5,"Dentro do Prazo","Fora do Prazo")</f>
        <v>Fora do Prazo</v>
      </c>
      <c r="AJ855" s="36" t="e">
        <v>#REF!</v>
      </c>
    </row>
    <row r="856" spans="1:36">
      <c r="A856" s="19" t="s">
        <v>1511</v>
      </c>
      <c r="B856" s="20"/>
      <c r="C856" s="19" t="s">
        <v>71</v>
      </c>
      <c r="D856" s="19" t="s">
        <v>38</v>
      </c>
      <c r="E856" s="19" t="s">
        <v>57</v>
      </c>
      <c r="F856" s="19" t="s">
        <v>40</v>
      </c>
      <c r="G856" s="19"/>
      <c r="H856" s="20">
        <v>2020</v>
      </c>
      <c r="I856" s="19" t="s">
        <v>41</v>
      </c>
      <c r="J856" s="19" t="s">
        <v>58</v>
      </c>
      <c r="K856" s="21" t="s">
        <v>59</v>
      </c>
      <c r="L856" s="39" t="s">
        <v>60</v>
      </c>
      <c r="M856" s="23" t="s">
        <v>61</v>
      </c>
      <c r="N856" s="25" t="s">
        <v>62</v>
      </c>
      <c r="O856" s="65" t="s">
        <v>63</v>
      </c>
      <c r="P856" s="26">
        <f ca="1">IFERROR(VLOOKUP(DadosViagem5[[#This Row],[Placa]],[1]BIP!A:E,5,FALSE),"")</f>
        <v>45971</v>
      </c>
      <c r="Q856" s="27">
        <f ca="1">DATEDIF(DadosViagem5[[#This Row],[BIP]],TODAY(),"D")</f>
        <v>19</v>
      </c>
      <c r="R856" s="28" t="str">
        <f>IFERROR(VLOOKUP(DadosViagem5[[#This Row],[Placa]],[1]DDS!B:C,2,FALSE),"Verificar cadastro")</f>
        <v> </v>
      </c>
      <c r="S856" s="29" t="s">
        <v>48</v>
      </c>
      <c r="T856" s="23"/>
      <c r="U856" s="30"/>
      <c r="V856" s="31"/>
      <c r="W856" s="32" t="s">
        <v>616</v>
      </c>
      <c r="X856" s="33"/>
      <c r="Y856" s="34"/>
      <c r="Z856" s="32"/>
      <c r="AA856" s="20" t="s">
        <v>49</v>
      </c>
      <c r="AB856" s="20" t="s">
        <v>49</v>
      </c>
      <c r="AC856" s="19" t="s">
        <v>49</v>
      </c>
      <c r="AD856" s="19" t="str">
        <f ca="1">IFERROR(DATEDIF(DadosViagem5[[#This Row],[Utimo Bip Reserva]],TODAY(),"D"),"")</f>
        <v/>
      </c>
      <c r="AE856" s="36"/>
      <c r="AF856" s="25" t="s">
        <v>49</v>
      </c>
      <c r="AG856" s="36"/>
      <c r="AH856" s="25">
        <v>45807</v>
      </c>
      <c r="AI856" s="36" t="str">
        <f>IF(DadosViagem5[[#This Row],[Dias em manutenção ]]&lt;5,"Dentro do Prazo","Fora do Prazo")</f>
        <v>Fora do Prazo</v>
      </c>
      <c r="AJ856" s="36" t="e">
        <v>#REF!</v>
      </c>
    </row>
    <row r="857" spans="1:36">
      <c r="A857" s="19" t="s">
        <v>1512</v>
      </c>
      <c r="B857" s="20"/>
      <c r="C857" s="19" t="s">
        <v>71</v>
      </c>
      <c r="D857" s="19" t="s">
        <v>38</v>
      </c>
      <c r="E857" s="19" t="s">
        <v>57</v>
      </c>
      <c r="F857" s="19" t="s">
        <v>40</v>
      </c>
      <c r="G857" s="19"/>
      <c r="H857" s="20">
        <v>2020</v>
      </c>
      <c r="I857" s="19" t="s">
        <v>41</v>
      </c>
      <c r="J857" s="19" t="s">
        <v>58</v>
      </c>
      <c r="K857" s="21" t="s">
        <v>59</v>
      </c>
      <c r="L857" s="39" t="s">
        <v>60</v>
      </c>
      <c r="M857" s="23" t="s">
        <v>61</v>
      </c>
      <c r="N857" s="25" t="s">
        <v>62</v>
      </c>
      <c r="O857" s="65" t="s">
        <v>63</v>
      </c>
      <c r="P857" s="26">
        <f ca="1">IFERROR(VLOOKUP(DadosViagem5[[#This Row],[Placa]],[1]BIP!A:E,5,FALSE),"")</f>
        <v>0</v>
      </c>
      <c r="Q857" s="27">
        <f ca="1">DATEDIF(DadosViagem5[[#This Row],[BIP]],TODAY(),"D")</f>
        <v>45990</v>
      </c>
      <c r="R857" s="28" t="str">
        <f>IFERROR(VLOOKUP(DadosViagem5[[#This Row],[Placa]],[1]DDS!B:C,2,FALSE),"Verificar cadastro")</f>
        <v> </v>
      </c>
      <c r="S857" s="29" t="s">
        <v>173</v>
      </c>
      <c r="T857" s="23"/>
      <c r="U857" s="30"/>
      <c r="V857" s="31"/>
      <c r="W857" s="32" t="s">
        <v>1513</v>
      </c>
      <c r="X857" s="33"/>
      <c r="Y857" s="34"/>
      <c r="Z857" s="42"/>
      <c r="AA857" s="20" t="s">
        <v>49</v>
      </c>
      <c r="AB857" s="20" t="s">
        <v>49</v>
      </c>
      <c r="AC857" s="19" t="s">
        <v>49</v>
      </c>
      <c r="AD857" s="19" t="str">
        <f ca="1">IFERROR(DATEDIF(DadosViagem5[[#This Row],[Utimo Bip Reserva]],TODAY(),"D"),"")</f>
        <v/>
      </c>
      <c r="AE857" s="36"/>
      <c r="AF857" s="25" t="s">
        <v>49</v>
      </c>
      <c r="AG857" s="36"/>
      <c r="AH857" s="25">
        <v>45807</v>
      </c>
      <c r="AI857" s="36" t="str">
        <f>IF(DadosViagem5[[#This Row],[Dias em manutenção ]]&lt;5,"Dentro do Prazo","Fora do Prazo")</f>
        <v>Fora do Prazo</v>
      </c>
      <c r="AJ857" s="36" t="e">
        <v>#REF!</v>
      </c>
    </row>
    <row r="858" spans="1:36">
      <c r="A858" s="19" t="s">
        <v>1514</v>
      </c>
      <c r="B858" s="20"/>
      <c r="C858" s="19" t="s">
        <v>88</v>
      </c>
      <c r="D858" s="19" t="s">
        <v>52</v>
      </c>
      <c r="E858" s="19" t="s">
        <v>114</v>
      </c>
      <c r="F858" s="19" t="s">
        <v>115</v>
      </c>
      <c r="G858" s="19"/>
      <c r="H858" s="20">
        <v>2021</v>
      </c>
      <c r="I858" s="19" t="s">
        <v>41</v>
      </c>
      <c r="J858" s="19" t="s">
        <v>58</v>
      </c>
      <c r="K858" s="21" t="s">
        <v>59</v>
      </c>
      <c r="L858" s="22" t="s">
        <v>60</v>
      </c>
      <c r="M858" s="23" t="s">
        <v>61</v>
      </c>
      <c r="N858" s="25" t="s">
        <v>62</v>
      </c>
      <c r="O858" s="65" t="s">
        <v>63</v>
      </c>
      <c r="P858" s="26">
        <f ca="1">IFERROR(VLOOKUP(DadosViagem5[[#This Row],[Placa]],[1]BIP!A:E,5,FALSE),"")</f>
        <v>45989</v>
      </c>
      <c r="Q858" s="27">
        <f ca="1">DATEDIF(DadosViagem5[[#This Row],[BIP]],TODAY(),"D")</f>
        <v>1</v>
      </c>
      <c r="R858" s="28" t="str">
        <f>IFERROR(VLOOKUP(DadosViagem5[[#This Row],[Placa]],[1]DDS!B:C,2,FALSE),"Verificar cadastro")</f>
        <v>Carregado</v>
      </c>
      <c r="S858" s="29" t="s">
        <v>48</v>
      </c>
      <c r="T858" s="23"/>
      <c r="U858" s="30"/>
      <c r="V858" s="31"/>
      <c r="W858" s="32"/>
      <c r="X858" s="33"/>
      <c r="Y858" s="34"/>
      <c r="Z858" s="32"/>
      <c r="AA858" s="20" t="s">
        <v>49</v>
      </c>
      <c r="AB858" s="20" t="s">
        <v>49</v>
      </c>
      <c r="AC858" s="19" t="s">
        <v>49</v>
      </c>
      <c r="AD858" s="19" t="str">
        <f ca="1">IFERROR(DATEDIF(DadosViagem5[[#This Row],[Utimo Bip Reserva]],TODAY(),"D"),"")</f>
        <v/>
      </c>
      <c r="AE858" s="36" t="s">
        <v>49</v>
      </c>
      <c r="AF858" s="25" t="s">
        <v>49</v>
      </c>
      <c r="AG858" s="36" t="s">
        <v>454</v>
      </c>
      <c r="AH858" s="25">
        <v>45807</v>
      </c>
      <c r="AI858" s="36" t="str">
        <f>IF(DadosViagem5[[#This Row],[Dias em manutenção ]]&lt;5,"Dentro do Prazo","Fora do Prazo")</f>
        <v>Fora do Prazo</v>
      </c>
      <c r="AJ858" s="36" t="e">
        <v>#REF!</v>
      </c>
    </row>
    <row r="859" spans="1:36">
      <c r="A859" s="19" t="s">
        <v>1515</v>
      </c>
      <c r="B859" s="20"/>
      <c r="C859" s="19" t="s">
        <v>88</v>
      </c>
      <c r="D859" s="19" t="s">
        <v>52</v>
      </c>
      <c r="E859" s="19" t="s">
        <v>114</v>
      </c>
      <c r="F859" s="19" t="s">
        <v>115</v>
      </c>
      <c r="G859" s="19"/>
      <c r="H859" s="20">
        <v>2021</v>
      </c>
      <c r="I859" s="19" t="s">
        <v>41</v>
      </c>
      <c r="J859" s="19" t="s">
        <v>58</v>
      </c>
      <c r="K859" s="21" t="s">
        <v>59</v>
      </c>
      <c r="L859" s="22" t="s">
        <v>60</v>
      </c>
      <c r="M859" s="23" t="s">
        <v>61</v>
      </c>
      <c r="N859" s="25" t="s">
        <v>62</v>
      </c>
      <c r="O859" s="65" t="s">
        <v>63</v>
      </c>
      <c r="P859" s="26">
        <f ca="1">IFERROR(VLOOKUP(DadosViagem5[[#This Row],[Placa]],[1]BIP!A:E,5,FALSE),"")</f>
        <v>45989</v>
      </c>
      <c r="Q859" s="27">
        <f ca="1">DATEDIF(DadosViagem5[[#This Row],[BIP]],TODAY(),"D")</f>
        <v>1</v>
      </c>
      <c r="R859" s="28" t="str">
        <f>IFERROR(VLOOKUP(DadosViagem5[[#This Row],[Placa]],[1]DDS!B:C,2,FALSE),"Verificar cadastro")</f>
        <v>Carregado</v>
      </c>
      <c r="S859" s="29" t="s">
        <v>48</v>
      </c>
      <c r="T859" s="23"/>
      <c r="U859" s="30"/>
      <c r="V859" s="31"/>
      <c r="W859" s="32"/>
      <c r="X859" s="33"/>
      <c r="Y859" s="34"/>
      <c r="Z859" s="32"/>
      <c r="AA859" s="20" t="s">
        <v>49</v>
      </c>
      <c r="AB859" s="20" t="s">
        <v>49</v>
      </c>
      <c r="AC859" s="19" t="s">
        <v>49</v>
      </c>
      <c r="AD859" s="19" t="str">
        <f ca="1">IFERROR(DATEDIF(DadosViagem5[[#This Row],[Utimo Bip Reserva]],TODAY(),"D"),"")</f>
        <v/>
      </c>
      <c r="AE859" s="36" t="s">
        <v>49</v>
      </c>
      <c r="AF859" s="25" t="s">
        <v>49</v>
      </c>
      <c r="AG859" s="36"/>
      <c r="AH859" s="25">
        <v>45807</v>
      </c>
      <c r="AI859" s="36" t="str">
        <f>IF(DadosViagem5[[#This Row],[Dias em manutenção ]]&lt;5,"Dentro do Prazo","Fora do Prazo")</f>
        <v>Fora do Prazo</v>
      </c>
      <c r="AJ859" s="36" t="e">
        <v>#REF!</v>
      </c>
    </row>
    <row r="860" spans="1:36">
      <c r="A860" s="19" t="s">
        <v>1516</v>
      </c>
      <c r="B860" s="20"/>
      <c r="C860" s="19" t="s">
        <v>88</v>
      </c>
      <c r="D860" s="19" t="s">
        <v>52</v>
      </c>
      <c r="E860" s="19" t="s">
        <v>114</v>
      </c>
      <c r="F860" s="19" t="s">
        <v>115</v>
      </c>
      <c r="G860" s="19"/>
      <c r="H860" s="20">
        <v>2022</v>
      </c>
      <c r="I860" s="19" t="s">
        <v>41</v>
      </c>
      <c r="J860" s="19" t="s">
        <v>58</v>
      </c>
      <c r="K860" s="38" t="s">
        <v>59</v>
      </c>
      <c r="L860" s="39" t="s">
        <v>60</v>
      </c>
      <c r="M860" s="23" t="s">
        <v>61</v>
      </c>
      <c r="N860" s="40" t="s">
        <v>62</v>
      </c>
      <c r="O860" s="41" t="s">
        <v>63</v>
      </c>
      <c r="P860" s="26">
        <f ca="1">IFERROR(VLOOKUP(DadosViagem5[[#This Row],[Placa]],[1]BIP!A:E,5,FALSE),"")</f>
        <v>45989</v>
      </c>
      <c r="Q860" s="27">
        <f ca="1">DATEDIF(DadosViagem5[[#This Row],[BIP]],TODAY(),"D")</f>
        <v>1</v>
      </c>
      <c r="R860" s="28" t="str">
        <f>IFERROR(VLOOKUP(DadosViagem5[[#This Row],[Placa]],[1]DDS!B:C,2,FALSE),"Verificar cadastro")</f>
        <v>Carregado</v>
      </c>
      <c r="S860" s="29" t="s">
        <v>48</v>
      </c>
      <c r="T860" s="23"/>
      <c r="U860" s="30"/>
      <c r="V860" s="31"/>
      <c r="W860" s="32"/>
      <c r="X860" s="33"/>
      <c r="Y860" s="34"/>
      <c r="Z860" s="32"/>
      <c r="AA860" s="20" t="s">
        <v>49</v>
      </c>
      <c r="AB860" s="20" t="s">
        <v>49</v>
      </c>
      <c r="AC860" s="19" t="s">
        <v>49</v>
      </c>
      <c r="AD860" s="19" t="str">
        <f ca="1">IFERROR(DATEDIF(DadosViagem5[[#This Row],[Utimo Bip Reserva]],TODAY(),"D"),"")</f>
        <v/>
      </c>
      <c r="AE860" s="36" t="s">
        <v>49</v>
      </c>
      <c r="AF860" s="25" t="s">
        <v>49</v>
      </c>
      <c r="AG860" s="36"/>
      <c r="AH860" s="25">
        <v>45807</v>
      </c>
      <c r="AI860" s="36" t="str">
        <f>IF(DadosViagem5[[#This Row],[Dias em manutenção ]]&lt;5,"Dentro do Prazo","Fora do Prazo")</f>
        <v>Fora do Prazo</v>
      </c>
      <c r="AJ860" s="36" t="e">
        <v>#REF!</v>
      </c>
    </row>
    <row r="861" spans="1:36">
      <c r="A861" s="19" t="s">
        <v>1517</v>
      </c>
      <c r="B861" s="20"/>
      <c r="C861" s="19" t="s">
        <v>88</v>
      </c>
      <c r="D861" s="19" t="s">
        <v>52</v>
      </c>
      <c r="E861" s="19" t="s">
        <v>114</v>
      </c>
      <c r="F861" s="19" t="s">
        <v>115</v>
      </c>
      <c r="G861" s="19"/>
      <c r="H861" s="20">
        <v>2022</v>
      </c>
      <c r="I861" s="19" t="s">
        <v>41</v>
      </c>
      <c r="J861" s="19" t="s">
        <v>58</v>
      </c>
      <c r="K861" s="21" t="s">
        <v>59</v>
      </c>
      <c r="L861" s="22" t="s">
        <v>60</v>
      </c>
      <c r="M861" s="23" t="s">
        <v>61</v>
      </c>
      <c r="N861" s="25" t="s">
        <v>62</v>
      </c>
      <c r="O861" s="65" t="s">
        <v>63</v>
      </c>
      <c r="P861" s="26">
        <f ca="1">IFERROR(VLOOKUP(DadosViagem5[[#This Row],[Placa]],[1]BIP!A:E,5,FALSE),"")</f>
        <v>45989</v>
      </c>
      <c r="Q861" s="27">
        <f ca="1">DATEDIF(DadosViagem5[[#This Row],[BIP]],TODAY(),"D")</f>
        <v>1</v>
      </c>
      <c r="R861" s="28" t="str">
        <f>IFERROR(VLOOKUP(DadosViagem5[[#This Row],[Placa]],[1]DDS!B:C,2,FALSE),"Verificar cadastro")</f>
        <v>Operando</v>
      </c>
      <c r="S861" s="29" t="s">
        <v>48</v>
      </c>
      <c r="T861" s="23"/>
      <c r="U861" s="30"/>
      <c r="V861" s="31"/>
      <c r="W861" s="32"/>
      <c r="X861" s="33"/>
      <c r="Y861" s="34"/>
      <c r="Z861" s="32"/>
      <c r="AA861" s="20" t="s">
        <v>49</v>
      </c>
      <c r="AB861" s="20" t="s">
        <v>49</v>
      </c>
      <c r="AC861" s="19" t="s">
        <v>49</v>
      </c>
      <c r="AD861" s="19" t="str">
        <f ca="1">IFERROR(DATEDIF(DadosViagem5[[#This Row],[Utimo Bip Reserva]],TODAY(),"D"),"")</f>
        <v/>
      </c>
      <c r="AE861" s="36" t="s">
        <v>49</v>
      </c>
      <c r="AF861" s="25" t="s">
        <v>49</v>
      </c>
      <c r="AG861" s="36"/>
      <c r="AH861" s="25">
        <v>45807</v>
      </c>
      <c r="AI861" s="36" t="str">
        <f>IF(DadosViagem5[[#This Row],[Dias em manutenção ]]&lt;5,"Dentro do Prazo","Fora do Prazo")</f>
        <v>Fora do Prazo</v>
      </c>
      <c r="AJ861" s="36" t="e">
        <v>#REF!</v>
      </c>
    </row>
    <row r="862" spans="1:36">
      <c r="A862" s="19" t="s">
        <v>1518</v>
      </c>
      <c r="B862" s="20"/>
      <c r="C862" s="19" t="s">
        <v>88</v>
      </c>
      <c r="D862" s="19" t="s">
        <v>52</v>
      </c>
      <c r="E862" s="19" t="s">
        <v>114</v>
      </c>
      <c r="F862" s="19" t="s">
        <v>115</v>
      </c>
      <c r="G862" s="19"/>
      <c r="H862" s="20">
        <v>2021</v>
      </c>
      <c r="I862" s="19" t="s">
        <v>41</v>
      </c>
      <c r="J862" s="19" t="s">
        <v>58</v>
      </c>
      <c r="K862" s="38" t="s">
        <v>59</v>
      </c>
      <c r="L862" s="39" t="s">
        <v>60</v>
      </c>
      <c r="M862" s="23" t="s">
        <v>61</v>
      </c>
      <c r="N862" s="40" t="s">
        <v>62</v>
      </c>
      <c r="O862" s="41" t="s">
        <v>63</v>
      </c>
      <c r="P862" s="26">
        <f ca="1">IFERROR(VLOOKUP(DadosViagem5[[#This Row],[Placa]],[1]BIP!A:E,5,FALSE),"")</f>
        <v>45989</v>
      </c>
      <c r="Q862" s="27">
        <f ca="1">DATEDIF(DadosViagem5[[#This Row],[BIP]],TODAY(),"D")</f>
        <v>1</v>
      </c>
      <c r="R862" s="28" t="str">
        <f>IFERROR(VLOOKUP(DadosViagem5[[#This Row],[Placa]],[1]DDS!B:C,2,FALSE),"Verificar cadastro")</f>
        <v>Carregado</v>
      </c>
      <c r="S862" s="29" t="s">
        <v>48</v>
      </c>
      <c r="T862" s="23"/>
      <c r="U862" s="30"/>
      <c r="V862" s="31"/>
      <c r="W862" s="32"/>
      <c r="X862" s="33"/>
      <c r="Y862" s="34"/>
      <c r="Z862" s="32"/>
      <c r="AA862" s="20" t="s">
        <v>49</v>
      </c>
      <c r="AB862" s="20" t="s">
        <v>49</v>
      </c>
      <c r="AC862" s="19" t="s">
        <v>49</v>
      </c>
      <c r="AD862" s="19" t="str">
        <f ca="1">IFERROR(DATEDIF(DadosViagem5[[#This Row],[Utimo Bip Reserva]],TODAY(),"D"),"")</f>
        <v/>
      </c>
      <c r="AE862" s="36" t="s">
        <v>49</v>
      </c>
      <c r="AF862" s="25" t="s">
        <v>49</v>
      </c>
      <c r="AG862" s="36"/>
      <c r="AH862" s="25">
        <v>9</v>
      </c>
      <c r="AI862" s="36" t="str">
        <f>IF(DadosViagem5[[#This Row],[Dias em manutenção ]]&lt;5,"Dentro do Prazo","Fora do Prazo")</f>
        <v>Fora do Prazo</v>
      </c>
      <c r="AJ862" s="36" t="e">
        <v>#REF!</v>
      </c>
    </row>
    <row r="863" spans="1:36">
      <c r="A863" s="19" t="s">
        <v>1519</v>
      </c>
      <c r="B863" s="20"/>
      <c r="C863" s="19" t="s">
        <v>1509</v>
      </c>
      <c r="D863" s="19" t="s">
        <v>38</v>
      </c>
      <c r="E863" s="19" t="s">
        <v>114</v>
      </c>
      <c r="F863" s="19" t="s">
        <v>115</v>
      </c>
      <c r="G863" s="19"/>
      <c r="H863" s="20">
        <v>2022</v>
      </c>
      <c r="I863" s="19" t="s">
        <v>41</v>
      </c>
      <c r="J863" s="19" t="s">
        <v>58</v>
      </c>
      <c r="K863" s="21" t="s">
        <v>59</v>
      </c>
      <c r="L863" s="22" t="s">
        <v>60</v>
      </c>
      <c r="M863" s="23" t="s">
        <v>61</v>
      </c>
      <c r="N863" s="25" t="s">
        <v>62</v>
      </c>
      <c r="O863" s="65" t="s">
        <v>63</v>
      </c>
      <c r="P863" s="26">
        <f ca="1">IFERROR(VLOOKUP(DadosViagem5[[#This Row],[Placa]],[1]BIP!A:E,5,FALSE),"")</f>
        <v>45989</v>
      </c>
      <c r="Q863" s="27">
        <f ca="1">DATEDIF(DadosViagem5[[#This Row],[BIP]],TODAY(),"D")</f>
        <v>1</v>
      </c>
      <c r="R863" s="28" t="str">
        <f>IFERROR(VLOOKUP(DadosViagem5[[#This Row],[Placa]],[1]DDS!B:C,2,FALSE),"Verificar cadastro")</f>
        <v>Carregado</v>
      </c>
      <c r="S863" s="29" t="s">
        <v>48</v>
      </c>
      <c r="T863" s="23"/>
      <c r="U863" s="30"/>
      <c r="V863" s="31"/>
      <c r="W863" s="32" t="s">
        <v>796</v>
      </c>
      <c r="X863" s="33"/>
      <c r="Y863" s="34"/>
      <c r="Z863" s="63"/>
      <c r="AA863" s="20" t="s">
        <v>49</v>
      </c>
      <c r="AB863" s="20" t="s">
        <v>49</v>
      </c>
      <c r="AC863" s="19" t="s">
        <v>49</v>
      </c>
      <c r="AD863" s="19" t="str">
        <f ca="1">IFERROR(DATEDIF(DadosViagem5[[#This Row],[Utimo Bip Reserva]],TODAY(),"D"),"")</f>
        <v/>
      </c>
      <c r="AE863" s="36" t="s">
        <v>49</v>
      </c>
      <c r="AF863" s="25" t="s">
        <v>49</v>
      </c>
      <c r="AG863" s="36"/>
      <c r="AH863" s="25">
        <v>45807</v>
      </c>
      <c r="AI863" s="36" t="str">
        <f>IF(DadosViagem5[[#This Row],[Dias em manutenção ]]&lt;5,"Dentro do Prazo","Fora do Prazo")</f>
        <v>Fora do Prazo</v>
      </c>
      <c r="AJ863" s="36" t="e">
        <v>#REF!</v>
      </c>
    </row>
    <row r="864" spans="1:36">
      <c r="A864" s="19" t="s">
        <v>1520</v>
      </c>
      <c r="B864" s="20"/>
      <c r="C864" s="19" t="s">
        <v>591</v>
      </c>
      <c r="D864" s="19" t="s">
        <v>592</v>
      </c>
      <c r="E864" s="19" t="s">
        <v>114</v>
      </c>
      <c r="F864" s="19" t="s">
        <v>115</v>
      </c>
      <c r="G864" s="19"/>
      <c r="H864" s="20">
        <v>2021</v>
      </c>
      <c r="I864" s="19" t="s">
        <v>41</v>
      </c>
      <c r="J864" s="19" t="s">
        <v>58</v>
      </c>
      <c r="K864" s="21" t="s">
        <v>59</v>
      </c>
      <c r="L864" s="22" t="s">
        <v>60</v>
      </c>
      <c r="M864" s="23" t="s">
        <v>61</v>
      </c>
      <c r="N864" s="25" t="s">
        <v>62</v>
      </c>
      <c r="O864" s="65" t="s">
        <v>63</v>
      </c>
      <c r="P864" s="26">
        <f ca="1">IFERROR(VLOOKUP(DadosViagem5[[#This Row],[Placa]],[1]BIP!A:E,5,FALSE),"")</f>
        <v>45975</v>
      </c>
      <c r="Q864" s="27">
        <f ca="1">DATEDIF(DadosViagem5[[#This Row],[BIP]],TODAY(),"D")</f>
        <v>15</v>
      </c>
      <c r="R864" s="28" t="str">
        <f>IFERROR(VLOOKUP(DadosViagem5[[#This Row],[Placa]],[1]DDS!B:C,2,FALSE),"Verificar cadastro")</f>
        <v>Falta Motorista</v>
      </c>
      <c r="S864" s="29" t="s">
        <v>48</v>
      </c>
      <c r="T864" s="23"/>
      <c r="U864" s="30"/>
      <c r="V864" s="31"/>
      <c r="W864" s="32"/>
      <c r="X864" s="33"/>
      <c r="Y864" s="34"/>
      <c r="Z864" s="32"/>
      <c r="AA864" s="20" t="s">
        <v>49</v>
      </c>
      <c r="AB864" s="20" t="s">
        <v>49</v>
      </c>
      <c r="AC864" s="19" t="s">
        <v>49</v>
      </c>
      <c r="AD864" s="19" t="str">
        <f ca="1">IFERROR(DATEDIF(DadosViagem5[[#This Row],[Utimo Bip Reserva]],TODAY(),"D"),"")</f>
        <v/>
      </c>
      <c r="AE864" s="36" t="s">
        <v>49</v>
      </c>
      <c r="AF864" s="25" t="s">
        <v>49</v>
      </c>
      <c r="AG864" s="36"/>
      <c r="AH864" s="25">
        <v>7</v>
      </c>
      <c r="AI864" s="36" t="str">
        <f>IF(DadosViagem5[[#This Row],[Dias em manutenção ]]&lt;5,"Dentro do Prazo","Fora do Prazo")</f>
        <v>Fora do Prazo</v>
      </c>
      <c r="AJ864" s="36" t="e">
        <v>#REF!</v>
      </c>
    </row>
    <row r="865" spans="1:36">
      <c r="A865" s="19" t="s">
        <v>1521</v>
      </c>
      <c r="B865" s="20"/>
      <c r="C865" s="19" t="s">
        <v>225</v>
      </c>
      <c r="D865" s="19" t="s">
        <v>38</v>
      </c>
      <c r="E865" s="19" t="s">
        <v>39</v>
      </c>
      <c r="F865" s="19" t="s">
        <v>115</v>
      </c>
      <c r="G865" s="19"/>
      <c r="H865" s="20">
        <v>2024</v>
      </c>
      <c r="I865" s="19" t="s">
        <v>41</v>
      </c>
      <c r="J865" s="19" t="s">
        <v>58</v>
      </c>
      <c r="K865" s="21" t="s">
        <v>59</v>
      </c>
      <c r="L865" s="22" t="s">
        <v>60</v>
      </c>
      <c r="M865" s="23" t="s">
        <v>61</v>
      </c>
      <c r="N865" s="25" t="s">
        <v>62</v>
      </c>
      <c r="O865" s="65" t="s">
        <v>63</v>
      </c>
      <c r="P865" s="26">
        <f ca="1">IFERROR(VLOOKUP(DadosViagem5[[#This Row],[Placa]],[1]BIP!A:E,5,FALSE),"")</f>
        <v>45987</v>
      </c>
      <c r="Q865" s="27">
        <f ca="1">DATEDIF(DadosViagem5[[#This Row],[BIP]],TODAY(),"D")</f>
        <v>3</v>
      </c>
      <c r="R865" s="28"/>
      <c r="S865" s="29" t="s">
        <v>48</v>
      </c>
      <c r="T865" s="23"/>
      <c r="U865" s="30"/>
      <c r="V865" s="31"/>
      <c r="W865" s="32" t="s">
        <v>1522</v>
      </c>
      <c r="X865" s="33"/>
      <c r="Y865" s="34"/>
      <c r="Z865" s="32"/>
      <c r="AA865" s="20" t="s">
        <v>49</v>
      </c>
      <c r="AB865" s="20" t="s">
        <v>49</v>
      </c>
      <c r="AC865" s="19" t="s">
        <v>49</v>
      </c>
      <c r="AD865" s="19" t="str">
        <f ca="1">IFERROR(DATEDIF(DadosViagem5[[#This Row],[Utimo Bip Reserva]],TODAY(),"D"),"")</f>
        <v/>
      </c>
      <c r="AE865" s="36"/>
      <c r="AF865" s="25"/>
      <c r="AG865" s="36"/>
      <c r="AH865" s="25">
        <v>45807</v>
      </c>
      <c r="AI865" s="36" t="str">
        <f>IF(DadosViagem5[[#This Row],[Dias em manutenção ]]&lt;5,"Dentro do Prazo","Fora do Prazo")</f>
        <v>Fora do Prazo</v>
      </c>
      <c r="AJ865" s="36" t="e">
        <v>#REF!</v>
      </c>
    </row>
    <row r="866" spans="1:36">
      <c r="A866" s="19" t="s">
        <v>1523</v>
      </c>
      <c r="B866" s="20"/>
      <c r="C866" s="19" t="s">
        <v>71</v>
      </c>
      <c r="D866" s="19" t="s">
        <v>38</v>
      </c>
      <c r="E866" s="19" t="s">
        <v>114</v>
      </c>
      <c r="F866" s="19" t="s">
        <v>115</v>
      </c>
      <c r="G866" s="19"/>
      <c r="H866" s="20">
        <v>2021</v>
      </c>
      <c r="I866" s="19" t="s">
        <v>41</v>
      </c>
      <c r="J866" s="19" t="s">
        <v>58</v>
      </c>
      <c r="K866" s="21" t="s">
        <v>59</v>
      </c>
      <c r="L866" s="22" t="s">
        <v>60</v>
      </c>
      <c r="M866" s="23" t="s">
        <v>61</v>
      </c>
      <c r="N866" s="25" t="s">
        <v>62</v>
      </c>
      <c r="O866" s="65" t="s">
        <v>63</v>
      </c>
      <c r="P866" s="26">
        <f ca="1">IFERROR(VLOOKUP(DadosViagem5[[#This Row],[Placa]],[1]BIP!A:E,5,FALSE),"")</f>
        <v>0</v>
      </c>
      <c r="Q866" s="27">
        <f ca="1">DATEDIF(DadosViagem5[[#This Row],[BIP]],TODAY(),"D")</f>
        <v>45990</v>
      </c>
      <c r="R866" s="28" t="str">
        <f>IFERROR(VLOOKUP(DadosViagem5[[#This Row],[Placa]],[1]DDS!B:C,2,FALSE),"Verificar cadastro")</f>
        <v> </v>
      </c>
      <c r="S866" s="29" t="s">
        <v>48</v>
      </c>
      <c r="T866" s="23"/>
      <c r="U866" s="30"/>
      <c r="V866" s="31"/>
      <c r="W866" s="32"/>
      <c r="X866" s="33"/>
      <c r="Y866" s="34"/>
      <c r="Z866" s="32"/>
      <c r="AA866" s="20" t="s">
        <v>49</v>
      </c>
      <c r="AB866" s="20" t="s">
        <v>49</v>
      </c>
      <c r="AC866" s="19" t="s">
        <v>49</v>
      </c>
      <c r="AD866" s="19" t="str">
        <f ca="1">IFERROR(DATEDIF(DadosViagem5[[#This Row],[Utimo Bip Reserva]],TODAY(),"D"),"")</f>
        <v/>
      </c>
      <c r="AE866" s="36" t="s">
        <v>49</v>
      </c>
      <c r="AF866" s="25" t="s">
        <v>49</v>
      </c>
      <c r="AG866" s="36"/>
      <c r="AH866" s="25">
        <v>45807</v>
      </c>
      <c r="AI866" s="36" t="str">
        <f>IF(DadosViagem5[[#This Row],[Dias em manutenção ]]&lt;5,"Dentro do Prazo","Fora do Prazo")</f>
        <v>Fora do Prazo</v>
      </c>
      <c r="AJ866" s="36" t="e">
        <v>#REF!</v>
      </c>
    </row>
    <row r="867" spans="1:36">
      <c r="A867" s="19" t="s">
        <v>1524</v>
      </c>
      <c r="B867" s="20"/>
      <c r="C867" s="19" t="s">
        <v>71</v>
      </c>
      <c r="D867" s="19" t="s">
        <v>38</v>
      </c>
      <c r="E867" s="19" t="s">
        <v>699</v>
      </c>
      <c r="F867" s="19" t="s">
        <v>115</v>
      </c>
      <c r="G867" s="19"/>
      <c r="H867" s="20">
        <v>2023</v>
      </c>
      <c r="I867" s="19" t="s">
        <v>41</v>
      </c>
      <c r="J867" s="19" t="s">
        <v>58</v>
      </c>
      <c r="K867" s="38" t="s">
        <v>59</v>
      </c>
      <c r="L867" s="39" t="s">
        <v>60</v>
      </c>
      <c r="M867" s="23" t="s">
        <v>61</v>
      </c>
      <c r="N867" s="40" t="s">
        <v>260</v>
      </c>
      <c r="O867" s="41" t="s">
        <v>63</v>
      </c>
      <c r="P867" s="26">
        <f ca="1">IFERROR(VLOOKUP(DadosViagem5[[#This Row],[Placa]],[1]BIP!A:E,5,FALSE),"")</f>
        <v>45975</v>
      </c>
      <c r="Q867" s="27">
        <f ca="1">DATEDIF(DadosViagem5[[#This Row],[BIP]],TODAY(),"D")</f>
        <v>15</v>
      </c>
      <c r="R867" s="28" t="str">
        <f>IFERROR(VLOOKUP(DadosViagem5[[#This Row],[Placa]],[1]DDS!B:C,2,FALSE),"Verificar cadastro")</f>
        <v>Manutenção</v>
      </c>
      <c r="S867" s="29" t="s">
        <v>48</v>
      </c>
      <c r="T867" s="23"/>
      <c r="U867" s="30"/>
      <c r="V867" s="31"/>
      <c r="W867" s="32" t="s">
        <v>796</v>
      </c>
      <c r="X867" s="33"/>
      <c r="Y867" s="34"/>
      <c r="Z867" s="32"/>
      <c r="AA867" s="20" t="s">
        <v>49</v>
      </c>
      <c r="AB867" s="20" t="s">
        <v>49</v>
      </c>
      <c r="AC867" s="19" t="s">
        <v>49</v>
      </c>
      <c r="AD867" s="19" t="str">
        <f ca="1">IFERROR(DATEDIF(DadosViagem5[[#This Row],[Utimo Bip Reserva]],TODAY(),"D"),"")</f>
        <v/>
      </c>
      <c r="AE867" s="25" t="s">
        <v>49</v>
      </c>
      <c r="AF867" s="25" t="s">
        <v>49</v>
      </c>
      <c r="AG867" s="36"/>
      <c r="AH867" s="25">
        <v>45807</v>
      </c>
      <c r="AI867" s="36" t="str">
        <f>IF(DadosViagem5[[#This Row],[Dias em manutenção ]]&lt;5,"Dentro do Prazo","Fora do Prazo")</f>
        <v>Fora do Prazo</v>
      </c>
      <c r="AJ867" s="36" t="e">
        <v>#REF!</v>
      </c>
    </row>
    <row r="868" spans="1:36">
      <c r="A868" s="19" t="s">
        <v>1525</v>
      </c>
      <c r="B868" s="20"/>
      <c r="C868" s="19" t="s">
        <v>88</v>
      </c>
      <c r="D868" s="19" t="s">
        <v>52</v>
      </c>
      <c r="E868" s="19" t="s">
        <v>114</v>
      </c>
      <c r="F868" s="19" t="s">
        <v>115</v>
      </c>
      <c r="G868" s="19"/>
      <c r="H868" s="20">
        <v>2022</v>
      </c>
      <c r="I868" s="37" t="s">
        <v>41</v>
      </c>
      <c r="J868" s="37" t="s">
        <v>58</v>
      </c>
      <c r="K868" s="38" t="s">
        <v>59</v>
      </c>
      <c r="L868" s="22" t="s">
        <v>60</v>
      </c>
      <c r="M868" s="23" t="s">
        <v>61</v>
      </c>
      <c r="N868" s="40" t="s">
        <v>62</v>
      </c>
      <c r="O868" s="41" t="s">
        <v>63</v>
      </c>
      <c r="P868" s="26">
        <f ca="1">IFERROR(VLOOKUP(DadosViagem5[[#This Row],[Placa]],[1]BIP!A:E,5,FALSE),"")</f>
        <v>0</v>
      </c>
      <c r="Q868" s="27">
        <f ca="1">DATEDIF(DadosViagem5[[#This Row],[BIP]],TODAY(),"D")</f>
        <v>45990</v>
      </c>
      <c r="R868" s="28" t="str">
        <f>IFERROR(VLOOKUP(DadosViagem5[[#This Row],[Placa]],[1]DDS!B:C,2,FALSE),"Verificar cadastro")</f>
        <v>Manutenção</v>
      </c>
      <c r="S868" s="29" t="s">
        <v>48</v>
      </c>
      <c r="T868" s="23"/>
      <c r="U868" s="30"/>
      <c r="V868" s="31"/>
      <c r="W868" s="32" t="s">
        <v>783</v>
      </c>
      <c r="X868" s="33"/>
      <c r="Y868" s="34"/>
      <c r="Z868" s="32"/>
      <c r="AA868" s="20" t="s">
        <v>49</v>
      </c>
      <c r="AB868" s="20" t="s">
        <v>49</v>
      </c>
      <c r="AC868" s="19" t="s">
        <v>49</v>
      </c>
      <c r="AD868" s="19" t="str">
        <f ca="1">IFERROR(DATEDIF(DadosViagem5[[#This Row],[Utimo Bip Reserva]],TODAY(),"D"),"")</f>
        <v/>
      </c>
      <c r="AE868" s="36" t="s">
        <v>49</v>
      </c>
      <c r="AF868" s="25" t="s">
        <v>49</v>
      </c>
      <c r="AG868" s="36"/>
      <c r="AH868" s="25">
        <v>45807</v>
      </c>
      <c r="AI868" s="36" t="str">
        <f>IF(DadosViagem5[[#This Row],[Dias em manutenção ]]&lt;5,"Dentro do Prazo","Fora do Prazo")</f>
        <v>Fora do Prazo</v>
      </c>
      <c r="AJ868" s="36" t="e">
        <v>#REF!</v>
      </c>
    </row>
    <row r="869" spans="1:36">
      <c r="A869" s="19" t="s">
        <v>1526</v>
      </c>
      <c r="B869" s="20"/>
      <c r="C869" s="19" t="s">
        <v>1509</v>
      </c>
      <c r="D869" s="19" t="s">
        <v>38</v>
      </c>
      <c r="E869" s="19" t="s">
        <v>114</v>
      </c>
      <c r="F869" s="19" t="s">
        <v>115</v>
      </c>
      <c r="G869" s="19"/>
      <c r="H869" s="20">
        <v>2022</v>
      </c>
      <c r="I869" s="19" t="s">
        <v>41</v>
      </c>
      <c r="J869" s="19" t="s">
        <v>58</v>
      </c>
      <c r="K869" s="21" t="s">
        <v>59</v>
      </c>
      <c r="L869" s="22" t="s">
        <v>60</v>
      </c>
      <c r="M869" s="23" t="s">
        <v>61</v>
      </c>
      <c r="N869" s="25" t="s">
        <v>62</v>
      </c>
      <c r="O869" s="65" t="s">
        <v>63</v>
      </c>
      <c r="P869" s="26">
        <f ca="1">IFERROR(VLOOKUP(DadosViagem5[[#This Row],[Placa]],[1]BIP!A:E,5,FALSE),"")</f>
        <v>45989</v>
      </c>
      <c r="Q869" s="27">
        <f ca="1">DATEDIF(DadosViagem5[[#This Row],[BIP]],TODAY(),"D")</f>
        <v>1</v>
      </c>
      <c r="R869" s="28" t="str">
        <f>IFERROR(VLOOKUP(DadosViagem5[[#This Row],[Placa]],[1]DDS!B:C,2,FALSE),"Verificar cadastro")</f>
        <v>Carregado</v>
      </c>
      <c r="S869" s="29" t="s">
        <v>48</v>
      </c>
      <c r="T869" s="23"/>
      <c r="U869" s="30"/>
      <c r="V869" s="31"/>
      <c r="W869" s="32"/>
      <c r="X869" s="33"/>
      <c r="Y869" s="34"/>
      <c r="Z869" s="42"/>
      <c r="AA869" s="20" t="s">
        <v>49</v>
      </c>
      <c r="AB869" s="20" t="s">
        <v>49</v>
      </c>
      <c r="AC869" s="19" t="s">
        <v>49</v>
      </c>
      <c r="AD869" s="19" t="str">
        <f ca="1">IFERROR(DATEDIF(DadosViagem5[[#This Row],[Utimo Bip Reserva]],TODAY(),"D"),"")</f>
        <v/>
      </c>
      <c r="AE869" s="36" t="s">
        <v>49</v>
      </c>
      <c r="AF869" s="25" t="s">
        <v>49</v>
      </c>
      <c r="AG869" s="36"/>
      <c r="AH869" s="25">
        <v>45807</v>
      </c>
      <c r="AI869" s="36" t="str">
        <f>IF(DadosViagem5[[#This Row],[Dias em manutenção ]]&lt;5,"Dentro do Prazo","Fora do Prazo")</f>
        <v>Fora do Prazo</v>
      </c>
      <c r="AJ869" s="36" t="e">
        <v>#REF!</v>
      </c>
    </row>
    <row r="870" spans="1:36">
      <c r="A870" s="19" t="s">
        <v>1527</v>
      </c>
      <c r="B870" s="20"/>
      <c r="C870" s="19" t="s">
        <v>1509</v>
      </c>
      <c r="D870" s="19" t="s">
        <v>38</v>
      </c>
      <c r="E870" s="19" t="s">
        <v>114</v>
      </c>
      <c r="F870" s="19" t="s">
        <v>115</v>
      </c>
      <c r="G870" s="19"/>
      <c r="H870" s="20">
        <v>2022</v>
      </c>
      <c r="I870" s="19" t="s">
        <v>41</v>
      </c>
      <c r="J870" s="19" t="s">
        <v>58</v>
      </c>
      <c r="K870" s="21" t="s">
        <v>59</v>
      </c>
      <c r="L870" s="22" t="s">
        <v>60</v>
      </c>
      <c r="M870" s="23" t="s">
        <v>61</v>
      </c>
      <c r="N870" s="25" t="s">
        <v>62</v>
      </c>
      <c r="O870" s="65" t="s">
        <v>63</v>
      </c>
      <c r="P870" s="26">
        <f ca="1">IFERROR(VLOOKUP(DadosViagem5[[#This Row],[Placa]],[1]BIP!A:E,5,FALSE),"")</f>
        <v>45989</v>
      </c>
      <c r="Q870" s="27">
        <f ca="1">DATEDIF(DadosViagem5[[#This Row],[BIP]],TODAY(),"D")</f>
        <v>1</v>
      </c>
      <c r="R870" s="28" t="str">
        <f>IFERROR(VLOOKUP(DadosViagem5[[#This Row],[Placa]],[1]DDS!B:C,2,FALSE),"Verificar cadastro")</f>
        <v>Carregado</v>
      </c>
      <c r="S870" s="29" t="s">
        <v>48</v>
      </c>
      <c r="T870" s="23"/>
      <c r="U870" s="30"/>
      <c r="V870" s="31"/>
      <c r="W870" s="32"/>
      <c r="X870" s="33"/>
      <c r="Y870" s="34"/>
      <c r="Z870" s="43"/>
      <c r="AA870" s="20" t="s">
        <v>49</v>
      </c>
      <c r="AB870" s="20" t="s">
        <v>49</v>
      </c>
      <c r="AC870" s="19" t="s">
        <v>49</v>
      </c>
      <c r="AD870" s="19" t="str">
        <f ca="1">IFERROR(DATEDIF(DadosViagem5[[#This Row],[Utimo Bip Reserva]],TODAY(),"D"),"")</f>
        <v/>
      </c>
      <c r="AE870" s="36" t="s">
        <v>1528</v>
      </c>
      <c r="AF870" s="25" t="s">
        <v>49</v>
      </c>
      <c r="AG870" s="36"/>
      <c r="AH870" s="25">
        <v>45807</v>
      </c>
      <c r="AI870" s="36" t="str">
        <f>IF(DadosViagem5[[#This Row],[Dias em manutenção ]]&lt;5,"Dentro do Prazo","Fora do Prazo")</f>
        <v>Fora do Prazo</v>
      </c>
      <c r="AJ870" s="36" t="e">
        <v>#REF!</v>
      </c>
    </row>
    <row r="871" spans="1:36">
      <c r="A871" s="19" t="s">
        <v>1529</v>
      </c>
      <c r="B871" s="20"/>
      <c r="C871" s="19" t="s">
        <v>591</v>
      </c>
      <c r="D871" s="19" t="s">
        <v>592</v>
      </c>
      <c r="E871" s="19" t="s">
        <v>114</v>
      </c>
      <c r="F871" s="19" t="s">
        <v>115</v>
      </c>
      <c r="G871" s="19"/>
      <c r="H871" s="20">
        <v>2022</v>
      </c>
      <c r="I871" s="19" t="s">
        <v>41</v>
      </c>
      <c r="J871" s="19" t="s">
        <v>58</v>
      </c>
      <c r="K871" s="21" t="s">
        <v>59</v>
      </c>
      <c r="L871" s="22" t="s">
        <v>60</v>
      </c>
      <c r="M871" s="23" t="s">
        <v>61</v>
      </c>
      <c r="N871" s="25" t="s">
        <v>62</v>
      </c>
      <c r="O871" s="65" t="s">
        <v>63</v>
      </c>
      <c r="P871" s="26">
        <f ca="1">IFERROR(VLOOKUP(DadosViagem5[[#This Row],[Placa]],[1]BIP!A:E,5,FALSE),"")</f>
        <v>45967</v>
      </c>
      <c r="Q871" s="27">
        <f ca="1">DATEDIF(DadosViagem5[[#This Row],[BIP]],TODAY(),"D")</f>
        <v>23</v>
      </c>
      <c r="R871" s="28" t="str">
        <f>IFERROR(VLOOKUP(DadosViagem5[[#This Row],[Placa]],[1]DDS!B:C,2,FALSE),"Verificar cadastro")</f>
        <v>Falta Motorista</v>
      </c>
      <c r="S871" s="29" t="s">
        <v>48</v>
      </c>
      <c r="T871" s="23"/>
      <c r="U871" s="30"/>
      <c r="V871" s="31"/>
      <c r="W871" s="32"/>
      <c r="X871" s="33"/>
      <c r="Y871" s="34"/>
      <c r="Z871" s="32"/>
      <c r="AA871" s="20" t="s">
        <v>49</v>
      </c>
      <c r="AB871" s="20" t="s">
        <v>49</v>
      </c>
      <c r="AC871" s="19" t="s">
        <v>49</v>
      </c>
      <c r="AD871" s="19" t="str">
        <f ca="1">IFERROR(DATEDIF(DadosViagem5[[#This Row],[Utimo Bip Reserva]],TODAY(),"D"),"")</f>
        <v/>
      </c>
      <c r="AE871" s="36" t="s">
        <v>1530</v>
      </c>
      <c r="AF871" s="25" t="s">
        <v>49</v>
      </c>
      <c r="AG871" s="36"/>
      <c r="AH871" s="25">
        <v>45807</v>
      </c>
      <c r="AI871" s="36" t="str">
        <f>IF(DadosViagem5[[#This Row],[Dias em manutenção ]]&lt;5,"Dentro do Prazo","Fora do Prazo")</f>
        <v>Fora do Prazo</v>
      </c>
      <c r="AJ871" s="36" t="e">
        <v>#REF!</v>
      </c>
    </row>
    <row r="872" spans="1:36">
      <c r="A872" s="19" t="s">
        <v>1531</v>
      </c>
      <c r="B872" s="20"/>
      <c r="C872" s="19" t="s">
        <v>88</v>
      </c>
      <c r="D872" s="19" t="s">
        <v>52</v>
      </c>
      <c r="E872" s="19" t="s">
        <v>114</v>
      </c>
      <c r="F872" s="19" t="s">
        <v>115</v>
      </c>
      <c r="G872" s="19"/>
      <c r="H872" s="20">
        <v>2021</v>
      </c>
      <c r="I872" s="19" t="s">
        <v>41</v>
      </c>
      <c r="J872" s="19" t="s">
        <v>58</v>
      </c>
      <c r="K872" s="21" t="s">
        <v>59</v>
      </c>
      <c r="L872" s="22" t="s">
        <v>60</v>
      </c>
      <c r="M872" s="23" t="s">
        <v>61</v>
      </c>
      <c r="N872" s="25" t="s">
        <v>62</v>
      </c>
      <c r="O872" s="65" t="s">
        <v>63</v>
      </c>
      <c r="P872" s="26">
        <f ca="1">IFERROR(VLOOKUP(DadosViagem5[[#This Row],[Placa]],[1]BIP!A:E,5,FALSE),"")</f>
        <v>0</v>
      </c>
      <c r="Q872" s="27">
        <f ca="1">DATEDIF(DadosViagem5[[#This Row],[BIP]],TODAY(),"D")</f>
        <v>45990</v>
      </c>
      <c r="R872" s="28" t="str">
        <f>IFERROR(VLOOKUP(DadosViagem5[[#This Row],[Placa]],[1]DDS!B:C,2,FALSE),"Verificar cadastro")</f>
        <v>Verificar cadastro</v>
      </c>
      <c r="S872" s="36" t="s">
        <v>574</v>
      </c>
      <c r="T872" s="23"/>
      <c r="U872" s="30"/>
      <c r="V872" s="31"/>
      <c r="W872" s="32" t="s">
        <v>1532</v>
      </c>
      <c r="X872" s="33"/>
      <c r="Y872" s="34"/>
      <c r="Z872" s="32"/>
      <c r="AA872" s="20" t="s">
        <v>49</v>
      </c>
      <c r="AB872" s="20" t="s">
        <v>49</v>
      </c>
      <c r="AC872" s="19" t="s">
        <v>49</v>
      </c>
      <c r="AD872" s="19" t="str">
        <f ca="1">IFERROR(DATEDIF(DadosViagem5[[#This Row],[Utimo Bip Reserva]],TODAY(),"D"),"")</f>
        <v/>
      </c>
      <c r="AE872" s="36" t="s">
        <v>49</v>
      </c>
      <c r="AF872" s="25" t="s">
        <v>49</v>
      </c>
      <c r="AG872" s="36"/>
      <c r="AH872" s="25">
        <v>45807</v>
      </c>
      <c r="AI872" s="36" t="str">
        <f>IF(DadosViagem5[[#This Row],[Dias em manutenção ]]&lt;5,"Dentro do Prazo","Fora do Prazo")</f>
        <v>Fora do Prazo</v>
      </c>
      <c r="AJ872" s="36" t="e">
        <v>#REF!</v>
      </c>
    </row>
    <row r="873" spans="1:36">
      <c r="A873" s="19" t="s">
        <v>1533</v>
      </c>
      <c r="B873" s="20"/>
      <c r="C873" s="19" t="s">
        <v>71</v>
      </c>
      <c r="D873" s="19" t="s">
        <v>38</v>
      </c>
      <c r="E873" s="19" t="s">
        <v>57</v>
      </c>
      <c r="F873" s="19" t="s">
        <v>396</v>
      </c>
      <c r="G873" s="19"/>
      <c r="H873" s="20">
        <v>2020</v>
      </c>
      <c r="I873" s="19" t="s">
        <v>41</v>
      </c>
      <c r="J873" s="19" t="s">
        <v>58</v>
      </c>
      <c r="K873" s="21" t="s">
        <v>59</v>
      </c>
      <c r="L873" s="22" t="s">
        <v>60</v>
      </c>
      <c r="M873" s="23" t="s">
        <v>61</v>
      </c>
      <c r="N873" s="25" t="s">
        <v>62</v>
      </c>
      <c r="O873" s="65" t="s">
        <v>63</v>
      </c>
      <c r="P873" s="26">
        <f ca="1">IFERROR(VLOOKUP(DadosViagem5[[#This Row],[Placa]],[1]BIP!A:E,5,FALSE),"")</f>
        <v>45989</v>
      </c>
      <c r="Q873" s="27">
        <f ca="1">DATEDIF(DadosViagem5[[#This Row],[BIP]],TODAY(),"D")</f>
        <v>1</v>
      </c>
      <c r="R873" s="28" t="str">
        <f>IFERROR(VLOOKUP(DadosViagem5[[#This Row],[Placa]],[1]DDS!B:C,2,FALSE),"Verificar cadastro")</f>
        <v>Operando</v>
      </c>
      <c r="S873" s="29" t="s">
        <v>48</v>
      </c>
      <c r="T873" s="23"/>
      <c r="U873" s="30"/>
      <c r="V873" s="31"/>
      <c r="W873" s="32"/>
      <c r="X873" s="33"/>
      <c r="Y873" s="34"/>
      <c r="Z873" s="32"/>
      <c r="AA873" s="20" t="s">
        <v>49</v>
      </c>
      <c r="AB873" s="20" t="s">
        <v>49</v>
      </c>
      <c r="AC873" s="19" t="s">
        <v>49</v>
      </c>
      <c r="AD873" s="19" t="str">
        <f ca="1">IFERROR(DATEDIF(DadosViagem5[[#This Row],[Utimo Bip Reserva]],TODAY(),"D"),"")</f>
        <v/>
      </c>
      <c r="AE873" s="36" t="s">
        <v>49</v>
      </c>
      <c r="AF873" s="25" t="s">
        <v>49</v>
      </c>
      <c r="AG873" s="36" t="s">
        <v>91</v>
      </c>
      <c r="AH873" s="25">
        <v>3</v>
      </c>
      <c r="AI873" s="36" t="str">
        <f>IF(DadosViagem5[[#This Row],[Dias em manutenção ]]&lt;5,"Dentro do Prazo","Fora do Prazo")</f>
        <v>Dentro do Prazo</v>
      </c>
      <c r="AJ873" s="36" t="e">
        <v>#REF!</v>
      </c>
    </row>
    <row r="874" spans="1:36">
      <c r="A874" s="19" t="s">
        <v>1534</v>
      </c>
      <c r="B874" s="20"/>
      <c r="C874" s="19" t="s">
        <v>225</v>
      </c>
      <c r="D874" s="19" t="s">
        <v>38</v>
      </c>
      <c r="E874" s="19" t="s">
        <v>39</v>
      </c>
      <c r="F874" s="19" t="s">
        <v>106</v>
      </c>
      <c r="G874" s="19"/>
      <c r="H874" s="20">
        <v>2024</v>
      </c>
      <c r="I874" s="19" t="s">
        <v>41</v>
      </c>
      <c r="J874" s="19" t="s">
        <v>58</v>
      </c>
      <c r="K874" s="21" t="s">
        <v>59</v>
      </c>
      <c r="L874" s="22" t="s">
        <v>60</v>
      </c>
      <c r="M874" s="23" t="s">
        <v>61</v>
      </c>
      <c r="N874" s="25" t="s">
        <v>62</v>
      </c>
      <c r="O874" s="65" t="s">
        <v>63</v>
      </c>
      <c r="P874" s="26">
        <f ca="1">IFERROR(VLOOKUP(DadosViagem5[[#This Row],[Placa]],[1]BIP!A:E,5,FALSE),"")</f>
        <v>45989</v>
      </c>
      <c r="Q874" s="27">
        <f ca="1">DATEDIF(DadosViagem5[[#This Row],[BIP]],TODAY(),"D")</f>
        <v>1</v>
      </c>
      <c r="R874" s="28" t="str">
        <f>IFERROR(VLOOKUP(DadosViagem5[[#This Row],[Placa]],[1]DDS!B:C,2,FALSE),"Verificar cadastro")</f>
        <v>Operando</v>
      </c>
      <c r="S874" s="29" t="s">
        <v>48</v>
      </c>
      <c r="T874" s="23"/>
      <c r="U874" s="30"/>
      <c r="V874" s="31"/>
      <c r="W874" s="32"/>
      <c r="X874" s="33"/>
      <c r="Y874" s="34"/>
      <c r="Z874" s="32"/>
      <c r="AA874" s="20" t="s">
        <v>49</v>
      </c>
      <c r="AB874" s="20" t="s">
        <v>49</v>
      </c>
      <c r="AC874" s="19" t="s">
        <v>49</v>
      </c>
      <c r="AD874" s="19" t="str">
        <f ca="1">IFERROR(DATEDIF(DadosViagem5[[#This Row],[Utimo Bip Reserva]],TODAY(),"D"),"")</f>
        <v/>
      </c>
      <c r="AE874" s="36"/>
      <c r="AF874" s="25"/>
      <c r="AG874" s="36"/>
      <c r="AH874" s="25">
        <v>45807</v>
      </c>
      <c r="AI874" s="36" t="str">
        <f>IF(DadosViagem5[[#This Row],[Dias em manutenção ]]&lt;5,"Dentro do Prazo","Fora do Prazo")</f>
        <v>Fora do Prazo</v>
      </c>
      <c r="AJ874" s="36" t="e">
        <v>#REF!</v>
      </c>
    </row>
    <row r="875" spans="1:36">
      <c r="A875" s="19" t="s">
        <v>1535</v>
      </c>
      <c r="B875" s="20"/>
      <c r="C875" s="19" t="s">
        <v>1509</v>
      </c>
      <c r="D875" s="19" t="s">
        <v>38</v>
      </c>
      <c r="E875" s="19" t="s">
        <v>114</v>
      </c>
      <c r="F875" s="19" t="s">
        <v>115</v>
      </c>
      <c r="G875" s="19"/>
      <c r="H875" s="20">
        <v>2022</v>
      </c>
      <c r="I875" s="19" t="s">
        <v>41</v>
      </c>
      <c r="J875" s="19" t="s">
        <v>58</v>
      </c>
      <c r="K875" s="21" t="s">
        <v>59</v>
      </c>
      <c r="L875" s="22" t="s">
        <v>60</v>
      </c>
      <c r="M875" s="23" t="s">
        <v>61</v>
      </c>
      <c r="N875" s="25" t="s">
        <v>62</v>
      </c>
      <c r="O875" s="65" t="s">
        <v>63</v>
      </c>
      <c r="P875" s="26">
        <f ca="1">IFERROR(VLOOKUP(DadosViagem5[[#This Row],[Placa]],[1]BIP!A:E,5,FALSE),"")</f>
        <v>45989</v>
      </c>
      <c r="Q875" s="27">
        <f ca="1">DATEDIF(DadosViagem5[[#This Row],[BIP]],TODAY(),"D")</f>
        <v>1</v>
      </c>
      <c r="R875" s="28" t="str">
        <f>IFERROR(VLOOKUP(DadosViagem5[[#This Row],[Placa]],[1]DDS!B:C,2,FALSE),"Verificar cadastro")</f>
        <v>Carregado</v>
      </c>
      <c r="S875" s="29" t="s">
        <v>48</v>
      </c>
      <c r="T875" s="23"/>
      <c r="U875" s="30"/>
      <c r="V875" s="31"/>
      <c r="W875" s="32"/>
      <c r="X875" s="33"/>
      <c r="Y875" s="34"/>
      <c r="Z875" s="32"/>
      <c r="AA875" s="20" t="s">
        <v>49</v>
      </c>
      <c r="AB875" s="20" t="s">
        <v>49</v>
      </c>
      <c r="AC875" s="19" t="s">
        <v>49</v>
      </c>
      <c r="AD875" s="19" t="str">
        <f ca="1">IFERROR(DATEDIF(DadosViagem5[[#This Row],[Utimo Bip Reserva]],TODAY(),"D"),"")</f>
        <v/>
      </c>
      <c r="AE875" s="36" t="s">
        <v>1536</v>
      </c>
      <c r="AF875" s="25" t="s">
        <v>49</v>
      </c>
      <c r="AG875" s="30"/>
      <c r="AH875" s="25">
        <v>32</v>
      </c>
      <c r="AI875" s="36" t="str">
        <f>IF(DadosViagem5[[#This Row],[Dias em manutenção ]]&lt;5,"Dentro do Prazo","Fora do Prazo")</f>
        <v>Fora do Prazo</v>
      </c>
      <c r="AJ875" s="36" t="e">
        <v>#REF!</v>
      </c>
    </row>
    <row r="876" spans="1:36">
      <c r="A876" s="19" t="s">
        <v>1537</v>
      </c>
      <c r="B876" s="20"/>
      <c r="C876" s="19" t="s">
        <v>1509</v>
      </c>
      <c r="D876" s="19" t="s">
        <v>38</v>
      </c>
      <c r="E876" s="19" t="s">
        <v>114</v>
      </c>
      <c r="F876" s="19" t="s">
        <v>115</v>
      </c>
      <c r="G876" s="19"/>
      <c r="H876" s="20">
        <v>2022</v>
      </c>
      <c r="I876" s="19" t="s">
        <v>41</v>
      </c>
      <c r="J876" s="19" t="s">
        <v>58</v>
      </c>
      <c r="K876" s="21" t="s">
        <v>59</v>
      </c>
      <c r="L876" s="22" t="s">
        <v>60</v>
      </c>
      <c r="M876" s="23" t="s">
        <v>61</v>
      </c>
      <c r="N876" s="25" t="s">
        <v>62</v>
      </c>
      <c r="O876" s="65" t="s">
        <v>63</v>
      </c>
      <c r="P876" s="26">
        <f ca="1">IFERROR(VLOOKUP(DadosViagem5[[#This Row],[Placa]],[1]BIP!A:E,5,FALSE),"")</f>
        <v>45944</v>
      </c>
      <c r="Q876" s="27">
        <f ca="1">DATEDIF(DadosViagem5[[#This Row],[BIP]],TODAY(),"D")</f>
        <v>46</v>
      </c>
      <c r="R876" s="28" t="str">
        <f>IFERROR(VLOOKUP(DadosViagem5[[#This Row],[Placa]],[1]DDS!B:C,2,FALSE),"Verificar cadastro")</f>
        <v> </v>
      </c>
      <c r="S876" s="29" t="s">
        <v>48</v>
      </c>
      <c r="T876" s="23"/>
      <c r="U876" s="30"/>
      <c r="V876" s="31"/>
      <c r="W876" s="32"/>
      <c r="X876" s="33"/>
      <c r="Y876" s="34"/>
      <c r="Z876" s="32"/>
      <c r="AA876" s="20" t="s">
        <v>49</v>
      </c>
      <c r="AB876" s="20" t="s">
        <v>49</v>
      </c>
      <c r="AC876" s="19" t="s">
        <v>49</v>
      </c>
      <c r="AD876" s="19" t="str">
        <f ca="1">IFERROR(DATEDIF(DadosViagem5[[#This Row],[Utimo Bip Reserva]],TODAY(),"D"),"")</f>
        <v/>
      </c>
      <c r="AE876" s="36" t="s">
        <v>49</v>
      </c>
      <c r="AF876" s="25" t="s">
        <v>49</v>
      </c>
      <c r="AG876" s="30"/>
      <c r="AH876" s="25">
        <v>45807</v>
      </c>
      <c r="AI876" s="36" t="str">
        <f>IF(DadosViagem5[[#This Row],[Dias em manutenção ]]&lt;5,"Dentro do Prazo","Fora do Prazo")</f>
        <v>Fora do Prazo</v>
      </c>
      <c r="AJ876" s="36" t="e">
        <v>#REF!</v>
      </c>
    </row>
    <row r="877" spans="1:36">
      <c r="A877" s="19" t="s">
        <v>1538</v>
      </c>
      <c r="B877" s="20"/>
      <c r="C877" s="19" t="s">
        <v>71</v>
      </c>
      <c r="D877" s="19" t="s">
        <v>38</v>
      </c>
      <c r="E877" s="19" t="s">
        <v>699</v>
      </c>
      <c r="F877" s="19" t="s">
        <v>115</v>
      </c>
      <c r="G877" s="19"/>
      <c r="H877" s="20">
        <v>2022</v>
      </c>
      <c r="I877" s="19" t="s">
        <v>41</v>
      </c>
      <c r="J877" s="37" t="s">
        <v>451</v>
      </c>
      <c r="K877" s="21" t="s">
        <v>452</v>
      </c>
      <c r="L877" s="22" t="s">
        <v>60</v>
      </c>
      <c r="M877" s="23" t="s">
        <v>61</v>
      </c>
      <c r="N877" s="25" t="s">
        <v>1539</v>
      </c>
      <c r="O877" s="65" t="s">
        <v>63</v>
      </c>
      <c r="P877" s="26">
        <f ca="1">IFERROR(VLOOKUP(DadosViagem5[[#This Row],[Placa]],[1]BIP!A:E,5,FALSE),"")</f>
        <v>45989</v>
      </c>
      <c r="Q877" s="27">
        <f ca="1">DATEDIF(DadosViagem5[[#This Row],[BIP]],TODAY(),"D")</f>
        <v>1</v>
      </c>
      <c r="R877" s="28" t="str">
        <f>IFERROR(VLOOKUP(DadosViagem5[[#This Row],[Placa]],[1]DDS!B:C,2,FALSE),"Verificar cadastro")</f>
        <v>Operando</v>
      </c>
      <c r="S877" s="29" t="s">
        <v>173</v>
      </c>
      <c r="T877" s="23"/>
      <c r="U877" s="30"/>
      <c r="V877" s="31"/>
      <c r="W877" s="32"/>
      <c r="X877" s="33"/>
      <c r="Y877" s="34"/>
      <c r="Z877" s="32"/>
      <c r="AA877" s="20" t="s">
        <v>49</v>
      </c>
      <c r="AB877" s="20" t="s">
        <v>49</v>
      </c>
      <c r="AC877" s="19" t="s">
        <v>49</v>
      </c>
      <c r="AD877" s="19" t="str">
        <f ca="1">IFERROR(DATEDIF(DadosViagem5[[#This Row],[Utimo Bip Reserva]],TODAY(),"D"),"")</f>
        <v/>
      </c>
      <c r="AE877" s="25" t="s">
        <v>49</v>
      </c>
      <c r="AF877" s="25" t="s">
        <v>49</v>
      </c>
      <c r="AG877" s="36"/>
      <c r="AH877" s="25">
        <v>45807</v>
      </c>
      <c r="AI877" s="36" t="str">
        <f>IF(DadosViagem5[[#This Row],[Dias em manutenção ]]&lt;5,"Dentro do Prazo","Fora do Prazo")</f>
        <v>Fora do Prazo</v>
      </c>
      <c r="AJ877" s="36" t="e">
        <v>#REF!</v>
      </c>
    </row>
    <row r="878" spans="1:36">
      <c r="A878" s="134" t="s">
        <v>1540</v>
      </c>
      <c r="B878" s="20"/>
      <c r="C878" s="19" t="s">
        <v>71</v>
      </c>
      <c r="D878" s="19" t="s">
        <v>38</v>
      </c>
      <c r="E878" s="19" t="s">
        <v>114</v>
      </c>
      <c r="F878" s="19" t="s">
        <v>115</v>
      </c>
      <c r="G878" s="19"/>
      <c r="H878" s="20">
        <v>2021</v>
      </c>
      <c r="I878" s="19" t="s">
        <v>41</v>
      </c>
      <c r="J878" s="19" t="s">
        <v>58</v>
      </c>
      <c r="K878" s="21" t="s">
        <v>59</v>
      </c>
      <c r="L878" s="22" t="s">
        <v>60</v>
      </c>
      <c r="M878" s="23" t="s">
        <v>61</v>
      </c>
      <c r="N878" s="25" t="s">
        <v>62</v>
      </c>
      <c r="O878" s="41" t="s">
        <v>63</v>
      </c>
      <c r="P878" s="26">
        <f ca="1">IFERROR(VLOOKUP(DadosViagem5[[#This Row],[Placa]],[1]BIP!A:E,5,FALSE),"")</f>
        <v>0</v>
      </c>
      <c r="Q878" s="27">
        <f ca="1">DATEDIF(DadosViagem5[[#This Row],[BIP]],TODAY(),"D")</f>
        <v>45990</v>
      </c>
      <c r="R878" s="28" t="str">
        <f>IFERROR(VLOOKUP(DadosViagem5[[#This Row],[Placa]],[1]DDS!B:C,2,FALSE),"Verificar cadastro")</f>
        <v> </v>
      </c>
      <c r="S878" s="29" t="s">
        <v>48</v>
      </c>
      <c r="T878" s="23"/>
      <c r="U878" s="30"/>
      <c r="V878" s="31"/>
      <c r="W878" s="32"/>
      <c r="X878" s="33"/>
      <c r="Y878" s="34"/>
      <c r="Z878" s="32"/>
      <c r="AA878" s="20" t="s">
        <v>49</v>
      </c>
      <c r="AB878" s="20" t="s">
        <v>49</v>
      </c>
      <c r="AC878" s="19" t="s">
        <v>49</v>
      </c>
      <c r="AD878" s="19" t="str">
        <f ca="1">IFERROR(DATEDIF(DadosViagem5[[#This Row],[Utimo Bip Reserva]],TODAY(),"D"),"")</f>
        <v/>
      </c>
      <c r="AE878" s="36" t="s">
        <v>49</v>
      </c>
      <c r="AF878" s="25" t="s">
        <v>49</v>
      </c>
      <c r="AG878" s="36" t="s">
        <v>540</v>
      </c>
      <c r="AH878" s="25">
        <v>45807</v>
      </c>
      <c r="AI878" s="36" t="str">
        <f>IF(DadosViagem5[[#This Row],[Dias em manutenção ]]&lt;5,"Dentro do Prazo","Fora do Prazo")</f>
        <v>Fora do Prazo</v>
      </c>
      <c r="AJ878" s="36" t="e">
        <v>#REF!</v>
      </c>
    </row>
    <row r="879" spans="1:36">
      <c r="A879" s="19" t="s">
        <v>1541</v>
      </c>
      <c r="B879" s="20"/>
      <c r="C879" s="19" t="s">
        <v>71</v>
      </c>
      <c r="D879" s="19" t="s">
        <v>38</v>
      </c>
      <c r="E879" s="19" t="s">
        <v>114</v>
      </c>
      <c r="F879" s="19" t="s">
        <v>115</v>
      </c>
      <c r="G879" s="19"/>
      <c r="H879" s="20">
        <v>2022</v>
      </c>
      <c r="I879" s="19" t="s">
        <v>41</v>
      </c>
      <c r="J879" s="19" t="s">
        <v>58</v>
      </c>
      <c r="K879" s="21" t="s">
        <v>59</v>
      </c>
      <c r="L879" s="22" t="s">
        <v>60</v>
      </c>
      <c r="M879" s="23" t="s">
        <v>61</v>
      </c>
      <c r="N879" s="25" t="s">
        <v>62</v>
      </c>
      <c r="O879" s="65" t="s">
        <v>63</v>
      </c>
      <c r="P879" s="26">
        <f ca="1">IFERROR(VLOOKUP(DadosViagem5[[#This Row],[Placa]],[1]BIP!A:E,5,FALSE),"")</f>
        <v>45989</v>
      </c>
      <c r="Q879" s="27">
        <f ca="1">DATEDIF(DadosViagem5[[#This Row],[BIP]],TODAY(),"D")</f>
        <v>1</v>
      </c>
      <c r="R879" s="28" t="str">
        <f>IFERROR(VLOOKUP(DadosViagem5[[#This Row],[Placa]],[1]DDS!B:C,2,FALSE),"Verificar cadastro")</f>
        <v>Carregado</v>
      </c>
      <c r="S879" s="29" t="s">
        <v>48</v>
      </c>
      <c r="T879" s="23"/>
      <c r="U879" s="30"/>
      <c r="V879" s="31"/>
      <c r="W879" s="32"/>
      <c r="X879" s="33"/>
      <c r="Y879" s="34"/>
      <c r="Z879" s="32"/>
      <c r="AA879" s="20" t="s">
        <v>49</v>
      </c>
      <c r="AB879" s="20" t="s">
        <v>49</v>
      </c>
      <c r="AC879" s="19" t="s">
        <v>49</v>
      </c>
      <c r="AD879" s="19" t="str">
        <f ca="1">IFERROR(DATEDIF(DadosViagem5[[#This Row],[Utimo Bip Reserva]],TODAY(),"D"),"")</f>
        <v/>
      </c>
      <c r="AE879" s="36" t="s">
        <v>49</v>
      </c>
      <c r="AF879" s="25" t="s">
        <v>49</v>
      </c>
      <c r="AG879" s="36"/>
      <c r="AH879" s="25">
        <v>45807</v>
      </c>
      <c r="AI879" s="36" t="str">
        <f>IF(DadosViagem5[[#This Row],[Dias em manutenção ]]&lt;5,"Dentro do Prazo","Fora do Prazo")</f>
        <v>Fora do Prazo</v>
      </c>
      <c r="AJ879" s="36" t="e">
        <v>#REF!</v>
      </c>
    </row>
    <row r="880" spans="1:36">
      <c r="A880" s="19" t="s">
        <v>1542</v>
      </c>
      <c r="B880" s="20"/>
      <c r="C880" s="19" t="s">
        <v>225</v>
      </c>
      <c r="D880" s="19" t="s">
        <v>38</v>
      </c>
      <c r="E880" s="19" t="s">
        <v>39</v>
      </c>
      <c r="F880" s="19" t="s">
        <v>115</v>
      </c>
      <c r="G880" s="19"/>
      <c r="H880" s="20">
        <v>2024</v>
      </c>
      <c r="I880" s="19" t="s">
        <v>41</v>
      </c>
      <c r="J880" s="19" t="s">
        <v>58</v>
      </c>
      <c r="K880" s="21" t="s">
        <v>59</v>
      </c>
      <c r="L880" s="22" t="s">
        <v>60</v>
      </c>
      <c r="M880" s="23" t="s">
        <v>61</v>
      </c>
      <c r="N880" s="25" t="s">
        <v>62</v>
      </c>
      <c r="O880" s="65" t="s">
        <v>63</v>
      </c>
      <c r="P880" s="26">
        <f ca="1">IFERROR(VLOOKUP(DadosViagem5[[#This Row],[Placa]],[1]BIP!A:E,5,FALSE),"")</f>
        <v>45989</v>
      </c>
      <c r="Q880" s="27">
        <f ca="1">DATEDIF(DadosViagem5[[#This Row],[BIP]],TODAY(),"D")</f>
        <v>1</v>
      </c>
      <c r="R880" s="28" t="str">
        <f>IFERROR(VLOOKUP(DadosViagem5[[#This Row],[Placa]],[1]DDS!B:C,2,FALSE),"Verificar cadastro")</f>
        <v>Carregado</v>
      </c>
      <c r="S880" s="29" t="s">
        <v>48</v>
      </c>
      <c r="T880" s="23"/>
      <c r="U880" s="30"/>
      <c r="V880" s="31"/>
      <c r="W880" s="32"/>
      <c r="X880" s="33"/>
      <c r="Y880" s="34"/>
      <c r="Z880" s="32"/>
      <c r="AA880" s="20" t="s">
        <v>49</v>
      </c>
      <c r="AB880" s="20" t="s">
        <v>49</v>
      </c>
      <c r="AC880" s="19" t="s">
        <v>49</v>
      </c>
      <c r="AD880" s="19" t="str">
        <f ca="1">IFERROR(DATEDIF(DadosViagem5[[#This Row],[Utimo Bip Reserva]],TODAY(),"D"),"")</f>
        <v/>
      </c>
      <c r="AE880" s="36"/>
      <c r="AF880" s="25"/>
      <c r="AG880" s="36"/>
      <c r="AH880" s="25">
        <v>45807</v>
      </c>
      <c r="AI880" s="36" t="str">
        <f>IF(DadosViagem5[[#This Row],[Dias em manutenção ]]&lt;5,"Dentro do Prazo","Fora do Prazo")</f>
        <v>Fora do Prazo</v>
      </c>
      <c r="AJ880" s="36" t="e">
        <v>#REF!</v>
      </c>
    </row>
    <row r="881" spans="1:36">
      <c r="A881" s="19" t="s">
        <v>1543</v>
      </c>
      <c r="B881" s="20"/>
      <c r="C881" s="19" t="s">
        <v>225</v>
      </c>
      <c r="D881" s="19" t="s">
        <v>38</v>
      </c>
      <c r="E881" s="19" t="s">
        <v>39</v>
      </c>
      <c r="F881" s="19" t="s">
        <v>106</v>
      </c>
      <c r="G881" s="19"/>
      <c r="H881" s="20">
        <v>2024</v>
      </c>
      <c r="I881" s="19" t="s">
        <v>41</v>
      </c>
      <c r="J881" s="19" t="s">
        <v>58</v>
      </c>
      <c r="K881" s="21" t="s">
        <v>59</v>
      </c>
      <c r="L881" s="22" t="s">
        <v>60</v>
      </c>
      <c r="M881" s="23" t="s">
        <v>61</v>
      </c>
      <c r="N881" s="40" t="s">
        <v>62</v>
      </c>
      <c r="O881" s="65" t="s">
        <v>63</v>
      </c>
      <c r="P881" s="26">
        <f ca="1">IFERROR(VLOOKUP(DadosViagem5[[#This Row],[Placa]],[1]BIP!A:E,5,FALSE),"")</f>
        <v>45989</v>
      </c>
      <c r="Q881" s="27">
        <f ca="1">DATEDIF(DadosViagem5[[#This Row],[BIP]],TODAY(),"D")</f>
        <v>1</v>
      </c>
      <c r="R881" s="28" t="str">
        <f>IFERROR(VLOOKUP(DadosViagem5[[#This Row],[Placa]],[1]DDS!B:C,2,FALSE),"Verificar cadastro")</f>
        <v>Operando</v>
      </c>
      <c r="S881" s="29" t="s">
        <v>48</v>
      </c>
      <c r="T881" s="23"/>
      <c r="U881" s="30"/>
      <c r="V881" s="31"/>
      <c r="W881" s="32"/>
      <c r="X881" s="33"/>
      <c r="Y881" s="34"/>
      <c r="Z881" s="32"/>
      <c r="AA881" s="20" t="s">
        <v>49</v>
      </c>
      <c r="AB881" s="20" t="s">
        <v>49</v>
      </c>
      <c r="AC881" s="19" t="s">
        <v>49</v>
      </c>
      <c r="AD881" s="19" t="str">
        <f ca="1">IFERROR(DATEDIF(DadosViagem5[[#This Row],[Utimo Bip Reserva]],TODAY(),"D"),"")</f>
        <v/>
      </c>
      <c r="AE881" s="36"/>
      <c r="AF881" s="25"/>
      <c r="AG881" s="36"/>
      <c r="AH881" s="25">
        <v>45807</v>
      </c>
      <c r="AI881" s="36" t="str">
        <f>IF(DadosViagem5[[#This Row],[Dias em manutenção ]]&lt;5,"Dentro do Prazo","Fora do Prazo")</f>
        <v>Fora do Prazo</v>
      </c>
      <c r="AJ881" s="36" t="e">
        <v>#REF!</v>
      </c>
    </row>
    <row r="882" spans="1:36">
      <c r="A882" s="19" t="s">
        <v>1544</v>
      </c>
      <c r="B882" s="20"/>
      <c r="C882" s="19" t="s">
        <v>225</v>
      </c>
      <c r="D882" s="19" t="s">
        <v>38</v>
      </c>
      <c r="E882" s="19" t="s">
        <v>39</v>
      </c>
      <c r="F882" s="19" t="s">
        <v>106</v>
      </c>
      <c r="G882" s="19"/>
      <c r="H882" s="20">
        <v>2024</v>
      </c>
      <c r="I882" s="19" t="s">
        <v>41</v>
      </c>
      <c r="J882" s="19" t="s">
        <v>58</v>
      </c>
      <c r="K882" s="21" t="s">
        <v>59</v>
      </c>
      <c r="L882" s="22" t="s">
        <v>60</v>
      </c>
      <c r="M882" s="23" t="s">
        <v>61</v>
      </c>
      <c r="N882" s="25" t="s">
        <v>62</v>
      </c>
      <c r="O882" s="65" t="s">
        <v>63</v>
      </c>
      <c r="P882" s="26">
        <f ca="1">IFERROR(VLOOKUP(DadosViagem5[[#This Row],[Placa]],[1]BIP!A:E,5,FALSE),"")</f>
        <v>45989</v>
      </c>
      <c r="Q882" s="27">
        <f ca="1">DATEDIF(DadosViagem5[[#This Row],[BIP]],TODAY(),"D")</f>
        <v>1</v>
      </c>
      <c r="R882" s="28" t="str">
        <f>IFERROR(VLOOKUP(DadosViagem5[[#This Row],[Placa]],[1]DDS!B:C,2,FALSE),"Verificar cadastro")</f>
        <v>Carregado</v>
      </c>
      <c r="S882" s="29" t="s">
        <v>48</v>
      </c>
      <c r="T882" s="23"/>
      <c r="U882" s="30"/>
      <c r="V882" s="31"/>
      <c r="W882" s="32"/>
      <c r="X882" s="33"/>
      <c r="Y882" s="34"/>
      <c r="Z882" s="42"/>
      <c r="AA882" s="20" t="s">
        <v>49</v>
      </c>
      <c r="AB882" s="20" t="s">
        <v>49</v>
      </c>
      <c r="AC882" s="19" t="s">
        <v>49</v>
      </c>
      <c r="AD882" s="19" t="str">
        <f ca="1">IFERROR(DATEDIF(DadosViagem5[[#This Row],[Utimo Bip Reserva]],TODAY(),"D"),"")</f>
        <v/>
      </c>
      <c r="AE882" s="36"/>
      <c r="AF882" s="25"/>
      <c r="AG882" s="36"/>
      <c r="AH882" s="25">
        <v>45807</v>
      </c>
      <c r="AI882" s="36" t="str">
        <f>IF(DadosViagem5[[#This Row],[Dias em manutenção ]]&lt;5,"Dentro do Prazo","Fora do Prazo")</f>
        <v>Fora do Prazo</v>
      </c>
      <c r="AJ882" s="36" t="e">
        <v>#REF!</v>
      </c>
    </row>
    <row r="883" spans="1:36">
      <c r="A883" s="19" t="s">
        <v>1545</v>
      </c>
      <c r="B883" s="20"/>
      <c r="C883" s="19" t="s">
        <v>225</v>
      </c>
      <c r="D883" s="19" t="s">
        <v>38</v>
      </c>
      <c r="E883" s="19" t="s">
        <v>39</v>
      </c>
      <c r="F883" s="19" t="s">
        <v>106</v>
      </c>
      <c r="G883" s="19"/>
      <c r="H883" s="20">
        <v>2024</v>
      </c>
      <c r="I883" s="19" t="s">
        <v>41</v>
      </c>
      <c r="J883" s="19" t="s">
        <v>58</v>
      </c>
      <c r="K883" s="21" t="s">
        <v>59</v>
      </c>
      <c r="L883" s="22" t="s">
        <v>60</v>
      </c>
      <c r="M883" s="23" t="s">
        <v>61</v>
      </c>
      <c r="N883" s="25" t="s">
        <v>62</v>
      </c>
      <c r="O883" s="65" t="s">
        <v>63</v>
      </c>
      <c r="P883" s="26">
        <f ca="1">IFERROR(VLOOKUP(DadosViagem5[[#This Row],[Placa]],[1]BIP!A:E,5,FALSE),"")</f>
        <v>45989</v>
      </c>
      <c r="Q883" s="27">
        <f ca="1">DATEDIF(DadosViagem5[[#This Row],[BIP]],TODAY(),"D")</f>
        <v>1</v>
      </c>
      <c r="R883" s="28" t="str">
        <f>IFERROR(VLOOKUP(DadosViagem5[[#This Row],[Placa]],[1]DDS!B:C,2,FALSE),"Verificar cadastro")</f>
        <v>Operando</v>
      </c>
      <c r="S883" s="29" t="s">
        <v>48</v>
      </c>
      <c r="T883" s="23"/>
      <c r="U883" s="30"/>
      <c r="V883" s="31"/>
      <c r="W883" s="32"/>
      <c r="X883" s="33"/>
      <c r="Y883" s="34"/>
      <c r="Z883" s="32"/>
      <c r="AA883" s="20" t="s">
        <v>49</v>
      </c>
      <c r="AB883" s="20" t="s">
        <v>49</v>
      </c>
      <c r="AC883" s="19" t="s">
        <v>49</v>
      </c>
      <c r="AD883" s="19" t="str">
        <f ca="1">IFERROR(DATEDIF(DadosViagem5[[#This Row],[Utimo Bip Reserva]],TODAY(),"D"),"")</f>
        <v/>
      </c>
      <c r="AE883" s="36"/>
      <c r="AF883" s="25"/>
      <c r="AG883" s="36"/>
      <c r="AH883" s="25">
        <v>45807</v>
      </c>
      <c r="AI883" s="36" t="str">
        <f>IF(DadosViagem5[[#This Row],[Dias em manutenção ]]&lt;5,"Dentro do Prazo","Fora do Prazo")</f>
        <v>Fora do Prazo</v>
      </c>
      <c r="AJ883" s="36" t="e">
        <v>#REF!</v>
      </c>
    </row>
    <row r="884" spans="1:36">
      <c r="A884" s="19" t="s">
        <v>1546</v>
      </c>
      <c r="B884" s="20"/>
      <c r="C884" s="19" t="s">
        <v>225</v>
      </c>
      <c r="D884" s="19" t="s">
        <v>38</v>
      </c>
      <c r="E884" s="19" t="s">
        <v>39</v>
      </c>
      <c r="F884" s="19" t="s">
        <v>106</v>
      </c>
      <c r="G884" s="19"/>
      <c r="H884" s="20">
        <v>2024</v>
      </c>
      <c r="I884" s="19" t="s">
        <v>41</v>
      </c>
      <c r="J884" s="19" t="s">
        <v>58</v>
      </c>
      <c r="K884" s="21" t="s">
        <v>59</v>
      </c>
      <c r="L884" s="22" t="s">
        <v>60</v>
      </c>
      <c r="M884" s="46" t="s">
        <v>61</v>
      </c>
      <c r="N884" s="25" t="s">
        <v>62</v>
      </c>
      <c r="O884" s="65" t="s">
        <v>63</v>
      </c>
      <c r="P884" s="26">
        <f ca="1">IFERROR(VLOOKUP(DadosViagem5[[#This Row],[Placa]],[1]BIP!A:E,5,FALSE),"")</f>
        <v>45989</v>
      </c>
      <c r="Q884" s="27">
        <f ca="1">DATEDIF(DadosViagem5[[#This Row],[BIP]],TODAY(),"D")</f>
        <v>1</v>
      </c>
      <c r="R884" s="28" t="str">
        <f>IFERROR(VLOOKUP(DadosViagem5[[#This Row],[Placa]],[1]DDS!B:C,2,FALSE),"Verificar cadastro")</f>
        <v>Operando</v>
      </c>
      <c r="S884" s="29" t="s">
        <v>48</v>
      </c>
      <c r="T884" s="23"/>
      <c r="U884" s="30"/>
      <c r="V884" s="31"/>
      <c r="W884" s="32" t="s">
        <v>796</v>
      </c>
      <c r="X884" s="33"/>
      <c r="Y884" s="34"/>
      <c r="Z884" s="32"/>
      <c r="AA884" s="20" t="s">
        <v>49</v>
      </c>
      <c r="AB884" s="20" t="s">
        <v>49</v>
      </c>
      <c r="AC884" s="19" t="s">
        <v>49</v>
      </c>
      <c r="AD884" s="19" t="str">
        <f ca="1">IFERROR(DATEDIF(DadosViagem5[[#This Row],[Utimo Bip Reserva]],TODAY(),"D"),"")</f>
        <v/>
      </c>
      <c r="AE884" s="36"/>
      <c r="AF884" s="25"/>
      <c r="AG884" s="36"/>
      <c r="AH884" s="25">
        <v>45807</v>
      </c>
      <c r="AI884" s="36" t="str">
        <f>IF(DadosViagem5[[#This Row],[Dias em manutenção ]]&lt;5,"Dentro do Prazo","Fora do Prazo")</f>
        <v>Fora do Prazo</v>
      </c>
      <c r="AJ884" s="36" t="e">
        <v>#REF!</v>
      </c>
    </row>
    <row r="885" spans="1:36">
      <c r="A885" s="19" t="s">
        <v>1547</v>
      </c>
      <c r="B885" s="20"/>
      <c r="C885" s="19" t="s">
        <v>225</v>
      </c>
      <c r="D885" s="19" t="s">
        <v>38</v>
      </c>
      <c r="E885" s="19" t="s">
        <v>39</v>
      </c>
      <c r="F885" s="19" t="s">
        <v>106</v>
      </c>
      <c r="G885" s="19"/>
      <c r="H885" s="20">
        <v>2024</v>
      </c>
      <c r="I885" s="19" t="s">
        <v>41</v>
      </c>
      <c r="J885" s="19" t="s">
        <v>58</v>
      </c>
      <c r="K885" s="21" t="s">
        <v>59</v>
      </c>
      <c r="L885" s="22" t="s">
        <v>60</v>
      </c>
      <c r="M885" s="23" t="s">
        <v>61</v>
      </c>
      <c r="N885" s="25" t="s">
        <v>62</v>
      </c>
      <c r="O885" s="65" t="s">
        <v>63</v>
      </c>
      <c r="P885" s="26">
        <f ca="1">IFERROR(VLOOKUP(DadosViagem5[[#This Row],[Placa]],[1]BIP!A:E,5,FALSE),"")</f>
        <v>45989</v>
      </c>
      <c r="Q885" s="27">
        <f ca="1">DATEDIF(DadosViagem5[[#This Row],[BIP]],TODAY(),"D")</f>
        <v>1</v>
      </c>
      <c r="R885" s="28" t="str">
        <f>IFERROR(VLOOKUP(DadosViagem5[[#This Row],[Placa]],[1]DDS!B:C,2,FALSE),"Verificar cadastro")</f>
        <v>Carregado</v>
      </c>
      <c r="S885" s="29" t="s">
        <v>48</v>
      </c>
      <c r="T885" s="23"/>
      <c r="U885" s="30"/>
      <c r="V885" s="31"/>
      <c r="W885" s="32"/>
      <c r="X885" s="33"/>
      <c r="Y885" s="34"/>
      <c r="Z885" s="32"/>
      <c r="AA885" s="20" t="s">
        <v>49</v>
      </c>
      <c r="AB885" s="20" t="s">
        <v>49</v>
      </c>
      <c r="AC885" s="19" t="s">
        <v>49</v>
      </c>
      <c r="AD885" s="19" t="str">
        <f ca="1">IFERROR(DATEDIF(DadosViagem5[[#This Row],[Utimo Bip Reserva]],TODAY(),"D"),"")</f>
        <v/>
      </c>
      <c r="AE885" s="36"/>
      <c r="AF885" s="25"/>
      <c r="AG885" s="36"/>
      <c r="AH885" s="25">
        <v>45807</v>
      </c>
      <c r="AI885" s="36" t="str">
        <f>IF(DadosViagem5[[#This Row],[Dias em manutenção ]]&lt;5,"Dentro do Prazo","Fora do Prazo")</f>
        <v>Fora do Prazo</v>
      </c>
      <c r="AJ885" s="36" t="e">
        <v>#REF!</v>
      </c>
    </row>
    <row r="886" spans="1:36">
      <c r="A886" s="19" t="s">
        <v>1548</v>
      </c>
      <c r="B886" s="20"/>
      <c r="C886" s="19" t="s">
        <v>225</v>
      </c>
      <c r="D886" s="19" t="s">
        <v>38</v>
      </c>
      <c r="E886" s="19" t="s">
        <v>39</v>
      </c>
      <c r="F886" s="19" t="s">
        <v>106</v>
      </c>
      <c r="G886" s="19"/>
      <c r="H886" s="20">
        <v>2024</v>
      </c>
      <c r="I886" s="19" t="s">
        <v>41</v>
      </c>
      <c r="J886" s="19" t="s">
        <v>58</v>
      </c>
      <c r="K886" s="21" t="s">
        <v>59</v>
      </c>
      <c r="L886" s="22" t="s">
        <v>60</v>
      </c>
      <c r="M886" s="23" t="s">
        <v>61</v>
      </c>
      <c r="N886" s="25" t="s">
        <v>62</v>
      </c>
      <c r="O886" s="65" t="s">
        <v>63</v>
      </c>
      <c r="P886" s="26">
        <f ca="1">IFERROR(VLOOKUP(DadosViagem5[[#This Row],[Placa]],[1]BIP!A:E,5,FALSE),"")</f>
        <v>45988</v>
      </c>
      <c r="Q886" s="27">
        <f ca="1">DATEDIF(DadosViagem5[[#This Row],[BIP]],TODAY(),"D")</f>
        <v>2</v>
      </c>
      <c r="R886" s="28" t="str">
        <f>IFERROR(VLOOKUP(DadosViagem5[[#This Row],[Placa]],[1]DDS!B:C,2,FALSE),"Verificar cadastro")</f>
        <v> </v>
      </c>
      <c r="S886" s="29" t="s">
        <v>48</v>
      </c>
      <c r="T886" s="23"/>
      <c r="U886" s="30"/>
      <c r="V886" s="31"/>
      <c r="W886" s="32"/>
      <c r="X886" s="33"/>
      <c r="Y886" s="34"/>
      <c r="Z886" s="42"/>
      <c r="AA886" s="20" t="s">
        <v>49</v>
      </c>
      <c r="AB886" s="20" t="s">
        <v>49</v>
      </c>
      <c r="AC886" s="19" t="s">
        <v>49</v>
      </c>
      <c r="AD886" s="19" t="str">
        <f ca="1">IFERROR(DATEDIF(DadosViagem5[[#This Row],[Utimo Bip Reserva]],TODAY(),"D"),"")</f>
        <v/>
      </c>
      <c r="AE886" s="36"/>
      <c r="AF886" s="25"/>
      <c r="AG886" s="36"/>
      <c r="AH886" s="25">
        <v>45807</v>
      </c>
      <c r="AI886" s="36" t="str">
        <f>IF(DadosViagem5[[#This Row],[Dias em manutenção ]]&lt;5,"Dentro do Prazo","Fora do Prazo")</f>
        <v>Fora do Prazo</v>
      </c>
      <c r="AJ886" s="36" t="e">
        <v>#REF!</v>
      </c>
    </row>
    <row r="887" spans="1:36">
      <c r="A887" s="19" t="s">
        <v>1549</v>
      </c>
      <c r="B887" s="20"/>
      <c r="C887" s="19" t="s">
        <v>225</v>
      </c>
      <c r="D887" s="19" t="s">
        <v>38</v>
      </c>
      <c r="E887" s="19" t="s">
        <v>39</v>
      </c>
      <c r="F887" s="19" t="s">
        <v>106</v>
      </c>
      <c r="G887" s="19"/>
      <c r="H887" s="20">
        <v>2024</v>
      </c>
      <c r="I887" s="19" t="s">
        <v>41</v>
      </c>
      <c r="J887" s="37" t="s">
        <v>58</v>
      </c>
      <c r="K887" s="38" t="s">
        <v>59</v>
      </c>
      <c r="L887" s="22" t="s">
        <v>60</v>
      </c>
      <c r="M887" s="23" t="s">
        <v>61</v>
      </c>
      <c r="N887" s="40" t="s">
        <v>62</v>
      </c>
      <c r="O887" s="65" t="s">
        <v>63</v>
      </c>
      <c r="P887" s="26">
        <f ca="1">IFERROR(VLOOKUP(DadosViagem5[[#This Row],[Placa]],[1]BIP!A:E,5,FALSE),"")</f>
        <v>45989</v>
      </c>
      <c r="Q887" s="27">
        <f ca="1">DATEDIF(DadosViagem5[[#This Row],[BIP]],TODAY(),"D")</f>
        <v>1</v>
      </c>
      <c r="R887" s="28" t="str">
        <f>IFERROR(VLOOKUP(DadosViagem5[[#This Row],[Placa]],[1]DDS!B:C,2,FALSE),"Verificar cadastro")</f>
        <v> </v>
      </c>
      <c r="S887" s="29" t="s">
        <v>48</v>
      </c>
      <c r="T887" s="23"/>
      <c r="U887" s="30"/>
      <c r="V887" s="31"/>
      <c r="W887" s="32"/>
      <c r="X887" s="33"/>
      <c r="Y887" s="34"/>
      <c r="Z887" s="32"/>
      <c r="AA887" s="20" t="s">
        <v>49</v>
      </c>
      <c r="AB887" s="20" t="s">
        <v>49</v>
      </c>
      <c r="AC887" s="19" t="s">
        <v>49</v>
      </c>
      <c r="AD887" s="19" t="str">
        <f ca="1">IFERROR(DATEDIF(DadosViagem5[[#This Row],[Utimo Bip Reserva]],TODAY(),"D"),"")</f>
        <v/>
      </c>
      <c r="AE887" s="36"/>
      <c r="AF887" s="25"/>
      <c r="AG887" s="36"/>
      <c r="AH887" s="25">
        <v>45807</v>
      </c>
      <c r="AI887" s="36" t="str">
        <f>IF(DadosViagem5[[#This Row],[Dias em manutenção ]]&lt;5,"Dentro do Prazo","Fora do Prazo")</f>
        <v>Fora do Prazo</v>
      </c>
      <c r="AJ887" s="36" t="e">
        <v>#REF!</v>
      </c>
    </row>
    <row r="888" spans="1:36">
      <c r="A888" s="19" t="s">
        <v>1550</v>
      </c>
      <c r="B888" s="20"/>
      <c r="C888" s="19" t="s">
        <v>88</v>
      </c>
      <c r="D888" s="19" t="s">
        <v>38</v>
      </c>
      <c r="E888" s="19" t="s">
        <v>114</v>
      </c>
      <c r="F888" s="19" t="s">
        <v>115</v>
      </c>
      <c r="G888" s="19"/>
      <c r="H888" s="20">
        <v>2022</v>
      </c>
      <c r="I888" s="19" t="s">
        <v>41</v>
      </c>
      <c r="J888" s="19" t="s">
        <v>58</v>
      </c>
      <c r="K888" s="21" t="s">
        <v>59</v>
      </c>
      <c r="L888" s="22" t="s">
        <v>60</v>
      </c>
      <c r="M888" s="23" t="s">
        <v>61</v>
      </c>
      <c r="N888" s="25" t="s">
        <v>62</v>
      </c>
      <c r="O888" s="65" t="s">
        <v>63</v>
      </c>
      <c r="P888" s="26">
        <f ca="1">IFERROR(VLOOKUP(DadosViagem5[[#This Row],[Placa]],[1]BIP!A:E,5,FALSE),"")</f>
        <v>45989</v>
      </c>
      <c r="Q888" s="27">
        <f ca="1">DATEDIF(DadosViagem5[[#This Row],[BIP]],TODAY(),"D")</f>
        <v>1</v>
      </c>
      <c r="R888" s="28" t="str">
        <f>IFERROR(VLOOKUP(DadosViagem5[[#This Row],[Placa]],[1]DDS!B:C,2,FALSE),"Verificar cadastro")</f>
        <v>Carregado</v>
      </c>
      <c r="S888" s="29" t="s">
        <v>48</v>
      </c>
      <c r="T888" s="23"/>
      <c r="U888" s="30"/>
      <c r="V888" s="31"/>
      <c r="W888" s="32"/>
      <c r="X888" s="33"/>
      <c r="Y888" s="34"/>
      <c r="Z888" s="32"/>
      <c r="AA888" s="20" t="s">
        <v>49</v>
      </c>
      <c r="AB888" s="20" t="s">
        <v>49</v>
      </c>
      <c r="AC888" s="19" t="s">
        <v>49</v>
      </c>
      <c r="AD888" s="19" t="str">
        <f ca="1">IFERROR(DATEDIF(DadosViagem5[[#This Row],[Utimo Bip Reserva]],TODAY(),"D"),"")</f>
        <v/>
      </c>
      <c r="AE888" s="36" t="s">
        <v>49</v>
      </c>
      <c r="AF888" s="25" t="s">
        <v>49</v>
      </c>
      <c r="AG888" s="36"/>
      <c r="AH888" s="25">
        <v>45807</v>
      </c>
      <c r="AI888" s="36" t="str">
        <f>IF(DadosViagem5[[#This Row],[Dias em manutenção ]]&lt;5,"Dentro do Prazo","Fora do Prazo")</f>
        <v>Fora do Prazo</v>
      </c>
      <c r="AJ888" s="36" t="e">
        <v>#REF!</v>
      </c>
    </row>
    <row r="889" spans="1:36">
      <c r="A889" s="19" t="s">
        <v>1551</v>
      </c>
      <c r="B889" s="20"/>
      <c r="C889" s="37" t="s">
        <v>591</v>
      </c>
      <c r="D889" s="37" t="s">
        <v>592</v>
      </c>
      <c r="E889" s="37" t="s">
        <v>114</v>
      </c>
      <c r="F889" s="19" t="s">
        <v>115</v>
      </c>
      <c r="G889" s="19"/>
      <c r="H889" s="20">
        <v>2022</v>
      </c>
      <c r="I889" s="37" t="s">
        <v>41</v>
      </c>
      <c r="J889" s="37" t="s">
        <v>58</v>
      </c>
      <c r="K889" s="38" t="s">
        <v>59</v>
      </c>
      <c r="L889" s="39" t="s">
        <v>60</v>
      </c>
      <c r="M889" s="23" t="s">
        <v>61</v>
      </c>
      <c r="N889" s="25" t="s">
        <v>62</v>
      </c>
      <c r="O889" s="65" t="s">
        <v>63</v>
      </c>
      <c r="P889" s="26">
        <f ca="1">IFERROR(VLOOKUP(DadosViagem5[[#This Row],[Placa]],[1]BIP!A:E,5,FALSE),"")</f>
        <v>45959</v>
      </c>
      <c r="Q889" s="27">
        <f ca="1">DATEDIF(DadosViagem5[[#This Row],[BIP]],TODAY(),"D")</f>
        <v>31</v>
      </c>
      <c r="R889" s="28" t="str">
        <f>IFERROR(VLOOKUP(DadosViagem5[[#This Row],[Placa]],[1]DDS!B:C,2,FALSE),"Verificar cadastro")</f>
        <v>Falta Motorista</v>
      </c>
      <c r="S889" s="29" t="s">
        <v>48</v>
      </c>
      <c r="T889" s="23"/>
      <c r="U889" s="30"/>
      <c r="V889" s="31"/>
      <c r="W889" s="32"/>
      <c r="X889" s="33"/>
      <c r="Y889" s="34"/>
      <c r="Z889" s="43"/>
      <c r="AA889" s="135" t="s">
        <v>49</v>
      </c>
      <c r="AB889" s="135" t="s">
        <v>49</v>
      </c>
      <c r="AC889" s="37" t="s">
        <v>49</v>
      </c>
      <c r="AD889" s="37" t="str">
        <f ca="1">IFERROR(DATEDIF(DadosViagem5[[#This Row],[Utimo Bip Reserva]],TODAY(),"D"),"")</f>
        <v/>
      </c>
      <c r="AE889" s="24" t="s">
        <v>49</v>
      </c>
      <c r="AF889" s="40" t="s">
        <v>49</v>
      </c>
      <c r="AG889" s="24"/>
      <c r="AH889" s="40">
        <v>45807</v>
      </c>
      <c r="AI889" s="24" t="str">
        <f>IF(DadosViagem5[[#This Row],[Dias em manutenção ]]&lt;5,"Dentro do Prazo","Fora do Prazo")</f>
        <v>Fora do Prazo</v>
      </c>
      <c r="AJ889" s="68" t="e">
        <v>#REF!</v>
      </c>
    </row>
    <row r="890" spans="1:36">
      <c r="A890" s="19" t="s">
        <v>1552</v>
      </c>
      <c r="B890" s="20"/>
      <c r="C890" s="19" t="s">
        <v>1509</v>
      </c>
      <c r="D890" s="19" t="s">
        <v>38</v>
      </c>
      <c r="E890" s="19" t="s">
        <v>114</v>
      </c>
      <c r="F890" s="19" t="s">
        <v>115</v>
      </c>
      <c r="G890" s="19"/>
      <c r="H890" s="20">
        <v>2022</v>
      </c>
      <c r="I890" s="19" t="s">
        <v>41</v>
      </c>
      <c r="J890" s="19" t="s">
        <v>58</v>
      </c>
      <c r="K890" s="21" t="s">
        <v>59</v>
      </c>
      <c r="L890" s="22" t="s">
        <v>60</v>
      </c>
      <c r="M890" s="23" t="s">
        <v>61</v>
      </c>
      <c r="N890" s="25" t="s">
        <v>62</v>
      </c>
      <c r="O890" s="65" t="s">
        <v>63</v>
      </c>
      <c r="P890" s="26">
        <f ca="1">IFERROR(VLOOKUP(DadosViagem5[[#This Row],[Placa]],[1]BIP!A:E,5,FALSE),"")</f>
        <v>45989</v>
      </c>
      <c r="Q890" s="27">
        <f ca="1">DATEDIF(DadosViagem5[[#This Row],[BIP]],TODAY(),"D")</f>
        <v>1</v>
      </c>
      <c r="R890" s="28" t="str">
        <f>IFERROR(VLOOKUP(DadosViagem5[[#This Row],[Placa]],[1]DDS!B:C,2,FALSE),"Verificar cadastro")</f>
        <v>Carregado</v>
      </c>
      <c r="S890" s="29" t="s">
        <v>48</v>
      </c>
      <c r="T890" s="23"/>
      <c r="U890" s="30"/>
      <c r="V890" s="31"/>
      <c r="W890" s="32"/>
      <c r="X890" s="33"/>
      <c r="Y890" s="34"/>
      <c r="Z890" s="32"/>
      <c r="AA890" s="20" t="s">
        <v>49</v>
      </c>
      <c r="AB890" s="20" t="s">
        <v>49</v>
      </c>
      <c r="AC890" s="19" t="s">
        <v>49</v>
      </c>
      <c r="AD890" s="19" t="str">
        <f ca="1">IFERROR(DATEDIF(DadosViagem5[[#This Row],[Utimo Bip Reserva]],TODAY(),"D"),"")</f>
        <v/>
      </c>
      <c r="AE890" s="36" t="s">
        <v>49</v>
      </c>
      <c r="AF890" s="25" t="s">
        <v>49</v>
      </c>
      <c r="AG890" s="36"/>
      <c r="AH890" s="25">
        <v>45807</v>
      </c>
      <c r="AI890" s="36" t="str">
        <f>IF(DadosViagem5[[#This Row],[Dias em manutenção ]]&lt;5,"Dentro do Prazo","Fora do Prazo")</f>
        <v>Fora do Prazo</v>
      </c>
      <c r="AJ890" s="36" t="e">
        <v>#REF!</v>
      </c>
    </row>
    <row r="891" spans="1:36">
      <c r="A891" s="19" t="s">
        <v>1553</v>
      </c>
      <c r="B891" s="20"/>
      <c r="C891" s="19" t="s">
        <v>71</v>
      </c>
      <c r="D891" s="19" t="s">
        <v>38</v>
      </c>
      <c r="E891" s="19" t="s">
        <v>114</v>
      </c>
      <c r="F891" s="19" t="s">
        <v>115</v>
      </c>
      <c r="G891" s="19"/>
      <c r="H891" s="20">
        <v>2022</v>
      </c>
      <c r="I891" s="19" t="s">
        <v>41</v>
      </c>
      <c r="J891" s="37" t="s">
        <v>58</v>
      </c>
      <c r="K891" s="38" t="s">
        <v>59</v>
      </c>
      <c r="L891" s="22" t="s">
        <v>60</v>
      </c>
      <c r="M891" s="23" t="s">
        <v>61</v>
      </c>
      <c r="N891" s="40" t="s">
        <v>62</v>
      </c>
      <c r="O891" s="65" t="s">
        <v>63</v>
      </c>
      <c r="P891" s="26">
        <f ca="1">IFERROR(VLOOKUP(DadosViagem5[[#This Row],[Placa]],[1]BIP!A:E,5,FALSE),"")</f>
        <v>45989</v>
      </c>
      <c r="Q891" s="27">
        <f ca="1">DATEDIF(DadosViagem5[[#This Row],[BIP]],TODAY(),"D")</f>
        <v>1</v>
      </c>
      <c r="R891" s="28" t="str">
        <f>IFERROR(VLOOKUP(DadosViagem5[[#This Row],[Placa]],[1]DDS!B:C,2,FALSE),"Verificar cadastro")</f>
        <v>Carregado</v>
      </c>
      <c r="S891" s="29" t="s">
        <v>48</v>
      </c>
      <c r="T891" s="23"/>
      <c r="U891" s="30"/>
      <c r="V891" s="31"/>
      <c r="W891" s="32"/>
      <c r="X891" s="33"/>
      <c r="Y891" s="34"/>
      <c r="Z891" s="32"/>
      <c r="AA891" s="20" t="s">
        <v>49</v>
      </c>
      <c r="AB891" s="20" t="s">
        <v>49</v>
      </c>
      <c r="AC891" s="19" t="s">
        <v>49</v>
      </c>
      <c r="AD891" s="19" t="str">
        <f ca="1">IFERROR(DATEDIF(DadosViagem5[[#This Row],[Utimo Bip Reserva]],TODAY(),"D"),"")</f>
        <v/>
      </c>
      <c r="AE891" s="36" t="s">
        <v>49</v>
      </c>
      <c r="AF891" s="25" t="s">
        <v>49</v>
      </c>
      <c r="AG891" s="36"/>
      <c r="AH891" s="25">
        <v>45807</v>
      </c>
      <c r="AI891" s="36" t="str">
        <f>IF(DadosViagem5[[#This Row],[Dias em manutenção ]]&lt;5,"Dentro do Prazo","Fora do Prazo")</f>
        <v>Fora do Prazo</v>
      </c>
      <c r="AJ891" s="36" t="e">
        <v>#REF!</v>
      </c>
    </row>
    <row r="892" spans="1:36">
      <c r="A892" s="19" t="s">
        <v>1554</v>
      </c>
      <c r="B892" s="20"/>
      <c r="C892" s="19" t="s">
        <v>88</v>
      </c>
      <c r="D892" s="19" t="s">
        <v>52</v>
      </c>
      <c r="E892" s="19" t="s">
        <v>114</v>
      </c>
      <c r="F892" s="19" t="s">
        <v>115</v>
      </c>
      <c r="G892" s="19"/>
      <c r="H892" s="20">
        <v>2021</v>
      </c>
      <c r="I892" s="19" t="s">
        <v>41</v>
      </c>
      <c r="J892" s="19" t="s">
        <v>58</v>
      </c>
      <c r="K892" s="21" t="s">
        <v>59</v>
      </c>
      <c r="L892" s="22" t="s">
        <v>60</v>
      </c>
      <c r="M892" s="23" t="s">
        <v>61</v>
      </c>
      <c r="N892" s="25" t="s">
        <v>62</v>
      </c>
      <c r="O892" s="65" t="s">
        <v>63</v>
      </c>
      <c r="P892" s="26">
        <f ca="1">IFERROR(VLOOKUP(DadosViagem5[[#This Row],[Placa]],[1]BIP!A:E,5,FALSE),"")</f>
        <v>45989</v>
      </c>
      <c r="Q892" s="27">
        <f ca="1">DATEDIF(DadosViagem5[[#This Row],[BIP]],TODAY(),"D")</f>
        <v>1</v>
      </c>
      <c r="R892" s="28" t="str">
        <f>IFERROR(VLOOKUP(DadosViagem5[[#This Row],[Placa]],[1]DDS!B:C,2,FALSE),"Verificar cadastro")</f>
        <v>Carregado</v>
      </c>
      <c r="S892" s="29" t="s">
        <v>48</v>
      </c>
      <c r="T892" s="23"/>
      <c r="U892" s="30"/>
      <c r="V892" s="31"/>
      <c r="W892" s="32"/>
      <c r="X892" s="33"/>
      <c r="Y892" s="34"/>
      <c r="Z892" s="32"/>
      <c r="AA892" s="20" t="s">
        <v>49</v>
      </c>
      <c r="AB892" s="20" t="s">
        <v>49</v>
      </c>
      <c r="AC892" s="19" t="s">
        <v>49</v>
      </c>
      <c r="AD892" s="19" t="str">
        <f ca="1">IFERROR(DATEDIF(DadosViagem5[[#This Row],[Utimo Bip Reserva]],TODAY(),"D"),"")</f>
        <v/>
      </c>
      <c r="AE892" s="36" t="s">
        <v>49</v>
      </c>
      <c r="AF892" s="25" t="s">
        <v>49</v>
      </c>
      <c r="AG892" s="36"/>
      <c r="AH892" s="25">
        <v>45807</v>
      </c>
      <c r="AI892" s="36" t="str">
        <f>IF(DadosViagem5[[#This Row],[Dias em manutenção ]]&lt;5,"Dentro do Prazo","Fora do Prazo")</f>
        <v>Fora do Prazo</v>
      </c>
      <c r="AJ892" s="36" t="e">
        <v>#REF!</v>
      </c>
    </row>
    <row r="893" spans="1:36">
      <c r="A893" s="19" t="s">
        <v>1555</v>
      </c>
      <c r="B893" s="20"/>
      <c r="C893" s="19" t="s">
        <v>562</v>
      </c>
      <c r="D893" s="19" t="s">
        <v>563</v>
      </c>
      <c r="E893" s="19" t="s">
        <v>114</v>
      </c>
      <c r="F893" s="19" t="s">
        <v>115</v>
      </c>
      <c r="G893" s="19"/>
      <c r="H893" s="20">
        <v>2022</v>
      </c>
      <c r="I893" s="19" t="s">
        <v>1556</v>
      </c>
      <c r="J893" s="19" t="s">
        <v>1557</v>
      </c>
      <c r="K893" s="21" t="s">
        <v>1558</v>
      </c>
      <c r="L893" s="22" t="s">
        <v>60</v>
      </c>
      <c r="M893" s="23" t="s">
        <v>268</v>
      </c>
      <c r="N893" s="36" t="s">
        <v>1277</v>
      </c>
      <c r="O893" s="36" t="s">
        <v>1019</v>
      </c>
      <c r="P893" s="26">
        <f ca="1">IFERROR(VLOOKUP(DadosViagem5[[#This Row],[Placa]],[1]BIP!A:E,5,FALSE),"")</f>
        <v>45989</v>
      </c>
      <c r="Q893" s="27">
        <f ca="1">DATEDIF(DadosViagem5[[#This Row],[BIP]],TODAY(),"D")</f>
        <v>1</v>
      </c>
      <c r="R893" s="28" t="str">
        <f>IFERROR(VLOOKUP(DadosViagem5[[#This Row],[Placa]],[1]DDS!B:C,2,FALSE),"Verificar cadastro")</f>
        <v>Operando</v>
      </c>
      <c r="S893" s="29" t="s">
        <v>48</v>
      </c>
      <c r="T893" s="23"/>
      <c r="U893" s="30"/>
      <c r="V893" s="31"/>
      <c r="W893" s="32"/>
      <c r="X893" s="33"/>
      <c r="Y893" s="34"/>
      <c r="Z893" s="32"/>
      <c r="AA893" s="20"/>
      <c r="AB893" s="20" t="s">
        <v>49</v>
      </c>
      <c r="AC893" s="20" t="s">
        <v>49</v>
      </c>
      <c r="AD893" s="20" t="s">
        <v>49</v>
      </c>
      <c r="AE893" s="36" t="s">
        <v>49</v>
      </c>
      <c r="AF893" s="25" t="s">
        <v>49</v>
      </c>
      <c r="AG893" s="36"/>
      <c r="AH893" s="25">
        <v>45807</v>
      </c>
      <c r="AI893" s="36" t="str">
        <f>IF(DadosViagem5[[#This Row],[Dias em manutenção ]]&lt;5,"Dentro do Prazo","Fora do Prazo")</f>
        <v>Fora do Prazo</v>
      </c>
      <c r="AJ893" s="36" t="e">
        <v>#REF!</v>
      </c>
    </row>
    <row r="894" spans="1:36">
      <c r="A894" s="19" t="s">
        <v>1559</v>
      </c>
      <c r="B894" s="20"/>
      <c r="C894" s="19" t="s">
        <v>671</v>
      </c>
      <c r="D894" s="19" t="s">
        <v>132</v>
      </c>
      <c r="E894" s="19" t="s">
        <v>894</v>
      </c>
      <c r="F894" s="19" t="s">
        <v>115</v>
      </c>
      <c r="G894" s="19"/>
      <c r="H894" s="20">
        <v>2022</v>
      </c>
      <c r="I894" s="19" t="s">
        <v>1556</v>
      </c>
      <c r="J894" s="19" t="s">
        <v>1557</v>
      </c>
      <c r="K894" s="21" t="s">
        <v>1558</v>
      </c>
      <c r="L894" s="22" t="s">
        <v>60</v>
      </c>
      <c r="M894" s="23" t="s">
        <v>268</v>
      </c>
      <c r="N894" s="36" t="s">
        <v>1277</v>
      </c>
      <c r="O894" s="36" t="s">
        <v>1019</v>
      </c>
      <c r="P894" s="26" t="str">
        <f>IFERROR(VLOOKUP(DadosViagem5[[#This Row],[Placa]],[1]BIP!A:E,5,FALSE),"")</f>
        <v/>
      </c>
      <c r="Q894" s="27" t="e">
        <f ca="1">DATEDIF(DadosViagem5[[#This Row],[BIP]],TODAY(),"D")</f>
        <v>#VALUE!</v>
      </c>
      <c r="R894" s="28" t="str">
        <f>IFERROR(VLOOKUP(DadosViagem5[[#This Row],[Placa]],[1]DDS!B:C,2,FALSE),"Verificar cadastro")</f>
        <v>Verificar cadastro</v>
      </c>
      <c r="S894" s="36" t="s">
        <v>186</v>
      </c>
      <c r="T894" s="23"/>
      <c r="U894" s="30"/>
      <c r="V894" s="31">
        <v>45884</v>
      </c>
      <c r="W894" s="32" t="s">
        <v>1560</v>
      </c>
      <c r="X894" s="57" t="s">
        <v>316</v>
      </c>
      <c r="Y894" s="34">
        <v>45927</v>
      </c>
      <c r="Z894" s="136" t="s">
        <v>1561</v>
      </c>
      <c r="AA894" s="20" t="s">
        <v>49</v>
      </c>
      <c r="AB894" s="20"/>
      <c r="AC894" s="19" t="s">
        <v>49</v>
      </c>
      <c r="AD894" s="19" t="str">
        <f ca="1">IFERROR(DATEDIF(DadosViagem5[[#This Row],[Utimo Bip Reserva]],TODAY(),"D"),"")</f>
        <v/>
      </c>
      <c r="AE894" s="25" t="s">
        <v>49</v>
      </c>
      <c r="AF894" s="25" t="s">
        <v>49</v>
      </c>
      <c r="AG894" s="36"/>
      <c r="AH894" s="25">
        <v>64</v>
      </c>
      <c r="AI894" s="36" t="str">
        <f>IF(DadosViagem5[[#This Row],[Dias em manutenção ]]&lt;5,"Dentro do Prazo","Fora do Prazo")</f>
        <v>Fora do Prazo</v>
      </c>
      <c r="AJ894" s="36" t="e">
        <v>#REF!</v>
      </c>
    </row>
    <row r="895" spans="1:36">
      <c r="A895" s="19" t="s">
        <v>1562</v>
      </c>
      <c r="B895" s="20"/>
      <c r="C895" s="19" t="s">
        <v>562</v>
      </c>
      <c r="D895" s="19" t="s">
        <v>563</v>
      </c>
      <c r="E895" s="19" t="s">
        <v>114</v>
      </c>
      <c r="F895" s="19" t="s">
        <v>115</v>
      </c>
      <c r="G895" s="19"/>
      <c r="H895" s="20">
        <v>2022</v>
      </c>
      <c r="I895" s="19" t="s">
        <v>1556</v>
      </c>
      <c r="J895" s="37" t="s">
        <v>1557</v>
      </c>
      <c r="K895" s="38" t="s">
        <v>1558</v>
      </c>
      <c r="L895" s="22" t="s">
        <v>60</v>
      </c>
      <c r="M895" s="23" t="s">
        <v>268</v>
      </c>
      <c r="N895" s="36" t="s">
        <v>1277</v>
      </c>
      <c r="O895" s="36" t="s">
        <v>1019</v>
      </c>
      <c r="P895" s="26">
        <f ca="1">IFERROR(VLOOKUP(DadosViagem5[[#This Row],[Placa]],[1]BIP!A:E,5,FALSE),"")</f>
        <v>45980</v>
      </c>
      <c r="Q895" s="27">
        <f ca="1">DATEDIF(DadosViagem5[[#This Row],[BIP]],TODAY(),"D")</f>
        <v>10</v>
      </c>
      <c r="R895" s="28" t="str">
        <f>IFERROR(VLOOKUP(DadosViagem5[[#This Row],[Placa]],[1]DDS!B:C,2,FALSE),"Verificar cadastro")</f>
        <v> </v>
      </c>
      <c r="S895" s="29" t="s">
        <v>48</v>
      </c>
      <c r="T895" s="23"/>
      <c r="U895" s="30"/>
      <c r="V895" s="31"/>
      <c r="W895" s="32"/>
      <c r="X895" s="33"/>
      <c r="Y895" s="34"/>
      <c r="Z895" s="32"/>
      <c r="AA895" s="20" t="s">
        <v>1563</v>
      </c>
      <c r="AB895" s="20" t="s">
        <v>49</v>
      </c>
      <c r="AC895" s="19" t="s">
        <v>49</v>
      </c>
      <c r="AD895" s="19" t="str">
        <f ca="1">IFERROR(DATEDIF(DadosViagem5[[#This Row],[Utimo Bip Reserva]],TODAY(),"D"),"")</f>
        <v/>
      </c>
      <c r="AE895" s="36" t="s">
        <v>49</v>
      </c>
      <c r="AF895" s="25" t="s">
        <v>49</v>
      </c>
      <c r="AG895" s="36"/>
      <c r="AH895" s="25">
        <v>10</v>
      </c>
      <c r="AI895" s="36" t="str">
        <f>IF(DadosViagem5[[#This Row],[Dias em manutenção ]]&lt;5,"Dentro do Prazo","Fora do Prazo")</f>
        <v>Fora do Prazo</v>
      </c>
      <c r="AJ895" s="36" t="e">
        <v>#REF!</v>
      </c>
    </row>
    <row r="896" spans="1:36">
      <c r="A896" s="19" t="s">
        <v>1564</v>
      </c>
      <c r="B896" s="20"/>
      <c r="C896" s="19" t="s">
        <v>671</v>
      </c>
      <c r="D896" s="19" t="s">
        <v>132</v>
      </c>
      <c r="E896" s="19" t="s">
        <v>894</v>
      </c>
      <c r="F896" s="19" t="s">
        <v>115</v>
      </c>
      <c r="G896" s="19"/>
      <c r="H896" s="20">
        <v>2020</v>
      </c>
      <c r="I896" s="19" t="s">
        <v>1556</v>
      </c>
      <c r="J896" s="19" t="s">
        <v>1565</v>
      </c>
      <c r="K896" s="21" t="s">
        <v>1558</v>
      </c>
      <c r="L896" s="22" t="s">
        <v>60</v>
      </c>
      <c r="M896" s="23" t="s">
        <v>268</v>
      </c>
      <c r="N896" s="36" t="s">
        <v>1277</v>
      </c>
      <c r="O896" s="36" t="s">
        <v>1019</v>
      </c>
      <c r="P896" s="26">
        <f ca="1">IFERROR(VLOOKUP(DadosViagem5[[#This Row],[Placa]],[1]BIP!A:E,5,FALSE),"")</f>
        <v>45839</v>
      </c>
      <c r="Q896" s="27">
        <f ca="1">DATEDIF(DadosViagem5[[#This Row],[BIP]],TODAY(),"D")</f>
        <v>151</v>
      </c>
      <c r="R896" s="28" t="str">
        <f>IFERROR(VLOOKUP(DadosViagem5[[#This Row],[Placa]],[1]DDS!B:C,2,FALSE),"Verificar cadastro")</f>
        <v> </v>
      </c>
      <c r="S896" s="36" t="s">
        <v>1566</v>
      </c>
      <c r="T896" s="23">
        <v>6843992</v>
      </c>
      <c r="U896" s="30">
        <v>45852</v>
      </c>
      <c r="V896" s="31">
        <v>45841</v>
      </c>
      <c r="W896" s="32" t="s">
        <v>1567</v>
      </c>
      <c r="X896" s="33" t="s">
        <v>65</v>
      </c>
      <c r="Y896" s="34" t="s">
        <v>66</v>
      </c>
      <c r="Z896" s="42" t="s">
        <v>1568</v>
      </c>
      <c r="AA896" s="20" t="s">
        <v>49</v>
      </c>
      <c r="AB896" s="20" t="s">
        <v>49</v>
      </c>
      <c r="AC896" s="19" t="s">
        <v>49</v>
      </c>
      <c r="AD896" s="19" t="str">
        <f ca="1">IFERROR(DATEDIF(DadosViagem5[[#This Row],[Utimo Bip Reserva]],TODAY(),"D"),"")</f>
        <v/>
      </c>
      <c r="AE896" s="25" t="s">
        <v>49</v>
      </c>
      <c r="AF896" s="25">
        <v>45699</v>
      </c>
      <c r="AG896" s="36" t="s">
        <v>540</v>
      </c>
      <c r="AH896" s="25">
        <v>17</v>
      </c>
      <c r="AI896" s="36" t="str">
        <f>IF(DadosViagem5[[#This Row],[Dias em manutenção ]]&lt;5,"Dentro do Prazo","Fora do Prazo")</f>
        <v>Fora do Prazo</v>
      </c>
      <c r="AJ896" s="36" t="e">
        <v>#REF!</v>
      </c>
    </row>
    <row r="897" spans="1:36">
      <c r="A897" s="19" t="s">
        <v>1569</v>
      </c>
      <c r="B897" s="20"/>
      <c r="C897" s="19" t="s">
        <v>671</v>
      </c>
      <c r="D897" s="19" t="s">
        <v>132</v>
      </c>
      <c r="E897" s="19" t="s">
        <v>894</v>
      </c>
      <c r="F897" s="19" t="s">
        <v>115</v>
      </c>
      <c r="G897" s="19"/>
      <c r="H897" s="20">
        <v>2020</v>
      </c>
      <c r="I897" s="19" t="s">
        <v>1556</v>
      </c>
      <c r="J897" s="19" t="s">
        <v>1557</v>
      </c>
      <c r="K897" s="21" t="s">
        <v>1558</v>
      </c>
      <c r="L897" s="22" t="s">
        <v>60</v>
      </c>
      <c r="M897" s="23" t="s">
        <v>268</v>
      </c>
      <c r="N897" s="36" t="s">
        <v>1277</v>
      </c>
      <c r="O897" s="36" t="s">
        <v>1019</v>
      </c>
      <c r="P897" s="26">
        <f ca="1">IFERROR(VLOOKUP(DadosViagem5[[#This Row],[Placa]],[1]BIP!A:E,5,FALSE),"")</f>
        <v>45863</v>
      </c>
      <c r="Q897" s="27">
        <f ca="1">DATEDIF(DadosViagem5[[#This Row],[BIP]],TODAY(),"D")</f>
        <v>127</v>
      </c>
      <c r="R897" s="28" t="str">
        <f>IFERROR(VLOOKUP(DadosViagem5[[#This Row],[Placa]],[1]DDS!B:C,2,FALSE),"Verificar cadastro")</f>
        <v>Verificar cadastro</v>
      </c>
      <c r="S897" s="29" t="s">
        <v>48</v>
      </c>
      <c r="T897" s="23"/>
      <c r="U897" s="30"/>
      <c r="V897" s="31"/>
      <c r="W897" s="32" t="s">
        <v>1570</v>
      </c>
      <c r="X897" s="33"/>
      <c r="Y897" s="34"/>
      <c r="Z897" s="42"/>
      <c r="AA897" s="20" t="s">
        <v>49</v>
      </c>
      <c r="AB897" s="20" t="s">
        <v>49</v>
      </c>
      <c r="AC897" s="20" t="s">
        <v>49</v>
      </c>
      <c r="AD897" s="20" t="s">
        <v>49</v>
      </c>
      <c r="AE897" s="25" t="s">
        <v>49</v>
      </c>
      <c r="AF897" s="25" t="s">
        <v>49</v>
      </c>
      <c r="AG897" s="36"/>
      <c r="AH897" s="25">
        <v>45807</v>
      </c>
      <c r="AI897" s="36" t="str">
        <f>IF(DadosViagem5[[#This Row],[Dias em manutenção ]]&lt;5,"Dentro do Prazo","Fora do Prazo")</f>
        <v>Fora do Prazo</v>
      </c>
      <c r="AJ897" s="36" t="e">
        <v>#REF!</v>
      </c>
    </row>
    <row r="898" spans="1:36">
      <c r="A898" s="19" t="s">
        <v>1571</v>
      </c>
      <c r="B898" s="20"/>
      <c r="C898" s="19" t="s">
        <v>671</v>
      </c>
      <c r="D898" s="19" t="s">
        <v>132</v>
      </c>
      <c r="E898" s="19" t="s">
        <v>894</v>
      </c>
      <c r="F898" s="19" t="s">
        <v>115</v>
      </c>
      <c r="G898" s="19"/>
      <c r="H898" s="20">
        <v>2022</v>
      </c>
      <c r="I898" s="19" t="s">
        <v>1556</v>
      </c>
      <c r="J898" s="19" t="s">
        <v>1557</v>
      </c>
      <c r="K898" s="21" t="s">
        <v>1558</v>
      </c>
      <c r="L898" s="22" t="s">
        <v>60</v>
      </c>
      <c r="M898" s="23" t="s">
        <v>268</v>
      </c>
      <c r="N898" s="36" t="s">
        <v>1277</v>
      </c>
      <c r="O898" s="36" t="s">
        <v>1019</v>
      </c>
      <c r="P898" s="26">
        <f ca="1">IFERROR(VLOOKUP(DadosViagem5[[#This Row],[Placa]],[1]BIP!A:E,5,FALSE),"")</f>
        <v>45912</v>
      </c>
      <c r="Q898" s="27">
        <f ca="1">DATEDIF(DadosViagem5[[#This Row],[BIP]],TODAY(),"D")</f>
        <v>78</v>
      </c>
      <c r="R898" s="28" t="str">
        <f>IFERROR(VLOOKUP(DadosViagem5[[#This Row],[Placa]],[1]DDS!B:C,2,FALSE),"Verificar cadastro")</f>
        <v> </v>
      </c>
      <c r="S898" s="36" t="s">
        <v>574</v>
      </c>
      <c r="T898" s="23"/>
      <c r="U898" s="30"/>
      <c r="V898" s="31"/>
      <c r="W898" s="32" t="s">
        <v>1572</v>
      </c>
      <c r="X898" s="33"/>
      <c r="Y898" s="34"/>
      <c r="Z898" s="42"/>
      <c r="AA898" s="20">
        <v>0</v>
      </c>
      <c r="AB898" s="20" t="s">
        <v>49</v>
      </c>
      <c r="AC898" s="19" t="s">
        <v>49</v>
      </c>
      <c r="AD898" s="19" t="str">
        <f ca="1">IFERROR(DATEDIF(DadosViagem5[[#This Row],[Utimo Bip Reserva]],TODAY(),"D"),"")</f>
        <v/>
      </c>
      <c r="AE898" s="25" t="s">
        <v>49</v>
      </c>
      <c r="AF898" s="25" t="s">
        <v>49</v>
      </c>
      <c r="AG898" s="36"/>
      <c r="AH898" s="25">
        <v>20</v>
      </c>
      <c r="AI898" s="36" t="str">
        <f>IF(DadosViagem5[[#This Row],[Dias em manutenção ]]&lt;5,"Dentro do Prazo","Fora do Prazo")</f>
        <v>Fora do Prazo</v>
      </c>
      <c r="AJ898" s="36" t="e">
        <v>#REF!</v>
      </c>
    </row>
    <row r="899" spans="1:36">
      <c r="A899" s="19" t="s">
        <v>1573</v>
      </c>
      <c r="B899" s="20"/>
      <c r="C899" s="19" t="s">
        <v>88</v>
      </c>
      <c r="D899" s="19" t="s">
        <v>52</v>
      </c>
      <c r="E899" s="19" t="s">
        <v>114</v>
      </c>
      <c r="F899" s="19" t="s">
        <v>115</v>
      </c>
      <c r="G899" s="19"/>
      <c r="H899" s="20">
        <v>2023</v>
      </c>
      <c r="I899" s="19" t="s">
        <v>1556</v>
      </c>
      <c r="J899" s="19" t="s">
        <v>1557</v>
      </c>
      <c r="K899" s="21" t="s">
        <v>1558</v>
      </c>
      <c r="L899" s="22" t="s">
        <v>60</v>
      </c>
      <c r="M899" s="23" t="s">
        <v>268</v>
      </c>
      <c r="N899" s="36" t="s">
        <v>1277</v>
      </c>
      <c r="O899" s="36" t="s">
        <v>1019</v>
      </c>
      <c r="P899" s="26" t="str">
        <f>IFERROR(VLOOKUP(DadosViagem5[[#This Row],[Placa]],[1]BIP!A:E,5,FALSE),"")</f>
        <v/>
      </c>
      <c r="Q899" s="27" t="e">
        <f ca="1">DATEDIF(DadosViagem5[[#This Row],[BIP]],TODAY(),"D")</f>
        <v>#VALUE!</v>
      </c>
      <c r="R899" s="28" t="str">
        <f>IFERROR(VLOOKUP(DadosViagem5[[#This Row],[Placa]],[1]DDS!B:C,2,FALSE),"Verificar cadastro")</f>
        <v>Verificar cadastro</v>
      </c>
      <c r="S899" s="36" t="s">
        <v>1574</v>
      </c>
      <c r="T899" s="23"/>
      <c r="U899" s="30"/>
      <c r="V899" s="31">
        <v>45841</v>
      </c>
      <c r="W899" s="32" t="s">
        <v>1575</v>
      </c>
      <c r="X899" s="33" t="s">
        <v>65</v>
      </c>
      <c r="Y899" s="34" t="s">
        <v>159</v>
      </c>
      <c r="Z899" s="32" t="s">
        <v>1576</v>
      </c>
      <c r="AA899" s="20" t="s">
        <v>49</v>
      </c>
      <c r="AB899" s="20" t="s">
        <v>49</v>
      </c>
      <c r="AC899" s="19" t="s">
        <v>49</v>
      </c>
      <c r="AD899" s="19" t="str">
        <f ca="1">IFERROR(DATEDIF(DadosViagem5[[#This Row],[Utimo Bip Reserva]],TODAY(),"D"),"")</f>
        <v/>
      </c>
      <c r="AE899" s="36" t="s">
        <v>49</v>
      </c>
      <c r="AF899" s="25" t="s">
        <v>49</v>
      </c>
      <c r="AG899" s="36"/>
      <c r="AH899" s="25">
        <v>45807</v>
      </c>
      <c r="AI899" s="36" t="str">
        <f>IF(DadosViagem5[[#This Row],[Dias em manutenção ]]&lt;5,"Dentro do Prazo","Fora do Prazo")</f>
        <v>Fora do Prazo</v>
      </c>
      <c r="AJ899" s="36" t="e">
        <v>#REF!</v>
      </c>
    </row>
    <row r="900" spans="1:36">
      <c r="A900" s="19" t="s">
        <v>1577</v>
      </c>
      <c r="B900" s="20"/>
      <c r="C900" s="19" t="s">
        <v>562</v>
      </c>
      <c r="D900" s="19" t="s">
        <v>563</v>
      </c>
      <c r="E900" s="19" t="s">
        <v>114</v>
      </c>
      <c r="F900" s="19" t="s">
        <v>115</v>
      </c>
      <c r="G900" s="19"/>
      <c r="H900" s="20">
        <v>2022</v>
      </c>
      <c r="I900" s="19" t="s">
        <v>1556</v>
      </c>
      <c r="J900" s="19" t="s">
        <v>1557</v>
      </c>
      <c r="K900" s="21" t="s">
        <v>1558</v>
      </c>
      <c r="L900" s="22" t="s">
        <v>60</v>
      </c>
      <c r="M900" s="23" t="s">
        <v>268</v>
      </c>
      <c r="N900" s="36" t="s">
        <v>1277</v>
      </c>
      <c r="O900" s="36" t="s">
        <v>1019</v>
      </c>
      <c r="P900" s="26">
        <f ca="1">IFERROR(VLOOKUP(DadosViagem5[[#This Row],[Placa]],[1]BIP!A:E,5,FALSE),"")</f>
        <v>45989</v>
      </c>
      <c r="Q900" s="27">
        <f ca="1">DATEDIF(DadosViagem5[[#This Row],[BIP]],TODAY(),"D")</f>
        <v>1</v>
      </c>
      <c r="R900" s="28" t="str">
        <f>IFERROR(VLOOKUP(DadosViagem5[[#This Row],[Placa]],[1]DDS!B:C,2,FALSE),"Verificar cadastro")</f>
        <v>Operando</v>
      </c>
      <c r="S900" s="29" t="s">
        <v>48</v>
      </c>
      <c r="T900" s="23"/>
      <c r="U900" s="30"/>
      <c r="V900" s="31"/>
      <c r="W900" s="95"/>
      <c r="X900" s="33"/>
      <c r="Y900" s="34"/>
      <c r="Z900" s="32"/>
      <c r="AA900" s="20" t="s">
        <v>49</v>
      </c>
      <c r="AB900" s="20" t="s">
        <v>49</v>
      </c>
      <c r="AC900" s="19" t="s">
        <v>49</v>
      </c>
      <c r="AD900" s="19" t="str">
        <f ca="1">IFERROR(DATEDIF(DadosViagem5[[#This Row],[Utimo Bip Reserva]],TODAY(),"D"),"")</f>
        <v/>
      </c>
      <c r="AE900" s="36" t="s">
        <v>49</v>
      </c>
      <c r="AF900" s="25">
        <v>45699</v>
      </c>
      <c r="AG900" s="30"/>
      <c r="AH900" s="25">
        <v>217</v>
      </c>
      <c r="AI900" s="36" t="str">
        <f>IF(DadosViagem5[[#This Row],[Dias em manutenção ]]&lt;5,"Dentro do Prazo","Fora do Prazo")</f>
        <v>Fora do Prazo</v>
      </c>
      <c r="AJ900" s="36" t="e">
        <v>#REF!</v>
      </c>
    </row>
    <row r="901" spans="1:36">
      <c r="A901" s="19" t="s">
        <v>1578</v>
      </c>
      <c r="B901" s="20"/>
      <c r="C901" s="19" t="s">
        <v>562</v>
      </c>
      <c r="D901" s="19" t="s">
        <v>563</v>
      </c>
      <c r="E901" s="19" t="s">
        <v>114</v>
      </c>
      <c r="F901" s="19" t="s">
        <v>115</v>
      </c>
      <c r="G901" s="19"/>
      <c r="H901" s="20">
        <v>2023</v>
      </c>
      <c r="I901" s="19" t="s">
        <v>1556</v>
      </c>
      <c r="J901" s="19" t="s">
        <v>1557</v>
      </c>
      <c r="K901" s="21" t="s">
        <v>1558</v>
      </c>
      <c r="L901" s="22" t="s">
        <v>60</v>
      </c>
      <c r="M901" s="23" t="s">
        <v>268</v>
      </c>
      <c r="N901" s="36" t="s">
        <v>1277</v>
      </c>
      <c r="O901" s="36" t="s">
        <v>1019</v>
      </c>
      <c r="P901" s="26">
        <f ca="1">IFERROR(VLOOKUP(DadosViagem5[[#This Row],[Placa]],[1]BIP!A:E,5,FALSE),"")</f>
        <v>45989</v>
      </c>
      <c r="Q901" s="27">
        <f ca="1">DATEDIF(DadosViagem5[[#This Row],[BIP]],TODAY(),"D")</f>
        <v>1</v>
      </c>
      <c r="R901" s="28" t="str">
        <f>IFERROR(VLOOKUP(DadosViagem5[[#This Row],[Placa]],[1]DDS!B:C,2,FALSE),"Verificar cadastro")</f>
        <v>Operando</v>
      </c>
      <c r="S901" s="29" t="s">
        <v>48</v>
      </c>
      <c r="T901" s="23"/>
      <c r="U901" s="30"/>
      <c r="V901" s="31"/>
      <c r="W901" s="32"/>
      <c r="X901" s="33"/>
      <c r="Y901" s="34"/>
      <c r="Z901" s="32"/>
      <c r="AA901" s="20" t="s">
        <v>49</v>
      </c>
      <c r="AB901" s="20" t="s">
        <v>49</v>
      </c>
      <c r="AC901" s="19" t="s">
        <v>49</v>
      </c>
      <c r="AD901" s="19" t="str">
        <f ca="1">IFERROR(DATEDIF(DadosViagem5[[#This Row],[Utimo Bip Reserva]],TODAY(),"D"),"")</f>
        <v/>
      </c>
      <c r="AE901" s="36" t="s">
        <v>49</v>
      </c>
      <c r="AF901" s="25" t="s">
        <v>49</v>
      </c>
      <c r="AG901" s="36"/>
      <c r="AH901" s="25">
        <v>45807</v>
      </c>
      <c r="AI901" s="36" t="str">
        <f>IF(DadosViagem5[[#This Row],[Dias em manutenção ]]&lt;5,"Dentro do Prazo","Fora do Prazo")</f>
        <v>Fora do Prazo</v>
      </c>
      <c r="AJ901" s="36" t="e">
        <v>#REF!</v>
      </c>
    </row>
    <row r="902" spans="1:36">
      <c r="A902" s="19" t="s">
        <v>1579</v>
      </c>
      <c r="B902" s="20"/>
      <c r="C902" s="19" t="s">
        <v>562</v>
      </c>
      <c r="D902" s="19" t="s">
        <v>563</v>
      </c>
      <c r="E902" s="19" t="s">
        <v>114</v>
      </c>
      <c r="F902" s="19" t="s">
        <v>115</v>
      </c>
      <c r="G902" s="19"/>
      <c r="H902" s="20">
        <v>2022</v>
      </c>
      <c r="I902" s="19" t="s">
        <v>1556</v>
      </c>
      <c r="J902" s="19" t="s">
        <v>1557</v>
      </c>
      <c r="K902" s="21" t="s">
        <v>1558</v>
      </c>
      <c r="L902" s="22" t="s">
        <v>60</v>
      </c>
      <c r="M902" s="23" t="s">
        <v>268</v>
      </c>
      <c r="N902" s="36" t="s">
        <v>1277</v>
      </c>
      <c r="O902" s="36" t="s">
        <v>1019</v>
      </c>
      <c r="P902" s="26">
        <f ca="1">IFERROR(VLOOKUP(DadosViagem5[[#This Row],[Placa]],[1]BIP!A:E,5,FALSE),"")</f>
        <v>45989</v>
      </c>
      <c r="Q902" s="27">
        <f ca="1">DATEDIF(DadosViagem5[[#This Row],[BIP]],TODAY(),"D")</f>
        <v>1</v>
      </c>
      <c r="R902" s="28" t="str">
        <f>IFERROR(VLOOKUP(DadosViagem5[[#This Row],[Placa]],[1]DDS!B:C,2,FALSE),"Verificar cadastro")</f>
        <v>Operando</v>
      </c>
      <c r="S902" s="29" t="s">
        <v>48</v>
      </c>
      <c r="T902" s="23"/>
      <c r="U902" s="30"/>
      <c r="V902" s="31"/>
      <c r="W902" s="32"/>
      <c r="X902" s="33"/>
      <c r="Y902" s="34"/>
      <c r="Z902" s="32"/>
      <c r="AA902" s="20" t="s">
        <v>49</v>
      </c>
      <c r="AB902" s="20" t="s">
        <v>49</v>
      </c>
      <c r="AC902" s="19" t="s">
        <v>49</v>
      </c>
      <c r="AD902" s="19" t="str">
        <f ca="1">IFERROR(DATEDIF(DadosViagem5[[#This Row],[Utimo Bip Reserva]],TODAY(),"D"),"")</f>
        <v/>
      </c>
      <c r="AE902" s="36" t="s">
        <v>49</v>
      </c>
      <c r="AF902" s="25" t="s">
        <v>49</v>
      </c>
      <c r="AG902" s="36"/>
      <c r="AH902" s="25">
        <v>45807</v>
      </c>
      <c r="AI902" s="36" t="str">
        <f>IF(DadosViagem5[[#This Row],[Dias em manutenção ]]&lt;5,"Dentro do Prazo","Fora do Prazo")</f>
        <v>Fora do Prazo</v>
      </c>
      <c r="AJ902" s="36" t="e">
        <v>#REF!</v>
      </c>
    </row>
    <row r="903" spans="1:36">
      <c r="A903" s="19" t="s">
        <v>1580</v>
      </c>
      <c r="B903" s="20"/>
      <c r="C903" s="19" t="s">
        <v>562</v>
      </c>
      <c r="D903" s="19" t="s">
        <v>563</v>
      </c>
      <c r="E903" s="19" t="s">
        <v>114</v>
      </c>
      <c r="F903" s="19" t="s">
        <v>115</v>
      </c>
      <c r="G903" s="19"/>
      <c r="H903" s="20">
        <v>2022</v>
      </c>
      <c r="I903" s="19" t="s">
        <v>1556</v>
      </c>
      <c r="J903" s="19" t="s">
        <v>1557</v>
      </c>
      <c r="K903" s="21" t="s">
        <v>1558</v>
      </c>
      <c r="L903" s="22" t="s">
        <v>60</v>
      </c>
      <c r="M903" s="23" t="s">
        <v>268</v>
      </c>
      <c r="N903" s="36" t="s">
        <v>1277</v>
      </c>
      <c r="O903" s="36" t="s">
        <v>1019</v>
      </c>
      <c r="P903" s="26">
        <f ca="1">IFERROR(VLOOKUP(DadosViagem5[[#This Row],[Placa]],[1]BIP!A:E,5,FALSE),"")</f>
        <v>45989</v>
      </c>
      <c r="Q903" s="27">
        <f ca="1">DATEDIF(DadosViagem5[[#This Row],[BIP]],TODAY(),"D")</f>
        <v>1</v>
      </c>
      <c r="R903" s="28" t="str">
        <f>IFERROR(VLOOKUP(DadosViagem5[[#This Row],[Placa]],[1]DDS!B:C,2,FALSE),"Verificar cadastro")</f>
        <v>Operando</v>
      </c>
      <c r="S903" s="29" t="s">
        <v>48</v>
      </c>
      <c r="T903" s="23"/>
      <c r="U903" s="30"/>
      <c r="V903" s="31"/>
      <c r="W903" s="32"/>
      <c r="X903" s="33"/>
      <c r="Y903" s="34"/>
      <c r="Z903" s="32"/>
      <c r="AA903" s="20" t="s">
        <v>49</v>
      </c>
      <c r="AB903" s="20" t="s">
        <v>49</v>
      </c>
      <c r="AC903" s="19" t="s">
        <v>49</v>
      </c>
      <c r="AD903" s="19" t="str">
        <f ca="1">IFERROR(DATEDIF(DadosViagem5[[#This Row],[Utimo Bip Reserva]],TODAY(),"D"),"")</f>
        <v/>
      </c>
      <c r="AE903" s="36" t="s">
        <v>49</v>
      </c>
      <c r="AF903" s="25" t="s">
        <v>49</v>
      </c>
      <c r="AG903" s="36"/>
      <c r="AH903" s="25">
        <v>45807</v>
      </c>
      <c r="AI903" s="36" t="str">
        <f>IF(DadosViagem5[[#This Row],[Dias em manutenção ]]&lt;5,"Dentro do Prazo","Fora do Prazo")</f>
        <v>Fora do Prazo</v>
      </c>
      <c r="AJ903" s="36" t="e">
        <v>#REF!</v>
      </c>
    </row>
    <row r="904" spans="1:36">
      <c r="A904" s="19" t="s">
        <v>1581</v>
      </c>
      <c r="B904" s="20"/>
      <c r="C904" s="19" t="s">
        <v>562</v>
      </c>
      <c r="D904" s="19" t="s">
        <v>563</v>
      </c>
      <c r="E904" s="19" t="s">
        <v>114</v>
      </c>
      <c r="F904" s="19" t="s">
        <v>115</v>
      </c>
      <c r="G904" s="19"/>
      <c r="H904" s="20">
        <v>2022</v>
      </c>
      <c r="I904" s="19" t="s">
        <v>1556</v>
      </c>
      <c r="J904" s="19" t="s">
        <v>1557</v>
      </c>
      <c r="K904" s="21" t="s">
        <v>1558</v>
      </c>
      <c r="L904" s="22" t="s">
        <v>60</v>
      </c>
      <c r="M904" s="23" t="s">
        <v>268</v>
      </c>
      <c r="N904" s="36" t="s">
        <v>1277</v>
      </c>
      <c r="O904" s="36" t="s">
        <v>1019</v>
      </c>
      <c r="P904" s="26">
        <f ca="1">IFERROR(VLOOKUP(DadosViagem5[[#This Row],[Placa]],[1]BIP!A:E,5,FALSE),"")</f>
        <v>45987</v>
      </c>
      <c r="Q904" s="27">
        <f ca="1">DATEDIF(DadosViagem5[[#This Row],[BIP]],TODAY(),"D")</f>
        <v>3</v>
      </c>
      <c r="R904" s="28" t="str">
        <f>IFERROR(VLOOKUP(DadosViagem5[[#This Row],[Placa]],[1]DDS!B:C,2,FALSE),"Verificar cadastro")</f>
        <v> </v>
      </c>
      <c r="S904" s="29" t="s">
        <v>48</v>
      </c>
      <c r="T904" s="23"/>
      <c r="U904" s="30"/>
      <c r="V904" s="31"/>
      <c r="W904" s="32"/>
      <c r="X904" s="33"/>
      <c r="Y904" s="34"/>
      <c r="Z904" s="32"/>
      <c r="AA904" s="20" t="s">
        <v>49</v>
      </c>
      <c r="AB904" s="20" t="s">
        <v>49</v>
      </c>
      <c r="AC904" s="19" t="s">
        <v>49</v>
      </c>
      <c r="AD904" s="19" t="str">
        <f ca="1">IFERROR(DATEDIF(DadosViagem5[[#This Row],[Utimo Bip Reserva]],TODAY(),"D"),"")</f>
        <v/>
      </c>
      <c r="AE904" s="36" t="s">
        <v>1582</v>
      </c>
      <c r="AF904" s="25" t="s">
        <v>49</v>
      </c>
      <c r="AG904" s="36"/>
      <c r="AH904" s="25">
        <v>45807</v>
      </c>
      <c r="AI904" s="36" t="str">
        <f>IF(DadosViagem5[[#This Row],[Dias em manutenção ]]&lt;5,"Dentro do Prazo","Fora do Prazo")</f>
        <v>Fora do Prazo</v>
      </c>
      <c r="AJ904" s="36" t="e">
        <v>#REF!</v>
      </c>
    </row>
    <row r="905" spans="1:36">
      <c r="A905" s="19" t="s">
        <v>1583</v>
      </c>
      <c r="B905" s="20"/>
      <c r="C905" s="19" t="s">
        <v>562</v>
      </c>
      <c r="D905" s="19" t="s">
        <v>563</v>
      </c>
      <c r="E905" s="19" t="s">
        <v>114</v>
      </c>
      <c r="F905" s="19" t="s">
        <v>115</v>
      </c>
      <c r="G905" s="19"/>
      <c r="H905" s="20">
        <v>2022</v>
      </c>
      <c r="I905" s="19" t="s">
        <v>1556</v>
      </c>
      <c r="J905" s="19" t="s">
        <v>1557</v>
      </c>
      <c r="K905" s="21" t="s">
        <v>1558</v>
      </c>
      <c r="L905" s="22" t="s">
        <v>60</v>
      </c>
      <c r="M905" s="23" t="s">
        <v>268</v>
      </c>
      <c r="N905" s="36" t="s">
        <v>1277</v>
      </c>
      <c r="O905" s="36" t="s">
        <v>1019</v>
      </c>
      <c r="P905" s="26">
        <f ca="1">IFERROR(VLOOKUP(DadosViagem5[[#This Row],[Placa]],[1]BIP!A:E,5,FALSE),"")</f>
        <v>45989</v>
      </c>
      <c r="Q905" s="27">
        <f ca="1">DATEDIF(DadosViagem5[[#This Row],[BIP]],TODAY(),"D")</f>
        <v>1</v>
      </c>
      <c r="R905" s="28" t="str">
        <f>IFERROR(VLOOKUP(DadosViagem5[[#This Row],[Placa]],[1]DDS!B:C,2,FALSE),"Verificar cadastro")</f>
        <v>Operando</v>
      </c>
      <c r="S905" s="29" t="s">
        <v>48</v>
      </c>
      <c r="T905" s="23"/>
      <c r="U905" s="30"/>
      <c r="V905" s="31"/>
      <c r="W905" s="32"/>
      <c r="X905" s="33"/>
      <c r="Y905" s="34"/>
      <c r="Z905" s="32"/>
      <c r="AA905" s="20" t="s">
        <v>49</v>
      </c>
      <c r="AB905" s="20" t="s">
        <v>49</v>
      </c>
      <c r="AC905" s="19" t="s">
        <v>49</v>
      </c>
      <c r="AD905" s="19" t="str">
        <f ca="1">IFERROR(DATEDIF(DadosViagem5[[#This Row],[Utimo Bip Reserva]],TODAY(),"D"),"")</f>
        <v/>
      </c>
      <c r="AE905" s="36" t="s">
        <v>49</v>
      </c>
      <c r="AF905" s="25" t="s">
        <v>49</v>
      </c>
      <c r="AG905" s="36"/>
      <c r="AH905" s="25">
        <v>45807</v>
      </c>
      <c r="AI905" s="36" t="str">
        <f>IF(DadosViagem5[[#This Row],[Dias em manutenção ]]&lt;5,"Dentro do Prazo","Fora do Prazo")</f>
        <v>Fora do Prazo</v>
      </c>
      <c r="AJ905" s="36" t="e">
        <v>#REF!</v>
      </c>
    </row>
    <row r="906" spans="1:36">
      <c r="A906" s="19" t="s">
        <v>1584</v>
      </c>
      <c r="B906" s="20"/>
      <c r="C906" s="19" t="s">
        <v>562</v>
      </c>
      <c r="D906" s="19" t="s">
        <v>563</v>
      </c>
      <c r="E906" s="19" t="s">
        <v>114</v>
      </c>
      <c r="F906" s="19" t="s">
        <v>115</v>
      </c>
      <c r="G906" s="19"/>
      <c r="H906" s="20">
        <v>2022</v>
      </c>
      <c r="I906" s="19" t="s">
        <v>1556</v>
      </c>
      <c r="J906" s="19" t="s">
        <v>1557</v>
      </c>
      <c r="K906" s="21" t="s">
        <v>1558</v>
      </c>
      <c r="L906" s="22" t="s">
        <v>60</v>
      </c>
      <c r="M906" s="23" t="s">
        <v>268</v>
      </c>
      <c r="N906" s="24" t="s">
        <v>1277</v>
      </c>
      <c r="O906" s="24" t="s">
        <v>1019</v>
      </c>
      <c r="P906" s="26">
        <f ca="1">IFERROR(VLOOKUP(DadosViagem5[[#This Row],[Placa]],[1]BIP!A:E,5,FALSE),"")</f>
        <v>45981</v>
      </c>
      <c r="Q906" s="27">
        <f ca="1">DATEDIF(DadosViagem5[[#This Row],[BIP]],TODAY(),"D")</f>
        <v>9</v>
      </c>
      <c r="R906" s="28" t="str">
        <f>IFERROR(VLOOKUP(DadosViagem5[[#This Row],[Placa]],[1]DDS!B:C,2,FALSE),"Verificar cadastro")</f>
        <v> </v>
      </c>
      <c r="S906" s="29" t="s">
        <v>48</v>
      </c>
      <c r="T906" s="23"/>
      <c r="U906" s="30"/>
      <c r="V906" s="31"/>
      <c r="W906" s="32"/>
      <c r="X906" s="33"/>
      <c r="Y906" s="34"/>
      <c r="Z906" s="32"/>
      <c r="AA906" s="20" t="s">
        <v>49</v>
      </c>
      <c r="AB906" s="20" t="s">
        <v>49</v>
      </c>
      <c r="AC906" s="19" t="s">
        <v>49</v>
      </c>
      <c r="AD906" s="19" t="str">
        <f ca="1">IFERROR(DATEDIF(DadosViagem5[[#This Row],[Utimo Bip Reserva]],TODAY(),"D"),"")</f>
        <v/>
      </c>
      <c r="AE906" s="36" t="s">
        <v>1585</v>
      </c>
      <c r="AF906" s="25">
        <v>45699</v>
      </c>
      <c r="AG906" s="36" t="s">
        <v>481</v>
      </c>
      <c r="AH906" s="25">
        <v>45807</v>
      </c>
      <c r="AI906" s="36" t="str">
        <f>IF(DadosViagem5[[#This Row],[Dias em manutenção ]]&lt;5,"Dentro do Prazo","Fora do Prazo")</f>
        <v>Fora do Prazo</v>
      </c>
      <c r="AJ906" s="36" t="e">
        <v>#REF!</v>
      </c>
    </row>
    <row r="907" spans="1:36">
      <c r="A907" s="19" t="s">
        <v>1586</v>
      </c>
      <c r="B907" s="20"/>
      <c r="C907" s="19" t="s">
        <v>671</v>
      </c>
      <c r="D907" s="19" t="s">
        <v>132</v>
      </c>
      <c r="E907" s="19" t="s">
        <v>114</v>
      </c>
      <c r="F907" s="19" t="s">
        <v>115</v>
      </c>
      <c r="G907" s="19"/>
      <c r="H907" s="20">
        <v>2023</v>
      </c>
      <c r="I907" s="19" t="s">
        <v>1040</v>
      </c>
      <c r="J907" s="19" t="s">
        <v>1587</v>
      </c>
      <c r="K907" s="21" t="s">
        <v>1588</v>
      </c>
      <c r="L907" s="22" t="s">
        <v>60</v>
      </c>
      <c r="M907" s="23" t="s">
        <v>45</v>
      </c>
      <c r="N907" s="36" t="s">
        <v>1458</v>
      </c>
      <c r="O907" s="36" t="s">
        <v>1152</v>
      </c>
      <c r="P907" s="26">
        <f ca="1">IFERROR(VLOOKUP(DadosViagem5[[#This Row],[Placa]],[1]BIP!A:E,5,FALSE),"")</f>
        <v>45989</v>
      </c>
      <c r="Q907" s="27">
        <f ca="1">DATEDIF(DadosViagem5[[#This Row],[BIP]],TODAY(),"D")</f>
        <v>1</v>
      </c>
      <c r="R907" s="28" t="str">
        <f>IFERROR(VLOOKUP(DadosViagem5[[#This Row],[Placa]],[1]DDS!B:C,2,FALSE),"Verificar cadastro")</f>
        <v>Operando</v>
      </c>
      <c r="S907" s="29" t="s">
        <v>48</v>
      </c>
      <c r="T907" s="23"/>
      <c r="U907" s="30"/>
      <c r="V907" s="31"/>
      <c r="W907" s="32" t="s">
        <v>1000</v>
      </c>
      <c r="X907" s="33"/>
      <c r="Y907" s="34" t="s">
        <v>49</v>
      </c>
      <c r="Z907" s="32"/>
      <c r="AA907" s="20" t="s">
        <v>49</v>
      </c>
      <c r="AB907" s="20" t="s">
        <v>49</v>
      </c>
      <c r="AC907" s="19" t="s">
        <v>49</v>
      </c>
      <c r="AD907" s="19" t="str">
        <f ca="1">IFERROR(DATEDIF(DadosViagem5[[#This Row],[Utimo Bip Reserva]],TODAY(),"D"),"")</f>
        <v/>
      </c>
      <c r="AE907" s="36" t="s">
        <v>49</v>
      </c>
      <c r="AF907" s="25" t="s">
        <v>49</v>
      </c>
      <c r="AG907" s="36"/>
      <c r="AH907" s="25">
        <v>45807</v>
      </c>
      <c r="AI907" s="36" t="str">
        <f>IF(DadosViagem5[[#This Row],[Dias em manutenção ]]&lt;5,"Dentro do Prazo","Fora do Prazo")</f>
        <v>Fora do Prazo</v>
      </c>
      <c r="AJ907" s="36" t="e">
        <v>#REF!</v>
      </c>
    </row>
    <row r="908" spans="1:36">
      <c r="A908" s="19" t="s">
        <v>1589</v>
      </c>
      <c r="B908" s="20"/>
      <c r="C908" s="19" t="s">
        <v>88</v>
      </c>
      <c r="D908" s="19" t="s">
        <v>52</v>
      </c>
      <c r="E908" s="19" t="s">
        <v>57</v>
      </c>
      <c r="F908" s="19" t="s">
        <v>396</v>
      </c>
      <c r="G908" s="19"/>
      <c r="H908" s="20">
        <v>2019</v>
      </c>
      <c r="I908" s="19" t="s">
        <v>1040</v>
      </c>
      <c r="J908" s="19" t="s">
        <v>1587</v>
      </c>
      <c r="K908" s="21" t="s">
        <v>1588</v>
      </c>
      <c r="L908" s="22" t="s">
        <v>60</v>
      </c>
      <c r="M908" s="23" t="s">
        <v>45</v>
      </c>
      <c r="N908" s="36" t="s">
        <v>1458</v>
      </c>
      <c r="O908" s="36" t="s">
        <v>1152</v>
      </c>
      <c r="P908" s="26">
        <f ca="1">IFERROR(VLOOKUP(DadosViagem5[[#This Row],[Placa]],[1]BIP!A:E,5,FALSE),"")</f>
        <v>0</v>
      </c>
      <c r="Q908" s="27">
        <f ca="1">DATEDIF(DadosViagem5[[#This Row],[BIP]],TODAY(),"D")</f>
        <v>45990</v>
      </c>
      <c r="R908" s="28" t="str">
        <f>IFERROR(VLOOKUP(DadosViagem5[[#This Row],[Placa]],[1]DDS!B:C,2,FALSE),"Verificar cadastro")</f>
        <v> </v>
      </c>
      <c r="S908" s="29" t="s">
        <v>173</v>
      </c>
      <c r="T908" s="23"/>
      <c r="U908" s="30"/>
      <c r="V908" s="31"/>
      <c r="W908" s="32"/>
      <c r="X908" s="33"/>
      <c r="Y908" s="34"/>
      <c r="Z908" s="42"/>
      <c r="AA908" s="20" t="s">
        <v>49</v>
      </c>
      <c r="AB908" s="20" t="s">
        <v>49</v>
      </c>
      <c r="AC908" s="19" t="s">
        <v>49</v>
      </c>
      <c r="AD908" s="19" t="str">
        <f ca="1">IFERROR(DATEDIF(DadosViagem5[[#This Row],[Utimo Bip Reserva]],TODAY(),"D"),"")</f>
        <v/>
      </c>
      <c r="AE908" s="36" t="s">
        <v>49</v>
      </c>
      <c r="AF908" s="25" t="s">
        <v>49</v>
      </c>
      <c r="AG908" s="36" t="s">
        <v>91</v>
      </c>
      <c r="AH908" s="25">
        <v>45807</v>
      </c>
      <c r="AI908" s="36" t="str">
        <f>IF(DadosViagem5[[#This Row],[Dias em manutenção ]]&lt;5,"Dentro do Prazo","Fora do Prazo")</f>
        <v>Fora do Prazo</v>
      </c>
      <c r="AJ908" s="36" t="e">
        <v>#REF!</v>
      </c>
    </row>
    <row r="909" spans="1:36">
      <c r="A909" s="19" t="s">
        <v>1590</v>
      </c>
      <c r="B909" s="20"/>
      <c r="C909" s="19" t="s">
        <v>671</v>
      </c>
      <c r="D909" s="19" t="s">
        <v>132</v>
      </c>
      <c r="E909" s="19" t="s">
        <v>114</v>
      </c>
      <c r="F909" s="19" t="s">
        <v>115</v>
      </c>
      <c r="G909" s="19"/>
      <c r="H909" s="20">
        <v>2023</v>
      </c>
      <c r="I909" s="19" t="s">
        <v>1040</v>
      </c>
      <c r="J909" s="19" t="s">
        <v>1587</v>
      </c>
      <c r="K909" s="21" t="s">
        <v>1588</v>
      </c>
      <c r="L909" s="22" t="s">
        <v>60</v>
      </c>
      <c r="M909" s="23" t="s">
        <v>45</v>
      </c>
      <c r="N909" s="36" t="s">
        <v>1458</v>
      </c>
      <c r="O909" s="36" t="s">
        <v>1152</v>
      </c>
      <c r="P909" s="26">
        <f ca="1">IFERROR(VLOOKUP(DadosViagem5[[#This Row],[Placa]],[1]BIP!A:E,5,FALSE),"")</f>
        <v>45989</v>
      </c>
      <c r="Q909" s="27">
        <f ca="1">DATEDIF(DadosViagem5[[#This Row],[BIP]],TODAY(),"D")</f>
        <v>1</v>
      </c>
      <c r="R909" s="28" t="str">
        <f>IFERROR(VLOOKUP(DadosViagem5[[#This Row],[Placa]],[1]DDS!B:C,2,FALSE),"Verificar cadastro")</f>
        <v>Operando</v>
      </c>
      <c r="S909" s="29" t="s">
        <v>48</v>
      </c>
      <c r="T909" s="23"/>
      <c r="U909" s="30"/>
      <c r="V909" s="31"/>
      <c r="W909" s="32"/>
      <c r="X909" s="33"/>
      <c r="Y909" s="34"/>
      <c r="Z909" s="32"/>
      <c r="AA909" s="20" t="s">
        <v>49</v>
      </c>
      <c r="AB909" s="20" t="s">
        <v>49</v>
      </c>
      <c r="AC909" s="19" t="s">
        <v>49</v>
      </c>
      <c r="AD909" s="19" t="str">
        <f ca="1">IFERROR(DATEDIF(DadosViagem5[[#This Row],[Utimo Bip Reserva]],TODAY(),"D"),"")</f>
        <v/>
      </c>
      <c r="AE909" s="24" t="s">
        <v>49</v>
      </c>
      <c r="AF909" s="25" t="s">
        <v>49</v>
      </c>
      <c r="AG909" s="36"/>
      <c r="AH909" s="25">
        <v>45807</v>
      </c>
      <c r="AI909" s="36" t="str">
        <f>IF(DadosViagem5[[#This Row],[Dias em manutenção ]]&lt;5,"Dentro do Prazo","Fora do Prazo")</f>
        <v>Fora do Prazo</v>
      </c>
      <c r="AJ909" s="36" t="e">
        <v>#REF!</v>
      </c>
    </row>
    <row r="910" spans="1:36">
      <c r="A910" s="19" t="s">
        <v>1591</v>
      </c>
      <c r="B910" s="20"/>
      <c r="C910" s="19" t="s">
        <v>88</v>
      </c>
      <c r="D910" s="19" t="s">
        <v>52</v>
      </c>
      <c r="E910" s="19" t="s">
        <v>57</v>
      </c>
      <c r="F910" s="19" t="s">
        <v>40</v>
      </c>
      <c r="G910" s="19"/>
      <c r="H910" s="20">
        <v>2024</v>
      </c>
      <c r="I910" s="19" t="s">
        <v>1040</v>
      </c>
      <c r="J910" s="19" t="s">
        <v>1587</v>
      </c>
      <c r="K910" s="21" t="s">
        <v>1588</v>
      </c>
      <c r="L910" s="22" t="s">
        <v>60</v>
      </c>
      <c r="M910" s="23" t="s">
        <v>45</v>
      </c>
      <c r="N910" s="24" t="s">
        <v>1458</v>
      </c>
      <c r="O910" s="24" t="s">
        <v>1152</v>
      </c>
      <c r="P910" s="26">
        <f ca="1">IFERROR(VLOOKUP(DadosViagem5[[#This Row],[Placa]],[1]BIP!A:E,5,FALSE),"")</f>
        <v>0</v>
      </c>
      <c r="Q910" s="27">
        <f ca="1">DATEDIF(DadosViagem5[[#This Row],[BIP]],TODAY(),"D")</f>
        <v>45990</v>
      </c>
      <c r="R910" s="28" t="str">
        <f>IFERROR(VLOOKUP(DadosViagem5[[#This Row],[Placa]],[1]DDS!B:C,2,FALSE),"Verificar cadastro")</f>
        <v> </v>
      </c>
      <c r="S910" s="29" t="s">
        <v>48</v>
      </c>
      <c r="T910" s="23"/>
      <c r="U910" s="30"/>
      <c r="V910" s="31"/>
      <c r="W910" s="32"/>
      <c r="X910" s="33"/>
      <c r="Y910" s="34"/>
      <c r="Z910" s="32"/>
      <c r="AA910" s="20" t="s">
        <v>49</v>
      </c>
      <c r="AB910" s="20" t="s">
        <v>49</v>
      </c>
      <c r="AC910" s="19" t="s">
        <v>49</v>
      </c>
      <c r="AD910" s="19" t="str">
        <f ca="1">IFERROR(DATEDIF(DadosViagem5[[#This Row],[Utimo Bip Reserva]],TODAY(),"D"),"")</f>
        <v/>
      </c>
      <c r="AE910" s="25" t="s">
        <v>49</v>
      </c>
      <c r="AF910" s="25" t="s">
        <v>49</v>
      </c>
      <c r="AG910" s="36" t="s">
        <v>290</v>
      </c>
      <c r="AH910" s="25">
        <v>45807</v>
      </c>
      <c r="AI910" s="36" t="str">
        <f>IF(DadosViagem5[[#This Row],[Dias em manutenção ]]&lt;5,"Dentro do Prazo","Fora do Prazo")</f>
        <v>Fora do Prazo</v>
      </c>
      <c r="AJ910" s="36" t="e">
        <v>#REF!</v>
      </c>
    </row>
    <row r="911" spans="1:36">
      <c r="A911" s="19" t="s">
        <v>1592</v>
      </c>
      <c r="B911" s="20">
        <v>376</v>
      </c>
      <c r="C911" s="19" t="s">
        <v>74</v>
      </c>
      <c r="D911" s="19" t="s">
        <v>52</v>
      </c>
      <c r="E911" s="19" t="s">
        <v>75</v>
      </c>
      <c r="F911" s="19" t="s">
        <v>76</v>
      </c>
      <c r="G911" s="19"/>
      <c r="H911" s="20">
        <v>2023</v>
      </c>
      <c r="I911" s="19" t="s">
        <v>1040</v>
      </c>
      <c r="J911" s="19" t="s">
        <v>1587</v>
      </c>
      <c r="K911" s="19" t="s">
        <v>1588</v>
      </c>
      <c r="L911" s="22" t="s">
        <v>60</v>
      </c>
      <c r="M911" s="23" t="s">
        <v>77</v>
      </c>
      <c r="N911" s="36" t="s">
        <v>1458</v>
      </c>
      <c r="O911" s="36" t="s">
        <v>1152</v>
      </c>
      <c r="P911" s="26">
        <f ca="1">IFERROR(VLOOKUP(DadosViagem5[[#This Row],[Placa]],[1]BIP!A:E,5,FALSE),"")</f>
        <v>45989</v>
      </c>
      <c r="Q911" s="27">
        <f ca="1">DATEDIF(DadosViagem5[[#This Row],[BIP]],TODAY(),"D")</f>
        <v>1</v>
      </c>
      <c r="R911" s="28" t="str">
        <f>IFERROR(VLOOKUP(DadosViagem5[[#This Row],[Placa]],[1]DDS!B:C,2,FALSE),"Verificar cadastro")</f>
        <v>Operando</v>
      </c>
      <c r="S911" s="29" t="s">
        <v>48</v>
      </c>
      <c r="T911" s="23"/>
      <c r="U911" s="30"/>
      <c r="V911" s="31"/>
      <c r="W911" s="32"/>
      <c r="X911" s="33"/>
      <c r="Y911" s="34"/>
      <c r="Z911" s="32"/>
      <c r="AA911" s="20" t="s">
        <v>49</v>
      </c>
      <c r="AB911" s="20" t="s">
        <v>49</v>
      </c>
      <c r="AC911" s="19" t="s">
        <v>49</v>
      </c>
      <c r="AD911" s="19" t="str">
        <f ca="1">IFERROR(DATEDIF(DadosViagem5[[#This Row],[Utimo Bip Reserva]],TODAY(),"D"),"")</f>
        <v/>
      </c>
      <c r="AE911" s="25" t="s">
        <v>49</v>
      </c>
      <c r="AF911" s="25" t="s">
        <v>49</v>
      </c>
      <c r="AG911" s="36"/>
      <c r="AH911" s="25">
        <v>45807</v>
      </c>
      <c r="AI911" s="36" t="str">
        <f>IF(DadosViagem5[[#This Row],[Dias em manutenção ]]&lt;5,"Dentro do Prazo","Fora do Prazo")</f>
        <v>Fora do Prazo</v>
      </c>
      <c r="AJ911" s="36" t="e">
        <v>#REF!</v>
      </c>
    </row>
    <row r="912" spans="1:36">
      <c r="A912" s="19" t="s">
        <v>1593</v>
      </c>
      <c r="B912" s="20"/>
      <c r="C912" s="19" t="s">
        <v>71</v>
      </c>
      <c r="D912" s="19" t="s">
        <v>38</v>
      </c>
      <c r="E912" s="19" t="s">
        <v>699</v>
      </c>
      <c r="F912" s="19" t="s">
        <v>115</v>
      </c>
      <c r="G912" s="19"/>
      <c r="H912" s="20">
        <v>2022</v>
      </c>
      <c r="I912" s="19" t="s">
        <v>41</v>
      </c>
      <c r="J912" s="19" t="s">
        <v>1594</v>
      </c>
      <c r="K912" s="21" t="s">
        <v>1595</v>
      </c>
      <c r="L912" s="22" t="s">
        <v>60</v>
      </c>
      <c r="M912" s="23" t="s">
        <v>470</v>
      </c>
      <c r="N912" s="36" t="s">
        <v>1596</v>
      </c>
      <c r="O912" s="65" t="s">
        <v>472</v>
      </c>
      <c r="P912" s="26">
        <f ca="1">IFERROR(VLOOKUP(DadosViagem5[[#This Row],[Placa]],[1]BIP!A:E,5,FALSE),"")</f>
        <v>45989</v>
      </c>
      <c r="Q912" s="27">
        <f ca="1">DATEDIF(DadosViagem5[[#This Row],[BIP]],TODAY(),"D")</f>
        <v>1</v>
      </c>
      <c r="R912" s="28" t="str">
        <f>IFERROR(VLOOKUP(DadosViagem5[[#This Row],[Placa]],[1]DDS!B:C,2,FALSE),"Verificar cadastro")</f>
        <v>Carregado</v>
      </c>
      <c r="S912" s="29" t="s">
        <v>48</v>
      </c>
      <c r="T912" s="23"/>
      <c r="U912" s="30"/>
      <c r="V912" s="31"/>
      <c r="W912" s="32"/>
      <c r="X912" s="33"/>
      <c r="Y912" s="34"/>
      <c r="Z912" s="32"/>
      <c r="AA912" s="20" t="s">
        <v>49</v>
      </c>
      <c r="AB912" s="20" t="s">
        <v>49</v>
      </c>
      <c r="AC912" s="19" t="s">
        <v>49</v>
      </c>
      <c r="AD912" s="19" t="str">
        <f ca="1">IFERROR(DATEDIF(DadosViagem5[[#This Row],[Utimo Bip Reserva]],TODAY(),"D"),"")</f>
        <v/>
      </c>
      <c r="AE912" s="25" t="s">
        <v>49</v>
      </c>
      <c r="AF912" s="25" t="s">
        <v>49</v>
      </c>
      <c r="AG912" s="36" t="s">
        <v>290</v>
      </c>
      <c r="AH912" s="25">
        <v>45807</v>
      </c>
      <c r="AI912" s="36" t="str">
        <f>IF(DadosViagem5[[#This Row],[Dias em manutenção ]]&lt;5,"Dentro do Prazo","Fora do Prazo")</f>
        <v>Fora do Prazo</v>
      </c>
      <c r="AJ912" s="36" t="e">
        <v>#REF!</v>
      </c>
    </row>
    <row r="913" spans="1:36">
      <c r="A913" s="19" t="s">
        <v>1597</v>
      </c>
      <c r="B913" s="20"/>
      <c r="C913" s="19" t="s">
        <v>71</v>
      </c>
      <c r="D913" s="19" t="s">
        <v>38</v>
      </c>
      <c r="E913" s="19" t="s">
        <v>699</v>
      </c>
      <c r="F913" s="19" t="s">
        <v>115</v>
      </c>
      <c r="G913" s="19"/>
      <c r="H913" s="20">
        <v>2022</v>
      </c>
      <c r="I913" s="19" t="s">
        <v>41</v>
      </c>
      <c r="J913" s="19" t="s">
        <v>1594</v>
      </c>
      <c r="K913" s="21" t="s">
        <v>1595</v>
      </c>
      <c r="L913" s="22" t="s">
        <v>60</v>
      </c>
      <c r="M913" s="23" t="s">
        <v>470</v>
      </c>
      <c r="N913" s="36" t="s">
        <v>1596</v>
      </c>
      <c r="O913" s="65" t="s">
        <v>472</v>
      </c>
      <c r="P913" s="26">
        <f ca="1">IFERROR(VLOOKUP(DadosViagem5[[#This Row],[Placa]],[1]BIP!A:E,5,FALSE),"")</f>
        <v>45989</v>
      </c>
      <c r="Q913" s="27">
        <f ca="1">DATEDIF(DadosViagem5[[#This Row],[BIP]],TODAY(),"D")</f>
        <v>1</v>
      </c>
      <c r="R913" s="28" t="str">
        <f>IFERROR(VLOOKUP(DadosViagem5[[#This Row],[Placa]],[1]DDS!B:C,2,FALSE),"Verificar cadastro")</f>
        <v>Carregado</v>
      </c>
      <c r="S913" s="29" t="s">
        <v>48</v>
      </c>
      <c r="T913" s="23"/>
      <c r="U913" s="30"/>
      <c r="V913" s="31"/>
      <c r="W913" s="32"/>
      <c r="X913" s="33"/>
      <c r="Y913" s="34"/>
      <c r="Z913" s="32"/>
      <c r="AA913" s="20" t="s">
        <v>49</v>
      </c>
      <c r="AB913" s="20" t="s">
        <v>49</v>
      </c>
      <c r="AC913" s="19" t="s">
        <v>49</v>
      </c>
      <c r="AD913" s="19" t="str">
        <f ca="1">IFERROR(DATEDIF(DadosViagem5[[#This Row],[Utimo Bip Reserva]],TODAY(),"D"),"")</f>
        <v/>
      </c>
      <c r="AE913" s="25" t="s">
        <v>49</v>
      </c>
      <c r="AF913" s="25" t="s">
        <v>49</v>
      </c>
      <c r="AG913" s="36" t="s">
        <v>290</v>
      </c>
      <c r="AH913" s="25">
        <v>45807</v>
      </c>
      <c r="AI913" s="36" t="str">
        <f>IF(DadosViagem5[[#This Row],[Dias em manutenção ]]&lt;5,"Dentro do Prazo","Fora do Prazo")</f>
        <v>Fora do Prazo</v>
      </c>
      <c r="AJ913" s="36" t="e">
        <v>#REF!</v>
      </c>
    </row>
    <row r="914" spans="1:36">
      <c r="A914" s="19" t="s">
        <v>1598</v>
      </c>
      <c r="B914" s="20"/>
      <c r="C914" s="19" t="s">
        <v>51</v>
      </c>
      <c r="D914" s="19" t="s">
        <v>52</v>
      </c>
      <c r="E914" s="19" t="s">
        <v>53</v>
      </c>
      <c r="F914" s="19" t="s">
        <v>40</v>
      </c>
      <c r="G914" s="19"/>
      <c r="H914" s="20">
        <v>2023</v>
      </c>
      <c r="I914" s="19" t="s">
        <v>41</v>
      </c>
      <c r="J914" s="19" t="s">
        <v>1594</v>
      </c>
      <c r="K914" s="21" t="s">
        <v>1595</v>
      </c>
      <c r="L914" s="22" t="s">
        <v>60</v>
      </c>
      <c r="M914" s="23" t="s">
        <v>470</v>
      </c>
      <c r="N914" s="36" t="s">
        <v>1596</v>
      </c>
      <c r="O914" s="65" t="s">
        <v>472</v>
      </c>
      <c r="P914" s="26">
        <f ca="1">IFERROR(VLOOKUP(DadosViagem5[[#This Row],[Placa]],[1]BIP!A:E,5,FALSE),"")</f>
        <v>45989</v>
      </c>
      <c r="Q914" s="27">
        <f ca="1">DATEDIF(DadosViagem5[[#This Row],[BIP]],TODAY(),"D")</f>
        <v>1</v>
      </c>
      <c r="R914" s="28" t="str">
        <f>IFERROR(VLOOKUP(DadosViagem5[[#This Row],[Placa]],[1]DDS!B:C,2,FALSE),"Verificar cadastro")</f>
        <v>Carregado</v>
      </c>
      <c r="S914" s="29" t="s">
        <v>48</v>
      </c>
      <c r="T914" s="23"/>
      <c r="U914" s="30"/>
      <c r="V914" s="31"/>
      <c r="W914" s="32"/>
      <c r="X914" s="33"/>
      <c r="Y914" s="34"/>
      <c r="Z914" s="32"/>
      <c r="AA914" s="20" t="s">
        <v>49</v>
      </c>
      <c r="AB914" s="20" t="s">
        <v>49</v>
      </c>
      <c r="AC914" s="19" t="s">
        <v>49</v>
      </c>
      <c r="AD914" s="19" t="str">
        <f ca="1">IFERROR(DATEDIF(DadosViagem5[[#This Row],[Utimo Bip Reserva]],TODAY(),"D"),"")</f>
        <v/>
      </c>
      <c r="AE914" s="36" t="s">
        <v>49</v>
      </c>
      <c r="AF914" s="25" t="s">
        <v>49</v>
      </c>
      <c r="AG914" s="36" t="s">
        <v>290</v>
      </c>
      <c r="AH914" s="25">
        <v>45807</v>
      </c>
      <c r="AI914" s="36" t="str">
        <f>IF(DadosViagem5[[#This Row],[Dias em manutenção ]]&lt;5,"Dentro do Prazo","Fora do Prazo")</f>
        <v>Fora do Prazo</v>
      </c>
      <c r="AJ914" s="36" t="e">
        <v>#REF!</v>
      </c>
    </row>
    <row r="915" spans="1:36">
      <c r="A915" s="19" t="s">
        <v>1599</v>
      </c>
      <c r="B915" s="20"/>
      <c r="C915" s="19" t="s">
        <v>51</v>
      </c>
      <c r="D915" s="19" t="s">
        <v>52</v>
      </c>
      <c r="E915" s="19" t="s">
        <v>53</v>
      </c>
      <c r="F915" s="19" t="s">
        <v>40</v>
      </c>
      <c r="G915" s="19"/>
      <c r="H915" s="20">
        <v>2023</v>
      </c>
      <c r="I915" s="19" t="s">
        <v>41</v>
      </c>
      <c r="J915" s="19" t="s">
        <v>1594</v>
      </c>
      <c r="K915" s="21" t="s">
        <v>1595</v>
      </c>
      <c r="L915" s="22" t="s">
        <v>60</v>
      </c>
      <c r="M915" s="23" t="s">
        <v>470</v>
      </c>
      <c r="N915" s="36" t="s">
        <v>1596</v>
      </c>
      <c r="O915" s="65" t="s">
        <v>472</v>
      </c>
      <c r="P915" s="26">
        <f ca="1">IFERROR(VLOOKUP(DadosViagem5[[#This Row],[Placa]],[1]BIP!A:E,5,FALSE),"")</f>
        <v>45989</v>
      </c>
      <c r="Q915" s="27">
        <f ca="1">DATEDIF(DadosViagem5[[#This Row],[BIP]],TODAY(),"D")</f>
        <v>1</v>
      </c>
      <c r="R915" s="28" t="str">
        <f>IFERROR(VLOOKUP(DadosViagem5[[#This Row],[Placa]],[1]DDS!B:C,2,FALSE),"Verificar cadastro")</f>
        <v>Carregado</v>
      </c>
      <c r="S915" s="29" t="s">
        <v>48</v>
      </c>
      <c r="T915" s="23"/>
      <c r="U915" s="30"/>
      <c r="V915" s="31"/>
      <c r="W915" s="32"/>
      <c r="X915" s="33"/>
      <c r="Y915" s="34"/>
      <c r="Z915" s="32"/>
      <c r="AA915" s="20" t="s">
        <v>49</v>
      </c>
      <c r="AB915" s="20" t="s">
        <v>49</v>
      </c>
      <c r="AC915" s="19" t="s">
        <v>49</v>
      </c>
      <c r="AD915" s="19" t="str">
        <f ca="1">IFERROR(DATEDIF(DadosViagem5[[#This Row],[Utimo Bip Reserva]],TODAY(),"D"),"")</f>
        <v/>
      </c>
      <c r="AE915" s="35" t="s">
        <v>49</v>
      </c>
      <c r="AF915" s="35" t="s">
        <v>49</v>
      </c>
      <c r="AG915" s="36" t="s">
        <v>290</v>
      </c>
      <c r="AH915" s="25">
        <v>45807</v>
      </c>
      <c r="AI915" s="36" t="str">
        <f>IF(DadosViagem5[[#This Row],[Dias em manutenção ]]&lt;5,"Dentro do Prazo","Fora do Prazo")</f>
        <v>Fora do Prazo</v>
      </c>
      <c r="AJ915" s="36" t="e">
        <v>#REF!</v>
      </c>
    </row>
    <row r="916" spans="1:36">
      <c r="A916" s="19" t="s">
        <v>1600</v>
      </c>
      <c r="B916" s="20"/>
      <c r="C916" s="19" t="s">
        <v>71</v>
      </c>
      <c r="D916" s="19" t="s">
        <v>38</v>
      </c>
      <c r="E916" s="19" t="s">
        <v>699</v>
      </c>
      <c r="F916" s="19" t="s">
        <v>115</v>
      </c>
      <c r="G916" s="19"/>
      <c r="H916" s="20">
        <v>2022</v>
      </c>
      <c r="I916" s="19" t="s">
        <v>41</v>
      </c>
      <c r="J916" s="19" t="s">
        <v>1594</v>
      </c>
      <c r="K916" s="21" t="s">
        <v>1595</v>
      </c>
      <c r="L916" s="22" t="s">
        <v>60</v>
      </c>
      <c r="M916" s="23" t="s">
        <v>470</v>
      </c>
      <c r="N916" s="25" t="s">
        <v>1596</v>
      </c>
      <c r="O916" s="65" t="s">
        <v>472</v>
      </c>
      <c r="P916" s="26">
        <f ca="1">IFERROR(VLOOKUP(DadosViagem5[[#This Row],[Placa]],[1]BIP!A:E,5,FALSE),"")</f>
        <v>45989</v>
      </c>
      <c r="Q916" s="27">
        <f ca="1">DATEDIF(DadosViagem5[[#This Row],[BIP]],TODAY(),"D")</f>
        <v>1</v>
      </c>
      <c r="R916" s="28" t="str">
        <f>IFERROR(VLOOKUP(DadosViagem5[[#This Row],[Placa]],[1]DDS!B:C,2,FALSE),"Verificar cadastro")</f>
        <v>Carregado</v>
      </c>
      <c r="S916" s="29" t="s">
        <v>48</v>
      </c>
      <c r="T916" s="23"/>
      <c r="U916" s="30"/>
      <c r="V916" s="31"/>
      <c r="W916" s="32"/>
      <c r="X916" s="33"/>
      <c r="Y916" s="34"/>
      <c r="Z916" s="32"/>
      <c r="AA916" s="20" t="s">
        <v>49</v>
      </c>
      <c r="AB916" s="20" t="s">
        <v>49</v>
      </c>
      <c r="AC916" s="19" t="s">
        <v>49</v>
      </c>
      <c r="AD916" s="19" t="str">
        <f ca="1">IFERROR(DATEDIF(DadosViagem5[[#This Row],[Utimo Bip Reserva]],TODAY(),"D"),"")</f>
        <v/>
      </c>
      <c r="AE916" s="25" t="s">
        <v>49</v>
      </c>
      <c r="AF916" s="25" t="s">
        <v>49</v>
      </c>
      <c r="AG916" s="36" t="s">
        <v>290</v>
      </c>
      <c r="AH916" s="25">
        <v>45807</v>
      </c>
      <c r="AI916" s="36" t="str">
        <f>IF(DadosViagem5[[#This Row],[Dias em manutenção ]]&lt;5,"Dentro do Prazo","Fora do Prazo")</f>
        <v>Fora do Prazo</v>
      </c>
      <c r="AJ916" s="36" t="e">
        <v>#REF!</v>
      </c>
    </row>
    <row r="917" spans="1:36">
      <c r="A917" s="19" t="s">
        <v>1601</v>
      </c>
      <c r="B917" s="20">
        <v>583</v>
      </c>
      <c r="C917" s="19" t="s">
        <v>74</v>
      </c>
      <c r="D917" s="19" t="s">
        <v>52</v>
      </c>
      <c r="E917" s="19" t="s">
        <v>75</v>
      </c>
      <c r="F917" s="19" t="s">
        <v>115</v>
      </c>
      <c r="G917" s="19"/>
      <c r="H917" s="20">
        <v>2024</v>
      </c>
      <c r="I917" s="19" t="s">
        <v>41</v>
      </c>
      <c r="J917" s="19" t="s">
        <v>1602</v>
      </c>
      <c r="K917" s="66" t="s">
        <v>625</v>
      </c>
      <c r="L917" s="22" t="s">
        <v>60</v>
      </c>
      <c r="M917" s="23" t="s">
        <v>77</v>
      </c>
      <c r="N917" s="24" t="s">
        <v>465</v>
      </c>
      <c r="O917" s="24" t="s">
        <v>472</v>
      </c>
      <c r="P917" s="26">
        <f ca="1">IFERROR(VLOOKUP(DadosViagem5[[#This Row],[Placa]],[1]BIP!A:E,5,FALSE),"")</f>
        <v>45969</v>
      </c>
      <c r="Q917" s="27">
        <f ca="1">DATEDIF(DadosViagem5[[#This Row],[BIP]],TODAY(),"D")</f>
        <v>21</v>
      </c>
      <c r="R917" s="28" t="str">
        <f>IFERROR(VLOOKUP(DadosViagem5[[#This Row],[Placa]],[1]DDS!B:C,2,FALSE),"Verificar cadastro")</f>
        <v>Manutenção</v>
      </c>
      <c r="S917" s="29" t="s">
        <v>173</v>
      </c>
      <c r="T917" s="23"/>
      <c r="U917" s="30"/>
      <c r="V917" s="31"/>
      <c r="W917" s="32"/>
      <c r="X917" s="33" t="s">
        <v>55</v>
      </c>
      <c r="Y917" s="34" t="s">
        <v>49</v>
      </c>
      <c r="Z917" s="32"/>
      <c r="AA917" s="20" t="s">
        <v>49</v>
      </c>
      <c r="AB917" s="20" t="s">
        <v>49</v>
      </c>
      <c r="AC917" s="19" t="s">
        <v>49</v>
      </c>
      <c r="AD917" s="19" t="str">
        <f ca="1">IFERROR(DATEDIF(DadosViagem5[[#This Row],[Utimo Bip Reserva]],TODAY(),"D"),"")</f>
        <v/>
      </c>
      <c r="AE917" s="25" t="s">
        <v>49</v>
      </c>
      <c r="AF917" s="25" t="s">
        <v>49</v>
      </c>
      <c r="AG917" s="36"/>
      <c r="AH917" s="25">
        <v>45807</v>
      </c>
      <c r="AI917" s="36" t="str">
        <f>IF(DadosViagem5[[#This Row],[Dias em manutenção ]]&lt;5,"Dentro do Prazo","Fora do Prazo")</f>
        <v>Fora do Prazo</v>
      </c>
      <c r="AJ917" s="36" t="e">
        <v>#REF!</v>
      </c>
    </row>
    <row r="918" spans="1:36">
      <c r="A918" s="19" t="s">
        <v>1603</v>
      </c>
      <c r="B918" s="20"/>
      <c r="C918" s="19" t="s">
        <v>74</v>
      </c>
      <c r="D918" s="19" t="s">
        <v>52</v>
      </c>
      <c r="E918" s="19" t="s">
        <v>114</v>
      </c>
      <c r="F918" s="19" t="s">
        <v>115</v>
      </c>
      <c r="G918" s="19"/>
      <c r="H918" s="20">
        <v>2022</v>
      </c>
      <c r="I918" s="19" t="s">
        <v>41</v>
      </c>
      <c r="J918" s="19" t="s">
        <v>1604</v>
      </c>
      <c r="K918" s="66" t="s">
        <v>625</v>
      </c>
      <c r="L918" s="22" t="s">
        <v>60</v>
      </c>
      <c r="M918" s="23" t="s">
        <v>77</v>
      </c>
      <c r="N918" s="36" t="s">
        <v>465</v>
      </c>
      <c r="O918" s="36" t="s">
        <v>472</v>
      </c>
      <c r="P918" s="26" t="str">
        <f>IFERROR(VLOOKUP(DadosViagem5[[#This Row],[Placa]],[1]BIP!A:E,5,FALSE),"")</f>
        <v/>
      </c>
      <c r="Q918" s="27" t="e">
        <f ca="1">DATEDIF(DadosViagem5[[#This Row],[BIP]],TODAY(),"D")</f>
        <v>#VALUE!</v>
      </c>
      <c r="R918" s="28" t="str">
        <f>IFERROR(VLOOKUP(DadosViagem5[[#This Row],[Placa]],[1]DDS!B:C,2,FALSE),"Verificar cadastro")</f>
        <v>Verificar cadastro</v>
      </c>
      <c r="S918" s="29" t="s">
        <v>173</v>
      </c>
      <c r="T918" s="23"/>
      <c r="U918" s="30"/>
      <c r="V918" s="31"/>
      <c r="W918" s="32"/>
      <c r="X918" s="33"/>
      <c r="Y918" s="34"/>
      <c r="Z918" s="42"/>
      <c r="AA918" s="20" t="s">
        <v>49</v>
      </c>
      <c r="AB918" s="20" t="s">
        <v>49</v>
      </c>
      <c r="AC918" s="19" t="s">
        <v>49</v>
      </c>
      <c r="AD918" s="19" t="str">
        <f ca="1">IFERROR(DATEDIF(DadosViagem5[[#This Row],[Utimo Bip Reserva]],TODAY(),"D"),"")</f>
        <v/>
      </c>
      <c r="AE918" s="36" t="s">
        <v>49</v>
      </c>
      <c r="AF918" s="25">
        <v>45705</v>
      </c>
      <c r="AG918" s="36" t="s">
        <v>481</v>
      </c>
      <c r="AH918" s="25">
        <v>155</v>
      </c>
      <c r="AI918" s="36" t="str">
        <f>IF(DadosViagem5[[#This Row],[Dias em manutenção ]]&lt;5,"Dentro do Prazo","Fora do Prazo")</f>
        <v>Fora do Prazo</v>
      </c>
      <c r="AJ918" s="36" t="e">
        <v>#REF!</v>
      </c>
    </row>
    <row r="919" spans="1:36">
      <c r="A919" s="19" t="s">
        <v>1605</v>
      </c>
      <c r="B919" s="20"/>
      <c r="C919" s="19" t="s">
        <v>74</v>
      </c>
      <c r="D919" s="19" t="s">
        <v>52</v>
      </c>
      <c r="E919" s="19" t="s">
        <v>75</v>
      </c>
      <c r="F919" s="19" t="s">
        <v>76</v>
      </c>
      <c r="G919" s="19"/>
      <c r="H919" s="20">
        <v>2024</v>
      </c>
      <c r="I919" s="19" t="s">
        <v>41</v>
      </c>
      <c r="J919" s="19" t="s">
        <v>1602</v>
      </c>
      <c r="K919" s="66" t="s">
        <v>625</v>
      </c>
      <c r="L919" s="22" t="s">
        <v>60</v>
      </c>
      <c r="M919" s="23" t="s">
        <v>77</v>
      </c>
      <c r="N919" s="36" t="s">
        <v>465</v>
      </c>
      <c r="O919" s="36" t="s">
        <v>472</v>
      </c>
      <c r="P919" s="26">
        <f ca="1">IFERROR(VLOOKUP(DadosViagem5[[#This Row],[Placa]],[1]BIP!A:E,5,FALSE),"")</f>
        <v>45989</v>
      </c>
      <c r="Q919" s="27">
        <f ca="1">DATEDIF(DadosViagem5[[#This Row],[BIP]],TODAY(),"D")</f>
        <v>1</v>
      </c>
      <c r="R919" s="28" t="str">
        <f>IFERROR(VLOOKUP(DadosViagem5[[#This Row],[Placa]],[1]DDS!B:C,2,FALSE),"Verificar cadastro")</f>
        <v>Operando</v>
      </c>
      <c r="S919" s="29" t="s">
        <v>48</v>
      </c>
      <c r="T919" s="23"/>
      <c r="U919" s="30"/>
      <c r="V919" s="31"/>
      <c r="W919" s="32"/>
      <c r="X919" s="33"/>
      <c r="Y919" s="34"/>
      <c r="Z919" s="42"/>
      <c r="AA919" s="20" t="s">
        <v>49</v>
      </c>
      <c r="AB919" s="20" t="s">
        <v>49</v>
      </c>
      <c r="AC919" s="19" t="s">
        <v>49</v>
      </c>
      <c r="AD919" s="19" t="str">
        <f ca="1">IFERROR(DATEDIF(DadosViagem5[[#This Row],[Utimo Bip Reserva]],TODAY(),"D"),"")</f>
        <v/>
      </c>
      <c r="AE919" s="25" t="s">
        <v>49</v>
      </c>
      <c r="AF919" s="25" t="s">
        <v>49</v>
      </c>
      <c r="AG919" s="36"/>
      <c r="AH919" s="25">
        <v>45807</v>
      </c>
      <c r="AI919" s="36" t="str">
        <f>IF(DadosViagem5[[#This Row],[Dias em manutenção ]]&lt;5,"Dentro do Prazo","Fora do Prazo")</f>
        <v>Fora do Prazo</v>
      </c>
      <c r="AJ919" s="36" t="e">
        <v>#REF!</v>
      </c>
    </row>
    <row r="920" spans="1:36">
      <c r="A920" s="19" t="s">
        <v>1606</v>
      </c>
      <c r="B920" s="20">
        <v>584</v>
      </c>
      <c r="C920" s="19" t="s">
        <v>74</v>
      </c>
      <c r="D920" s="19" t="s">
        <v>52</v>
      </c>
      <c r="E920" s="19" t="s">
        <v>75</v>
      </c>
      <c r="F920" s="19" t="s">
        <v>115</v>
      </c>
      <c r="G920" s="19"/>
      <c r="H920" s="20">
        <v>2024</v>
      </c>
      <c r="I920" s="19" t="s">
        <v>41</v>
      </c>
      <c r="J920" s="19" t="s">
        <v>1602</v>
      </c>
      <c r="K920" s="66" t="s">
        <v>625</v>
      </c>
      <c r="L920" s="22" t="s">
        <v>60</v>
      </c>
      <c r="M920" s="23" t="s">
        <v>77</v>
      </c>
      <c r="N920" s="36" t="s">
        <v>465</v>
      </c>
      <c r="O920" s="36" t="s">
        <v>472</v>
      </c>
      <c r="P920" s="26">
        <f ca="1">IFERROR(VLOOKUP(DadosViagem5[[#This Row],[Placa]],[1]BIP!A:E,5,FALSE),"")</f>
        <v>45989</v>
      </c>
      <c r="Q920" s="27">
        <f ca="1">DATEDIF(DadosViagem5[[#This Row],[BIP]],TODAY(),"D")</f>
        <v>1</v>
      </c>
      <c r="R920" s="28" t="str">
        <f>IFERROR(VLOOKUP(DadosViagem5[[#This Row],[Placa]],[1]DDS!B:C,2,FALSE),"Verificar cadastro")</f>
        <v>Operando</v>
      </c>
      <c r="S920" s="29" t="s">
        <v>48</v>
      </c>
      <c r="T920" s="23"/>
      <c r="U920" s="30"/>
      <c r="V920" s="31"/>
      <c r="W920" s="32" t="s">
        <v>1607</v>
      </c>
      <c r="X920" s="33"/>
      <c r="Y920" s="34"/>
      <c r="Z920" s="42"/>
      <c r="AA920" s="20" t="s">
        <v>49</v>
      </c>
      <c r="AB920" s="20" t="s">
        <v>49</v>
      </c>
      <c r="AC920" s="19" t="s">
        <v>49</v>
      </c>
      <c r="AD920" s="19" t="str">
        <f ca="1">IFERROR(DATEDIF(DadosViagem5[[#This Row],[Utimo Bip Reserva]],TODAY(),"D"),"")</f>
        <v/>
      </c>
      <c r="AE920" s="25" t="s">
        <v>49</v>
      </c>
      <c r="AF920" s="25" t="s">
        <v>49</v>
      </c>
      <c r="AG920" s="36"/>
      <c r="AH920" s="25">
        <v>45807</v>
      </c>
      <c r="AI920" s="36" t="str">
        <f>IF(DadosViagem5[[#This Row],[Dias em manutenção ]]&lt;5,"Dentro do Prazo","Fora do Prazo")</f>
        <v>Fora do Prazo</v>
      </c>
      <c r="AJ920" s="36" t="e">
        <v>#REF!</v>
      </c>
    </row>
    <row r="921" spans="1:36">
      <c r="A921" s="19" t="s">
        <v>1608</v>
      </c>
      <c r="B921" s="20"/>
      <c r="C921" s="19" t="s">
        <v>71</v>
      </c>
      <c r="D921" s="19" t="s">
        <v>38</v>
      </c>
      <c r="E921" s="19" t="s">
        <v>265</v>
      </c>
      <c r="F921" s="19" t="s">
        <v>115</v>
      </c>
      <c r="G921" s="19"/>
      <c r="H921" s="20">
        <v>2023</v>
      </c>
      <c r="I921" s="19" t="s">
        <v>41</v>
      </c>
      <c r="J921" s="19" t="s">
        <v>1604</v>
      </c>
      <c r="K921" s="66" t="s">
        <v>625</v>
      </c>
      <c r="L921" s="22" t="s">
        <v>60</v>
      </c>
      <c r="M921" s="23" t="s">
        <v>470</v>
      </c>
      <c r="N921" s="36" t="s">
        <v>465</v>
      </c>
      <c r="O921" s="36" t="s">
        <v>472</v>
      </c>
      <c r="P921" s="26">
        <f ca="1">IFERROR(VLOOKUP(DadosViagem5[[#This Row],[Placa]],[1]BIP!A:E,5,FALSE),"")</f>
        <v>45989</v>
      </c>
      <c r="Q921" s="27">
        <f ca="1">DATEDIF(DadosViagem5[[#This Row],[BIP]],TODAY(),"D")</f>
        <v>1</v>
      </c>
      <c r="R921" s="28" t="str">
        <f>IFERROR(VLOOKUP(DadosViagem5[[#This Row],[Placa]],[1]DDS!B:C,2,FALSE),"Verificar cadastro")</f>
        <v>Operando</v>
      </c>
      <c r="S921" s="29" t="s">
        <v>173</v>
      </c>
      <c r="T921" s="23"/>
      <c r="U921" s="30"/>
      <c r="V921" s="31"/>
      <c r="W921" s="32" t="s">
        <v>1609</v>
      </c>
      <c r="X921" s="33" t="s">
        <v>65</v>
      </c>
      <c r="Y921" s="34" t="s">
        <v>159</v>
      </c>
      <c r="Z921" s="42" t="s">
        <v>171</v>
      </c>
      <c r="AA921" s="20" t="s">
        <v>49</v>
      </c>
      <c r="AB921" s="20" t="s">
        <v>49</v>
      </c>
      <c r="AC921" s="19" t="s">
        <v>49</v>
      </c>
      <c r="AD921" s="19" t="str">
        <f ca="1">IFERROR(DATEDIF(DadosViagem5[[#This Row],[Utimo Bip Reserva]],TODAY(),"D"),"")</f>
        <v/>
      </c>
      <c r="AE921" s="25" t="s">
        <v>1610</v>
      </c>
      <c r="AF921" s="25" t="s">
        <v>49</v>
      </c>
      <c r="AG921" s="30" t="s">
        <v>153</v>
      </c>
      <c r="AH921" s="25">
        <v>29</v>
      </c>
      <c r="AI921" s="36" t="str">
        <f>IF(DadosViagem5[[#This Row],[Dias em manutenção ]]&lt;5,"Dentro do Prazo","Fora do Prazo")</f>
        <v>Fora do Prazo</v>
      </c>
      <c r="AJ921" s="36" t="e">
        <v>#REF!</v>
      </c>
    </row>
    <row r="922" spans="1:36">
      <c r="A922" s="19" t="s">
        <v>1611</v>
      </c>
      <c r="B922" s="20"/>
      <c r="C922" s="19" t="s">
        <v>71</v>
      </c>
      <c r="D922" s="19" t="s">
        <v>38</v>
      </c>
      <c r="E922" s="19" t="s">
        <v>265</v>
      </c>
      <c r="F922" s="19" t="s">
        <v>115</v>
      </c>
      <c r="G922" s="19"/>
      <c r="H922" s="20">
        <v>2023</v>
      </c>
      <c r="I922" s="19" t="s">
        <v>41</v>
      </c>
      <c r="J922" s="19" t="s">
        <v>1602</v>
      </c>
      <c r="K922" s="66" t="s">
        <v>625</v>
      </c>
      <c r="L922" s="22" t="s">
        <v>60</v>
      </c>
      <c r="M922" s="23" t="s">
        <v>470</v>
      </c>
      <c r="N922" s="36" t="s">
        <v>465</v>
      </c>
      <c r="O922" s="36" t="s">
        <v>472</v>
      </c>
      <c r="P922" s="26">
        <f ca="1">IFERROR(VLOOKUP(DadosViagem5[[#This Row],[Placa]],[1]BIP!A:E,5,FALSE),"")</f>
        <v>45972</v>
      </c>
      <c r="Q922" s="27">
        <f ca="1">DATEDIF(DadosViagem5[[#This Row],[BIP]],TODAY(),"D")</f>
        <v>18</v>
      </c>
      <c r="R922" s="28" t="str">
        <f>IFERROR(VLOOKUP(DadosViagem5[[#This Row],[Placa]],[1]DDS!B:C,2,FALSE),"Verificar cadastro")</f>
        <v>Manutenção</v>
      </c>
      <c r="S922" s="29" t="s">
        <v>48</v>
      </c>
      <c r="T922" s="23"/>
      <c r="U922" s="30"/>
      <c r="V922" s="31"/>
      <c r="W922" s="32"/>
      <c r="X922" s="33"/>
      <c r="Y922" s="34"/>
      <c r="Z922" s="42"/>
      <c r="AA922" s="20" t="s">
        <v>49</v>
      </c>
      <c r="AB922" s="20" t="s">
        <v>49</v>
      </c>
      <c r="AC922" s="19" t="s">
        <v>49</v>
      </c>
      <c r="AD922" s="19" t="str">
        <f ca="1">IFERROR(DATEDIF(DadosViagem5[[#This Row],[Utimo Bip Reserva]],TODAY(),"D"),"")</f>
        <v/>
      </c>
      <c r="AE922" s="25" t="s">
        <v>49</v>
      </c>
      <c r="AF922" s="25" t="s">
        <v>49</v>
      </c>
      <c r="AG922" s="36"/>
      <c r="AH922" s="25">
        <v>45807</v>
      </c>
      <c r="AI922" s="36" t="str">
        <f>IF(DadosViagem5[[#This Row],[Dias em manutenção ]]&lt;5,"Dentro do Prazo","Fora do Prazo")</f>
        <v>Fora do Prazo</v>
      </c>
      <c r="AJ922" s="36" t="e">
        <v>#REF!</v>
      </c>
    </row>
    <row r="923" spans="1:36">
      <c r="A923" s="19" t="s">
        <v>1612</v>
      </c>
      <c r="B923" s="20"/>
      <c r="C923" s="19" t="s">
        <v>74</v>
      </c>
      <c r="D923" s="19" t="s">
        <v>52</v>
      </c>
      <c r="E923" s="19" t="s">
        <v>75</v>
      </c>
      <c r="F923" s="19" t="s">
        <v>76</v>
      </c>
      <c r="G923" s="19"/>
      <c r="H923" s="20">
        <v>2024</v>
      </c>
      <c r="I923" s="19" t="s">
        <v>41</v>
      </c>
      <c r="J923" s="19" t="s">
        <v>1602</v>
      </c>
      <c r="K923" s="66" t="s">
        <v>625</v>
      </c>
      <c r="L923" s="22" t="s">
        <v>60</v>
      </c>
      <c r="M923" s="23" t="s">
        <v>77</v>
      </c>
      <c r="N923" s="36" t="s">
        <v>465</v>
      </c>
      <c r="O923" s="36" t="s">
        <v>472</v>
      </c>
      <c r="P923" s="26">
        <f ca="1">IFERROR(VLOOKUP(DadosViagem5[[#This Row],[Placa]],[1]BIP!A:E,5,FALSE),"")</f>
        <v>45989</v>
      </c>
      <c r="Q923" s="27">
        <f ca="1">DATEDIF(DadosViagem5[[#This Row],[BIP]],TODAY(),"D")</f>
        <v>1</v>
      </c>
      <c r="R923" s="28" t="str">
        <f>IFERROR(VLOOKUP(DadosViagem5[[#This Row],[Placa]],[1]DDS!B:C,2,FALSE),"Verificar cadastro")</f>
        <v>Operando</v>
      </c>
      <c r="S923" s="29" t="s">
        <v>48</v>
      </c>
      <c r="T923" s="23"/>
      <c r="U923" s="30"/>
      <c r="V923" s="31"/>
      <c r="W923" s="32"/>
      <c r="X923" s="33"/>
      <c r="Y923" s="34"/>
      <c r="Z923" s="32"/>
      <c r="AA923" s="20" t="s">
        <v>49</v>
      </c>
      <c r="AB923" s="20" t="s">
        <v>49</v>
      </c>
      <c r="AC923" s="19" t="s">
        <v>49</v>
      </c>
      <c r="AD923" s="19" t="str">
        <f ca="1">IFERROR(DATEDIF(DadosViagem5[[#This Row],[Utimo Bip Reserva]],TODAY(),"D"),"")</f>
        <v/>
      </c>
      <c r="AE923" s="25" t="s">
        <v>49</v>
      </c>
      <c r="AF923" s="25" t="s">
        <v>49</v>
      </c>
      <c r="AG923" s="36"/>
      <c r="AH923" s="25">
        <v>45807</v>
      </c>
      <c r="AI923" s="36" t="str">
        <f>IF(DadosViagem5[[#This Row],[Dias em manutenção ]]&lt;5,"Dentro do Prazo","Fora do Prazo")</f>
        <v>Fora do Prazo</v>
      </c>
      <c r="AJ923" s="36" t="e">
        <v>#REF!</v>
      </c>
    </row>
    <row r="924" spans="1:36">
      <c r="A924" s="19" t="s">
        <v>1613</v>
      </c>
      <c r="B924" s="20"/>
      <c r="C924" s="19" t="s">
        <v>74</v>
      </c>
      <c r="D924" s="19" t="s">
        <v>52</v>
      </c>
      <c r="E924" s="19" t="s">
        <v>114</v>
      </c>
      <c r="F924" s="19" t="s">
        <v>115</v>
      </c>
      <c r="G924" s="19"/>
      <c r="H924" s="20">
        <v>2022</v>
      </c>
      <c r="I924" s="19" t="s">
        <v>41</v>
      </c>
      <c r="J924" s="19" t="s">
        <v>1604</v>
      </c>
      <c r="K924" s="66" t="s">
        <v>625</v>
      </c>
      <c r="L924" s="22" t="s">
        <v>60</v>
      </c>
      <c r="M924" s="23" t="s">
        <v>77</v>
      </c>
      <c r="N924" s="36" t="s">
        <v>465</v>
      </c>
      <c r="O924" s="36" t="s">
        <v>472</v>
      </c>
      <c r="P924" s="26">
        <f ca="1">IFERROR(VLOOKUP(DadosViagem5[[#This Row],[Placa]],[1]BIP!A:E,5,FALSE),"")</f>
        <v>45656</v>
      </c>
      <c r="Q924" s="27">
        <f ca="1">DATEDIF(DadosViagem5[[#This Row],[BIP]],TODAY(),"D")</f>
        <v>334</v>
      </c>
      <c r="R924" s="28" t="str">
        <f>IFERROR(VLOOKUP(DadosViagem5[[#This Row],[Placa]],[1]DDS!B:C,2,FALSE),"Verificar cadastro")</f>
        <v>Verificar cadastro</v>
      </c>
      <c r="S924" s="36" t="s">
        <v>186</v>
      </c>
      <c r="T924" s="23"/>
      <c r="U924" s="30"/>
      <c r="V924" s="31">
        <v>45656</v>
      </c>
      <c r="W924" s="32" t="s">
        <v>1614</v>
      </c>
      <c r="X924" s="33" t="s">
        <v>188</v>
      </c>
      <c r="Y924" s="34">
        <v>45935</v>
      </c>
      <c r="Z924" s="11" t="s">
        <v>737</v>
      </c>
      <c r="AA924" s="20" t="s">
        <v>49</v>
      </c>
      <c r="AB924" s="20" t="s">
        <v>49</v>
      </c>
      <c r="AC924" s="19" t="s">
        <v>49</v>
      </c>
      <c r="AD924" s="19" t="str">
        <f ca="1">IFERROR(DATEDIF(DadosViagem5[[#This Row],[Utimo Bip Reserva]],TODAY(),"D"),"")</f>
        <v/>
      </c>
      <c r="AE924" s="36" t="s">
        <v>49</v>
      </c>
      <c r="AF924" s="25">
        <v>45699</v>
      </c>
      <c r="AG924" s="36" t="s">
        <v>481</v>
      </c>
      <c r="AH924" s="25">
        <v>76</v>
      </c>
      <c r="AI924" s="36" t="str">
        <f>IF(DadosViagem5[[#This Row],[Dias em manutenção ]]&lt;5,"Dentro do Prazo","Fora do Prazo")</f>
        <v>Fora do Prazo</v>
      </c>
      <c r="AJ924" s="36" t="e">
        <v>#REF!</v>
      </c>
    </row>
    <row r="925" spans="1:36">
      <c r="A925" s="19" t="s">
        <v>1615</v>
      </c>
      <c r="B925" s="20"/>
      <c r="C925" s="19" t="s">
        <v>71</v>
      </c>
      <c r="D925" s="19" t="s">
        <v>38</v>
      </c>
      <c r="E925" s="19" t="s">
        <v>265</v>
      </c>
      <c r="F925" s="19" t="s">
        <v>115</v>
      </c>
      <c r="G925" s="19"/>
      <c r="H925" s="20">
        <v>2023</v>
      </c>
      <c r="I925" s="19" t="s">
        <v>41</v>
      </c>
      <c r="J925" s="19" t="s">
        <v>1604</v>
      </c>
      <c r="K925" s="66" t="s">
        <v>625</v>
      </c>
      <c r="L925" s="22" t="s">
        <v>60</v>
      </c>
      <c r="M925" s="23" t="s">
        <v>470</v>
      </c>
      <c r="N925" s="36" t="s">
        <v>465</v>
      </c>
      <c r="O925" s="36" t="s">
        <v>472</v>
      </c>
      <c r="P925" s="26">
        <f ca="1">IFERROR(VLOOKUP(DadosViagem5[[#This Row],[Placa]],[1]BIP!A:E,5,FALSE),"")</f>
        <v>45989</v>
      </c>
      <c r="Q925" s="27">
        <f ca="1">DATEDIF(DadosViagem5[[#This Row],[BIP]],TODAY(),"D")</f>
        <v>1</v>
      </c>
      <c r="R925" s="28" t="str">
        <f>IFERROR(VLOOKUP(DadosViagem5[[#This Row],[Placa]],[1]DDS!B:C,2,FALSE),"Verificar cadastro")</f>
        <v>Operando</v>
      </c>
      <c r="S925" s="29" t="s">
        <v>48</v>
      </c>
      <c r="T925" s="23"/>
      <c r="U925" s="30"/>
      <c r="V925" s="31"/>
      <c r="W925" s="32" t="s">
        <v>854</v>
      </c>
      <c r="X925" s="33"/>
      <c r="Y925" s="86"/>
      <c r="Z925" s="42"/>
      <c r="AA925" s="20" t="s">
        <v>49</v>
      </c>
      <c r="AB925" s="20" t="s">
        <v>49</v>
      </c>
      <c r="AC925" s="19" t="s">
        <v>49</v>
      </c>
      <c r="AD925" s="19" t="str">
        <f ca="1">IFERROR(DATEDIF(DadosViagem5[[#This Row],[Utimo Bip Reserva]],TODAY(),"D"),"")</f>
        <v/>
      </c>
      <c r="AE925" s="25" t="s">
        <v>49</v>
      </c>
      <c r="AF925" s="25" t="s">
        <v>49</v>
      </c>
      <c r="AG925" s="36"/>
      <c r="AH925" s="25">
        <v>45807</v>
      </c>
      <c r="AI925" s="36" t="str">
        <f>IF(DadosViagem5[[#This Row],[Dias em manutenção ]]&lt;5,"Dentro do Prazo","Fora do Prazo")</f>
        <v>Fora do Prazo</v>
      </c>
      <c r="AJ925" s="36" t="e">
        <v>#REF!</v>
      </c>
    </row>
    <row r="926" spans="1:36">
      <c r="A926" s="19" t="s">
        <v>1616</v>
      </c>
      <c r="B926" s="20"/>
      <c r="C926" s="19" t="s">
        <v>71</v>
      </c>
      <c r="D926" s="19" t="s">
        <v>38</v>
      </c>
      <c r="E926" s="19" t="s">
        <v>265</v>
      </c>
      <c r="F926" s="19" t="s">
        <v>115</v>
      </c>
      <c r="G926" s="19"/>
      <c r="H926" s="20">
        <v>2023</v>
      </c>
      <c r="I926" s="19" t="s">
        <v>41</v>
      </c>
      <c r="J926" s="19" t="s">
        <v>1604</v>
      </c>
      <c r="K926" s="66" t="s">
        <v>625</v>
      </c>
      <c r="L926" s="22" t="s">
        <v>60</v>
      </c>
      <c r="M926" s="23" t="s">
        <v>470</v>
      </c>
      <c r="N926" s="36" t="s">
        <v>465</v>
      </c>
      <c r="O926" s="36" t="s">
        <v>472</v>
      </c>
      <c r="P926" s="26">
        <f ca="1">IFERROR(VLOOKUP(DadosViagem5[[#This Row],[Placa]],[1]BIP!A:E,5,FALSE),"")</f>
        <v>45966</v>
      </c>
      <c r="Q926" s="27">
        <f ca="1">DATEDIF(DadosViagem5[[#This Row],[BIP]],TODAY(),"D")</f>
        <v>24</v>
      </c>
      <c r="R926" s="28" t="str">
        <f>IFERROR(VLOOKUP(DadosViagem5[[#This Row],[Placa]],[1]DDS!B:C,2,FALSE),"Verificar cadastro")</f>
        <v>Manutenção</v>
      </c>
      <c r="S926" s="29" t="s">
        <v>173</v>
      </c>
      <c r="T926" s="23"/>
      <c r="U926" s="30"/>
      <c r="V926" s="31"/>
      <c r="W926" s="32" t="s">
        <v>1617</v>
      </c>
      <c r="X926" s="33" t="s">
        <v>65</v>
      </c>
      <c r="Y926" s="34" t="s">
        <v>159</v>
      </c>
      <c r="Z926" s="42"/>
      <c r="AA926" s="20" t="s">
        <v>49</v>
      </c>
      <c r="AB926" s="20" t="s">
        <v>49</v>
      </c>
      <c r="AC926" s="19" t="s">
        <v>49</v>
      </c>
      <c r="AD926" s="19" t="str">
        <f ca="1">IFERROR(DATEDIF(DadosViagem5[[#This Row],[Utimo Bip Reserva]],TODAY(),"D"),"")</f>
        <v/>
      </c>
      <c r="AE926" s="36" t="s">
        <v>49</v>
      </c>
      <c r="AF926" s="25" t="s">
        <v>49</v>
      </c>
      <c r="AG926" s="36" t="s">
        <v>540</v>
      </c>
      <c r="AH926" s="25">
        <v>45807</v>
      </c>
      <c r="AI926" s="36" t="str">
        <f>IF(DadosViagem5[[#This Row],[Dias em manutenção ]]&lt;5,"Dentro do Prazo","Fora do Prazo")</f>
        <v>Fora do Prazo</v>
      </c>
      <c r="AJ926" s="36" t="e">
        <v>#REF!</v>
      </c>
    </row>
    <row r="927" spans="1:36">
      <c r="A927" s="19" t="s">
        <v>1618</v>
      </c>
      <c r="B927" s="20"/>
      <c r="C927" s="19" t="s">
        <v>131</v>
      </c>
      <c r="D927" s="19" t="s">
        <v>132</v>
      </c>
      <c r="E927" s="19" t="s">
        <v>114</v>
      </c>
      <c r="F927" s="19" t="s">
        <v>115</v>
      </c>
      <c r="G927" s="19"/>
      <c r="H927" s="20">
        <v>2022</v>
      </c>
      <c r="I927" s="19" t="s">
        <v>41</v>
      </c>
      <c r="J927" s="19" t="s">
        <v>1604</v>
      </c>
      <c r="K927" s="66" t="s">
        <v>625</v>
      </c>
      <c r="L927" s="22" t="s">
        <v>60</v>
      </c>
      <c r="M927" s="23" t="s">
        <v>470</v>
      </c>
      <c r="N927" s="36" t="s">
        <v>465</v>
      </c>
      <c r="O927" s="36" t="s">
        <v>472</v>
      </c>
      <c r="P927" s="26">
        <f ca="1">IFERROR(VLOOKUP(DadosViagem5[[#This Row],[Placa]],[1]BIP!A:E,5,FALSE),"")</f>
        <v>45775</v>
      </c>
      <c r="Q927" s="27">
        <f ca="1">DATEDIF(DadosViagem5[[#This Row],[BIP]],TODAY(),"D")</f>
        <v>215</v>
      </c>
      <c r="R927" s="28" t="str">
        <f>IFERROR(VLOOKUP(DadosViagem5[[#This Row],[Placa]],[1]DDS!B:C,2,FALSE),"Verificar cadastro")</f>
        <v>Verificar cadastro</v>
      </c>
      <c r="S927" s="36" t="s">
        <v>574</v>
      </c>
      <c r="T927" s="23"/>
      <c r="U927" s="30"/>
      <c r="V927" s="31"/>
      <c r="W927" s="32" t="s">
        <v>1619</v>
      </c>
      <c r="X927" s="33"/>
      <c r="Y927" s="86"/>
      <c r="Z927" s="42"/>
      <c r="AA927" s="20" t="s">
        <v>49</v>
      </c>
      <c r="AB927" s="20" t="s">
        <v>49</v>
      </c>
      <c r="AC927" s="19" t="s">
        <v>49</v>
      </c>
      <c r="AD927" s="19" t="str">
        <f ca="1">IFERROR(DATEDIF(DadosViagem5[[#This Row],[Utimo Bip Reserva]],TODAY(),"D"),"")</f>
        <v/>
      </c>
      <c r="AE927" s="36" t="s">
        <v>49</v>
      </c>
      <c r="AF927" s="25" t="s">
        <v>49</v>
      </c>
      <c r="AG927" s="30" t="s">
        <v>153</v>
      </c>
      <c r="AH927" s="25">
        <v>31</v>
      </c>
      <c r="AI927" s="36" t="str">
        <f>IF(DadosViagem5[[#This Row],[Dias em manutenção ]]&lt;5,"Dentro do Prazo","Fora do Prazo")</f>
        <v>Fora do Prazo</v>
      </c>
      <c r="AJ927" s="36" t="e">
        <v>#REF!</v>
      </c>
    </row>
    <row r="928" spans="1:36">
      <c r="A928" s="19" t="s">
        <v>1620</v>
      </c>
      <c r="B928" s="20"/>
      <c r="C928" s="19" t="s">
        <v>225</v>
      </c>
      <c r="D928" s="19" t="s">
        <v>38</v>
      </c>
      <c r="E928" s="19" t="s">
        <v>39</v>
      </c>
      <c r="F928" s="19" t="s">
        <v>1621</v>
      </c>
      <c r="G928" s="19"/>
      <c r="H928" s="20">
        <v>2024</v>
      </c>
      <c r="I928" s="19" t="s">
        <v>41</v>
      </c>
      <c r="J928" s="19" t="s">
        <v>1604</v>
      </c>
      <c r="K928" s="66" t="s">
        <v>625</v>
      </c>
      <c r="L928" s="22" t="s">
        <v>60</v>
      </c>
      <c r="M928" s="23" t="s">
        <v>470</v>
      </c>
      <c r="N928" s="36" t="s">
        <v>465</v>
      </c>
      <c r="O928" s="36" t="s">
        <v>472</v>
      </c>
      <c r="P928" s="26">
        <f ca="1">IFERROR(VLOOKUP(DadosViagem5[[#This Row],[Placa]],[1]BIP!A:E,5,FALSE),"")</f>
        <v>45989</v>
      </c>
      <c r="Q928" s="27">
        <f ca="1">DATEDIF(DadosViagem5[[#This Row],[BIP]],TODAY(),"D")</f>
        <v>1</v>
      </c>
      <c r="R928" s="28" t="str">
        <f>IFERROR(VLOOKUP(DadosViagem5[[#This Row],[Placa]],[1]DDS!B:C,2,FALSE),"Verificar cadastro")</f>
        <v>Operando</v>
      </c>
      <c r="S928" s="29" t="s">
        <v>173</v>
      </c>
      <c r="T928" s="23"/>
      <c r="U928" s="30"/>
      <c r="V928" s="31"/>
      <c r="W928" s="32" t="s">
        <v>1622</v>
      </c>
      <c r="X928" s="33"/>
      <c r="Y928" s="34"/>
      <c r="Z928" s="42"/>
      <c r="AA928" s="20" t="s">
        <v>49</v>
      </c>
      <c r="AB928" s="20" t="s">
        <v>49</v>
      </c>
      <c r="AC928" s="19" t="s">
        <v>49</v>
      </c>
      <c r="AD928" s="19" t="str">
        <f ca="1">IFERROR(DATEDIF(DadosViagem5[[#This Row],[Utimo Bip Reserva]],TODAY(),"D"),"")</f>
        <v/>
      </c>
      <c r="AE928" s="25" t="s">
        <v>49</v>
      </c>
      <c r="AF928" s="25" t="s">
        <v>49</v>
      </c>
      <c r="AG928" s="36"/>
      <c r="AH928" s="25">
        <v>45807</v>
      </c>
      <c r="AI928" s="36" t="str">
        <f>IF(DadosViagem5[[#This Row],[Dias em manutenção ]]&lt;5,"Dentro do Prazo","Fora do Prazo")</f>
        <v>Fora do Prazo</v>
      </c>
      <c r="AJ928" s="36" t="e">
        <v>#REF!</v>
      </c>
    </row>
    <row r="929" spans="1:36">
      <c r="A929" s="19" t="s">
        <v>1623</v>
      </c>
      <c r="B929" s="20">
        <v>445</v>
      </c>
      <c r="C929" s="19" t="s">
        <v>74</v>
      </c>
      <c r="D929" s="19" t="s">
        <v>52</v>
      </c>
      <c r="E929" s="19" t="s">
        <v>75</v>
      </c>
      <c r="F929" s="19" t="s">
        <v>76</v>
      </c>
      <c r="G929" s="19"/>
      <c r="H929" s="20">
        <v>2023</v>
      </c>
      <c r="I929" s="19" t="s">
        <v>41</v>
      </c>
      <c r="J929" s="19" t="s">
        <v>1602</v>
      </c>
      <c r="K929" s="66" t="s">
        <v>625</v>
      </c>
      <c r="L929" s="22" t="s">
        <v>60</v>
      </c>
      <c r="M929" s="23" t="s">
        <v>77</v>
      </c>
      <c r="N929" s="36" t="s">
        <v>465</v>
      </c>
      <c r="O929" s="36" t="s">
        <v>472</v>
      </c>
      <c r="P929" s="26">
        <f ca="1">IFERROR(VLOOKUP(DadosViagem5[[#This Row],[Placa]],[1]BIP!A:E,5,FALSE),"")</f>
        <v>45989</v>
      </c>
      <c r="Q929" s="27">
        <f ca="1">DATEDIF(DadosViagem5[[#This Row],[BIP]],TODAY(),"D")</f>
        <v>1</v>
      </c>
      <c r="R929" s="28" t="str">
        <f>IFERROR(VLOOKUP(DadosViagem5[[#This Row],[Placa]],[1]DDS!B:C,2,FALSE),"Verificar cadastro")</f>
        <v>Operando</v>
      </c>
      <c r="S929" s="29" t="s">
        <v>48</v>
      </c>
      <c r="T929" s="23"/>
      <c r="U929" s="30"/>
      <c r="V929" s="31"/>
      <c r="W929" s="32"/>
      <c r="X929" s="33"/>
      <c r="Y929" s="34"/>
      <c r="Z929" s="42"/>
      <c r="AA929" s="20" t="s">
        <v>49</v>
      </c>
      <c r="AB929" s="20" t="s">
        <v>49</v>
      </c>
      <c r="AC929" s="19" t="s">
        <v>49</v>
      </c>
      <c r="AD929" s="19" t="str">
        <f ca="1">IFERROR(DATEDIF(DadosViagem5[[#This Row],[Utimo Bip Reserva]],TODAY(),"D"),"")</f>
        <v/>
      </c>
      <c r="AE929" s="25" t="s">
        <v>49</v>
      </c>
      <c r="AF929" s="25" t="s">
        <v>49</v>
      </c>
      <c r="AG929" s="36"/>
      <c r="AH929" s="25">
        <v>45807</v>
      </c>
      <c r="AI929" s="36" t="str">
        <f>IF(DadosViagem5[[#This Row],[Dias em manutenção ]]&lt;5,"Dentro do Prazo","Fora do Prazo")</f>
        <v>Fora do Prazo</v>
      </c>
      <c r="AJ929" s="36" t="e">
        <v>#REF!</v>
      </c>
    </row>
    <row r="930" spans="1:36">
      <c r="A930" s="19" t="s">
        <v>1624</v>
      </c>
      <c r="B930" s="20"/>
      <c r="C930" s="19" t="s">
        <v>225</v>
      </c>
      <c r="D930" s="19" t="s">
        <v>38</v>
      </c>
      <c r="E930" s="19" t="s">
        <v>39</v>
      </c>
      <c r="F930" s="19" t="s">
        <v>1621</v>
      </c>
      <c r="G930" s="19"/>
      <c r="H930" s="20">
        <v>2024</v>
      </c>
      <c r="I930" s="19" t="s">
        <v>41</v>
      </c>
      <c r="J930" s="19" t="s">
        <v>1604</v>
      </c>
      <c r="K930" s="66" t="s">
        <v>625</v>
      </c>
      <c r="L930" s="22" t="s">
        <v>60</v>
      </c>
      <c r="M930" s="23" t="s">
        <v>470</v>
      </c>
      <c r="N930" s="36" t="s">
        <v>465</v>
      </c>
      <c r="O930" s="36" t="s">
        <v>472</v>
      </c>
      <c r="P930" s="26">
        <f ca="1">IFERROR(VLOOKUP(DadosViagem5[[#This Row],[Placa]],[1]BIP!A:E,5,FALSE),"")</f>
        <v>45989</v>
      </c>
      <c r="Q930" s="27">
        <f ca="1">DATEDIF(DadosViagem5[[#This Row],[BIP]],TODAY(),"D")</f>
        <v>1</v>
      </c>
      <c r="R930" s="28" t="str">
        <f>IFERROR(VLOOKUP(DadosViagem5[[#This Row],[Placa]],[1]DDS!B:C,2,FALSE),"Verificar cadastro")</f>
        <v>Operando</v>
      </c>
      <c r="S930" s="29" t="s">
        <v>48</v>
      </c>
      <c r="T930" s="23"/>
      <c r="U930" s="30"/>
      <c r="V930" s="31"/>
      <c r="W930" s="32"/>
      <c r="X930" s="33"/>
      <c r="Y930" s="34"/>
      <c r="Z930" s="42"/>
      <c r="AA930" s="20" t="s">
        <v>49</v>
      </c>
      <c r="AB930" s="20" t="s">
        <v>49</v>
      </c>
      <c r="AC930" s="19" t="s">
        <v>49</v>
      </c>
      <c r="AD930" s="19" t="str">
        <f ca="1">IFERROR(DATEDIF(DadosViagem5[[#This Row],[Utimo Bip Reserva]],TODAY(),"D"),"")</f>
        <v/>
      </c>
      <c r="AE930" s="25" t="s">
        <v>49</v>
      </c>
      <c r="AF930" s="25" t="s">
        <v>49</v>
      </c>
      <c r="AG930" s="36"/>
      <c r="AH930" s="25">
        <v>45807</v>
      </c>
      <c r="AI930" s="36" t="str">
        <f>IF(DadosViagem5[[#This Row],[Dias em manutenção ]]&lt;5,"Dentro do Prazo","Fora do Prazo")</f>
        <v>Fora do Prazo</v>
      </c>
      <c r="AJ930" s="36" t="e">
        <v>#REF!</v>
      </c>
    </row>
    <row r="931" spans="1:36">
      <c r="A931" s="19" t="s">
        <v>1625</v>
      </c>
      <c r="B931" s="20"/>
      <c r="C931" s="19" t="s">
        <v>71</v>
      </c>
      <c r="D931" s="19" t="s">
        <v>38</v>
      </c>
      <c r="E931" s="19" t="s">
        <v>265</v>
      </c>
      <c r="F931" s="19" t="s">
        <v>115</v>
      </c>
      <c r="G931" s="19"/>
      <c r="H931" s="20">
        <v>2023</v>
      </c>
      <c r="I931" s="19" t="s">
        <v>41</v>
      </c>
      <c r="J931" s="19" t="s">
        <v>1602</v>
      </c>
      <c r="K931" s="66" t="s">
        <v>625</v>
      </c>
      <c r="L931" s="22" t="s">
        <v>60</v>
      </c>
      <c r="M931" s="23" t="s">
        <v>470</v>
      </c>
      <c r="N931" s="36" t="s">
        <v>465</v>
      </c>
      <c r="O931" s="36" t="s">
        <v>472</v>
      </c>
      <c r="P931" s="26">
        <f ca="1">IFERROR(VLOOKUP(DadosViagem5[[#This Row],[Placa]],[1]BIP!A:E,5,FALSE),"")</f>
        <v>45989</v>
      </c>
      <c r="Q931" s="27">
        <f ca="1">DATEDIF(DadosViagem5[[#This Row],[BIP]],TODAY(),"D")</f>
        <v>1</v>
      </c>
      <c r="R931" s="28" t="str">
        <f>IFERROR(VLOOKUP(DadosViagem5[[#This Row],[Placa]],[1]DDS!B:C,2,FALSE),"Verificar cadastro")</f>
        <v>Operando</v>
      </c>
      <c r="S931" s="29" t="s">
        <v>48</v>
      </c>
      <c r="T931" s="23"/>
      <c r="U931" s="30"/>
      <c r="V931" s="31"/>
      <c r="W931" s="32"/>
      <c r="X931" s="33"/>
      <c r="Y931" s="86"/>
      <c r="Z931" s="42"/>
      <c r="AA931" s="20" t="s">
        <v>49</v>
      </c>
      <c r="AB931" s="20" t="s">
        <v>49</v>
      </c>
      <c r="AC931" s="19" t="s">
        <v>49</v>
      </c>
      <c r="AD931" s="19" t="str">
        <f ca="1">IFERROR(DATEDIF(DadosViagem5[[#This Row],[Utimo Bip Reserva]],TODAY(),"D"),"")</f>
        <v/>
      </c>
      <c r="AE931" s="25" t="s">
        <v>49</v>
      </c>
      <c r="AF931" s="25" t="s">
        <v>49</v>
      </c>
      <c r="AG931" s="36"/>
      <c r="AH931" s="25">
        <v>45807</v>
      </c>
      <c r="AI931" s="36" t="str">
        <f>IF(DadosViagem5[[#This Row],[Dias em manutenção ]]&lt;5,"Dentro do Prazo","Fora do Prazo")</f>
        <v>Fora do Prazo</v>
      </c>
      <c r="AJ931" s="36" t="e">
        <v>#REF!</v>
      </c>
    </row>
    <row r="932" spans="1:36">
      <c r="A932" s="19" t="s">
        <v>1626</v>
      </c>
      <c r="B932" s="20">
        <v>581</v>
      </c>
      <c r="C932" s="19" t="s">
        <v>74</v>
      </c>
      <c r="D932" s="19" t="s">
        <v>52</v>
      </c>
      <c r="E932" s="19" t="s">
        <v>75</v>
      </c>
      <c r="F932" s="19" t="s">
        <v>76</v>
      </c>
      <c r="G932" s="19"/>
      <c r="H932" s="20">
        <v>2024</v>
      </c>
      <c r="I932" s="19" t="s">
        <v>41</v>
      </c>
      <c r="J932" s="19" t="s">
        <v>1602</v>
      </c>
      <c r="K932" s="66" t="s">
        <v>625</v>
      </c>
      <c r="L932" s="22" t="s">
        <v>60</v>
      </c>
      <c r="M932" s="23" t="s">
        <v>77</v>
      </c>
      <c r="N932" s="36" t="s">
        <v>465</v>
      </c>
      <c r="O932" s="36" t="s">
        <v>472</v>
      </c>
      <c r="P932" s="26">
        <f ca="1">IFERROR(VLOOKUP(DadosViagem5[[#This Row],[Placa]],[1]BIP!A:E,5,FALSE),"")</f>
        <v>45989</v>
      </c>
      <c r="Q932" s="27">
        <f ca="1">DATEDIF(DadosViagem5[[#This Row],[BIP]],TODAY(),"D")</f>
        <v>1</v>
      </c>
      <c r="R932" s="28" t="str">
        <f>IFERROR(VLOOKUP(DadosViagem5[[#This Row],[Placa]],[1]DDS!B:C,2,FALSE),"Verificar cadastro")</f>
        <v>Operando</v>
      </c>
      <c r="S932" s="29" t="s">
        <v>48</v>
      </c>
      <c r="T932" s="23"/>
      <c r="U932" s="30"/>
      <c r="V932" s="31"/>
      <c r="W932" s="32"/>
      <c r="X932" s="33"/>
      <c r="Y932" s="34"/>
      <c r="Z932" s="42"/>
      <c r="AA932" s="20" t="s">
        <v>49</v>
      </c>
      <c r="AB932" s="20" t="s">
        <v>49</v>
      </c>
      <c r="AC932" s="19" t="s">
        <v>49</v>
      </c>
      <c r="AD932" s="19" t="str">
        <f ca="1">IFERROR(DATEDIF(DadosViagem5[[#This Row],[Utimo Bip Reserva]],TODAY(),"D"),"")</f>
        <v/>
      </c>
      <c r="AE932" s="25" t="s">
        <v>49</v>
      </c>
      <c r="AF932" s="25" t="s">
        <v>49</v>
      </c>
      <c r="AG932" s="36"/>
      <c r="AH932" s="25">
        <v>45807</v>
      </c>
      <c r="AI932" s="36" t="str">
        <f>IF(DadosViagem5[[#This Row],[Dias em manutenção ]]&lt;5,"Dentro do Prazo","Fora do Prazo")</f>
        <v>Fora do Prazo</v>
      </c>
      <c r="AJ932" s="36" t="e">
        <v>#REF!</v>
      </c>
    </row>
    <row r="933" spans="1:36">
      <c r="A933" s="19" t="s">
        <v>1627</v>
      </c>
      <c r="B933" s="20"/>
      <c r="C933" s="19" t="s">
        <v>74</v>
      </c>
      <c r="D933" s="19" t="s">
        <v>52</v>
      </c>
      <c r="E933" s="19" t="s">
        <v>114</v>
      </c>
      <c r="F933" s="19" t="s">
        <v>115</v>
      </c>
      <c r="G933" s="19"/>
      <c r="H933" s="20">
        <v>2022</v>
      </c>
      <c r="I933" s="19" t="s">
        <v>41</v>
      </c>
      <c r="J933" s="19" t="s">
        <v>1604</v>
      </c>
      <c r="K933" s="66" t="s">
        <v>625</v>
      </c>
      <c r="L933" s="22" t="s">
        <v>60</v>
      </c>
      <c r="M933" s="23" t="s">
        <v>77</v>
      </c>
      <c r="N933" s="36" t="s">
        <v>465</v>
      </c>
      <c r="O933" s="36" t="s">
        <v>472</v>
      </c>
      <c r="P933" s="26">
        <f ca="1">IFERROR(VLOOKUP(DadosViagem5[[#This Row],[Placa]],[1]BIP!A:E,5,FALSE),"")</f>
        <v>45674</v>
      </c>
      <c r="Q933" s="27">
        <f ca="1">DATEDIF(DadosViagem5[[#This Row],[BIP]],TODAY(),"D")</f>
        <v>316</v>
      </c>
      <c r="R933" s="28" t="str">
        <f>IFERROR(VLOOKUP(DadosViagem5[[#This Row],[Placa]],[1]DDS!B:C,2,FALSE),"Verificar cadastro")</f>
        <v>Verificar cadastro</v>
      </c>
      <c r="S933" s="36" t="s">
        <v>574</v>
      </c>
      <c r="T933" s="23"/>
      <c r="U933" s="30"/>
      <c r="V933" s="31"/>
      <c r="W933" s="32" t="s">
        <v>1628</v>
      </c>
      <c r="X933" s="33"/>
      <c r="Y933" s="34"/>
      <c r="Z933" s="42"/>
      <c r="AA933" s="20" t="s">
        <v>49</v>
      </c>
      <c r="AB933" s="20" t="s">
        <v>49</v>
      </c>
      <c r="AC933" s="19" t="s">
        <v>49</v>
      </c>
      <c r="AD933" s="19" t="str">
        <f ca="1">IFERROR(DATEDIF(DadosViagem5[[#This Row],[Utimo Bip Reserva]],TODAY(),"D"),"")</f>
        <v/>
      </c>
      <c r="AE933" s="36" t="s">
        <v>49</v>
      </c>
      <c r="AF933" s="25"/>
      <c r="AG933" s="36" t="s">
        <v>540</v>
      </c>
      <c r="AH933" s="25">
        <v>65</v>
      </c>
      <c r="AI933" s="36" t="str">
        <f>IF(DadosViagem5[[#This Row],[Dias em manutenção ]]&lt;5,"Dentro do Prazo","Fora do Prazo")</f>
        <v>Fora do Prazo</v>
      </c>
      <c r="AJ933" s="36" t="e">
        <v>#REF!</v>
      </c>
    </row>
    <row r="934" spans="1:36">
      <c r="A934" s="19" t="s">
        <v>1629</v>
      </c>
      <c r="B934" s="20"/>
      <c r="C934" s="19" t="s">
        <v>225</v>
      </c>
      <c r="D934" s="19" t="s">
        <v>38</v>
      </c>
      <c r="E934" s="19" t="s">
        <v>39</v>
      </c>
      <c r="F934" s="19" t="s">
        <v>1621</v>
      </c>
      <c r="G934" s="19"/>
      <c r="H934" s="20">
        <v>2024</v>
      </c>
      <c r="I934" s="19" t="s">
        <v>41</v>
      </c>
      <c r="J934" s="19" t="s">
        <v>1604</v>
      </c>
      <c r="K934" s="66" t="s">
        <v>625</v>
      </c>
      <c r="L934" s="22" t="s">
        <v>60</v>
      </c>
      <c r="M934" s="23" t="s">
        <v>470</v>
      </c>
      <c r="N934" s="36" t="s">
        <v>465</v>
      </c>
      <c r="O934" s="36" t="s">
        <v>472</v>
      </c>
      <c r="P934" s="26">
        <f ca="1">IFERROR(VLOOKUP(DadosViagem5[[#This Row],[Placa]],[1]BIP!A:E,5,FALSE),"")</f>
        <v>45989</v>
      </c>
      <c r="Q934" s="27">
        <f ca="1">DATEDIF(DadosViagem5[[#This Row],[BIP]],TODAY(),"D")</f>
        <v>1</v>
      </c>
      <c r="R934" s="28" t="str">
        <f>IFERROR(VLOOKUP(DadosViagem5[[#This Row],[Placa]],[1]DDS!B:C,2,FALSE),"Verificar cadastro")</f>
        <v>Operando</v>
      </c>
      <c r="S934" s="29" t="s">
        <v>48</v>
      </c>
      <c r="T934" s="23"/>
      <c r="U934" s="30"/>
      <c r="V934" s="31"/>
      <c r="W934" s="133"/>
      <c r="X934" s="33"/>
      <c r="Y934" s="34"/>
      <c r="Z934" s="32"/>
      <c r="AA934" s="20" t="s">
        <v>49</v>
      </c>
      <c r="AB934" s="20" t="s">
        <v>49</v>
      </c>
      <c r="AC934" s="19" t="s">
        <v>49</v>
      </c>
      <c r="AD934" s="19" t="str">
        <f ca="1">IFERROR(DATEDIF(DadosViagem5[[#This Row],[Utimo Bip Reserva]],TODAY(),"D"),"")</f>
        <v/>
      </c>
      <c r="AE934" s="35"/>
      <c r="AF934" s="35"/>
      <c r="AG934" s="36"/>
      <c r="AH934" s="25">
        <v>45807</v>
      </c>
      <c r="AI934" s="36" t="str">
        <f>IF(DadosViagem5[[#This Row],[Dias em manutenção ]]&lt;5,"Dentro do Prazo","Fora do Prazo")</f>
        <v>Fora do Prazo</v>
      </c>
      <c r="AJ934" s="36" t="e">
        <v>#REF!</v>
      </c>
    </row>
    <row r="935" spans="1:36">
      <c r="A935" s="19" t="s">
        <v>1630</v>
      </c>
      <c r="B935" s="20"/>
      <c r="C935" s="19" t="s">
        <v>88</v>
      </c>
      <c r="D935" s="19" t="s">
        <v>52</v>
      </c>
      <c r="E935" s="19" t="s">
        <v>114</v>
      </c>
      <c r="F935" s="19" t="s">
        <v>115</v>
      </c>
      <c r="G935" s="19"/>
      <c r="H935" s="20">
        <v>2022</v>
      </c>
      <c r="I935" s="19" t="s">
        <v>41</v>
      </c>
      <c r="J935" s="19" t="s">
        <v>1604</v>
      </c>
      <c r="K935" s="66" t="s">
        <v>625</v>
      </c>
      <c r="L935" s="22" t="s">
        <v>60</v>
      </c>
      <c r="M935" s="23" t="s">
        <v>470</v>
      </c>
      <c r="N935" s="36" t="s">
        <v>465</v>
      </c>
      <c r="O935" s="36" t="s">
        <v>472</v>
      </c>
      <c r="P935" s="26">
        <f ca="1">IFERROR(VLOOKUP(DadosViagem5[[#This Row],[Placa]],[1]BIP!A:E,5,FALSE),"")</f>
        <v>0</v>
      </c>
      <c r="Q935" s="27">
        <f ca="1">DATEDIF(DadosViagem5[[#This Row],[BIP]],TODAY(),"D")</f>
        <v>45990</v>
      </c>
      <c r="R935" s="28" t="str">
        <f>IFERROR(VLOOKUP(DadosViagem5[[#This Row],[Placa]],[1]DDS!B:C,2,FALSE),"Verificar cadastro")</f>
        <v>Verificar cadastro</v>
      </c>
      <c r="S935" s="36" t="s">
        <v>574</v>
      </c>
      <c r="T935" s="23"/>
      <c r="U935" s="30"/>
      <c r="V935" s="31"/>
      <c r="W935" s="32" t="s">
        <v>1631</v>
      </c>
      <c r="X935" s="33"/>
      <c r="Y935" s="34"/>
      <c r="Z935" s="32"/>
      <c r="AA935" s="20" t="s">
        <v>49</v>
      </c>
      <c r="AB935" s="20" t="s">
        <v>49</v>
      </c>
      <c r="AC935" s="19" t="s">
        <v>49</v>
      </c>
      <c r="AD935" s="19" t="str">
        <f ca="1">IFERROR(DATEDIF(DadosViagem5[[#This Row],[Utimo Bip Reserva]],TODAY(),"D"),"")</f>
        <v/>
      </c>
      <c r="AE935" s="36" t="s">
        <v>49</v>
      </c>
      <c r="AF935" s="25" t="s">
        <v>49</v>
      </c>
      <c r="AG935" s="36"/>
      <c r="AH935" s="25">
        <v>45807</v>
      </c>
      <c r="AI935" s="36" t="str">
        <f>IF(DadosViagem5[[#This Row],[Dias em manutenção ]]&lt;5,"Dentro do Prazo","Fora do Prazo")</f>
        <v>Fora do Prazo</v>
      </c>
      <c r="AJ935" s="36" t="e">
        <v>#REF!</v>
      </c>
    </row>
    <row r="936" spans="1:36">
      <c r="A936" s="19" t="s">
        <v>1632</v>
      </c>
      <c r="B936" s="20"/>
      <c r="C936" s="19" t="s">
        <v>88</v>
      </c>
      <c r="D936" s="19" t="s">
        <v>52</v>
      </c>
      <c r="E936" s="19" t="s">
        <v>114</v>
      </c>
      <c r="F936" s="19" t="s">
        <v>115</v>
      </c>
      <c r="G936" s="19"/>
      <c r="H936" s="20">
        <v>2022</v>
      </c>
      <c r="I936" s="19" t="s">
        <v>41</v>
      </c>
      <c r="J936" s="19" t="s">
        <v>1604</v>
      </c>
      <c r="K936" s="66" t="s">
        <v>625</v>
      </c>
      <c r="L936" s="22" t="s">
        <v>60</v>
      </c>
      <c r="M936" s="23" t="s">
        <v>470</v>
      </c>
      <c r="N936" s="36" t="s">
        <v>465</v>
      </c>
      <c r="O936" s="36" t="s">
        <v>472</v>
      </c>
      <c r="P936" s="26">
        <f ca="1">IFERROR(VLOOKUP(DadosViagem5[[#This Row],[Placa]],[1]BIP!A:E,5,FALSE),"")</f>
        <v>45817</v>
      </c>
      <c r="Q936" s="27">
        <f ca="1">DATEDIF(DadosViagem5[[#This Row],[BIP]],TODAY(),"D")</f>
        <v>173</v>
      </c>
      <c r="R936" s="28" t="str">
        <f>IFERROR(VLOOKUP(DadosViagem5[[#This Row],[Placa]],[1]DDS!B:C,2,FALSE),"Verificar cadastro")</f>
        <v>Verificar cadastro</v>
      </c>
      <c r="S936" s="36" t="s">
        <v>574</v>
      </c>
      <c r="T936" s="23"/>
      <c r="U936" s="30"/>
      <c r="V936" s="31"/>
      <c r="W936" s="32" t="s">
        <v>1633</v>
      </c>
      <c r="X936" s="33"/>
      <c r="Y936" s="34"/>
      <c r="Z936" s="32"/>
      <c r="AA936" s="20" t="s">
        <v>49</v>
      </c>
      <c r="AB936" s="20" t="s">
        <v>49</v>
      </c>
      <c r="AC936" s="19" t="s">
        <v>49</v>
      </c>
      <c r="AD936" s="19" t="str">
        <f ca="1">IFERROR(DATEDIF(DadosViagem5[[#This Row],[Utimo Bip Reserva]],TODAY(),"D"),"")</f>
        <v/>
      </c>
      <c r="AE936" s="36" t="s">
        <v>49</v>
      </c>
      <c r="AF936" s="25">
        <v>45699</v>
      </c>
      <c r="AG936" s="36" t="s">
        <v>540</v>
      </c>
      <c r="AH936" s="25">
        <v>45807</v>
      </c>
      <c r="AI936" s="36" t="str">
        <f>IF(DadosViagem5[[#This Row],[Dias em manutenção ]]&lt;5,"Dentro do Prazo","Fora do Prazo")</f>
        <v>Fora do Prazo</v>
      </c>
      <c r="AJ936" s="36" t="e">
        <v>#REF!</v>
      </c>
    </row>
    <row r="937" spans="1:36">
      <c r="A937" s="19" t="s">
        <v>1634</v>
      </c>
      <c r="B937" s="20"/>
      <c r="C937" s="19" t="s">
        <v>88</v>
      </c>
      <c r="D937" s="19" t="s">
        <v>52</v>
      </c>
      <c r="E937" s="19" t="s">
        <v>114</v>
      </c>
      <c r="F937" s="19" t="s">
        <v>115</v>
      </c>
      <c r="G937" s="19"/>
      <c r="H937" s="20">
        <v>2022</v>
      </c>
      <c r="I937" s="19" t="s">
        <v>41</v>
      </c>
      <c r="J937" s="19" t="s">
        <v>1602</v>
      </c>
      <c r="K937" s="66" t="s">
        <v>625</v>
      </c>
      <c r="L937" s="22" t="s">
        <v>60</v>
      </c>
      <c r="M937" s="23" t="s">
        <v>470</v>
      </c>
      <c r="N937" s="36" t="s">
        <v>465</v>
      </c>
      <c r="O937" s="36" t="s">
        <v>472</v>
      </c>
      <c r="P937" s="26">
        <f ca="1">IFERROR(VLOOKUP(DadosViagem5[[#This Row],[Placa]],[1]BIP!A:E,5,FALSE),"")</f>
        <v>45989</v>
      </c>
      <c r="Q937" s="27">
        <f ca="1">DATEDIF(DadosViagem5[[#This Row],[BIP]],TODAY(),"D")</f>
        <v>1</v>
      </c>
      <c r="R937" s="28" t="str">
        <f>IFERROR(VLOOKUP(DadosViagem5[[#This Row],[Placa]],[1]DDS!B:C,2,FALSE),"Verificar cadastro")</f>
        <v>Operando</v>
      </c>
      <c r="S937" s="29" t="s">
        <v>48</v>
      </c>
      <c r="T937" s="23"/>
      <c r="U937" s="30"/>
      <c r="V937" s="31"/>
      <c r="W937" s="32" t="s">
        <v>686</v>
      </c>
      <c r="X937" s="33"/>
      <c r="Y937" s="34"/>
      <c r="Z937" s="32"/>
      <c r="AA937" s="20" t="s">
        <v>49</v>
      </c>
      <c r="AB937" s="20" t="s">
        <v>49</v>
      </c>
      <c r="AC937" s="19" t="s">
        <v>49</v>
      </c>
      <c r="AD937" s="19" t="str">
        <f ca="1">IFERROR(DATEDIF(DadosViagem5[[#This Row],[Utimo Bip Reserva]],TODAY(),"D"),"")</f>
        <v/>
      </c>
      <c r="AE937" s="36" t="s">
        <v>49</v>
      </c>
      <c r="AF937" s="25" t="s">
        <v>49</v>
      </c>
      <c r="AG937" s="36"/>
      <c r="AH937" s="25">
        <v>7</v>
      </c>
      <c r="AI937" s="36" t="str">
        <f>IF(DadosViagem5[[#This Row],[Dias em manutenção ]]&lt;5,"Dentro do Prazo","Fora do Prazo")</f>
        <v>Fora do Prazo</v>
      </c>
      <c r="AJ937" s="36" t="e">
        <v>#REF!</v>
      </c>
    </row>
    <row r="938" spans="1:36">
      <c r="A938" s="19" t="s">
        <v>1635</v>
      </c>
      <c r="B938" s="20"/>
      <c r="C938" s="19" t="s">
        <v>88</v>
      </c>
      <c r="D938" s="19" t="s">
        <v>52</v>
      </c>
      <c r="E938" s="19" t="s">
        <v>114</v>
      </c>
      <c r="F938" s="19" t="s">
        <v>115</v>
      </c>
      <c r="G938" s="19"/>
      <c r="H938" s="20">
        <v>2022</v>
      </c>
      <c r="I938" s="19" t="s">
        <v>41</v>
      </c>
      <c r="J938" s="19" t="s">
        <v>1602</v>
      </c>
      <c r="K938" s="66" t="s">
        <v>625</v>
      </c>
      <c r="L938" s="22" t="s">
        <v>60</v>
      </c>
      <c r="M938" s="23" t="s">
        <v>470</v>
      </c>
      <c r="N938" s="36" t="s">
        <v>465</v>
      </c>
      <c r="O938" s="36" t="s">
        <v>472</v>
      </c>
      <c r="P938" s="26">
        <f ca="1">IFERROR(VLOOKUP(DadosViagem5[[#This Row],[Placa]],[1]BIP!A:E,5,FALSE),"")</f>
        <v>0</v>
      </c>
      <c r="Q938" s="27">
        <f ca="1">DATEDIF(DadosViagem5[[#This Row],[BIP]],TODAY(),"D")</f>
        <v>45990</v>
      </c>
      <c r="R938" s="28" t="str">
        <f>IFERROR(VLOOKUP(DadosViagem5[[#This Row],[Placa]],[1]DDS!B:C,2,FALSE),"Verificar cadastro")</f>
        <v>Verificar cadastro</v>
      </c>
      <c r="S938" s="36" t="s">
        <v>574</v>
      </c>
      <c r="T938" s="23"/>
      <c r="U938" s="30"/>
      <c r="V938" s="31"/>
      <c r="W938" s="32" t="s">
        <v>1636</v>
      </c>
      <c r="X938" s="33"/>
      <c r="Y938" s="34"/>
      <c r="Z938" s="32"/>
      <c r="AA938" s="20" t="s">
        <v>49</v>
      </c>
      <c r="AB938" s="20" t="s">
        <v>49</v>
      </c>
      <c r="AC938" s="19" t="s">
        <v>49</v>
      </c>
      <c r="AD938" s="19" t="str">
        <f ca="1">IFERROR(DATEDIF(DadosViagem5[[#This Row],[Utimo Bip Reserva]],TODAY(),"D"),"")</f>
        <v/>
      </c>
      <c r="AE938" s="36" t="s">
        <v>49</v>
      </c>
      <c r="AF938" s="25" t="s">
        <v>49</v>
      </c>
      <c r="AG938" s="36"/>
      <c r="AH938" s="25">
        <v>45807</v>
      </c>
      <c r="AI938" s="36" t="str">
        <f>IF(DadosViagem5[[#This Row],[Dias em manutenção ]]&lt;5,"Dentro do Prazo","Fora do Prazo")</f>
        <v>Fora do Prazo</v>
      </c>
      <c r="AJ938" s="36" t="e">
        <v>#REF!</v>
      </c>
    </row>
    <row r="939" spans="1:36">
      <c r="A939" s="19" t="s">
        <v>1637</v>
      </c>
      <c r="B939" s="20">
        <v>534</v>
      </c>
      <c r="C939" s="19" t="s">
        <v>74</v>
      </c>
      <c r="D939" s="19" t="s">
        <v>52</v>
      </c>
      <c r="E939" s="19" t="s">
        <v>75</v>
      </c>
      <c r="F939" s="19" t="s">
        <v>76</v>
      </c>
      <c r="G939" s="19"/>
      <c r="H939" s="20">
        <v>2024</v>
      </c>
      <c r="I939" s="19" t="s">
        <v>41</v>
      </c>
      <c r="J939" s="19" t="s">
        <v>1602</v>
      </c>
      <c r="K939" s="66" t="s">
        <v>625</v>
      </c>
      <c r="L939" s="22" t="s">
        <v>60</v>
      </c>
      <c r="M939" s="23" t="s">
        <v>77</v>
      </c>
      <c r="N939" s="36" t="s">
        <v>465</v>
      </c>
      <c r="O939" s="36" t="s">
        <v>472</v>
      </c>
      <c r="P939" s="26">
        <f ca="1">IFERROR(VLOOKUP(DadosViagem5[[#This Row],[Placa]],[1]BIP!A:E,5,FALSE),"")</f>
        <v>45989</v>
      </c>
      <c r="Q939" s="27">
        <f ca="1">DATEDIF(DadosViagem5[[#This Row],[BIP]],TODAY(),"D")</f>
        <v>1</v>
      </c>
      <c r="R939" s="28" t="str">
        <f>IFERROR(VLOOKUP(DadosViagem5[[#This Row],[Placa]],[1]DDS!B:C,2,FALSE),"Verificar cadastro")</f>
        <v>Operando</v>
      </c>
      <c r="S939" s="29" t="s">
        <v>48</v>
      </c>
      <c r="T939" s="23"/>
      <c r="U939" s="30"/>
      <c r="V939" s="31"/>
      <c r="W939" s="32"/>
      <c r="X939" s="33"/>
      <c r="Y939" s="34"/>
      <c r="Z939" s="32"/>
      <c r="AA939" s="20" t="s">
        <v>49</v>
      </c>
      <c r="AB939" s="20" t="s">
        <v>49</v>
      </c>
      <c r="AC939" s="19" t="s">
        <v>49</v>
      </c>
      <c r="AD939" s="19" t="str">
        <f ca="1">IFERROR(DATEDIF(DadosViagem5[[#This Row],[Utimo Bip Reserva]],TODAY(),"D"),"")</f>
        <v/>
      </c>
      <c r="AE939" s="25" t="s">
        <v>1638</v>
      </c>
      <c r="AF939" s="25" t="s">
        <v>49</v>
      </c>
      <c r="AG939" s="36"/>
      <c r="AH939" s="25">
        <v>0</v>
      </c>
      <c r="AI939" s="36" t="str">
        <f>IF(DadosViagem5[[#This Row],[Dias em manutenção ]]&lt;5,"Dentro do Prazo","Fora do Prazo")</f>
        <v>Dentro do Prazo</v>
      </c>
      <c r="AJ939" s="36" t="e">
        <v>#REF!</v>
      </c>
    </row>
    <row r="940" spans="1:36">
      <c r="A940" s="19" t="s">
        <v>1639</v>
      </c>
      <c r="B940" s="20"/>
      <c r="C940" s="19" t="s">
        <v>71</v>
      </c>
      <c r="D940" s="19" t="s">
        <v>38</v>
      </c>
      <c r="E940" s="19" t="s">
        <v>72</v>
      </c>
      <c r="F940" s="19" t="s">
        <v>115</v>
      </c>
      <c r="G940" s="19"/>
      <c r="H940" s="20">
        <v>2024</v>
      </c>
      <c r="I940" s="19" t="s">
        <v>41</v>
      </c>
      <c r="J940" s="19" t="s">
        <v>1602</v>
      </c>
      <c r="K940" s="137" t="s">
        <v>625</v>
      </c>
      <c r="L940" s="22" t="s">
        <v>60</v>
      </c>
      <c r="M940" s="23" t="s">
        <v>470</v>
      </c>
      <c r="N940" s="36" t="s">
        <v>465</v>
      </c>
      <c r="O940" s="24" t="s">
        <v>472</v>
      </c>
      <c r="P940" s="26">
        <f ca="1">IFERROR(VLOOKUP(DadosViagem5[[#This Row],[Placa]],[1]BIP!A:E,5,FALSE),"")</f>
        <v>45989</v>
      </c>
      <c r="Q940" s="27">
        <f ca="1">DATEDIF(DadosViagem5[[#This Row],[BIP]],TODAY(),"D")</f>
        <v>1</v>
      </c>
      <c r="R940" s="28" t="str">
        <f>IFERROR(VLOOKUP(DadosViagem5[[#This Row],[Placa]],[1]DDS!B:C,2,FALSE),"Verificar cadastro")</f>
        <v>Operando</v>
      </c>
      <c r="S940" s="29" t="s">
        <v>48</v>
      </c>
      <c r="T940" s="23"/>
      <c r="U940" s="30"/>
      <c r="V940" s="31"/>
      <c r="W940" s="32" t="s">
        <v>608</v>
      </c>
      <c r="X940" s="33"/>
      <c r="Y940" s="34"/>
      <c r="Z940" s="32"/>
      <c r="AA940" s="20" t="s">
        <v>49</v>
      </c>
      <c r="AB940" s="20" t="s">
        <v>49</v>
      </c>
      <c r="AC940" s="19" t="s">
        <v>49</v>
      </c>
      <c r="AD940" s="19" t="str">
        <f ca="1">IFERROR(DATEDIF(DadosViagem5[[#This Row],[Utimo Bip Reserva]],TODAY(),"D"),"")</f>
        <v/>
      </c>
      <c r="AE940" s="25" t="s">
        <v>49</v>
      </c>
      <c r="AF940" s="25" t="s">
        <v>49</v>
      </c>
      <c r="AG940" s="36"/>
      <c r="AH940" s="25">
        <v>45807</v>
      </c>
      <c r="AI940" s="36" t="str">
        <f>IF(DadosViagem5[[#This Row],[Dias em manutenção ]]&lt;5,"Dentro do Prazo","Fora do Prazo")</f>
        <v>Fora do Prazo</v>
      </c>
      <c r="AJ940" s="36" t="e">
        <v>#REF!</v>
      </c>
    </row>
    <row r="941" spans="1:36">
      <c r="A941" s="19" t="s">
        <v>1640</v>
      </c>
      <c r="B941" s="20"/>
      <c r="C941" s="19" t="s">
        <v>71</v>
      </c>
      <c r="D941" s="19" t="s">
        <v>38</v>
      </c>
      <c r="E941" s="19" t="s">
        <v>72</v>
      </c>
      <c r="F941" s="19" t="s">
        <v>115</v>
      </c>
      <c r="G941" s="19"/>
      <c r="H941" s="20">
        <v>2024</v>
      </c>
      <c r="I941" s="19" t="s">
        <v>41</v>
      </c>
      <c r="J941" s="19" t="s">
        <v>1604</v>
      </c>
      <c r="K941" s="66" t="s">
        <v>625</v>
      </c>
      <c r="L941" s="22" t="s">
        <v>60</v>
      </c>
      <c r="M941" s="23" t="s">
        <v>470</v>
      </c>
      <c r="N941" s="36" t="s">
        <v>465</v>
      </c>
      <c r="O941" s="36" t="s">
        <v>472</v>
      </c>
      <c r="P941" s="26">
        <f ca="1">IFERROR(VLOOKUP(DadosViagem5[[#This Row],[Placa]],[1]BIP!A:E,5,FALSE),"")</f>
        <v>45989</v>
      </c>
      <c r="Q941" s="27">
        <f ca="1">DATEDIF(DadosViagem5[[#This Row],[BIP]],TODAY(),"D")</f>
        <v>1</v>
      </c>
      <c r="R941" s="28" t="str">
        <f>IFERROR(VLOOKUP(DadosViagem5[[#This Row],[Placa]],[1]DDS!B:C,2,FALSE),"Verificar cadastro")</f>
        <v>Operando</v>
      </c>
      <c r="S941" s="29" t="s">
        <v>48</v>
      </c>
      <c r="T941" s="23"/>
      <c r="U941" s="30"/>
      <c r="V941" s="31"/>
      <c r="W941" s="32"/>
      <c r="X941" s="33"/>
      <c r="Y941" s="34"/>
      <c r="Z941" s="32"/>
      <c r="AA941" s="20" t="s">
        <v>49</v>
      </c>
      <c r="AB941" s="20" t="s">
        <v>49</v>
      </c>
      <c r="AC941" s="19" t="s">
        <v>49</v>
      </c>
      <c r="AD941" s="19" t="str">
        <f ca="1">IFERROR(DATEDIF(DadosViagem5[[#This Row],[Utimo Bip Reserva]],TODAY(),"D"),"")</f>
        <v/>
      </c>
      <c r="AE941" s="25" t="s">
        <v>49</v>
      </c>
      <c r="AF941" s="25" t="s">
        <v>49</v>
      </c>
      <c r="AG941" s="30" t="s">
        <v>153</v>
      </c>
      <c r="AH941" s="25">
        <v>21</v>
      </c>
      <c r="AI941" s="36" t="str">
        <f>IF(DadosViagem5[[#This Row],[Dias em manutenção ]]&lt;5,"Dentro do Prazo","Fora do Prazo")</f>
        <v>Fora do Prazo</v>
      </c>
      <c r="AJ941" s="36" t="e">
        <v>#REF!</v>
      </c>
    </row>
    <row r="942" spans="1:36">
      <c r="A942" s="19" t="s">
        <v>1641</v>
      </c>
      <c r="B942" s="20"/>
      <c r="C942" s="19" t="s">
        <v>71</v>
      </c>
      <c r="D942" s="19" t="s">
        <v>38</v>
      </c>
      <c r="E942" s="19" t="s">
        <v>265</v>
      </c>
      <c r="F942" s="19" t="s">
        <v>115</v>
      </c>
      <c r="G942" s="19"/>
      <c r="H942" s="20">
        <v>2023</v>
      </c>
      <c r="I942" s="19" t="s">
        <v>41</v>
      </c>
      <c r="J942" s="19" t="s">
        <v>1602</v>
      </c>
      <c r="K942" s="66" t="s">
        <v>625</v>
      </c>
      <c r="L942" s="22" t="s">
        <v>60</v>
      </c>
      <c r="M942" s="23" t="s">
        <v>470</v>
      </c>
      <c r="N942" s="36" t="s">
        <v>465</v>
      </c>
      <c r="O942" s="36" t="s">
        <v>472</v>
      </c>
      <c r="P942" s="26">
        <f ca="1">IFERROR(VLOOKUP(DadosViagem5[[#This Row],[Placa]],[1]BIP!A:E,5,FALSE),"")</f>
        <v>45989</v>
      </c>
      <c r="Q942" s="27">
        <f ca="1">DATEDIF(DadosViagem5[[#This Row],[BIP]],TODAY(),"D")</f>
        <v>1</v>
      </c>
      <c r="R942" s="28"/>
      <c r="S942" s="29" t="s">
        <v>48</v>
      </c>
      <c r="T942" s="23"/>
      <c r="U942" s="30"/>
      <c r="V942" s="31"/>
      <c r="W942" s="32" t="s">
        <v>1642</v>
      </c>
      <c r="X942" s="33"/>
      <c r="Y942" s="34"/>
      <c r="Z942" s="32"/>
      <c r="AA942" s="20" t="s">
        <v>49</v>
      </c>
      <c r="AB942" s="20" t="s">
        <v>49</v>
      </c>
      <c r="AC942" s="19" t="s">
        <v>49</v>
      </c>
      <c r="AD942" s="19" t="str">
        <f ca="1">IFERROR(DATEDIF(DadosViagem5[[#This Row],[Utimo Bip Reserva]],TODAY(),"D"),"")</f>
        <v/>
      </c>
      <c r="AE942" s="25" t="s">
        <v>49</v>
      </c>
      <c r="AF942" s="25" t="s">
        <v>49</v>
      </c>
      <c r="AG942" s="36"/>
      <c r="AH942" s="25">
        <v>45807</v>
      </c>
      <c r="AI942" s="36" t="str">
        <f>IF(DadosViagem5[[#This Row],[Dias em manutenção ]]&lt;5,"Dentro do Prazo","Fora do Prazo")</f>
        <v>Fora do Prazo</v>
      </c>
      <c r="AJ942" s="36" t="e">
        <v>#REF!</v>
      </c>
    </row>
    <row r="943" spans="1:36">
      <c r="A943" s="19" t="s">
        <v>1643</v>
      </c>
      <c r="B943" s="20">
        <v>533</v>
      </c>
      <c r="C943" s="19" t="s">
        <v>74</v>
      </c>
      <c r="D943" s="19" t="s">
        <v>52</v>
      </c>
      <c r="E943" s="19" t="s">
        <v>75</v>
      </c>
      <c r="F943" s="19" t="s">
        <v>115</v>
      </c>
      <c r="G943" s="19"/>
      <c r="H943" s="20">
        <v>2023</v>
      </c>
      <c r="I943" s="19" t="s">
        <v>41</v>
      </c>
      <c r="J943" s="19" t="s">
        <v>1602</v>
      </c>
      <c r="K943" s="66" t="s">
        <v>625</v>
      </c>
      <c r="L943" s="22" t="s">
        <v>60</v>
      </c>
      <c r="M943" s="23" t="s">
        <v>77</v>
      </c>
      <c r="N943" s="36" t="s">
        <v>465</v>
      </c>
      <c r="O943" s="36" t="s">
        <v>472</v>
      </c>
      <c r="P943" s="26">
        <f ca="1">IFERROR(VLOOKUP(DadosViagem5[[#This Row],[Placa]],[1]BIP!A:E,5,FALSE),"")</f>
        <v>45989</v>
      </c>
      <c r="Q943" s="27">
        <f ca="1">DATEDIF(DadosViagem5[[#This Row],[BIP]],TODAY(),"D")</f>
        <v>1</v>
      </c>
      <c r="R943" s="28" t="str">
        <f>IFERROR(VLOOKUP(DadosViagem5[[#This Row],[Placa]],[1]DDS!B:C,2,FALSE),"Verificar cadastro")</f>
        <v>Operando</v>
      </c>
      <c r="S943" s="29" t="s">
        <v>48</v>
      </c>
      <c r="T943" s="23"/>
      <c r="U943" s="30"/>
      <c r="V943" s="31"/>
      <c r="W943" s="32" t="s">
        <v>155</v>
      </c>
      <c r="X943" s="33"/>
      <c r="Y943" s="34"/>
      <c r="Z943" s="42"/>
      <c r="AA943" s="20" t="s">
        <v>49</v>
      </c>
      <c r="AB943" s="20" t="s">
        <v>49</v>
      </c>
      <c r="AC943" s="19" t="s">
        <v>49</v>
      </c>
      <c r="AD943" s="19" t="str">
        <f ca="1">IFERROR(DATEDIF(DadosViagem5[[#This Row],[Utimo Bip Reserva]],TODAY(),"D"),"")</f>
        <v/>
      </c>
      <c r="AE943" s="25" t="s">
        <v>49</v>
      </c>
      <c r="AF943" s="25" t="s">
        <v>49</v>
      </c>
      <c r="AG943" s="36"/>
      <c r="AH943" s="25">
        <v>45807</v>
      </c>
      <c r="AI943" s="36" t="str">
        <f>IF(DadosViagem5[[#This Row],[Dias em manutenção ]]&lt;5,"Dentro do Prazo","Fora do Prazo")</f>
        <v>Fora do Prazo</v>
      </c>
      <c r="AJ943" s="36" t="e">
        <v>#REF!</v>
      </c>
    </row>
    <row r="944" spans="1:36">
      <c r="A944" s="19" t="s">
        <v>1644</v>
      </c>
      <c r="B944" s="20">
        <v>479</v>
      </c>
      <c r="C944" s="19" t="s">
        <v>74</v>
      </c>
      <c r="D944" s="19" t="s">
        <v>52</v>
      </c>
      <c r="E944" s="19" t="s">
        <v>75</v>
      </c>
      <c r="F944" s="19" t="s">
        <v>76</v>
      </c>
      <c r="G944" s="19"/>
      <c r="H944" s="20">
        <v>2024</v>
      </c>
      <c r="I944" s="19" t="s">
        <v>41</v>
      </c>
      <c r="J944" s="19" t="s">
        <v>1602</v>
      </c>
      <c r="K944" s="66" t="s">
        <v>625</v>
      </c>
      <c r="L944" s="22" t="s">
        <v>60</v>
      </c>
      <c r="M944" s="23" t="s">
        <v>77</v>
      </c>
      <c r="N944" s="36" t="s">
        <v>465</v>
      </c>
      <c r="O944" s="36" t="s">
        <v>472</v>
      </c>
      <c r="P944" s="26">
        <f ca="1">IFERROR(VLOOKUP(DadosViagem5[[#This Row],[Placa]],[1]BIP!A:E,5,FALSE),"")</f>
        <v>45989</v>
      </c>
      <c r="Q944" s="27">
        <f ca="1">DATEDIF(DadosViagem5[[#This Row],[BIP]],TODAY(),"D")</f>
        <v>1</v>
      </c>
      <c r="R944" s="28" t="str">
        <f>IFERROR(VLOOKUP(DadosViagem5[[#This Row],[Placa]],[1]DDS!B:C,2,FALSE),"Verificar cadastro")</f>
        <v>Operando</v>
      </c>
      <c r="S944" s="29" t="s">
        <v>48</v>
      </c>
      <c r="T944" s="23"/>
      <c r="U944" s="30"/>
      <c r="V944" s="31"/>
      <c r="W944" s="32" t="s">
        <v>608</v>
      </c>
      <c r="X944" s="33"/>
      <c r="Y944" s="34"/>
      <c r="Z944" s="32"/>
      <c r="AA944" s="20" t="s">
        <v>49</v>
      </c>
      <c r="AB944" s="20" t="s">
        <v>49</v>
      </c>
      <c r="AC944" s="19" t="s">
        <v>49</v>
      </c>
      <c r="AD944" s="19" t="str">
        <f ca="1">IFERROR(DATEDIF(DadosViagem5[[#This Row],[Utimo Bip Reserva]],TODAY(),"D"),"")</f>
        <v/>
      </c>
      <c r="AE944" s="25" t="s">
        <v>49</v>
      </c>
      <c r="AF944" s="25" t="s">
        <v>49</v>
      </c>
      <c r="AG944" s="36"/>
      <c r="AH944" s="25">
        <v>45807</v>
      </c>
      <c r="AI944" s="36" t="str">
        <f>IF(DadosViagem5[[#This Row],[Dias em manutenção ]]&lt;5,"Dentro do Prazo","Fora do Prazo")</f>
        <v>Fora do Prazo</v>
      </c>
      <c r="AJ944" s="36" t="e">
        <v>#REF!</v>
      </c>
    </row>
    <row r="945" spans="1:36">
      <c r="A945" s="19" t="s">
        <v>1645</v>
      </c>
      <c r="B945" s="20">
        <v>582</v>
      </c>
      <c r="C945" s="19" t="s">
        <v>74</v>
      </c>
      <c r="D945" s="19" t="s">
        <v>52</v>
      </c>
      <c r="E945" s="19" t="s">
        <v>75</v>
      </c>
      <c r="F945" s="19" t="s">
        <v>115</v>
      </c>
      <c r="G945" s="19"/>
      <c r="H945" s="20">
        <v>2024</v>
      </c>
      <c r="I945" s="19" t="s">
        <v>41</v>
      </c>
      <c r="J945" s="19" t="s">
        <v>1602</v>
      </c>
      <c r="K945" s="66" t="s">
        <v>625</v>
      </c>
      <c r="L945" s="22" t="s">
        <v>60</v>
      </c>
      <c r="M945" s="23" t="s">
        <v>77</v>
      </c>
      <c r="N945" s="36" t="s">
        <v>465</v>
      </c>
      <c r="O945" s="36" t="s">
        <v>472</v>
      </c>
      <c r="P945" s="26">
        <f ca="1">IFERROR(VLOOKUP(DadosViagem5[[#This Row],[Placa]],[1]BIP!A:E,5,FALSE),"")</f>
        <v>45989</v>
      </c>
      <c r="Q945" s="27">
        <f ca="1">DATEDIF(DadosViagem5[[#This Row],[BIP]],TODAY(),"D")</f>
        <v>1</v>
      </c>
      <c r="R945" s="28" t="str">
        <f>IFERROR(VLOOKUP(DadosViagem5[[#This Row],[Placa]],[1]DDS!B:C,2,FALSE),"Verificar cadastro")</f>
        <v>Operando</v>
      </c>
      <c r="S945" s="29" t="s">
        <v>173</v>
      </c>
      <c r="T945" s="23"/>
      <c r="U945" s="30"/>
      <c r="V945" s="31"/>
      <c r="W945" s="32"/>
      <c r="X945" s="33"/>
      <c r="Y945" s="34"/>
      <c r="Z945" s="32"/>
      <c r="AA945" s="20" t="s">
        <v>49</v>
      </c>
      <c r="AB945" s="20" t="s">
        <v>49</v>
      </c>
      <c r="AC945" s="19" t="s">
        <v>49</v>
      </c>
      <c r="AD945" s="19" t="str">
        <f ca="1">IFERROR(DATEDIF(DadosViagem5[[#This Row],[Utimo Bip Reserva]],TODAY(),"D"),"")</f>
        <v/>
      </c>
      <c r="AE945" s="25" t="s">
        <v>49</v>
      </c>
      <c r="AF945" s="25" t="s">
        <v>49</v>
      </c>
      <c r="AG945" s="36"/>
      <c r="AH945" s="25">
        <v>45807</v>
      </c>
      <c r="AI945" s="36" t="str">
        <f>IF(DadosViagem5[[#This Row],[Dias em manutenção ]]&lt;5,"Dentro do Prazo","Fora do Prazo")</f>
        <v>Fora do Prazo</v>
      </c>
      <c r="AJ945" s="36" t="e">
        <v>#REF!</v>
      </c>
    </row>
    <row r="946" spans="1:36">
      <c r="A946" s="19" t="s">
        <v>1646</v>
      </c>
      <c r="B946" s="20"/>
      <c r="C946" s="19" t="s">
        <v>74</v>
      </c>
      <c r="D946" s="19" t="s">
        <v>52</v>
      </c>
      <c r="E946" s="19" t="s">
        <v>75</v>
      </c>
      <c r="F946" s="19" t="s">
        <v>115</v>
      </c>
      <c r="G946" s="19"/>
      <c r="H946" s="20">
        <v>2024</v>
      </c>
      <c r="I946" s="19" t="s">
        <v>41</v>
      </c>
      <c r="J946" s="19" t="s">
        <v>1602</v>
      </c>
      <c r="K946" s="66" t="s">
        <v>625</v>
      </c>
      <c r="L946" s="22" t="s">
        <v>60</v>
      </c>
      <c r="M946" s="23" t="s">
        <v>77</v>
      </c>
      <c r="N946" s="36" t="s">
        <v>465</v>
      </c>
      <c r="O946" s="36" t="s">
        <v>472</v>
      </c>
      <c r="P946" s="26">
        <f ca="1">IFERROR(VLOOKUP(DadosViagem5[[#This Row],[Placa]],[1]BIP!A:E,5,FALSE),"")</f>
        <v>45967</v>
      </c>
      <c r="Q946" s="27">
        <f ca="1">DATEDIF(DadosViagem5[[#This Row],[BIP]],TODAY(),"D")</f>
        <v>23</v>
      </c>
      <c r="R946" s="28" t="str">
        <f>IFERROR(VLOOKUP(DadosViagem5[[#This Row],[Placa]],[1]DDS!B:C,2,FALSE),"Verificar cadastro")</f>
        <v>Manutenção</v>
      </c>
      <c r="S946" s="29" t="s">
        <v>48</v>
      </c>
      <c r="T946" s="23"/>
      <c r="U946" s="30"/>
      <c r="V946" s="31"/>
      <c r="W946" s="32"/>
      <c r="X946" s="33"/>
      <c r="Y946" s="34"/>
      <c r="Z946" s="32"/>
      <c r="AA946" s="20" t="s">
        <v>49</v>
      </c>
      <c r="AB946" s="20" t="s">
        <v>49</v>
      </c>
      <c r="AC946" s="19" t="s">
        <v>49</v>
      </c>
      <c r="AD946" s="19" t="str">
        <f ca="1">IFERROR(DATEDIF(DadosViagem5[[#This Row],[Utimo Bip Reserva]],TODAY(),"D"),"")</f>
        <v/>
      </c>
      <c r="AE946" s="36"/>
      <c r="AF946" s="25"/>
      <c r="AG946" s="36"/>
      <c r="AH946" s="25">
        <v>45807</v>
      </c>
      <c r="AI946" s="36" t="str">
        <f>IF(DadosViagem5[[#This Row],[Dias em manutenção ]]&lt;5,"Dentro do Prazo","Fora do Prazo")</f>
        <v>Fora do Prazo</v>
      </c>
      <c r="AJ946" s="36" t="e">
        <v>#REF!</v>
      </c>
    </row>
    <row r="947" spans="1:36">
      <c r="A947" s="19" t="s">
        <v>1647</v>
      </c>
      <c r="B947" s="20"/>
      <c r="C947" s="19" t="s">
        <v>88</v>
      </c>
      <c r="D947" s="19" t="s">
        <v>52</v>
      </c>
      <c r="E947" s="19" t="s">
        <v>114</v>
      </c>
      <c r="F947" s="19" t="s">
        <v>115</v>
      </c>
      <c r="G947" s="19"/>
      <c r="H947" s="20">
        <v>2021</v>
      </c>
      <c r="I947" s="19" t="s">
        <v>41</v>
      </c>
      <c r="J947" s="19" t="s">
        <v>1602</v>
      </c>
      <c r="K947" s="66" t="s">
        <v>625</v>
      </c>
      <c r="L947" s="22" t="s">
        <v>60</v>
      </c>
      <c r="M947" s="23" t="s">
        <v>470</v>
      </c>
      <c r="N947" s="36" t="s">
        <v>465</v>
      </c>
      <c r="O947" s="36" t="s">
        <v>472</v>
      </c>
      <c r="P947" s="26">
        <f ca="1">IFERROR(VLOOKUP(DadosViagem5[[#This Row],[Placa]],[1]BIP!A:E,5,FALSE),"")</f>
        <v>45982</v>
      </c>
      <c r="Q947" s="27">
        <f ca="1">DATEDIF(DadosViagem5[[#This Row],[BIP]],TODAY(),"D")</f>
        <v>8</v>
      </c>
      <c r="R947" s="28" t="str">
        <f>IFERROR(VLOOKUP(DadosViagem5[[#This Row],[Placa]],[1]DDS!B:C,2,FALSE),"Verificar cadastro")</f>
        <v>Manutenção</v>
      </c>
      <c r="S947" s="29" t="s">
        <v>48</v>
      </c>
      <c r="T947" s="23"/>
      <c r="U947" s="30"/>
      <c r="V947" s="31"/>
      <c r="W947" s="32"/>
      <c r="X947" s="33"/>
      <c r="Y947" s="34"/>
      <c r="Z947" s="32"/>
      <c r="AA947" s="20" t="s">
        <v>49</v>
      </c>
      <c r="AB947" s="20" t="s">
        <v>49</v>
      </c>
      <c r="AC947" s="19" t="s">
        <v>49</v>
      </c>
      <c r="AD947" s="19" t="str">
        <f ca="1">IFERROR(DATEDIF(DadosViagem5[[#This Row],[Utimo Bip Reserva]],TODAY(),"D"),"")</f>
        <v/>
      </c>
      <c r="AE947" s="36" t="s">
        <v>1648</v>
      </c>
      <c r="AF947" s="25">
        <v>45705</v>
      </c>
      <c r="AG947" s="36" t="s">
        <v>481</v>
      </c>
      <c r="AH947" s="25">
        <v>45807</v>
      </c>
      <c r="AI947" s="36" t="str">
        <f>IF(DadosViagem5[[#This Row],[Dias em manutenção ]]&lt;5,"Dentro do Prazo","Fora do Prazo")</f>
        <v>Fora do Prazo</v>
      </c>
      <c r="AJ947" s="36" t="e">
        <v>#REF!</v>
      </c>
    </row>
    <row r="948" spans="1:36">
      <c r="A948" s="19" t="s">
        <v>1649</v>
      </c>
      <c r="B948" s="20"/>
      <c r="C948" s="19" t="s">
        <v>225</v>
      </c>
      <c r="D948" s="19" t="s">
        <v>38</v>
      </c>
      <c r="E948" s="19" t="s">
        <v>39</v>
      </c>
      <c r="F948" s="19" t="s">
        <v>1621</v>
      </c>
      <c r="G948" s="19"/>
      <c r="H948" s="20">
        <v>2024</v>
      </c>
      <c r="I948" s="19" t="s">
        <v>41</v>
      </c>
      <c r="J948" s="19" t="s">
        <v>1602</v>
      </c>
      <c r="K948" s="66" t="s">
        <v>625</v>
      </c>
      <c r="L948" s="22" t="s">
        <v>60</v>
      </c>
      <c r="M948" s="23" t="s">
        <v>470</v>
      </c>
      <c r="N948" s="36" t="s">
        <v>465</v>
      </c>
      <c r="O948" s="24" t="s">
        <v>472</v>
      </c>
      <c r="P948" s="26">
        <f ca="1">IFERROR(VLOOKUP(DadosViagem5[[#This Row],[Placa]],[1]BIP!A:E,5,FALSE),"")</f>
        <v>45989</v>
      </c>
      <c r="Q948" s="27">
        <f ca="1">DATEDIF(DadosViagem5[[#This Row],[BIP]],TODAY(),"D")</f>
        <v>1</v>
      </c>
      <c r="R948" s="28" t="str">
        <f>IFERROR(VLOOKUP(DadosViagem5[[#This Row],[Placa]],[1]DDS!B:C,2,FALSE),"Verificar cadastro")</f>
        <v>Operando</v>
      </c>
      <c r="S948" s="29" t="s">
        <v>48</v>
      </c>
      <c r="T948" s="23"/>
      <c r="U948" s="30"/>
      <c r="V948" s="31"/>
      <c r="W948" s="32" t="s">
        <v>1650</v>
      </c>
      <c r="X948" s="33"/>
      <c r="Y948" s="34"/>
      <c r="Z948" s="42"/>
      <c r="AA948" s="20" t="s">
        <v>49</v>
      </c>
      <c r="AB948" s="20" t="s">
        <v>49</v>
      </c>
      <c r="AC948" s="19" t="s">
        <v>49</v>
      </c>
      <c r="AD948" s="19" t="str">
        <f ca="1">IFERROR(DATEDIF(DadosViagem5[[#This Row],[Utimo Bip Reserva]],TODAY(),"D"),"")</f>
        <v/>
      </c>
      <c r="AE948" s="25" t="s">
        <v>49</v>
      </c>
      <c r="AF948" s="25" t="s">
        <v>49</v>
      </c>
      <c r="AG948" s="36"/>
      <c r="AH948" s="25">
        <v>45807</v>
      </c>
      <c r="AI948" s="36" t="str">
        <f>IF(DadosViagem5[[#This Row],[Dias em manutenção ]]&lt;5,"Dentro do Prazo","Fora do Prazo")</f>
        <v>Fora do Prazo</v>
      </c>
      <c r="AJ948" s="36" t="e">
        <v>#REF!</v>
      </c>
    </row>
    <row r="949" spans="1:36">
      <c r="A949" s="19" t="s">
        <v>1651</v>
      </c>
      <c r="B949" s="20"/>
      <c r="C949" s="19" t="s">
        <v>97</v>
      </c>
      <c r="D949" s="19" t="s">
        <v>98</v>
      </c>
      <c r="E949" s="19" t="s">
        <v>53</v>
      </c>
      <c r="F949" s="19" t="s">
        <v>40</v>
      </c>
      <c r="G949" s="19"/>
      <c r="H949" s="20">
        <v>2023</v>
      </c>
      <c r="I949" s="19" t="s">
        <v>41</v>
      </c>
      <c r="J949" s="19" t="s">
        <v>1602</v>
      </c>
      <c r="K949" s="66" t="s">
        <v>625</v>
      </c>
      <c r="L949" s="22" t="s">
        <v>60</v>
      </c>
      <c r="M949" s="23" t="s">
        <v>470</v>
      </c>
      <c r="N949" s="36" t="s">
        <v>465</v>
      </c>
      <c r="O949" s="36" t="s">
        <v>472</v>
      </c>
      <c r="P949" s="26">
        <f ca="1">IFERROR(VLOOKUP(DadosViagem5[[#This Row],[Placa]],[1]BIP!A:E,5,FALSE),"")</f>
        <v>45983</v>
      </c>
      <c r="Q949" s="27">
        <f ca="1">DATEDIF(DadosViagem5[[#This Row],[BIP]],TODAY(),"D")</f>
        <v>7</v>
      </c>
      <c r="R949" s="28" t="str">
        <f>IFERROR(VLOOKUP(DadosViagem5[[#This Row],[Placa]],[1]DDS!B:C,2,FALSE),"Verificar cadastro")</f>
        <v>Manutenção</v>
      </c>
      <c r="S949" s="29" t="s">
        <v>173</v>
      </c>
      <c r="T949" s="23"/>
      <c r="U949" s="30"/>
      <c r="V949" s="31"/>
      <c r="W949" s="32"/>
      <c r="X949" s="33"/>
      <c r="Y949" s="34"/>
      <c r="Z949" s="32"/>
      <c r="AA949" s="20" t="s">
        <v>49</v>
      </c>
      <c r="AB949" s="20" t="s">
        <v>49</v>
      </c>
      <c r="AC949" s="19" t="s">
        <v>49</v>
      </c>
      <c r="AD949" s="19" t="str">
        <f ca="1">IFERROR(DATEDIF(DadosViagem5[[#This Row],[Utimo Bip Reserva]],TODAY(),"D"),"")</f>
        <v/>
      </c>
      <c r="AE949" s="25" t="s">
        <v>49</v>
      </c>
      <c r="AF949" s="25" t="s">
        <v>49</v>
      </c>
      <c r="AG949" s="36" t="s">
        <v>540</v>
      </c>
      <c r="AH949" s="25">
        <v>45807</v>
      </c>
      <c r="AI949" s="36" t="str">
        <f>IF(DadosViagem5[[#This Row],[Dias em manutenção ]]&lt;5,"Dentro do Prazo","Fora do Prazo")</f>
        <v>Fora do Prazo</v>
      </c>
      <c r="AJ949" s="36" t="e">
        <v>#REF!</v>
      </c>
    </row>
    <row r="950" spans="1:36">
      <c r="A950" s="19" t="s">
        <v>1652</v>
      </c>
      <c r="B950" s="20"/>
      <c r="C950" s="19" t="s">
        <v>71</v>
      </c>
      <c r="D950" s="19" t="s">
        <v>38</v>
      </c>
      <c r="E950" s="19" t="s">
        <v>265</v>
      </c>
      <c r="F950" s="19" t="s">
        <v>115</v>
      </c>
      <c r="G950" s="19"/>
      <c r="H950" s="20">
        <v>2023</v>
      </c>
      <c r="I950" s="19" t="s">
        <v>41</v>
      </c>
      <c r="J950" s="19" t="s">
        <v>1602</v>
      </c>
      <c r="K950" s="66" t="s">
        <v>625</v>
      </c>
      <c r="L950" s="22" t="s">
        <v>60</v>
      </c>
      <c r="M950" s="23" t="s">
        <v>470</v>
      </c>
      <c r="N950" s="36" t="s">
        <v>465</v>
      </c>
      <c r="O950" s="36" t="s">
        <v>472</v>
      </c>
      <c r="P950" s="26">
        <f ca="1">IFERROR(VLOOKUP(DadosViagem5[[#This Row],[Placa]],[1]BIP!A:E,5,FALSE),"")</f>
        <v>45960</v>
      </c>
      <c r="Q950" s="27">
        <f ca="1">DATEDIF(DadosViagem5[[#This Row],[BIP]],TODAY(),"D")</f>
        <v>30</v>
      </c>
      <c r="R950" s="28" t="str">
        <f>IFERROR(VLOOKUP(DadosViagem5[[#This Row],[Placa]],[1]DDS!B:C,2,FALSE),"Verificar cadastro")</f>
        <v>Manutenção</v>
      </c>
      <c r="S950" s="29" t="s">
        <v>173</v>
      </c>
      <c r="T950" s="23" t="s">
        <v>865</v>
      </c>
      <c r="U950" s="30"/>
      <c r="V950" s="31"/>
      <c r="W950" s="32"/>
      <c r="X950" s="33"/>
      <c r="Y950" s="34"/>
      <c r="Z950" s="32"/>
      <c r="AA950" s="20" t="s">
        <v>49</v>
      </c>
      <c r="AB950" s="20" t="s">
        <v>49</v>
      </c>
      <c r="AC950" s="19" t="s">
        <v>49</v>
      </c>
      <c r="AD950" s="19" t="str">
        <f ca="1">IFERROR(DATEDIF(DadosViagem5[[#This Row],[Utimo Bip Reserva]],TODAY(),"D"),"")</f>
        <v/>
      </c>
      <c r="AE950" s="25" t="s">
        <v>49</v>
      </c>
      <c r="AF950" s="25" t="s">
        <v>49</v>
      </c>
      <c r="AG950" s="36"/>
      <c r="AH950" s="25">
        <v>45807</v>
      </c>
      <c r="AI950" s="36" t="str">
        <f>IF(DadosViagem5[[#This Row],[Dias em manutenção ]]&lt;5,"Dentro do Prazo","Fora do Prazo")</f>
        <v>Fora do Prazo</v>
      </c>
      <c r="AJ950" s="36" t="e">
        <v>#REF!</v>
      </c>
    </row>
    <row r="951" spans="1:36">
      <c r="A951" s="19" t="s">
        <v>1653</v>
      </c>
      <c r="B951" s="20"/>
      <c r="C951" s="19" t="s">
        <v>71</v>
      </c>
      <c r="D951" s="19" t="s">
        <v>38</v>
      </c>
      <c r="E951" s="19" t="s">
        <v>265</v>
      </c>
      <c r="F951" s="19" t="s">
        <v>115</v>
      </c>
      <c r="G951" s="19"/>
      <c r="H951" s="138">
        <v>2023</v>
      </c>
      <c r="I951" s="19" t="s">
        <v>41</v>
      </c>
      <c r="J951" s="37" t="s">
        <v>1602</v>
      </c>
      <c r="K951" s="137" t="s">
        <v>625</v>
      </c>
      <c r="L951" s="39" t="s">
        <v>60</v>
      </c>
      <c r="M951" s="23" t="s">
        <v>470</v>
      </c>
      <c r="N951" s="36" t="s">
        <v>465</v>
      </c>
      <c r="O951" s="24" t="s">
        <v>472</v>
      </c>
      <c r="P951" s="26">
        <f ca="1">IFERROR(VLOOKUP(DadosViagem5[[#This Row],[Placa]],[1]BIP!A:E,5,FALSE),"")</f>
        <v>45989</v>
      </c>
      <c r="Q951" s="27">
        <f ca="1">DATEDIF(DadosViagem5[[#This Row],[BIP]],TODAY(),"D")</f>
        <v>1</v>
      </c>
      <c r="R951" s="28"/>
      <c r="S951" s="29" t="s">
        <v>48</v>
      </c>
      <c r="T951" s="23"/>
      <c r="U951" s="30"/>
      <c r="V951" s="31"/>
      <c r="W951" s="32" t="s">
        <v>1654</v>
      </c>
      <c r="X951" s="139"/>
      <c r="Y951" s="96"/>
      <c r="Z951" s="32"/>
      <c r="AA951" s="20" t="s">
        <v>49</v>
      </c>
      <c r="AB951" s="20" t="s">
        <v>49</v>
      </c>
      <c r="AC951" s="20" t="s">
        <v>49</v>
      </c>
      <c r="AD951" s="20" t="s">
        <v>49</v>
      </c>
      <c r="AE951" s="25" t="s">
        <v>49</v>
      </c>
      <c r="AF951" s="25" t="s">
        <v>49</v>
      </c>
      <c r="AG951" s="36"/>
      <c r="AH951" s="25">
        <v>45807</v>
      </c>
      <c r="AI951" s="36" t="str">
        <f>IF(DadosViagem5[[#This Row],[Dias em manutenção ]]&lt;5,"Dentro do Prazo","Fora do Prazo")</f>
        <v>Fora do Prazo</v>
      </c>
      <c r="AJ951" s="36" t="e">
        <v>#REF!</v>
      </c>
    </row>
    <row r="952" spans="1:36">
      <c r="A952" s="19" t="s">
        <v>1655</v>
      </c>
      <c r="B952" s="20"/>
      <c r="C952" s="19" t="s">
        <v>71</v>
      </c>
      <c r="D952" s="19" t="s">
        <v>38</v>
      </c>
      <c r="E952" s="19" t="s">
        <v>72</v>
      </c>
      <c r="F952" s="19" t="s">
        <v>115</v>
      </c>
      <c r="G952" s="19"/>
      <c r="H952" s="20">
        <v>2024</v>
      </c>
      <c r="I952" s="19" t="s">
        <v>41</v>
      </c>
      <c r="J952" s="19" t="s">
        <v>1602</v>
      </c>
      <c r="K952" s="66" t="s">
        <v>625</v>
      </c>
      <c r="L952" s="22" t="s">
        <v>60</v>
      </c>
      <c r="M952" s="23" t="s">
        <v>45</v>
      </c>
      <c r="N952" s="36" t="s">
        <v>465</v>
      </c>
      <c r="O952" s="36" t="s">
        <v>472</v>
      </c>
      <c r="P952" s="26">
        <f ca="1">IFERROR(VLOOKUP(DadosViagem5[[#This Row],[Placa]],[1]BIP!A:E,5,FALSE),"")</f>
        <v>45989</v>
      </c>
      <c r="Q952" s="27">
        <f ca="1">DATEDIF(DadosViagem5[[#This Row],[BIP]],TODAY(),"D")</f>
        <v>1</v>
      </c>
      <c r="R952" s="28" t="str">
        <f>IFERROR(VLOOKUP(DadosViagem5[[#This Row],[Placa]],[1]DDS!B:C,2,FALSE),"Verificar cadastro")</f>
        <v>Operando</v>
      </c>
      <c r="S952" s="29" t="s">
        <v>48</v>
      </c>
      <c r="T952" s="23"/>
      <c r="U952" s="30"/>
      <c r="V952" s="31"/>
      <c r="W952" s="32"/>
      <c r="X952" s="34"/>
      <c r="Y952" s="106"/>
      <c r="Z952" s="32"/>
      <c r="AA952" s="20" t="s">
        <v>49</v>
      </c>
      <c r="AB952" s="20" t="s">
        <v>49</v>
      </c>
      <c r="AC952" s="19" t="s">
        <v>49</v>
      </c>
      <c r="AD952" s="19" t="str">
        <f ca="1">IFERROR(DATEDIF(DadosViagem5[[#This Row],[Utimo Bip Reserva]],TODAY(),"D"),"")</f>
        <v/>
      </c>
      <c r="AE952" s="25" t="s">
        <v>49</v>
      </c>
      <c r="AF952" s="25" t="s">
        <v>49</v>
      </c>
      <c r="AG952" s="36"/>
      <c r="AH952" s="25">
        <v>45807</v>
      </c>
      <c r="AI952" s="36" t="str">
        <f>IF(DadosViagem5[[#This Row],[Dias em manutenção ]]&lt;5,"Dentro do Prazo","Fora do Prazo")</f>
        <v>Fora do Prazo</v>
      </c>
      <c r="AJ952" s="36" t="e">
        <v>#REF!</v>
      </c>
    </row>
    <row r="953" spans="1:36">
      <c r="A953" s="19" t="s">
        <v>1656</v>
      </c>
      <c r="B953" s="20"/>
      <c r="C953" s="19" t="s">
        <v>74</v>
      </c>
      <c r="D953" s="19" t="s">
        <v>52</v>
      </c>
      <c r="E953" s="19" t="s">
        <v>75</v>
      </c>
      <c r="F953" s="19" t="s">
        <v>115</v>
      </c>
      <c r="G953" s="19"/>
      <c r="H953" s="20">
        <v>2024</v>
      </c>
      <c r="I953" s="19" t="s">
        <v>41</v>
      </c>
      <c r="J953" s="19" t="s">
        <v>1602</v>
      </c>
      <c r="K953" s="66" t="s">
        <v>625</v>
      </c>
      <c r="L953" s="22" t="s">
        <v>60</v>
      </c>
      <c r="M953" s="23" t="s">
        <v>77</v>
      </c>
      <c r="N953" s="36" t="s">
        <v>465</v>
      </c>
      <c r="O953" s="36" t="s">
        <v>472</v>
      </c>
      <c r="P953" s="26">
        <f ca="1">IFERROR(VLOOKUP(DadosViagem5[[#This Row],[Placa]],[1]BIP!A:E,5,FALSE),"")</f>
        <v>45967</v>
      </c>
      <c r="Q953" s="27">
        <f ca="1">DATEDIF(DadosViagem5[[#This Row],[BIP]],TODAY(),"D")</f>
        <v>23</v>
      </c>
      <c r="R953" s="28" t="str">
        <f>IFERROR(VLOOKUP(DadosViagem5[[#This Row],[Placa]],[1]DDS!B:C,2,FALSE),"Verificar cadastro")</f>
        <v>Manutenção</v>
      </c>
      <c r="S953" s="29" t="s">
        <v>48</v>
      </c>
      <c r="T953" s="23"/>
      <c r="U953" s="30"/>
      <c r="V953" s="31"/>
      <c r="W953" s="32"/>
      <c r="X953" s="33"/>
      <c r="Y953" s="34"/>
      <c r="Z953" s="32"/>
      <c r="AA953" s="20" t="s">
        <v>49</v>
      </c>
      <c r="AB953" s="20" t="s">
        <v>49</v>
      </c>
      <c r="AC953" s="19" t="s">
        <v>49</v>
      </c>
      <c r="AD953" s="19" t="str">
        <f ca="1">IFERROR(DATEDIF(DadosViagem5[[#This Row],[Utimo Bip Reserva]],TODAY(),"D"),"")</f>
        <v/>
      </c>
      <c r="AE953" s="36"/>
      <c r="AF953" s="25"/>
      <c r="AG953" s="36"/>
      <c r="AH953" s="25">
        <v>45807</v>
      </c>
      <c r="AI953" s="36" t="str">
        <f>IF(DadosViagem5[[#This Row],[Dias em manutenção ]]&lt;5,"Dentro do Prazo","Fora do Prazo")</f>
        <v>Fora do Prazo</v>
      </c>
      <c r="AJ953" s="36" t="e">
        <v>#REF!</v>
      </c>
    </row>
    <row r="954" spans="1:36">
      <c r="A954" s="19" t="s">
        <v>1657</v>
      </c>
      <c r="B954" s="20">
        <v>530</v>
      </c>
      <c r="C954" s="19" t="s">
        <v>74</v>
      </c>
      <c r="D954" s="19" t="s">
        <v>52</v>
      </c>
      <c r="E954" s="19" t="s">
        <v>75</v>
      </c>
      <c r="F954" s="19" t="s">
        <v>115</v>
      </c>
      <c r="G954" s="19"/>
      <c r="H954" s="20">
        <v>2024</v>
      </c>
      <c r="I954" s="19" t="s">
        <v>41</v>
      </c>
      <c r="J954" s="19" t="s">
        <v>1604</v>
      </c>
      <c r="K954" s="66" t="s">
        <v>625</v>
      </c>
      <c r="L954" s="22" t="s">
        <v>60</v>
      </c>
      <c r="M954" s="23" t="s">
        <v>77</v>
      </c>
      <c r="N954" s="36" t="s">
        <v>465</v>
      </c>
      <c r="O954" s="36" t="s">
        <v>472</v>
      </c>
      <c r="P954" s="26">
        <f ca="1">IFERROR(VLOOKUP(DadosViagem5[[#This Row],[Placa]],[1]BIP!A:E,5,FALSE),"")</f>
        <v>45989</v>
      </c>
      <c r="Q954" s="27">
        <f ca="1">DATEDIF(DadosViagem5[[#This Row],[BIP]],TODAY(),"D")</f>
        <v>1</v>
      </c>
      <c r="R954" s="28" t="str">
        <f>IFERROR(VLOOKUP(DadosViagem5[[#This Row],[Placa]],[1]DDS!B:C,2,FALSE),"Verificar cadastro")</f>
        <v>Operando</v>
      </c>
      <c r="S954" s="29" t="s">
        <v>48</v>
      </c>
      <c r="T954" s="23"/>
      <c r="U954" s="30"/>
      <c r="V954" s="31"/>
      <c r="W954" s="32"/>
      <c r="X954" s="33"/>
      <c r="Y954" s="34"/>
      <c r="Z954" s="42"/>
      <c r="AA954" s="20" t="s">
        <v>49</v>
      </c>
      <c r="AB954" s="20" t="s">
        <v>49</v>
      </c>
      <c r="AC954" s="19" t="s">
        <v>49</v>
      </c>
      <c r="AD954" s="19" t="str">
        <f ca="1">IFERROR(DATEDIF(DadosViagem5[[#This Row],[Utimo Bip Reserva]],TODAY(),"D"),"")</f>
        <v/>
      </c>
      <c r="AE954" s="25" t="s">
        <v>49</v>
      </c>
      <c r="AF954" s="25" t="s">
        <v>49</v>
      </c>
      <c r="AG954" s="36"/>
      <c r="AH954" s="25">
        <v>45807</v>
      </c>
      <c r="AI954" s="36" t="str">
        <f>IF(DadosViagem5[[#This Row],[Dias em manutenção ]]&lt;5,"Dentro do Prazo","Fora do Prazo")</f>
        <v>Fora do Prazo</v>
      </c>
      <c r="AJ954" s="36" t="e">
        <v>#REF!</v>
      </c>
    </row>
    <row r="955" spans="1:36">
      <c r="A955" s="19" t="s">
        <v>1658</v>
      </c>
      <c r="B955" s="20">
        <v>585</v>
      </c>
      <c r="C955" s="19" t="s">
        <v>74</v>
      </c>
      <c r="D955" s="19" t="s">
        <v>52</v>
      </c>
      <c r="E955" s="19" t="s">
        <v>75</v>
      </c>
      <c r="F955" s="19" t="s">
        <v>76</v>
      </c>
      <c r="G955" s="19"/>
      <c r="H955" s="20">
        <v>2024</v>
      </c>
      <c r="I955" s="19" t="s">
        <v>41</v>
      </c>
      <c r="J955" s="19" t="s">
        <v>1604</v>
      </c>
      <c r="K955" s="66" t="s">
        <v>625</v>
      </c>
      <c r="L955" s="22" t="s">
        <v>60</v>
      </c>
      <c r="M955" s="23" t="s">
        <v>77</v>
      </c>
      <c r="N955" s="36" t="s">
        <v>465</v>
      </c>
      <c r="O955" s="36" t="s">
        <v>472</v>
      </c>
      <c r="P955" s="26">
        <f ca="1">IFERROR(VLOOKUP(DadosViagem5[[#This Row],[Placa]],[1]BIP!A:E,5,FALSE),"")</f>
        <v>45982</v>
      </c>
      <c r="Q955" s="27">
        <f ca="1">DATEDIF(DadosViagem5[[#This Row],[BIP]],TODAY(),"D")</f>
        <v>8</v>
      </c>
      <c r="R955" s="28" t="str">
        <f>IFERROR(VLOOKUP(DadosViagem5[[#This Row],[Placa]],[1]DDS!B:C,2,FALSE),"Verificar cadastro")</f>
        <v>Manutenção</v>
      </c>
      <c r="S955" s="29" t="s">
        <v>48</v>
      </c>
      <c r="T955" s="23"/>
      <c r="U955" s="30"/>
      <c r="V955" s="31"/>
      <c r="W955" s="32"/>
      <c r="X955" s="33"/>
      <c r="Y955" s="34"/>
      <c r="Z955" s="32"/>
      <c r="AA955" s="20" t="s">
        <v>49</v>
      </c>
      <c r="AB955" s="20" t="s">
        <v>49</v>
      </c>
      <c r="AC955" s="19" t="s">
        <v>49</v>
      </c>
      <c r="AD955" s="19" t="str">
        <f ca="1">IFERROR(DATEDIF(DadosViagem5[[#This Row],[Utimo Bip Reserva]],TODAY(),"D"),"")</f>
        <v/>
      </c>
      <c r="AE955" s="25" t="s">
        <v>49</v>
      </c>
      <c r="AF955" s="25" t="s">
        <v>49</v>
      </c>
      <c r="AG955" s="36"/>
      <c r="AH955" s="25">
        <v>45807</v>
      </c>
      <c r="AI955" s="36" t="str">
        <f>IF(DadosViagem5[[#This Row],[Dias em manutenção ]]&lt;5,"Dentro do Prazo","Fora do Prazo")</f>
        <v>Fora do Prazo</v>
      </c>
      <c r="AJ955" s="36" t="e">
        <v>#REF!</v>
      </c>
    </row>
    <row r="956" spans="1:36">
      <c r="A956" s="19" t="s">
        <v>1659</v>
      </c>
      <c r="B956" s="20">
        <v>531</v>
      </c>
      <c r="C956" s="19" t="s">
        <v>74</v>
      </c>
      <c r="D956" s="19" t="s">
        <v>52</v>
      </c>
      <c r="E956" s="19" t="s">
        <v>75</v>
      </c>
      <c r="F956" s="19" t="s">
        <v>76</v>
      </c>
      <c r="G956" s="19"/>
      <c r="H956" s="20">
        <v>2024</v>
      </c>
      <c r="I956" s="19" t="s">
        <v>41</v>
      </c>
      <c r="J956" s="19" t="s">
        <v>1604</v>
      </c>
      <c r="K956" s="66" t="s">
        <v>625</v>
      </c>
      <c r="L956" s="22" t="s">
        <v>60</v>
      </c>
      <c r="M956" s="23" t="s">
        <v>77</v>
      </c>
      <c r="N956" s="36" t="s">
        <v>465</v>
      </c>
      <c r="O956" s="36" t="s">
        <v>472</v>
      </c>
      <c r="P956" s="26">
        <f ca="1">IFERROR(VLOOKUP(DadosViagem5[[#This Row],[Placa]],[1]BIP!A:E,5,FALSE),"")</f>
        <v>45989</v>
      </c>
      <c r="Q956" s="27">
        <f ca="1">DATEDIF(DadosViagem5[[#This Row],[BIP]],TODAY(),"D")</f>
        <v>1</v>
      </c>
      <c r="R956" s="28" t="str">
        <f>IFERROR(VLOOKUP(DadosViagem5[[#This Row],[Placa]],[1]DDS!B:C,2,FALSE),"Verificar cadastro")</f>
        <v>Operando</v>
      </c>
      <c r="S956" s="29" t="s">
        <v>48</v>
      </c>
      <c r="T956" s="23"/>
      <c r="U956" s="30"/>
      <c r="V956" s="31"/>
      <c r="W956" s="32"/>
      <c r="X956" s="33"/>
      <c r="Y956" s="34"/>
      <c r="Z956" s="42"/>
      <c r="AA956" s="20" t="s">
        <v>49</v>
      </c>
      <c r="AB956" s="20" t="s">
        <v>49</v>
      </c>
      <c r="AC956" s="19" t="s">
        <v>49</v>
      </c>
      <c r="AD956" s="19" t="str">
        <f ca="1">IFERROR(DATEDIF(DadosViagem5[[#This Row],[Utimo Bip Reserva]],TODAY(),"D"),"")</f>
        <v/>
      </c>
      <c r="AE956" s="25" t="s">
        <v>49</v>
      </c>
      <c r="AF956" s="25" t="s">
        <v>49</v>
      </c>
      <c r="AG956" s="36"/>
      <c r="AH956" s="25">
        <v>45807</v>
      </c>
      <c r="AI956" s="36" t="str">
        <f>IF(DadosViagem5[[#This Row],[Dias em manutenção ]]&lt;5,"Dentro do Prazo","Fora do Prazo")</f>
        <v>Fora do Prazo</v>
      </c>
      <c r="AJ956" s="36" t="e">
        <v>#REF!</v>
      </c>
    </row>
    <row r="957" spans="1:36">
      <c r="A957" s="19" t="s">
        <v>1660</v>
      </c>
      <c r="B957" s="20">
        <v>580</v>
      </c>
      <c r="C957" s="19" t="s">
        <v>74</v>
      </c>
      <c r="D957" s="19" t="s">
        <v>52</v>
      </c>
      <c r="E957" s="19" t="s">
        <v>75</v>
      </c>
      <c r="F957" s="19" t="s">
        <v>76</v>
      </c>
      <c r="G957" s="19"/>
      <c r="H957" s="20">
        <v>2024</v>
      </c>
      <c r="I957" s="19" t="s">
        <v>41</v>
      </c>
      <c r="J957" s="19" t="s">
        <v>1602</v>
      </c>
      <c r="K957" s="66" t="s">
        <v>625</v>
      </c>
      <c r="L957" s="22" t="s">
        <v>60</v>
      </c>
      <c r="M957" s="23" t="s">
        <v>77</v>
      </c>
      <c r="N957" s="36" t="s">
        <v>465</v>
      </c>
      <c r="O957" s="36" t="s">
        <v>472</v>
      </c>
      <c r="P957" s="26">
        <f ca="1">IFERROR(VLOOKUP(DadosViagem5[[#This Row],[Placa]],[1]BIP!A:E,5,FALSE),"")</f>
        <v>45989</v>
      </c>
      <c r="Q957" s="27">
        <f ca="1">DATEDIF(DadosViagem5[[#This Row],[BIP]],TODAY(),"D")</f>
        <v>1</v>
      </c>
      <c r="R957" s="28" t="str">
        <f>IFERROR(VLOOKUP(DadosViagem5[[#This Row],[Placa]],[1]DDS!B:C,2,FALSE),"Verificar cadastro")</f>
        <v>Operando</v>
      </c>
      <c r="S957" s="29" t="s">
        <v>48</v>
      </c>
      <c r="T957" s="23"/>
      <c r="U957" s="30"/>
      <c r="V957" s="31"/>
      <c r="W957" s="32"/>
      <c r="X957" s="33"/>
      <c r="Y957" s="34"/>
      <c r="Z957" s="32"/>
      <c r="AA957" s="20" t="s">
        <v>49</v>
      </c>
      <c r="AB957" s="20" t="s">
        <v>49</v>
      </c>
      <c r="AC957" s="19" t="s">
        <v>49</v>
      </c>
      <c r="AD957" s="19" t="str">
        <f ca="1">IFERROR(DATEDIF(DadosViagem5[[#This Row],[Utimo Bip Reserva]],TODAY(),"D"),"")</f>
        <v/>
      </c>
      <c r="AE957" s="25" t="s">
        <v>49</v>
      </c>
      <c r="AF957" s="25" t="s">
        <v>49</v>
      </c>
      <c r="AG957" s="36"/>
      <c r="AH957" s="25">
        <v>45807</v>
      </c>
      <c r="AI957" s="36" t="str">
        <f>IF(DadosViagem5[[#This Row],[Dias em manutenção ]]&lt;5,"Dentro do Prazo","Fora do Prazo")</f>
        <v>Fora do Prazo</v>
      </c>
      <c r="AJ957" s="36" t="e">
        <v>#REF!</v>
      </c>
    </row>
    <row r="958" spans="1:36">
      <c r="A958" s="19" t="s">
        <v>1661</v>
      </c>
      <c r="B958" s="20"/>
      <c r="C958" s="19" t="s">
        <v>71</v>
      </c>
      <c r="D958" s="19" t="s">
        <v>38</v>
      </c>
      <c r="E958" s="19" t="s">
        <v>72</v>
      </c>
      <c r="F958" s="19" t="s">
        <v>115</v>
      </c>
      <c r="G958" s="19"/>
      <c r="H958" s="20">
        <v>2022</v>
      </c>
      <c r="I958" s="19" t="s">
        <v>41</v>
      </c>
      <c r="J958" s="19" t="s">
        <v>1602</v>
      </c>
      <c r="K958" s="66" t="s">
        <v>625</v>
      </c>
      <c r="L958" s="22" t="s">
        <v>60</v>
      </c>
      <c r="M958" s="23" t="s">
        <v>470</v>
      </c>
      <c r="N958" s="36" t="s">
        <v>465</v>
      </c>
      <c r="O958" s="36" t="s">
        <v>472</v>
      </c>
      <c r="P958" s="26">
        <f ca="1">IFERROR(VLOOKUP(DadosViagem5[[#This Row],[Placa]],[1]BIP!A:E,5,FALSE),"")</f>
        <v>45966</v>
      </c>
      <c r="Q958" s="27">
        <f ca="1">DATEDIF(DadosViagem5[[#This Row],[BIP]],TODAY(),"D")</f>
        <v>24</v>
      </c>
      <c r="R958" s="28" t="str">
        <f>IFERROR(VLOOKUP(DadosViagem5[[#This Row],[Placa]],[1]DDS!B:C,2,FALSE),"Verificar cadastro")</f>
        <v>Manutenção</v>
      </c>
      <c r="S958" s="29" t="s">
        <v>48</v>
      </c>
      <c r="T958" s="23"/>
      <c r="U958" s="30"/>
      <c r="V958" s="31"/>
      <c r="W958" s="32"/>
      <c r="X958" s="33"/>
      <c r="Y958" s="34"/>
      <c r="Z958" s="32"/>
      <c r="AA958" s="20" t="s">
        <v>49</v>
      </c>
      <c r="AB958" s="20" t="s">
        <v>49</v>
      </c>
      <c r="AC958" s="19" t="s">
        <v>49</v>
      </c>
      <c r="AD958" s="19" t="str">
        <f ca="1">IFERROR(DATEDIF(DadosViagem5[[#This Row],[Utimo Bip Reserva]],TODAY(),"D"),"")</f>
        <v/>
      </c>
      <c r="AE958" s="25" t="s">
        <v>49</v>
      </c>
      <c r="AF958" s="25" t="s">
        <v>49</v>
      </c>
      <c r="AG958" s="36"/>
      <c r="AH958" s="25">
        <v>45807</v>
      </c>
      <c r="AI958" s="36" t="str">
        <f>IF(DadosViagem5[[#This Row],[Dias em manutenção ]]&lt;5,"Dentro do Prazo","Fora do Prazo")</f>
        <v>Fora do Prazo</v>
      </c>
      <c r="AJ958" s="36" t="e">
        <v>#REF!</v>
      </c>
    </row>
    <row r="959" spans="1:36">
      <c r="A959" s="19" t="s">
        <v>1662</v>
      </c>
      <c r="B959" s="20"/>
      <c r="C959" s="19" t="s">
        <v>131</v>
      </c>
      <c r="D959" s="19" t="s">
        <v>132</v>
      </c>
      <c r="E959" s="19" t="s">
        <v>114</v>
      </c>
      <c r="F959" s="19" t="s">
        <v>115</v>
      </c>
      <c r="G959" s="19"/>
      <c r="H959" s="20">
        <v>2023</v>
      </c>
      <c r="I959" s="19" t="s">
        <v>41</v>
      </c>
      <c r="J959" s="19" t="s">
        <v>1604</v>
      </c>
      <c r="K959" s="66" t="s">
        <v>625</v>
      </c>
      <c r="L959" s="22" t="s">
        <v>60</v>
      </c>
      <c r="M959" s="23" t="s">
        <v>470</v>
      </c>
      <c r="N959" s="36" t="s">
        <v>465</v>
      </c>
      <c r="O959" s="36" t="s">
        <v>472</v>
      </c>
      <c r="P959" s="26">
        <f ca="1">IFERROR(VLOOKUP(DadosViagem5[[#This Row],[Placa]],[1]BIP!A:E,5,FALSE),"")</f>
        <v>45989</v>
      </c>
      <c r="Q959" s="27">
        <f ca="1">DATEDIF(DadosViagem5[[#This Row],[BIP]],TODAY(),"D")</f>
        <v>1</v>
      </c>
      <c r="R959" s="28" t="str">
        <f>IFERROR(VLOOKUP(DadosViagem5[[#This Row],[Placa]],[1]DDS!B:C,2,FALSE),"Verificar cadastro")</f>
        <v>Operando</v>
      </c>
      <c r="S959" s="29" t="s">
        <v>48</v>
      </c>
      <c r="T959" s="23"/>
      <c r="U959" s="30"/>
      <c r="V959" s="31"/>
      <c r="W959" s="32" t="s">
        <v>1663</v>
      </c>
      <c r="X959" s="33"/>
      <c r="Y959" s="34"/>
      <c r="Z959" s="32"/>
      <c r="AA959" s="20" t="s">
        <v>49</v>
      </c>
      <c r="AB959" s="20" t="s">
        <v>49</v>
      </c>
      <c r="AC959" s="19" t="s">
        <v>49</v>
      </c>
      <c r="AD959" s="19" t="str">
        <f ca="1">IFERROR(DATEDIF(DadosViagem5[[#This Row],[Utimo Bip Reserva]],TODAY(),"D"),"")</f>
        <v/>
      </c>
      <c r="AE959" s="36" t="s">
        <v>49</v>
      </c>
      <c r="AF959" s="25" t="s">
        <v>49</v>
      </c>
      <c r="AG959" s="36"/>
      <c r="AH959" s="25">
        <v>45807</v>
      </c>
      <c r="AI959" s="36" t="str">
        <f>IF(DadosViagem5[[#This Row],[Dias em manutenção ]]&lt;5,"Dentro do Prazo","Fora do Prazo")</f>
        <v>Fora do Prazo</v>
      </c>
      <c r="AJ959" s="36" t="e">
        <v>#REF!</v>
      </c>
    </row>
    <row r="960" spans="1:36">
      <c r="A960" s="19" t="s">
        <v>1664</v>
      </c>
      <c r="B960" s="20"/>
      <c r="C960" s="19" t="s">
        <v>225</v>
      </c>
      <c r="D960" s="19" t="s">
        <v>38</v>
      </c>
      <c r="E960" s="19" t="s">
        <v>39</v>
      </c>
      <c r="F960" s="19" t="s">
        <v>1621</v>
      </c>
      <c r="G960" s="19"/>
      <c r="H960" s="20">
        <v>2024</v>
      </c>
      <c r="I960" s="19" t="s">
        <v>41</v>
      </c>
      <c r="J960" s="19" t="s">
        <v>1602</v>
      </c>
      <c r="K960" s="66" t="s">
        <v>625</v>
      </c>
      <c r="L960" s="22" t="s">
        <v>60</v>
      </c>
      <c r="M960" s="23" t="s">
        <v>470</v>
      </c>
      <c r="N960" s="36" t="s">
        <v>465</v>
      </c>
      <c r="O960" s="36" t="s">
        <v>472</v>
      </c>
      <c r="P960" s="26">
        <f ca="1">IFERROR(VLOOKUP(DadosViagem5[[#This Row],[Placa]],[1]BIP!A:E,5,FALSE),"")</f>
        <v>0</v>
      </c>
      <c r="Q960" s="27">
        <f ca="1">DATEDIF(DadosViagem5[[#This Row],[BIP]],TODAY(),"D")</f>
        <v>45990</v>
      </c>
      <c r="R960" s="28" t="str">
        <f>IFERROR(VLOOKUP(DadosViagem5[[#This Row],[Placa]],[1]DDS!B:C,2,FALSE),"Verificar cadastro")</f>
        <v>Manutenção</v>
      </c>
      <c r="S960" s="29" t="s">
        <v>173</v>
      </c>
      <c r="T960" s="23"/>
      <c r="U960" s="30"/>
      <c r="V960" s="31"/>
      <c r="W960" s="48"/>
      <c r="X960" s="33"/>
      <c r="Y960" s="34"/>
      <c r="Z960" s="32"/>
      <c r="AA960" s="20" t="s">
        <v>49</v>
      </c>
      <c r="AB960" s="20" t="s">
        <v>49</v>
      </c>
      <c r="AC960" s="19" t="s">
        <v>49</v>
      </c>
      <c r="AD960" s="19" t="str">
        <f ca="1">IFERROR(DATEDIF(DadosViagem5[[#This Row],[Utimo Bip Reserva]],TODAY(),"D"),"")</f>
        <v/>
      </c>
      <c r="AE960" s="25" t="s">
        <v>49</v>
      </c>
      <c r="AF960" s="25" t="s">
        <v>49</v>
      </c>
      <c r="AG960" s="36"/>
      <c r="AH960" s="25">
        <v>45807</v>
      </c>
      <c r="AI960" s="36" t="str">
        <f>IF(DadosViagem5[[#This Row],[Dias em manutenção ]]&lt;5,"Dentro do Prazo","Fora do Prazo")</f>
        <v>Fora do Prazo</v>
      </c>
      <c r="AJ960" s="36" t="e">
        <v>#REF!</v>
      </c>
    </row>
    <row r="961" spans="1:36">
      <c r="A961" s="19" t="s">
        <v>1665</v>
      </c>
      <c r="B961" s="20"/>
      <c r="C961" s="19" t="s">
        <v>225</v>
      </c>
      <c r="D961" s="19" t="s">
        <v>38</v>
      </c>
      <c r="E961" s="19" t="s">
        <v>39</v>
      </c>
      <c r="F961" s="19" t="s">
        <v>1621</v>
      </c>
      <c r="G961" s="19"/>
      <c r="H961" s="20">
        <v>2024</v>
      </c>
      <c r="I961" s="19" t="s">
        <v>41</v>
      </c>
      <c r="J961" s="19" t="s">
        <v>1602</v>
      </c>
      <c r="K961" s="66" t="s">
        <v>625</v>
      </c>
      <c r="L961" s="22" t="s">
        <v>60</v>
      </c>
      <c r="M961" s="23" t="s">
        <v>470</v>
      </c>
      <c r="N961" s="36" t="s">
        <v>465</v>
      </c>
      <c r="O961" s="36" t="s">
        <v>472</v>
      </c>
      <c r="P961" s="26">
        <f ca="1">IFERROR(VLOOKUP(DadosViagem5[[#This Row],[Placa]],[1]BIP!A:E,5,FALSE),"")</f>
        <v>45989</v>
      </c>
      <c r="Q961" s="27">
        <f ca="1">DATEDIF(DadosViagem5[[#This Row],[BIP]],TODAY(),"D")</f>
        <v>1</v>
      </c>
      <c r="R961" s="28" t="str">
        <f>IFERROR(VLOOKUP(DadosViagem5[[#This Row],[Placa]],[1]DDS!B:C,2,FALSE),"Verificar cadastro")</f>
        <v>Operando</v>
      </c>
      <c r="S961" s="29" t="s">
        <v>48</v>
      </c>
      <c r="T961" s="23"/>
      <c r="U961" s="30"/>
      <c r="V961" s="31"/>
      <c r="W961" s="32"/>
      <c r="X961" s="33"/>
      <c r="Y961" s="34"/>
      <c r="Z961" s="32"/>
      <c r="AA961" s="20" t="s">
        <v>49</v>
      </c>
      <c r="AB961" s="20" t="s">
        <v>49</v>
      </c>
      <c r="AC961" s="19" t="s">
        <v>49</v>
      </c>
      <c r="AD961" s="19" t="str">
        <f ca="1">IFERROR(DATEDIF(DadosViagem5[[#This Row],[Utimo Bip Reserva]],TODAY(),"D"),"")</f>
        <v/>
      </c>
      <c r="AE961" s="35"/>
      <c r="AF961" s="35"/>
      <c r="AG961" s="36"/>
      <c r="AH961" s="25">
        <v>45807</v>
      </c>
      <c r="AI961" s="36" t="str">
        <f>IF(DadosViagem5[[#This Row],[Dias em manutenção ]]&lt;5,"Dentro do Prazo","Fora do Prazo")</f>
        <v>Fora do Prazo</v>
      </c>
      <c r="AJ961" s="36" t="e">
        <v>#REF!</v>
      </c>
    </row>
    <row r="962" spans="1:36">
      <c r="A962" s="19" t="s">
        <v>1666</v>
      </c>
      <c r="B962" s="20"/>
      <c r="C962" s="19" t="s">
        <v>51</v>
      </c>
      <c r="D962" s="19" t="s">
        <v>52</v>
      </c>
      <c r="E962" s="19" t="s">
        <v>53</v>
      </c>
      <c r="F962" s="19" t="s">
        <v>40</v>
      </c>
      <c r="G962" s="19"/>
      <c r="H962" s="20">
        <v>2023</v>
      </c>
      <c r="I962" s="19" t="s">
        <v>41</v>
      </c>
      <c r="J962" s="19" t="s">
        <v>1667</v>
      </c>
      <c r="K962" s="21" t="s">
        <v>1668</v>
      </c>
      <c r="L962" s="22" t="s">
        <v>60</v>
      </c>
      <c r="M962" s="23" t="s">
        <v>61</v>
      </c>
      <c r="N962" s="25" t="s">
        <v>1669</v>
      </c>
      <c r="O962" s="25" t="s">
        <v>710</v>
      </c>
      <c r="P962" s="26">
        <f ca="1">IFERROR(VLOOKUP(DadosViagem5[[#This Row],[Placa]],[1]BIP!A:E,5,FALSE),"")</f>
        <v>0</v>
      </c>
      <c r="Q962" s="27">
        <f ca="1">DATEDIF(DadosViagem5[[#This Row],[BIP]],TODAY(),"D")</f>
        <v>45990</v>
      </c>
      <c r="R962" s="28" t="str">
        <f>IFERROR(VLOOKUP(DadosViagem5[[#This Row],[Placa]],[1]DDS!B:C,2,FALSE),"Verificar cadastro")</f>
        <v>Verificar cadastro</v>
      </c>
      <c r="S962" s="29" t="s">
        <v>173</v>
      </c>
      <c r="T962" s="23"/>
      <c r="U962" s="30"/>
      <c r="V962" s="31">
        <v>45681</v>
      </c>
      <c r="W962" s="32" t="s">
        <v>1670</v>
      </c>
      <c r="X962" s="33" t="s">
        <v>65</v>
      </c>
      <c r="Y962" s="34" t="s">
        <v>584</v>
      </c>
      <c r="Z962" s="42" t="s">
        <v>878</v>
      </c>
      <c r="AA962" s="20" t="s">
        <v>49</v>
      </c>
      <c r="AB962" s="20" t="s">
        <v>49</v>
      </c>
      <c r="AC962" s="19" t="s">
        <v>49</v>
      </c>
      <c r="AD962" s="19" t="str">
        <f ca="1">IFERROR(DATEDIF(DadosViagem5[[#This Row],[Utimo Bip Reserva]],TODAY(),"D"),"")</f>
        <v/>
      </c>
      <c r="AE962" s="36" t="s">
        <v>1671</v>
      </c>
      <c r="AF962" s="25" t="s">
        <v>49</v>
      </c>
      <c r="AG962" s="36"/>
      <c r="AH962" s="25">
        <v>126</v>
      </c>
      <c r="AI962" s="36" t="str">
        <f>IF(DadosViagem5[[#This Row],[Dias em manutenção ]]&lt;5,"Dentro do Prazo","Fora do Prazo")</f>
        <v>Fora do Prazo</v>
      </c>
      <c r="AJ962" s="36" t="e">
        <v>#REF!</v>
      </c>
    </row>
    <row r="963" spans="1:36">
      <c r="A963" s="19" t="s">
        <v>1672</v>
      </c>
      <c r="B963" s="20"/>
      <c r="C963" s="19" t="s">
        <v>131</v>
      </c>
      <c r="D963" s="19" t="s">
        <v>132</v>
      </c>
      <c r="E963" s="19" t="s">
        <v>114</v>
      </c>
      <c r="F963" s="19" t="s">
        <v>115</v>
      </c>
      <c r="G963" s="19"/>
      <c r="H963" s="20">
        <v>2022</v>
      </c>
      <c r="I963" s="19" t="s">
        <v>41</v>
      </c>
      <c r="J963" s="19" t="s">
        <v>1667</v>
      </c>
      <c r="K963" s="21" t="s">
        <v>1668</v>
      </c>
      <c r="L963" s="22" t="s">
        <v>60</v>
      </c>
      <c r="M963" s="23" t="s">
        <v>61</v>
      </c>
      <c r="N963" s="25" t="s">
        <v>1669</v>
      </c>
      <c r="O963" s="25" t="s">
        <v>710</v>
      </c>
      <c r="P963" s="26">
        <f ca="1">IFERROR(VLOOKUP(DadosViagem5[[#This Row],[Placa]],[1]BIP!A:E,5,FALSE),"")</f>
        <v>45897</v>
      </c>
      <c r="Q963" s="27">
        <f ca="1">DATEDIF(DadosViagem5[[#This Row],[BIP]],TODAY(),"D")</f>
        <v>93</v>
      </c>
      <c r="R963" s="28" t="str">
        <f>IFERROR(VLOOKUP(DadosViagem5[[#This Row],[Placa]],[1]DDS!B:C,2,FALSE),"Verificar cadastro")</f>
        <v>Sem operação</v>
      </c>
      <c r="S963" s="29" t="s">
        <v>173</v>
      </c>
      <c r="T963" s="23"/>
      <c r="U963" s="30"/>
      <c r="V963" s="31">
        <v>45898</v>
      </c>
      <c r="W963" s="32" t="s">
        <v>1673</v>
      </c>
      <c r="X963" s="33" t="s">
        <v>65</v>
      </c>
      <c r="Y963" s="34" t="s">
        <v>159</v>
      </c>
      <c r="Z963" s="32" t="s">
        <v>1674</v>
      </c>
      <c r="AA963" s="20" t="s">
        <v>49</v>
      </c>
      <c r="AB963" s="20" t="s">
        <v>49</v>
      </c>
      <c r="AC963" s="19" t="s">
        <v>49</v>
      </c>
      <c r="AD963" s="19" t="str">
        <f ca="1">IFERROR(DATEDIF(DadosViagem5[[#This Row],[Utimo Bip Reserva]],TODAY(),"D"),"")</f>
        <v/>
      </c>
      <c r="AE963" s="36" t="s">
        <v>1675</v>
      </c>
      <c r="AF963" s="25" t="s">
        <v>49</v>
      </c>
      <c r="AG963" s="36"/>
      <c r="AH963" s="25">
        <v>9</v>
      </c>
      <c r="AI963" s="36" t="str">
        <f>IF(DadosViagem5[[#This Row],[Dias em manutenção ]]&lt;5,"Dentro do Prazo","Fora do Prazo")</f>
        <v>Fora do Prazo</v>
      </c>
      <c r="AJ963" s="36" t="e">
        <v>#REF!</v>
      </c>
    </row>
    <row r="964" spans="1:36">
      <c r="A964" s="19" t="s">
        <v>1676</v>
      </c>
      <c r="B964" s="20"/>
      <c r="C964" s="19" t="s">
        <v>131</v>
      </c>
      <c r="D964" s="19" t="s">
        <v>132</v>
      </c>
      <c r="E964" s="19" t="s">
        <v>114</v>
      </c>
      <c r="F964" s="19" t="s">
        <v>115</v>
      </c>
      <c r="G964" s="19"/>
      <c r="H964" s="20">
        <v>2022</v>
      </c>
      <c r="I964" s="19" t="s">
        <v>41</v>
      </c>
      <c r="J964" s="19" t="s">
        <v>1667</v>
      </c>
      <c r="K964" s="21" t="s">
        <v>1668</v>
      </c>
      <c r="L964" s="22" t="s">
        <v>60</v>
      </c>
      <c r="M964" s="23" t="s">
        <v>61</v>
      </c>
      <c r="N964" s="25" t="s">
        <v>1669</v>
      </c>
      <c r="O964" s="25" t="s">
        <v>710</v>
      </c>
      <c r="P964" s="26">
        <f ca="1">IFERROR(VLOOKUP(DadosViagem5[[#This Row],[Placa]],[1]BIP!A:E,5,FALSE),"")</f>
        <v>45949</v>
      </c>
      <c r="Q964" s="27">
        <f ca="1">DATEDIF(DadosViagem5[[#This Row],[BIP]],TODAY(),"D")</f>
        <v>41</v>
      </c>
      <c r="R964" s="28" t="str">
        <f>IFERROR(VLOOKUP(DadosViagem5[[#This Row],[Placa]],[1]DDS!B:C,2,FALSE),"Verificar cadastro")</f>
        <v>Sem operação</v>
      </c>
      <c r="S964" s="36" t="s">
        <v>35</v>
      </c>
      <c r="T964" s="23"/>
      <c r="U964" s="30"/>
      <c r="V964" s="31"/>
      <c r="W964" s="32" t="s">
        <v>1677</v>
      </c>
      <c r="X964" s="33"/>
      <c r="Y964" s="34"/>
      <c r="Z964" s="63"/>
      <c r="AA964" s="20" t="s">
        <v>49</v>
      </c>
      <c r="AB964" s="20" t="s">
        <v>49</v>
      </c>
      <c r="AC964" s="19" t="s">
        <v>49</v>
      </c>
      <c r="AD964" s="19" t="str">
        <f ca="1">IFERROR(DATEDIF(DadosViagem5[[#This Row],[Utimo Bip Reserva]],TODAY(),"D"),"")</f>
        <v/>
      </c>
      <c r="AE964" s="36" t="s">
        <v>49</v>
      </c>
      <c r="AF964" s="25" t="s">
        <v>49</v>
      </c>
      <c r="AG964" s="36" t="s">
        <v>633</v>
      </c>
      <c r="AH964" s="25">
        <v>45807</v>
      </c>
      <c r="AI964" s="36" t="str">
        <f>IF(DadosViagem5[[#This Row],[Dias em manutenção ]]&lt;5,"Dentro do Prazo","Fora do Prazo")</f>
        <v>Fora do Prazo</v>
      </c>
      <c r="AJ964" s="36" t="e">
        <v>#REF!</v>
      </c>
    </row>
    <row r="965" spans="1:36">
      <c r="A965" s="19" t="s">
        <v>1678</v>
      </c>
      <c r="B965" s="20"/>
      <c r="C965" s="19" t="s">
        <v>131</v>
      </c>
      <c r="D965" s="19" t="s">
        <v>132</v>
      </c>
      <c r="E965" s="19" t="s">
        <v>114</v>
      </c>
      <c r="F965" s="19" t="s">
        <v>115</v>
      </c>
      <c r="G965" s="19"/>
      <c r="H965" s="20">
        <v>2022</v>
      </c>
      <c r="I965" s="19" t="s">
        <v>41</v>
      </c>
      <c r="J965" s="19" t="s">
        <v>1667</v>
      </c>
      <c r="K965" s="21" t="s">
        <v>1668</v>
      </c>
      <c r="L965" s="22" t="s">
        <v>60</v>
      </c>
      <c r="M965" s="23" t="s">
        <v>61</v>
      </c>
      <c r="N965" s="25" t="s">
        <v>1669</v>
      </c>
      <c r="O965" s="25" t="s">
        <v>710</v>
      </c>
      <c r="P965" s="26">
        <f ca="1">IFERROR(VLOOKUP(DadosViagem5[[#This Row],[Placa]],[1]BIP!A:E,5,FALSE),"")</f>
        <v>45913</v>
      </c>
      <c r="Q965" s="27">
        <f ca="1">DATEDIF(DadosViagem5[[#This Row],[BIP]],TODAY(),"D")</f>
        <v>77</v>
      </c>
      <c r="R965" s="28" t="str">
        <f>IFERROR(VLOOKUP(DadosViagem5[[#This Row],[Placa]],[1]DDS!B:C,2,FALSE),"Verificar cadastro")</f>
        <v>Sem operação</v>
      </c>
      <c r="S965" s="36" t="s">
        <v>35</v>
      </c>
      <c r="T965" s="23"/>
      <c r="U965" s="30"/>
      <c r="V965" s="31"/>
      <c r="W965" s="32" t="s">
        <v>1677</v>
      </c>
      <c r="X965" s="33"/>
      <c r="Y965" s="34"/>
      <c r="Z965" s="42"/>
      <c r="AA965" s="20" t="s">
        <v>49</v>
      </c>
      <c r="AB965" s="20" t="s">
        <v>49</v>
      </c>
      <c r="AC965" s="19" t="s">
        <v>49</v>
      </c>
      <c r="AD965" s="19" t="str">
        <f ca="1">IFERROR(DATEDIF(DadosViagem5[[#This Row],[Utimo Bip Reserva]],TODAY(),"D"),"")</f>
        <v/>
      </c>
      <c r="AE965" s="36" t="s">
        <v>49</v>
      </c>
      <c r="AF965" s="25" t="s">
        <v>49</v>
      </c>
      <c r="AG965" s="30" t="s">
        <v>153</v>
      </c>
      <c r="AH965" s="25">
        <v>42</v>
      </c>
      <c r="AI965" s="36" t="str">
        <f>IF(DadosViagem5[[#This Row],[Dias em manutenção ]]&lt;5,"Dentro do Prazo","Fora do Prazo")</f>
        <v>Fora do Prazo</v>
      </c>
      <c r="AJ965" s="36" t="e">
        <v>#REF!</v>
      </c>
    </row>
    <row r="966" spans="1:36">
      <c r="A966" s="19" t="s">
        <v>1679</v>
      </c>
      <c r="B966" s="20"/>
      <c r="C966" s="19" t="s">
        <v>131</v>
      </c>
      <c r="D966" s="19" t="s">
        <v>132</v>
      </c>
      <c r="E966" s="19" t="s">
        <v>114</v>
      </c>
      <c r="F966" s="19" t="s">
        <v>115</v>
      </c>
      <c r="G966" s="19"/>
      <c r="H966" s="20">
        <v>2022</v>
      </c>
      <c r="I966" s="19" t="s">
        <v>41</v>
      </c>
      <c r="J966" s="19" t="s">
        <v>1667</v>
      </c>
      <c r="K966" s="21" t="s">
        <v>1668</v>
      </c>
      <c r="L966" s="22" t="s">
        <v>60</v>
      </c>
      <c r="M966" s="23" t="s">
        <v>61</v>
      </c>
      <c r="N966" s="25" t="s">
        <v>1669</v>
      </c>
      <c r="O966" s="25" t="s">
        <v>710</v>
      </c>
      <c r="P966" s="26">
        <f ca="1">IFERROR(VLOOKUP(DadosViagem5[[#This Row],[Placa]],[1]BIP!A:E,5,FALSE),"")</f>
        <v>45911</v>
      </c>
      <c r="Q966" s="27">
        <f ca="1">DATEDIF(DadosViagem5[[#This Row],[BIP]],TODAY(),"D")</f>
        <v>79</v>
      </c>
      <c r="R966" s="28" t="str">
        <f>IFERROR(VLOOKUP(DadosViagem5[[#This Row],[Placa]],[1]DDS!B:C,2,FALSE),"Verificar cadastro")</f>
        <v>Sem operação</v>
      </c>
      <c r="S966" s="36" t="s">
        <v>35</v>
      </c>
      <c r="T966" s="23"/>
      <c r="U966" s="30"/>
      <c r="V966" s="31">
        <v>45936</v>
      </c>
      <c r="W966" s="140" t="s">
        <v>1680</v>
      </c>
      <c r="X966" s="33" t="s">
        <v>65</v>
      </c>
      <c r="Y966" s="34"/>
      <c r="Z966" s="42"/>
      <c r="AA966" s="20" t="s">
        <v>49</v>
      </c>
      <c r="AB966" s="20" t="s">
        <v>49</v>
      </c>
      <c r="AC966" s="19" t="s">
        <v>49</v>
      </c>
      <c r="AD966" s="19" t="str">
        <f ca="1">IFERROR(DATEDIF(DadosViagem5[[#This Row],[Utimo Bip Reserva]],TODAY(),"D"),"")</f>
        <v/>
      </c>
      <c r="AE966" s="36" t="s">
        <v>49</v>
      </c>
      <c r="AF966" s="25" t="s">
        <v>49</v>
      </c>
      <c r="AG966" s="36"/>
      <c r="AH966" s="25">
        <v>45807</v>
      </c>
      <c r="AI966" s="36" t="str">
        <f>IF(DadosViagem5[[#This Row],[Dias em manutenção ]]&lt;5,"Dentro do Prazo","Fora do Prazo")</f>
        <v>Fora do Prazo</v>
      </c>
      <c r="AJ966" s="36" t="e">
        <v>#REF!</v>
      </c>
    </row>
    <row r="967" spans="1:36">
      <c r="A967" s="19" t="s">
        <v>1681</v>
      </c>
      <c r="B967" s="20"/>
      <c r="C967" s="19" t="s">
        <v>88</v>
      </c>
      <c r="D967" s="19" t="s">
        <v>52</v>
      </c>
      <c r="E967" s="19" t="s">
        <v>114</v>
      </c>
      <c r="F967" s="19" t="s">
        <v>115</v>
      </c>
      <c r="G967" s="19"/>
      <c r="H967" s="20">
        <v>2020</v>
      </c>
      <c r="I967" s="19" t="s">
        <v>41</v>
      </c>
      <c r="J967" s="19" t="s">
        <v>1667</v>
      </c>
      <c r="K967" s="21" t="s">
        <v>1668</v>
      </c>
      <c r="L967" s="22" t="s">
        <v>60</v>
      </c>
      <c r="M967" s="23" t="s">
        <v>61</v>
      </c>
      <c r="N967" s="25" t="s">
        <v>1669</v>
      </c>
      <c r="O967" s="25" t="s">
        <v>710</v>
      </c>
      <c r="P967" s="26">
        <f ca="1">IFERROR(VLOOKUP(DadosViagem5[[#This Row],[Placa]],[1]BIP!A:E,5,FALSE),"")</f>
        <v>45932</v>
      </c>
      <c r="Q967" s="27">
        <f ca="1">DATEDIF(DadosViagem5[[#This Row],[BIP]],TODAY(),"D")</f>
        <v>58</v>
      </c>
      <c r="R967" s="28" t="str">
        <f>IFERROR(VLOOKUP(DadosViagem5[[#This Row],[Placa]],[1]DDS!B:C,2,FALSE),"Verificar cadastro")</f>
        <v>Manutenção</v>
      </c>
      <c r="S967" s="36" t="s">
        <v>35</v>
      </c>
      <c r="T967" s="23"/>
      <c r="U967" s="30"/>
      <c r="V967" s="31"/>
      <c r="W967" s="32" t="s">
        <v>1682</v>
      </c>
      <c r="X967" s="33"/>
      <c r="Y967" s="34"/>
      <c r="Z967" s="32"/>
      <c r="AA967" s="20" t="s">
        <v>49</v>
      </c>
      <c r="AB967" s="20" t="s">
        <v>49</v>
      </c>
      <c r="AC967" s="19" t="s">
        <v>49</v>
      </c>
      <c r="AD967" s="19" t="str">
        <f ca="1">IFERROR(DATEDIF(DadosViagem5[[#This Row],[Utimo Bip Reserva]],TODAY(),"D"),"")</f>
        <v/>
      </c>
      <c r="AE967" s="36" t="s">
        <v>1683</v>
      </c>
      <c r="AF967" s="25" t="s">
        <v>49</v>
      </c>
      <c r="AG967" s="36"/>
      <c r="AH967" s="25">
        <v>45807</v>
      </c>
      <c r="AI967" s="36" t="str">
        <f>IF(DadosViagem5[[#This Row],[Dias em manutenção ]]&lt;5,"Dentro do Prazo","Fora do Prazo")</f>
        <v>Fora do Prazo</v>
      </c>
      <c r="AJ967" s="36" t="e">
        <v>#REF!</v>
      </c>
    </row>
    <row r="968" spans="1:36">
      <c r="A968" s="19" t="s">
        <v>1684</v>
      </c>
      <c r="B968" s="20"/>
      <c r="C968" s="19" t="s">
        <v>88</v>
      </c>
      <c r="D968" s="19" t="s">
        <v>52</v>
      </c>
      <c r="E968" s="19" t="s">
        <v>114</v>
      </c>
      <c r="F968" s="19" t="s">
        <v>115</v>
      </c>
      <c r="G968" s="19"/>
      <c r="H968" s="20">
        <v>2022</v>
      </c>
      <c r="I968" s="19" t="s">
        <v>41</v>
      </c>
      <c r="J968" s="19" t="s">
        <v>1667</v>
      </c>
      <c r="K968" s="21" t="s">
        <v>1668</v>
      </c>
      <c r="L968" s="22" t="s">
        <v>60</v>
      </c>
      <c r="M968" s="23" t="s">
        <v>61</v>
      </c>
      <c r="N968" s="25" t="s">
        <v>1669</v>
      </c>
      <c r="O968" s="25" t="s">
        <v>710</v>
      </c>
      <c r="P968" s="26">
        <f ca="1">IFERROR(VLOOKUP(DadosViagem5[[#This Row],[Placa]],[1]BIP!A:E,5,FALSE),"")</f>
        <v>45820</v>
      </c>
      <c r="Q968" s="27">
        <f ca="1">DATEDIF(DadosViagem5[[#This Row],[BIP]],TODAY(),"D")</f>
        <v>170</v>
      </c>
      <c r="R968" s="28" t="str">
        <f>IFERROR(VLOOKUP(DadosViagem5[[#This Row],[Placa]],[1]DDS!B:C,2,FALSE),"Verificar cadastro")</f>
        <v>Verificar cadastro</v>
      </c>
      <c r="S968" s="36" t="s">
        <v>574</v>
      </c>
      <c r="T968" s="23"/>
      <c r="U968" s="30"/>
      <c r="V968" s="31"/>
      <c r="W968" s="32" t="s">
        <v>1685</v>
      </c>
      <c r="X968" s="33"/>
      <c r="Y968" s="34"/>
      <c r="Z968" s="32"/>
      <c r="AA968" s="20" t="s">
        <v>49</v>
      </c>
      <c r="AB968" s="20" t="s">
        <v>49</v>
      </c>
      <c r="AC968" s="19" t="s">
        <v>49</v>
      </c>
      <c r="AD968" s="19" t="str">
        <f ca="1">IFERROR(DATEDIF(DadosViagem5[[#This Row],[Utimo Bip Reserva]],TODAY(),"D"),"")</f>
        <v/>
      </c>
      <c r="AE968" s="36" t="s">
        <v>49</v>
      </c>
      <c r="AF968" s="25" t="s">
        <v>49</v>
      </c>
      <c r="AG968" s="30"/>
      <c r="AH968" s="25">
        <v>45807</v>
      </c>
      <c r="AI968" s="36" t="str">
        <f>IF(DadosViagem5[[#This Row],[Dias em manutenção ]]&lt;5,"Dentro do Prazo","Fora do Prazo")</f>
        <v>Fora do Prazo</v>
      </c>
      <c r="AJ968" s="36" t="e">
        <v>#REF!</v>
      </c>
    </row>
    <row r="969" spans="1:36">
      <c r="A969" s="19" t="s">
        <v>1686</v>
      </c>
      <c r="B969" s="20"/>
      <c r="C969" s="19" t="s">
        <v>88</v>
      </c>
      <c r="D969" s="19" t="s">
        <v>52</v>
      </c>
      <c r="E969" s="19" t="s">
        <v>114</v>
      </c>
      <c r="F969" s="19" t="s">
        <v>115</v>
      </c>
      <c r="G969" s="19"/>
      <c r="H969" s="20">
        <v>2022</v>
      </c>
      <c r="I969" s="19" t="s">
        <v>41</v>
      </c>
      <c r="J969" s="19" t="s">
        <v>1667</v>
      </c>
      <c r="K969" s="21" t="s">
        <v>1668</v>
      </c>
      <c r="L969" s="22" t="s">
        <v>60</v>
      </c>
      <c r="M969" s="23" t="s">
        <v>61</v>
      </c>
      <c r="N969" s="25" t="s">
        <v>1669</v>
      </c>
      <c r="O969" s="25" t="s">
        <v>710</v>
      </c>
      <c r="P969" s="26">
        <f ca="1">IFERROR(VLOOKUP(DadosViagem5[[#This Row],[Placa]],[1]BIP!A:E,5,FALSE),"")</f>
        <v>45875</v>
      </c>
      <c r="Q969" s="27">
        <f ca="1">DATEDIF(DadosViagem5[[#This Row],[BIP]],TODAY(),"D")</f>
        <v>115</v>
      </c>
      <c r="R969" s="28" t="str">
        <f>IFERROR(VLOOKUP(DadosViagem5[[#This Row],[Placa]],[1]DDS!B:C,2,FALSE),"Verificar cadastro")</f>
        <v>Sem operação</v>
      </c>
      <c r="S969" s="36" t="s">
        <v>35</v>
      </c>
      <c r="T969" s="23"/>
      <c r="U969" s="30"/>
      <c r="V969" s="31"/>
      <c r="W969" s="32" t="s">
        <v>1687</v>
      </c>
      <c r="X969" s="33"/>
      <c r="Y969" s="34"/>
      <c r="Z969" s="32"/>
      <c r="AA969" s="20" t="s">
        <v>49</v>
      </c>
      <c r="AB969" s="20" t="s">
        <v>49</v>
      </c>
      <c r="AC969" s="19" t="s">
        <v>49</v>
      </c>
      <c r="AD969" s="19" t="str">
        <f ca="1">IFERROR(DATEDIF(DadosViagem5[[#This Row],[Utimo Bip Reserva]],TODAY(),"D"),"")</f>
        <v/>
      </c>
      <c r="AE969" s="36" t="s">
        <v>49</v>
      </c>
      <c r="AF969" s="25" t="s">
        <v>49</v>
      </c>
      <c r="AG969" s="36"/>
      <c r="AH969" s="25">
        <v>45807</v>
      </c>
      <c r="AI969" s="36" t="str">
        <f>IF(DadosViagem5[[#This Row],[Dias em manutenção ]]&lt;5,"Dentro do Prazo","Fora do Prazo")</f>
        <v>Fora do Prazo</v>
      </c>
      <c r="AJ969" s="36" t="e">
        <v>#REF!</v>
      </c>
    </row>
    <row r="970" spans="1:36">
      <c r="A970" s="19" t="s">
        <v>1688</v>
      </c>
      <c r="B970" s="20"/>
      <c r="C970" s="19" t="s">
        <v>131</v>
      </c>
      <c r="D970" s="19" t="s">
        <v>132</v>
      </c>
      <c r="E970" s="19" t="s">
        <v>114</v>
      </c>
      <c r="F970" s="19" t="s">
        <v>115</v>
      </c>
      <c r="G970" s="19"/>
      <c r="H970" s="20">
        <v>2022</v>
      </c>
      <c r="I970" s="19" t="s">
        <v>41</v>
      </c>
      <c r="J970" s="19" t="s">
        <v>1667</v>
      </c>
      <c r="K970" s="21" t="s">
        <v>1668</v>
      </c>
      <c r="L970" s="22" t="s">
        <v>60</v>
      </c>
      <c r="M970" s="23" t="s">
        <v>61</v>
      </c>
      <c r="N970" s="25" t="s">
        <v>1669</v>
      </c>
      <c r="O970" s="25" t="s">
        <v>710</v>
      </c>
      <c r="P970" s="26">
        <f ca="1">IFERROR(VLOOKUP(DadosViagem5[[#This Row],[Placa]],[1]BIP!A:E,5,FALSE),"")</f>
        <v>45916</v>
      </c>
      <c r="Q970" s="27">
        <f ca="1">DATEDIF(DadosViagem5[[#This Row],[BIP]],TODAY(),"D")</f>
        <v>74</v>
      </c>
      <c r="R970" s="28" t="str">
        <f>IFERROR(VLOOKUP(DadosViagem5[[#This Row],[Placa]],[1]DDS!B:C,2,FALSE),"Verificar cadastro")</f>
        <v>Sem operação</v>
      </c>
      <c r="S970" s="36" t="s">
        <v>35</v>
      </c>
      <c r="T970" s="23"/>
      <c r="U970" s="30"/>
      <c r="V970" s="31">
        <v>45936</v>
      </c>
      <c r="W970" s="32" t="s">
        <v>1689</v>
      </c>
      <c r="X970" s="33" t="s">
        <v>65</v>
      </c>
      <c r="Y970" s="34"/>
      <c r="Z970" s="32" t="s">
        <v>1690</v>
      </c>
      <c r="AA970" s="20" t="s">
        <v>49</v>
      </c>
      <c r="AB970" s="20" t="s">
        <v>49</v>
      </c>
      <c r="AC970" s="19" t="s">
        <v>49</v>
      </c>
      <c r="AD970" s="19" t="str">
        <f ca="1">IFERROR(DATEDIF(DadosViagem5[[#This Row],[Utimo Bip Reserva]],TODAY(),"D"),"")</f>
        <v/>
      </c>
      <c r="AE970" s="36" t="s">
        <v>49</v>
      </c>
      <c r="AF970" s="25" t="s">
        <v>49</v>
      </c>
      <c r="AG970" s="36"/>
      <c r="AH970" s="25">
        <v>45807</v>
      </c>
      <c r="AI970" s="36" t="str">
        <f>IF(DadosViagem5[[#This Row],[Dias em manutenção ]]&lt;5,"Dentro do Prazo","Fora do Prazo")</f>
        <v>Fora do Prazo</v>
      </c>
      <c r="AJ970" s="36" t="e">
        <v>#REF!</v>
      </c>
    </row>
    <row r="971" spans="1:36">
      <c r="A971" s="19" t="s">
        <v>1691</v>
      </c>
      <c r="B971" s="20"/>
      <c r="C971" s="19" t="s">
        <v>74</v>
      </c>
      <c r="D971" s="19" t="s">
        <v>52</v>
      </c>
      <c r="E971" s="19" t="s">
        <v>75</v>
      </c>
      <c r="F971" s="19" t="s">
        <v>115</v>
      </c>
      <c r="G971" s="19"/>
      <c r="H971" s="20">
        <v>2024</v>
      </c>
      <c r="I971" s="19" t="s">
        <v>41</v>
      </c>
      <c r="J971" s="19" t="s">
        <v>1667</v>
      </c>
      <c r="K971" s="21" t="s">
        <v>1668</v>
      </c>
      <c r="L971" s="22" t="s">
        <v>60</v>
      </c>
      <c r="M971" s="23" t="s">
        <v>77</v>
      </c>
      <c r="N971" s="25" t="s">
        <v>1669</v>
      </c>
      <c r="O971" s="25" t="s">
        <v>710</v>
      </c>
      <c r="P971" s="26">
        <f ca="1">IFERROR(VLOOKUP(DadosViagem5[[#This Row],[Placa]],[1]BIP!A:E,5,FALSE),"")</f>
        <v>45989</v>
      </c>
      <c r="Q971" s="27">
        <f ca="1">DATEDIF(DadosViagem5[[#This Row],[BIP]],TODAY(),"D")</f>
        <v>1</v>
      </c>
      <c r="R971" s="28" t="str">
        <f>IFERROR(VLOOKUP(DadosViagem5[[#This Row],[Placa]],[1]DDS!B:C,2,FALSE),"Verificar cadastro")</f>
        <v>Operando</v>
      </c>
      <c r="S971" s="29" t="s">
        <v>48</v>
      </c>
      <c r="T971" s="23"/>
      <c r="U971" s="30"/>
      <c r="V971" s="31"/>
      <c r="W971" s="32" t="s">
        <v>1692</v>
      </c>
      <c r="X971" s="33"/>
      <c r="Y971" s="34"/>
      <c r="Z971" s="32"/>
      <c r="AA971" s="20" t="s">
        <v>49</v>
      </c>
      <c r="AB971" s="20" t="s">
        <v>49</v>
      </c>
      <c r="AC971" s="19" t="s">
        <v>49</v>
      </c>
      <c r="AD971" s="19" t="str">
        <f ca="1">IFERROR(DATEDIF(DadosViagem5[[#This Row],[Utimo Bip Reserva]],TODAY(),"D"),"")</f>
        <v/>
      </c>
      <c r="AE971" s="36"/>
      <c r="AF971" s="25"/>
      <c r="AG971" s="36"/>
      <c r="AH971" s="25">
        <v>45807</v>
      </c>
      <c r="AI971" s="36" t="str">
        <f>IF(DadosViagem5[[#This Row],[Dias em manutenção ]]&lt;5,"Dentro do Prazo","Fora do Prazo")</f>
        <v>Fora do Prazo</v>
      </c>
      <c r="AJ971" s="36" t="e">
        <v>#REF!</v>
      </c>
    </row>
    <row r="972" spans="1:36">
      <c r="A972" s="19" t="s">
        <v>1693</v>
      </c>
      <c r="B972" s="20"/>
      <c r="C972" s="19" t="s">
        <v>131</v>
      </c>
      <c r="D972" s="19" t="s">
        <v>132</v>
      </c>
      <c r="E972" s="19" t="s">
        <v>114</v>
      </c>
      <c r="F972" s="19" t="s">
        <v>115</v>
      </c>
      <c r="G972" s="19"/>
      <c r="H972" s="20">
        <v>2022</v>
      </c>
      <c r="I972" s="19" t="s">
        <v>41</v>
      </c>
      <c r="J972" s="19" t="s">
        <v>1667</v>
      </c>
      <c r="K972" s="21" t="s">
        <v>1668</v>
      </c>
      <c r="L972" s="22" t="s">
        <v>60</v>
      </c>
      <c r="M972" s="23" t="s">
        <v>61</v>
      </c>
      <c r="N972" s="25" t="s">
        <v>1669</v>
      </c>
      <c r="O972" s="25" t="s">
        <v>710</v>
      </c>
      <c r="P972" s="26">
        <f ca="1">IFERROR(VLOOKUP(DadosViagem5[[#This Row],[Placa]],[1]BIP!A:E,5,FALSE),"")</f>
        <v>45812</v>
      </c>
      <c r="Q972" s="27">
        <f ca="1">DATEDIF(DadosViagem5[[#This Row],[BIP]],TODAY(),"D")</f>
        <v>178</v>
      </c>
      <c r="R972" s="28" t="str">
        <f>IFERROR(VLOOKUP(DadosViagem5[[#This Row],[Placa]],[1]DDS!B:C,2,FALSE),"Verificar cadastro")</f>
        <v>Verificar cadastro</v>
      </c>
      <c r="S972" s="36" t="s">
        <v>574</v>
      </c>
      <c r="T972" s="23"/>
      <c r="U972" s="30"/>
      <c r="V972" s="31"/>
      <c r="W972" s="32" t="s">
        <v>1694</v>
      </c>
      <c r="X972" s="33"/>
      <c r="Y972" s="34"/>
      <c r="Z972" s="32"/>
      <c r="AA972" s="20" t="s">
        <v>49</v>
      </c>
      <c r="AB972" s="20" t="s">
        <v>49</v>
      </c>
      <c r="AC972" s="19" t="s">
        <v>49</v>
      </c>
      <c r="AD972" s="19" t="str">
        <f ca="1">IFERROR(DATEDIF(DadosViagem5[[#This Row],[Utimo Bip Reserva]],TODAY(),"D"),"")</f>
        <v/>
      </c>
      <c r="AE972" s="36" t="s">
        <v>49</v>
      </c>
      <c r="AF972" s="25" t="s">
        <v>49</v>
      </c>
      <c r="AG972" s="36"/>
      <c r="AH972" s="25">
        <v>45807</v>
      </c>
      <c r="AI972" s="36" t="str">
        <f>IF(DadosViagem5[[#This Row],[Dias em manutenção ]]&lt;5,"Dentro do Prazo","Fora do Prazo")</f>
        <v>Fora do Prazo</v>
      </c>
      <c r="AJ972" s="36" t="e">
        <v>#REF!</v>
      </c>
    </row>
    <row r="973" spans="1:36">
      <c r="A973" s="19" t="s">
        <v>1695</v>
      </c>
      <c r="B973" s="20"/>
      <c r="C973" s="19" t="s">
        <v>51</v>
      </c>
      <c r="D973" s="19" t="s">
        <v>52</v>
      </c>
      <c r="E973" s="19" t="s">
        <v>53</v>
      </c>
      <c r="F973" s="19" t="s">
        <v>40</v>
      </c>
      <c r="G973" s="19"/>
      <c r="H973" s="20">
        <v>2023</v>
      </c>
      <c r="I973" s="19" t="s">
        <v>1556</v>
      </c>
      <c r="J973" s="19" t="s">
        <v>1696</v>
      </c>
      <c r="K973" s="19" t="s">
        <v>1697</v>
      </c>
      <c r="L973" s="22" t="s">
        <v>60</v>
      </c>
      <c r="M973" s="23" t="s">
        <v>45</v>
      </c>
      <c r="N973" s="40" t="s">
        <v>1698</v>
      </c>
      <c r="O973" s="40" t="s">
        <v>1699</v>
      </c>
      <c r="P973" s="26">
        <f ca="1">IFERROR(VLOOKUP(DadosViagem5[[#This Row],[Placa]],[1]BIP!A:E,5,FALSE),"")</f>
        <v>45989</v>
      </c>
      <c r="Q973" s="27">
        <f ca="1">DATEDIF(DadosViagem5[[#This Row],[BIP]],TODAY(),"D")</f>
        <v>1</v>
      </c>
      <c r="R973" s="28" t="str">
        <f>IFERROR(VLOOKUP(DadosViagem5[[#This Row],[Placa]],[1]DDS!B:C,2,FALSE),"Verificar cadastro")</f>
        <v>Operando</v>
      </c>
      <c r="S973" s="29" t="s">
        <v>48</v>
      </c>
      <c r="T973" s="23"/>
      <c r="U973" s="30"/>
      <c r="V973" s="31"/>
      <c r="W973" s="32"/>
      <c r="X973" s="33"/>
      <c r="Y973" s="34"/>
      <c r="Z973" s="32"/>
      <c r="AA973" s="20" t="s">
        <v>49</v>
      </c>
      <c r="AB973" s="20" t="s">
        <v>49</v>
      </c>
      <c r="AC973" s="19" t="s">
        <v>49</v>
      </c>
      <c r="AD973" s="19" t="str">
        <f ca="1">IFERROR(DATEDIF(DadosViagem5[[#This Row],[Utimo Bip Reserva]],TODAY(),"D"),"")</f>
        <v/>
      </c>
      <c r="AE973" s="29"/>
      <c r="AF973" s="35"/>
      <c r="AG973" s="36"/>
      <c r="AH973" s="25">
        <v>45807</v>
      </c>
      <c r="AI973" s="36" t="str">
        <f>IF(DadosViagem5[[#This Row],[Dias em manutenção ]]&lt;5,"Dentro do Prazo","Fora do Prazo")</f>
        <v>Fora do Prazo</v>
      </c>
      <c r="AJ973" s="36" t="e">
        <v>#REF!</v>
      </c>
    </row>
    <row r="974" spans="1:36">
      <c r="A974" s="19" t="s">
        <v>1700</v>
      </c>
      <c r="B974" s="20"/>
      <c r="C974" s="19" t="s">
        <v>131</v>
      </c>
      <c r="D974" s="19" t="s">
        <v>132</v>
      </c>
      <c r="E974" s="19" t="s">
        <v>114</v>
      </c>
      <c r="F974" s="19" t="s">
        <v>115</v>
      </c>
      <c r="G974" s="19"/>
      <c r="H974" s="20">
        <v>2022</v>
      </c>
      <c r="I974" s="19" t="s">
        <v>41</v>
      </c>
      <c r="J974" s="19" t="s">
        <v>1667</v>
      </c>
      <c r="K974" s="21" t="s">
        <v>1668</v>
      </c>
      <c r="L974" s="22" t="s">
        <v>60</v>
      </c>
      <c r="M974" s="23" t="s">
        <v>61</v>
      </c>
      <c r="N974" s="25" t="s">
        <v>1669</v>
      </c>
      <c r="O974" s="25" t="s">
        <v>710</v>
      </c>
      <c r="P974" s="26">
        <f ca="1">IFERROR(VLOOKUP(DadosViagem5[[#This Row],[Placa]],[1]BIP!A:E,5,FALSE),"")</f>
        <v>45947</v>
      </c>
      <c r="Q974" s="27">
        <f ca="1">DATEDIF(DadosViagem5[[#This Row],[BIP]],TODAY(),"D")</f>
        <v>43</v>
      </c>
      <c r="R974" s="28" t="str">
        <f>IFERROR(VLOOKUP(DadosViagem5[[#This Row],[Placa]],[1]DDS!B:C,2,FALSE),"Verificar cadastro")</f>
        <v>Sem operação</v>
      </c>
      <c r="S974" s="36" t="s">
        <v>35</v>
      </c>
      <c r="T974" s="23"/>
      <c r="U974" s="30"/>
      <c r="V974" s="31"/>
      <c r="W974" s="32" t="s">
        <v>1677</v>
      </c>
      <c r="X974" s="33"/>
      <c r="Y974" s="34"/>
      <c r="Z974" s="32"/>
      <c r="AA974" s="20" t="s">
        <v>49</v>
      </c>
      <c r="AB974" s="20" t="s">
        <v>49</v>
      </c>
      <c r="AC974" s="19" t="s">
        <v>49</v>
      </c>
      <c r="AD974" s="19" t="str">
        <f ca="1">IFERROR(DATEDIF(DadosViagem5[[#This Row],[Utimo Bip Reserva]],TODAY(),"D"),"")</f>
        <v/>
      </c>
      <c r="AE974" s="36" t="s">
        <v>49</v>
      </c>
      <c r="AF974" s="25" t="s">
        <v>49</v>
      </c>
      <c r="AG974" s="36"/>
      <c r="AH974" s="25">
        <v>45807</v>
      </c>
      <c r="AI974" s="36" t="str">
        <f>IF(DadosViagem5[[#This Row],[Dias em manutenção ]]&lt;5,"Dentro do Prazo","Fora do Prazo")</f>
        <v>Fora do Prazo</v>
      </c>
      <c r="AJ974" s="36" t="e">
        <v>#REF!</v>
      </c>
    </row>
    <row r="975" spans="1:36">
      <c r="A975" s="19" t="s">
        <v>1701</v>
      </c>
      <c r="B975" s="20"/>
      <c r="C975" s="19" t="s">
        <v>131</v>
      </c>
      <c r="D975" s="19" t="s">
        <v>132</v>
      </c>
      <c r="E975" s="19" t="s">
        <v>114</v>
      </c>
      <c r="F975" s="19" t="s">
        <v>115</v>
      </c>
      <c r="G975" s="19"/>
      <c r="H975" s="20">
        <v>2022</v>
      </c>
      <c r="I975" s="19" t="s">
        <v>41</v>
      </c>
      <c r="J975" s="19" t="s">
        <v>1667</v>
      </c>
      <c r="K975" s="21" t="s">
        <v>1668</v>
      </c>
      <c r="L975" s="22" t="s">
        <v>60</v>
      </c>
      <c r="M975" s="23" t="s">
        <v>61</v>
      </c>
      <c r="N975" s="25" t="s">
        <v>1669</v>
      </c>
      <c r="O975" s="25" t="s">
        <v>710</v>
      </c>
      <c r="P975" s="26">
        <f ca="1">IFERROR(VLOOKUP(DadosViagem5[[#This Row],[Placa]],[1]BIP!A:E,5,FALSE),"")</f>
        <v>45915</v>
      </c>
      <c r="Q975" s="27">
        <f ca="1">DATEDIF(DadosViagem5[[#This Row],[BIP]],TODAY(),"D")</f>
        <v>75</v>
      </c>
      <c r="R975" s="28" t="str">
        <f>IFERROR(VLOOKUP(DadosViagem5[[#This Row],[Placa]],[1]DDS!B:C,2,FALSE),"Verificar cadastro")</f>
        <v>Sem operação</v>
      </c>
      <c r="S975" s="36" t="s">
        <v>35</v>
      </c>
      <c r="T975" s="23"/>
      <c r="U975" s="30"/>
      <c r="V975" s="31"/>
      <c r="W975" s="32" t="s">
        <v>1677</v>
      </c>
      <c r="X975" s="33"/>
      <c r="Y975" s="34"/>
      <c r="Z975" s="32"/>
      <c r="AA975" s="20" t="s">
        <v>49</v>
      </c>
      <c r="AB975" s="20" t="s">
        <v>49</v>
      </c>
      <c r="AC975" s="19" t="s">
        <v>49</v>
      </c>
      <c r="AD975" s="19" t="str">
        <f ca="1">IFERROR(DATEDIF(DadosViagem5[[#This Row],[Utimo Bip Reserva]],TODAY(),"D"),"")</f>
        <v/>
      </c>
      <c r="AE975" s="36" t="s">
        <v>49</v>
      </c>
      <c r="AF975" s="25" t="s">
        <v>49</v>
      </c>
      <c r="AG975" s="36"/>
      <c r="AH975" s="25">
        <v>45807</v>
      </c>
      <c r="AI975" s="36" t="str">
        <f>IF(DadosViagem5[[#This Row],[Dias em manutenção ]]&lt;5,"Dentro do Prazo","Fora do Prazo")</f>
        <v>Fora do Prazo</v>
      </c>
      <c r="AJ975" s="36" t="e">
        <v>#REF!</v>
      </c>
    </row>
    <row r="976" spans="1:36">
      <c r="A976" s="19" t="s">
        <v>1702</v>
      </c>
      <c r="B976" s="20">
        <v>550</v>
      </c>
      <c r="C976" s="19" t="s">
        <v>74</v>
      </c>
      <c r="D976" s="19" t="s">
        <v>52</v>
      </c>
      <c r="E976" s="19" t="s">
        <v>75</v>
      </c>
      <c r="F976" s="19" t="s">
        <v>76</v>
      </c>
      <c r="G976" s="19"/>
      <c r="H976" s="20">
        <v>2024</v>
      </c>
      <c r="I976" s="19" t="s">
        <v>41</v>
      </c>
      <c r="J976" s="19" t="s">
        <v>1667</v>
      </c>
      <c r="K976" s="21" t="s">
        <v>1668</v>
      </c>
      <c r="L976" s="22" t="s">
        <v>60</v>
      </c>
      <c r="M976" s="23" t="s">
        <v>77</v>
      </c>
      <c r="N976" s="25" t="s">
        <v>1669</v>
      </c>
      <c r="O976" s="25" t="s">
        <v>710</v>
      </c>
      <c r="P976" s="26">
        <f ca="1">IFERROR(VLOOKUP(DadosViagem5[[#This Row],[Placa]],[1]BIP!A:E,5,FALSE),"")</f>
        <v>45989</v>
      </c>
      <c r="Q976" s="27">
        <f ca="1">DATEDIF(DadosViagem5[[#This Row],[BIP]],TODAY(),"D")</f>
        <v>1</v>
      </c>
      <c r="R976" s="28" t="str">
        <f>IFERROR(VLOOKUP(DadosViagem5[[#This Row],[Placa]],[1]DDS!B:C,2,FALSE),"Verificar cadastro")</f>
        <v>Operando</v>
      </c>
      <c r="S976" s="29" t="s">
        <v>48</v>
      </c>
      <c r="T976" s="23"/>
      <c r="U976" s="30"/>
      <c r="V976" s="31"/>
      <c r="W976" s="32" t="s">
        <v>1703</v>
      </c>
      <c r="X976" s="33"/>
      <c r="Y976" s="34"/>
      <c r="Z976" s="32" t="s">
        <v>1704</v>
      </c>
      <c r="AA976" s="20" t="s">
        <v>49</v>
      </c>
      <c r="AB976" s="20" t="s">
        <v>49</v>
      </c>
      <c r="AC976" s="19" t="s">
        <v>49</v>
      </c>
      <c r="AD976" s="19" t="str">
        <f ca="1">IFERROR(DATEDIF(DadosViagem5[[#This Row],[Utimo Bip Reserva]],TODAY(),"D"),"")</f>
        <v/>
      </c>
      <c r="AE976" s="36" t="s">
        <v>49</v>
      </c>
      <c r="AF976" s="25" t="s">
        <v>49</v>
      </c>
      <c r="AG976" s="36"/>
      <c r="AH976" s="25">
        <v>45807</v>
      </c>
      <c r="AI976" s="36" t="str">
        <f>IF(DadosViagem5[[#This Row],[Dias em manutenção ]]&lt;5,"Dentro do Prazo","Fora do Prazo")</f>
        <v>Fora do Prazo</v>
      </c>
      <c r="AJ976" s="36" t="e">
        <v>#REF!</v>
      </c>
    </row>
    <row r="977" spans="1:36">
      <c r="A977" s="19" t="s">
        <v>1705</v>
      </c>
      <c r="B977" s="20"/>
      <c r="C977" s="19" t="s">
        <v>74</v>
      </c>
      <c r="D977" s="19" t="s">
        <v>52</v>
      </c>
      <c r="E977" s="19" t="s">
        <v>75</v>
      </c>
      <c r="F977" s="19" t="s">
        <v>115</v>
      </c>
      <c r="G977" s="19"/>
      <c r="H977" s="20">
        <v>2024</v>
      </c>
      <c r="I977" s="19" t="s">
        <v>41</v>
      </c>
      <c r="J977" s="19" t="s">
        <v>1667</v>
      </c>
      <c r="K977" s="21" t="s">
        <v>1668</v>
      </c>
      <c r="L977" s="22" t="s">
        <v>60</v>
      </c>
      <c r="M977" s="23" t="s">
        <v>77</v>
      </c>
      <c r="N977" s="25" t="s">
        <v>1669</v>
      </c>
      <c r="O977" s="25" t="s">
        <v>710</v>
      </c>
      <c r="P977" s="26">
        <f ca="1">IFERROR(VLOOKUP(DadosViagem5[[#This Row],[Placa]],[1]BIP!A:E,5,FALSE),"")</f>
        <v>45975</v>
      </c>
      <c r="Q977" s="27">
        <f ca="1">DATEDIF(DadosViagem5[[#This Row],[BIP]],TODAY(),"D")</f>
        <v>15</v>
      </c>
      <c r="R977" s="28" t="str">
        <f>IFERROR(VLOOKUP(DadosViagem5[[#This Row],[Placa]],[1]DDS!B:C,2,FALSE),"Verificar cadastro")</f>
        <v>Manutenção</v>
      </c>
      <c r="S977" s="29" t="s">
        <v>48</v>
      </c>
      <c r="T977" s="23"/>
      <c r="U977" s="30"/>
      <c r="V977" s="31"/>
      <c r="W977" s="32"/>
      <c r="X977" s="33"/>
      <c r="Y977" s="34"/>
      <c r="Z977" s="42"/>
      <c r="AA977" s="20" t="s">
        <v>49</v>
      </c>
      <c r="AB977" s="20" t="s">
        <v>49</v>
      </c>
      <c r="AC977" s="19" t="s">
        <v>49</v>
      </c>
      <c r="AD977" s="19" t="str">
        <f ca="1">IFERROR(DATEDIF(DadosViagem5[[#This Row],[Utimo Bip Reserva]],TODAY(),"D"),"")</f>
        <v/>
      </c>
      <c r="AE977" s="36"/>
      <c r="AF977" s="25"/>
      <c r="AG977" s="36"/>
      <c r="AH977" s="25">
        <v>45807</v>
      </c>
      <c r="AI977" s="36" t="str">
        <f>IF(DadosViagem5[[#This Row],[Dias em manutenção ]]&lt;5,"Dentro do Prazo","Fora do Prazo")</f>
        <v>Fora do Prazo</v>
      </c>
      <c r="AJ977" s="36" t="e">
        <v>#REF!</v>
      </c>
    </row>
    <row r="978" spans="1:36">
      <c r="A978" s="19" t="s">
        <v>1706</v>
      </c>
      <c r="B978" s="20"/>
      <c r="C978" s="19" t="s">
        <v>131</v>
      </c>
      <c r="D978" s="19" t="s">
        <v>132</v>
      </c>
      <c r="E978" s="19" t="s">
        <v>114</v>
      </c>
      <c r="F978" s="19" t="s">
        <v>115</v>
      </c>
      <c r="G978" s="19"/>
      <c r="H978" s="20">
        <v>2022</v>
      </c>
      <c r="I978" s="19" t="s">
        <v>41</v>
      </c>
      <c r="J978" s="19" t="s">
        <v>1667</v>
      </c>
      <c r="K978" s="21" t="s">
        <v>1668</v>
      </c>
      <c r="L978" s="22" t="s">
        <v>60</v>
      </c>
      <c r="M978" s="23" t="s">
        <v>61</v>
      </c>
      <c r="N978" s="25" t="s">
        <v>1669</v>
      </c>
      <c r="O978" s="25" t="s">
        <v>710</v>
      </c>
      <c r="P978" s="26">
        <f ca="1">IFERROR(VLOOKUP(DadosViagem5[[#This Row],[Placa]],[1]BIP!A:E,5,FALSE),"")</f>
        <v>45915</v>
      </c>
      <c r="Q978" s="27">
        <f ca="1">DATEDIF(DadosViagem5[[#This Row],[BIP]],TODAY(),"D")</f>
        <v>75</v>
      </c>
      <c r="R978" s="28" t="str">
        <f>IFERROR(VLOOKUP(DadosViagem5[[#This Row],[Placa]],[1]DDS!B:C,2,FALSE),"Verificar cadastro")</f>
        <v>Sem operação</v>
      </c>
      <c r="S978" s="36" t="s">
        <v>35</v>
      </c>
      <c r="T978" s="23"/>
      <c r="U978" s="30"/>
      <c r="V978" s="31"/>
      <c r="W978" s="140" t="s">
        <v>1707</v>
      </c>
      <c r="X978" s="33"/>
      <c r="Y978" s="34"/>
      <c r="Z978" s="32"/>
      <c r="AA978" s="20" t="s">
        <v>49</v>
      </c>
      <c r="AB978" s="20" t="s">
        <v>49</v>
      </c>
      <c r="AC978" s="19" t="s">
        <v>49</v>
      </c>
      <c r="AD978" s="19" t="str">
        <f ca="1">IFERROR(DATEDIF(DadosViagem5[[#This Row],[Utimo Bip Reserva]],TODAY(),"D"),"")</f>
        <v/>
      </c>
      <c r="AE978" s="36" t="s">
        <v>49</v>
      </c>
      <c r="AF978" s="25" t="s">
        <v>49</v>
      </c>
      <c r="AG978" s="36"/>
      <c r="AH978" s="25">
        <v>45807</v>
      </c>
      <c r="AI978" s="36" t="str">
        <f>IF(DadosViagem5[[#This Row],[Dias em manutenção ]]&lt;5,"Dentro do Prazo","Fora do Prazo")</f>
        <v>Fora do Prazo</v>
      </c>
      <c r="AJ978" s="36" t="e">
        <v>#REF!</v>
      </c>
    </row>
    <row r="979" spans="1:36">
      <c r="A979" s="19" t="s">
        <v>1708</v>
      </c>
      <c r="B979" s="20"/>
      <c r="C979" s="19" t="s">
        <v>131</v>
      </c>
      <c r="D979" s="19" t="s">
        <v>132</v>
      </c>
      <c r="E979" s="19" t="s">
        <v>114</v>
      </c>
      <c r="F979" s="19" t="s">
        <v>115</v>
      </c>
      <c r="G979" s="19"/>
      <c r="H979" s="20">
        <v>2022</v>
      </c>
      <c r="I979" s="19" t="s">
        <v>41</v>
      </c>
      <c r="J979" s="19" t="s">
        <v>1667</v>
      </c>
      <c r="K979" s="21" t="s">
        <v>1668</v>
      </c>
      <c r="L979" s="22" t="s">
        <v>60</v>
      </c>
      <c r="M979" s="23" t="s">
        <v>61</v>
      </c>
      <c r="N979" s="25" t="s">
        <v>1669</v>
      </c>
      <c r="O979" s="25" t="s">
        <v>710</v>
      </c>
      <c r="P979" s="26">
        <f ca="1">IFERROR(VLOOKUP(DadosViagem5[[#This Row],[Placa]],[1]BIP!A:E,5,FALSE),"")</f>
        <v>45916</v>
      </c>
      <c r="Q979" s="27">
        <f ca="1">DATEDIF(DadosViagem5[[#This Row],[BIP]],TODAY(),"D")</f>
        <v>74</v>
      </c>
      <c r="R979" s="28" t="str">
        <f>IFERROR(VLOOKUP(DadosViagem5[[#This Row],[Placa]],[1]DDS!B:C,2,FALSE),"Verificar cadastro")</f>
        <v>Sem operação</v>
      </c>
      <c r="S979" s="36" t="s">
        <v>35</v>
      </c>
      <c r="T979" s="23"/>
      <c r="U979" s="30"/>
      <c r="V979" s="31"/>
      <c r="W979" s="32" t="s">
        <v>1677</v>
      </c>
      <c r="X979" s="57"/>
      <c r="Y979" s="86"/>
      <c r="Z979" s="11"/>
      <c r="AA979" s="20" t="s">
        <v>49</v>
      </c>
      <c r="AB979" s="20" t="s">
        <v>49</v>
      </c>
      <c r="AC979" s="19" t="s">
        <v>49</v>
      </c>
      <c r="AD979" s="19" t="str">
        <f ca="1">IFERROR(DATEDIF(DadosViagem5[[#This Row],[Utimo Bip Reserva]],TODAY(),"D"),"")</f>
        <v/>
      </c>
      <c r="AE979" s="36" t="s">
        <v>49</v>
      </c>
      <c r="AF979" s="25" t="s">
        <v>49</v>
      </c>
      <c r="AG979" s="36"/>
      <c r="AH979" s="25">
        <v>45807</v>
      </c>
      <c r="AI979" s="36" t="str">
        <f>IF(DadosViagem5[[#This Row],[Dias em manutenção ]]&lt;5,"Dentro do Prazo","Fora do Prazo")</f>
        <v>Fora do Prazo</v>
      </c>
      <c r="AJ979" s="36" t="e">
        <v>#REF!</v>
      </c>
    </row>
    <row r="980" spans="1:36">
      <c r="A980" s="19" t="s">
        <v>1709</v>
      </c>
      <c r="B980" s="20">
        <v>334</v>
      </c>
      <c r="C980" s="19" t="s">
        <v>74</v>
      </c>
      <c r="D980" s="19" t="s">
        <v>52</v>
      </c>
      <c r="E980" s="19" t="s">
        <v>75</v>
      </c>
      <c r="F980" s="19" t="s">
        <v>76</v>
      </c>
      <c r="G980" s="19"/>
      <c r="H980" s="20">
        <v>2023</v>
      </c>
      <c r="I980" s="19" t="s">
        <v>137</v>
      </c>
      <c r="J980" s="19" t="s">
        <v>1710</v>
      </c>
      <c r="K980" s="21" t="s">
        <v>1711</v>
      </c>
      <c r="L980" s="22" t="s">
        <v>60</v>
      </c>
      <c r="M980" s="23" t="s">
        <v>77</v>
      </c>
      <c r="N980" s="36" t="s">
        <v>1712</v>
      </c>
      <c r="O980" s="36" t="s">
        <v>1713</v>
      </c>
      <c r="P980" s="26">
        <f ca="1">IFERROR(VLOOKUP(DadosViagem5[[#This Row],[Placa]],[1]BIP!A:E,5,FALSE),"")</f>
        <v>45989</v>
      </c>
      <c r="Q980" s="27">
        <f ca="1">DATEDIF(DadosViagem5[[#This Row],[BIP]],TODAY(),"D")</f>
        <v>1</v>
      </c>
      <c r="R980" s="28" t="str">
        <f>IFERROR(VLOOKUP(DadosViagem5[[#This Row],[Placa]],[1]DDS!B:C,2,FALSE),"Verificar cadastro")</f>
        <v>Operando</v>
      </c>
      <c r="S980" s="29" t="s">
        <v>48</v>
      </c>
      <c r="T980" s="23"/>
      <c r="U980" s="30"/>
      <c r="V980" s="31"/>
      <c r="W980" s="32"/>
      <c r="X980" s="33"/>
      <c r="Y980" s="34"/>
      <c r="Z980" s="32"/>
      <c r="AA980" s="20" t="s">
        <v>49</v>
      </c>
      <c r="AB980" s="20" t="s">
        <v>49</v>
      </c>
      <c r="AC980" s="19" t="s">
        <v>49</v>
      </c>
      <c r="AD980" s="19" t="str">
        <f ca="1">IFERROR(DATEDIF(DadosViagem5[[#This Row],[Utimo Bip Reserva]],TODAY(),"D"),"")</f>
        <v/>
      </c>
      <c r="AE980" s="35" t="s">
        <v>49</v>
      </c>
      <c r="AF980" s="35" t="s">
        <v>49</v>
      </c>
      <c r="AG980" s="36" t="s">
        <v>540</v>
      </c>
      <c r="AH980" s="25">
        <v>4</v>
      </c>
      <c r="AI980" s="36" t="str">
        <f>IF(DadosViagem5[[#This Row],[Dias em manutenção ]]&lt;5,"Dentro do Prazo","Fora do Prazo")</f>
        <v>Dentro do Prazo</v>
      </c>
      <c r="AJ980" s="36" t="e">
        <v>#REF!</v>
      </c>
    </row>
    <row r="981" spans="1:36">
      <c r="A981" s="19" t="s">
        <v>1714</v>
      </c>
      <c r="B981" s="20">
        <v>329</v>
      </c>
      <c r="C981" s="19" t="s">
        <v>74</v>
      </c>
      <c r="D981" s="19" t="s">
        <v>52</v>
      </c>
      <c r="E981" s="19" t="s">
        <v>75</v>
      </c>
      <c r="F981" s="19" t="s">
        <v>76</v>
      </c>
      <c r="G981" s="19"/>
      <c r="H981" s="20">
        <v>2023</v>
      </c>
      <c r="I981" s="19" t="s">
        <v>137</v>
      </c>
      <c r="J981" s="19" t="s">
        <v>1710</v>
      </c>
      <c r="K981" s="21" t="s">
        <v>1711</v>
      </c>
      <c r="L981" s="22" t="s">
        <v>60</v>
      </c>
      <c r="M981" s="23" t="s">
        <v>77</v>
      </c>
      <c r="N981" s="36" t="s">
        <v>1712</v>
      </c>
      <c r="O981" s="36" t="s">
        <v>1715</v>
      </c>
      <c r="P981" s="26">
        <f ca="1">IFERROR(VLOOKUP(DadosViagem5[[#This Row],[Placa]],[1]BIP!A:E,5,FALSE),"")</f>
        <v>45967</v>
      </c>
      <c r="Q981" s="27">
        <f ca="1">DATEDIF(DadosViagem5[[#This Row],[BIP]],TODAY(),"D")</f>
        <v>23</v>
      </c>
      <c r="R981" s="28" t="str">
        <f>IFERROR(VLOOKUP(DadosViagem5[[#This Row],[Placa]],[1]DDS!B:C,2,FALSE),"Verificar cadastro")</f>
        <v> </v>
      </c>
      <c r="S981" s="29" t="s">
        <v>48</v>
      </c>
      <c r="T981" s="23"/>
      <c r="U981" s="30"/>
      <c r="V981" s="31"/>
      <c r="W981" s="32"/>
      <c r="X981" s="33"/>
      <c r="Y981" s="34"/>
      <c r="Z981" s="32"/>
      <c r="AA981" s="20" t="s">
        <v>49</v>
      </c>
      <c r="AB981" s="20" t="s">
        <v>49</v>
      </c>
      <c r="AC981" s="19" t="s">
        <v>49</v>
      </c>
      <c r="AD981" s="19" t="str">
        <f ca="1">IFERROR(DATEDIF(DadosViagem5[[#This Row],[Utimo Bip Reserva]],TODAY(),"D"),"")</f>
        <v/>
      </c>
      <c r="AE981" s="25" t="s">
        <v>49</v>
      </c>
      <c r="AF981" s="25" t="s">
        <v>49</v>
      </c>
      <c r="AG981" s="36"/>
      <c r="AH981" s="25">
        <v>45807</v>
      </c>
      <c r="AI981" s="36" t="str">
        <f>IF(DadosViagem5[[#This Row],[Dias em manutenção ]]&lt;5,"Dentro do Prazo","Fora do Prazo")</f>
        <v>Fora do Prazo</v>
      </c>
      <c r="AJ981" s="36" t="e">
        <v>#REF!</v>
      </c>
    </row>
    <row r="982" spans="1:36">
      <c r="A982" s="19" t="s">
        <v>1716</v>
      </c>
      <c r="B982" s="20"/>
      <c r="C982" s="19" t="s">
        <v>131</v>
      </c>
      <c r="D982" s="19" t="s">
        <v>132</v>
      </c>
      <c r="E982" s="19" t="s">
        <v>57</v>
      </c>
      <c r="F982" s="19" t="s">
        <v>40</v>
      </c>
      <c r="G982" s="19"/>
      <c r="H982" s="20">
        <v>2025</v>
      </c>
      <c r="I982" s="19" t="s">
        <v>137</v>
      </c>
      <c r="J982" s="19" t="s">
        <v>1710</v>
      </c>
      <c r="K982" s="21" t="s">
        <v>1711</v>
      </c>
      <c r="L982" s="22" t="s">
        <v>60</v>
      </c>
      <c r="M982" s="23" t="s">
        <v>45</v>
      </c>
      <c r="N982" s="36" t="s">
        <v>1712</v>
      </c>
      <c r="O982" s="36" t="s">
        <v>1713</v>
      </c>
      <c r="P982" s="26" t="str">
        <f>IFERROR(VLOOKUP(DadosViagem5[[#This Row],[Placa]],[1]BIP!A:E,5,FALSE),"")</f>
        <v/>
      </c>
      <c r="Q982" s="27" t="e">
        <f ca="1">DATEDIF(DadosViagem5[[#This Row],[BIP]],TODAY(),"D")</f>
        <v>#VALUE!</v>
      </c>
      <c r="R982" s="28" t="str">
        <f>IFERROR(VLOOKUP(DadosViagem5[[#This Row],[Placa]],[1]DDS!B:C,2,FALSE),"Verificar cadastro")</f>
        <v>Verificar cadastro</v>
      </c>
      <c r="S982" s="29" t="s">
        <v>48</v>
      </c>
      <c r="T982" s="23"/>
      <c r="U982" s="30"/>
      <c r="V982" s="31"/>
      <c r="W982" s="48" t="s">
        <v>1717</v>
      </c>
      <c r="X982" s="33"/>
      <c r="Y982" s="34"/>
      <c r="Z982" s="32"/>
      <c r="AA982" s="20" t="s">
        <v>49</v>
      </c>
      <c r="AB982" s="20" t="s">
        <v>49</v>
      </c>
      <c r="AC982" s="19" t="s">
        <v>49</v>
      </c>
      <c r="AD982" s="19" t="str">
        <f ca="1">IFERROR(DATEDIF(DadosViagem5[[#This Row],[Utimo Bip Reserva]],TODAY(),"D"),"")</f>
        <v/>
      </c>
      <c r="AE982" s="35" t="s">
        <v>49</v>
      </c>
      <c r="AF982" s="35" t="s">
        <v>49</v>
      </c>
      <c r="AG982" s="36" t="s">
        <v>540</v>
      </c>
      <c r="AH982" s="25">
        <v>4</v>
      </c>
      <c r="AI982" s="36" t="str">
        <f>IF(DadosViagem5[[#This Row],[Dias em manutenção ]]&lt;5,"Dentro do Prazo","Fora do Prazo")</f>
        <v>Dentro do Prazo</v>
      </c>
      <c r="AJ982" s="36" t="e">
        <v>#REF!</v>
      </c>
    </row>
    <row r="983" spans="1:36">
      <c r="A983" s="19" t="s">
        <v>1718</v>
      </c>
      <c r="B983" s="20"/>
      <c r="C983" s="19" t="s">
        <v>131</v>
      </c>
      <c r="D983" s="19" t="s">
        <v>132</v>
      </c>
      <c r="E983" s="19" t="s">
        <v>57</v>
      </c>
      <c r="F983" s="19" t="s">
        <v>40</v>
      </c>
      <c r="G983" s="19"/>
      <c r="H983" s="20">
        <v>2025</v>
      </c>
      <c r="I983" s="19" t="s">
        <v>137</v>
      </c>
      <c r="J983" s="19" t="s">
        <v>1710</v>
      </c>
      <c r="K983" s="21" t="s">
        <v>1711</v>
      </c>
      <c r="L983" s="22" t="s">
        <v>60</v>
      </c>
      <c r="M983" s="23" t="s">
        <v>45</v>
      </c>
      <c r="N983" s="36" t="s">
        <v>1712</v>
      </c>
      <c r="O983" s="36" t="s">
        <v>1713</v>
      </c>
      <c r="P983" s="26" t="str">
        <f>IFERROR(VLOOKUP(DadosViagem5[[#This Row],[Placa]],[1]BIP!A:E,5,FALSE),"")</f>
        <v/>
      </c>
      <c r="Q983" s="27" t="e">
        <f ca="1">DATEDIF(DadosViagem5[[#This Row],[BIP]],TODAY(),"D")</f>
        <v>#VALUE!</v>
      </c>
      <c r="R983" s="28" t="str">
        <f>IFERROR(VLOOKUP(DadosViagem5[[#This Row],[Placa]],[1]DDS!B:C,2,FALSE),"Verificar cadastro")</f>
        <v>Verificar cadastro</v>
      </c>
      <c r="S983" s="29" t="s">
        <v>48</v>
      </c>
      <c r="T983" s="23"/>
      <c r="U983" s="30"/>
      <c r="V983" s="31"/>
      <c r="W983" s="48" t="s">
        <v>1719</v>
      </c>
      <c r="X983" s="33"/>
      <c r="Y983" s="34"/>
      <c r="Z983" s="32"/>
      <c r="AA983" s="20" t="s">
        <v>49</v>
      </c>
      <c r="AB983" s="20" t="s">
        <v>49</v>
      </c>
      <c r="AC983" s="19" t="s">
        <v>49</v>
      </c>
      <c r="AD983" s="19" t="str">
        <f ca="1">IFERROR(DATEDIF(DadosViagem5[[#This Row],[Utimo Bip Reserva]],TODAY(),"D"),"")</f>
        <v/>
      </c>
      <c r="AE983" s="35" t="s">
        <v>49</v>
      </c>
      <c r="AF983" s="35" t="s">
        <v>49</v>
      </c>
      <c r="AG983" s="36" t="s">
        <v>540</v>
      </c>
      <c r="AH983" s="25">
        <v>4</v>
      </c>
      <c r="AI983" s="36" t="str">
        <f>IF(DadosViagem5[[#This Row],[Dias em manutenção ]]&lt;5,"Dentro do Prazo","Fora do Prazo")</f>
        <v>Dentro do Prazo</v>
      </c>
      <c r="AJ983" s="36" t="e">
        <v>#REF!</v>
      </c>
    </row>
    <row r="984" spans="1:36">
      <c r="A984" s="19" t="s">
        <v>1720</v>
      </c>
      <c r="B984" s="20"/>
      <c r="C984" s="19" t="s">
        <v>131</v>
      </c>
      <c r="D984" s="19" t="s">
        <v>132</v>
      </c>
      <c r="E984" s="19" t="s">
        <v>57</v>
      </c>
      <c r="F984" s="19" t="s">
        <v>40</v>
      </c>
      <c r="G984" s="19"/>
      <c r="H984" s="20">
        <v>2025</v>
      </c>
      <c r="I984" s="19" t="s">
        <v>137</v>
      </c>
      <c r="J984" s="19" t="s">
        <v>1710</v>
      </c>
      <c r="K984" s="21" t="s">
        <v>1711</v>
      </c>
      <c r="L984" s="22" t="s">
        <v>60</v>
      </c>
      <c r="M984" s="23" t="s">
        <v>45</v>
      </c>
      <c r="N984" s="36" t="s">
        <v>1712</v>
      </c>
      <c r="O984" s="36" t="s">
        <v>1713</v>
      </c>
      <c r="P984" s="26" t="str">
        <f>IFERROR(VLOOKUP(DadosViagem5[[#This Row],[Placa]],[1]BIP!A:E,5,FALSE),"")</f>
        <v/>
      </c>
      <c r="Q984" s="27" t="e">
        <f ca="1">DATEDIF(DadosViagem5[[#This Row],[BIP]],TODAY(),"D")</f>
        <v>#VALUE!</v>
      </c>
      <c r="R984" s="28" t="str">
        <f>IFERROR(VLOOKUP(DadosViagem5[[#This Row],[Placa]],[1]DDS!B:C,2,FALSE),"Verificar cadastro")</f>
        <v>Verificar cadastro</v>
      </c>
      <c r="S984" s="29" t="s">
        <v>48</v>
      </c>
      <c r="T984" s="23"/>
      <c r="U984" s="30"/>
      <c r="V984" s="31"/>
      <c r="W984" s="48" t="s">
        <v>1721</v>
      </c>
      <c r="X984" s="33"/>
      <c r="Y984" s="34"/>
      <c r="Z984" s="32"/>
      <c r="AA984" s="20" t="s">
        <v>49</v>
      </c>
      <c r="AB984" s="20" t="s">
        <v>49</v>
      </c>
      <c r="AC984" s="19" t="s">
        <v>49</v>
      </c>
      <c r="AD984" s="19" t="str">
        <f ca="1">IFERROR(DATEDIF(DadosViagem5[[#This Row],[Utimo Bip Reserva]],TODAY(),"D"),"")</f>
        <v/>
      </c>
      <c r="AE984" s="35" t="s">
        <v>49</v>
      </c>
      <c r="AF984" s="35" t="s">
        <v>49</v>
      </c>
      <c r="AG984" s="36" t="s">
        <v>540</v>
      </c>
      <c r="AH984" s="25">
        <v>4</v>
      </c>
      <c r="AI984" s="36" t="str">
        <f>IF(DadosViagem5[[#This Row],[Dias em manutenção ]]&lt;5,"Dentro do Prazo","Fora do Prazo")</f>
        <v>Dentro do Prazo</v>
      </c>
      <c r="AJ984" s="36" t="e">
        <v>#REF!</v>
      </c>
    </row>
    <row r="985" spans="1:36">
      <c r="A985" s="19" t="s">
        <v>1722</v>
      </c>
      <c r="B985" s="20"/>
      <c r="C985" s="19" t="s">
        <v>131</v>
      </c>
      <c r="D985" s="19" t="s">
        <v>132</v>
      </c>
      <c r="E985" s="19" t="s">
        <v>57</v>
      </c>
      <c r="F985" s="19" t="s">
        <v>40</v>
      </c>
      <c r="G985" s="19"/>
      <c r="H985" s="20">
        <v>2025</v>
      </c>
      <c r="I985" s="19" t="s">
        <v>137</v>
      </c>
      <c r="J985" s="19" t="s">
        <v>1710</v>
      </c>
      <c r="K985" s="21" t="s">
        <v>1711</v>
      </c>
      <c r="L985" s="22" t="s">
        <v>60</v>
      </c>
      <c r="M985" s="23" t="s">
        <v>45</v>
      </c>
      <c r="N985" s="36" t="s">
        <v>1712</v>
      </c>
      <c r="O985" s="36" t="s">
        <v>1713</v>
      </c>
      <c r="P985" s="26" t="str">
        <f>IFERROR(VLOOKUP(DadosViagem5[[#This Row],[Placa]],[1]BIP!A:E,5,FALSE),"")</f>
        <v/>
      </c>
      <c r="Q985" s="27" t="e">
        <f ca="1">DATEDIF(DadosViagem5[[#This Row],[BIP]],TODAY(),"D")</f>
        <v>#VALUE!</v>
      </c>
      <c r="R985" s="28" t="str">
        <f>IFERROR(VLOOKUP(DadosViagem5[[#This Row],[Placa]],[1]DDS!B:C,2,FALSE),"Verificar cadastro")</f>
        <v>Verificar cadastro</v>
      </c>
      <c r="S985" s="29" t="s">
        <v>48</v>
      </c>
      <c r="T985" s="23"/>
      <c r="U985" s="30"/>
      <c r="V985" s="31"/>
      <c r="W985" s="48" t="s">
        <v>1723</v>
      </c>
      <c r="X985" s="33"/>
      <c r="Y985" s="34"/>
      <c r="Z985" s="32"/>
      <c r="AA985" s="20" t="s">
        <v>49</v>
      </c>
      <c r="AB985" s="20" t="s">
        <v>49</v>
      </c>
      <c r="AC985" s="19" t="s">
        <v>49</v>
      </c>
      <c r="AD985" s="19" t="str">
        <f ca="1">IFERROR(DATEDIF(DadosViagem5[[#This Row],[Utimo Bip Reserva]],TODAY(),"D"),"")</f>
        <v/>
      </c>
      <c r="AE985" s="35" t="s">
        <v>49</v>
      </c>
      <c r="AF985" s="35" t="s">
        <v>49</v>
      </c>
      <c r="AG985" s="36" t="s">
        <v>540</v>
      </c>
      <c r="AH985" s="25">
        <v>4</v>
      </c>
      <c r="AI985" s="36" t="str">
        <f>IF(DadosViagem5[[#This Row],[Dias em manutenção ]]&lt;5,"Dentro do Prazo","Fora do Prazo")</f>
        <v>Dentro do Prazo</v>
      </c>
      <c r="AJ985" s="36" t="e">
        <v>#REF!</v>
      </c>
    </row>
    <row r="986" spans="1:36">
      <c r="A986" s="19" t="s">
        <v>1724</v>
      </c>
      <c r="B986" s="20"/>
      <c r="C986" s="19" t="s">
        <v>131</v>
      </c>
      <c r="D986" s="19" t="s">
        <v>132</v>
      </c>
      <c r="E986" s="19" t="s">
        <v>57</v>
      </c>
      <c r="F986" s="19" t="s">
        <v>40</v>
      </c>
      <c r="G986" s="19"/>
      <c r="H986" s="20">
        <v>2025</v>
      </c>
      <c r="I986" s="19" t="s">
        <v>137</v>
      </c>
      <c r="J986" s="19" t="s">
        <v>1710</v>
      </c>
      <c r="K986" s="21" t="s">
        <v>1711</v>
      </c>
      <c r="L986" s="22" t="s">
        <v>60</v>
      </c>
      <c r="M986" s="23" t="s">
        <v>45</v>
      </c>
      <c r="N986" s="36" t="s">
        <v>1712</v>
      </c>
      <c r="O986" s="36" t="s">
        <v>1713</v>
      </c>
      <c r="P986" s="26" t="str">
        <f>IFERROR(VLOOKUP(DadosViagem5[[#This Row],[Placa]],[1]BIP!A:E,5,FALSE),"")</f>
        <v/>
      </c>
      <c r="Q986" s="27" t="e">
        <f ca="1">DATEDIF(DadosViagem5[[#This Row],[BIP]],TODAY(),"D")</f>
        <v>#VALUE!</v>
      </c>
      <c r="R986" s="28" t="str">
        <f>IFERROR(VLOOKUP(DadosViagem5[[#This Row],[Placa]],[1]DDS!B:C,2,FALSE),"Verificar cadastro")</f>
        <v>Verificar cadastro</v>
      </c>
      <c r="S986" s="29" t="s">
        <v>48</v>
      </c>
      <c r="T986" s="23"/>
      <c r="U986" s="30"/>
      <c r="V986" s="31"/>
      <c r="W986" s="48" t="s">
        <v>1725</v>
      </c>
      <c r="X986" s="33"/>
      <c r="Y986" s="34"/>
      <c r="Z986" s="32"/>
      <c r="AA986" s="20" t="s">
        <v>49</v>
      </c>
      <c r="AB986" s="20" t="s">
        <v>49</v>
      </c>
      <c r="AC986" s="19" t="s">
        <v>49</v>
      </c>
      <c r="AD986" s="19" t="str">
        <f ca="1">IFERROR(DATEDIF(DadosViagem5[[#This Row],[Utimo Bip Reserva]],TODAY(),"D"),"")</f>
        <v/>
      </c>
      <c r="AE986" s="35" t="s">
        <v>49</v>
      </c>
      <c r="AF986" s="35" t="s">
        <v>49</v>
      </c>
      <c r="AG986" s="36" t="s">
        <v>540</v>
      </c>
      <c r="AH986" s="25">
        <v>4</v>
      </c>
      <c r="AI986" s="36" t="str">
        <f>IF(DadosViagem5[[#This Row],[Dias em manutenção ]]&lt;5,"Dentro do Prazo","Fora do Prazo")</f>
        <v>Dentro do Prazo</v>
      </c>
      <c r="AJ986" s="36" t="e">
        <v>#REF!</v>
      </c>
    </row>
    <row r="987" spans="1:36">
      <c r="A987" s="19" t="s">
        <v>1726</v>
      </c>
      <c r="B987" s="20"/>
      <c r="C987" s="19" t="s">
        <v>131</v>
      </c>
      <c r="D987" s="19" t="s">
        <v>132</v>
      </c>
      <c r="E987" s="19" t="s">
        <v>57</v>
      </c>
      <c r="F987" s="19" t="s">
        <v>40</v>
      </c>
      <c r="G987" s="19"/>
      <c r="H987" s="20">
        <v>2025</v>
      </c>
      <c r="I987" s="19" t="s">
        <v>137</v>
      </c>
      <c r="J987" s="19" t="s">
        <v>1710</v>
      </c>
      <c r="K987" s="21" t="s">
        <v>1711</v>
      </c>
      <c r="L987" s="22" t="s">
        <v>60</v>
      </c>
      <c r="M987" s="23" t="s">
        <v>45</v>
      </c>
      <c r="N987" s="36" t="s">
        <v>1712</v>
      </c>
      <c r="O987" s="36" t="s">
        <v>1713</v>
      </c>
      <c r="P987" s="26" t="str">
        <f>IFERROR(VLOOKUP(DadosViagem5[[#This Row],[Placa]],[1]BIP!A:E,5,FALSE),"")</f>
        <v/>
      </c>
      <c r="Q987" s="27" t="e">
        <f ca="1">DATEDIF(DadosViagem5[[#This Row],[BIP]],TODAY(),"D")</f>
        <v>#VALUE!</v>
      </c>
      <c r="R987" s="28" t="str">
        <f>IFERROR(VLOOKUP(DadosViagem5[[#This Row],[Placa]],[1]DDS!B:C,2,FALSE),"Verificar cadastro")</f>
        <v>Verificar cadastro</v>
      </c>
      <c r="S987" s="29" t="s">
        <v>48</v>
      </c>
      <c r="T987" s="23"/>
      <c r="U987" s="30"/>
      <c r="V987" s="31"/>
      <c r="W987" s="48" t="s">
        <v>1727</v>
      </c>
      <c r="X987" s="33"/>
      <c r="Y987" s="34"/>
      <c r="Z987" s="32"/>
      <c r="AA987" s="20" t="s">
        <v>49</v>
      </c>
      <c r="AB987" s="20" t="s">
        <v>49</v>
      </c>
      <c r="AC987" s="19" t="s">
        <v>49</v>
      </c>
      <c r="AD987" s="19" t="str">
        <f ca="1">IFERROR(DATEDIF(DadosViagem5[[#This Row],[Utimo Bip Reserva]],TODAY(),"D"),"")</f>
        <v/>
      </c>
      <c r="AE987" s="35" t="s">
        <v>49</v>
      </c>
      <c r="AF987" s="35" t="s">
        <v>49</v>
      </c>
      <c r="AG987" s="36" t="s">
        <v>540</v>
      </c>
      <c r="AH987" s="25">
        <v>4</v>
      </c>
      <c r="AI987" s="36" t="str">
        <f>IF(DadosViagem5[[#This Row],[Dias em manutenção ]]&lt;5,"Dentro do Prazo","Fora do Prazo")</f>
        <v>Dentro do Prazo</v>
      </c>
      <c r="AJ987" s="36" t="e">
        <v>#REF!</v>
      </c>
    </row>
    <row r="988" spans="1:36">
      <c r="A988" s="19" t="s">
        <v>1728</v>
      </c>
      <c r="B988" s="20"/>
      <c r="C988" s="19" t="s">
        <v>131</v>
      </c>
      <c r="D988" s="19" t="s">
        <v>132</v>
      </c>
      <c r="E988" s="19" t="s">
        <v>57</v>
      </c>
      <c r="F988" s="19" t="s">
        <v>40</v>
      </c>
      <c r="G988" s="19"/>
      <c r="H988" s="20">
        <v>2025</v>
      </c>
      <c r="I988" s="19" t="s">
        <v>137</v>
      </c>
      <c r="J988" s="19" t="s">
        <v>1710</v>
      </c>
      <c r="K988" s="21" t="s">
        <v>1711</v>
      </c>
      <c r="L988" s="22" t="s">
        <v>60</v>
      </c>
      <c r="M988" s="23" t="s">
        <v>45</v>
      </c>
      <c r="N988" s="36" t="s">
        <v>1712</v>
      </c>
      <c r="O988" s="36" t="s">
        <v>1713</v>
      </c>
      <c r="P988" s="26" t="str">
        <f>IFERROR(VLOOKUP(DadosViagem5[[#This Row],[Placa]],[1]BIP!A:E,5,FALSE),"")</f>
        <v/>
      </c>
      <c r="Q988" s="27" t="e">
        <f ca="1">DATEDIF(DadosViagem5[[#This Row],[BIP]],TODAY(),"D")</f>
        <v>#VALUE!</v>
      </c>
      <c r="R988" s="28" t="str">
        <f>IFERROR(VLOOKUP(DadosViagem5[[#This Row],[Placa]],[1]DDS!B:C,2,FALSE),"Verificar cadastro")</f>
        <v>Verificar cadastro</v>
      </c>
      <c r="S988" s="29" t="s">
        <v>48</v>
      </c>
      <c r="T988" s="23"/>
      <c r="U988" s="30"/>
      <c r="V988" s="31"/>
      <c r="W988" s="48" t="s">
        <v>1729</v>
      </c>
      <c r="X988" s="33"/>
      <c r="Y988" s="34"/>
      <c r="Z988" s="32"/>
      <c r="AA988" s="20" t="s">
        <v>49</v>
      </c>
      <c r="AB988" s="20" t="s">
        <v>49</v>
      </c>
      <c r="AC988" s="19" t="s">
        <v>49</v>
      </c>
      <c r="AD988" s="19" t="str">
        <f ca="1">IFERROR(DATEDIF(DadosViagem5[[#This Row],[Utimo Bip Reserva]],TODAY(),"D"),"")</f>
        <v/>
      </c>
      <c r="AE988" s="35" t="s">
        <v>49</v>
      </c>
      <c r="AF988" s="35" t="s">
        <v>49</v>
      </c>
      <c r="AG988" s="36" t="s">
        <v>540</v>
      </c>
      <c r="AH988" s="25">
        <v>4</v>
      </c>
      <c r="AI988" s="36" t="str">
        <f>IF(DadosViagem5[[#This Row],[Dias em manutenção ]]&lt;5,"Dentro do Prazo","Fora do Prazo")</f>
        <v>Dentro do Prazo</v>
      </c>
      <c r="AJ988" s="36" t="e">
        <v>#REF!</v>
      </c>
    </row>
    <row r="989" spans="1:36">
      <c r="A989" s="19" t="s">
        <v>1730</v>
      </c>
      <c r="B989" s="20"/>
      <c r="C989" s="19" t="s">
        <v>131</v>
      </c>
      <c r="D989" s="19" t="s">
        <v>132</v>
      </c>
      <c r="E989" s="19" t="s">
        <v>57</v>
      </c>
      <c r="F989" s="19" t="s">
        <v>40</v>
      </c>
      <c r="G989" s="19"/>
      <c r="H989" s="20">
        <v>2025</v>
      </c>
      <c r="I989" s="19" t="s">
        <v>137</v>
      </c>
      <c r="J989" s="19" t="s">
        <v>1710</v>
      </c>
      <c r="K989" s="21" t="s">
        <v>1711</v>
      </c>
      <c r="L989" s="22" t="s">
        <v>60</v>
      </c>
      <c r="M989" s="23" t="s">
        <v>45</v>
      </c>
      <c r="N989" s="36" t="s">
        <v>1712</v>
      </c>
      <c r="O989" s="36" t="s">
        <v>1713</v>
      </c>
      <c r="P989" s="26" t="str">
        <f>IFERROR(VLOOKUP(DadosViagem5[[#This Row],[Placa]],[1]BIP!A:E,5,FALSE),"")</f>
        <v/>
      </c>
      <c r="Q989" s="27" t="e">
        <f ca="1">DATEDIF(DadosViagem5[[#This Row],[BIP]],TODAY(),"D")</f>
        <v>#VALUE!</v>
      </c>
      <c r="R989" s="28" t="str">
        <f>IFERROR(VLOOKUP(DadosViagem5[[#This Row],[Placa]],[1]DDS!B:C,2,FALSE),"Verificar cadastro")</f>
        <v> </v>
      </c>
      <c r="S989" s="29" t="s">
        <v>48</v>
      </c>
      <c r="T989" s="23"/>
      <c r="U989" s="30"/>
      <c r="V989" s="31"/>
      <c r="W989" s="48"/>
      <c r="X989" s="33"/>
      <c r="Y989" s="34"/>
      <c r="Z989" s="32"/>
      <c r="AA989" s="20" t="s">
        <v>49</v>
      </c>
      <c r="AB989" s="20" t="s">
        <v>49</v>
      </c>
      <c r="AC989" s="19" t="s">
        <v>49</v>
      </c>
      <c r="AD989" s="19" t="str">
        <f ca="1">IFERROR(DATEDIF(DadosViagem5[[#This Row],[Utimo Bip Reserva]],TODAY(),"D"),"")</f>
        <v/>
      </c>
      <c r="AE989" s="35" t="s">
        <v>49</v>
      </c>
      <c r="AF989" s="35" t="s">
        <v>49</v>
      </c>
      <c r="AG989" s="36" t="s">
        <v>540</v>
      </c>
      <c r="AH989" s="25">
        <v>4</v>
      </c>
      <c r="AI989" s="36" t="str">
        <f>IF(DadosViagem5[[#This Row],[Dias em manutenção ]]&lt;5,"Dentro do Prazo","Fora do Prazo")</f>
        <v>Dentro do Prazo</v>
      </c>
      <c r="AJ989" s="36" t="e">
        <v>#REF!</v>
      </c>
    </row>
    <row r="990" spans="1:36">
      <c r="A990" s="19" t="s">
        <v>1731</v>
      </c>
      <c r="B990" s="20"/>
      <c r="C990" s="19" t="s">
        <v>131</v>
      </c>
      <c r="D990" s="19" t="s">
        <v>132</v>
      </c>
      <c r="E990" s="19" t="s">
        <v>57</v>
      </c>
      <c r="F990" s="19" t="s">
        <v>40</v>
      </c>
      <c r="G990" s="19"/>
      <c r="H990" s="20">
        <v>2025</v>
      </c>
      <c r="I990" s="19" t="s">
        <v>137</v>
      </c>
      <c r="J990" s="19" t="s">
        <v>1710</v>
      </c>
      <c r="K990" s="53" t="s">
        <v>1711</v>
      </c>
      <c r="L990" s="22" t="s">
        <v>60</v>
      </c>
      <c r="M990" s="23" t="s">
        <v>45</v>
      </c>
      <c r="N990" s="36" t="s">
        <v>1712</v>
      </c>
      <c r="O990" s="36" t="s">
        <v>1713</v>
      </c>
      <c r="P990" s="26" t="str">
        <f>IFERROR(VLOOKUP(DadosViagem5[[#This Row],[Placa]],[1]BIP!A:E,5,FALSE),"")</f>
        <v/>
      </c>
      <c r="Q990" s="27" t="e">
        <f ca="1">DATEDIF(DadosViagem5[[#This Row],[BIP]],TODAY(),"D")</f>
        <v>#VALUE!</v>
      </c>
      <c r="R990" s="28" t="str">
        <f>IFERROR(VLOOKUP(DadosViagem5[[#This Row],[Placa]],[1]DDS!B:C,2,FALSE),"Verificar cadastro")</f>
        <v> </v>
      </c>
      <c r="S990" s="29" t="s">
        <v>48</v>
      </c>
      <c r="T990" s="23"/>
      <c r="U990" s="30"/>
      <c r="V990" s="31"/>
      <c r="W990" s="48" t="s">
        <v>1732</v>
      </c>
      <c r="X990" s="33"/>
      <c r="Y990" s="34"/>
      <c r="Z990" s="32"/>
      <c r="AA990" s="20" t="s">
        <v>49</v>
      </c>
      <c r="AB990" s="20" t="s">
        <v>49</v>
      </c>
      <c r="AC990" s="19" t="s">
        <v>49</v>
      </c>
      <c r="AD990" s="19" t="str">
        <f ca="1">IFERROR(DATEDIF(DadosViagem5[[#This Row],[Utimo Bip Reserva]],TODAY(),"D"),"")</f>
        <v/>
      </c>
      <c r="AE990" s="35" t="s">
        <v>49</v>
      </c>
      <c r="AF990" s="35" t="s">
        <v>49</v>
      </c>
      <c r="AG990" s="36" t="s">
        <v>540</v>
      </c>
      <c r="AH990" s="25">
        <v>4</v>
      </c>
      <c r="AI990" s="36" t="str">
        <f>IF(DadosViagem5[[#This Row],[Dias em manutenção ]]&lt;5,"Dentro do Prazo","Fora do Prazo")</f>
        <v>Dentro do Prazo</v>
      </c>
      <c r="AJ990" s="36" t="e">
        <v>#REF!</v>
      </c>
    </row>
    <row r="991" spans="1:36">
      <c r="A991" s="19" t="s">
        <v>1733</v>
      </c>
      <c r="B991" s="20"/>
      <c r="C991" s="19" t="s">
        <v>131</v>
      </c>
      <c r="D991" s="19" t="s">
        <v>132</v>
      </c>
      <c r="E991" s="19" t="s">
        <v>57</v>
      </c>
      <c r="F991" s="19" t="s">
        <v>40</v>
      </c>
      <c r="G991" s="19"/>
      <c r="H991" s="20">
        <v>2025</v>
      </c>
      <c r="I991" s="19" t="s">
        <v>137</v>
      </c>
      <c r="J991" s="19" t="s">
        <v>1710</v>
      </c>
      <c r="K991" s="21" t="s">
        <v>1711</v>
      </c>
      <c r="L991" s="22" t="s">
        <v>60</v>
      </c>
      <c r="M991" s="23" t="s">
        <v>45</v>
      </c>
      <c r="N991" s="36" t="s">
        <v>1712</v>
      </c>
      <c r="O991" s="36" t="s">
        <v>1713</v>
      </c>
      <c r="P991" s="26" t="str">
        <f>IFERROR(VLOOKUP(DadosViagem5[[#This Row],[Placa]],[1]BIP!A:E,5,FALSE),"")</f>
        <v/>
      </c>
      <c r="Q991" s="27" t="e">
        <f ca="1">DATEDIF(DadosViagem5[[#This Row],[BIP]],TODAY(),"D")</f>
        <v>#VALUE!</v>
      </c>
      <c r="R991" s="28" t="str">
        <f>IFERROR(VLOOKUP(DadosViagem5[[#This Row],[Placa]],[1]DDS!B:C,2,FALSE),"Verificar cadastro")</f>
        <v>Operando</v>
      </c>
      <c r="S991" s="29" t="s">
        <v>48</v>
      </c>
      <c r="T991" s="23"/>
      <c r="U991" s="30"/>
      <c r="V991" s="31"/>
      <c r="W991" s="32"/>
      <c r="X991" s="33"/>
      <c r="Y991" s="34"/>
      <c r="Z991" s="32"/>
      <c r="AA991" s="20" t="s">
        <v>49</v>
      </c>
      <c r="AB991" s="20" t="s">
        <v>49</v>
      </c>
      <c r="AC991" s="19" t="s">
        <v>49</v>
      </c>
      <c r="AD991" s="19" t="str">
        <f ca="1">IFERROR(DATEDIF(DadosViagem5[[#This Row],[Utimo Bip Reserva]],TODAY(),"D"),"")</f>
        <v/>
      </c>
      <c r="AE991" s="35" t="s">
        <v>49</v>
      </c>
      <c r="AF991" s="35" t="s">
        <v>49</v>
      </c>
      <c r="AG991" s="36" t="s">
        <v>540</v>
      </c>
      <c r="AH991" s="25">
        <v>4</v>
      </c>
      <c r="AI991" s="36" t="str">
        <f>IF(DadosViagem5[[#This Row],[Dias em manutenção ]]&lt;5,"Dentro do Prazo","Fora do Prazo")</f>
        <v>Dentro do Prazo</v>
      </c>
      <c r="AJ991" s="36" t="e">
        <v>#REF!</v>
      </c>
    </row>
    <row r="992" spans="1:36">
      <c r="A992" s="19" t="s">
        <v>1734</v>
      </c>
      <c r="B992" s="20"/>
      <c r="C992" s="19" t="s">
        <v>131</v>
      </c>
      <c r="D992" s="19" t="s">
        <v>132</v>
      </c>
      <c r="E992" s="19" t="s">
        <v>57</v>
      </c>
      <c r="F992" s="19" t="s">
        <v>40</v>
      </c>
      <c r="G992" s="19"/>
      <c r="H992" s="141">
        <v>2025</v>
      </c>
      <c r="I992" s="37" t="s">
        <v>1556</v>
      </c>
      <c r="J992" s="37" t="s">
        <v>1696</v>
      </c>
      <c r="K992" s="37" t="s">
        <v>1697</v>
      </c>
      <c r="L992" s="39" t="s">
        <v>60</v>
      </c>
      <c r="M992" s="46" t="s">
        <v>45</v>
      </c>
      <c r="N992" s="40" t="s">
        <v>1698</v>
      </c>
      <c r="O992" s="40" t="s">
        <v>1699</v>
      </c>
      <c r="P992" s="111" t="str">
        <f>IFERROR(VLOOKUP(DadosViagem5[[#This Row],[Placa]],[1]BIP!A:E,5,FALSE),"")</f>
        <v/>
      </c>
      <c r="Q992" s="112" t="e">
        <f ca="1">DATEDIF(DadosViagem5[[#This Row],[BIP]],TODAY(),"D")</f>
        <v>#VALUE!</v>
      </c>
      <c r="R992" s="113" t="str">
        <f>IFERROR(VLOOKUP(DadosViagem5[[#This Row],[Placa]],[1]DDS!B:C,2,FALSE),"Verificar cadastro")</f>
        <v>Operando</v>
      </c>
      <c r="S992" s="29" t="s">
        <v>48</v>
      </c>
      <c r="T992" s="23"/>
      <c r="U992" s="30"/>
      <c r="V992" s="31"/>
      <c r="W992" s="32"/>
      <c r="X992" s="33"/>
      <c r="Y992" s="34"/>
      <c r="Z992" s="32"/>
      <c r="AA992" s="20" t="s">
        <v>49</v>
      </c>
      <c r="AB992" s="20" t="s">
        <v>49</v>
      </c>
      <c r="AC992" s="19" t="s">
        <v>49</v>
      </c>
      <c r="AD992" s="19" t="str">
        <f ca="1">IFERROR(DATEDIF(DadosViagem5[[#This Row],[Utimo Bip Reserva]],TODAY(),"D"),"")</f>
        <v/>
      </c>
      <c r="AE992" s="35" t="s">
        <v>49</v>
      </c>
      <c r="AF992" s="35" t="s">
        <v>49</v>
      </c>
      <c r="AG992" s="36" t="s">
        <v>540</v>
      </c>
      <c r="AH992" s="25">
        <v>4</v>
      </c>
      <c r="AI992" s="36" t="str">
        <f>IF(DadosViagem5[[#This Row],[Dias em manutenção ]]&lt;5,"Dentro do Prazo","Fora do Prazo")</f>
        <v>Dentro do Prazo</v>
      </c>
      <c r="AJ992" s="36" t="e">
        <v>#REF!</v>
      </c>
    </row>
    <row r="993" spans="1:36">
      <c r="A993" s="19" t="s">
        <v>1735</v>
      </c>
      <c r="B993" s="20"/>
      <c r="C993" s="19" t="s">
        <v>131</v>
      </c>
      <c r="D993" s="19" t="s">
        <v>132</v>
      </c>
      <c r="E993" s="19" t="s">
        <v>57</v>
      </c>
      <c r="F993" s="19" t="s">
        <v>40</v>
      </c>
      <c r="G993" s="19"/>
      <c r="H993" s="20">
        <v>2025</v>
      </c>
      <c r="I993" s="19" t="s">
        <v>137</v>
      </c>
      <c r="J993" s="19" t="s">
        <v>1710</v>
      </c>
      <c r="K993" s="21" t="s">
        <v>1711</v>
      </c>
      <c r="L993" s="22" t="s">
        <v>60</v>
      </c>
      <c r="M993" s="23" t="s">
        <v>45</v>
      </c>
      <c r="N993" s="36" t="s">
        <v>1712</v>
      </c>
      <c r="O993" s="36" t="s">
        <v>1713</v>
      </c>
      <c r="P993" s="26" t="str">
        <f>IFERROR(VLOOKUP(DadosViagem5[[#This Row],[Placa]],[1]BIP!A:E,5,FALSE),"")</f>
        <v/>
      </c>
      <c r="Q993" s="27" t="e">
        <f ca="1">DATEDIF(DadosViagem5[[#This Row],[BIP]],TODAY(),"D")</f>
        <v>#VALUE!</v>
      </c>
      <c r="R993" s="28" t="str">
        <f>IFERROR(VLOOKUP(DadosViagem5[[#This Row],[Placa]],[1]DDS!B:C,2,FALSE),"Verificar cadastro")</f>
        <v>Operando</v>
      </c>
      <c r="S993" s="29" t="s">
        <v>48</v>
      </c>
      <c r="T993" s="23"/>
      <c r="U993" s="30"/>
      <c r="V993" s="31"/>
      <c r="W993" s="32"/>
      <c r="X993" s="33"/>
      <c r="Y993" s="34"/>
      <c r="Z993" s="43"/>
      <c r="AA993" s="20" t="s">
        <v>49</v>
      </c>
      <c r="AB993" s="20" t="s">
        <v>49</v>
      </c>
      <c r="AC993" s="19" t="s">
        <v>49</v>
      </c>
      <c r="AD993" s="19" t="str">
        <f ca="1">IFERROR(DATEDIF(DadosViagem5[[#This Row],[Utimo Bip Reserva]],TODAY(),"D"),"")</f>
        <v/>
      </c>
      <c r="AE993" s="35" t="s">
        <v>49</v>
      </c>
      <c r="AF993" s="35" t="s">
        <v>49</v>
      </c>
      <c r="AG993" s="36" t="s">
        <v>540</v>
      </c>
      <c r="AH993" s="25">
        <v>4</v>
      </c>
      <c r="AI993" s="36" t="str">
        <f>IF(DadosViagem5[[#This Row],[Dias em manutenção ]]&lt;5,"Dentro do Prazo","Fora do Prazo")</f>
        <v>Dentro do Prazo</v>
      </c>
      <c r="AJ993" s="36" t="e">
        <v>#REF!</v>
      </c>
    </row>
    <row r="994" spans="1:36">
      <c r="A994" s="19" t="s">
        <v>1736</v>
      </c>
      <c r="B994" s="20"/>
      <c r="C994" s="19" t="s">
        <v>131</v>
      </c>
      <c r="D994" s="19" t="s">
        <v>132</v>
      </c>
      <c r="E994" s="19" t="s">
        <v>57</v>
      </c>
      <c r="F994" s="19" t="s">
        <v>40</v>
      </c>
      <c r="G994" s="19"/>
      <c r="H994" s="20">
        <v>2025</v>
      </c>
      <c r="I994" s="19" t="s">
        <v>137</v>
      </c>
      <c r="J994" s="19" t="s">
        <v>1710</v>
      </c>
      <c r="K994" s="21" t="s">
        <v>1711</v>
      </c>
      <c r="L994" s="22" t="s">
        <v>60</v>
      </c>
      <c r="M994" s="23" t="s">
        <v>45</v>
      </c>
      <c r="N994" s="36" t="s">
        <v>1712</v>
      </c>
      <c r="O994" s="36" t="s">
        <v>1713</v>
      </c>
      <c r="P994" s="26" t="str">
        <f>IFERROR(VLOOKUP(DadosViagem5[[#This Row],[Placa]],[1]BIP!A:E,5,FALSE),"")</f>
        <v/>
      </c>
      <c r="Q994" s="27" t="e">
        <f ca="1">DATEDIF(DadosViagem5[[#This Row],[BIP]],TODAY(),"D")</f>
        <v>#VALUE!</v>
      </c>
      <c r="R994" s="28" t="str">
        <f>IFERROR(VLOOKUP(DadosViagem5[[#This Row],[Placa]],[1]DDS!B:C,2,FALSE),"Verificar cadastro")</f>
        <v>Operando</v>
      </c>
      <c r="S994" s="29" t="s">
        <v>48</v>
      </c>
      <c r="T994" s="23"/>
      <c r="U994" s="30"/>
      <c r="V994" s="31"/>
      <c r="W994" s="32"/>
      <c r="X994" s="33"/>
      <c r="Y994" s="34"/>
      <c r="Z994" s="32"/>
      <c r="AA994" s="20" t="s">
        <v>49</v>
      </c>
      <c r="AB994" s="20" t="s">
        <v>49</v>
      </c>
      <c r="AC994" s="19" t="s">
        <v>49</v>
      </c>
      <c r="AD994" s="19" t="str">
        <f ca="1">IFERROR(DATEDIF(DadosViagem5[[#This Row],[Utimo Bip Reserva]],TODAY(),"D"),"")</f>
        <v/>
      </c>
      <c r="AE994" s="35" t="s">
        <v>49</v>
      </c>
      <c r="AF994" s="35" t="s">
        <v>49</v>
      </c>
      <c r="AG994" s="36" t="s">
        <v>540</v>
      </c>
      <c r="AH994" s="25">
        <v>4</v>
      </c>
      <c r="AI994" s="36" t="str">
        <f>IF(DadosViagem5[[#This Row],[Dias em manutenção ]]&lt;5,"Dentro do Prazo","Fora do Prazo")</f>
        <v>Dentro do Prazo</v>
      </c>
      <c r="AJ994" s="36" t="e">
        <v>#REF!</v>
      </c>
    </row>
    <row r="995" spans="1:36">
      <c r="A995" s="19" t="s">
        <v>1737</v>
      </c>
      <c r="B995" s="20">
        <v>333</v>
      </c>
      <c r="C995" s="19" t="s">
        <v>74</v>
      </c>
      <c r="D995" s="19" t="s">
        <v>52</v>
      </c>
      <c r="E995" s="19" t="s">
        <v>75</v>
      </c>
      <c r="F995" s="19" t="s">
        <v>76</v>
      </c>
      <c r="G995" s="19"/>
      <c r="H995" s="20">
        <v>2023</v>
      </c>
      <c r="I995" s="19" t="s">
        <v>1738</v>
      </c>
      <c r="J995" s="19" t="s">
        <v>1739</v>
      </c>
      <c r="K995" s="21" t="s">
        <v>1740</v>
      </c>
      <c r="L995" s="22" t="s">
        <v>60</v>
      </c>
      <c r="M995" s="23" t="s">
        <v>77</v>
      </c>
      <c r="N995" s="25" t="s">
        <v>1741</v>
      </c>
      <c r="O995" s="25" t="s">
        <v>1713</v>
      </c>
      <c r="P995" s="26">
        <f ca="1">IFERROR(VLOOKUP(DadosViagem5[[#This Row],[Placa]],[1]BIP!A:E,5,FALSE),"")</f>
        <v>45556</v>
      </c>
      <c r="Q995" s="27">
        <f ca="1">DATEDIF(DadosViagem5[[#This Row],[BIP]],TODAY(),"D")</f>
        <v>434</v>
      </c>
      <c r="R995" s="28" t="str">
        <f>IFERROR(VLOOKUP(DadosViagem5[[#This Row],[Placa]],[1]DDS!B:C,2,FALSE),"Verificar cadastro")</f>
        <v>Verificar cadastro</v>
      </c>
      <c r="S995" s="36" t="s">
        <v>186</v>
      </c>
      <c r="T995" s="23"/>
      <c r="U995" s="30"/>
      <c r="V995" s="31">
        <v>45587</v>
      </c>
      <c r="W995" s="32" t="s">
        <v>1742</v>
      </c>
      <c r="X995" s="57" t="s">
        <v>188</v>
      </c>
      <c r="Y995" s="57">
        <v>45925</v>
      </c>
      <c r="Z995" s="42" t="s">
        <v>1234</v>
      </c>
      <c r="AA995" s="20" t="s">
        <v>49</v>
      </c>
      <c r="AB995" s="20" t="s">
        <v>49</v>
      </c>
      <c r="AC995" s="19" t="s">
        <v>49</v>
      </c>
      <c r="AD995" s="19" t="str">
        <f ca="1">IFERROR(DATEDIF(DadosViagem5[[#This Row],[Utimo Bip Reserva]],TODAY(),"D"),"")</f>
        <v/>
      </c>
      <c r="AE995" s="25" t="s">
        <v>49</v>
      </c>
      <c r="AF995" s="25" t="s">
        <v>49</v>
      </c>
      <c r="AG995" s="36" t="s">
        <v>1056</v>
      </c>
      <c r="AH995" s="25">
        <v>220</v>
      </c>
      <c r="AI995" s="36" t="str">
        <f>IF(DadosViagem5[[#This Row],[Dias em manutenção ]]&lt;5,"Dentro do Prazo","Fora do Prazo")</f>
        <v>Fora do Prazo</v>
      </c>
      <c r="AJ995" s="36" t="e">
        <v>#REF!</v>
      </c>
    </row>
    <row r="996" spans="1:36">
      <c r="A996" s="19" t="s">
        <v>1743</v>
      </c>
      <c r="B996" s="20"/>
      <c r="C996" s="19" t="s">
        <v>671</v>
      </c>
      <c r="D996" s="19" t="s">
        <v>132</v>
      </c>
      <c r="E996" s="19" t="s">
        <v>114</v>
      </c>
      <c r="F996" s="19" t="s">
        <v>115</v>
      </c>
      <c r="G996" s="19"/>
      <c r="H996" s="20">
        <v>2022</v>
      </c>
      <c r="I996" s="19" t="s">
        <v>1738</v>
      </c>
      <c r="J996" s="19" t="s">
        <v>1739</v>
      </c>
      <c r="K996" s="21" t="s">
        <v>1740</v>
      </c>
      <c r="L996" s="22" t="s">
        <v>60</v>
      </c>
      <c r="M996" s="23" t="s">
        <v>140</v>
      </c>
      <c r="N996" s="25" t="s">
        <v>1741</v>
      </c>
      <c r="O996" s="25" t="s">
        <v>1713</v>
      </c>
      <c r="P996" s="26">
        <f ca="1">IFERROR(VLOOKUP(DadosViagem5[[#This Row],[Placa]],[1]BIP!A:E,5,FALSE),"")</f>
        <v>45989</v>
      </c>
      <c r="Q996" s="27">
        <f ca="1">DATEDIF(DadosViagem5[[#This Row],[BIP]],TODAY(),"D")</f>
        <v>1</v>
      </c>
      <c r="R996" s="28" t="str">
        <f>IFERROR(VLOOKUP(DadosViagem5[[#This Row],[Placa]],[1]DDS!B:C,2,FALSE),"Verificar cadastro")</f>
        <v>Operando</v>
      </c>
      <c r="S996" s="29" t="s">
        <v>48</v>
      </c>
      <c r="T996" s="23"/>
      <c r="U996" s="30"/>
      <c r="V996" s="31"/>
      <c r="W996" s="32" t="s">
        <v>155</v>
      </c>
      <c r="X996" s="33"/>
      <c r="Y996" s="34"/>
      <c r="Z996" s="42"/>
      <c r="AA996" s="20" t="s">
        <v>49</v>
      </c>
      <c r="AB996" s="20" t="s">
        <v>49</v>
      </c>
      <c r="AC996" s="19" t="s">
        <v>49</v>
      </c>
      <c r="AD996" s="19" t="str">
        <f ca="1">IFERROR(DATEDIF(DadosViagem5[[#This Row],[Utimo Bip Reserva]],TODAY(),"D"),"")</f>
        <v/>
      </c>
      <c r="AE996" s="36" t="s">
        <v>1744</v>
      </c>
      <c r="AF996" s="25" t="s">
        <v>49</v>
      </c>
      <c r="AG996" s="30" t="s">
        <v>153</v>
      </c>
      <c r="AH996" s="25">
        <v>7</v>
      </c>
      <c r="AI996" s="36" t="str">
        <f>IF(DadosViagem5[[#This Row],[Dias em manutenção ]]&lt;5,"Dentro do Prazo","Fora do Prazo")</f>
        <v>Fora do Prazo</v>
      </c>
      <c r="AJ996" s="36" t="e">
        <v>#REF!</v>
      </c>
    </row>
    <row r="997" spans="1:36">
      <c r="A997" s="19" t="s">
        <v>1745</v>
      </c>
      <c r="B997" s="20"/>
      <c r="C997" s="19" t="s">
        <v>131</v>
      </c>
      <c r="D997" s="19" t="s">
        <v>132</v>
      </c>
      <c r="E997" s="19" t="s">
        <v>114</v>
      </c>
      <c r="F997" s="19" t="s">
        <v>115</v>
      </c>
      <c r="G997" s="19"/>
      <c r="H997" s="20">
        <v>2022</v>
      </c>
      <c r="I997" s="19" t="s">
        <v>1738</v>
      </c>
      <c r="J997" s="19" t="s">
        <v>1739</v>
      </c>
      <c r="K997" s="21" t="s">
        <v>1740</v>
      </c>
      <c r="L997" s="22" t="s">
        <v>60</v>
      </c>
      <c r="M997" s="23" t="s">
        <v>140</v>
      </c>
      <c r="N997" s="25" t="s">
        <v>1741</v>
      </c>
      <c r="O997" s="25" t="s">
        <v>1713</v>
      </c>
      <c r="P997" s="26">
        <f ca="1">IFERROR(VLOOKUP(DadosViagem5[[#This Row],[Placa]],[1]BIP!A:E,5,FALSE),"")</f>
        <v>45875</v>
      </c>
      <c r="Q997" s="27">
        <f ca="1">DATEDIF(DadosViagem5[[#This Row],[BIP]],TODAY(),"D")</f>
        <v>115</v>
      </c>
      <c r="R997" s="28" t="str">
        <f>IFERROR(VLOOKUP(DadosViagem5[[#This Row],[Placa]],[1]DDS!B:C,2,FALSE),"Verificar cadastro")</f>
        <v>Verificar cadastro</v>
      </c>
      <c r="S997" s="29" t="s">
        <v>173</v>
      </c>
      <c r="T997" s="23"/>
      <c r="U997" s="30"/>
      <c r="V997" s="31">
        <v>45875</v>
      </c>
      <c r="W997" s="32" t="s">
        <v>1746</v>
      </c>
      <c r="X997" s="33" t="s">
        <v>65</v>
      </c>
      <c r="Y997" s="34" t="s">
        <v>159</v>
      </c>
      <c r="Z997" s="42" t="s">
        <v>1234</v>
      </c>
      <c r="AA997" s="20" t="s">
        <v>49</v>
      </c>
      <c r="AB997" s="20" t="s">
        <v>49</v>
      </c>
      <c r="AC997" s="19" t="s">
        <v>49</v>
      </c>
      <c r="AD997" s="19" t="str">
        <f ca="1">IFERROR(DATEDIF(DadosViagem5[[#This Row],[Utimo Bip Reserva]],TODAY(),"D"),"")</f>
        <v/>
      </c>
      <c r="AE997" s="36" t="s">
        <v>49</v>
      </c>
      <c r="AF997" s="25" t="s">
        <v>49</v>
      </c>
      <c r="AG997" s="36"/>
      <c r="AH997" s="25">
        <v>45807</v>
      </c>
      <c r="AI997" s="36" t="str">
        <f>IF(DadosViagem5[[#This Row],[Dias em manutenção ]]&lt;5,"Dentro do Prazo","Fora do Prazo")</f>
        <v>Fora do Prazo</v>
      </c>
      <c r="AJ997" s="36" t="e">
        <v>#REF!</v>
      </c>
    </row>
    <row r="998" spans="1:36">
      <c r="A998" s="19" t="s">
        <v>1747</v>
      </c>
      <c r="B998" s="20"/>
      <c r="C998" s="19" t="s">
        <v>131</v>
      </c>
      <c r="D998" s="19" t="s">
        <v>132</v>
      </c>
      <c r="E998" s="19" t="s">
        <v>114</v>
      </c>
      <c r="F998" s="19" t="s">
        <v>115</v>
      </c>
      <c r="G998" s="19"/>
      <c r="H998" s="20">
        <v>2022</v>
      </c>
      <c r="I998" s="19" t="s">
        <v>1738</v>
      </c>
      <c r="J998" s="19" t="s">
        <v>1739</v>
      </c>
      <c r="K998" s="21" t="s">
        <v>1740</v>
      </c>
      <c r="L998" s="22" t="s">
        <v>60</v>
      </c>
      <c r="M998" s="23" t="s">
        <v>140</v>
      </c>
      <c r="N998" s="25" t="s">
        <v>1741</v>
      </c>
      <c r="O998" s="25" t="s">
        <v>1713</v>
      </c>
      <c r="P998" s="26">
        <f ca="1">IFERROR(VLOOKUP(DadosViagem5[[#This Row],[Placa]],[1]BIP!A:E,5,FALSE),"")</f>
        <v>45922</v>
      </c>
      <c r="Q998" s="27">
        <f ca="1">DATEDIF(DadosViagem5[[#This Row],[BIP]],TODAY(),"D")</f>
        <v>68</v>
      </c>
      <c r="R998" s="28" t="str">
        <f>IFERROR(VLOOKUP(DadosViagem5[[#This Row],[Placa]],[1]DDS!B:C,2,FALSE),"Verificar cadastro")</f>
        <v> </v>
      </c>
      <c r="S998" s="36" t="s">
        <v>35</v>
      </c>
      <c r="T998" s="23"/>
      <c r="U998" s="30"/>
      <c r="V998" s="31"/>
      <c r="W998" s="32" t="s">
        <v>1748</v>
      </c>
      <c r="X998" s="33" t="s">
        <v>1749</v>
      </c>
      <c r="Y998" s="34"/>
      <c r="Z998" s="42"/>
      <c r="AA998" s="20" t="s">
        <v>49</v>
      </c>
      <c r="AB998" s="20" t="s">
        <v>49</v>
      </c>
      <c r="AC998" s="19" t="s">
        <v>49</v>
      </c>
      <c r="AD998" s="19" t="str">
        <f ca="1">IFERROR(DATEDIF(DadosViagem5[[#This Row],[Utimo Bip Reserva]],TODAY(),"D"),"")</f>
        <v/>
      </c>
      <c r="AE998" s="36" t="s">
        <v>49</v>
      </c>
      <c r="AF998" s="25" t="s">
        <v>49</v>
      </c>
      <c r="AG998" s="36"/>
      <c r="AH998" s="25">
        <v>45807</v>
      </c>
      <c r="AI998" s="36" t="str">
        <f>IF(DadosViagem5[[#This Row],[Dias em manutenção ]]&lt;5,"Dentro do Prazo","Fora do Prazo")</f>
        <v>Fora do Prazo</v>
      </c>
      <c r="AJ998" s="36" t="e">
        <v>#REF!</v>
      </c>
    </row>
    <row r="999" spans="1:36">
      <c r="A999" s="19" t="s">
        <v>1750</v>
      </c>
      <c r="B999" s="20"/>
      <c r="C999" s="19" t="s">
        <v>131</v>
      </c>
      <c r="D999" s="19" t="s">
        <v>132</v>
      </c>
      <c r="E999" s="19" t="s">
        <v>114</v>
      </c>
      <c r="F999" s="19" t="s">
        <v>115</v>
      </c>
      <c r="G999" s="19"/>
      <c r="H999" s="20">
        <v>2022</v>
      </c>
      <c r="I999" s="19" t="s">
        <v>1738</v>
      </c>
      <c r="J999" s="19" t="s">
        <v>1739</v>
      </c>
      <c r="K999" s="21" t="s">
        <v>1740</v>
      </c>
      <c r="L999" s="22" t="s">
        <v>60</v>
      </c>
      <c r="M999" s="23" t="s">
        <v>140</v>
      </c>
      <c r="N999" s="25" t="s">
        <v>1741</v>
      </c>
      <c r="O999" s="25" t="s">
        <v>1713</v>
      </c>
      <c r="P999" s="26">
        <f ca="1">IFERROR(VLOOKUP(DadosViagem5[[#This Row],[Placa]],[1]BIP!A:E,5,FALSE),"")</f>
        <v>45989</v>
      </c>
      <c r="Q999" s="27">
        <f ca="1">DATEDIF(DadosViagem5[[#This Row],[BIP]],TODAY(),"D")</f>
        <v>1</v>
      </c>
      <c r="R999" s="28" t="str">
        <f>IFERROR(VLOOKUP(DadosViagem5[[#This Row],[Placa]],[1]DDS!B:C,2,FALSE),"Verificar cadastro")</f>
        <v>Operando</v>
      </c>
      <c r="S999" s="29" t="s">
        <v>48</v>
      </c>
      <c r="T999" s="23"/>
      <c r="U999" s="30"/>
      <c r="V999" s="31"/>
      <c r="W999" s="32" t="s">
        <v>155</v>
      </c>
      <c r="X999" s="33"/>
      <c r="Y999" s="34"/>
      <c r="Z999" s="42"/>
      <c r="AA999" s="20" t="s">
        <v>49</v>
      </c>
      <c r="AB999" s="20" t="s">
        <v>49</v>
      </c>
      <c r="AC999" s="19" t="s">
        <v>49</v>
      </c>
      <c r="AD999" s="19" t="str">
        <f ca="1">IFERROR(DATEDIF(DadosViagem5[[#This Row],[Utimo Bip Reserva]],TODAY(),"D"),"")</f>
        <v/>
      </c>
      <c r="AE999" s="36" t="s">
        <v>49</v>
      </c>
      <c r="AF999" s="25" t="s">
        <v>49</v>
      </c>
      <c r="AG999" s="36"/>
      <c r="AH999" s="25">
        <v>45807</v>
      </c>
      <c r="AI999" s="36" t="str">
        <f>IF(DadosViagem5[[#This Row],[Dias em manutenção ]]&lt;5,"Dentro do Prazo","Fora do Prazo")</f>
        <v>Fora do Prazo</v>
      </c>
      <c r="AJ999" s="36" t="e">
        <v>#REF!</v>
      </c>
    </row>
    <row r="1000" spans="1:36">
      <c r="A1000" s="142" t="s">
        <v>1751</v>
      </c>
      <c r="B1000" s="20"/>
      <c r="C1000" s="19" t="s">
        <v>131</v>
      </c>
      <c r="D1000" s="19" t="s">
        <v>132</v>
      </c>
      <c r="E1000" s="19" t="s">
        <v>57</v>
      </c>
      <c r="F1000" s="19" t="s">
        <v>40</v>
      </c>
      <c r="G1000" s="19"/>
      <c r="H1000" s="20">
        <v>2021</v>
      </c>
      <c r="I1000" s="19" t="s">
        <v>1738</v>
      </c>
      <c r="J1000" s="19" t="s">
        <v>1739</v>
      </c>
      <c r="K1000" s="21" t="s">
        <v>1740</v>
      </c>
      <c r="L1000" s="22" t="s">
        <v>60</v>
      </c>
      <c r="M1000" s="23" t="s">
        <v>140</v>
      </c>
      <c r="N1000" s="25" t="s">
        <v>1741</v>
      </c>
      <c r="O1000" s="25" t="s">
        <v>1713</v>
      </c>
      <c r="P1000" s="26">
        <f ca="1">IFERROR(VLOOKUP(DadosViagem5[[#This Row],[Placa]],[1]BIP!A:E,5,FALSE),"")</f>
        <v>45989</v>
      </c>
      <c r="Q1000" s="27">
        <f ca="1">DATEDIF(DadosViagem5[[#This Row],[BIP]],TODAY(),"D")</f>
        <v>1</v>
      </c>
      <c r="R1000" s="28" t="str">
        <f>IFERROR(VLOOKUP(DadosViagem5[[#This Row],[Placa]],[1]DDS!B:C,2,FALSE),"Verificar cadastro")</f>
        <v>Operando</v>
      </c>
      <c r="S1000" s="29" t="s">
        <v>48</v>
      </c>
      <c r="T1000" s="23"/>
      <c r="U1000" s="30"/>
      <c r="V1000" s="31"/>
      <c r="W1000" s="32" t="s">
        <v>1752</v>
      </c>
      <c r="X1000" s="33"/>
      <c r="Y1000" s="34"/>
      <c r="Z1000" s="42"/>
      <c r="AA1000" s="20" t="s">
        <v>49</v>
      </c>
      <c r="AB1000" s="20" t="s">
        <v>49</v>
      </c>
      <c r="AC1000" s="19" t="s">
        <v>49</v>
      </c>
      <c r="AD1000" s="19" t="str">
        <f ca="1">IFERROR(DATEDIF(DadosViagem5[[#This Row],[Utimo Bip Reserva]],TODAY(),"D"),"")</f>
        <v/>
      </c>
      <c r="AE1000" s="36" t="s">
        <v>1744</v>
      </c>
      <c r="AF1000" s="25" t="s">
        <v>49</v>
      </c>
      <c r="AG1000" s="36"/>
      <c r="AH1000" s="25">
        <v>10</v>
      </c>
      <c r="AI1000" s="36" t="str">
        <f>IF(DadosViagem5[[#This Row],[Dias em manutenção ]]&lt;5,"Dentro do Prazo","Fora do Prazo")</f>
        <v>Fora do Prazo</v>
      </c>
      <c r="AJ1000" s="36" t="e">
        <v>#REF!</v>
      </c>
    </row>
    <row r="1001" spans="1:36">
      <c r="A1001" s="19" t="s">
        <v>1753</v>
      </c>
      <c r="B1001" s="20">
        <v>381</v>
      </c>
      <c r="C1001" s="19" t="s">
        <v>74</v>
      </c>
      <c r="D1001" s="19" t="s">
        <v>52</v>
      </c>
      <c r="E1001" s="19" t="s">
        <v>75</v>
      </c>
      <c r="F1001" s="19" t="s">
        <v>76</v>
      </c>
      <c r="G1001" s="19"/>
      <c r="H1001" s="20">
        <v>2024</v>
      </c>
      <c r="I1001" s="19" t="s">
        <v>1738</v>
      </c>
      <c r="J1001" s="19" t="s">
        <v>1739</v>
      </c>
      <c r="K1001" s="21" t="s">
        <v>1740</v>
      </c>
      <c r="L1001" s="22" t="s">
        <v>60</v>
      </c>
      <c r="M1001" s="23" t="s">
        <v>77</v>
      </c>
      <c r="N1001" s="25" t="s">
        <v>1741</v>
      </c>
      <c r="O1001" s="25" t="s">
        <v>1713</v>
      </c>
      <c r="P1001" s="26">
        <f ca="1">IFERROR(VLOOKUP(DadosViagem5[[#This Row],[Placa]],[1]BIP!A:E,5,FALSE),"")</f>
        <v>45989</v>
      </c>
      <c r="Q1001" s="27">
        <f ca="1">DATEDIF(DadosViagem5[[#This Row],[BIP]],TODAY(),"D")</f>
        <v>1</v>
      </c>
      <c r="R1001" s="28" t="str">
        <f>IFERROR(VLOOKUP(DadosViagem5[[#This Row],[Placa]],[1]DDS!B:C,2,FALSE),"Verificar cadastro")</f>
        <v>Operando</v>
      </c>
      <c r="S1001" s="29" t="s">
        <v>48</v>
      </c>
      <c r="T1001" s="23"/>
      <c r="U1001" s="30"/>
      <c r="V1001" s="31"/>
      <c r="W1001" s="32" t="s">
        <v>1754</v>
      </c>
      <c r="X1001" s="57"/>
      <c r="Y1001" s="34"/>
      <c r="Z1001" s="42"/>
      <c r="AA1001" s="20" t="s">
        <v>49</v>
      </c>
      <c r="AB1001" s="20" t="s">
        <v>49</v>
      </c>
      <c r="AC1001" s="19" t="s">
        <v>49</v>
      </c>
      <c r="AD1001" s="19" t="str">
        <f ca="1">IFERROR(DATEDIF(DadosViagem5[[#This Row],[Utimo Bip Reserva]],TODAY(),"D"),"")</f>
        <v/>
      </c>
      <c r="AE1001" s="36" t="s">
        <v>49</v>
      </c>
      <c r="AF1001" s="25" t="s">
        <v>49</v>
      </c>
      <c r="AG1001" s="36"/>
      <c r="AH1001" s="25">
        <v>45807</v>
      </c>
      <c r="AI1001" s="36" t="str">
        <f>IF(DadosViagem5[[#This Row],[Dias em manutenção ]]&lt;5,"Dentro do Prazo","Fora do Prazo")</f>
        <v>Fora do Prazo</v>
      </c>
      <c r="AJ1001" s="36" t="e">
        <v>#REF!</v>
      </c>
    </row>
    <row r="1002" spans="1:36">
      <c r="A1002" s="19" t="s">
        <v>1755</v>
      </c>
      <c r="B1002" s="20">
        <v>434</v>
      </c>
      <c r="C1002" s="19" t="s">
        <v>74</v>
      </c>
      <c r="D1002" s="19" t="s">
        <v>52</v>
      </c>
      <c r="E1002" s="19" t="s">
        <v>75</v>
      </c>
      <c r="F1002" s="19" t="s">
        <v>76</v>
      </c>
      <c r="G1002" s="19"/>
      <c r="H1002" s="20">
        <v>2024</v>
      </c>
      <c r="I1002" s="19" t="s">
        <v>1738</v>
      </c>
      <c r="J1002" s="19" t="s">
        <v>1739</v>
      </c>
      <c r="K1002" s="108" t="s">
        <v>1740</v>
      </c>
      <c r="L1002" s="22" t="s">
        <v>60</v>
      </c>
      <c r="M1002" s="23" t="s">
        <v>77</v>
      </c>
      <c r="N1002" s="36" t="s">
        <v>1741</v>
      </c>
      <c r="O1002" s="25" t="s">
        <v>1756</v>
      </c>
      <c r="P1002" s="26">
        <f ca="1">IFERROR(VLOOKUP(DadosViagem5[[#This Row],[Placa]],[1]BIP!A:E,5,FALSE),"")</f>
        <v>0</v>
      </c>
      <c r="Q1002" s="27">
        <f ca="1">DATEDIF(DadosViagem5[[#This Row],[BIP]],TODAY(),"D")</f>
        <v>45990</v>
      </c>
      <c r="R1002" s="28" t="str">
        <f>IFERROR(VLOOKUP(DadosViagem5[[#This Row],[Placa]],[1]DDS!B:C,2,FALSE),"Verificar cadastro")</f>
        <v>Manutenção</v>
      </c>
      <c r="S1002" s="36" t="s">
        <v>186</v>
      </c>
      <c r="T1002" s="23"/>
      <c r="U1002" s="30"/>
      <c r="V1002" s="31">
        <v>45906</v>
      </c>
      <c r="W1002" s="32" t="s">
        <v>1757</v>
      </c>
      <c r="X1002" s="33" t="s">
        <v>188</v>
      </c>
      <c r="Y1002" s="34" t="s">
        <v>159</v>
      </c>
      <c r="Z1002" s="42" t="s">
        <v>1234</v>
      </c>
      <c r="AA1002" s="20" t="s">
        <v>49</v>
      </c>
      <c r="AB1002" s="20" t="s">
        <v>49</v>
      </c>
      <c r="AC1002" s="19"/>
      <c r="AD1002" s="19">
        <f ca="1">IFERROR(DATEDIF(DadosViagem5[[#This Row],[Utimo Bip Reserva]],TODAY(),"D"),"")</f>
        <v>45990</v>
      </c>
      <c r="AE1002" s="25" t="s">
        <v>49</v>
      </c>
      <c r="AF1002" s="25" t="s">
        <v>49</v>
      </c>
      <c r="AG1002" s="36" t="s">
        <v>997</v>
      </c>
      <c r="AH1002" s="25">
        <v>18</v>
      </c>
      <c r="AI1002" s="36" t="str">
        <f>IF(DadosViagem5[[#This Row],[Dias em manutenção ]]&lt;5,"Dentro do Prazo","Fora do Prazo")</f>
        <v>Fora do Prazo</v>
      </c>
      <c r="AJ1002" s="36" t="e">
        <v>#REF!</v>
      </c>
    </row>
    <row r="1003" spans="1:36">
      <c r="A1003" s="19" t="s">
        <v>1758</v>
      </c>
      <c r="B1003" s="20"/>
      <c r="C1003" s="19" t="s">
        <v>88</v>
      </c>
      <c r="D1003" s="19" t="s">
        <v>52</v>
      </c>
      <c r="E1003" s="19" t="s">
        <v>114</v>
      </c>
      <c r="F1003" s="19" t="s">
        <v>115</v>
      </c>
      <c r="G1003" s="19"/>
      <c r="H1003" s="20">
        <v>2021</v>
      </c>
      <c r="I1003" s="19" t="s">
        <v>1738</v>
      </c>
      <c r="J1003" s="19" t="s">
        <v>1739</v>
      </c>
      <c r="K1003" s="21" t="s">
        <v>1740</v>
      </c>
      <c r="L1003" s="22" t="s">
        <v>60</v>
      </c>
      <c r="M1003" s="23" t="s">
        <v>140</v>
      </c>
      <c r="N1003" s="25" t="s">
        <v>1741</v>
      </c>
      <c r="O1003" s="25" t="s">
        <v>1713</v>
      </c>
      <c r="P1003" s="26">
        <f ca="1">IFERROR(VLOOKUP(DadosViagem5[[#This Row],[Placa]],[1]BIP!A:E,5,FALSE),"")</f>
        <v>45969</v>
      </c>
      <c r="Q1003" s="27">
        <f ca="1">DATEDIF(DadosViagem5[[#This Row],[BIP]],TODAY(),"D")</f>
        <v>21</v>
      </c>
      <c r="R1003" s="28" t="str">
        <f>IFERROR(VLOOKUP(DadosViagem5[[#This Row],[Placa]],[1]DDS!B:C,2,FALSE),"Verificar cadastro")</f>
        <v> </v>
      </c>
      <c r="S1003" s="29" t="s">
        <v>48</v>
      </c>
      <c r="T1003" s="23"/>
      <c r="U1003" s="30"/>
      <c r="V1003" s="31"/>
      <c r="W1003" s="32" t="s">
        <v>155</v>
      </c>
      <c r="X1003" s="33"/>
      <c r="Y1003" s="34"/>
      <c r="Z1003" s="42"/>
      <c r="AA1003" s="20" t="s">
        <v>49</v>
      </c>
      <c r="AB1003" s="20"/>
      <c r="AC1003" s="19"/>
      <c r="AD1003" s="19"/>
      <c r="AE1003" s="36" t="s">
        <v>49</v>
      </c>
      <c r="AF1003" s="25" t="s">
        <v>49</v>
      </c>
      <c r="AG1003" s="36" t="s">
        <v>540</v>
      </c>
      <c r="AH1003" s="25">
        <v>4</v>
      </c>
      <c r="AI1003" s="36" t="str">
        <f>IF(DadosViagem5[[#This Row],[Dias em manutenção ]]&lt;5,"Dentro do Prazo","Fora do Prazo")</f>
        <v>Dentro do Prazo</v>
      </c>
      <c r="AJ1003" s="36" t="e">
        <v>#REF!</v>
      </c>
    </row>
    <row r="1004" spans="1:36">
      <c r="A1004" s="19" t="s">
        <v>1759</v>
      </c>
      <c r="B1004" s="20"/>
      <c r="C1004" s="19" t="s">
        <v>131</v>
      </c>
      <c r="D1004" s="19" t="s">
        <v>132</v>
      </c>
      <c r="E1004" s="19" t="s">
        <v>114</v>
      </c>
      <c r="F1004" s="19" t="s">
        <v>115</v>
      </c>
      <c r="G1004" s="19"/>
      <c r="H1004" s="20">
        <v>2022</v>
      </c>
      <c r="I1004" s="19" t="s">
        <v>1738</v>
      </c>
      <c r="J1004" s="19" t="s">
        <v>1739</v>
      </c>
      <c r="K1004" s="21" t="s">
        <v>1740</v>
      </c>
      <c r="L1004" s="22" t="s">
        <v>60</v>
      </c>
      <c r="M1004" s="23" t="s">
        <v>140</v>
      </c>
      <c r="N1004" s="25" t="s">
        <v>1741</v>
      </c>
      <c r="O1004" s="25" t="s">
        <v>1713</v>
      </c>
      <c r="P1004" s="26">
        <f ca="1">IFERROR(VLOOKUP(DadosViagem5[[#This Row],[Placa]],[1]BIP!A:E,5,FALSE),"")</f>
        <v>45989</v>
      </c>
      <c r="Q1004" s="27">
        <f ca="1">DATEDIF(DadosViagem5[[#This Row],[BIP]],TODAY(),"D")</f>
        <v>1</v>
      </c>
      <c r="R1004" s="28" t="str">
        <f>IFERROR(VLOOKUP(DadosViagem5[[#This Row],[Placa]],[1]DDS!B:C,2,FALSE),"Verificar cadastro")</f>
        <v>Operando</v>
      </c>
      <c r="S1004" s="29" t="s">
        <v>48</v>
      </c>
      <c r="T1004" s="23"/>
      <c r="U1004" s="30"/>
      <c r="V1004" s="31"/>
      <c r="W1004" s="32" t="s">
        <v>993</v>
      </c>
      <c r="X1004" s="33"/>
      <c r="Y1004" s="86"/>
      <c r="Z1004" s="42"/>
      <c r="AA1004" s="20" t="s">
        <v>49</v>
      </c>
      <c r="AB1004" s="20" t="s">
        <v>49</v>
      </c>
      <c r="AC1004" s="19" t="s">
        <v>49</v>
      </c>
      <c r="AD1004" s="19" t="str">
        <f ca="1">IFERROR(DATEDIF(DadosViagem5[[#This Row],[Utimo Bip Reserva]],TODAY(),"D"),"")</f>
        <v/>
      </c>
      <c r="AE1004" s="36" t="s">
        <v>49</v>
      </c>
      <c r="AF1004" s="25" t="s">
        <v>49</v>
      </c>
      <c r="AG1004" s="36"/>
      <c r="AH1004" s="25">
        <v>45807</v>
      </c>
      <c r="AI1004" s="36" t="str">
        <f>IF(DadosViagem5[[#This Row],[Dias em manutenção ]]&lt;5,"Dentro do Prazo","Fora do Prazo")</f>
        <v>Fora do Prazo</v>
      </c>
      <c r="AJ1004" s="36" t="e">
        <v>#REF!</v>
      </c>
    </row>
    <row r="1005" spans="1:36">
      <c r="A1005" s="19" t="s">
        <v>1760</v>
      </c>
      <c r="B1005" s="20">
        <v>345</v>
      </c>
      <c r="C1005" s="19" t="s">
        <v>74</v>
      </c>
      <c r="D1005" s="19" t="s">
        <v>52</v>
      </c>
      <c r="E1005" s="19" t="s">
        <v>75</v>
      </c>
      <c r="F1005" s="19" t="s">
        <v>115</v>
      </c>
      <c r="G1005" s="19"/>
      <c r="H1005" s="20">
        <v>2023</v>
      </c>
      <c r="I1005" s="19" t="s">
        <v>1738</v>
      </c>
      <c r="J1005" s="19" t="s">
        <v>1739</v>
      </c>
      <c r="K1005" s="21" t="s">
        <v>1740</v>
      </c>
      <c r="L1005" s="22" t="s">
        <v>60</v>
      </c>
      <c r="M1005" s="23" t="s">
        <v>77</v>
      </c>
      <c r="N1005" s="25" t="s">
        <v>1741</v>
      </c>
      <c r="O1005" s="25" t="s">
        <v>1713</v>
      </c>
      <c r="P1005" s="26">
        <f ca="1">IFERROR(VLOOKUP(DadosViagem5[[#This Row],[Placa]],[1]BIP!A:E,5,FALSE),"")</f>
        <v>45989</v>
      </c>
      <c r="Q1005" s="27">
        <f ca="1">DATEDIF(DadosViagem5[[#This Row],[BIP]],TODAY(),"D")</f>
        <v>1</v>
      </c>
      <c r="R1005" s="28" t="str">
        <f>IFERROR(VLOOKUP(DadosViagem5[[#This Row],[Placa]],[1]DDS!B:C,2,FALSE),"Verificar cadastro")</f>
        <v>Operando</v>
      </c>
      <c r="S1005" s="29" t="s">
        <v>48</v>
      </c>
      <c r="T1005" s="23"/>
      <c r="U1005" s="30"/>
      <c r="V1005" s="31"/>
      <c r="W1005" s="32"/>
      <c r="X1005" s="57"/>
      <c r="Y1005" s="86"/>
      <c r="Z1005" s="58"/>
      <c r="AA1005" s="20" t="s">
        <v>49</v>
      </c>
      <c r="AB1005" s="20" t="s">
        <v>49</v>
      </c>
      <c r="AC1005" s="19" t="s">
        <v>49</v>
      </c>
      <c r="AD1005" s="19" t="str">
        <f ca="1">IFERROR(DATEDIF(DadosViagem5[[#This Row],[Utimo Bip Reserva]],TODAY(),"D"),"")</f>
        <v/>
      </c>
      <c r="AE1005" s="25" t="s">
        <v>49</v>
      </c>
      <c r="AF1005" s="25" t="s">
        <v>49</v>
      </c>
      <c r="AG1005" s="36"/>
      <c r="AH1005" s="25">
        <v>45807</v>
      </c>
      <c r="AI1005" s="36" t="str">
        <f>IF(DadosViagem5[[#This Row],[Dias em manutenção ]]&lt;5,"Dentro do Prazo","Fora do Prazo")</f>
        <v>Fora do Prazo</v>
      </c>
      <c r="AJ1005" s="36" t="e">
        <v>#REF!</v>
      </c>
    </row>
    <row r="1006" spans="1:36">
      <c r="A1006" s="19" t="s">
        <v>1761</v>
      </c>
      <c r="B1006" s="20">
        <v>353</v>
      </c>
      <c r="C1006" s="143" t="s">
        <v>49</v>
      </c>
      <c r="D1006" s="19" t="s">
        <v>52</v>
      </c>
      <c r="E1006" s="19" t="s">
        <v>75</v>
      </c>
      <c r="F1006" s="19" t="s">
        <v>76</v>
      </c>
      <c r="G1006" s="19"/>
      <c r="H1006" s="20">
        <v>2024</v>
      </c>
      <c r="I1006" s="19" t="s">
        <v>1738</v>
      </c>
      <c r="J1006" s="19" t="s">
        <v>1739</v>
      </c>
      <c r="K1006" s="21" t="s">
        <v>1740</v>
      </c>
      <c r="L1006" s="22" t="s">
        <v>60</v>
      </c>
      <c r="M1006" s="23" t="s">
        <v>140</v>
      </c>
      <c r="N1006" s="25" t="s">
        <v>1741</v>
      </c>
      <c r="O1006" s="25" t="s">
        <v>1713</v>
      </c>
      <c r="P1006" s="26">
        <f ca="1">IFERROR(VLOOKUP(DadosViagem5[[#This Row],[Placa]],[1]BIP!A:E,5,FALSE),"")</f>
        <v>45989</v>
      </c>
      <c r="Q1006" s="27">
        <f ca="1">DATEDIF(DadosViagem5[[#This Row],[BIP]],TODAY(),"D")</f>
        <v>1</v>
      </c>
      <c r="R1006" s="28" t="str">
        <f>IFERROR(VLOOKUP(DadosViagem5[[#This Row],[Placa]],[1]DDS!B:C,2,FALSE),"Verificar cadastro")</f>
        <v>Operando</v>
      </c>
      <c r="S1006" s="29" t="s">
        <v>48</v>
      </c>
      <c r="T1006" s="23"/>
      <c r="U1006" s="30"/>
      <c r="V1006" s="31"/>
      <c r="W1006" s="32"/>
      <c r="X1006" s="33"/>
      <c r="Y1006" s="34"/>
      <c r="Z1006" s="32"/>
      <c r="AA1006" s="20" t="s">
        <v>49</v>
      </c>
      <c r="AB1006" s="20" t="s">
        <v>49</v>
      </c>
      <c r="AC1006" s="19" t="s">
        <v>49</v>
      </c>
      <c r="AD1006" s="19" t="str">
        <f ca="1">IFERROR(DATEDIF(DadosViagem5[[#This Row],[Utimo Bip Reserva]],TODAY(),"D"),"")</f>
        <v/>
      </c>
      <c r="AE1006" s="36"/>
      <c r="AF1006" s="25"/>
      <c r="AG1006" s="36"/>
      <c r="AH1006" s="25">
        <v>45807</v>
      </c>
      <c r="AI1006" s="36" t="str">
        <f>IF(DadosViagem5[[#This Row],[Dias em manutenção ]]&lt;5,"Dentro do Prazo","Fora do Prazo")</f>
        <v>Fora do Prazo</v>
      </c>
      <c r="AJ1006" s="36" t="e">
        <v>#REF!</v>
      </c>
    </row>
    <row r="1007" spans="1:36">
      <c r="A1007" s="19" t="s">
        <v>1762</v>
      </c>
      <c r="B1007" s="20"/>
      <c r="C1007" s="19" t="s">
        <v>88</v>
      </c>
      <c r="D1007" s="19" t="s">
        <v>52</v>
      </c>
      <c r="E1007" s="19" t="s">
        <v>114</v>
      </c>
      <c r="F1007" s="19" t="s">
        <v>115</v>
      </c>
      <c r="G1007" s="19"/>
      <c r="H1007" s="20">
        <v>2021</v>
      </c>
      <c r="I1007" s="19" t="s">
        <v>1738</v>
      </c>
      <c r="J1007" s="19" t="s">
        <v>1739</v>
      </c>
      <c r="K1007" s="21" t="s">
        <v>1740</v>
      </c>
      <c r="L1007" s="22" t="s">
        <v>60</v>
      </c>
      <c r="M1007" s="23" t="s">
        <v>140</v>
      </c>
      <c r="N1007" s="25" t="s">
        <v>1741</v>
      </c>
      <c r="O1007" s="25" t="s">
        <v>1713</v>
      </c>
      <c r="P1007" s="26">
        <f ca="1">IFERROR(VLOOKUP(DadosViagem5[[#This Row],[Placa]],[1]BIP!A:E,5,FALSE),"")</f>
        <v>45989</v>
      </c>
      <c r="Q1007" s="27">
        <f ca="1">DATEDIF(DadosViagem5[[#This Row],[BIP]],TODAY(),"D")</f>
        <v>1</v>
      </c>
      <c r="R1007" s="28"/>
      <c r="S1007" s="29" t="s">
        <v>48</v>
      </c>
      <c r="T1007" s="23"/>
      <c r="U1007" s="30"/>
      <c r="V1007" s="31"/>
      <c r="W1007" s="32"/>
      <c r="X1007" s="33"/>
      <c r="Y1007" s="34"/>
      <c r="Z1007" s="32"/>
      <c r="AA1007" s="20" t="s">
        <v>49</v>
      </c>
      <c r="AB1007" s="20" t="s">
        <v>49</v>
      </c>
      <c r="AC1007" s="19" t="s">
        <v>49</v>
      </c>
      <c r="AD1007" s="19" t="str">
        <f ca="1">IFERROR(DATEDIF(DadosViagem5[[#This Row],[Utimo Bip Reserva]],TODAY(),"D"),"")</f>
        <v/>
      </c>
      <c r="AE1007" s="36" t="s">
        <v>1744</v>
      </c>
      <c r="AF1007" s="25" t="s">
        <v>49</v>
      </c>
      <c r="AG1007" s="36"/>
      <c r="AH1007" s="25">
        <v>10</v>
      </c>
      <c r="AI1007" s="36" t="str">
        <f>IF(DadosViagem5[[#This Row],[Dias em manutenção ]]&lt;5,"Dentro do Prazo","Fora do Prazo")</f>
        <v>Fora do Prazo</v>
      </c>
      <c r="AJ1007" s="36" t="e">
        <v>#REF!</v>
      </c>
    </row>
    <row r="1008" spans="1:36">
      <c r="A1008" s="19" t="s">
        <v>1763</v>
      </c>
      <c r="B1008" s="20"/>
      <c r="C1008" s="19" t="s">
        <v>131</v>
      </c>
      <c r="D1008" s="19" t="s">
        <v>132</v>
      </c>
      <c r="E1008" s="19" t="s">
        <v>57</v>
      </c>
      <c r="F1008" s="19" t="s">
        <v>40</v>
      </c>
      <c r="G1008" s="19"/>
      <c r="H1008" s="20">
        <v>2023</v>
      </c>
      <c r="I1008" s="19" t="s">
        <v>1738</v>
      </c>
      <c r="J1008" s="19" t="s">
        <v>1739</v>
      </c>
      <c r="K1008" s="21" t="s">
        <v>1740</v>
      </c>
      <c r="L1008" s="22" t="s">
        <v>60</v>
      </c>
      <c r="M1008" s="23" t="s">
        <v>140</v>
      </c>
      <c r="N1008" s="36" t="s">
        <v>1741</v>
      </c>
      <c r="O1008" s="25" t="s">
        <v>1713</v>
      </c>
      <c r="P1008" s="26">
        <f ca="1">IFERROR(VLOOKUP(DadosViagem5[[#This Row],[Placa]],[1]BIP!A:E,5,FALSE),"")</f>
        <v>45989</v>
      </c>
      <c r="Q1008" s="27">
        <f ca="1">DATEDIF(DadosViagem5[[#This Row],[BIP]],TODAY(),"D")</f>
        <v>1</v>
      </c>
      <c r="R1008" s="28" t="str">
        <f>IFERROR(VLOOKUP(DadosViagem5[[#This Row],[Placa]],[1]DDS!B:C,2,FALSE),"Verificar cadastro")</f>
        <v>Operando</v>
      </c>
      <c r="S1008" s="29" t="s">
        <v>48</v>
      </c>
      <c r="T1008" s="23"/>
      <c r="U1008" s="30"/>
      <c r="V1008" s="31"/>
      <c r="W1008" s="32"/>
      <c r="X1008" s="33"/>
      <c r="Y1008" s="34"/>
      <c r="Z1008" s="32"/>
      <c r="AA1008" s="20" t="s">
        <v>49</v>
      </c>
      <c r="AB1008" s="20" t="s">
        <v>49</v>
      </c>
      <c r="AC1008" s="19" t="s">
        <v>49</v>
      </c>
      <c r="AD1008" s="19" t="str">
        <f ca="1">IFERROR(DATEDIF(DadosViagem5[[#This Row],[Utimo Bip Reserva]],TODAY(),"D"),"")</f>
        <v/>
      </c>
      <c r="AE1008" s="36" t="s">
        <v>49</v>
      </c>
      <c r="AF1008" s="25" t="s">
        <v>49</v>
      </c>
      <c r="AG1008" s="30"/>
      <c r="AH1008" s="25">
        <v>45807</v>
      </c>
      <c r="AI1008" s="36" t="str">
        <f>IF(DadosViagem5[[#This Row],[Dias em manutenção ]]&lt;5,"Dentro do Prazo","Fora do Prazo")</f>
        <v>Fora do Prazo</v>
      </c>
      <c r="AJ1008" s="36" t="e">
        <v>#REF!</v>
      </c>
    </row>
    <row r="1009" spans="1:36">
      <c r="A1009" s="19" t="s">
        <v>1764</v>
      </c>
      <c r="B1009" s="20"/>
      <c r="C1009" s="19" t="s">
        <v>88</v>
      </c>
      <c r="D1009" s="19" t="s">
        <v>52</v>
      </c>
      <c r="E1009" s="19" t="s">
        <v>57</v>
      </c>
      <c r="F1009" s="19" t="s">
        <v>40</v>
      </c>
      <c r="G1009" s="19"/>
      <c r="H1009" s="20">
        <v>2023</v>
      </c>
      <c r="I1009" s="19" t="s">
        <v>1738</v>
      </c>
      <c r="J1009" s="19" t="s">
        <v>1739</v>
      </c>
      <c r="K1009" s="21" t="s">
        <v>1740</v>
      </c>
      <c r="L1009" s="22" t="s">
        <v>60</v>
      </c>
      <c r="M1009" s="23" t="s">
        <v>140</v>
      </c>
      <c r="N1009" s="25" t="s">
        <v>1741</v>
      </c>
      <c r="O1009" s="25" t="s">
        <v>1713</v>
      </c>
      <c r="P1009" s="26">
        <f ca="1">IFERROR(VLOOKUP(DadosViagem5[[#This Row],[Placa]],[1]BIP!A:E,5,FALSE),"")</f>
        <v>45989</v>
      </c>
      <c r="Q1009" s="27">
        <f ca="1">DATEDIF(DadosViagem5[[#This Row],[BIP]],TODAY(),"D")</f>
        <v>1</v>
      </c>
      <c r="R1009" s="28" t="str">
        <f>IFERROR(VLOOKUP(DadosViagem5[[#This Row],[Placa]],[1]DDS!B:C,2,FALSE),"Verificar cadastro")</f>
        <v>Operando</v>
      </c>
      <c r="S1009" s="29" t="s">
        <v>48</v>
      </c>
      <c r="T1009" s="23"/>
      <c r="U1009" s="30"/>
      <c r="V1009" s="31"/>
      <c r="W1009" s="95"/>
      <c r="X1009" s="33"/>
      <c r="Y1009" s="34"/>
      <c r="Z1009" s="32"/>
      <c r="AA1009" s="20" t="s">
        <v>49</v>
      </c>
      <c r="AB1009" s="20" t="s">
        <v>49</v>
      </c>
      <c r="AC1009" s="20" t="s">
        <v>49</v>
      </c>
      <c r="AD1009" s="20" t="s">
        <v>49</v>
      </c>
      <c r="AE1009" s="35" t="s">
        <v>49</v>
      </c>
      <c r="AF1009" s="35" t="s">
        <v>49</v>
      </c>
      <c r="AG1009" s="30" t="s">
        <v>153</v>
      </c>
      <c r="AH1009" s="25">
        <v>15</v>
      </c>
      <c r="AI1009" s="36" t="str">
        <f>IF(DadosViagem5[[#This Row],[Dias em manutenção ]]&lt;5,"Dentro do Prazo","Fora do Prazo")</f>
        <v>Fora do Prazo</v>
      </c>
      <c r="AJ1009" s="36" t="e">
        <v>#REF!</v>
      </c>
    </row>
    <row r="1010" spans="1:36">
      <c r="A1010" s="19" t="s">
        <v>1765</v>
      </c>
      <c r="B1010" s="20"/>
      <c r="C1010" s="19" t="s">
        <v>88</v>
      </c>
      <c r="D1010" s="19" t="s">
        <v>52</v>
      </c>
      <c r="E1010" s="19" t="s">
        <v>57</v>
      </c>
      <c r="F1010" s="19" t="s">
        <v>40</v>
      </c>
      <c r="G1010" s="19"/>
      <c r="H1010" s="20">
        <v>2023</v>
      </c>
      <c r="I1010" s="19" t="s">
        <v>1738</v>
      </c>
      <c r="J1010" s="19" t="s">
        <v>1739</v>
      </c>
      <c r="K1010" s="21" t="s">
        <v>1740</v>
      </c>
      <c r="L1010" s="22" t="s">
        <v>60</v>
      </c>
      <c r="M1010" s="23" t="s">
        <v>140</v>
      </c>
      <c r="N1010" s="25" t="s">
        <v>1741</v>
      </c>
      <c r="O1010" s="25" t="s">
        <v>1713</v>
      </c>
      <c r="P1010" s="26">
        <f ca="1">IFERROR(VLOOKUP(DadosViagem5[[#This Row],[Placa]],[1]BIP!A:E,5,FALSE),"")</f>
        <v>45989</v>
      </c>
      <c r="Q1010" s="27">
        <f ca="1">DATEDIF(DadosViagem5[[#This Row],[BIP]],TODAY(),"D")</f>
        <v>1</v>
      </c>
      <c r="R1010" s="28" t="str">
        <f>IFERROR(VLOOKUP(DadosViagem5[[#This Row],[Placa]],[1]DDS!B:C,2,FALSE),"Verificar cadastro")</f>
        <v>Operando</v>
      </c>
      <c r="S1010" s="29" t="s">
        <v>48</v>
      </c>
      <c r="T1010" s="23"/>
      <c r="U1010" s="30"/>
      <c r="V1010" s="31"/>
      <c r="W1010" s="32"/>
      <c r="X1010" s="33"/>
      <c r="Y1010" s="34"/>
      <c r="Z1010" s="32"/>
      <c r="AA1010" s="20" t="s">
        <v>49</v>
      </c>
      <c r="AB1010" s="20" t="s">
        <v>49</v>
      </c>
      <c r="AC1010" s="19" t="s">
        <v>49</v>
      </c>
      <c r="AD1010" s="19" t="str">
        <f ca="1">IFERROR(DATEDIF(DadosViagem5[[#This Row],[Utimo Bip Reserva]],TODAY(),"D"),"")</f>
        <v/>
      </c>
      <c r="AE1010" s="36" t="s">
        <v>1744</v>
      </c>
      <c r="AF1010" s="25"/>
      <c r="AG1010" s="36"/>
      <c r="AH1010" s="25">
        <v>45807</v>
      </c>
      <c r="AI1010" s="36" t="str">
        <f>IF(DadosViagem5[[#This Row],[Dias em manutenção ]]&lt;5,"Dentro do Prazo","Fora do Prazo")</f>
        <v>Fora do Prazo</v>
      </c>
      <c r="AJ1010" s="36" t="e">
        <v>#REF!</v>
      </c>
    </row>
    <row r="1011" spans="1:36">
      <c r="A1011" s="19" t="s">
        <v>1766</v>
      </c>
      <c r="B1011" s="20">
        <v>410</v>
      </c>
      <c r="C1011" s="19" t="s">
        <v>74</v>
      </c>
      <c r="D1011" s="19" t="s">
        <v>52</v>
      </c>
      <c r="E1011" s="19" t="s">
        <v>75</v>
      </c>
      <c r="F1011" s="19" t="s">
        <v>76</v>
      </c>
      <c r="G1011" s="19"/>
      <c r="H1011" s="20">
        <v>2024</v>
      </c>
      <c r="I1011" s="19" t="s">
        <v>1738</v>
      </c>
      <c r="J1011" s="25"/>
      <c r="K1011" s="21" t="s">
        <v>1740</v>
      </c>
      <c r="L1011" s="22" t="s">
        <v>60</v>
      </c>
      <c r="M1011" s="23" t="s">
        <v>77</v>
      </c>
      <c r="N1011" s="25" t="s">
        <v>1741</v>
      </c>
      <c r="O1011" s="25" t="s">
        <v>1713</v>
      </c>
      <c r="P1011" s="26">
        <f ca="1">IFERROR(VLOOKUP(DadosViagem5[[#This Row],[Placa]],[1]BIP!A:E,5,FALSE),"")</f>
        <v>45989</v>
      </c>
      <c r="Q1011" s="27">
        <f ca="1">DATEDIF(DadosViagem5[[#This Row],[BIP]],TODAY(),"D")</f>
        <v>1</v>
      </c>
      <c r="R1011" s="28" t="str">
        <f>IFERROR(VLOOKUP(DadosViagem5[[#This Row],[Placa]],[1]DDS!B:C,2,FALSE),"Verificar cadastro")</f>
        <v>Operando</v>
      </c>
      <c r="S1011" s="29" t="s">
        <v>173</v>
      </c>
      <c r="T1011" s="23"/>
      <c r="U1011" s="30"/>
      <c r="V1011" s="31"/>
      <c r="W1011" s="32"/>
      <c r="X1011" s="33"/>
      <c r="Y1011" s="34"/>
      <c r="Z1011" s="32"/>
      <c r="AA1011" s="20" t="s">
        <v>49</v>
      </c>
      <c r="AB1011" s="20" t="s">
        <v>49</v>
      </c>
      <c r="AC1011" s="19" t="s">
        <v>49</v>
      </c>
      <c r="AD1011" s="19" t="str">
        <f ca="1">IFERROR(DATEDIF(DadosViagem5[[#This Row],[Utimo Bip Reserva]],TODAY(),"D"),"")</f>
        <v/>
      </c>
      <c r="AE1011" s="36" t="s">
        <v>49</v>
      </c>
      <c r="AF1011" s="25" t="s">
        <v>49</v>
      </c>
      <c r="AG1011" s="36"/>
      <c r="AH1011" s="25">
        <v>45807</v>
      </c>
      <c r="AI1011" s="36" t="str">
        <f>IF(DadosViagem5[[#This Row],[Dias em manutenção ]]&lt;5,"Dentro do Prazo","Fora do Prazo")</f>
        <v>Fora do Prazo</v>
      </c>
      <c r="AJ1011" s="36" t="e">
        <v>#REF!</v>
      </c>
    </row>
    <row r="1012" spans="1:36">
      <c r="A1012" s="19" t="s">
        <v>1767</v>
      </c>
      <c r="B1012" s="20">
        <v>413</v>
      </c>
      <c r="C1012" s="19" t="s">
        <v>74</v>
      </c>
      <c r="D1012" s="19" t="s">
        <v>52</v>
      </c>
      <c r="E1012" s="19" t="s">
        <v>75</v>
      </c>
      <c r="F1012" s="19" t="s">
        <v>115</v>
      </c>
      <c r="G1012" s="19"/>
      <c r="H1012" s="20">
        <v>2024</v>
      </c>
      <c r="I1012" s="19" t="s">
        <v>1738</v>
      </c>
      <c r="J1012" s="19" t="s">
        <v>1739</v>
      </c>
      <c r="K1012" s="21" t="s">
        <v>1740</v>
      </c>
      <c r="L1012" s="22" t="s">
        <v>60</v>
      </c>
      <c r="M1012" s="23" t="s">
        <v>77</v>
      </c>
      <c r="N1012" s="25" t="s">
        <v>1741</v>
      </c>
      <c r="O1012" s="25" t="s">
        <v>1713</v>
      </c>
      <c r="P1012" s="26">
        <f ca="1">IFERROR(VLOOKUP(DadosViagem5[[#This Row],[Placa]],[1]BIP!A:E,5,FALSE),"")</f>
        <v>45989</v>
      </c>
      <c r="Q1012" s="27">
        <f ca="1">DATEDIF(DadosViagem5[[#This Row],[BIP]],TODAY(),"D")</f>
        <v>1</v>
      </c>
      <c r="R1012" s="28" t="str">
        <f>IFERROR(VLOOKUP(DadosViagem5[[#This Row],[Placa]],[1]DDS!B:C,2,FALSE),"Verificar cadastro")</f>
        <v>Operando</v>
      </c>
      <c r="S1012" s="29" t="s">
        <v>48</v>
      </c>
      <c r="T1012" s="23"/>
      <c r="U1012" s="30"/>
      <c r="V1012" s="31"/>
      <c r="W1012" s="32"/>
      <c r="X1012" s="33"/>
      <c r="Y1012" s="34"/>
      <c r="Z1012" s="32"/>
      <c r="AA1012" s="20" t="s">
        <v>49</v>
      </c>
      <c r="AB1012" s="20" t="s">
        <v>49</v>
      </c>
      <c r="AC1012" s="19" t="s">
        <v>49</v>
      </c>
      <c r="AD1012" s="19" t="str">
        <f ca="1">IFERROR(DATEDIF(DadosViagem5[[#This Row],[Utimo Bip Reserva]],TODAY(),"D"),"")</f>
        <v/>
      </c>
      <c r="AE1012" s="25" t="s">
        <v>49</v>
      </c>
      <c r="AF1012" s="25" t="s">
        <v>49</v>
      </c>
      <c r="AG1012" s="36"/>
      <c r="AH1012" s="25">
        <v>45807</v>
      </c>
      <c r="AI1012" s="36" t="str">
        <f>IF(DadosViagem5[[#This Row],[Dias em manutenção ]]&lt;5,"Dentro do Prazo","Fora do Prazo")</f>
        <v>Fora do Prazo</v>
      </c>
      <c r="AJ1012" s="36" t="e">
        <v>#REF!</v>
      </c>
    </row>
    <row r="1013" spans="1:36">
      <c r="A1013" s="19" t="s">
        <v>1768</v>
      </c>
      <c r="B1013" s="20">
        <v>380</v>
      </c>
      <c r="C1013" s="19" t="s">
        <v>74</v>
      </c>
      <c r="D1013" s="19" t="s">
        <v>52</v>
      </c>
      <c r="E1013" s="19" t="s">
        <v>75</v>
      </c>
      <c r="F1013" s="19" t="s">
        <v>115</v>
      </c>
      <c r="G1013" s="19"/>
      <c r="H1013" s="20">
        <v>2024</v>
      </c>
      <c r="I1013" s="19" t="s">
        <v>1738</v>
      </c>
      <c r="J1013" s="19" t="s">
        <v>1739</v>
      </c>
      <c r="K1013" s="21" t="s">
        <v>1740</v>
      </c>
      <c r="L1013" s="22" t="s">
        <v>60</v>
      </c>
      <c r="M1013" s="23" t="s">
        <v>77</v>
      </c>
      <c r="N1013" s="25" t="s">
        <v>1741</v>
      </c>
      <c r="O1013" s="25" t="s">
        <v>1756</v>
      </c>
      <c r="P1013" s="26">
        <f ca="1">IFERROR(VLOOKUP(DadosViagem5[[#This Row],[Placa]],[1]BIP!A:E,5,FALSE),"")</f>
        <v>45989</v>
      </c>
      <c r="Q1013" s="27">
        <f ca="1">DATEDIF(DadosViagem5[[#This Row],[BIP]],TODAY(),"D")</f>
        <v>1</v>
      </c>
      <c r="R1013" s="28" t="str">
        <f>IFERROR(VLOOKUP(DadosViagem5[[#This Row],[Placa]],[1]DDS!B:C,2,FALSE),"Verificar cadastro")</f>
        <v>Operando</v>
      </c>
      <c r="S1013" s="29" t="s">
        <v>48</v>
      </c>
      <c r="T1013" s="23"/>
      <c r="U1013" s="30"/>
      <c r="V1013" s="31"/>
      <c r="W1013" s="32"/>
      <c r="X1013" s="33"/>
      <c r="Y1013" s="34"/>
      <c r="Z1013" s="32"/>
      <c r="AA1013" s="20" t="s">
        <v>49</v>
      </c>
      <c r="AB1013" s="20" t="s">
        <v>49</v>
      </c>
      <c r="AC1013" s="19" t="s">
        <v>49</v>
      </c>
      <c r="AD1013" s="19" t="str">
        <f ca="1">IFERROR(DATEDIF(DadosViagem5[[#This Row],[Utimo Bip Reserva]],TODAY(),"D"),"")</f>
        <v/>
      </c>
      <c r="AE1013" s="35"/>
      <c r="AF1013" s="35"/>
      <c r="AG1013" s="36"/>
      <c r="AH1013" s="25">
        <v>45807</v>
      </c>
      <c r="AI1013" s="36" t="str">
        <f>IF(DadosViagem5[[#This Row],[Dias em manutenção ]]&lt;5,"Dentro do Prazo","Fora do Prazo")</f>
        <v>Fora do Prazo</v>
      </c>
      <c r="AJ1013" s="36" t="e">
        <v>#REF!</v>
      </c>
    </row>
    <row r="1014" spans="1:36">
      <c r="A1014" s="19" t="s">
        <v>1769</v>
      </c>
      <c r="B1014" s="20"/>
      <c r="C1014" s="19" t="s">
        <v>74</v>
      </c>
      <c r="D1014" s="19" t="s">
        <v>52</v>
      </c>
      <c r="E1014" s="19" t="s">
        <v>75</v>
      </c>
      <c r="F1014" s="19" t="s">
        <v>76</v>
      </c>
      <c r="G1014" s="19"/>
      <c r="H1014" s="20">
        <v>2022</v>
      </c>
      <c r="I1014" s="19" t="s">
        <v>1738</v>
      </c>
      <c r="J1014" s="19" t="s">
        <v>1739</v>
      </c>
      <c r="K1014" s="21" t="s">
        <v>1740</v>
      </c>
      <c r="L1014" s="22" t="s">
        <v>60</v>
      </c>
      <c r="M1014" s="23" t="s">
        <v>77</v>
      </c>
      <c r="N1014" s="25" t="s">
        <v>1741</v>
      </c>
      <c r="O1014" s="25" t="s">
        <v>1713</v>
      </c>
      <c r="P1014" s="26">
        <f ca="1">IFERROR(VLOOKUP(DadosViagem5[[#This Row],[Placa]],[1]BIP!A:E,5,FALSE),"")</f>
        <v>45980</v>
      </c>
      <c r="Q1014" s="27">
        <f ca="1">DATEDIF(DadosViagem5[[#This Row],[BIP]],TODAY(),"D")</f>
        <v>10</v>
      </c>
      <c r="R1014" s="28" t="str">
        <f>IFERROR(VLOOKUP(DadosViagem5[[#This Row],[Placa]],[1]DDS!B:C,2,FALSE),"Verificar cadastro")</f>
        <v> </v>
      </c>
      <c r="S1014" s="29" t="s">
        <v>48</v>
      </c>
      <c r="T1014" s="23"/>
      <c r="U1014" s="30"/>
      <c r="V1014" s="31"/>
      <c r="W1014" s="32"/>
      <c r="X1014" s="33"/>
      <c r="Y1014" s="34"/>
      <c r="Z1014" s="32"/>
      <c r="AA1014" s="20" t="s">
        <v>49</v>
      </c>
      <c r="AB1014" s="20" t="s">
        <v>49</v>
      </c>
      <c r="AC1014" s="19" t="s">
        <v>49</v>
      </c>
      <c r="AD1014" s="19" t="str">
        <f ca="1">IFERROR(DATEDIF(DadosViagem5[[#This Row],[Utimo Bip Reserva]],TODAY(),"D"),"")</f>
        <v/>
      </c>
      <c r="AE1014" s="36" t="s">
        <v>49</v>
      </c>
      <c r="AF1014" s="25" t="s">
        <v>49</v>
      </c>
      <c r="AG1014" s="36" t="s">
        <v>290</v>
      </c>
      <c r="AH1014" s="25">
        <v>45807</v>
      </c>
      <c r="AI1014" s="36" t="str">
        <f>IF(DadosViagem5[[#This Row],[Dias em manutenção ]]&lt;5,"Dentro do Prazo","Fora do Prazo")</f>
        <v>Fora do Prazo</v>
      </c>
      <c r="AJ1014" s="36" t="e">
        <v>#REF!</v>
      </c>
    </row>
    <row r="1015" spans="1:36">
      <c r="A1015" s="19" t="s">
        <v>1770</v>
      </c>
      <c r="B1015" s="20"/>
      <c r="C1015" s="19" t="s">
        <v>74</v>
      </c>
      <c r="D1015" s="19" t="s">
        <v>52</v>
      </c>
      <c r="E1015" s="19" t="s">
        <v>75</v>
      </c>
      <c r="F1015" s="19" t="s">
        <v>76</v>
      </c>
      <c r="G1015" s="19"/>
      <c r="H1015" s="20">
        <v>2024</v>
      </c>
      <c r="I1015" s="19" t="s">
        <v>1738</v>
      </c>
      <c r="J1015" s="19" t="s">
        <v>1739</v>
      </c>
      <c r="K1015" s="21" t="s">
        <v>1740</v>
      </c>
      <c r="L1015" s="22" t="s">
        <v>60</v>
      </c>
      <c r="M1015" s="23" t="s">
        <v>77</v>
      </c>
      <c r="N1015" s="25" t="s">
        <v>1741</v>
      </c>
      <c r="O1015" s="25" t="s">
        <v>1713</v>
      </c>
      <c r="P1015" s="26">
        <f ca="1">IFERROR(VLOOKUP(DadosViagem5[[#This Row],[Placa]],[1]BIP!A:E,5,FALSE),"")</f>
        <v>45989</v>
      </c>
      <c r="Q1015" s="27">
        <f ca="1">DATEDIF(DadosViagem5[[#This Row],[BIP]],TODAY(),"D")</f>
        <v>1</v>
      </c>
      <c r="R1015" s="28" t="str">
        <f>IFERROR(VLOOKUP(DadosViagem5[[#This Row],[Placa]],[1]DDS!B:C,2,FALSE),"Verificar cadastro")</f>
        <v>Operando</v>
      </c>
      <c r="S1015" s="29" t="s">
        <v>48</v>
      </c>
      <c r="T1015" s="23"/>
      <c r="U1015" s="30"/>
      <c r="V1015" s="31"/>
      <c r="W1015" s="32"/>
      <c r="X1015" s="33"/>
      <c r="Y1015" s="34"/>
      <c r="Z1015" s="32"/>
      <c r="AA1015" s="20" t="s">
        <v>49</v>
      </c>
      <c r="AB1015" s="20" t="s">
        <v>49</v>
      </c>
      <c r="AC1015" s="19" t="s">
        <v>49</v>
      </c>
      <c r="AD1015" s="19" t="str">
        <f ca="1">IFERROR(DATEDIF(DadosViagem5[[#This Row],[Utimo Bip Reserva]],TODAY(),"D"),"")</f>
        <v/>
      </c>
      <c r="AE1015" s="25" t="s">
        <v>49</v>
      </c>
      <c r="AF1015" s="25" t="s">
        <v>49</v>
      </c>
      <c r="AG1015" s="36"/>
      <c r="AH1015" s="25">
        <v>45807</v>
      </c>
      <c r="AI1015" s="36" t="str">
        <f>IF(DadosViagem5[[#This Row],[Dias em manutenção ]]&lt;5,"Dentro do Prazo","Fora do Prazo")</f>
        <v>Fora do Prazo</v>
      </c>
      <c r="AJ1015" s="36" t="e">
        <v>#REF!</v>
      </c>
    </row>
    <row r="1016" spans="1:36">
      <c r="A1016" s="19" t="s">
        <v>1771</v>
      </c>
      <c r="B1016" s="20">
        <v>368</v>
      </c>
      <c r="C1016" s="19" t="s">
        <v>74</v>
      </c>
      <c r="D1016" s="19" t="s">
        <v>52</v>
      </c>
      <c r="E1016" s="19" t="s">
        <v>75</v>
      </c>
      <c r="F1016" s="19" t="s">
        <v>115</v>
      </c>
      <c r="G1016" s="19"/>
      <c r="H1016" s="20">
        <v>2023</v>
      </c>
      <c r="I1016" s="19" t="s">
        <v>1738</v>
      </c>
      <c r="J1016" s="19" t="s">
        <v>1739</v>
      </c>
      <c r="K1016" s="21" t="s">
        <v>1740</v>
      </c>
      <c r="L1016" s="22" t="s">
        <v>60</v>
      </c>
      <c r="M1016" s="23" t="s">
        <v>77</v>
      </c>
      <c r="N1016" s="25" t="s">
        <v>1741</v>
      </c>
      <c r="O1016" s="25" t="s">
        <v>1713</v>
      </c>
      <c r="P1016" s="26">
        <f ca="1">IFERROR(VLOOKUP(DadosViagem5[[#This Row],[Placa]],[1]BIP!A:E,5,FALSE),"")</f>
        <v>45950</v>
      </c>
      <c r="Q1016" s="27">
        <f ca="1">DATEDIF(DadosViagem5[[#This Row],[BIP]],TODAY(),"D")</f>
        <v>40</v>
      </c>
      <c r="R1016" s="28" t="str">
        <f>IFERROR(VLOOKUP(DadosViagem5[[#This Row],[Placa]],[1]DDS!B:C,2,FALSE),"Verificar cadastro")</f>
        <v>Manutenção</v>
      </c>
      <c r="S1016" s="29" t="s">
        <v>48</v>
      </c>
      <c r="T1016" s="23"/>
      <c r="U1016" s="30"/>
      <c r="V1016" s="31"/>
      <c r="W1016" s="32"/>
      <c r="X1016" s="33"/>
      <c r="Y1016" s="34"/>
      <c r="Z1016" s="32"/>
      <c r="AA1016" s="20" t="s">
        <v>49</v>
      </c>
      <c r="AB1016" s="20" t="s">
        <v>49</v>
      </c>
      <c r="AC1016" s="19" t="s">
        <v>49</v>
      </c>
      <c r="AD1016" s="19" t="str">
        <f ca="1">IFERROR(DATEDIF(DadosViagem5[[#This Row],[Utimo Bip Reserva]],TODAY(),"D"),"")</f>
        <v/>
      </c>
      <c r="AE1016" s="36" t="s">
        <v>49</v>
      </c>
      <c r="AF1016" s="25" t="s">
        <v>49</v>
      </c>
      <c r="AG1016" s="36"/>
      <c r="AH1016" s="25">
        <v>45807</v>
      </c>
      <c r="AI1016" s="36" t="str">
        <f>IF(DadosViagem5[[#This Row],[Dias em manutenção ]]&lt;5,"Dentro do Prazo","Fora do Prazo")</f>
        <v>Fora do Prazo</v>
      </c>
      <c r="AJ1016" s="36" t="e">
        <v>#REF!</v>
      </c>
    </row>
    <row r="1017" spans="1:36">
      <c r="A1017" s="19" t="s">
        <v>1772</v>
      </c>
      <c r="B1017" s="20">
        <v>388</v>
      </c>
      <c r="C1017" s="19" t="s">
        <v>74</v>
      </c>
      <c r="D1017" s="19" t="s">
        <v>52</v>
      </c>
      <c r="E1017" s="19" t="s">
        <v>75</v>
      </c>
      <c r="F1017" s="19" t="s">
        <v>115</v>
      </c>
      <c r="G1017" s="19"/>
      <c r="H1017" s="20">
        <v>2024</v>
      </c>
      <c r="I1017" s="19" t="s">
        <v>1738</v>
      </c>
      <c r="J1017" s="19" t="s">
        <v>1739</v>
      </c>
      <c r="K1017" s="21" t="s">
        <v>1740</v>
      </c>
      <c r="L1017" s="22" t="s">
        <v>60</v>
      </c>
      <c r="M1017" s="23" t="s">
        <v>77</v>
      </c>
      <c r="N1017" s="25" t="s">
        <v>1741</v>
      </c>
      <c r="O1017" s="25" t="s">
        <v>1713</v>
      </c>
      <c r="P1017" s="26">
        <f ca="1">IFERROR(VLOOKUP(DadosViagem5[[#This Row],[Placa]],[1]BIP!A:E,5,FALSE),"")</f>
        <v>45986</v>
      </c>
      <c r="Q1017" s="27">
        <f ca="1">DATEDIF(DadosViagem5[[#This Row],[BIP]],TODAY(),"D")</f>
        <v>4</v>
      </c>
      <c r="R1017" s="28" t="str">
        <f>IFERROR(VLOOKUP(DadosViagem5[[#This Row],[Placa]],[1]DDS!B:C,2,FALSE),"Verificar cadastro")</f>
        <v> </v>
      </c>
      <c r="S1017" s="29" t="s">
        <v>48</v>
      </c>
      <c r="T1017" s="23"/>
      <c r="U1017" s="30"/>
      <c r="V1017" s="31"/>
      <c r="W1017" s="32"/>
      <c r="X1017" s="33"/>
      <c r="Y1017" s="34"/>
      <c r="Z1017" s="32"/>
      <c r="AA1017" s="20" t="s">
        <v>49</v>
      </c>
      <c r="AB1017" s="20" t="s">
        <v>49</v>
      </c>
      <c r="AC1017" s="19" t="s">
        <v>49</v>
      </c>
      <c r="AD1017" s="19" t="str">
        <f ca="1">IFERROR(DATEDIF(DadosViagem5[[#This Row],[Utimo Bip Reserva]],TODAY(),"D"),"")</f>
        <v/>
      </c>
      <c r="AE1017" s="25" t="s">
        <v>49</v>
      </c>
      <c r="AF1017" s="25" t="s">
        <v>49</v>
      </c>
      <c r="AG1017" s="36" t="s">
        <v>290</v>
      </c>
      <c r="AH1017" s="25">
        <v>45807</v>
      </c>
      <c r="AI1017" s="36" t="str">
        <f>IF(DadosViagem5[[#This Row],[Dias em manutenção ]]&lt;5,"Dentro do Prazo","Fora do Prazo")</f>
        <v>Fora do Prazo</v>
      </c>
      <c r="AJ1017" s="36" t="e">
        <v>#REF!</v>
      </c>
    </row>
    <row r="1018" spans="1:36">
      <c r="A1018" s="19" t="s">
        <v>1773</v>
      </c>
      <c r="B1018" s="20">
        <v>302</v>
      </c>
      <c r="C1018" s="19" t="s">
        <v>74</v>
      </c>
      <c r="D1018" s="19" t="s">
        <v>52</v>
      </c>
      <c r="E1018" s="19" t="s">
        <v>75</v>
      </c>
      <c r="F1018" s="19" t="s">
        <v>76</v>
      </c>
      <c r="G1018" s="19"/>
      <c r="H1018" s="20">
        <v>2023</v>
      </c>
      <c r="I1018" s="19" t="s">
        <v>1738</v>
      </c>
      <c r="J1018" s="19" t="s">
        <v>1739</v>
      </c>
      <c r="K1018" s="21" t="s">
        <v>1740</v>
      </c>
      <c r="L1018" s="22" t="s">
        <v>60</v>
      </c>
      <c r="M1018" s="23" t="s">
        <v>77</v>
      </c>
      <c r="N1018" s="25" t="s">
        <v>1741</v>
      </c>
      <c r="O1018" s="25" t="s">
        <v>1713</v>
      </c>
      <c r="P1018" s="26">
        <f ca="1">IFERROR(VLOOKUP(DadosViagem5[[#This Row],[Placa]],[1]BIP!A:E,5,FALSE),"")</f>
        <v>45981</v>
      </c>
      <c r="Q1018" s="27">
        <f ca="1">DATEDIF(DadosViagem5[[#This Row],[BIP]],TODAY(),"D")</f>
        <v>9</v>
      </c>
      <c r="R1018" s="28" t="str">
        <f>IFERROR(VLOOKUP(DadosViagem5[[#This Row],[Placa]],[1]DDS!B:C,2,FALSE),"Verificar cadastro")</f>
        <v>Manutenção</v>
      </c>
      <c r="S1018" s="29" t="s">
        <v>48</v>
      </c>
      <c r="T1018" s="23"/>
      <c r="U1018" s="30"/>
      <c r="V1018" s="31"/>
      <c r="W1018" s="32"/>
      <c r="X1018" s="33"/>
      <c r="Y1018" s="34"/>
      <c r="Z1018" s="32"/>
      <c r="AA1018" s="20" t="s">
        <v>49</v>
      </c>
      <c r="AB1018" s="20" t="s">
        <v>49</v>
      </c>
      <c r="AC1018" s="19" t="s">
        <v>49</v>
      </c>
      <c r="AD1018" s="19" t="str">
        <f ca="1">IFERROR(DATEDIF(DadosViagem5[[#This Row],[Utimo Bip Reserva]],TODAY(),"D"),"")</f>
        <v/>
      </c>
      <c r="AE1018" s="25" t="s">
        <v>49</v>
      </c>
      <c r="AF1018" s="25" t="s">
        <v>49</v>
      </c>
      <c r="AG1018" s="36"/>
      <c r="AH1018" s="25">
        <v>45807</v>
      </c>
      <c r="AI1018" s="36" t="str">
        <f>IF(DadosViagem5[[#This Row],[Dias em manutenção ]]&lt;5,"Dentro do Prazo","Fora do Prazo")</f>
        <v>Fora do Prazo</v>
      </c>
      <c r="AJ1018" s="36" t="e">
        <v>#REF!</v>
      </c>
    </row>
    <row r="1019" spans="1:36">
      <c r="A1019" s="19" t="s">
        <v>1774</v>
      </c>
      <c r="B1019" s="20">
        <v>367</v>
      </c>
      <c r="C1019" s="19" t="s">
        <v>74</v>
      </c>
      <c r="D1019" s="19" t="s">
        <v>52</v>
      </c>
      <c r="E1019" s="19" t="s">
        <v>75</v>
      </c>
      <c r="F1019" s="19" t="s">
        <v>115</v>
      </c>
      <c r="G1019" s="19"/>
      <c r="H1019" s="20">
        <v>2023</v>
      </c>
      <c r="I1019" s="19" t="s">
        <v>1738</v>
      </c>
      <c r="J1019" s="19" t="s">
        <v>1739</v>
      </c>
      <c r="K1019" s="21" t="s">
        <v>1740</v>
      </c>
      <c r="L1019" s="22" t="s">
        <v>60</v>
      </c>
      <c r="M1019" s="23" t="s">
        <v>77</v>
      </c>
      <c r="N1019" s="25" t="s">
        <v>1741</v>
      </c>
      <c r="O1019" s="25" t="s">
        <v>1713</v>
      </c>
      <c r="P1019" s="26">
        <f ca="1">IFERROR(VLOOKUP(DadosViagem5[[#This Row],[Placa]],[1]BIP!A:E,5,FALSE),"")</f>
        <v>45973</v>
      </c>
      <c r="Q1019" s="27">
        <f ca="1">DATEDIF(DadosViagem5[[#This Row],[BIP]],TODAY(),"D")</f>
        <v>17</v>
      </c>
      <c r="R1019" s="28" t="str">
        <f>IFERROR(VLOOKUP(DadosViagem5[[#This Row],[Placa]],[1]DDS!B:C,2,FALSE),"Verificar cadastro")</f>
        <v> </v>
      </c>
      <c r="S1019" s="29" t="s">
        <v>48</v>
      </c>
      <c r="T1019" s="23"/>
      <c r="U1019" s="30"/>
      <c r="V1019" s="31"/>
      <c r="W1019" s="32"/>
      <c r="X1019" s="33"/>
      <c r="Y1019" s="34"/>
      <c r="Z1019" s="32"/>
      <c r="AA1019" s="20" t="s">
        <v>49</v>
      </c>
      <c r="AB1019" s="20"/>
      <c r="AC1019" s="19" t="s">
        <v>49</v>
      </c>
      <c r="AD1019" s="19" t="str">
        <f ca="1">IFERROR(DATEDIF(DadosViagem5[[#This Row],[Utimo Bip Reserva]],TODAY(),"D"),"")</f>
        <v/>
      </c>
      <c r="AE1019" s="36"/>
      <c r="AF1019" s="25"/>
      <c r="AG1019" s="36"/>
      <c r="AH1019" s="25">
        <v>45807</v>
      </c>
      <c r="AI1019" s="36" t="str">
        <f>IF(DadosViagem5[[#This Row],[Dias em manutenção ]]&lt;5,"Dentro do Prazo","Fora do Prazo")</f>
        <v>Fora do Prazo</v>
      </c>
      <c r="AJ1019" s="36" t="e">
        <v>#REF!</v>
      </c>
    </row>
    <row r="1020" spans="1:36">
      <c r="A1020" s="19" t="s">
        <v>1775</v>
      </c>
      <c r="B1020" s="20"/>
      <c r="C1020" s="19" t="s">
        <v>74</v>
      </c>
      <c r="D1020" s="19" t="s">
        <v>52</v>
      </c>
      <c r="E1020" s="19" t="s">
        <v>75</v>
      </c>
      <c r="F1020" s="19" t="s">
        <v>76</v>
      </c>
      <c r="G1020" s="19"/>
      <c r="H1020" s="20">
        <v>2023</v>
      </c>
      <c r="I1020" s="19" t="s">
        <v>1738</v>
      </c>
      <c r="J1020" s="19" t="s">
        <v>1739</v>
      </c>
      <c r="K1020" s="21" t="s">
        <v>1740</v>
      </c>
      <c r="L1020" s="22" t="s">
        <v>60</v>
      </c>
      <c r="M1020" s="23" t="s">
        <v>77</v>
      </c>
      <c r="N1020" s="25" t="s">
        <v>1741</v>
      </c>
      <c r="O1020" s="25" t="s">
        <v>1713</v>
      </c>
      <c r="P1020" s="26">
        <f ca="1">IFERROR(VLOOKUP(DadosViagem5[[#This Row],[Placa]],[1]BIP!A:E,5,FALSE),"")</f>
        <v>45974</v>
      </c>
      <c r="Q1020" s="27">
        <f ca="1">DATEDIF(DadosViagem5[[#This Row],[BIP]],TODAY(),"D")</f>
        <v>16</v>
      </c>
      <c r="R1020" s="28" t="str">
        <f>IFERROR(VLOOKUP(DadosViagem5[[#This Row],[Placa]],[1]DDS!B:C,2,FALSE),"Verificar cadastro")</f>
        <v> </v>
      </c>
      <c r="S1020" s="29" t="s">
        <v>48</v>
      </c>
      <c r="T1020" s="23"/>
      <c r="U1020" s="30"/>
      <c r="V1020" s="31"/>
      <c r="W1020" s="32"/>
      <c r="X1020" s="33"/>
      <c r="Y1020" s="34"/>
      <c r="Z1020" s="32"/>
      <c r="AA1020" s="20" t="s">
        <v>49</v>
      </c>
      <c r="AB1020" s="20" t="s">
        <v>49</v>
      </c>
      <c r="AC1020" s="19" t="s">
        <v>49</v>
      </c>
      <c r="AD1020" s="19" t="str">
        <f ca="1">IFERROR(DATEDIF(DadosViagem5[[#This Row],[Utimo Bip Reserva]],TODAY(),"D"),"")</f>
        <v/>
      </c>
      <c r="AE1020" s="25" t="s">
        <v>49</v>
      </c>
      <c r="AF1020" s="25" t="s">
        <v>49</v>
      </c>
      <c r="AG1020" s="36"/>
      <c r="AH1020" s="25">
        <v>45807</v>
      </c>
      <c r="AI1020" s="36" t="str">
        <f>IF(DadosViagem5[[#This Row],[Dias em manutenção ]]&lt;5,"Dentro do Prazo","Fora do Prazo")</f>
        <v>Fora do Prazo</v>
      </c>
      <c r="AJ1020" s="36" t="e">
        <v>#REF!</v>
      </c>
    </row>
    <row r="1021" spans="1:36">
      <c r="A1021" s="19" t="s">
        <v>1776</v>
      </c>
      <c r="B1021" s="20">
        <v>341</v>
      </c>
      <c r="C1021" s="19" t="s">
        <v>74</v>
      </c>
      <c r="D1021" s="19" t="s">
        <v>52</v>
      </c>
      <c r="E1021" s="19" t="s">
        <v>75</v>
      </c>
      <c r="F1021" s="19" t="s">
        <v>76</v>
      </c>
      <c r="G1021" s="19"/>
      <c r="H1021" s="20">
        <v>2023</v>
      </c>
      <c r="I1021" s="19" t="s">
        <v>1738</v>
      </c>
      <c r="J1021" s="19" t="s">
        <v>1739</v>
      </c>
      <c r="K1021" s="21" t="s">
        <v>1740</v>
      </c>
      <c r="L1021" s="22" t="s">
        <v>60</v>
      </c>
      <c r="M1021" s="23" t="s">
        <v>77</v>
      </c>
      <c r="N1021" s="25" t="s">
        <v>1741</v>
      </c>
      <c r="O1021" s="25" t="s">
        <v>1713</v>
      </c>
      <c r="P1021" s="26">
        <f ca="1">IFERROR(VLOOKUP(DadosViagem5[[#This Row],[Placa]],[1]BIP!A:E,5,FALSE),"")</f>
        <v>45989</v>
      </c>
      <c r="Q1021" s="27">
        <f ca="1">DATEDIF(DadosViagem5[[#This Row],[BIP]],TODAY(),"D")</f>
        <v>1</v>
      </c>
      <c r="R1021" s="28" t="str">
        <f>IFERROR(VLOOKUP(DadosViagem5[[#This Row],[Placa]],[1]DDS!B:C,2,FALSE),"Verificar cadastro")</f>
        <v>Operando</v>
      </c>
      <c r="S1021" s="29" t="s">
        <v>48</v>
      </c>
      <c r="T1021" s="23"/>
      <c r="U1021" s="30"/>
      <c r="V1021" s="31"/>
      <c r="W1021" s="32"/>
      <c r="X1021" s="33"/>
      <c r="Y1021" s="34"/>
      <c r="Z1021" s="32"/>
      <c r="AA1021" s="20" t="s">
        <v>49</v>
      </c>
      <c r="AB1021" s="20" t="s">
        <v>49</v>
      </c>
      <c r="AC1021" s="19" t="s">
        <v>49</v>
      </c>
      <c r="AD1021" s="19" t="str">
        <f ca="1">IFERROR(DATEDIF(DadosViagem5[[#This Row],[Utimo Bip Reserva]],TODAY(),"D"),"")</f>
        <v/>
      </c>
      <c r="AE1021" s="29"/>
      <c r="AF1021" s="35"/>
      <c r="AG1021" s="36"/>
      <c r="AH1021" s="25">
        <v>45807</v>
      </c>
      <c r="AI1021" s="36" t="str">
        <f>IF(DadosViagem5[[#This Row],[Dias em manutenção ]]&lt;5,"Dentro do Prazo","Fora do Prazo")</f>
        <v>Fora do Prazo</v>
      </c>
      <c r="AJ1021" s="36" t="e">
        <v>#REF!</v>
      </c>
    </row>
    <row r="1022" spans="1:36">
      <c r="A1022" s="19" t="s">
        <v>1777</v>
      </c>
      <c r="B1022" s="20"/>
      <c r="C1022" s="19" t="s">
        <v>74</v>
      </c>
      <c r="D1022" s="19" t="s">
        <v>52</v>
      </c>
      <c r="E1022" s="19" t="s">
        <v>75</v>
      </c>
      <c r="F1022" s="19" t="s">
        <v>76</v>
      </c>
      <c r="G1022" s="19"/>
      <c r="H1022" s="20">
        <v>2024</v>
      </c>
      <c r="I1022" s="19" t="s">
        <v>1738</v>
      </c>
      <c r="J1022" s="19" t="s">
        <v>1739</v>
      </c>
      <c r="K1022" s="21" t="s">
        <v>1740</v>
      </c>
      <c r="L1022" s="22" t="s">
        <v>60</v>
      </c>
      <c r="M1022" s="23" t="s">
        <v>77</v>
      </c>
      <c r="N1022" s="25" t="s">
        <v>1741</v>
      </c>
      <c r="O1022" s="25" t="s">
        <v>1713</v>
      </c>
      <c r="P1022" s="26">
        <f ca="1">IFERROR(VLOOKUP(DadosViagem5[[#This Row],[Placa]],[1]BIP!A:E,5,FALSE),"")</f>
        <v>45989</v>
      </c>
      <c r="Q1022" s="27">
        <f ca="1">DATEDIF(DadosViagem5[[#This Row],[BIP]],TODAY(),"D")</f>
        <v>1</v>
      </c>
      <c r="R1022" s="28" t="str">
        <f>IFERROR(VLOOKUP(DadosViagem5[[#This Row],[Placa]],[1]DDS!B:C,2,FALSE),"Verificar cadastro")</f>
        <v>Operando</v>
      </c>
      <c r="S1022" s="29" t="s">
        <v>48</v>
      </c>
      <c r="T1022" s="23"/>
      <c r="U1022" s="30"/>
      <c r="V1022" s="31"/>
      <c r="W1022" s="32"/>
      <c r="X1022" s="33"/>
      <c r="Y1022" s="34"/>
      <c r="Z1022" s="32"/>
      <c r="AA1022" s="20" t="s">
        <v>49</v>
      </c>
      <c r="AB1022" s="20" t="s">
        <v>49</v>
      </c>
      <c r="AC1022" s="19" t="s">
        <v>49</v>
      </c>
      <c r="AD1022" s="19" t="str">
        <f ca="1">IFERROR(DATEDIF(DadosViagem5[[#This Row],[Utimo Bip Reserva]],TODAY(),"D"),"")</f>
        <v/>
      </c>
      <c r="AE1022" s="25" t="s">
        <v>49</v>
      </c>
      <c r="AF1022" s="25" t="s">
        <v>49</v>
      </c>
      <c r="AG1022" s="36" t="s">
        <v>997</v>
      </c>
      <c r="AH1022" s="25">
        <v>45807</v>
      </c>
      <c r="AI1022" s="36" t="str">
        <f>IF(DadosViagem5[[#This Row],[Dias em manutenção ]]&lt;5,"Dentro do Prazo","Fora do Prazo")</f>
        <v>Fora do Prazo</v>
      </c>
      <c r="AJ1022" s="36" t="e">
        <v>#REF!</v>
      </c>
    </row>
    <row r="1023" spans="1:36">
      <c r="A1023" s="19" t="s">
        <v>1778</v>
      </c>
      <c r="B1023" s="20">
        <v>441</v>
      </c>
      <c r="C1023" s="19" t="s">
        <v>74</v>
      </c>
      <c r="D1023" s="19" t="s">
        <v>52</v>
      </c>
      <c r="E1023" s="19" t="s">
        <v>75</v>
      </c>
      <c r="F1023" s="19" t="s">
        <v>76</v>
      </c>
      <c r="G1023" s="19"/>
      <c r="H1023" s="20">
        <v>2024</v>
      </c>
      <c r="I1023" s="19" t="s">
        <v>1738</v>
      </c>
      <c r="J1023" s="19" t="s">
        <v>1739</v>
      </c>
      <c r="K1023" s="21" t="s">
        <v>1740</v>
      </c>
      <c r="L1023" s="22" t="s">
        <v>60</v>
      </c>
      <c r="M1023" s="23" t="s">
        <v>77</v>
      </c>
      <c r="N1023" s="25" t="s">
        <v>1741</v>
      </c>
      <c r="O1023" s="25" t="s">
        <v>1756</v>
      </c>
      <c r="P1023" s="26">
        <f ca="1">IFERROR(VLOOKUP(DadosViagem5[[#This Row],[Placa]],[1]BIP!A:E,5,FALSE),"")</f>
        <v>45989</v>
      </c>
      <c r="Q1023" s="27">
        <f ca="1">DATEDIF(DadosViagem5[[#This Row],[BIP]],TODAY(),"D")</f>
        <v>1</v>
      </c>
      <c r="R1023" s="28" t="str">
        <f>IFERROR(VLOOKUP(DadosViagem5[[#This Row],[Placa]],[1]DDS!B:C,2,FALSE),"Verificar cadastro")</f>
        <v>Operando</v>
      </c>
      <c r="S1023" s="29" t="s">
        <v>48</v>
      </c>
      <c r="T1023" s="23"/>
      <c r="U1023" s="30"/>
      <c r="V1023" s="31"/>
      <c r="W1023" s="32"/>
      <c r="X1023" s="33"/>
      <c r="Y1023" s="34"/>
      <c r="Z1023" s="32"/>
      <c r="AA1023" s="20" t="s">
        <v>49</v>
      </c>
      <c r="AB1023" s="20" t="s">
        <v>49</v>
      </c>
      <c r="AC1023" s="19" t="s">
        <v>49</v>
      </c>
      <c r="AD1023" s="19" t="str">
        <f ca="1">IFERROR(DATEDIF(DadosViagem5[[#This Row],[Utimo Bip Reserva]],TODAY(),"D"),"")</f>
        <v/>
      </c>
      <c r="AE1023" s="25" t="s">
        <v>49</v>
      </c>
      <c r="AF1023" s="25" t="s">
        <v>49</v>
      </c>
      <c r="AG1023" s="36"/>
      <c r="AH1023" s="25">
        <v>45807</v>
      </c>
      <c r="AI1023" s="36" t="str">
        <f>IF(DadosViagem5[[#This Row],[Dias em manutenção ]]&lt;5,"Dentro do Prazo","Fora do Prazo")</f>
        <v>Fora do Prazo</v>
      </c>
      <c r="AJ1023" s="36" t="e">
        <v>#REF!</v>
      </c>
    </row>
    <row r="1024" spans="1:36">
      <c r="A1024" s="19" t="s">
        <v>1779</v>
      </c>
      <c r="B1024" s="20">
        <v>375</v>
      </c>
      <c r="C1024" s="19" t="s">
        <v>74</v>
      </c>
      <c r="D1024" s="19" t="s">
        <v>52</v>
      </c>
      <c r="E1024" s="19" t="s">
        <v>75</v>
      </c>
      <c r="F1024" s="19" t="s">
        <v>115</v>
      </c>
      <c r="G1024" s="19"/>
      <c r="H1024" s="20">
        <v>2024</v>
      </c>
      <c r="I1024" s="19" t="s">
        <v>1738</v>
      </c>
      <c r="J1024" s="19" t="s">
        <v>1739</v>
      </c>
      <c r="K1024" s="21" t="s">
        <v>1740</v>
      </c>
      <c r="L1024" s="22" t="s">
        <v>60</v>
      </c>
      <c r="M1024" s="23" t="s">
        <v>77</v>
      </c>
      <c r="N1024" s="25" t="s">
        <v>1741</v>
      </c>
      <c r="O1024" s="25" t="s">
        <v>1713</v>
      </c>
      <c r="P1024" s="26">
        <f ca="1">IFERROR(VLOOKUP(DadosViagem5[[#This Row],[Placa]],[1]BIP!A:E,5,FALSE),"")</f>
        <v>45989</v>
      </c>
      <c r="Q1024" s="27">
        <f ca="1">DATEDIF(DadosViagem5[[#This Row],[BIP]],TODAY(),"D")</f>
        <v>1</v>
      </c>
      <c r="R1024" s="28" t="str">
        <f>IFERROR(VLOOKUP(DadosViagem5[[#This Row],[Placa]],[1]DDS!B:C,2,FALSE),"Verificar cadastro")</f>
        <v>Operando</v>
      </c>
      <c r="S1024" s="29" t="s">
        <v>48</v>
      </c>
      <c r="T1024" s="23"/>
      <c r="U1024" s="30"/>
      <c r="V1024" s="31"/>
      <c r="W1024" s="32"/>
      <c r="X1024" s="33"/>
      <c r="Y1024" s="34"/>
      <c r="Z1024" s="32"/>
      <c r="AA1024" s="20" t="s">
        <v>49</v>
      </c>
      <c r="AB1024" s="20" t="s">
        <v>49</v>
      </c>
      <c r="AC1024" s="19" t="s">
        <v>49</v>
      </c>
      <c r="AD1024" s="19" t="str">
        <f ca="1">IFERROR(DATEDIF(DadosViagem5[[#This Row],[Utimo Bip Reserva]],TODAY(),"D"),"")</f>
        <v/>
      </c>
      <c r="AE1024" s="25" t="s">
        <v>49</v>
      </c>
      <c r="AF1024" s="25" t="s">
        <v>49</v>
      </c>
      <c r="AG1024" s="36"/>
      <c r="AH1024" s="25">
        <v>45807</v>
      </c>
      <c r="AI1024" s="36" t="str">
        <f>IF(DadosViagem5[[#This Row],[Dias em manutenção ]]&lt;5,"Dentro do Prazo","Fora do Prazo")</f>
        <v>Fora do Prazo</v>
      </c>
      <c r="AJ1024" s="36" t="e">
        <v>#REF!</v>
      </c>
    </row>
    <row r="1025" spans="1:36">
      <c r="A1025" s="19" t="s">
        <v>1780</v>
      </c>
      <c r="B1025" s="20">
        <v>330</v>
      </c>
      <c r="C1025" s="19" t="s">
        <v>74</v>
      </c>
      <c r="D1025" s="19" t="s">
        <v>52</v>
      </c>
      <c r="E1025" s="19" t="s">
        <v>75</v>
      </c>
      <c r="F1025" s="19" t="s">
        <v>115</v>
      </c>
      <c r="G1025" s="19"/>
      <c r="H1025" s="20">
        <v>2023</v>
      </c>
      <c r="I1025" s="19" t="s">
        <v>1738</v>
      </c>
      <c r="J1025" s="19" t="s">
        <v>1739</v>
      </c>
      <c r="K1025" s="21" t="s">
        <v>1740</v>
      </c>
      <c r="L1025" s="22" t="s">
        <v>60</v>
      </c>
      <c r="M1025" s="23" t="s">
        <v>77</v>
      </c>
      <c r="N1025" s="25" t="s">
        <v>1741</v>
      </c>
      <c r="O1025" s="25" t="s">
        <v>1713</v>
      </c>
      <c r="P1025" s="26">
        <f ca="1">IFERROR(VLOOKUP(DadosViagem5[[#This Row],[Placa]],[1]BIP!A:E,5,FALSE),"")</f>
        <v>45989</v>
      </c>
      <c r="Q1025" s="27">
        <f ca="1">DATEDIF(DadosViagem5[[#This Row],[BIP]],TODAY(),"D")</f>
        <v>1</v>
      </c>
      <c r="R1025" s="28" t="str">
        <f>IFERROR(VLOOKUP(DadosViagem5[[#This Row],[Placa]],[1]DDS!B:C,2,FALSE),"Verificar cadastro")</f>
        <v>Operando</v>
      </c>
      <c r="S1025" s="29" t="s">
        <v>48</v>
      </c>
      <c r="T1025" s="23"/>
      <c r="U1025" s="30"/>
      <c r="V1025" s="31"/>
      <c r="W1025" s="32"/>
      <c r="X1025" s="33"/>
      <c r="Y1025" s="34"/>
      <c r="Z1025" s="32"/>
      <c r="AA1025" s="20" t="s">
        <v>49</v>
      </c>
      <c r="AB1025" s="20" t="s">
        <v>49</v>
      </c>
      <c r="AC1025" s="19" t="s">
        <v>49</v>
      </c>
      <c r="AD1025" s="19" t="str">
        <f ca="1">IFERROR(DATEDIF(DadosViagem5[[#This Row],[Utimo Bip Reserva]],TODAY(),"D"),"")</f>
        <v/>
      </c>
      <c r="AE1025" s="25" t="s">
        <v>49</v>
      </c>
      <c r="AF1025" s="25" t="s">
        <v>49</v>
      </c>
      <c r="AG1025" s="36"/>
      <c r="AH1025" s="25">
        <v>45807</v>
      </c>
      <c r="AI1025" s="36" t="str">
        <f>IF(DadosViagem5[[#This Row],[Dias em manutenção ]]&lt;5,"Dentro do Prazo","Fora do Prazo")</f>
        <v>Fora do Prazo</v>
      </c>
      <c r="AJ1025" s="36" t="e">
        <v>#REF!</v>
      </c>
    </row>
    <row r="1026" spans="1:36">
      <c r="A1026" s="19" t="s">
        <v>1781</v>
      </c>
      <c r="B1026" s="20">
        <v>336</v>
      </c>
      <c r="C1026" s="19" t="s">
        <v>74</v>
      </c>
      <c r="D1026" s="19" t="s">
        <v>52</v>
      </c>
      <c r="E1026" s="19" t="s">
        <v>75</v>
      </c>
      <c r="F1026" s="19" t="s">
        <v>115</v>
      </c>
      <c r="G1026" s="19"/>
      <c r="H1026" s="20">
        <v>2023</v>
      </c>
      <c r="I1026" s="19" t="s">
        <v>1738</v>
      </c>
      <c r="J1026" s="19" t="s">
        <v>1739</v>
      </c>
      <c r="K1026" s="21" t="s">
        <v>1740</v>
      </c>
      <c r="L1026" s="22" t="s">
        <v>60</v>
      </c>
      <c r="M1026" s="23" t="s">
        <v>77</v>
      </c>
      <c r="N1026" s="25" t="s">
        <v>1741</v>
      </c>
      <c r="O1026" s="25" t="s">
        <v>1713</v>
      </c>
      <c r="P1026" s="26">
        <f ca="1">IFERROR(VLOOKUP(DadosViagem5[[#This Row],[Placa]],[1]BIP!A:E,5,FALSE),"")</f>
        <v>45989</v>
      </c>
      <c r="Q1026" s="27">
        <f ca="1">DATEDIF(DadosViagem5[[#This Row],[BIP]],TODAY(),"D")</f>
        <v>1</v>
      </c>
      <c r="R1026" s="28" t="str">
        <f>IFERROR(VLOOKUP(DadosViagem5[[#This Row],[Placa]],[1]DDS!B:C,2,FALSE),"Verificar cadastro")</f>
        <v>Operando</v>
      </c>
      <c r="S1026" s="29" t="s">
        <v>48</v>
      </c>
      <c r="T1026" s="23"/>
      <c r="U1026" s="30"/>
      <c r="V1026" s="31"/>
      <c r="W1026" s="32"/>
      <c r="X1026" s="33"/>
      <c r="Y1026" s="34"/>
      <c r="Z1026" s="32"/>
      <c r="AA1026" s="20" t="s">
        <v>49</v>
      </c>
      <c r="AB1026" s="20" t="s">
        <v>49</v>
      </c>
      <c r="AC1026" s="19" t="s">
        <v>49</v>
      </c>
      <c r="AD1026" s="19" t="str">
        <f ca="1">IFERROR(DATEDIF(DadosViagem5[[#This Row],[Utimo Bip Reserva]],TODAY(),"D"),"")</f>
        <v/>
      </c>
      <c r="AE1026" s="25" t="s">
        <v>49</v>
      </c>
      <c r="AF1026" s="25" t="s">
        <v>49</v>
      </c>
      <c r="AG1026" s="36"/>
      <c r="AH1026" s="25">
        <v>45807</v>
      </c>
      <c r="AI1026" s="36" t="str">
        <f>IF(DadosViagem5[[#This Row],[Dias em manutenção ]]&lt;5,"Dentro do Prazo","Fora do Prazo")</f>
        <v>Fora do Prazo</v>
      </c>
      <c r="AJ1026" s="36" t="e">
        <v>#REF!</v>
      </c>
    </row>
    <row r="1027" spans="1:36">
      <c r="A1027" s="19" t="s">
        <v>1782</v>
      </c>
      <c r="B1027" s="20">
        <v>387</v>
      </c>
      <c r="C1027" s="19" t="s">
        <v>74</v>
      </c>
      <c r="D1027" s="19" t="s">
        <v>52</v>
      </c>
      <c r="E1027" s="19" t="s">
        <v>75</v>
      </c>
      <c r="F1027" s="19" t="s">
        <v>115</v>
      </c>
      <c r="G1027" s="19"/>
      <c r="H1027" s="20">
        <v>2024</v>
      </c>
      <c r="I1027" s="19" t="s">
        <v>1738</v>
      </c>
      <c r="J1027" s="19" t="s">
        <v>1739</v>
      </c>
      <c r="K1027" s="21" t="s">
        <v>1740</v>
      </c>
      <c r="L1027" s="22" t="s">
        <v>60</v>
      </c>
      <c r="M1027" s="23" t="s">
        <v>77</v>
      </c>
      <c r="N1027" s="25" t="s">
        <v>1741</v>
      </c>
      <c r="O1027" s="25" t="s">
        <v>1713</v>
      </c>
      <c r="P1027" s="26">
        <f ca="1">IFERROR(VLOOKUP(DadosViagem5[[#This Row],[Placa]],[1]BIP!A:E,5,FALSE),"")</f>
        <v>45989</v>
      </c>
      <c r="Q1027" s="27">
        <f ca="1">DATEDIF(DadosViagem5[[#This Row],[BIP]],TODAY(),"D")</f>
        <v>1</v>
      </c>
      <c r="R1027" s="28" t="str">
        <f>IFERROR(VLOOKUP(DadosViagem5[[#This Row],[Placa]],[1]DDS!B:C,2,FALSE),"Verificar cadastro")</f>
        <v>Operando</v>
      </c>
      <c r="S1027" s="29" t="s">
        <v>48</v>
      </c>
      <c r="T1027" s="23"/>
      <c r="U1027" s="30"/>
      <c r="V1027" s="31"/>
      <c r="W1027" s="32"/>
      <c r="X1027" s="33"/>
      <c r="Y1027" s="34"/>
      <c r="Z1027" s="32"/>
      <c r="AA1027" s="20" t="s">
        <v>49</v>
      </c>
      <c r="AB1027" s="20" t="s">
        <v>49</v>
      </c>
      <c r="AC1027" s="19" t="s">
        <v>49</v>
      </c>
      <c r="AD1027" s="19" t="str">
        <f ca="1">IFERROR(DATEDIF(DadosViagem5[[#This Row],[Utimo Bip Reserva]],TODAY(),"D"),"")</f>
        <v/>
      </c>
      <c r="AE1027" s="123"/>
      <c r="AF1027" s="35"/>
      <c r="AG1027" s="36"/>
      <c r="AH1027" s="25">
        <v>45807</v>
      </c>
      <c r="AI1027" s="36" t="str">
        <f>IF(DadosViagem5[[#This Row],[Dias em manutenção ]]&lt;5,"Dentro do Prazo","Fora do Prazo")</f>
        <v>Fora do Prazo</v>
      </c>
      <c r="AJ1027" s="36" t="e">
        <v>#REF!</v>
      </c>
    </row>
    <row r="1028" spans="1:36">
      <c r="A1028" s="19" t="s">
        <v>1783</v>
      </c>
      <c r="B1028" s="20">
        <v>337</v>
      </c>
      <c r="C1028" s="19" t="s">
        <v>74</v>
      </c>
      <c r="D1028" s="19" t="s">
        <v>52</v>
      </c>
      <c r="E1028" s="19" t="s">
        <v>75</v>
      </c>
      <c r="F1028" s="19" t="s">
        <v>115</v>
      </c>
      <c r="G1028" s="19"/>
      <c r="H1028" s="20">
        <v>2023</v>
      </c>
      <c r="I1028" s="19" t="s">
        <v>1738</v>
      </c>
      <c r="J1028" s="19" t="s">
        <v>1739</v>
      </c>
      <c r="K1028" s="21" t="s">
        <v>1740</v>
      </c>
      <c r="L1028" s="22" t="s">
        <v>60</v>
      </c>
      <c r="M1028" s="23" t="s">
        <v>77</v>
      </c>
      <c r="N1028" s="25" t="s">
        <v>1741</v>
      </c>
      <c r="O1028" s="25" t="s">
        <v>1713</v>
      </c>
      <c r="P1028" s="26">
        <f ca="1">IFERROR(VLOOKUP(DadosViagem5[[#This Row],[Placa]],[1]BIP!A:E,5,FALSE),"")</f>
        <v>45989</v>
      </c>
      <c r="Q1028" s="27">
        <f ca="1">DATEDIF(DadosViagem5[[#This Row],[BIP]],TODAY(),"D")</f>
        <v>1</v>
      </c>
      <c r="R1028" s="28" t="str">
        <f>IFERROR(VLOOKUP(DadosViagem5[[#This Row],[Placa]],[1]DDS!B:C,2,FALSE),"Verificar cadastro")</f>
        <v>Operando</v>
      </c>
      <c r="S1028" s="29" t="s">
        <v>48</v>
      </c>
      <c r="T1028" s="23"/>
      <c r="U1028" s="30"/>
      <c r="V1028" s="31"/>
      <c r="W1028" s="32"/>
      <c r="X1028" s="33"/>
      <c r="Y1028" s="34"/>
      <c r="Z1028" s="32"/>
      <c r="AA1028" s="20" t="s">
        <v>49</v>
      </c>
      <c r="AB1028" s="20" t="s">
        <v>49</v>
      </c>
      <c r="AC1028" s="19" t="s">
        <v>49</v>
      </c>
      <c r="AD1028" s="19" t="str">
        <f ca="1">IFERROR(DATEDIF(DadosViagem5[[#This Row],[Utimo Bip Reserva]],TODAY(),"D"),"")</f>
        <v/>
      </c>
      <c r="AE1028" s="25" t="s">
        <v>49</v>
      </c>
      <c r="AF1028" s="25" t="s">
        <v>49</v>
      </c>
      <c r="AG1028" s="36"/>
      <c r="AH1028" s="25">
        <v>45807</v>
      </c>
      <c r="AI1028" s="36" t="str">
        <f>IF(DadosViagem5[[#This Row],[Dias em manutenção ]]&lt;5,"Dentro do Prazo","Fora do Prazo")</f>
        <v>Fora do Prazo</v>
      </c>
      <c r="AJ1028" s="36" t="e">
        <v>#REF!</v>
      </c>
    </row>
    <row r="1029" spans="1:36">
      <c r="A1029" s="19" t="s">
        <v>1784</v>
      </c>
      <c r="B1029" s="20">
        <v>385</v>
      </c>
      <c r="C1029" s="19" t="s">
        <v>74</v>
      </c>
      <c r="D1029" s="19" t="s">
        <v>52</v>
      </c>
      <c r="E1029" s="19" t="s">
        <v>75</v>
      </c>
      <c r="F1029" s="19" t="s">
        <v>115</v>
      </c>
      <c r="G1029" s="19"/>
      <c r="H1029" s="20">
        <v>2024</v>
      </c>
      <c r="I1029" s="19" t="s">
        <v>1738</v>
      </c>
      <c r="J1029" s="19" t="s">
        <v>1739</v>
      </c>
      <c r="K1029" s="21" t="s">
        <v>1740</v>
      </c>
      <c r="L1029" s="22" t="s">
        <v>60</v>
      </c>
      <c r="M1029" s="23" t="s">
        <v>77</v>
      </c>
      <c r="N1029" s="25" t="s">
        <v>1741</v>
      </c>
      <c r="O1029" s="25" t="s">
        <v>1713</v>
      </c>
      <c r="P1029" s="26">
        <f ca="1">IFERROR(VLOOKUP(DadosViagem5[[#This Row],[Placa]],[1]BIP!A:E,5,FALSE),"")</f>
        <v>45989</v>
      </c>
      <c r="Q1029" s="27">
        <f ca="1">DATEDIF(DadosViagem5[[#This Row],[BIP]],TODAY(),"D")</f>
        <v>1</v>
      </c>
      <c r="R1029" s="28" t="str">
        <f>IFERROR(VLOOKUP(DadosViagem5[[#This Row],[Placa]],[1]DDS!B:C,2,FALSE),"Verificar cadastro")</f>
        <v>Operando</v>
      </c>
      <c r="S1029" s="29" t="s">
        <v>48</v>
      </c>
      <c r="T1029" s="23"/>
      <c r="U1029" s="30"/>
      <c r="V1029" s="31"/>
      <c r="W1029" s="32"/>
      <c r="X1029" s="33"/>
      <c r="Y1029" s="34"/>
      <c r="Z1029" s="32"/>
      <c r="AA1029" s="20" t="s">
        <v>49</v>
      </c>
      <c r="AB1029" s="20" t="s">
        <v>49</v>
      </c>
      <c r="AC1029" s="19" t="s">
        <v>49</v>
      </c>
      <c r="AD1029" s="19" t="str">
        <f ca="1">IFERROR(DATEDIF(DadosViagem5[[#This Row],[Utimo Bip Reserva]],TODAY(),"D"),"")</f>
        <v/>
      </c>
      <c r="AE1029" s="36" t="s">
        <v>49</v>
      </c>
      <c r="AF1029" s="25" t="s">
        <v>49</v>
      </c>
      <c r="AG1029" s="36"/>
      <c r="AH1029" s="25">
        <v>45807</v>
      </c>
      <c r="AI1029" s="36" t="str">
        <f>IF(DadosViagem5[[#This Row],[Dias em manutenção ]]&lt;5,"Dentro do Prazo","Fora do Prazo")</f>
        <v>Fora do Prazo</v>
      </c>
      <c r="AJ1029" s="36" t="e">
        <v>#REF!</v>
      </c>
    </row>
    <row r="1030" spans="1:36">
      <c r="A1030" s="19" t="s">
        <v>1785</v>
      </c>
      <c r="B1030" s="20">
        <v>319</v>
      </c>
      <c r="C1030" s="19" t="s">
        <v>74</v>
      </c>
      <c r="D1030" s="19" t="s">
        <v>52</v>
      </c>
      <c r="E1030" s="19" t="s">
        <v>75</v>
      </c>
      <c r="F1030" s="19" t="s">
        <v>76</v>
      </c>
      <c r="G1030" s="19"/>
      <c r="H1030" s="20">
        <v>2023</v>
      </c>
      <c r="I1030" s="19" t="s">
        <v>1738</v>
      </c>
      <c r="J1030" s="19" t="s">
        <v>1739</v>
      </c>
      <c r="K1030" s="21" t="s">
        <v>1740</v>
      </c>
      <c r="L1030" s="22" t="s">
        <v>60</v>
      </c>
      <c r="M1030" s="23" t="s">
        <v>77</v>
      </c>
      <c r="N1030" s="25" t="s">
        <v>1741</v>
      </c>
      <c r="O1030" s="25" t="s">
        <v>1713</v>
      </c>
      <c r="P1030" s="26">
        <f ca="1">IFERROR(VLOOKUP(DadosViagem5[[#This Row],[Placa]],[1]BIP!A:E,5,FALSE),"")</f>
        <v>45989</v>
      </c>
      <c r="Q1030" s="27">
        <f ca="1">DATEDIF(DadosViagem5[[#This Row],[BIP]],TODAY(),"D")</f>
        <v>1</v>
      </c>
      <c r="R1030" s="28" t="str">
        <f>IFERROR(VLOOKUP(DadosViagem5[[#This Row],[Placa]],[1]DDS!B:C,2,FALSE),"Verificar cadastro")</f>
        <v>Operando</v>
      </c>
      <c r="S1030" s="29" t="s">
        <v>48</v>
      </c>
      <c r="T1030" s="23"/>
      <c r="U1030" s="30"/>
      <c r="V1030" s="31"/>
      <c r="W1030" s="32"/>
      <c r="X1030" s="33"/>
      <c r="Y1030" s="34"/>
      <c r="Z1030" s="32"/>
      <c r="AA1030" s="20" t="s">
        <v>49</v>
      </c>
      <c r="AB1030" s="20" t="s">
        <v>49</v>
      </c>
      <c r="AC1030" s="19" t="s">
        <v>49</v>
      </c>
      <c r="AD1030" s="19" t="str">
        <f ca="1">IFERROR(DATEDIF(DadosViagem5[[#This Row],[Utimo Bip Reserva]],TODAY(),"D"),"")</f>
        <v/>
      </c>
      <c r="AE1030" s="25" t="s">
        <v>49</v>
      </c>
      <c r="AF1030" s="25" t="s">
        <v>49</v>
      </c>
      <c r="AG1030" s="36" t="s">
        <v>997</v>
      </c>
      <c r="AH1030" s="25">
        <v>45807</v>
      </c>
      <c r="AI1030" s="36" t="str">
        <f>IF(DadosViagem5[[#This Row],[Dias em manutenção ]]&lt;5,"Dentro do Prazo","Fora do Prazo")</f>
        <v>Fora do Prazo</v>
      </c>
      <c r="AJ1030" s="36" t="e">
        <v>#REF!</v>
      </c>
    </row>
    <row r="1031" spans="1:36">
      <c r="A1031" s="19" t="s">
        <v>1786</v>
      </c>
      <c r="B1031" s="20">
        <v>386</v>
      </c>
      <c r="C1031" s="19" t="s">
        <v>74</v>
      </c>
      <c r="D1031" s="19" t="s">
        <v>52</v>
      </c>
      <c r="E1031" s="19" t="s">
        <v>75</v>
      </c>
      <c r="F1031" s="19" t="s">
        <v>76</v>
      </c>
      <c r="G1031" s="19"/>
      <c r="H1031" s="20">
        <v>2024</v>
      </c>
      <c r="I1031" s="19" t="s">
        <v>1738</v>
      </c>
      <c r="J1031" s="19" t="s">
        <v>1739</v>
      </c>
      <c r="K1031" s="21" t="s">
        <v>1740</v>
      </c>
      <c r="L1031" s="22" t="s">
        <v>60</v>
      </c>
      <c r="M1031" s="23" t="s">
        <v>77</v>
      </c>
      <c r="N1031" s="25" t="s">
        <v>1741</v>
      </c>
      <c r="O1031" s="25" t="s">
        <v>1713</v>
      </c>
      <c r="P1031" s="26">
        <f ca="1">IFERROR(VLOOKUP(DadosViagem5[[#This Row],[Placa]],[1]BIP!A:E,5,FALSE),"")</f>
        <v>45989</v>
      </c>
      <c r="Q1031" s="27">
        <f ca="1">DATEDIF(DadosViagem5[[#This Row],[BIP]],TODAY(),"D")</f>
        <v>1</v>
      </c>
      <c r="R1031" s="28" t="str">
        <f>IFERROR(VLOOKUP(DadosViagem5[[#This Row],[Placa]],[1]DDS!B:C,2,FALSE),"Verificar cadastro")</f>
        <v>Operando</v>
      </c>
      <c r="S1031" s="29" t="s">
        <v>48</v>
      </c>
      <c r="T1031" s="23"/>
      <c r="U1031" s="30"/>
      <c r="V1031" s="31"/>
      <c r="W1031" s="32"/>
      <c r="X1031" s="33"/>
      <c r="Y1031" s="34"/>
      <c r="Z1031" s="32"/>
      <c r="AA1031" s="20" t="s">
        <v>49</v>
      </c>
      <c r="AB1031" s="20" t="s">
        <v>49</v>
      </c>
      <c r="AC1031" s="19" t="s">
        <v>49</v>
      </c>
      <c r="AD1031" s="19" t="str">
        <f ca="1">IFERROR(DATEDIF(DadosViagem5[[#This Row],[Utimo Bip Reserva]],TODAY(),"D"),"")</f>
        <v/>
      </c>
      <c r="AE1031" s="29"/>
      <c r="AF1031" s="35"/>
      <c r="AG1031" s="36" t="s">
        <v>997</v>
      </c>
      <c r="AH1031" s="25">
        <v>45807</v>
      </c>
      <c r="AI1031" s="36" t="str">
        <f>IF(DadosViagem5[[#This Row],[Dias em manutenção ]]&lt;5,"Dentro do Prazo","Fora do Prazo")</f>
        <v>Fora do Prazo</v>
      </c>
      <c r="AJ1031" s="36" t="e">
        <v>#REF!</v>
      </c>
    </row>
    <row r="1032" spans="1:36">
      <c r="A1032" s="19" t="s">
        <v>1787</v>
      </c>
      <c r="B1032" s="20"/>
      <c r="C1032" s="19" t="s">
        <v>88</v>
      </c>
      <c r="D1032" s="19" t="s">
        <v>52</v>
      </c>
      <c r="E1032" s="19" t="s">
        <v>114</v>
      </c>
      <c r="F1032" s="19" t="s">
        <v>115</v>
      </c>
      <c r="G1032" s="19"/>
      <c r="H1032" s="20">
        <v>2022</v>
      </c>
      <c r="I1032" s="19" t="s">
        <v>1040</v>
      </c>
      <c r="J1032" s="19" t="s">
        <v>1788</v>
      </c>
      <c r="K1032" s="21" t="s">
        <v>1789</v>
      </c>
      <c r="L1032" s="22" t="s">
        <v>60</v>
      </c>
      <c r="M1032" s="23" t="s">
        <v>45</v>
      </c>
      <c r="N1032" s="36" t="s">
        <v>1790</v>
      </c>
      <c r="O1032" s="36" t="s">
        <v>1152</v>
      </c>
      <c r="P1032" s="26">
        <f ca="1">IFERROR(VLOOKUP(DadosViagem5[[#This Row],[Placa]],[1]BIP!A:E,5,FALSE),"")</f>
        <v>45864</v>
      </c>
      <c r="Q1032" s="27">
        <f ca="1">DATEDIF(DadosViagem5[[#This Row],[BIP]],TODAY(),"D")</f>
        <v>126</v>
      </c>
      <c r="R1032" s="28" t="str">
        <f>IFERROR(VLOOKUP(DadosViagem5[[#This Row],[Placa]],[1]DDS!B:C,2,FALSE),"Verificar cadastro")</f>
        <v> </v>
      </c>
      <c r="S1032" s="36" t="s">
        <v>574</v>
      </c>
      <c r="T1032" s="23"/>
      <c r="U1032" s="30"/>
      <c r="V1032" s="31"/>
      <c r="W1032" s="32" t="s">
        <v>1791</v>
      </c>
      <c r="X1032" s="33"/>
      <c r="Y1032" s="34" t="s">
        <v>49</v>
      </c>
      <c r="Z1032" s="32"/>
      <c r="AA1032" s="20" t="s">
        <v>49</v>
      </c>
      <c r="AB1032" s="20" t="s">
        <v>49</v>
      </c>
      <c r="AC1032" s="19" t="s">
        <v>49</v>
      </c>
      <c r="AD1032" s="19" t="str">
        <f ca="1">IFERROR(DATEDIF(DadosViagem5[[#This Row],[Utimo Bip Reserva]],TODAY(),"D"),"")</f>
        <v/>
      </c>
      <c r="AE1032" s="36" t="s">
        <v>49</v>
      </c>
      <c r="AF1032" s="25" t="s">
        <v>49</v>
      </c>
      <c r="AG1032" s="36"/>
      <c r="AH1032" s="25">
        <v>45807</v>
      </c>
      <c r="AI1032" s="36" t="str">
        <f>IF(DadosViagem5[[#This Row],[Dias em manutenção ]]&lt;5,"Dentro do Prazo","Fora do Prazo")</f>
        <v>Fora do Prazo</v>
      </c>
      <c r="AJ1032" s="36" t="e">
        <v>#REF!</v>
      </c>
    </row>
    <row r="1033" spans="1:36">
      <c r="A1033" s="19" t="s">
        <v>1792</v>
      </c>
      <c r="B1033" s="20"/>
      <c r="C1033" s="19" t="s">
        <v>88</v>
      </c>
      <c r="D1033" s="19" t="s">
        <v>52</v>
      </c>
      <c r="E1033" s="19" t="s">
        <v>114</v>
      </c>
      <c r="F1033" s="19" t="s">
        <v>115</v>
      </c>
      <c r="G1033" s="19"/>
      <c r="H1033" s="20">
        <v>2022</v>
      </c>
      <c r="I1033" s="19" t="s">
        <v>1040</v>
      </c>
      <c r="J1033" s="19" t="s">
        <v>1793</v>
      </c>
      <c r="K1033" s="21" t="s">
        <v>1789</v>
      </c>
      <c r="L1033" s="22" t="s">
        <v>60</v>
      </c>
      <c r="M1033" s="23" t="s">
        <v>45</v>
      </c>
      <c r="N1033" s="36" t="s">
        <v>1790</v>
      </c>
      <c r="O1033" s="36" t="s">
        <v>1152</v>
      </c>
      <c r="P1033" s="26">
        <f ca="1">IFERROR(VLOOKUP(DadosViagem5[[#This Row],[Placa]],[1]BIP!A:E,5,FALSE),"")</f>
        <v>45864</v>
      </c>
      <c r="Q1033" s="27">
        <f ca="1">DATEDIF(DadosViagem5[[#This Row],[BIP]],TODAY(),"D")</f>
        <v>126</v>
      </c>
      <c r="R1033" s="28" t="str">
        <f>IFERROR(VLOOKUP(DadosViagem5[[#This Row],[Placa]],[1]DDS!B:C,2,FALSE),"Verificar cadastro")</f>
        <v> </v>
      </c>
      <c r="S1033" s="36" t="s">
        <v>574</v>
      </c>
      <c r="T1033" s="23"/>
      <c r="U1033" s="30"/>
      <c r="V1033" s="31"/>
      <c r="W1033" s="32" t="s">
        <v>1791</v>
      </c>
      <c r="X1033" s="33"/>
      <c r="Y1033" s="34" t="s">
        <v>49</v>
      </c>
      <c r="Z1033" s="32"/>
      <c r="AA1033" s="20" t="s">
        <v>49</v>
      </c>
      <c r="AB1033" s="20" t="s">
        <v>49</v>
      </c>
      <c r="AC1033" s="19" t="s">
        <v>49</v>
      </c>
      <c r="AD1033" s="19" t="str">
        <f ca="1">IFERROR(DATEDIF(DadosViagem5[[#This Row],[Utimo Bip Reserva]],TODAY(),"D"),"")</f>
        <v/>
      </c>
      <c r="AE1033" s="36" t="s">
        <v>49</v>
      </c>
      <c r="AF1033" s="25" t="s">
        <v>49</v>
      </c>
      <c r="AG1033" s="36"/>
      <c r="AH1033" s="25">
        <v>45807</v>
      </c>
      <c r="AI1033" s="36" t="str">
        <f>IF(DadosViagem5[[#This Row],[Dias em manutenção ]]&lt;5,"Dentro do Prazo","Fora do Prazo")</f>
        <v>Fora do Prazo</v>
      </c>
      <c r="AJ1033" s="36" t="e">
        <v>#REF!</v>
      </c>
    </row>
    <row r="1034" spans="1:36">
      <c r="A1034" s="19" t="s">
        <v>1794</v>
      </c>
      <c r="B1034" s="20"/>
      <c r="C1034" s="19" t="s">
        <v>88</v>
      </c>
      <c r="D1034" s="19" t="s">
        <v>52</v>
      </c>
      <c r="E1034" s="19" t="s">
        <v>114</v>
      </c>
      <c r="F1034" s="19" t="s">
        <v>115</v>
      </c>
      <c r="G1034" s="19"/>
      <c r="H1034" s="20">
        <v>2022</v>
      </c>
      <c r="I1034" s="19" t="s">
        <v>1040</v>
      </c>
      <c r="J1034" s="19" t="s">
        <v>1793</v>
      </c>
      <c r="K1034" s="21" t="s">
        <v>1789</v>
      </c>
      <c r="L1034" s="22" t="s">
        <v>60</v>
      </c>
      <c r="M1034" s="23" t="s">
        <v>45</v>
      </c>
      <c r="N1034" s="36" t="s">
        <v>1790</v>
      </c>
      <c r="O1034" s="36" t="s">
        <v>1152</v>
      </c>
      <c r="P1034" s="26">
        <f ca="1">IFERROR(VLOOKUP(DadosViagem5[[#This Row],[Placa]],[1]BIP!A:E,5,FALSE),"")</f>
        <v>45871</v>
      </c>
      <c r="Q1034" s="27">
        <f ca="1">DATEDIF(DadosViagem5[[#This Row],[BIP]],TODAY(),"D")</f>
        <v>119</v>
      </c>
      <c r="R1034" s="28" t="str">
        <f>IFERROR(VLOOKUP(DadosViagem5[[#This Row],[Placa]],[1]DDS!B:C,2,FALSE),"Verificar cadastro")</f>
        <v> </v>
      </c>
      <c r="S1034" s="36" t="s">
        <v>574</v>
      </c>
      <c r="T1034" s="23"/>
      <c r="U1034" s="30"/>
      <c r="V1034" s="31"/>
      <c r="W1034" s="32" t="s">
        <v>1791</v>
      </c>
      <c r="X1034" s="33"/>
      <c r="Y1034" s="34" t="s">
        <v>49</v>
      </c>
      <c r="Z1034" s="32"/>
      <c r="AA1034" s="20" t="s">
        <v>49</v>
      </c>
      <c r="AB1034" s="20" t="s">
        <v>49</v>
      </c>
      <c r="AC1034" s="19" t="s">
        <v>49</v>
      </c>
      <c r="AD1034" s="19" t="str">
        <f ca="1">IFERROR(DATEDIF(DadosViagem5[[#This Row],[Utimo Bip Reserva]],TODAY(),"D"),"")</f>
        <v/>
      </c>
      <c r="AE1034" s="36" t="s">
        <v>49</v>
      </c>
      <c r="AF1034" s="25" t="s">
        <v>49</v>
      </c>
      <c r="AG1034" s="36"/>
      <c r="AH1034" s="25">
        <v>45807</v>
      </c>
      <c r="AI1034" s="36" t="str">
        <f>IF(DadosViagem5[[#This Row],[Dias em manutenção ]]&lt;5,"Dentro do Prazo","Fora do Prazo")</f>
        <v>Fora do Prazo</v>
      </c>
      <c r="AJ1034" s="36" t="e">
        <v>#REF!</v>
      </c>
    </row>
    <row r="1035" spans="1:36">
      <c r="A1035" s="19" t="s">
        <v>1795</v>
      </c>
      <c r="B1035" s="20"/>
      <c r="C1035" s="19" t="s">
        <v>88</v>
      </c>
      <c r="D1035" s="19" t="s">
        <v>52</v>
      </c>
      <c r="E1035" s="19" t="s">
        <v>114</v>
      </c>
      <c r="F1035" s="19" t="s">
        <v>115</v>
      </c>
      <c r="G1035" s="19"/>
      <c r="H1035" s="20">
        <v>2022</v>
      </c>
      <c r="I1035" s="19" t="s">
        <v>1040</v>
      </c>
      <c r="J1035" s="19" t="s">
        <v>1793</v>
      </c>
      <c r="K1035" s="21" t="s">
        <v>1789</v>
      </c>
      <c r="L1035" s="22" t="s">
        <v>60</v>
      </c>
      <c r="M1035" s="23" t="s">
        <v>45</v>
      </c>
      <c r="N1035" s="36" t="s">
        <v>1790</v>
      </c>
      <c r="O1035" s="36" t="s">
        <v>1152</v>
      </c>
      <c r="P1035" s="26">
        <f ca="1">IFERROR(VLOOKUP(DadosViagem5[[#This Row],[Placa]],[1]BIP!A:E,5,FALSE),"")</f>
        <v>45941</v>
      </c>
      <c r="Q1035" s="27">
        <f ca="1">DATEDIF(DadosViagem5[[#This Row],[BIP]],TODAY(),"D")</f>
        <v>49</v>
      </c>
      <c r="R1035" s="28" t="str">
        <f>IFERROR(VLOOKUP(DadosViagem5[[#This Row],[Placa]],[1]DDS!B:C,2,FALSE),"Verificar cadastro")</f>
        <v> </v>
      </c>
      <c r="S1035" s="29" t="s">
        <v>48</v>
      </c>
      <c r="T1035" s="23"/>
      <c r="U1035" s="30"/>
      <c r="V1035" s="31"/>
      <c r="W1035" s="32"/>
      <c r="X1035" s="33"/>
      <c r="Y1035" s="34" t="s">
        <v>49</v>
      </c>
      <c r="Z1035" s="32"/>
      <c r="AA1035" s="20" t="s">
        <v>49</v>
      </c>
      <c r="AB1035" s="20" t="s">
        <v>49</v>
      </c>
      <c r="AC1035" s="19" t="s">
        <v>49</v>
      </c>
      <c r="AD1035" s="19" t="str">
        <f ca="1">IFERROR(DATEDIF(DadosViagem5[[#This Row],[Utimo Bip Reserva]],TODAY(),"D"),"")</f>
        <v/>
      </c>
      <c r="AE1035" s="36" t="s">
        <v>49</v>
      </c>
      <c r="AF1035" s="25" t="s">
        <v>49</v>
      </c>
      <c r="AG1035" s="36"/>
      <c r="AH1035" s="25">
        <v>45807</v>
      </c>
      <c r="AI1035" s="36" t="str">
        <f>IF(DadosViagem5[[#This Row],[Dias em manutenção ]]&lt;5,"Dentro do Prazo","Fora do Prazo")</f>
        <v>Fora do Prazo</v>
      </c>
      <c r="AJ1035" s="36" t="e">
        <v>#REF!</v>
      </c>
    </row>
    <row r="1036" spans="1:36">
      <c r="A1036" s="19" t="s">
        <v>1796</v>
      </c>
      <c r="B1036" s="20"/>
      <c r="C1036" s="19" t="s">
        <v>88</v>
      </c>
      <c r="D1036" s="19" t="s">
        <v>52</v>
      </c>
      <c r="E1036" s="19" t="s">
        <v>114</v>
      </c>
      <c r="F1036" s="19" t="s">
        <v>115</v>
      </c>
      <c r="G1036" s="19"/>
      <c r="H1036" s="20">
        <v>2022</v>
      </c>
      <c r="I1036" s="19" t="s">
        <v>1040</v>
      </c>
      <c r="J1036" s="19" t="s">
        <v>1793</v>
      </c>
      <c r="K1036" s="21" t="s">
        <v>1789</v>
      </c>
      <c r="L1036" s="22" t="s">
        <v>60</v>
      </c>
      <c r="M1036" s="23" t="s">
        <v>45</v>
      </c>
      <c r="N1036" s="36" t="s">
        <v>1790</v>
      </c>
      <c r="O1036" s="36" t="s">
        <v>1152</v>
      </c>
      <c r="P1036" s="26">
        <f ca="1">IFERROR(VLOOKUP(DadosViagem5[[#This Row],[Placa]],[1]BIP!A:E,5,FALSE),"")</f>
        <v>45742</v>
      </c>
      <c r="Q1036" s="27">
        <f ca="1">DATEDIF(DadosViagem5[[#This Row],[BIP]],TODAY(),"D")</f>
        <v>248</v>
      </c>
      <c r="R1036" s="28" t="str">
        <f>IFERROR(VLOOKUP(DadosViagem5[[#This Row],[Placa]],[1]DDS!B:C,2,FALSE),"Verificar cadastro")</f>
        <v>Manutenção</v>
      </c>
      <c r="S1036" s="36" t="s">
        <v>574</v>
      </c>
      <c r="T1036" s="23"/>
      <c r="U1036" s="30"/>
      <c r="V1036" s="31">
        <v>45757</v>
      </c>
      <c r="W1036" s="32" t="s">
        <v>1791</v>
      </c>
      <c r="X1036" s="33" t="s">
        <v>65</v>
      </c>
      <c r="Y1036" s="34" t="s">
        <v>66</v>
      </c>
      <c r="Z1036" s="42" t="s">
        <v>171</v>
      </c>
      <c r="AA1036" s="20" t="s">
        <v>49</v>
      </c>
      <c r="AB1036" s="20" t="s">
        <v>49</v>
      </c>
      <c r="AC1036" s="19" t="s">
        <v>49</v>
      </c>
      <c r="AD1036" s="19" t="str">
        <f ca="1">IFERROR(DATEDIF(DadosViagem5[[#This Row],[Utimo Bip Reserva]],TODAY(),"D"),"")</f>
        <v/>
      </c>
      <c r="AE1036" s="36" t="s">
        <v>1797</v>
      </c>
      <c r="AF1036" s="25" t="s">
        <v>49</v>
      </c>
      <c r="AG1036" s="30" t="s">
        <v>153</v>
      </c>
      <c r="AH1036" s="25">
        <v>50</v>
      </c>
      <c r="AI1036" s="36" t="str">
        <f>IF(DadosViagem5[[#This Row],[Dias em manutenção ]]&lt;5,"Dentro do Prazo","Fora do Prazo")</f>
        <v>Fora do Prazo</v>
      </c>
      <c r="AJ1036" s="36" t="e">
        <v>#REF!</v>
      </c>
    </row>
    <row r="1037" spans="1:36">
      <c r="A1037" s="19" t="s">
        <v>1798</v>
      </c>
      <c r="B1037" s="20"/>
      <c r="C1037" s="19" t="s">
        <v>88</v>
      </c>
      <c r="D1037" s="19" t="s">
        <v>52</v>
      </c>
      <c r="E1037" s="19" t="s">
        <v>114</v>
      </c>
      <c r="F1037" s="19" t="s">
        <v>115</v>
      </c>
      <c r="G1037" s="19"/>
      <c r="H1037" s="20">
        <v>2022</v>
      </c>
      <c r="I1037" s="19" t="s">
        <v>1040</v>
      </c>
      <c r="J1037" s="19" t="s">
        <v>1793</v>
      </c>
      <c r="K1037" s="21" t="s">
        <v>1789</v>
      </c>
      <c r="L1037" s="22" t="s">
        <v>60</v>
      </c>
      <c r="M1037" s="23" t="s">
        <v>45</v>
      </c>
      <c r="N1037" s="36" t="s">
        <v>1790</v>
      </c>
      <c r="O1037" s="36" t="s">
        <v>1152</v>
      </c>
      <c r="P1037" s="26">
        <f ca="1">IFERROR(VLOOKUP(DadosViagem5[[#This Row],[Placa]],[1]BIP!A:E,5,FALSE),"")</f>
        <v>45941</v>
      </c>
      <c r="Q1037" s="27">
        <f ca="1">DATEDIF(DadosViagem5[[#This Row],[BIP]],TODAY(),"D")</f>
        <v>49</v>
      </c>
      <c r="R1037" s="28" t="str">
        <f>IFERROR(VLOOKUP(DadosViagem5[[#This Row],[Placa]],[1]DDS!B:C,2,FALSE),"Verificar cadastro")</f>
        <v> </v>
      </c>
      <c r="S1037" s="29" t="s">
        <v>48</v>
      </c>
      <c r="T1037" s="23"/>
      <c r="U1037" s="30"/>
      <c r="V1037" s="31"/>
      <c r="W1037" s="32" t="s">
        <v>1050</v>
      </c>
      <c r="X1037" s="33"/>
      <c r="Y1037" s="34"/>
      <c r="Z1037" s="42"/>
      <c r="AA1037" s="20" t="s">
        <v>49</v>
      </c>
      <c r="AB1037" s="20" t="s">
        <v>49</v>
      </c>
      <c r="AC1037" s="19" t="s">
        <v>49</v>
      </c>
      <c r="AD1037" s="19" t="str">
        <f ca="1">IFERROR(DATEDIF(DadosViagem5[[#This Row],[Utimo Bip Reserva]],TODAY(),"D"),"")</f>
        <v/>
      </c>
      <c r="AE1037" s="23"/>
      <c r="AF1037" s="25" t="s">
        <v>49</v>
      </c>
      <c r="AG1037" s="23"/>
      <c r="AH1037" s="25">
        <v>45807</v>
      </c>
      <c r="AI1037" s="36" t="str">
        <f>IF(DadosViagem5[[#This Row],[Dias em manutenção ]]&lt;5,"Dentro do Prazo","Fora do Prazo")</f>
        <v>Fora do Prazo</v>
      </c>
      <c r="AJ1037" s="36" t="e">
        <v>#REF!</v>
      </c>
    </row>
    <row r="1038" spans="1:36">
      <c r="A1038" s="20" t="s">
        <v>1799</v>
      </c>
      <c r="B1038" s="20"/>
      <c r="C1038" s="19" t="s">
        <v>88</v>
      </c>
      <c r="D1038" s="19" t="s">
        <v>52</v>
      </c>
      <c r="E1038" s="19" t="s">
        <v>114</v>
      </c>
      <c r="F1038" s="19" t="s">
        <v>115</v>
      </c>
      <c r="G1038" s="19"/>
      <c r="H1038" s="20">
        <v>2022</v>
      </c>
      <c r="I1038" s="19" t="s">
        <v>1040</v>
      </c>
      <c r="J1038" s="19" t="s">
        <v>1793</v>
      </c>
      <c r="K1038" s="21" t="s">
        <v>1789</v>
      </c>
      <c r="L1038" s="22" t="s">
        <v>60</v>
      </c>
      <c r="M1038" s="23" t="s">
        <v>45</v>
      </c>
      <c r="N1038" s="36" t="s">
        <v>1790</v>
      </c>
      <c r="O1038" s="36" t="s">
        <v>1152</v>
      </c>
      <c r="P1038" s="26">
        <f ca="1">IFERROR(VLOOKUP(DadosViagem5[[#This Row],[Placa]],[1]BIP!A:E,5,FALSE),"")</f>
        <v>45987</v>
      </c>
      <c r="Q1038" s="27">
        <f ca="1">DATEDIF(DadosViagem5[[#This Row],[BIP]],TODAY(),"D")</f>
        <v>3</v>
      </c>
      <c r="R1038" s="28"/>
      <c r="S1038" s="36" t="s">
        <v>48</v>
      </c>
      <c r="T1038" s="23"/>
      <c r="U1038" s="30"/>
      <c r="V1038" s="31">
        <v>45861</v>
      </c>
      <c r="W1038" s="32" t="s">
        <v>1800</v>
      </c>
      <c r="X1038" s="57" t="s">
        <v>188</v>
      </c>
      <c r="Y1038" s="86" t="s">
        <v>584</v>
      </c>
      <c r="Z1038" s="58" t="s">
        <v>1801</v>
      </c>
      <c r="AA1038" s="20" t="s">
        <v>49</v>
      </c>
      <c r="AB1038" s="20" t="s">
        <v>49</v>
      </c>
      <c r="AC1038" s="19" t="s">
        <v>49</v>
      </c>
      <c r="AD1038" s="19" t="str">
        <f ca="1">IFERROR(DATEDIF(DadosViagem5[[#This Row],[Utimo Bip Reserva]],TODAY(),"D"),"")</f>
        <v/>
      </c>
      <c r="AE1038" s="36" t="s">
        <v>49</v>
      </c>
      <c r="AF1038" s="25" t="s">
        <v>49</v>
      </c>
      <c r="AG1038" s="36"/>
      <c r="AH1038" s="25">
        <v>45807</v>
      </c>
      <c r="AI1038" s="36" t="str">
        <f>IF(DadosViagem5[[#This Row],[Dias em manutenção ]]&lt;5,"Dentro do Prazo","Fora do Prazo")</f>
        <v>Fora do Prazo</v>
      </c>
      <c r="AJ1038" s="36" t="e">
        <v>#REF!</v>
      </c>
    </row>
    <row r="1039" spans="1:36">
      <c r="A1039" s="19" t="s">
        <v>1802</v>
      </c>
      <c r="B1039" s="20"/>
      <c r="C1039" s="19" t="s">
        <v>1803</v>
      </c>
      <c r="D1039" s="19" t="s">
        <v>52</v>
      </c>
      <c r="E1039" s="19" t="s">
        <v>57</v>
      </c>
      <c r="F1039" s="19" t="s">
        <v>40</v>
      </c>
      <c r="G1039" s="19"/>
      <c r="H1039" s="20">
        <v>2018</v>
      </c>
      <c r="I1039" s="19" t="s">
        <v>1040</v>
      </c>
      <c r="J1039" s="19" t="s">
        <v>1793</v>
      </c>
      <c r="K1039" s="21" t="s">
        <v>1789</v>
      </c>
      <c r="L1039" s="22" t="s">
        <v>60</v>
      </c>
      <c r="M1039" s="23" t="s">
        <v>45</v>
      </c>
      <c r="N1039" s="36" t="s">
        <v>1790</v>
      </c>
      <c r="O1039" s="36" t="s">
        <v>1152</v>
      </c>
      <c r="P1039" s="26">
        <f ca="1">IFERROR(VLOOKUP(DadosViagem5[[#This Row],[Placa]],[1]BIP!A:E,5,FALSE),"")</f>
        <v>45989</v>
      </c>
      <c r="Q1039" s="27">
        <f ca="1">DATEDIF(DadosViagem5[[#This Row],[BIP]],TODAY(),"D")</f>
        <v>1</v>
      </c>
      <c r="R1039" s="28" t="str">
        <f>IFERROR(VLOOKUP(DadosViagem5[[#This Row],[Placa]],[1]DDS!B:C,2,FALSE),"Verificar cadastro")</f>
        <v>Operando</v>
      </c>
      <c r="S1039" s="29" t="s">
        <v>173</v>
      </c>
      <c r="T1039" s="23"/>
      <c r="U1039" s="30"/>
      <c r="V1039" s="31">
        <v>45902</v>
      </c>
      <c r="W1039" s="144" t="s">
        <v>1673</v>
      </c>
      <c r="X1039" s="33" t="s">
        <v>65</v>
      </c>
      <c r="Y1039" s="34" t="s">
        <v>159</v>
      </c>
      <c r="Z1039" s="42" t="s">
        <v>1804</v>
      </c>
      <c r="AA1039" s="20" t="s">
        <v>49</v>
      </c>
      <c r="AB1039" s="20" t="s">
        <v>49</v>
      </c>
      <c r="AC1039" s="19" t="s">
        <v>49</v>
      </c>
      <c r="AD1039" s="19" t="str">
        <f ca="1">IFERROR(DATEDIF(DadosViagem5[[#This Row],[Utimo Bip Reserva]],TODAY(),"D"),"")</f>
        <v/>
      </c>
      <c r="AE1039" s="23"/>
      <c r="AF1039" s="25" t="s">
        <v>49</v>
      </c>
      <c r="AG1039" s="23"/>
      <c r="AH1039" s="25">
        <v>45807</v>
      </c>
      <c r="AI1039" s="36" t="str">
        <f>IF(DadosViagem5[[#This Row],[Dias em manutenção ]]&lt;5,"Dentro do Prazo","Fora do Prazo")</f>
        <v>Fora do Prazo</v>
      </c>
      <c r="AJ1039" s="36" t="e">
        <v>#REF!</v>
      </c>
    </row>
    <row r="1040" spans="1:36">
      <c r="A1040" s="19" t="s">
        <v>1805</v>
      </c>
      <c r="B1040" s="20"/>
      <c r="C1040" s="19" t="s">
        <v>71</v>
      </c>
      <c r="D1040" s="19" t="s">
        <v>38</v>
      </c>
      <c r="E1040" s="19" t="s">
        <v>265</v>
      </c>
      <c r="F1040" s="19" t="s">
        <v>115</v>
      </c>
      <c r="G1040" s="19"/>
      <c r="H1040" s="20">
        <v>2024</v>
      </c>
      <c r="I1040" s="19" t="s">
        <v>1040</v>
      </c>
      <c r="J1040" s="19" t="s">
        <v>1793</v>
      </c>
      <c r="K1040" s="21" t="s">
        <v>1789</v>
      </c>
      <c r="L1040" s="22" t="s">
        <v>60</v>
      </c>
      <c r="M1040" s="23" t="s">
        <v>45</v>
      </c>
      <c r="N1040" s="36" t="s">
        <v>1790</v>
      </c>
      <c r="O1040" s="36" t="s">
        <v>1152</v>
      </c>
      <c r="P1040" s="26">
        <f ca="1">IFERROR(VLOOKUP(DadosViagem5[[#This Row],[Placa]],[1]BIP!A:E,5,FALSE),"")</f>
        <v>45869</v>
      </c>
      <c r="Q1040" s="27">
        <f ca="1">DATEDIF(DadosViagem5[[#This Row],[BIP]],TODAY(),"D")</f>
        <v>121</v>
      </c>
      <c r="R1040" s="28" t="str">
        <f>IFERROR(VLOOKUP(DadosViagem5[[#This Row],[Placa]],[1]DDS!B:C,2,FALSE),"Verificar cadastro")</f>
        <v>Manutenção</v>
      </c>
      <c r="S1040" s="29" t="s">
        <v>173</v>
      </c>
      <c r="T1040" s="23"/>
      <c r="U1040" s="30"/>
      <c r="V1040" s="31">
        <v>45869</v>
      </c>
      <c r="W1040" s="32" t="s">
        <v>1806</v>
      </c>
      <c r="X1040" s="33" t="s">
        <v>65</v>
      </c>
      <c r="Y1040" s="34" t="s">
        <v>159</v>
      </c>
      <c r="Z1040" s="42" t="s">
        <v>1807</v>
      </c>
      <c r="AA1040" s="20" t="s">
        <v>49</v>
      </c>
      <c r="AB1040" s="20" t="s">
        <v>49</v>
      </c>
      <c r="AC1040" s="19" t="s">
        <v>49</v>
      </c>
      <c r="AD1040" s="19" t="str">
        <f ca="1">IFERROR(DATEDIF(DadosViagem5[[#This Row],[Utimo Bip Reserva]],TODAY(),"D"),"")</f>
        <v/>
      </c>
      <c r="AE1040" s="25" t="s">
        <v>49</v>
      </c>
      <c r="AF1040" s="25" t="s">
        <v>49</v>
      </c>
      <c r="AG1040" s="36"/>
      <c r="AH1040" s="25">
        <v>45807</v>
      </c>
      <c r="AI1040" s="36" t="str">
        <f>IF(DadosViagem5[[#This Row],[Dias em manutenção ]]&lt;5,"Dentro do Prazo","Fora do Prazo")</f>
        <v>Fora do Prazo</v>
      </c>
      <c r="AJ1040" s="36" t="e">
        <v>#REF!</v>
      </c>
    </row>
    <row r="1041" spans="1:36">
      <c r="A1041" s="19" t="s">
        <v>1808</v>
      </c>
      <c r="B1041" s="20"/>
      <c r="C1041" s="19" t="s">
        <v>88</v>
      </c>
      <c r="D1041" s="19" t="s">
        <v>52</v>
      </c>
      <c r="E1041" s="19" t="s">
        <v>114</v>
      </c>
      <c r="F1041" s="19" t="s">
        <v>115</v>
      </c>
      <c r="G1041" s="19"/>
      <c r="H1041" s="20">
        <v>2021</v>
      </c>
      <c r="I1041" s="19" t="s">
        <v>1040</v>
      </c>
      <c r="J1041" s="19" t="s">
        <v>1793</v>
      </c>
      <c r="K1041" s="21" t="s">
        <v>1789</v>
      </c>
      <c r="L1041" s="22" t="s">
        <v>60</v>
      </c>
      <c r="M1041" s="23" t="s">
        <v>45</v>
      </c>
      <c r="N1041" s="36" t="s">
        <v>1790</v>
      </c>
      <c r="O1041" s="36" t="s">
        <v>1152</v>
      </c>
      <c r="P1041" s="26">
        <f ca="1">IFERROR(VLOOKUP(DadosViagem5[[#This Row],[Placa]],[1]BIP!A:E,5,FALSE),"")</f>
        <v>45757</v>
      </c>
      <c r="Q1041" s="27">
        <f ca="1">DATEDIF(DadosViagem5[[#This Row],[BIP]],TODAY(),"D")</f>
        <v>233</v>
      </c>
      <c r="R1041" s="28" t="str">
        <f>IFERROR(VLOOKUP(DadosViagem5[[#This Row],[Placa]],[1]DDS!B:C,2,FALSE),"Verificar cadastro")</f>
        <v>Verificar cadastro</v>
      </c>
      <c r="S1041" s="36" t="s">
        <v>574</v>
      </c>
      <c r="T1041" s="23"/>
      <c r="U1041" s="30"/>
      <c r="V1041" s="31"/>
      <c r="W1041" s="32" t="s">
        <v>1809</v>
      </c>
      <c r="X1041" s="33"/>
      <c r="Y1041" s="34"/>
      <c r="Z1041" s="32" t="s">
        <v>1810</v>
      </c>
      <c r="AA1041" s="20" t="s">
        <v>49</v>
      </c>
      <c r="AB1041" s="20"/>
      <c r="AC1041" s="19" t="s">
        <v>49</v>
      </c>
      <c r="AD1041" s="19"/>
      <c r="AE1041" s="23" t="s">
        <v>1811</v>
      </c>
      <c r="AF1041" s="25" t="s">
        <v>49</v>
      </c>
      <c r="AG1041" s="23"/>
      <c r="AH1041" s="25">
        <v>50</v>
      </c>
      <c r="AI1041" s="36" t="str">
        <f>IF(DadosViagem5[[#This Row],[Dias em manutenção ]]&lt;5,"Dentro do Prazo","Fora do Prazo")</f>
        <v>Fora do Prazo</v>
      </c>
      <c r="AJ1041" s="36" t="e">
        <v>#REF!</v>
      </c>
    </row>
    <row r="1042" spans="1:36">
      <c r="A1042" s="19" t="s">
        <v>1812</v>
      </c>
      <c r="B1042" s="20"/>
      <c r="C1042" s="19" t="s">
        <v>71</v>
      </c>
      <c r="D1042" s="19" t="s">
        <v>38</v>
      </c>
      <c r="E1042" s="19" t="s">
        <v>265</v>
      </c>
      <c r="F1042" s="19" t="s">
        <v>115</v>
      </c>
      <c r="G1042" s="19"/>
      <c r="H1042" s="20">
        <v>2023</v>
      </c>
      <c r="I1042" s="19" t="s">
        <v>1040</v>
      </c>
      <c r="J1042" s="19" t="s">
        <v>1793</v>
      </c>
      <c r="K1042" s="21" t="s">
        <v>1789</v>
      </c>
      <c r="L1042" s="22" t="s">
        <v>60</v>
      </c>
      <c r="M1042" s="23" t="s">
        <v>45</v>
      </c>
      <c r="N1042" s="36" t="s">
        <v>1790</v>
      </c>
      <c r="O1042" s="36" t="s">
        <v>1152</v>
      </c>
      <c r="P1042" s="26">
        <f ca="1">IFERROR(VLOOKUP(DadosViagem5[[#This Row],[Placa]],[1]BIP!A:E,5,FALSE),"")</f>
        <v>45989</v>
      </c>
      <c r="Q1042" s="27">
        <f ca="1">DATEDIF(DadosViagem5[[#This Row],[BIP]],TODAY(),"D")</f>
        <v>1</v>
      </c>
      <c r="R1042" s="28" t="str">
        <f>IFERROR(VLOOKUP(DadosViagem5[[#This Row],[Placa]],[1]DDS!B:C,2,FALSE),"Verificar cadastro")</f>
        <v>Operando</v>
      </c>
      <c r="S1042" s="29" t="s">
        <v>48</v>
      </c>
      <c r="T1042" s="23"/>
      <c r="U1042" s="30"/>
      <c r="V1042" s="31"/>
      <c r="W1042" s="32"/>
      <c r="X1042" s="33"/>
      <c r="Y1042" s="34"/>
      <c r="Z1042" s="42"/>
      <c r="AA1042" s="20" t="s">
        <v>49</v>
      </c>
      <c r="AB1042" s="20" t="s">
        <v>49</v>
      </c>
      <c r="AC1042" s="19" t="s">
        <v>49</v>
      </c>
      <c r="AD1042" s="19" t="str">
        <f ca="1">IFERROR(DATEDIF(DadosViagem5[[#This Row],[Utimo Bip Reserva]],TODAY(),"D"),"")</f>
        <v/>
      </c>
      <c r="AE1042" s="36" t="s">
        <v>49</v>
      </c>
      <c r="AF1042" s="25" t="s">
        <v>49</v>
      </c>
      <c r="AG1042" s="36"/>
      <c r="AH1042" s="25">
        <v>23</v>
      </c>
      <c r="AI1042" s="36" t="str">
        <f>IF(DadosViagem5[[#This Row],[Dias em manutenção ]]&lt;5,"Dentro do Prazo","Fora do Prazo")</f>
        <v>Fora do Prazo</v>
      </c>
      <c r="AJ1042" s="36" t="e">
        <v>#REF!</v>
      </c>
    </row>
    <row r="1043" spans="1:36">
      <c r="A1043" s="19" t="s">
        <v>1813</v>
      </c>
      <c r="B1043" s="20"/>
      <c r="C1043" s="19" t="s">
        <v>88</v>
      </c>
      <c r="D1043" s="19" t="s">
        <v>52</v>
      </c>
      <c r="E1043" s="19" t="s">
        <v>114</v>
      </c>
      <c r="F1043" s="19" t="s">
        <v>115</v>
      </c>
      <c r="G1043" s="19"/>
      <c r="H1043" s="20">
        <v>2022</v>
      </c>
      <c r="I1043" s="19" t="s">
        <v>1040</v>
      </c>
      <c r="J1043" s="19" t="s">
        <v>1793</v>
      </c>
      <c r="K1043" s="21" t="s">
        <v>1789</v>
      </c>
      <c r="L1043" s="22" t="s">
        <v>60</v>
      </c>
      <c r="M1043" s="23" t="s">
        <v>45</v>
      </c>
      <c r="N1043" s="36" t="s">
        <v>1790</v>
      </c>
      <c r="O1043" s="36" t="s">
        <v>1152</v>
      </c>
      <c r="P1043" s="26">
        <f ca="1">IFERROR(VLOOKUP(DadosViagem5[[#This Row],[Placa]],[1]BIP!A:E,5,FALSE),"")</f>
        <v>45864</v>
      </c>
      <c r="Q1043" s="27">
        <f ca="1">DATEDIF(DadosViagem5[[#This Row],[BIP]],TODAY(),"D")</f>
        <v>126</v>
      </c>
      <c r="R1043" s="28" t="str">
        <f>IFERROR(VLOOKUP(DadosViagem5[[#This Row],[Placa]],[1]DDS!B:C,2,FALSE),"Verificar cadastro")</f>
        <v> </v>
      </c>
      <c r="S1043" s="36" t="s">
        <v>574</v>
      </c>
      <c r="T1043" s="23"/>
      <c r="U1043" s="30"/>
      <c r="V1043" s="31"/>
      <c r="W1043" s="32" t="s">
        <v>1791</v>
      </c>
      <c r="X1043" s="33"/>
      <c r="Y1043" s="34"/>
      <c r="Z1043" s="32"/>
      <c r="AA1043" s="20" t="s">
        <v>49</v>
      </c>
      <c r="AB1043" s="20" t="s">
        <v>49</v>
      </c>
      <c r="AC1043" s="19" t="s">
        <v>49</v>
      </c>
      <c r="AD1043" s="19" t="str">
        <f ca="1">IFERROR(DATEDIF(DadosViagem5[[#This Row],[Utimo Bip Reserva]],TODAY(),"D"),"")</f>
        <v/>
      </c>
      <c r="AE1043" s="36" t="s">
        <v>49</v>
      </c>
      <c r="AF1043" s="25" t="s">
        <v>49</v>
      </c>
      <c r="AG1043" s="36"/>
      <c r="AH1043" s="25">
        <v>45807</v>
      </c>
      <c r="AI1043" s="36" t="str">
        <f>IF(DadosViagem5[[#This Row],[Dias em manutenção ]]&lt;5,"Dentro do Prazo","Fora do Prazo")</f>
        <v>Fora do Prazo</v>
      </c>
      <c r="AJ1043" s="36" t="e">
        <v>#REF!</v>
      </c>
    </row>
    <row r="1044" spans="1:36">
      <c r="A1044" s="19" t="s">
        <v>1814</v>
      </c>
      <c r="B1044" s="20"/>
      <c r="C1044" s="19" t="s">
        <v>88</v>
      </c>
      <c r="D1044" s="19" t="s">
        <v>52</v>
      </c>
      <c r="E1044" s="19" t="s">
        <v>114</v>
      </c>
      <c r="F1044" s="19" t="s">
        <v>115</v>
      </c>
      <c r="G1044" s="19"/>
      <c r="H1044" s="20">
        <v>2021</v>
      </c>
      <c r="I1044" s="19" t="s">
        <v>1040</v>
      </c>
      <c r="J1044" s="19" t="s">
        <v>1793</v>
      </c>
      <c r="K1044" s="21" t="s">
        <v>1789</v>
      </c>
      <c r="L1044" s="22" t="s">
        <v>60</v>
      </c>
      <c r="M1044" s="23" t="s">
        <v>45</v>
      </c>
      <c r="N1044" s="36" t="s">
        <v>1790</v>
      </c>
      <c r="O1044" s="36" t="s">
        <v>1152</v>
      </c>
      <c r="P1044" s="26">
        <f ca="1">IFERROR(VLOOKUP(DadosViagem5[[#This Row],[Placa]],[1]BIP!A:E,5,FALSE),"")</f>
        <v>45857</v>
      </c>
      <c r="Q1044" s="27">
        <f ca="1">DATEDIF(DadosViagem5[[#This Row],[BIP]],TODAY(),"D")</f>
        <v>133</v>
      </c>
      <c r="R1044" s="28" t="str">
        <f>IFERROR(VLOOKUP(DadosViagem5[[#This Row],[Placa]],[1]DDS!B:C,2,FALSE),"Verificar cadastro")</f>
        <v> </v>
      </c>
      <c r="S1044" s="36" t="s">
        <v>574</v>
      </c>
      <c r="T1044" s="23"/>
      <c r="U1044" s="30"/>
      <c r="V1044" s="31"/>
      <c r="W1044" s="32" t="s">
        <v>1809</v>
      </c>
      <c r="X1044" s="33"/>
      <c r="Y1044" s="34"/>
      <c r="Z1044" s="32"/>
      <c r="AA1044" s="20" t="s">
        <v>49</v>
      </c>
      <c r="AB1044" s="20" t="s">
        <v>49</v>
      </c>
      <c r="AC1044" s="19" t="s">
        <v>49</v>
      </c>
      <c r="AD1044" s="19" t="str">
        <f ca="1">IFERROR(DATEDIF(DadosViagem5[[#This Row],[Utimo Bip Reserva]],TODAY(),"D"),"")</f>
        <v/>
      </c>
      <c r="AE1044" s="36" t="s">
        <v>49</v>
      </c>
      <c r="AF1044" s="25" t="s">
        <v>49</v>
      </c>
      <c r="AG1044" s="36"/>
      <c r="AH1044" s="25">
        <v>45807</v>
      </c>
      <c r="AI1044" s="36" t="str">
        <f>IF(DadosViagem5[[#This Row],[Dias em manutenção ]]&lt;5,"Dentro do Prazo","Fora do Prazo")</f>
        <v>Fora do Prazo</v>
      </c>
      <c r="AJ1044" s="36" t="e">
        <v>#REF!</v>
      </c>
    </row>
    <row r="1045" spans="1:36">
      <c r="A1045" s="19" t="s">
        <v>1815</v>
      </c>
      <c r="B1045" s="20"/>
      <c r="C1045" s="19" t="s">
        <v>88</v>
      </c>
      <c r="D1045" s="19" t="s">
        <v>52</v>
      </c>
      <c r="E1045" s="19" t="s">
        <v>114</v>
      </c>
      <c r="F1045" s="145" t="s">
        <v>115</v>
      </c>
      <c r="G1045" s="19"/>
      <c r="H1045" s="20">
        <v>2022</v>
      </c>
      <c r="I1045" s="19" t="s">
        <v>1040</v>
      </c>
      <c r="J1045" s="19" t="s">
        <v>1793</v>
      </c>
      <c r="K1045" s="21" t="s">
        <v>1789</v>
      </c>
      <c r="L1045" s="22" t="s">
        <v>60</v>
      </c>
      <c r="M1045" s="23" t="s">
        <v>45</v>
      </c>
      <c r="N1045" s="36" t="s">
        <v>1790</v>
      </c>
      <c r="O1045" s="36" t="s">
        <v>1152</v>
      </c>
      <c r="P1045" s="26">
        <f ca="1">IFERROR(VLOOKUP(DadosViagem5[[#This Row],[Placa]],[1]BIP!A:E,5,FALSE),"")</f>
        <v>45864</v>
      </c>
      <c r="Q1045" s="27">
        <f ca="1">DATEDIF(DadosViagem5[[#This Row],[BIP]],TODAY(),"D")</f>
        <v>126</v>
      </c>
      <c r="R1045" s="28" t="str">
        <f>IFERROR(VLOOKUP(DadosViagem5[[#This Row],[Placa]],[1]DDS!B:C,2,FALSE),"Verificar cadastro")</f>
        <v> </v>
      </c>
      <c r="S1045" s="36" t="s">
        <v>574</v>
      </c>
      <c r="T1045" s="23"/>
      <c r="U1045" s="30"/>
      <c r="V1045" s="31"/>
      <c r="W1045" s="32" t="s">
        <v>1791</v>
      </c>
      <c r="X1045" s="33"/>
      <c r="Y1045" s="34"/>
      <c r="Z1045" s="32"/>
      <c r="AA1045" s="20" t="s">
        <v>49</v>
      </c>
      <c r="AB1045" s="20" t="s">
        <v>49</v>
      </c>
      <c r="AC1045" s="19" t="s">
        <v>49</v>
      </c>
      <c r="AD1045" s="19" t="str">
        <f ca="1">IFERROR(DATEDIF(DadosViagem5[[#This Row],[Utimo Bip Reserva]],TODAY(),"D"),"")</f>
        <v/>
      </c>
      <c r="AE1045" s="36"/>
      <c r="AF1045" s="25" t="s">
        <v>49</v>
      </c>
      <c r="AG1045" s="36" t="s">
        <v>481</v>
      </c>
      <c r="AH1045" s="25">
        <v>45807</v>
      </c>
      <c r="AI1045" s="36" t="str">
        <f>IF(DadosViagem5[[#This Row],[Dias em manutenção ]]&lt;5,"Dentro do Prazo","Fora do Prazo")</f>
        <v>Fora do Prazo</v>
      </c>
      <c r="AJ1045" s="36" t="e">
        <v>#REF!</v>
      </c>
    </row>
    <row r="1046" spans="1:36">
      <c r="A1046" s="19" t="s">
        <v>1816</v>
      </c>
      <c r="B1046" s="20"/>
      <c r="C1046" s="19" t="s">
        <v>88</v>
      </c>
      <c r="D1046" s="19" t="s">
        <v>52</v>
      </c>
      <c r="E1046" s="19" t="s">
        <v>114</v>
      </c>
      <c r="F1046" s="19" t="s">
        <v>115</v>
      </c>
      <c r="G1046" s="19"/>
      <c r="H1046" s="20">
        <v>2022</v>
      </c>
      <c r="I1046" s="19" t="s">
        <v>1040</v>
      </c>
      <c r="J1046" s="19" t="s">
        <v>1793</v>
      </c>
      <c r="K1046" s="21" t="s">
        <v>1789</v>
      </c>
      <c r="L1046" s="22" t="s">
        <v>60</v>
      </c>
      <c r="M1046" s="23" t="s">
        <v>45</v>
      </c>
      <c r="N1046" s="36" t="s">
        <v>1790</v>
      </c>
      <c r="O1046" s="36" t="s">
        <v>1152</v>
      </c>
      <c r="P1046" s="26">
        <f ca="1">IFERROR(VLOOKUP(DadosViagem5[[#This Row],[Placa]],[1]BIP!A:E,5,FALSE),"")</f>
        <v>45865</v>
      </c>
      <c r="Q1046" s="27">
        <f ca="1">DATEDIF(DadosViagem5[[#This Row],[BIP]],TODAY(),"D")</f>
        <v>125</v>
      </c>
      <c r="R1046" s="28" t="str">
        <f>IFERROR(VLOOKUP(DadosViagem5[[#This Row],[Placa]],[1]DDS!B:C,2,FALSE),"Verificar cadastro")</f>
        <v> </v>
      </c>
      <c r="S1046" s="36" t="s">
        <v>574</v>
      </c>
      <c r="T1046" s="23"/>
      <c r="U1046" s="30"/>
      <c r="V1046" s="31"/>
      <c r="W1046" s="32" t="s">
        <v>1791</v>
      </c>
      <c r="X1046" s="33"/>
      <c r="Y1046" s="34"/>
      <c r="Z1046" s="32"/>
      <c r="AA1046" s="20" t="s">
        <v>49</v>
      </c>
      <c r="AB1046" s="20" t="s">
        <v>49</v>
      </c>
      <c r="AC1046" s="19" t="s">
        <v>49</v>
      </c>
      <c r="AD1046" s="19" t="str">
        <f ca="1">IFERROR(DATEDIF(DadosViagem5[[#This Row],[Utimo Bip Reserva]],TODAY(),"D"),"")</f>
        <v/>
      </c>
      <c r="AE1046" s="36" t="s">
        <v>49</v>
      </c>
      <c r="AF1046" s="25" t="s">
        <v>49</v>
      </c>
      <c r="AG1046" s="36"/>
      <c r="AH1046" s="25">
        <v>45807</v>
      </c>
      <c r="AI1046" s="36" t="str">
        <f>IF(DadosViagem5[[#This Row],[Dias em manutenção ]]&lt;5,"Dentro do Prazo","Fora do Prazo")</f>
        <v>Fora do Prazo</v>
      </c>
      <c r="AJ1046" s="36" t="e">
        <v>#REF!</v>
      </c>
    </row>
    <row r="1047" spans="1:36">
      <c r="A1047" s="19" t="s">
        <v>1817</v>
      </c>
      <c r="B1047" s="20"/>
      <c r="C1047" s="19" t="s">
        <v>88</v>
      </c>
      <c r="D1047" s="19" t="s">
        <v>52</v>
      </c>
      <c r="E1047" s="19" t="s">
        <v>114</v>
      </c>
      <c r="F1047" s="19" t="s">
        <v>115</v>
      </c>
      <c r="G1047" s="19"/>
      <c r="H1047" s="20">
        <v>2022</v>
      </c>
      <c r="I1047" s="19" t="s">
        <v>1040</v>
      </c>
      <c r="J1047" s="19" t="s">
        <v>1793</v>
      </c>
      <c r="K1047" s="21" t="s">
        <v>1789</v>
      </c>
      <c r="L1047" s="22" t="s">
        <v>60</v>
      </c>
      <c r="M1047" s="23" t="s">
        <v>45</v>
      </c>
      <c r="N1047" s="36" t="s">
        <v>1790</v>
      </c>
      <c r="O1047" s="36" t="s">
        <v>1152</v>
      </c>
      <c r="P1047" s="26">
        <f ca="1">IFERROR(VLOOKUP(DadosViagem5[[#This Row],[Placa]],[1]BIP!A:E,5,FALSE),"")</f>
        <v>45865</v>
      </c>
      <c r="Q1047" s="27">
        <f ca="1">DATEDIF(DadosViagem5[[#This Row],[BIP]],TODAY(),"D")</f>
        <v>125</v>
      </c>
      <c r="R1047" s="28" t="str">
        <f>IFERROR(VLOOKUP(DadosViagem5[[#This Row],[Placa]],[1]DDS!B:C,2,FALSE),"Verificar cadastro")</f>
        <v> </v>
      </c>
      <c r="S1047" s="36" t="s">
        <v>574</v>
      </c>
      <c r="T1047" s="23"/>
      <c r="U1047" s="30"/>
      <c r="V1047" s="31"/>
      <c r="W1047" s="32" t="s">
        <v>1791</v>
      </c>
      <c r="X1047" s="33"/>
      <c r="Y1047" s="34"/>
      <c r="Z1047" s="32"/>
      <c r="AA1047" s="20" t="s">
        <v>49</v>
      </c>
      <c r="AB1047" s="20" t="s">
        <v>49</v>
      </c>
      <c r="AC1047" s="19" t="s">
        <v>49</v>
      </c>
      <c r="AD1047" s="19" t="str">
        <f ca="1">IFERROR(DATEDIF(DadosViagem5[[#This Row],[Utimo Bip Reserva]],TODAY(),"D"),"")</f>
        <v/>
      </c>
      <c r="AE1047" s="36" t="s">
        <v>49</v>
      </c>
      <c r="AF1047" s="25" t="s">
        <v>49</v>
      </c>
      <c r="AG1047" s="36"/>
      <c r="AH1047" s="25">
        <v>45807</v>
      </c>
      <c r="AI1047" s="36" t="str">
        <f>IF(DadosViagem5[[#This Row],[Dias em manutenção ]]&lt;5,"Dentro do Prazo","Fora do Prazo")</f>
        <v>Fora do Prazo</v>
      </c>
      <c r="AJ1047" s="36" t="e">
        <v>#REF!</v>
      </c>
    </row>
    <row r="1048" spans="1:36">
      <c r="A1048" s="19" t="s">
        <v>1818</v>
      </c>
      <c r="B1048" s="20"/>
      <c r="C1048" s="19" t="s">
        <v>88</v>
      </c>
      <c r="D1048" s="19" t="s">
        <v>52</v>
      </c>
      <c r="E1048" s="19" t="s">
        <v>114</v>
      </c>
      <c r="F1048" s="19" t="s">
        <v>115</v>
      </c>
      <c r="G1048" s="19"/>
      <c r="H1048" s="20">
        <v>2021</v>
      </c>
      <c r="I1048" s="19" t="s">
        <v>1040</v>
      </c>
      <c r="J1048" s="19" t="s">
        <v>1793</v>
      </c>
      <c r="K1048" s="21" t="s">
        <v>1789</v>
      </c>
      <c r="L1048" s="22" t="s">
        <v>60</v>
      </c>
      <c r="M1048" s="23" t="s">
        <v>45</v>
      </c>
      <c r="N1048" s="36" t="s">
        <v>1790</v>
      </c>
      <c r="O1048" s="36" t="s">
        <v>1152</v>
      </c>
      <c r="P1048" s="26">
        <f ca="1">IFERROR(VLOOKUP(DadosViagem5[[#This Row],[Placa]],[1]BIP!A:E,5,FALSE),"")</f>
        <v>45857</v>
      </c>
      <c r="Q1048" s="27">
        <f ca="1">DATEDIF(DadosViagem5[[#This Row],[BIP]],TODAY(),"D")</f>
        <v>133</v>
      </c>
      <c r="R1048" s="28" t="str">
        <f>IFERROR(VLOOKUP(DadosViagem5[[#This Row],[Placa]],[1]DDS!B:C,2,FALSE),"Verificar cadastro")</f>
        <v> </v>
      </c>
      <c r="S1048" s="36" t="s">
        <v>574</v>
      </c>
      <c r="T1048" s="23"/>
      <c r="U1048" s="30"/>
      <c r="V1048" s="31"/>
      <c r="W1048" s="32" t="s">
        <v>1809</v>
      </c>
      <c r="X1048" s="33"/>
      <c r="Y1048" s="34"/>
      <c r="Z1048" s="32"/>
      <c r="AA1048" s="20" t="s">
        <v>49</v>
      </c>
      <c r="AB1048" s="20" t="s">
        <v>49</v>
      </c>
      <c r="AC1048" s="19" t="s">
        <v>49</v>
      </c>
      <c r="AD1048" s="19" t="str">
        <f ca="1">IFERROR(DATEDIF(DadosViagem5[[#This Row],[Utimo Bip Reserva]],TODAY(),"D"),"")</f>
        <v/>
      </c>
      <c r="AE1048" s="36" t="s">
        <v>49</v>
      </c>
      <c r="AF1048" s="25" t="s">
        <v>49</v>
      </c>
      <c r="AG1048" s="36"/>
      <c r="AH1048" s="25">
        <v>45807</v>
      </c>
      <c r="AI1048" s="36" t="str">
        <f>IF(DadosViagem5[[#This Row],[Dias em manutenção ]]&lt;5,"Dentro do Prazo","Fora do Prazo")</f>
        <v>Fora do Prazo</v>
      </c>
      <c r="AJ1048" s="36" t="e">
        <v>#REF!</v>
      </c>
    </row>
    <row r="1049" spans="1:36">
      <c r="A1049" s="19" t="s">
        <v>1819</v>
      </c>
      <c r="B1049" s="20"/>
      <c r="C1049" s="19" t="s">
        <v>88</v>
      </c>
      <c r="D1049" s="19" t="s">
        <v>52</v>
      </c>
      <c r="E1049" s="19" t="s">
        <v>114</v>
      </c>
      <c r="F1049" s="19" t="s">
        <v>115</v>
      </c>
      <c r="G1049" s="19"/>
      <c r="H1049" s="20">
        <v>2021</v>
      </c>
      <c r="I1049" s="19" t="s">
        <v>1040</v>
      </c>
      <c r="J1049" s="19" t="s">
        <v>1793</v>
      </c>
      <c r="K1049" s="21" t="s">
        <v>1789</v>
      </c>
      <c r="L1049" s="22" t="s">
        <v>60</v>
      </c>
      <c r="M1049" s="23" t="s">
        <v>45</v>
      </c>
      <c r="N1049" s="36" t="s">
        <v>1790</v>
      </c>
      <c r="O1049" s="36" t="s">
        <v>1152</v>
      </c>
      <c r="P1049" s="26">
        <f ca="1">IFERROR(VLOOKUP(DadosViagem5[[#This Row],[Placa]],[1]BIP!A:E,5,FALSE),"")</f>
        <v>45860</v>
      </c>
      <c r="Q1049" s="27">
        <f ca="1">DATEDIF(DadosViagem5[[#This Row],[BIP]],TODAY(),"D")</f>
        <v>130</v>
      </c>
      <c r="R1049" s="28" t="str">
        <f>IFERROR(VLOOKUP(DadosViagem5[[#This Row],[Placa]],[1]DDS!B:C,2,FALSE),"Verificar cadastro")</f>
        <v> </v>
      </c>
      <c r="S1049" s="36" t="s">
        <v>574</v>
      </c>
      <c r="T1049" s="23"/>
      <c r="U1049" s="30"/>
      <c r="V1049" s="31"/>
      <c r="W1049" s="32" t="s">
        <v>1809</v>
      </c>
      <c r="X1049" s="33"/>
      <c r="Y1049" s="34"/>
      <c r="Z1049" s="32"/>
      <c r="AA1049" s="20" t="s">
        <v>49</v>
      </c>
      <c r="AB1049" s="20" t="s">
        <v>49</v>
      </c>
      <c r="AC1049" s="19" t="s">
        <v>49</v>
      </c>
      <c r="AD1049" s="19" t="str">
        <f ca="1">IFERROR(DATEDIF(DadosViagem5[[#This Row],[Utimo Bip Reserva]],TODAY(),"D"),"")</f>
        <v/>
      </c>
      <c r="AE1049" s="36" t="s">
        <v>49</v>
      </c>
      <c r="AF1049" s="25" t="s">
        <v>49</v>
      </c>
      <c r="AG1049" s="36"/>
      <c r="AH1049" s="25">
        <v>45807</v>
      </c>
      <c r="AI1049" s="36" t="str">
        <f>IF(DadosViagem5[[#This Row],[Dias em manutenção ]]&lt;5,"Dentro do Prazo","Fora do Prazo")</f>
        <v>Fora do Prazo</v>
      </c>
      <c r="AJ1049" s="36" t="e">
        <v>#REF!</v>
      </c>
    </row>
    <row r="1050" spans="1:36">
      <c r="A1050" s="19" t="s">
        <v>1820</v>
      </c>
      <c r="B1050" s="20"/>
      <c r="C1050" s="19" t="s">
        <v>71</v>
      </c>
      <c r="D1050" s="19" t="s">
        <v>38</v>
      </c>
      <c r="E1050" s="19" t="s">
        <v>265</v>
      </c>
      <c r="F1050" s="19" t="s">
        <v>115</v>
      </c>
      <c r="G1050" s="19"/>
      <c r="H1050" s="20">
        <v>2023</v>
      </c>
      <c r="I1050" s="19" t="s">
        <v>1040</v>
      </c>
      <c r="J1050" s="19" t="s">
        <v>1793</v>
      </c>
      <c r="K1050" s="21" t="s">
        <v>1789</v>
      </c>
      <c r="L1050" s="22" t="s">
        <v>60</v>
      </c>
      <c r="M1050" s="23" t="s">
        <v>45</v>
      </c>
      <c r="N1050" s="36" t="s">
        <v>1790</v>
      </c>
      <c r="O1050" s="25" t="s">
        <v>1152</v>
      </c>
      <c r="P1050" s="26">
        <f ca="1">IFERROR(VLOOKUP(DadosViagem5[[#This Row],[Placa]],[1]BIP!A:E,5,FALSE),"")</f>
        <v>45964</v>
      </c>
      <c r="Q1050" s="27">
        <f ca="1">DATEDIF(DadosViagem5[[#This Row],[BIP]],TODAY(),"D")</f>
        <v>26</v>
      </c>
      <c r="R1050" s="28" t="str">
        <f>IFERROR(VLOOKUP(DadosViagem5[[#This Row],[Placa]],[1]DDS!B:C,2,FALSE),"Verificar cadastro")</f>
        <v>Manutenção</v>
      </c>
      <c r="S1050" s="29" t="s">
        <v>173</v>
      </c>
      <c r="T1050" s="23"/>
      <c r="U1050" s="30"/>
      <c r="V1050" s="31"/>
      <c r="W1050" s="32"/>
      <c r="X1050" s="33"/>
      <c r="Y1050" s="86"/>
      <c r="Z1050" s="42" t="s">
        <v>1807</v>
      </c>
      <c r="AA1050" s="20" t="s">
        <v>49</v>
      </c>
      <c r="AB1050" s="20" t="s">
        <v>49</v>
      </c>
      <c r="AC1050" s="19" t="s">
        <v>49</v>
      </c>
      <c r="AD1050" s="19" t="str">
        <f ca="1">IFERROR(DATEDIF(DadosViagem5[[#This Row],[Utimo Bip Reserva]],TODAY(),"D"),"")</f>
        <v/>
      </c>
      <c r="AE1050" s="25" t="s">
        <v>49</v>
      </c>
      <c r="AF1050" s="25" t="s">
        <v>49</v>
      </c>
      <c r="AG1050" s="36"/>
      <c r="AH1050" s="25">
        <v>45807</v>
      </c>
      <c r="AI1050" s="36" t="str">
        <f>IF(DadosViagem5[[#This Row],[Dias em manutenção ]]&lt;5,"Dentro do Prazo","Fora do Prazo")</f>
        <v>Fora do Prazo</v>
      </c>
      <c r="AJ1050" s="36" t="e">
        <v>#REF!</v>
      </c>
    </row>
    <row r="1051" spans="1:36">
      <c r="A1051" s="19" t="s">
        <v>1821</v>
      </c>
      <c r="B1051" s="20"/>
      <c r="C1051" s="19" t="s">
        <v>71</v>
      </c>
      <c r="D1051" s="19" t="s">
        <v>38</v>
      </c>
      <c r="E1051" s="19" t="s">
        <v>265</v>
      </c>
      <c r="F1051" s="19" t="s">
        <v>115</v>
      </c>
      <c r="G1051" s="19"/>
      <c r="H1051" s="20">
        <v>2023</v>
      </c>
      <c r="I1051" s="19" t="s">
        <v>1040</v>
      </c>
      <c r="J1051" s="19" t="s">
        <v>1793</v>
      </c>
      <c r="K1051" s="21" t="s">
        <v>1789</v>
      </c>
      <c r="L1051" s="22" t="s">
        <v>60</v>
      </c>
      <c r="M1051" s="23" t="s">
        <v>45</v>
      </c>
      <c r="N1051" s="36" t="s">
        <v>1790</v>
      </c>
      <c r="O1051" s="36" t="s">
        <v>1152</v>
      </c>
      <c r="P1051" s="26">
        <f ca="1">IFERROR(VLOOKUP(DadosViagem5[[#This Row],[Placa]],[1]BIP!A:E,5,FALSE),"")</f>
        <v>45989</v>
      </c>
      <c r="Q1051" s="27">
        <f ca="1">DATEDIF(DadosViagem5[[#This Row],[BIP]],TODAY(),"D")</f>
        <v>1</v>
      </c>
      <c r="R1051" s="28" t="str">
        <f>IFERROR(VLOOKUP(DadosViagem5[[#This Row],[Placa]],[1]DDS!B:C,2,FALSE),"Verificar cadastro")</f>
        <v>Operando</v>
      </c>
      <c r="S1051" s="29" t="s">
        <v>48</v>
      </c>
      <c r="T1051" s="23"/>
      <c r="U1051" s="30"/>
      <c r="V1051" s="31"/>
      <c r="W1051" s="32"/>
      <c r="X1051" s="33"/>
      <c r="Y1051" s="34"/>
      <c r="Z1051" s="32"/>
      <c r="AA1051" s="20" t="s">
        <v>49</v>
      </c>
      <c r="AB1051" s="20" t="s">
        <v>49</v>
      </c>
      <c r="AC1051" s="19" t="s">
        <v>49</v>
      </c>
      <c r="AD1051" s="19" t="str">
        <f ca="1">IFERROR(DATEDIF(DadosViagem5[[#This Row],[Utimo Bip Reserva]],TODAY(),"D"),"")</f>
        <v/>
      </c>
      <c r="AE1051" s="30" t="s">
        <v>1822</v>
      </c>
      <c r="AF1051" s="25" t="s">
        <v>49</v>
      </c>
      <c r="AG1051" s="23" t="s">
        <v>153</v>
      </c>
      <c r="AH1051" s="25">
        <v>74</v>
      </c>
      <c r="AI1051" s="36" t="str">
        <f>IF(DadosViagem5[[#This Row],[Dias em manutenção ]]&lt;5,"Dentro do Prazo","Fora do Prazo")</f>
        <v>Fora do Prazo</v>
      </c>
      <c r="AJ1051" s="36" t="e">
        <v>#REF!</v>
      </c>
    </row>
    <row r="1052" spans="1:36">
      <c r="A1052" s="19" t="s">
        <v>1823</v>
      </c>
      <c r="B1052" s="20"/>
      <c r="C1052" s="19" t="s">
        <v>71</v>
      </c>
      <c r="D1052" s="19" t="s">
        <v>38</v>
      </c>
      <c r="E1052" s="19" t="s">
        <v>265</v>
      </c>
      <c r="F1052" s="19" t="s">
        <v>115</v>
      </c>
      <c r="G1052" s="19"/>
      <c r="H1052" s="20">
        <v>2023</v>
      </c>
      <c r="I1052" s="19" t="s">
        <v>1040</v>
      </c>
      <c r="J1052" s="19" t="s">
        <v>1793</v>
      </c>
      <c r="K1052" s="21" t="s">
        <v>1789</v>
      </c>
      <c r="L1052" s="22" t="s">
        <v>60</v>
      </c>
      <c r="M1052" s="23" t="s">
        <v>45</v>
      </c>
      <c r="N1052" s="36" t="s">
        <v>1790</v>
      </c>
      <c r="O1052" s="36" t="s">
        <v>1152</v>
      </c>
      <c r="P1052" s="26">
        <f ca="1">IFERROR(VLOOKUP(DadosViagem5[[#This Row],[Placa]],[1]BIP!A:E,5,FALSE),"")</f>
        <v>45989</v>
      </c>
      <c r="Q1052" s="27">
        <f ca="1">DATEDIF(DadosViagem5[[#This Row],[BIP]],TODAY(),"D")</f>
        <v>1</v>
      </c>
      <c r="R1052" s="28" t="str">
        <f>IFERROR(VLOOKUP(DadosViagem5[[#This Row],[Placa]],[1]DDS!B:C,2,FALSE),"Verificar cadastro")</f>
        <v>Operando</v>
      </c>
      <c r="S1052" s="29" t="s">
        <v>48</v>
      </c>
      <c r="T1052" s="23"/>
      <c r="U1052" s="30"/>
      <c r="V1052" s="31"/>
      <c r="W1052" s="32"/>
      <c r="X1052" s="33"/>
      <c r="Y1052" s="34"/>
      <c r="Z1052" s="32"/>
      <c r="AA1052" s="20" t="s">
        <v>49</v>
      </c>
      <c r="AB1052" s="20" t="s">
        <v>49</v>
      </c>
      <c r="AC1052" s="19" t="s">
        <v>49</v>
      </c>
      <c r="AD1052" s="19" t="str">
        <f ca="1">IFERROR(DATEDIF(DadosViagem5[[#This Row],[Utimo Bip Reserva]],TODAY(),"D"),"")</f>
        <v/>
      </c>
      <c r="AE1052" s="36"/>
      <c r="AF1052" s="25"/>
      <c r="AG1052" s="36"/>
      <c r="AH1052" s="25">
        <v>45807</v>
      </c>
      <c r="AI1052" s="36" t="str">
        <f>IF(DadosViagem5[[#This Row],[Dias em manutenção ]]&lt;5,"Dentro do Prazo","Fora do Prazo")</f>
        <v>Fora do Prazo</v>
      </c>
      <c r="AJ1052" s="36" t="e">
        <v>#REF!</v>
      </c>
    </row>
    <row r="1053" spans="1:36">
      <c r="A1053" s="19" t="s">
        <v>1824</v>
      </c>
      <c r="B1053" s="20"/>
      <c r="C1053" s="19" t="s">
        <v>71</v>
      </c>
      <c r="D1053" s="19" t="s">
        <v>38</v>
      </c>
      <c r="E1053" s="19" t="s">
        <v>265</v>
      </c>
      <c r="F1053" s="19" t="s">
        <v>115</v>
      </c>
      <c r="G1053" s="19"/>
      <c r="H1053" s="20">
        <v>2024</v>
      </c>
      <c r="I1053" s="19" t="s">
        <v>1040</v>
      </c>
      <c r="J1053" s="19" t="s">
        <v>1793</v>
      </c>
      <c r="K1053" s="21" t="s">
        <v>1789</v>
      </c>
      <c r="L1053" s="22" t="s">
        <v>60</v>
      </c>
      <c r="M1053" s="23" t="s">
        <v>45</v>
      </c>
      <c r="N1053" s="36" t="s">
        <v>1790</v>
      </c>
      <c r="O1053" s="36" t="s">
        <v>1152</v>
      </c>
      <c r="P1053" s="26">
        <f ca="1">IFERROR(VLOOKUP(DadosViagem5[[#This Row],[Placa]],[1]BIP!A:E,5,FALSE),"")</f>
        <v>45926</v>
      </c>
      <c r="Q1053" s="27">
        <f ca="1">DATEDIF(DadosViagem5[[#This Row],[BIP]],TODAY(),"D")</f>
        <v>64</v>
      </c>
      <c r="R1053" s="28" t="str">
        <f>IFERROR(VLOOKUP(DadosViagem5[[#This Row],[Placa]],[1]DDS!B:C,2,FALSE),"Verificar cadastro")</f>
        <v>Manutenção</v>
      </c>
      <c r="S1053" s="29" t="s">
        <v>173</v>
      </c>
      <c r="T1053" s="23"/>
      <c r="U1053" s="30"/>
      <c r="V1053" s="31"/>
      <c r="W1053" s="32"/>
      <c r="X1053" s="33"/>
      <c r="Y1053" s="34"/>
      <c r="Z1053" s="32"/>
      <c r="AA1053" s="20" t="s">
        <v>49</v>
      </c>
      <c r="AB1053" s="20" t="s">
        <v>49</v>
      </c>
      <c r="AC1053" s="19" t="s">
        <v>49</v>
      </c>
      <c r="AD1053" s="19" t="str">
        <f ca="1">IFERROR(DATEDIF(DadosViagem5[[#This Row],[Utimo Bip Reserva]],TODAY(),"D"),"")</f>
        <v/>
      </c>
      <c r="AE1053" s="16" t="s">
        <v>49</v>
      </c>
      <c r="AF1053" s="16" t="s">
        <v>49</v>
      </c>
      <c r="AG1053" s="36"/>
      <c r="AH1053" s="25">
        <v>45807</v>
      </c>
      <c r="AI1053" s="36" t="str">
        <f>IF(DadosViagem5[[#This Row],[Dias em manutenção ]]&lt;5,"Dentro do Prazo","Fora do Prazo")</f>
        <v>Fora do Prazo</v>
      </c>
      <c r="AJ1053" s="36" t="e">
        <v>#REF!</v>
      </c>
    </row>
    <row r="1054" spans="1:36">
      <c r="A1054" s="19" t="s">
        <v>1825</v>
      </c>
      <c r="B1054" s="20"/>
      <c r="C1054" s="19" t="s">
        <v>671</v>
      </c>
      <c r="D1054" s="19" t="s">
        <v>132</v>
      </c>
      <c r="E1054" s="19" t="s">
        <v>114</v>
      </c>
      <c r="F1054" s="19" t="s">
        <v>115</v>
      </c>
      <c r="G1054" s="19"/>
      <c r="H1054" s="20">
        <v>2022</v>
      </c>
      <c r="I1054" s="19" t="s">
        <v>1040</v>
      </c>
      <c r="J1054" s="19" t="s">
        <v>1793</v>
      </c>
      <c r="K1054" s="21" t="s">
        <v>1789</v>
      </c>
      <c r="L1054" s="22" t="s">
        <v>60</v>
      </c>
      <c r="M1054" s="23" t="s">
        <v>45</v>
      </c>
      <c r="N1054" s="36" t="s">
        <v>1790</v>
      </c>
      <c r="O1054" s="36" t="s">
        <v>1152</v>
      </c>
      <c r="P1054" s="26">
        <f ca="1">IFERROR(VLOOKUP(DadosViagem5[[#This Row],[Placa]],[1]BIP!A:E,5,FALSE),"")</f>
        <v>45942</v>
      </c>
      <c r="Q1054" s="27">
        <f ca="1">DATEDIF(DadosViagem5[[#This Row],[BIP]],TODAY(),"D")</f>
        <v>48</v>
      </c>
      <c r="R1054" s="28" t="str">
        <f>IFERROR(VLOOKUP(DadosViagem5[[#This Row],[Placa]],[1]DDS!B:C,2,FALSE),"Verificar cadastro")</f>
        <v> </v>
      </c>
      <c r="S1054" s="29" t="s">
        <v>48</v>
      </c>
      <c r="T1054" s="23"/>
      <c r="U1054" s="30"/>
      <c r="V1054" s="31"/>
      <c r="W1054" s="32"/>
      <c r="X1054" s="33"/>
      <c r="Y1054" s="34"/>
      <c r="Z1054" s="32"/>
      <c r="AA1054" s="20" t="s">
        <v>49</v>
      </c>
      <c r="AB1054" s="20" t="s">
        <v>49</v>
      </c>
      <c r="AC1054" s="19" t="s">
        <v>49</v>
      </c>
      <c r="AD1054" s="19" t="str">
        <f ca="1">IFERROR(DATEDIF(DadosViagem5[[#This Row],[Utimo Bip Reserva]],TODAY(),"D"),"")</f>
        <v/>
      </c>
      <c r="AE1054" s="36" t="s">
        <v>49</v>
      </c>
      <c r="AF1054" s="25" t="s">
        <v>49</v>
      </c>
      <c r="AG1054" s="36"/>
      <c r="AH1054" s="25">
        <v>45807</v>
      </c>
      <c r="AI1054" s="36" t="str">
        <f>IF(DadosViagem5[[#This Row],[Dias em manutenção ]]&lt;5,"Dentro do Prazo","Fora do Prazo")</f>
        <v>Fora do Prazo</v>
      </c>
      <c r="AJ1054" s="36" t="e">
        <v>#REF!</v>
      </c>
    </row>
    <row r="1055" spans="1:36">
      <c r="A1055" s="19" t="s">
        <v>1826</v>
      </c>
      <c r="B1055" s="146"/>
      <c r="C1055" s="19" t="s">
        <v>71</v>
      </c>
      <c r="D1055" s="19" t="s">
        <v>38</v>
      </c>
      <c r="E1055" s="19" t="s">
        <v>699</v>
      </c>
      <c r="F1055" s="19" t="s">
        <v>115</v>
      </c>
      <c r="G1055" s="19"/>
      <c r="H1055" s="20">
        <v>2023</v>
      </c>
      <c r="I1055" s="19" t="s">
        <v>1040</v>
      </c>
      <c r="J1055" s="19" t="s">
        <v>1793</v>
      </c>
      <c r="K1055" s="21" t="s">
        <v>1789</v>
      </c>
      <c r="L1055" s="22" t="s">
        <v>60</v>
      </c>
      <c r="M1055" s="23" t="s">
        <v>45</v>
      </c>
      <c r="N1055" s="36" t="s">
        <v>1790</v>
      </c>
      <c r="O1055" s="36" t="s">
        <v>1152</v>
      </c>
      <c r="P1055" s="26">
        <f ca="1">IFERROR(VLOOKUP(DadosViagem5[[#This Row],[Placa]],[1]BIP!A:E,5,FALSE),"")</f>
        <v>45989</v>
      </c>
      <c r="Q1055" s="27">
        <f ca="1">DATEDIF(DadosViagem5[[#This Row],[BIP]],TODAY(),"D")</f>
        <v>1</v>
      </c>
      <c r="R1055" s="28" t="str">
        <f>IFERROR(VLOOKUP(DadosViagem5[[#This Row],[Placa]],[1]DDS!B:C,2,FALSE),"Verificar cadastro")</f>
        <v>Operando</v>
      </c>
      <c r="S1055" s="29" t="s">
        <v>48</v>
      </c>
      <c r="T1055" s="23"/>
      <c r="U1055" s="30"/>
      <c r="V1055" s="31"/>
      <c r="W1055" s="32"/>
      <c r="X1055" s="33"/>
      <c r="Y1055" s="34"/>
      <c r="Z1055" s="32"/>
      <c r="AA1055" s="20" t="s">
        <v>49</v>
      </c>
      <c r="AB1055" s="20" t="s">
        <v>49</v>
      </c>
      <c r="AC1055" s="19" t="s">
        <v>49</v>
      </c>
      <c r="AD1055" s="19" t="str">
        <f ca="1">IFERROR(DATEDIF(DadosViagem5[[#This Row],[Utimo Bip Reserva]],TODAY(),"D"),"")</f>
        <v/>
      </c>
      <c r="AE1055" s="36"/>
      <c r="AF1055" s="25" t="s">
        <v>49</v>
      </c>
      <c r="AG1055" s="36"/>
      <c r="AH1055" s="25">
        <v>45807</v>
      </c>
      <c r="AI1055" s="36" t="str">
        <f>IF(DadosViagem5[[#This Row],[Dias em manutenção ]]&lt;5,"Dentro do Prazo","Fora do Prazo")</f>
        <v>Fora do Prazo</v>
      </c>
      <c r="AJ1055" s="36" t="e">
        <v>#REF!</v>
      </c>
    </row>
    <row r="1056" spans="1:36">
      <c r="A1056" s="19" t="s">
        <v>1827</v>
      </c>
      <c r="B1056" s="20"/>
      <c r="C1056" s="19" t="s">
        <v>671</v>
      </c>
      <c r="D1056" s="19" t="s">
        <v>132</v>
      </c>
      <c r="E1056" s="19" t="s">
        <v>114</v>
      </c>
      <c r="F1056" s="19" t="s">
        <v>115</v>
      </c>
      <c r="G1056" s="19"/>
      <c r="H1056" s="20">
        <v>2022</v>
      </c>
      <c r="I1056" s="19" t="s">
        <v>1040</v>
      </c>
      <c r="J1056" s="19" t="s">
        <v>1793</v>
      </c>
      <c r="K1056" s="21" t="s">
        <v>1789</v>
      </c>
      <c r="L1056" s="22" t="s">
        <v>60</v>
      </c>
      <c r="M1056" s="23" t="s">
        <v>45</v>
      </c>
      <c r="N1056" s="36" t="s">
        <v>1790</v>
      </c>
      <c r="O1056" s="36" t="s">
        <v>1152</v>
      </c>
      <c r="P1056" s="26">
        <f ca="1">IFERROR(VLOOKUP(DadosViagem5[[#This Row],[Placa]],[1]BIP!A:E,5,FALSE),"")</f>
        <v>45941</v>
      </c>
      <c r="Q1056" s="27">
        <f ca="1">DATEDIF(DadosViagem5[[#This Row],[BIP]],TODAY(),"D")</f>
        <v>49</v>
      </c>
      <c r="R1056" s="28" t="str">
        <f>IFERROR(VLOOKUP(DadosViagem5[[#This Row],[Placa]],[1]DDS!B:C,2,FALSE),"Verificar cadastro")</f>
        <v> </v>
      </c>
      <c r="S1056" s="29" t="s">
        <v>48</v>
      </c>
      <c r="T1056" s="23"/>
      <c r="U1056" s="30"/>
      <c r="V1056" s="31"/>
      <c r="W1056" s="32" t="s">
        <v>1828</v>
      </c>
      <c r="X1056" s="33"/>
      <c r="Y1056" s="34"/>
      <c r="Z1056" s="42"/>
      <c r="AA1056" s="20" t="s">
        <v>49</v>
      </c>
      <c r="AB1056" s="20" t="s">
        <v>49</v>
      </c>
      <c r="AC1056" s="19" t="s">
        <v>49</v>
      </c>
      <c r="AD1056" s="19" t="str">
        <f ca="1">IFERROR(DATEDIF(DadosViagem5[[#This Row],[Utimo Bip Reserva]],TODAY(),"D"),"")</f>
        <v/>
      </c>
      <c r="AE1056" s="36" t="s">
        <v>49</v>
      </c>
      <c r="AF1056" s="25" t="s">
        <v>49</v>
      </c>
      <c r="AG1056" s="36"/>
      <c r="AH1056" s="25">
        <v>5</v>
      </c>
      <c r="AI1056" s="36" t="str">
        <f>IF(DadosViagem5[[#This Row],[Dias em manutenção ]]&lt;5,"Dentro do Prazo","Fora do Prazo")</f>
        <v>Fora do Prazo</v>
      </c>
      <c r="AJ1056" s="36" t="e">
        <v>#REF!</v>
      </c>
    </row>
    <row r="1057" spans="1:36">
      <c r="A1057" s="19" t="s">
        <v>1829</v>
      </c>
      <c r="B1057" s="20"/>
      <c r="C1057" s="19" t="s">
        <v>71</v>
      </c>
      <c r="D1057" s="19" t="s">
        <v>38</v>
      </c>
      <c r="E1057" s="19" t="s">
        <v>265</v>
      </c>
      <c r="F1057" s="19" t="s">
        <v>115</v>
      </c>
      <c r="G1057" s="19"/>
      <c r="H1057" s="20">
        <v>2023</v>
      </c>
      <c r="I1057" s="19" t="s">
        <v>1040</v>
      </c>
      <c r="J1057" s="19" t="s">
        <v>1793</v>
      </c>
      <c r="K1057" s="21" t="s">
        <v>1789</v>
      </c>
      <c r="L1057" s="22" t="s">
        <v>60</v>
      </c>
      <c r="M1057" s="23" t="s">
        <v>45</v>
      </c>
      <c r="N1057" s="36" t="s">
        <v>1790</v>
      </c>
      <c r="O1057" s="36" t="s">
        <v>1152</v>
      </c>
      <c r="P1057" s="26">
        <f ca="1">IFERROR(VLOOKUP(DadosViagem5[[#This Row],[Placa]],[1]BIP!A:E,5,FALSE),"")</f>
        <v>45989</v>
      </c>
      <c r="Q1057" s="27">
        <f ca="1">DATEDIF(DadosViagem5[[#This Row],[BIP]],TODAY(),"D")</f>
        <v>1</v>
      </c>
      <c r="R1057" s="28" t="str">
        <f>IFERROR(VLOOKUP(DadosViagem5[[#This Row],[Placa]],[1]DDS!B:C,2,FALSE),"Verificar cadastro")</f>
        <v>Operando</v>
      </c>
      <c r="S1057" s="29" t="s">
        <v>48</v>
      </c>
      <c r="T1057" s="23"/>
      <c r="U1057" s="30"/>
      <c r="V1057" s="31"/>
      <c r="W1057" s="32"/>
      <c r="X1057" s="33"/>
      <c r="Y1057" s="34"/>
      <c r="Z1057" s="32"/>
      <c r="AA1057" s="20" t="s">
        <v>49</v>
      </c>
      <c r="AB1057" s="20" t="s">
        <v>49</v>
      </c>
      <c r="AC1057" s="19" t="s">
        <v>49</v>
      </c>
      <c r="AD1057" s="19" t="str">
        <f ca="1">IFERROR(DATEDIF(DadosViagem5[[#This Row],[Utimo Bip Reserva]],TODAY(),"D"),"")</f>
        <v/>
      </c>
      <c r="AE1057" s="25"/>
      <c r="AF1057" s="25"/>
      <c r="AG1057" s="36"/>
      <c r="AH1057" s="25">
        <v>45807</v>
      </c>
      <c r="AI1057" s="36" t="str">
        <f>IF(DadosViagem5[[#This Row],[Dias em manutenção ]]&lt;5,"Dentro do Prazo","Fora do Prazo")</f>
        <v>Fora do Prazo</v>
      </c>
      <c r="AJ1057" s="36" t="e">
        <v>#REF!</v>
      </c>
    </row>
    <row r="1058" spans="1:36">
      <c r="A1058" s="19" t="s">
        <v>1830</v>
      </c>
      <c r="B1058" s="20"/>
      <c r="C1058" s="19" t="s">
        <v>71</v>
      </c>
      <c r="D1058" s="19" t="s">
        <v>38</v>
      </c>
      <c r="E1058" s="19" t="s">
        <v>265</v>
      </c>
      <c r="F1058" s="19" t="s">
        <v>115</v>
      </c>
      <c r="G1058" s="19"/>
      <c r="H1058" s="20">
        <v>2023</v>
      </c>
      <c r="I1058" s="19" t="s">
        <v>1040</v>
      </c>
      <c r="J1058" s="19" t="s">
        <v>1793</v>
      </c>
      <c r="K1058" s="21" t="s">
        <v>1789</v>
      </c>
      <c r="L1058" s="22" t="s">
        <v>60</v>
      </c>
      <c r="M1058" s="23" t="s">
        <v>45</v>
      </c>
      <c r="N1058" s="36" t="s">
        <v>1790</v>
      </c>
      <c r="O1058" s="36" t="s">
        <v>1152</v>
      </c>
      <c r="P1058" s="26">
        <f ca="1">IFERROR(VLOOKUP(DadosViagem5[[#This Row],[Placa]],[1]BIP!A:E,5,FALSE),"")</f>
        <v>45989</v>
      </c>
      <c r="Q1058" s="27">
        <f ca="1">DATEDIF(DadosViagem5[[#This Row],[BIP]],TODAY(),"D")</f>
        <v>1</v>
      </c>
      <c r="R1058" s="28" t="str">
        <f>IFERROR(VLOOKUP(DadosViagem5[[#This Row],[Placa]],[1]DDS!B:C,2,FALSE),"Verificar cadastro")</f>
        <v>Operando</v>
      </c>
      <c r="S1058" s="29" t="s">
        <v>48</v>
      </c>
      <c r="T1058" s="23"/>
      <c r="U1058" s="30"/>
      <c r="V1058" s="31"/>
      <c r="W1058" s="32"/>
      <c r="X1058" s="33"/>
      <c r="Y1058" s="34"/>
      <c r="Z1058" s="32"/>
      <c r="AA1058" s="20" t="s">
        <v>49</v>
      </c>
      <c r="AB1058" s="20" t="s">
        <v>49</v>
      </c>
      <c r="AC1058" s="19" t="s">
        <v>49</v>
      </c>
      <c r="AD1058" s="19" t="str">
        <f ca="1">IFERROR(DATEDIF(DadosViagem5[[#This Row],[Utimo Bip Reserva]],TODAY(),"D"),"")</f>
        <v/>
      </c>
      <c r="AE1058" s="36" t="s">
        <v>49</v>
      </c>
      <c r="AF1058" s="25" t="s">
        <v>49</v>
      </c>
      <c r="AG1058" s="36"/>
      <c r="AH1058" s="25">
        <v>45807</v>
      </c>
      <c r="AI1058" s="36" t="str">
        <f>IF(DadosViagem5[[#This Row],[Dias em manutenção ]]&lt;5,"Dentro do Prazo","Fora do Prazo")</f>
        <v>Fora do Prazo</v>
      </c>
      <c r="AJ1058" s="36" t="e">
        <v>#REF!</v>
      </c>
    </row>
    <row r="1059" spans="1:36">
      <c r="A1059" s="19" t="s">
        <v>1831</v>
      </c>
      <c r="B1059" s="20"/>
      <c r="C1059" s="19" t="s">
        <v>71</v>
      </c>
      <c r="D1059" s="19" t="s">
        <v>38</v>
      </c>
      <c r="E1059" s="19" t="s">
        <v>265</v>
      </c>
      <c r="F1059" s="19" t="s">
        <v>115</v>
      </c>
      <c r="G1059" s="19"/>
      <c r="H1059" s="20">
        <v>2024</v>
      </c>
      <c r="I1059" s="19" t="s">
        <v>1040</v>
      </c>
      <c r="J1059" s="19" t="s">
        <v>1793</v>
      </c>
      <c r="K1059" s="21" t="s">
        <v>1789</v>
      </c>
      <c r="L1059" s="22" t="s">
        <v>60</v>
      </c>
      <c r="M1059" s="23" t="s">
        <v>45</v>
      </c>
      <c r="N1059" s="36" t="s">
        <v>1790</v>
      </c>
      <c r="O1059" s="36" t="s">
        <v>1152</v>
      </c>
      <c r="P1059" s="26">
        <f ca="1">IFERROR(VLOOKUP(DadosViagem5[[#This Row],[Placa]],[1]BIP!A:E,5,FALSE),"")</f>
        <v>45989</v>
      </c>
      <c r="Q1059" s="27">
        <f ca="1">DATEDIF(DadosViagem5[[#This Row],[BIP]],TODAY(),"D")</f>
        <v>1</v>
      </c>
      <c r="R1059" s="28" t="str">
        <f>IFERROR(VLOOKUP(DadosViagem5[[#This Row],[Placa]],[1]DDS!B:C,2,FALSE),"Verificar cadastro")</f>
        <v>Operando</v>
      </c>
      <c r="S1059" s="29" t="s">
        <v>48</v>
      </c>
      <c r="T1059" s="23"/>
      <c r="U1059" s="30"/>
      <c r="V1059" s="31"/>
      <c r="W1059" s="32" t="s">
        <v>1828</v>
      </c>
      <c r="X1059" s="33"/>
      <c r="Y1059" s="34"/>
      <c r="Z1059" s="32"/>
      <c r="AA1059" s="20" t="s">
        <v>49</v>
      </c>
      <c r="AB1059" s="20" t="s">
        <v>49</v>
      </c>
      <c r="AC1059" s="19" t="s">
        <v>49</v>
      </c>
      <c r="AD1059" s="19" t="str">
        <f ca="1">IFERROR(DATEDIF(DadosViagem5[[#This Row],[Utimo Bip Reserva]],TODAY(),"D"),"")</f>
        <v/>
      </c>
      <c r="AE1059" s="25" t="s">
        <v>49</v>
      </c>
      <c r="AF1059" s="25" t="s">
        <v>49</v>
      </c>
      <c r="AG1059" s="36"/>
      <c r="AH1059" s="25">
        <v>5</v>
      </c>
      <c r="AI1059" s="36" t="str">
        <f>IF(DadosViagem5[[#This Row],[Dias em manutenção ]]&lt;5,"Dentro do Prazo","Fora do Prazo")</f>
        <v>Fora do Prazo</v>
      </c>
      <c r="AJ1059" s="36" t="e">
        <v>#REF!</v>
      </c>
    </row>
    <row r="1060" spans="1:36">
      <c r="A1060" s="19" t="s">
        <v>1832</v>
      </c>
      <c r="B1060" s="20"/>
      <c r="C1060" s="19" t="s">
        <v>71</v>
      </c>
      <c r="D1060" s="19" t="s">
        <v>38</v>
      </c>
      <c r="E1060" s="19" t="s">
        <v>265</v>
      </c>
      <c r="F1060" s="19" t="s">
        <v>115</v>
      </c>
      <c r="G1060" s="19"/>
      <c r="H1060" s="20">
        <v>2024</v>
      </c>
      <c r="I1060" s="19" t="s">
        <v>1040</v>
      </c>
      <c r="J1060" s="19" t="s">
        <v>1793</v>
      </c>
      <c r="K1060" s="21" t="s">
        <v>1789</v>
      </c>
      <c r="L1060" s="22" t="s">
        <v>60</v>
      </c>
      <c r="M1060" s="23" t="s">
        <v>45</v>
      </c>
      <c r="N1060" s="36" t="s">
        <v>1790</v>
      </c>
      <c r="O1060" s="65" t="s">
        <v>1152</v>
      </c>
      <c r="P1060" s="26">
        <f ca="1">IFERROR(VLOOKUP(DadosViagem5[[#This Row],[Placa]],[1]BIP!A:E,5,FALSE),"")</f>
        <v>45989</v>
      </c>
      <c r="Q1060" s="27">
        <f ca="1">DATEDIF(DadosViagem5[[#This Row],[BIP]],TODAY(),"D")</f>
        <v>1</v>
      </c>
      <c r="R1060" s="28" t="str">
        <f>IFERROR(VLOOKUP(DadosViagem5[[#This Row],[Placa]],[1]DDS!B:C,2,FALSE),"Verificar cadastro")</f>
        <v>Operando</v>
      </c>
      <c r="S1060" s="29" t="s">
        <v>48</v>
      </c>
      <c r="T1060" s="23"/>
      <c r="U1060" s="30"/>
      <c r="V1060" s="31"/>
      <c r="W1060" s="32"/>
      <c r="X1060" s="33"/>
      <c r="Y1060" s="34"/>
      <c r="Z1060" s="32"/>
      <c r="AA1060" s="20" t="s">
        <v>49</v>
      </c>
      <c r="AB1060" s="20" t="s">
        <v>49</v>
      </c>
      <c r="AC1060" s="19" t="s">
        <v>49</v>
      </c>
      <c r="AD1060" s="19" t="str">
        <f ca="1">IFERROR(DATEDIF(DadosViagem5[[#This Row],[Utimo Bip Reserva]],TODAY(),"D"),"")</f>
        <v/>
      </c>
      <c r="AE1060" s="25" t="s">
        <v>49</v>
      </c>
      <c r="AF1060" s="25" t="s">
        <v>49</v>
      </c>
      <c r="AG1060" s="36"/>
      <c r="AH1060" s="25">
        <v>45807</v>
      </c>
      <c r="AI1060" s="36" t="str">
        <f>IF(DadosViagem5[[#This Row],[Dias em manutenção ]]&lt;5,"Dentro do Prazo","Fora do Prazo")</f>
        <v>Fora do Prazo</v>
      </c>
      <c r="AJ1060" s="36" t="e">
        <v>#REF!</v>
      </c>
    </row>
    <row r="1061" spans="1:36">
      <c r="A1061" s="19" t="s">
        <v>1833</v>
      </c>
      <c r="B1061" s="20"/>
      <c r="C1061" s="19" t="s">
        <v>71</v>
      </c>
      <c r="D1061" s="19" t="s">
        <v>38</v>
      </c>
      <c r="E1061" s="19" t="s">
        <v>265</v>
      </c>
      <c r="F1061" s="19" t="s">
        <v>115</v>
      </c>
      <c r="G1061" s="19"/>
      <c r="H1061" s="20">
        <v>2024</v>
      </c>
      <c r="I1061" s="19" t="s">
        <v>1040</v>
      </c>
      <c r="J1061" s="19" t="s">
        <v>1793</v>
      </c>
      <c r="K1061" s="21" t="s">
        <v>1789</v>
      </c>
      <c r="L1061" s="22" t="s">
        <v>60</v>
      </c>
      <c r="M1061" s="23" t="s">
        <v>45</v>
      </c>
      <c r="N1061" s="36" t="s">
        <v>1790</v>
      </c>
      <c r="O1061" s="65" t="s">
        <v>1152</v>
      </c>
      <c r="P1061" s="26">
        <f ca="1">IFERROR(VLOOKUP(DadosViagem5[[#This Row],[Placa]],[1]BIP!A:E,5,FALSE),"")</f>
        <v>45989</v>
      </c>
      <c r="Q1061" s="27">
        <f ca="1">DATEDIF(DadosViagem5[[#This Row],[BIP]],TODAY(),"D")</f>
        <v>1</v>
      </c>
      <c r="R1061" s="28" t="str">
        <f>IFERROR(VLOOKUP(DadosViagem5[[#This Row],[Placa]],[1]DDS!B:C,2,FALSE),"Verificar cadastro")</f>
        <v>Operando</v>
      </c>
      <c r="S1061" s="29" t="s">
        <v>48</v>
      </c>
      <c r="T1061" s="23"/>
      <c r="U1061" s="30"/>
      <c r="V1061" s="31"/>
      <c r="W1061" s="32" t="s">
        <v>1834</v>
      </c>
      <c r="X1061" s="33"/>
      <c r="Y1061" s="34"/>
      <c r="Z1061" s="32" t="s">
        <v>1835</v>
      </c>
      <c r="AA1061" s="20" t="s">
        <v>49</v>
      </c>
      <c r="AB1061" s="20" t="s">
        <v>49</v>
      </c>
      <c r="AC1061" s="19" t="s">
        <v>49</v>
      </c>
      <c r="AD1061" s="19" t="str">
        <f ca="1">IFERROR(DATEDIF(DadosViagem5[[#This Row],[Utimo Bip Reserva]],TODAY(),"D"),"")</f>
        <v/>
      </c>
      <c r="AE1061" s="30" t="s">
        <v>49</v>
      </c>
      <c r="AF1061" s="30" t="s">
        <v>49</v>
      </c>
      <c r="AG1061" s="23"/>
      <c r="AH1061" s="25">
        <v>45807</v>
      </c>
      <c r="AI1061" s="36" t="str">
        <f>IF(DadosViagem5[[#This Row],[Dias em manutenção ]]&lt;5,"Dentro do Prazo","Fora do Prazo")</f>
        <v>Fora do Prazo</v>
      </c>
      <c r="AJ1061" s="36" t="e">
        <v>#REF!</v>
      </c>
    </row>
    <row r="1062" spans="1:36">
      <c r="A1062" s="19" t="s">
        <v>1836</v>
      </c>
      <c r="B1062" s="20"/>
      <c r="C1062" s="19" t="s">
        <v>131</v>
      </c>
      <c r="D1062" s="19"/>
      <c r="E1062" s="19" t="s">
        <v>57</v>
      </c>
      <c r="F1062" s="19"/>
      <c r="G1062" s="19"/>
      <c r="H1062" s="20">
        <v>2020</v>
      </c>
      <c r="I1062" s="19" t="s">
        <v>1837</v>
      </c>
      <c r="J1062" s="19" t="s">
        <v>1838</v>
      </c>
      <c r="K1062" s="21" t="s">
        <v>1839</v>
      </c>
      <c r="L1062" s="22" t="s">
        <v>60</v>
      </c>
      <c r="M1062" s="23" t="s">
        <v>268</v>
      </c>
      <c r="N1062" s="36" t="s">
        <v>1840</v>
      </c>
      <c r="O1062" s="36" t="s">
        <v>1841</v>
      </c>
      <c r="P1062" s="26" t="str">
        <f>IFERROR(VLOOKUP(DadosViagem5[[#This Row],[Placa]],[1]BIP!A:E,5,FALSE),"")</f>
        <v/>
      </c>
      <c r="Q1062" s="27" t="e">
        <f ca="1">DATEDIF(DadosViagem5[[#This Row],[BIP]],TODAY(),"D")</f>
        <v>#VALUE!</v>
      </c>
      <c r="R1062" s="28" t="str">
        <f>IFERROR(VLOOKUP(DadosViagem5[[#This Row],[Placa]],[1]DDS!B:C,2,FALSE),"Verificar cadastro")</f>
        <v>Operando</v>
      </c>
      <c r="S1062" s="29" t="s">
        <v>173</v>
      </c>
      <c r="T1062" s="23"/>
      <c r="U1062" s="30"/>
      <c r="V1062" s="31">
        <v>45890</v>
      </c>
      <c r="W1062" s="32" t="s">
        <v>1842</v>
      </c>
      <c r="X1062" s="33" t="s">
        <v>65</v>
      </c>
      <c r="Y1062" s="34" t="s">
        <v>66</v>
      </c>
      <c r="Z1062" s="32" t="s">
        <v>1843</v>
      </c>
      <c r="AA1062" s="20" t="s">
        <v>49</v>
      </c>
      <c r="AB1062" s="20" t="s">
        <v>49</v>
      </c>
      <c r="AC1062" s="19" t="s">
        <v>49</v>
      </c>
      <c r="AD1062" s="19" t="str">
        <f ca="1">IFERROR(DATEDIF(DadosViagem5[[#This Row],[Utimo Bip Reserva]],TODAY(),"D"),"")</f>
        <v/>
      </c>
      <c r="AE1062" s="23" t="s">
        <v>49</v>
      </c>
      <c r="AF1062" s="30" t="s">
        <v>49</v>
      </c>
      <c r="AG1062" s="23"/>
      <c r="AH1062" s="25">
        <v>45807</v>
      </c>
      <c r="AI1062" s="36" t="str">
        <f>IF(DadosViagem5[[#This Row],[Dias em manutenção ]]&lt;5,"Dentro do Prazo","Fora do Prazo")</f>
        <v>Fora do Prazo</v>
      </c>
      <c r="AJ1062" s="36" t="e">
        <v>#REF!</v>
      </c>
    </row>
    <row r="1063" spans="1:36">
      <c r="A1063" s="19" t="s">
        <v>1844</v>
      </c>
      <c r="B1063" s="20"/>
      <c r="C1063" s="19" t="s">
        <v>131</v>
      </c>
      <c r="D1063" s="19" t="s">
        <v>132</v>
      </c>
      <c r="E1063" s="19" t="s">
        <v>57</v>
      </c>
      <c r="F1063" s="19"/>
      <c r="G1063" s="19"/>
      <c r="H1063" s="20">
        <v>2019</v>
      </c>
      <c r="I1063" s="19" t="s">
        <v>1837</v>
      </c>
      <c r="J1063" s="19" t="s">
        <v>1838</v>
      </c>
      <c r="K1063" s="21" t="s">
        <v>1839</v>
      </c>
      <c r="L1063" s="22" t="s">
        <v>60</v>
      </c>
      <c r="M1063" s="23" t="s">
        <v>268</v>
      </c>
      <c r="N1063" s="36" t="s">
        <v>1840</v>
      </c>
      <c r="O1063" s="36" t="s">
        <v>1841</v>
      </c>
      <c r="P1063" s="26" t="str">
        <f>IFERROR(VLOOKUP(DadosViagem5[[#This Row],[Placa]],[1]BIP!A:E,5,FALSE),"")</f>
        <v/>
      </c>
      <c r="Q1063" s="27" t="e">
        <f ca="1">DATEDIF(DadosViagem5[[#This Row],[BIP]],TODAY(),"D")</f>
        <v>#VALUE!</v>
      </c>
      <c r="R1063" s="28" t="str">
        <f>IFERROR(VLOOKUP(DadosViagem5[[#This Row],[Placa]],[1]DDS!B:C,2,FALSE),"Verificar cadastro")</f>
        <v>Operando</v>
      </c>
      <c r="S1063" s="29" t="s">
        <v>48</v>
      </c>
      <c r="T1063" s="23"/>
      <c r="U1063" s="30"/>
      <c r="V1063" s="31"/>
      <c r="W1063" s="32" t="s">
        <v>1845</v>
      </c>
      <c r="X1063" s="57"/>
      <c r="Y1063" s="86"/>
      <c r="Z1063" s="11"/>
      <c r="AA1063" s="20" t="s">
        <v>49</v>
      </c>
      <c r="AB1063" s="20" t="s">
        <v>49</v>
      </c>
      <c r="AC1063" s="19" t="s">
        <v>49</v>
      </c>
      <c r="AD1063" s="19" t="str">
        <f ca="1">IFERROR(DATEDIF(DadosViagem5[[#This Row],[Utimo Bip Reserva]],TODAY(),"D"),"")</f>
        <v/>
      </c>
      <c r="AE1063" s="23" t="s">
        <v>49</v>
      </c>
      <c r="AF1063" s="30" t="s">
        <v>49</v>
      </c>
      <c r="AG1063" s="23"/>
      <c r="AH1063" s="25">
        <v>45807</v>
      </c>
      <c r="AI1063" s="36" t="str">
        <f>IF(DadosViagem5[[#This Row],[Dias em manutenção ]]&lt;5,"Dentro do Prazo","Fora do Prazo")</f>
        <v>Fora do Prazo</v>
      </c>
      <c r="AJ1063" s="36" t="e">
        <v>#REF!</v>
      </c>
    </row>
    <row r="1064" spans="1:36">
      <c r="A1064" s="19" t="s">
        <v>1846</v>
      </c>
      <c r="B1064" s="20"/>
      <c r="C1064" s="19" t="s">
        <v>131</v>
      </c>
      <c r="D1064" s="19"/>
      <c r="E1064" s="19" t="s">
        <v>57</v>
      </c>
      <c r="F1064" s="19"/>
      <c r="G1064" s="19"/>
      <c r="H1064" s="20">
        <v>2018</v>
      </c>
      <c r="I1064" s="19" t="s">
        <v>1837</v>
      </c>
      <c r="J1064" s="19" t="s">
        <v>1838</v>
      </c>
      <c r="K1064" s="21" t="s">
        <v>1839</v>
      </c>
      <c r="L1064" s="22" t="s">
        <v>60</v>
      </c>
      <c r="M1064" s="23" t="s">
        <v>268</v>
      </c>
      <c r="N1064" s="36" t="s">
        <v>1840</v>
      </c>
      <c r="O1064" s="36" t="s">
        <v>1841</v>
      </c>
      <c r="P1064" s="26" t="str">
        <f>IFERROR(VLOOKUP(DadosViagem5[[#This Row],[Placa]],[1]BIP!A:E,5,FALSE),"")</f>
        <v/>
      </c>
      <c r="Q1064" s="27" t="e">
        <f ca="1">DATEDIF(DadosViagem5[[#This Row],[BIP]],TODAY(),"D")</f>
        <v>#VALUE!</v>
      </c>
      <c r="R1064" s="28" t="str">
        <f>IFERROR(VLOOKUP(DadosViagem5[[#This Row],[Placa]],[1]DDS!B:C,2,FALSE),"Verificar cadastro")</f>
        <v>Operando</v>
      </c>
      <c r="S1064" s="29" t="s">
        <v>173</v>
      </c>
      <c r="T1064" s="23"/>
      <c r="U1064" s="30"/>
      <c r="V1064" s="31"/>
      <c r="W1064" s="32"/>
      <c r="X1064" s="33"/>
      <c r="Y1064" s="34"/>
      <c r="Z1064" s="32"/>
      <c r="AA1064" s="20" t="s">
        <v>49</v>
      </c>
      <c r="AB1064" s="20" t="s">
        <v>49</v>
      </c>
      <c r="AC1064" s="19" t="s">
        <v>49</v>
      </c>
      <c r="AD1064" s="19" t="str">
        <f ca="1">IFERROR(DATEDIF(DadosViagem5[[#This Row],[Utimo Bip Reserva]],TODAY(),"D"),"")</f>
        <v/>
      </c>
      <c r="AE1064" s="23" t="s">
        <v>49</v>
      </c>
      <c r="AF1064" s="30" t="s">
        <v>49</v>
      </c>
      <c r="AG1064" s="23"/>
      <c r="AH1064" s="25">
        <v>45807</v>
      </c>
      <c r="AI1064" s="36" t="str">
        <f>IF(DadosViagem5[[#This Row],[Dias em manutenção ]]&lt;5,"Dentro do Prazo","Fora do Prazo")</f>
        <v>Fora do Prazo</v>
      </c>
      <c r="AJ1064" s="36" t="e">
        <v>#REF!</v>
      </c>
    </row>
    <row r="1065" spans="1:36">
      <c r="A1065" s="19" t="s">
        <v>1847</v>
      </c>
      <c r="B1065" s="20"/>
      <c r="C1065" s="19" t="s">
        <v>37</v>
      </c>
      <c r="D1065" s="19" t="s">
        <v>38</v>
      </c>
      <c r="E1065" s="19" t="s">
        <v>57</v>
      </c>
      <c r="F1065" s="19" t="s">
        <v>40</v>
      </c>
      <c r="G1065" s="19"/>
      <c r="H1065" s="20">
        <v>2023</v>
      </c>
      <c r="I1065" s="19" t="s">
        <v>41</v>
      </c>
      <c r="J1065" s="19" t="s">
        <v>1848</v>
      </c>
      <c r="K1065" s="21" t="s">
        <v>1849</v>
      </c>
      <c r="L1065" s="22" t="s">
        <v>60</v>
      </c>
      <c r="M1065" s="23" t="s">
        <v>61</v>
      </c>
      <c r="N1065" s="25" t="s">
        <v>1850</v>
      </c>
      <c r="O1065" s="25" t="s">
        <v>710</v>
      </c>
      <c r="P1065" s="26">
        <f ca="1">IFERROR(VLOOKUP(DadosViagem5[[#This Row],[Placa]],[1]BIP!A:E,5,FALSE),"")</f>
        <v>45989</v>
      </c>
      <c r="Q1065" s="27">
        <f ca="1">DATEDIF(DadosViagem5[[#This Row],[BIP]],TODAY(),"D")</f>
        <v>1</v>
      </c>
      <c r="R1065" s="28" t="str">
        <f>IFERROR(VLOOKUP(DadosViagem5[[#This Row],[Placa]],[1]DDS!B:C,2,FALSE),"Verificar cadastro")</f>
        <v>Operando</v>
      </c>
      <c r="S1065" s="29" t="s">
        <v>48</v>
      </c>
      <c r="T1065" s="23"/>
      <c r="U1065" s="30"/>
      <c r="V1065" s="31"/>
      <c r="W1065" s="32"/>
      <c r="X1065" s="33"/>
      <c r="Y1065" s="34" t="s">
        <v>49</v>
      </c>
      <c r="Z1065" s="32"/>
      <c r="AA1065" s="20" t="s">
        <v>49</v>
      </c>
      <c r="AB1065" s="20" t="s">
        <v>49</v>
      </c>
      <c r="AC1065" s="19" t="s">
        <v>49</v>
      </c>
      <c r="AD1065" s="19" t="str">
        <f ca="1">IFERROR(DATEDIF(DadosViagem5[[#This Row],[Utimo Bip Reserva]],TODAY(),"D"),"")</f>
        <v/>
      </c>
      <c r="AE1065" s="36" t="s">
        <v>49</v>
      </c>
      <c r="AF1065" s="25" t="s">
        <v>49</v>
      </c>
      <c r="AG1065" s="36"/>
      <c r="AH1065" s="25">
        <v>45807</v>
      </c>
      <c r="AI1065" s="36" t="str">
        <f>IF(DadosViagem5[[#This Row],[Dias em manutenção ]]&lt;5,"Dentro do Prazo","Fora do Prazo")</f>
        <v>Fora do Prazo</v>
      </c>
      <c r="AJ1065" s="36" t="e">
        <v>#REF!</v>
      </c>
    </row>
    <row r="1066" spans="1:36">
      <c r="A1066" s="19" t="s">
        <v>1851</v>
      </c>
      <c r="B1066" s="20"/>
      <c r="C1066" s="19" t="s">
        <v>131</v>
      </c>
      <c r="D1066" s="19" t="s">
        <v>132</v>
      </c>
      <c r="E1066" s="19" t="s">
        <v>114</v>
      </c>
      <c r="F1066" s="19" t="s">
        <v>115</v>
      </c>
      <c r="G1066" s="19"/>
      <c r="H1066" s="20">
        <v>2022</v>
      </c>
      <c r="I1066" s="19" t="s">
        <v>41</v>
      </c>
      <c r="J1066" s="19" t="s">
        <v>1848</v>
      </c>
      <c r="K1066" s="21" t="s">
        <v>1849</v>
      </c>
      <c r="L1066" s="22" t="s">
        <v>60</v>
      </c>
      <c r="M1066" s="23" t="s">
        <v>61</v>
      </c>
      <c r="N1066" s="25" t="s">
        <v>1850</v>
      </c>
      <c r="O1066" s="25" t="s">
        <v>710</v>
      </c>
      <c r="P1066" s="26">
        <f ca="1">IFERROR(VLOOKUP(DadosViagem5[[#This Row],[Placa]],[1]BIP!A:E,5,FALSE),"")</f>
        <v>45989</v>
      </c>
      <c r="Q1066" s="27">
        <f ca="1">DATEDIF(DadosViagem5[[#This Row],[BIP]],TODAY(),"D")</f>
        <v>1</v>
      </c>
      <c r="R1066" s="28" t="str">
        <f>IFERROR(VLOOKUP(DadosViagem5[[#This Row],[Placa]],[1]DDS!B:C,2,FALSE),"Verificar cadastro")</f>
        <v>Operando</v>
      </c>
      <c r="S1066" s="29" t="s">
        <v>48</v>
      </c>
      <c r="T1066" s="23"/>
      <c r="U1066" s="30"/>
      <c r="V1066" s="31"/>
      <c r="W1066" s="32" t="s">
        <v>1218</v>
      </c>
      <c r="X1066" s="33"/>
      <c r="Y1066" s="34"/>
      <c r="Z1066" s="32"/>
      <c r="AA1066" s="20" t="s">
        <v>49</v>
      </c>
      <c r="AB1066" s="20" t="s">
        <v>49</v>
      </c>
      <c r="AC1066" s="19" t="s">
        <v>49</v>
      </c>
      <c r="AD1066" s="19" t="str">
        <f ca="1">IFERROR(DATEDIF(DadosViagem5[[#This Row],[Utimo Bip Reserva]],TODAY(),"D"),"")</f>
        <v/>
      </c>
      <c r="AE1066" s="36" t="s">
        <v>49</v>
      </c>
      <c r="AF1066" s="25" t="s">
        <v>49</v>
      </c>
      <c r="AG1066" s="36"/>
      <c r="AH1066" s="25">
        <v>45807</v>
      </c>
      <c r="AI1066" s="36" t="str">
        <f>IF(DadosViagem5[[#This Row],[Dias em manutenção ]]&lt;5,"Dentro do Prazo","Fora do Prazo")</f>
        <v>Fora do Prazo</v>
      </c>
      <c r="AJ1066" s="36" t="e">
        <v>#REF!</v>
      </c>
    </row>
    <row r="1067" spans="1:36">
      <c r="A1067" s="19" t="s">
        <v>1852</v>
      </c>
      <c r="B1067" s="20"/>
      <c r="C1067" s="19" t="s">
        <v>74</v>
      </c>
      <c r="D1067" s="19" t="s">
        <v>52</v>
      </c>
      <c r="E1067" s="19" t="s">
        <v>75</v>
      </c>
      <c r="F1067" s="19" t="s">
        <v>115</v>
      </c>
      <c r="G1067" s="19"/>
      <c r="H1067" s="20">
        <v>2024</v>
      </c>
      <c r="I1067" s="19" t="s">
        <v>41</v>
      </c>
      <c r="J1067" s="19" t="s">
        <v>1848</v>
      </c>
      <c r="K1067" s="21" t="s">
        <v>1849</v>
      </c>
      <c r="L1067" s="22" t="s">
        <v>60</v>
      </c>
      <c r="M1067" s="23" t="s">
        <v>77</v>
      </c>
      <c r="N1067" s="25" t="s">
        <v>1850</v>
      </c>
      <c r="O1067" s="25" t="s">
        <v>710</v>
      </c>
      <c r="P1067" s="26">
        <f ca="1">IFERROR(VLOOKUP(DadosViagem5[[#This Row],[Placa]],[1]BIP!A:E,5,FALSE),"")</f>
        <v>45989</v>
      </c>
      <c r="Q1067" s="27">
        <f ca="1">DATEDIF(DadosViagem5[[#This Row],[BIP]],TODAY(),"D")</f>
        <v>1</v>
      </c>
      <c r="R1067" s="28" t="str">
        <f>IFERROR(VLOOKUP(DadosViagem5[[#This Row],[Placa]],[1]DDS!B:C,2,FALSE),"Verificar cadastro")</f>
        <v>Operando</v>
      </c>
      <c r="S1067" s="29" t="s">
        <v>48</v>
      </c>
      <c r="T1067" s="23"/>
      <c r="U1067" s="30"/>
      <c r="V1067" s="31"/>
      <c r="W1067" s="32"/>
      <c r="X1067" s="33"/>
      <c r="Y1067" s="34"/>
      <c r="Z1067" s="32"/>
      <c r="AA1067" s="20" t="s">
        <v>49</v>
      </c>
      <c r="AB1067" s="20" t="s">
        <v>49</v>
      </c>
      <c r="AC1067" s="19" t="s">
        <v>49</v>
      </c>
      <c r="AD1067" s="19" t="str">
        <f ca="1">IFERROR(DATEDIF(DadosViagem5[[#This Row],[Utimo Bip Reserva]],TODAY(),"D"),"")</f>
        <v/>
      </c>
      <c r="AE1067" s="36"/>
      <c r="AF1067" s="25"/>
      <c r="AG1067" s="36"/>
      <c r="AH1067" s="25">
        <v>45807</v>
      </c>
      <c r="AI1067" s="36" t="str">
        <f>IF(DadosViagem5[[#This Row],[Dias em manutenção ]]&lt;5,"Dentro do Prazo","Fora do Prazo")</f>
        <v>Fora do Prazo</v>
      </c>
      <c r="AJ1067" s="36" t="e">
        <v>#REF!</v>
      </c>
    </row>
    <row r="1068" spans="1:36">
      <c r="A1068" s="19" t="s">
        <v>1853</v>
      </c>
      <c r="B1068" s="20"/>
      <c r="C1068" s="19" t="s">
        <v>88</v>
      </c>
      <c r="D1068" s="19" t="s">
        <v>52</v>
      </c>
      <c r="E1068" s="19" t="s">
        <v>114</v>
      </c>
      <c r="F1068" s="19" t="s">
        <v>115</v>
      </c>
      <c r="G1068" s="19"/>
      <c r="H1068" s="20">
        <v>2023</v>
      </c>
      <c r="I1068" s="19" t="s">
        <v>41</v>
      </c>
      <c r="J1068" s="19" t="s">
        <v>1848</v>
      </c>
      <c r="K1068" s="21" t="s">
        <v>1849</v>
      </c>
      <c r="L1068" s="22" t="s">
        <v>60</v>
      </c>
      <c r="M1068" s="23" t="s">
        <v>61</v>
      </c>
      <c r="N1068" s="25" t="s">
        <v>1850</v>
      </c>
      <c r="O1068" s="25" t="s">
        <v>710</v>
      </c>
      <c r="P1068" s="26">
        <f ca="1">IFERROR(VLOOKUP(DadosViagem5[[#This Row],[Placa]],[1]BIP!A:E,5,FALSE),"")</f>
        <v>45848</v>
      </c>
      <c r="Q1068" s="27">
        <f ca="1">DATEDIF(DadosViagem5[[#This Row],[BIP]],TODAY(),"D")</f>
        <v>142</v>
      </c>
      <c r="R1068" s="28" t="str">
        <f>IFERROR(VLOOKUP(DadosViagem5[[#This Row],[Placa]],[1]DDS!B:C,2,FALSE),"Verificar cadastro")</f>
        <v>Verificar cadastro</v>
      </c>
      <c r="S1068" s="36" t="s">
        <v>574</v>
      </c>
      <c r="T1068" s="23"/>
      <c r="U1068" s="30"/>
      <c r="V1068" s="31"/>
      <c r="W1068" s="32" t="s">
        <v>1854</v>
      </c>
      <c r="X1068" s="33"/>
      <c r="Y1068" s="34"/>
      <c r="Z1068" s="32"/>
      <c r="AA1068" s="20" t="s">
        <v>49</v>
      </c>
      <c r="AB1068" s="20" t="s">
        <v>49</v>
      </c>
      <c r="AC1068" s="19" t="s">
        <v>49</v>
      </c>
      <c r="AD1068" s="19" t="str">
        <f ca="1">IFERROR(DATEDIF(DadosViagem5[[#This Row],[Utimo Bip Reserva]],TODAY(),"D"),"")</f>
        <v/>
      </c>
      <c r="AE1068" s="36" t="s">
        <v>49</v>
      </c>
      <c r="AF1068" s="25" t="s">
        <v>49</v>
      </c>
      <c r="AG1068" s="36"/>
      <c r="AH1068" s="25">
        <v>45807</v>
      </c>
      <c r="AI1068" s="36" t="str">
        <f>IF(DadosViagem5[[#This Row],[Dias em manutenção ]]&lt;5,"Dentro do Prazo","Fora do Prazo")</f>
        <v>Fora do Prazo</v>
      </c>
      <c r="AJ1068" s="36" t="e">
        <v>#REF!</v>
      </c>
    </row>
    <row r="1069" spans="1:36">
      <c r="A1069" s="19" t="s">
        <v>1855</v>
      </c>
      <c r="B1069" s="20"/>
      <c r="C1069" s="19" t="s">
        <v>131</v>
      </c>
      <c r="D1069" s="19" t="s">
        <v>132</v>
      </c>
      <c r="E1069" s="19" t="s">
        <v>114</v>
      </c>
      <c r="F1069" s="19" t="s">
        <v>115</v>
      </c>
      <c r="G1069" s="19"/>
      <c r="H1069" s="20">
        <v>2022</v>
      </c>
      <c r="I1069" s="19" t="s">
        <v>41</v>
      </c>
      <c r="J1069" s="19" t="s">
        <v>1848</v>
      </c>
      <c r="K1069" s="21" t="s">
        <v>1849</v>
      </c>
      <c r="L1069" s="22" t="s">
        <v>60</v>
      </c>
      <c r="M1069" s="23" t="s">
        <v>61</v>
      </c>
      <c r="N1069" s="25" t="s">
        <v>1850</v>
      </c>
      <c r="O1069" s="25" t="s">
        <v>710</v>
      </c>
      <c r="P1069" s="26">
        <f ca="1">IFERROR(VLOOKUP(DadosViagem5[[#This Row],[Placa]],[1]BIP!A:E,5,FALSE),"")</f>
        <v>45989</v>
      </c>
      <c r="Q1069" s="27">
        <f ca="1">DATEDIF(DadosViagem5[[#This Row],[BIP]],TODAY(),"D")</f>
        <v>1</v>
      </c>
      <c r="R1069" s="28" t="str">
        <f>IFERROR(VLOOKUP(DadosViagem5[[#This Row],[Placa]],[1]DDS!B:C,2,FALSE),"Verificar cadastro")</f>
        <v>Operando</v>
      </c>
      <c r="S1069" s="29" t="s">
        <v>48</v>
      </c>
      <c r="T1069" s="23"/>
      <c r="U1069" s="30"/>
      <c r="V1069" s="31"/>
      <c r="W1069" s="32"/>
      <c r="X1069" s="33"/>
      <c r="Y1069" s="34"/>
      <c r="Z1069" s="32"/>
      <c r="AA1069" s="20" t="s">
        <v>49</v>
      </c>
      <c r="AB1069" s="20" t="s">
        <v>49</v>
      </c>
      <c r="AC1069" s="19" t="s">
        <v>49</v>
      </c>
      <c r="AD1069" s="19" t="str">
        <f ca="1">IFERROR(DATEDIF(DadosViagem5[[#This Row],[Utimo Bip Reserva]],TODAY(),"D"),"")</f>
        <v/>
      </c>
      <c r="AE1069" s="36" t="s">
        <v>49</v>
      </c>
      <c r="AF1069" s="25" t="s">
        <v>49</v>
      </c>
      <c r="AG1069" s="36"/>
      <c r="AH1069" s="25">
        <v>45807</v>
      </c>
      <c r="AI1069" s="36" t="str">
        <f>IF(DadosViagem5[[#This Row],[Dias em manutenção ]]&lt;5,"Dentro do Prazo","Fora do Prazo")</f>
        <v>Fora do Prazo</v>
      </c>
      <c r="AJ1069" s="36" t="e">
        <v>#REF!</v>
      </c>
    </row>
    <row r="1070" spans="1:36">
      <c r="A1070" s="19" t="s">
        <v>1856</v>
      </c>
      <c r="B1070" s="20"/>
      <c r="C1070" s="19" t="s">
        <v>131</v>
      </c>
      <c r="D1070" s="19" t="s">
        <v>132</v>
      </c>
      <c r="E1070" s="19" t="s">
        <v>114</v>
      </c>
      <c r="F1070" s="19" t="s">
        <v>115</v>
      </c>
      <c r="G1070" s="19"/>
      <c r="H1070" s="20">
        <v>2022</v>
      </c>
      <c r="I1070" s="19" t="s">
        <v>41</v>
      </c>
      <c r="J1070" s="19" t="s">
        <v>1848</v>
      </c>
      <c r="K1070" s="21" t="s">
        <v>1849</v>
      </c>
      <c r="L1070" s="22" t="s">
        <v>60</v>
      </c>
      <c r="M1070" s="23" t="s">
        <v>61</v>
      </c>
      <c r="N1070" s="25" t="s">
        <v>1850</v>
      </c>
      <c r="O1070" s="25" t="s">
        <v>710</v>
      </c>
      <c r="P1070" s="26">
        <f ca="1">IFERROR(VLOOKUP(DadosViagem5[[#This Row],[Placa]],[1]BIP!A:E,5,FALSE),"")</f>
        <v>45839</v>
      </c>
      <c r="Q1070" s="27">
        <f ca="1">DATEDIF(DadosViagem5[[#This Row],[BIP]],TODAY(),"D")</f>
        <v>151</v>
      </c>
      <c r="R1070" s="28" t="str">
        <f>IFERROR(VLOOKUP(DadosViagem5[[#This Row],[Placa]],[1]DDS!B:C,2,FALSE),"Verificar cadastro")</f>
        <v>Sinistrado</v>
      </c>
      <c r="S1070" s="36" t="s">
        <v>574</v>
      </c>
      <c r="T1070" s="23"/>
      <c r="U1070" s="30"/>
      <c r="V1070" s="31"/>
      <c r="W1070" s="32" t="s">
        <v>1857</v>
      </c>
      <c r="X1070" s="33"/>
      <c r="Y1070" s="34"/>
      <c r="Z1070" s="32"/>
      <c r="AA1070" s="20" t="s">
        <v>49</v>
      </c>
      <c r="AB1070" s="20" t="s">
        <v>49</v>
      </c>
      <c r="AC1070" s="19" t="s">
        <v>49</v>
      </c>
      <c r="AD1070" s="19" t="str">
        <f ca="1">IFERROR(DATEDIF(DadosViagem5[[#This Row],[Utimo Bip Reserva]],TODAY(),"D"),"")</f>
        <v/>
      </c>
      <c r="AE1070" s="36" t="s">
        <v>49</v>
      </c>
      <c r="AF1070" s="25" t="s">
        <v>49</v>
      </c>
      <c r="AG1070" s="36"/>
      <c r="AH1070" s="25">
        <v>45807</v>
      </c>
      <c r="AI1070" s="36" t="str">
        <f>IF(DadosViagem5[[#This Row],[Dias em manutenção ]]&lt;5,"Dentro do Prazo","Fora do Prazo")</f>
        <v>Fora do Prazo</v>
      </c>
      <c r="AJ1070" s="36" t="e">
        <v>#REF!</v>
      </c>
    </row>
    <row r="1071" spans="1:36">
      <c r="A1071" s="19" t="s">
        <v>1858</v>
      </c>
      <c r="B1071" s="20"/>
      <c r="C1071" s="19" t="s">
        <v>562</v>
      </c>
      <c r="D1071" s="19" t="s">
        <v>563</v>
      </c>
      <c r="E1071" s="19" t="s">
        <v>114</v>
      </c>
      <c r="F1071" s="19" t="s">
        <v>115</v>
      </c>
      <c r="G1071" s="19"/>
      <c r="H1071" s="20">
        <v>2022</v>
      </c>
      <c r="I1071" s="19" t="s">
        <v>41</v>
      </c>
      <c r="J1071" s="19" t="s">
        <v>1848</v>
      </c>
      <c r="K1071" s="21" t="s">
        <v>1849</v>
      </c>
      <c r="L1071" s="22" t="s">
        <v>60</v>
      </c>
      <c r="M1071" s="23" t="s">
        <v>61</v>
      </c>
      <c r="N1071" s="25" t="s">
        <v>1850</v>
      </c>
      <c r="O1071" s="25" t="s">
        <v>710</v>
      </c>
      <c r="P1071" s="26">
        <f ca="1">IFERROR(VLOOKUP(DadosViagem5[[#This Row],[Placa]],[1]BIP!A:E,5,FALSE),"")</f>
        <v>45989</v>
      </c>
      <c r="Q1071" s="27">
        <f ca="1">DATEDIF(DadosViagem5[[#This Row],[BIP]],TODAY(),"D")</f>
        <v>1</v>
      </c>
      <c r="R1071" s="28" t="str">
        <f>IFERROR(VLOOKUP(DadosViagem5[[#This Row],[Placa]],[1]DDS!B:C,2,FALSE),"Verificar cadastro")</f>
        <v>Operando</v>
      </c>
      <c r="S1071" s="29" t="s">
        <v>48</v>
      </c>
      <c r="T1071" s="23"/>
      <c r="U1071" s="30"/>
      <c r="V1071" s="31"/>
      <c r="W1071" s="32"/>
      <c r="X1071" s="33"/>
      <c r="Y1071" s="34"/>
      <c r="Z1071" s="32"/>
      <c r="AA1071" s="20" t="s">
        <v>49</v>
      </c>
      <c r="AB1071" s="20" t="s">
        <v>49</v>
      </c>
      <c r="AC1071" s="19" t="s">
        <v>49</v>
      </c>
      <c r="AD1071" s="19" t="str">
        <f ca="1">IFERROR(DATEDIF(DadosViagem5[[#This Row],[Utimo Bip Reserva]],TODAY(),"D"),"")</f>
        <v/>
      </c>
      <c r="AE1071" s="36" t="s">
        <v>1859</v>
      </c>
      <c r="AF1071" s="25" t="s">
        <v>1860</v>
      </c>
      <c r="AG1071" s="36"/>
      <c r="AH1071" s="25">
        <v>25</v>
      </c>
      <c r="AI1071" s="36" t="str">
        <f>IF(DadosViagem5[[#This Row],[Dias em manutenção ]]&lt;5,"Dentro do Prazo","Fora do Prazo")</f>
        <v>Fora do Prazo</v>
      </c>
      <c r="AJ1071" s="36" t="e">
        <v>#REF!</v>
      </c>
    </row>
    <row r="1072" spans="1:36">
      <c r="A1072" s="19" t="s">
        <v>1861</v>
      </c>
      <c r="B1072" s="20"/>
      <c r="C1072" s="19" t="s">
        <v>562</v>
      </c>
      <c r="D1072" s="19" t="s">
        <v>563</v>
      </c>
      <c r="E1072" s="19" t="s">
        <v>114</v>
      </c>
      <c r="F1072" s="19" t="s">
        <v>115</v>
      </c>
      <c r="G1072" s="19"/>
      <c r="H1072" s="20">
        <v>2022</v>
      </c>
      <c r="I1072" s="19" t="s">
        <v>41</v>
      </c>
      <c r="J1072" s="19" t="s">
        <v>1848</v>
      </c>
      <c r="K1072" s="21" t="s">
        <v>1849</v>
      </c>
      <c r="L1072" s="22" t="s">
        <v>60</v>
      </c>
      <c r="M1072" s="23" t="s">
        <v>61</v>
      </c>
      <c r="N1072" s="25" t="s">
        <v>1850</v>
      </c>
      <c r="O1072" s="25" t="s">
        <v>710</v>
      </c>
      <c r="P1072" s="26">
        <f ca="1">IFERROR(VLOOKUP(DadosViagem5[[#This Row],[Placa]],[1]BIP!A:E,5,FALSE),"")</f>
        <v>45989</v>
      </c>
      <c r="Q1072" s="27">
        <f ca="1">DATEDIF(DadosViagem5[[#This Row],[BIP]],TODAY(),"D")</f>
        <v>1</v>
      </c>
      <c r="R1072" s="28" t="str">
        <f>IFERROR(VLOOKUP(DadosViagem5[[#This Row],[Placa]],[1]DDS!B:C,2,FALSE),"Verificar cadastro")</f>
        <v>Operando</v>
      </c>
      <c r="S1072" s="29" t="s">
        <v>48</v>
      </c>
      <c r="T1072" s="23"/>
      <c r="U1072" s="30"/>
      <c r="V1072" s="31"/>
      <c r="W1072" s="32"/>
      <c r="X1072" s="33"/>
      <c r="Y1072" s="34"/>
      <c r="Z1072" s="32"/>
      <c r="AA1072" s="20" t="s">
        <v>49</v>
      </c>
      <c r="AB1072" s="20" t="s">
        <v>49</v>
      </c>
      <c r="AC1072" s="19" t="s">
        <v>49</v>
      </c>
      <c r="AD1072" s="19" t="str">
        <f ca="1">IFERROR(DATEDIF(DadosViagem5[[#This Row],[Utimo Bip Reserva]],TODAY(),"D"),"")</f>
        <v/>
      </c>
      <c r="AE1072" s="36" t="s">
        <v>1862</v>
      </c>
      <c r="AF1072" s="25" t="s">
        <v>49</v>
      </c>
      <c r="AG1072" s="36" t="s">
        <v>540</v>
      </c>
      <c r="AH1072" s="25">
        <v>45807</v>
      </c>
      <c r="AI1072" s="36" t="str">
        <f>IF(DadosViagem5[[#This Row],[Dias em manutenção ]]&lt;5,"Dentro do Prazo","Fora do Prazo")</f>
        <v>Fora do Prazo</v>
      </c>
      <c r="AJ1072" s="36" t="e">
        <v>#REF!</v>
      </c>
    </row>
    <row r="1073" spans="1:36">
      <c r="A1073" s="19" t="s">
        <v>1863</v>
      </c>
      <c r="B1073" s="20"/>
      <c r="C1073" s="19" t="s">
        <v>671</v>
      </c>
      <c r="D1073" s="19" t="s">
        <v>132</v>
      </c>
      <c r="E1073" s="19" t="s">
        <v>114</v>
      </c>
      <c r="F1073" s="19" t="s">
        <v>115</v>
      </c>
      <c r="G1073" s="19"/>
      <c r="H1073" s="20">
        <v>2022</v>
      </c>
      <c r="I1073" s="19" t="s">
        <v>41</v>
      </c>
      <c r="J1073" s="19" t="s">
        <v>1848</v>
      </c>
      <c r="K1073" s="21" t="s">
        <v>1849</v>
      </c>
      <c r="L1073" s="22" t="s">
        <v>60</v>
      </c>
      <c r="M1073" s="23" t="s">
        <v>61</v>
      </c>
      <c r="N1073" s="25" t="s">
        <v>1850</v>
      </c>
      <c r="O1073" s="25" t="s">
        <v>710</v>
      </c>
      <c r="P1073" s="26">
        <f ca="1">IFERROR(VLOOKUP(DadosViagem5[[#This Row],[Placa]],[1]BIP!A:E,5,FALSE),"")</f>
        <v>45989</v>
      </c>
      <c r="Q1073" s="27">
        <f ca="1">DATEDIF(DadosViagem5[[#This Row],[BIP]],TODAY(),"D")</f>
        <v>1</v>
      </c>
      <c r="R1073" s="28" t="str">
        <f>IFERROR(VLOOKUP(DadosViagem5[[#This Row],[Placa]],[1]DDS!B:C,2,FALSE),"Verificar cadastro")</f>
        <v>Operando</v>
      </c>
      <c r="S1073" s="29" t="s">
        <v>48</v>
      </c>
      <c r="T1073" s="23"/>
      <c r="U1073" s="30"/>
      <c r="V1073" s="31"/>
      <c r="W1073" s="32"/>
      <c r="X1073" s="33"/>
      <c r="Y1073" s="34"/>
      <c r="Z1073" s="32"/>
      <c r="AA1073" s="20" t="s">
        <v>49</v>
      </c>
      <c r="AB1073" s="20" t="s">
        <v>49</v>
      </c>
      <c r="AC1073" s="19" t="s">
        <v>49</v>
      </c>
      <c r="AD1073" s="19" t="str">
        <f ca="1">IFERROR(DATEDIF(DadosViagem5[[#This Row],[Utimo Bip Reserva]],TODAY(),"D"),"")</f>
        <v/>
      </c>
      <c r="AE1073" s="36" t="s">
        <v>1864</v>
      </c>
      <c r="AF1073" s="25" t="s">
        <v>49</v>
      </c>
      <c r="AG1073" s="30"/>
      <c r="AH1073" s="25">
        <v>45807</v>
      </c>
      <c r="AI1073" s="36" t="str">
        <f>IF(DadosViagem5[[#This Row],[Dias em manutenção ]]&lt;5,"Dentro do Prazo","Fora do Prazo")</f>
        <v>Fora do Prazo</v>
      </c>
      <c r="AJ1073" s="36" t="e">
        <v>#REF!</v>
      </c>
    </row>
    <row r="1074" spans="1:36">
      <c r="A1074" s="19" t="s">
        <v>1865</v>
      </c>
      <c r="B1074" s="20"/>
      <c r="C1074" s="19" t="s">
        <v>562</v>
      </c>
      <c r="D1074" s="19" t="s">
        <v>563</v>
      </c>
      <c r="E1074" s="19" t="s">
        <v>114</v>
      </c>
      <c r="F1074" s="19" t="s">
        <v>115</v>
      </c>
      <c r="G1074" s="19"/>
      <c r="H1074" s="20">
        <v>2022</v>
      </c>
      <c r="I1074" s="19" t="s">
        <v>41</v>
      </c>
      <c r="J1074" s="19" t="s">
        <v>1848</v>
      </c>
      <c r="K1074" s="21" t="s">
        <v>1849</v>
      </c>
      <c r="L1074" s="22" t="s">
        <v>60</v>
      </c>
      <c r="M1074" s="23" t="s">
        <v>61</v>
      </c>
      <c r="N1074" s="25" t="s">
        <v>1850</v>
      </c>
      <c r="O1074" s="25" t="s">
        <v>710</v>
      </c>
      <c r="P1074" s="26">
        <f ca="1">IFERROR(VLOOKUP(DadosViagem5[[#This Row],[Placa]],[1]BIP!A:E,5,FALSE),"")</f>
        <v>45986</v>
      </c>
      <c r="Q1074" s="27">
        <f ca="1">DATEDIF(DadosViagem5[[#This Row],[BIP]],TODAY(),"D")</f>
        <v>4</v>
      </c>
      <c r="R1074" s="28" t="str">
        <f>IFERROR(VLOOKUP(DadosViagem5[[#This Row],[Placa]],[1]DDS!B:C,2,FALSE),"Verificar cadastro")</f>
        <v>Manutenção</v>
      </c>
      <c r="S1074" s="29" t="s">
        <v>48</v>
      </c>
      <c r="T1074" s="23"/>
      <c r="U1074" s="30"/>
      <c r="V1074" s="31"/>
      <c r="W1074" s="32"/>
      <c r="X1074" s="33"/>
      <c r="Y1074" s="34"/>
      <c r="Z1074" s="32"/>
      <c r="AA1074" s="20" t="s">
        <v>49</v>
      </c>
      <c r="AB1074" s="20" t="s">
        <v>49</v>
      </c>
      <c r="AC1074" s="19" t="s">
        <v>49</v>
      </c>
      <c r="AD1074" s="19" t="str">
        <f ca="1">IFERROR(DATEDIF(DadosViagem5[[#This Row],[Utimo Bip Reserva]],TODAY(),"D"),"")</f>
        <v/>
      </c>
      <c r="AE1074" s="36" t="s">
        <v>49</v>
      </c>
      <c r="AF1074" s="25" t="s">
        <v>49</v>
      </c>
      <c r="AG1074" s="36"/>
      <c r="AH1074" s="25">
        <v>45807</v>
      </c>
      <c r="AI1074" s="36" t="str">
        <f>IF(DadosViagem5[[#This Row],[Dias em manutenção ]]&lt;5,"Dentro do Prazo","Fora do Prazo")</f>
        <v>Fora do Prazo</v>
      </c>
      <c r="AJ1074" s="36" t="e">
        <v>#REF!</v>
      </c>
    </row>
    <row r="1075" spans="1:36">
      <c r="A1075" s="19" t="s">
        <v>1866</v>
      </c>
      <c r="B1075" s="20"/>
      <c r="C1075" s="19" t="s">
        <v>74</v>
      </c>
      <c r="D1075" s="19" t="s">
        <v>52</v>
      </c>
      <c r="E1075" s="19" t="s">
        <v>75</v>
      </c>
      <c r="F1075" s="19" t="s">
        <v>76</v>
      </c>
      <c r="G1075" s="19"/>
      <c r="H1075" s="20">
        <v>2024</v>
      </c>
      <c r="I1075" s="19" t="s">
        <v>41</v>
      </c>
      <c r="J1075" s="19" t="s">
        <v>1848</v>
      </c>
      <c r="K1075" s="21" t="s">
        <v>1849</v>
      </c>
      <c r="L1075" s="22" t="s">
        <v>60</v>
      </c>
      <c r="M1075" s="23" t="s">
        <v>77</v>
      </c>
      <c r="N1075" s="25" t="s">
        <v>1850</v>
      </c>
      <c r="O1075" s="25" t="s">
        <v>710</v>
      </c>
      <c r="P1075" s="26">
        <f ca="1">IFERROR(VLOOKUP(DadosViagem5[[#This Row],[Placa]],[1]BIP!A:E,5,FALSE),"")</f>
        <v>45974</v>
      </c>
      <c r="Q1075" s="27">
        <f ca="1">DATEDIF(DadosViagem5[[#This Row],[BIP]],TODAY(),"D")</f>
        <v>16</v>
      </c>
      <c r="R1075" s="28" t="str">
        <f>IFERROR(VLOOKUP(DadosViagem5[[#This Row],[Placa]],[1]DDS!B:C,2,FALSE),"Verificar cadastro")</f>
        <v>Manutenção</v>
      </c>
      <c r="S1075" s="29" t="s">
        <v>48</v>
      </c>
      <c r="T1075" s="23"/>
      <c r="U1075" s="30"/>
      <c r="V1075" s="31"/>
      <c r="W1075" s="32" t="s">
        <v>152</v>
      </c>
      <c r="X1075" s="33"/>
      <c r="Y1075" s="34"/>
      <c r="Z1075" s="32"/>
      <c r="AA1075" s="20" t="s">
        <v>49</v>
      </c>
      <c r="AB1075" s="20" t="s">
        <v>49</v>
      </c>
      <c r="AC1075" s="19" t="s">
        <v>49</v>
      </c>
      <c r="AD1075" s="19" t="str">
        <f ca="1">IFERROR(DATEDIF(DadosViagem5[[#This Row],[Utimo Bip Reserva]],TODAY(),"D"),"")</f>
        <v/>
      </c>
      <c r="AE1075" s="36"/>
      <c r="AF1075" s="25"/>
      <c r="AG1075" s="30"/>
      <c r="AH1075" s="25">
        <v>45807</v>
      </c>
      <c r="AI1075" s="36" t="str">
        <f>IF(DadosViagem5[[#This Row],[Dias em manutenção ]]&lt;5,"Dentro do Prazo","Fora do Prazo")</f>
        <v>Fora do Prazo</v>
      </c>
      <c r="AJ1075" s="36" t="e">
        <v>#REF!</v>
      </c>
    </row>
    <row r="1076" spans="1:36">
      <c r="A1076" s="19" t="s">
        <v>1867</v>
      </c>
      <c r="B1076" s="20"/>
      <c r="C1076" s="19" t="s">
        <v>74</v>
      </c>
      <c r="D1076" s="19" t="s">
        <v>52</v>
      </c>
      <c r="E1076" s="19" t="s">
        <v>75</v>
      </c>
      <c r="F1076" s="19" t="s">
        <v>76</v>
      </c>
      <c r="G1076" s="19"/>
      <c r="H1076" s="20">
        <v>2024</v>
      </c>
      <c r="I1076" s="19" t="s">
        <v>41</v>
      </c>
      <c r="J1076" s="19" t="s">
        <v>1848</v>
      </c>
      <c r="K1076" s="21" t="s">
        <v>1849</v>
      </c>
      <c r="L1076" s="22" t="s">
        <v>60</v>
      </c>
      <c r="M1076" s="23" t="s">
        <v>77</v>
      </c>
      <c r="N1076" s="25" t="s">
        <v>1850</v>
      </c>
      <c r="O1076" s="25" t="s">
        <v>710</v>
      </c>
      <c r="P1076" s="26">
        <f ca="1">IFERROR(VLOOKUP(DadosViagem5[[#This Row],[Placa]],[1]BIP!A:E,5,FALSE),"")</f>
        <v>45989</v>
      </c>
      <c r="Q1076" s="27">
        <f ca="1">DATEDIF(DadosViagem5[[#This Row],[BIP]],TODAY(),"D")</f>
        <v>1</v>
      </c>
      <c r="R1076" s="28" t="str">
        <f>IFERROR(VLOOKUP(DadosViagem5[[#This Row],[Placa]],[1]DDS!B:C,2,FALSE),"Verificar cadastro")</f>
        <v>Operando</v>
      </c>
      <c r="S1076" s="29" t="s">
        <v>48</v>
      </c>
      <c r="T1076" s="23"/>
      <c r="U1076" s="30"/>
      <c r="V1076" s="31"/>
      <c r="W1076" s="32"/>
      <c r="X1076" s="33"/>
      <c r="Y1076" s="34"/>
      <c r="Z1076" s="32"/>
      <c r="AA1076" s="20" t="s">
        <v>49</v>
      </c>
      <c r="AB1076" s="20" t="s">
        <v>49</v>
      </c>
      <c r="AC1076" s="19" t="s">
        <v>49</v>
      </c>
      <c r="AD1076" s="19" t="str">
        <f ca="1">IFERROR(DATEDIF(DadosViagem5[[#This Row],[Utimo Bip Reserva]],TODAY(),"D"),"")</f>
        <v/>
      </c>
      <c r="AE1076" s="36"/>
      <c r="AF1076" s="25"/>
      <c r="AG1076" s="36"/>
      <c r="AH1076" s="25">
        <v>45807</v>
      </c>
      <c r="AI1076" s="36" t="str">
        <f>IF(DadosViagem5[[#This Row],[Dias em manutenção ]]&lt;5,"Dentro do Prazo","Fora do Prazo")</f>
        <v>Fora do Prazo</v>
      </c>
      <c r="AJ1076" s="36" t="e">
        <v>#REF!</v>
      </c>
    </row>
    <row r="1077" spans="1:36">
      <c r="A1077" s="19" t="s">
        <v>1868</v>
      </c>
      <c r="B1077" s="20"/>
      <c r="C1077" s="19" t="s">
        <v>74</v>
      </c>
      <c r="D1077" s="19" t="s">
        <v>52</v>
      </c>
      <c r="E1077" s="19" t="s">
        <v>57</v>
      </c>
      <c r="F1077" s="19" t="s">
        <v>115</v>
      </c>
      <c r="G1077" s="19"/>
      <c r="H1077" s="20">
        <v>2022</v>
      </c>
      <c r="I1077" s="19" t="s">
        <v>41</v>
      </c>
      <c r="J1077" s="19" t="s">
        <v>1848</v>
      </c>
      <c r="K1077" s="21" t="s">
        <v>1849</v>
      </c>
      <c r="L1077" s="22" t="s">
        <v>60</v>
      </c>
      <c r="M1077" s="23" t="s">
        <v>77</v>
      </c>
      <c r="N1077" s="25" t="s">
        <v>1850</v>
      </c>
      <c r="O1077" s="25" t="s">
        <v>710</v>
      </c>
      <c r="P1077" s="26">
        <f ca="1">IFERROR(VLOOKUP(DadosViagem5[[#This Row],[Placa]],[1]BIP!A:E,5,FALSE),"")</f>
        <v>45989</v>
      </c>
      <c r="Q1077" s="27">
        <f ca="1">DATEDIF(DadosViagem5[[#This Row],[BIP]],TODAY(),"D")</f>
        <v>1</v>
      </c>
      <c r="R1077" s="28" t="str">
        <f>IFERROR(VLOOKUP(DadosViagem5[[#This Row],[Placa]],[1]DDS!B:C,2,FALSE),"Verificar cadastro")</f>
        <v>Operando</v>
      </c>
      <c r="S1077" s="29" t="s">
        <v>48</v>
      </c>
      <c r="T1077" s="23"/>
      <c r="U1077" s="30"/>
      <c r="V1077" s="31"/>
      <c r="W1077" s="32"/>
      <c r="X1077" s="33"/>
      <c r="Y1077" s="34"/>
      <c r="Z1077" s="32"/>
      <c r="AA1077" s="20" t="s">
        <v>49</v>
      </c>
      <c r="AB1077" s="20" t="s">
        <v>49</v>
      </c>
      <c r="AC1077" s="19" t="s">
        <v>49</v>
      </c>
      <c r="AD1077" s="19" t="str">
        <f ca="1">IFERROR(DATEDIF(DadosViagem5[[#This Row],[Utimo Bip Reserva]],TODAY(),"D"),"")</f>
        <v/>
      </c>
      <c r="AE1077" s="35" t="s">
        <v>49</v>
      </c>
      <c r="AF1077" s="35" t="s">
        <v>49</v>
      </c>
      <c r="AG1077" s="36"/>
      <c r="AH1077" s="25">
        <v>45807</v>
      </c>
      <c r="AI1077" s="36" t="str">
        <f>IF(DadosViagem5[[#This Row],[Dias em manutenção ]]&lt;5,"Dentro do Prazo","Fora do Prazo")</f>
        <v>Fora do Prazo</v>
      </c>
      <c r="AJ1077" s="36" t="e">
        <v>#REF!</v>
      </c>
    </row>
    <row r="1078" spans="1:36">
      <c r="A1078" s="19" t="s">
        <v>1869</v>
      </c>
      <c r="B1078" s="20"/>
      <c r="C1078" s="19" t="s">
        <v>562</v>
      </c>
      <c r="D1078" s="19" t="s">
        <v>563</v>
      </c>
      <c r="E1078" s="19" t="s">
        <v>114</v>
      </c>
      <c r="F1078" s="19" t="s">
        <v>115</v>
      </c>
      <c r="G1078" s="19"/>
      <c r="H1078" s="20">
        <v>2022</v>
      </c>
      <c r="I1078" s="19" t="s">
        <v>41</v>
      </c>
      <c r="J1078" s="19" t="s">
        <v>1848</v>
      </c>
      <c r="K1078" s="21" t="s">
        <v>1849</v>
      </c>
      <c r="L1078" s="22" t="s">
        <v>60</v>
      </c>
      <c r="M1078" s="23" t="s">
        <v>61</v>
      </c>
      <c r="N1078" s="25" t="s">
        <v>1850</v>
      </c>
      <c r="O1078" s="25" t="s">
        <v>710</v>
      </c>
      <c r="P1078" s="26">
        <f ca="1">IFERROR(VLOOKUP(DadosViagem5[[#This Row],[Placa]],[1]BIP!A:E,5,FALSE),"")</f>
        <v>45985</v>
      </c>
      <c r="Q1078" s="27">
        <f ca="1">DATEDIF(DadosViagem5[[#This Row],[BIP]],TODAY(),"D")</f>
        <v>5</v>
      </c>
      <c r="R1078" s="28" t="str">
        <f>IFERROR(VLOOKUP(DadosViagem5[[#This Row],[Placa]],[1]DDS!B:C,2,FALSE),"Verificar cadastro")</f>
        <v>Manutenção</v>
      </c>
      <c r="S1078" s="29" t="s">
        <v>48</v>
      </c>
      <c r="T1078" s="23"/>
      <c r="U1078" s="30"/>
      <c r="V1078" s="31"/>
      <c r="W1078" s="32" t="s">
        <v>1870</v>
      </c>
      <c r="X1078" s="33"/>
      <c r="Y1078" s="34"/>
      <c r="Z1078" s="32"/>
      <c r="AA1078" s="20" t="s">
        <v>49</v>
      </c>
      <c r="AB1078" s="20" t="s">
        <v>49</v>
      </c>
      <c r="AC1078" s="19" t="s">
        <v>49</v>
      </c>
      <c r="AD1078" s="19" t="str">
        <f ca="1">IFERROR(DATEDIF(DadosViagem5[[#This Row],[Utimo Bip Reserva]],TODAY(),"D"),"")</f>
        <v/>
      </c>
      <c r="AE1078" s="36" t="s">
        <v>1871</v>
      </c>
      <c r="AF1078" s="25" t="s">
        <v>49</v>
      </c>
      <c r="AG1078" s="36"/>
      <c r="AH1078" s="25">
        <v>45807</v>
      </c>
      <c r="AI1078" s="36" t="str">
        <f>IF(DadosViagem5[[#This Row],[Dias em manutenção ]]&lt;5,"Dentro do Prazo","Fora do Prazo")</f>
        <v>Fora do Prazo</v>
      </c>
      <c r="AJ1078" s="36" t="e">
        <v>#REF!</v>
      </c>
    </row>
    <row r="1079" spans="1:36">
      <c r="A1079" s="19" t="s">
        <v>1872</v>
      </c>
      <c r="B1079" s="20"/>
      <c r="C1079" s="19" t="s">
        <v>131</v>
      </c>
      <c r="D1079" s="19" t="s">
        <v>132</v>
      </c>
      <c r="E1079" s="19" t="s">
        <v>114</v>
      </c>
      <c r="F1079" s="19" t="s">
        <v>115</v>
      </c>
      <c r="G1079" s="19"/>
      <c r="H1079" s="20">
        <v>2022</v>
      </c>
      <c r="I1079" s="19" t="s">
        <v>41</v>
      </c>
      <c r="J1079" s="19" t="s">
        <v>1848</v>
      </c>
      <c r="K1079" s="21" t="s">
        <v>1849</v>
      </c>
      <c r="L1079" s="22" t="s">
        <v>60</v>
      </c>
      <c r="M1079" s="23" t="s">
        <v>61</v>
      </c>
      <c r="N1079" s="25" t="s">
        <v>1850</v>
      </c>
      <c r="O1079" s="25" t="s">
        <v>710</v>
      </c>
      <c r="P1079" s="26">
        <f ca="1">IFERROR(VLOOKUP(DadosViagem5[[#This Row],[Placa]],[1]BIP!A:E,5,FALSE),"")</f>
        <v>45989</v>
      </c>
      <c r="Q1079" s="27">
        <f ca="1">DATEDIF(DadosViagem5[[#This Row],[BIP]],TODAY(),"D")</f>
        <v>1</v>
      </c>
      <c r="R1079" s="28" t="str">
        <f>IFERROR(VLOOKUP(DadosViagem5[[#This Row],[Placa]],[1]DDS!B:C,2,FALSE),"Verificar cadastro")</f>
        <v>Operando</v>
      </c>
      <c r="S1079" s="29" t="s">
        <v>48</v>
      </c>
      <c r="T1079" s="23"/>
      <c r="U1079" s="30"/>
      <c r="V1079" s="31"/>
      <c r="W1079" s="32"/>
      <c r="X1079" s="33"/>
      <c r="Y1079" s="34"/>
      <c r="Z1079" s="32"/>
      <c r="AA1079" s="20" t="s">
        <v>49</v>
      </c>
      <c r="AB1079" s="20" t="s">
        <v>49</v>
      </c>
      <c r="AC1079" s="19" t="s">
        <v>49</v>
      </c>
      <c r="AD1079" s="19" t="str">
        <f ca="1">IFERROR(DATEDIF(DadosViagem5[[#This Row],[Utimo Bip Reserva]],TODAY(),"D"),"")</f>
        <v/>
      </c>
      <c r="AE1079" s="36" t="s">
        <v>49</v>
      </c>
      <c r="AF1079" s="25" t="s">
        <v>49</v>
      </c>
      <c r="AG1079" s="36"/>
      <c r="AH1079" s="25">
        <v>45807</v>
      </c>
      <c r="AI1079" s="36" t="str">
        <f>IF(DadosViagem5[[#This Row],[Dias em manutenção ]]&lt;5,"Dentro do Prazo","Fora do Prazo")</f>
        <v>Fora do Prazo</v>
      </c>
      <c r="AJ1079" s="36" t="e">
        <v>#REF!</v>
      </c>
    </row>
    <row r="1080" spans="1:36">
      <c r="A1080" s="19" t="s">
        <v>1873</v>
      </c>
      <c r="B1080" s="20"/>
      <c r="C1080" s="19" t="s">
        <v>671</v>
      </c>
      <c r="D1080" s="19" t="s">
        <v>132</v>
      </c>
      <c r="E1080" s="19" t="s">
        <v>114</v>
      </c>
      <c r="F1080" s="19" t="s">
        <v>115</v>
      </c>
      <c r="G1080" s="19"/>
      <c r="H1080" s="20">
        <v>2022</v>
      </c>
      <c r="I1080" s="19" t="s">
        <v>41</v>
      </c>
      <c r="J1080" s="19" t="s">
        <v>1848</v>
      </c>
      <c r="K1080" s="21" t="s">
        <v>1849</v>
      </c>
      <c r="L1080" s="22" t="s">
        <v>60</v>
      </c>
      <c r="M1080" s="23" t="s">
        <v>61</v>
      </c>
      <c r="N1080" s="25" t="s">
        <v>1850</v>
      </c>
      <c r="O1080" s="25" t="s">
        <v>710</v>
      </c>
      <c r="P1080" s="26">
        <f ca="1">IFERROR(VLOOKUP(DadosViagem5[[#This Row],[Placa]],[1]BIP!A:E,5,FALSE),"")</f>
        <v>45989</v>
      </c>
      <c r="Q1080" s="27">
        <f ca="1">DATEDIF(DadosViagem5[[#This Row],[BIP]],TODAY(),"D")</f>
        <v>1</v>
      </c>
      <c r="R1080" s="28" t="str">
        <f>IFERROR(VLOOKUP(DadosViagem5[[#This Row],[Placa]],[1]DDS!B:C,2,FALSE),"Verificar cadastro")</f>
        <v>Sem operação</v>
      </c>
      <c r="S1080" s="29" t="s">
        <v>48</v>
      </c>
      <c r="T1080" s="23"/>
      <c r="U1080" s="30"/>
      <c r="V1080" s="31"/>
      <c r="W1080" s="32"/>
      <c r="X1080" s="33"/>
      <c r="Y1080" s="34"/>
      <c r="Z1080" s="32"/>
      <c r="AA1080" s="20" t="s">
        <v>49</v>
      </c>
      <c r="AB1080" s="20" t="s">
        <v>49</v>
      </c>
      <c r="AC1080" s="19" t="s">
        <v>49</v>
      </c>
      <c r="AD1080" s="19" t="str">
        <f ca="1">IFERROR(DATEDIF(DadosViagem5[[#This Row],[Utimo Bip Reserva]],TODAY(),"D"),"")</f>
        <v/>
      </c>
      <c r="AE1080" s="36" t="s">
        <v>49</v>
      </c>
      <c r="AF1080" s="25" t="s">
        <v>49</v>
      </c>
      <c r="AG1080" s="36"/>
      <c r="AH1080" s="25">
        <v>45807</v>
      </c>
      <c r="AI1080" s="36" t="str">
        <f>IF(DadosViagem5[[#This Row],[Dias em manutenção ]]&lt;5,"Dentro do Prazo","Fora do Prazo")</f>
        <v>Fora do Prazo</v>
      </c>
      <c r="AJ1080" s="36" t="e">
        <v>#REF!</v>
      </c>
    </row>
    <row r="1081" spans="1:36">
      <c r="A1081" s="19" t="s">
        <v>1874</v>
      </c>
      <c r="B1081" s="20"/>
      <c r="C1081" s="19" t="s">
        <v>671</v>
      </c>
      <c r="D1081" s="19" t="s">
        <v>132</v>
      </c>
      <c r="E1081" s="19" t="s">
        <v>114</v>
      </c>
      <c r="F1081" s="19" t="s">
        <v>115</v>
      </c>
      <c r="G1081" s="19"/>
      <c r="H1081" s="20">
        <v>2022</v>
      </c>
      <c r="I1081" s="19" t="s">
        <v>41</v>
      </c>
      <c r="J1081" s="19" t="s">
        <v>1848</v>
      </c>
      <c r="K1081" s="21" t="s">
        <v>1849</v>
      </c>
      <c r="L1081" s="22" t="s">
        <v>60</v>
      </c>
      <c r="M1081" s="23" t="s">
        <v>61</v>
      </c>
      <c r="N1081" s="25" t="s">
        <v>1850</v>
      </c>
      <c r="O1081" s="25" t="s">
        <v>710</v>
      </c>
      <c r="P1081" s="26">
        <f ca="1">IFERROR(VLOOKUP(DadosViagem5[[#This Row],[Placa]],[1]BIP!A:E,5,FALSE),"")</f>
        <v>45980</v>
      </c>
      <c r="Q1081" s="27">
        <f ca="1">DATEDIF(DadosViagem5[[#This Row],[BIP]],TODAY(),"D")</f>
        <v>10</v>
      </c>
      <c r="R1081" s="28" t="str">
        <f>IFERROR(VLOOKUP(DadosViagem5[[#This Row],[Placa]],[1]DDS!B:C,2,FALSE),"Verificar cadastro")</f>
        <v>Manutenção</v>
      </c>
      <c r="S1081" s="29" t="s">
        <v>48</v>
      </c>
      <c r="T1081" s="23"/>
      <c r="U1081" s="30"/>
      <c r="V1081" s="31"/>
      <c r="W1081" s="32"/>
      <c r="X1081" s="33"/>
      <c r="Y1081" s="34"/>
      <c r="Z1081" s="32"/>
      <c r="AA1081" s="20" t="s">
        <v>49</v>
      </c>
      <c r="AB1081" s="20" t="s">
        <v>49</v>
      </c>
      <c r="AC1081" s="19" t="s">
        <v>49</v>
      </c>
      <c r="AD1081" s="19" t="str">
        <f ca="1">IFERROR(DATEDIF(DadosViagem5[[#This Row],[Utimo Bip Reserva]],TODAY(),"D"),"")</f>
        <v/>
      </c>
      <c r="AE1081" s="36" t="s">
        <v>49</v>
      </c>
      <c r="AF1081" s="25" t="s">
        <v>49</v>
      </c>
      <c r="AG1081" s="36"/>
      <c r="AH1081" s="25">
        <v>45807</v>
      </c>
      <c r="AI1081" s="36" t="str">
        <f>IF(DadosViagem5[[#This Row],[Dias em manutenção ]]&lt;5,"Dentro do Prazo","Fora do Prazo")</f>
        <v>Fora do Prazo</v>
      </c>
      <c r="AJ1081" s="36" t="e">
        <v>#REF!</v>
      </c>
    </row>
    <row r="1082" spans="1:36">
      <c r="A1082" s="19" t="s">
        <v>1875</v>
      </c>
      <c r="B1082" s="20"/>
      <c r="C1082" s="19" t="s">
        <v>74</v>
      </c>
      <c r="D1082" s="19" t="s">
        <v>52</v>
      </c>
      <c r="E1082" s="19" t="s">
        <v>75</v>
      </c>
      <c r="F1082" s="19" t="s">
        <v>115</v>
      </c>
      <c r="G1082" s="19"/>
      <c r="H1082" s="20">
        <v>2024</v>
      </c>
      <c r="I1082" s="19" t="s">
        <v>41</v>
      </c>
      <c r="J1082" s="19" t="s">
        <v>1848</v>
      </c>
      <c r="K1082" s="21" t="s">
        <v>1849</v>
      </c>
      <c r="L1082" s="22" t="s">
        <v>60</v>
      </c>
      <c r="M1082" s="23" t="s">
        <v>77</v>
      </c>
      <c r="N1082" s="25" t="s">
        <v>1850</v>
      </c>
      <c r="O1082" s="25" t="s">
        <v>710</v>
      </c>
      <c r="P1082" s="26">
        <f ca="1">IFERROR(VLOOKUP(DadosViagem5[[#This Row],[Placa]],[1]BIP!A:E,5,FALSE),"")</f>
        <v>45989</v>
      </c>
      <c r="Q1082" s="27">
        <f ca="1">DATEDIF(DadosViagem5[[#This Row],[BIP]],TODAY(),"D")</f>
        <v>1</v>
      </c>
      <c r="R1082" s="28" t="str">
        <f>IFERROR(VLOOKUP(DadosViagem5[[#This Row],[Placa]],[1]DDS!B:C,2,FALSE),"Verificar cadastro")</f>
        <v>Operando</v>
      </c>
      <c r="S1082" s="29" t="s">
        <v>48</v>
      </c>
      <c r="T1082" s="23"/>
      <c r="U1082" s="30"/>
      <c r="V1082" s="31"/>
      <c r="W1082" s="32"/>
      <c r="X1082" s="33"/>
      <c r="Y1082" s="34"/>
      <c r="Z1082" s="32"/>
      <c r="AA1082" s="20" t="s">
        <v>49</v>
      </c>
      <c r="AB1082" s="20" t="s">
        <v>49</v>
      </c>
      <c r="AC1082" s="19" t="s">
        <v>49</v>
      </c>
      <c r="AD1082" s="19" t="str">
        <f ca="1">IFERROR(DATEDIF(DadosViagem5[[#This Row],[Utimo Bip Reserva]],TODAY(),"D"),"")</f>
        <v/>
      </c>
      <c r="AE1082" s="36"/>
      <c r="AF1082" s="25"/>
      <c r="AG1082" s="36"/>
      <c r="AH1082" s="25">
        <v>45807</v>
      </c>
      <c r="AI1082" s="36" t="str">
        <f>IF(DadosViagem5[[#This Row],[Dias em manutenção ]]&lt;5,"Dentro do Prazo","Fora do Prazo")</f>
        <v>Fora do Prazo</v>
      </c>
      <c r="AJ1082" s="36" t="e">
        <v>#REF!</v>
      </c>
    </row>
    <row r="1083" spans="1:36">
      <c r="A1083" s="19" t="s">
        <v>1876</v>
      </c>
      <c r="B1083" s="20"/>
      <c r="C1083" s="19" t="s">
        <v>74</v>
      </c>
      <c r="D1083" s="19" t="s">
        <v>52</v>
      </c>
      <c r="E1083" s="19" t="s">
        <v>75</v>
      </c>
      <c r="F1083" s="19" t="s">
        <v>115</v>
      </c>
      <c r="G1083" s="19"/>
      <c r="H1083" s="20">
        <v>2024</v>
      </c>
      <c r="I1083" s="19" t="s">
        <v>41</v>
      </c>
      <c r="J1083" s="19" t="s">
        <v>1848</v>
      </c>
      <c r="K1083" s="38" t="s">
        <v>1849</v>
      </c>
      <c r="L1083" s="22" t="s">
        <v>60</v>
      </c>
      <c r="M1083" s="23" t="s">
        <v>77</v>
      </c>
      <c r="N1083" s="25" t="s">
        <v>1850</v>
      </c>
      <c r="O1083" s="25" t="s">
        <v>710</v>
      </c>
      <c r="P1083" s="26">
        <f ca="1">IFERROR(VLOOKUP(DadosViagem5[[#This Row],[Placa]],[1]BIP!A:E,5,FALSE),"")</f>
        <v>45986</v>
      </c>
      <c r="Q1083" s="27">
        <f ca="1">DATEDIF(DadosViagem5[[#This Row],[BIP]],TODAY(),"D")</f>
        <v>4</v>
      </c>
      <c r="R1083" s="28" t="str">
        <f>IFERROR(VLOOKUP(DadosViagem5[[#This Row],[Placa]],[1]DDS!B:C,2,FALSE),"Verificar cadastro")</f>
        <v>Manutenção</v>
      </c>
      <c r="S1083" s="29" t="s">
        <v>48</v>
      </c>
      <c r="T1083" s="23"/>
      <c r="U1083" s="30"/>
      <c r="V1083" s="31"/>
      <c r="W1083" s="32"/>
      <c r="X1083" s="33"/>
      <c r="Y1083" s="34"/>
      <c r="Z1083" s="32"/>
      <c r="AA1083" s="20" t="s">
        <v>49</v>
      </c>
      <c r="AB1083" s="20" t="s">
        <v>49</v>
      </c>
      <c r="AC1083" s="19" t="s">
        <v>49</v>
      </c>
      <c r="AD1083" s="19" t="str">
        <f ca="1">IFERROR(DATEDIF(DadosViagem5[[#This Row],[Utimo Bip Reserva]],TODAY(),"D"),"")</f>
        <v/>
      </c>
      <c r="AE1083" s="36"/>
      <c r="AF1083" s="25"/>
      <c r="AG1083" s="36"/>
      <c r="AH1083" s="25">
        <v>45807</v>
      </c>
      <c r="AI1083" s="36" t="str">
        <f>IF(DadosViagem5[[#This Row],[Dias em manutenção ]]&lt;5,"Dentro do Prazo","Fora do Prazo")</f>
        <v>Fora do Prazo</v>
      </c>
      <c r="AJ1083" s="36" t="e">
        <v>#REF!</v>
      </c>
    </row>
    <row r="1084" spans="1:36">
      <c r="A1084" s="19" t="s">
        <v>1877</v>
      </c>
      <c r="B1084" s="20"/>
      <c r="C1084" s="19" t="s">
        <v>74</v>
      </c>
      <c r="D1084" s="19" t="s">
        <v>52</v>
      </c>
      <c r="E1084" s="19" t="s">
        <v>75</v>
      </c>
      <c r="F1084" s="19" t="s">
        <v>115</v>
      </c>
      <c r="G1084" s="19"/>
      <c r="H1084" s="20">
        <v>2024</v>
      </c>
      <c r="I1084" s="37" t="s">
        <v>41</v>
      </c>
      <c r="J1084" s="37" t="s">
        <v>1848</v>
      </c>
      <c r="K1084" s="38" t="s">
        <v>1849</v>
      </c>
      <c r="L1084" s="39" t="s">
        <v>60</v>
      </c>
      <c r="M1084" s="23" t="s">
        <v>77</v>
      </c>
      <c r="N1084" s="40" t="s">
        <v>1850</v>
      </c>
      <c r="O1084" s="40" t="s">
        <v>710</v>
      </c>
      <c r="P1084" s="26">
        <f ca="1">IFERROR(VLOOKUP(DadosViagem5[[#This Row],[Placa]],[1]BIP!A:E,5,FALSE),"")</f>
        <v>45989</v>
      </c>
      <c r="Q1084" s="27">
        <f ca="1">DATEDIF(DadosViagem5[[#This Row],[BIP]],TODAY(),"D")</f>
        <v>1</v>
      </c>
      <c r="R1084" s="28" t="str">
        <f>IFERROR(VLOOKUP(DadosViagem5[[#This Row],[Placa]],[1]DDS!B:C,2,FALSE),"Verificar cadastro")</f>
        <v>Operando</v>
      </c>
      <c r="S1084" s="29" t="s">
        <v>48</v>
      </c>
      <c r="T1084" s="23" t="s">
        <v>55</v>
      </c>
      <c r="U1084" s="30"/>
      <c r="V1084" s="31"/>
      <c r="W1084" s="32"/>
      <c r="X1084" s="33"/>
      <c r="Y1084" s="34"/>
      <c r="Z1084" s="32"/>
      <c r="AA1084" s="20" t="s">
        <v>49</v>
      </c>
      <c r="AB1084" s="20" t="s">
        <v>49</v>
      </c>
      <c r="AC1084" s="19" t="s">
        <v>49</v>
      </c>
      <c r="AD1084" s="19" t="str">
        <f ca="1">IFERROR(DATEDIF(DadosViagem5[[#This Row],[Utimo Bip Reserva]],TODAY(),"D"),"")</f>
        <v/>
      </c>
      <c r="AE1084" s="36"/>
      <c r="AF1084" s="25"/>
      <c r="AG1084" s="36"/>
      <c r="AH1084" s="25">
        <v>45807</v>
      </c>
      <c r="AI1084" s="36" t="str">
        <f>IF(DadosViagem5[[#This Row],[Dias em manutenção ]]&lt;5,"Dentro do Prazo","Fora do Prazo")</f>
        <v>Fora do Prazo</v>
      </c>
      <c r="AJ1084" s="36" t="e">
        <v>#REF!</v>
      </c>
    </row>
    <row r="1085" spans="1:36">
      <c r="A1085" s="19" t="s">
        <v>1878</v>
      </c>
      <c r="B1085" s="20"/>
      <c r="C1085" s="19" t="s">
        <v>74</v>
      </c>
      <c r="D1085" s="19" t="s">
        <v>52</v>
      </c>
      <c r="E1085" s="19" t="s">
        <v>75</v>
      </c>
      <c r="F1085" s="19" t="s">
        <v>115</v>
      </c>
      <c r="G1085" s="19"/>
      <c r="H1085" s="20">
        <v>2024</v>
      </c>
      <c r="I1085" s="19" t="s">
        <v>41</v>
      </c>
      <c r="J1085" s="19" t="s">
        <v>1848</v>
      </c>
      <c r="K1085" s="21" t="s">
        <v>1849</v>
      </c>
      <c r="L1085" s="22" t="s">
        <v>60</v>
      </c>
      <c r="M1085" s="23" t="s">
        <v>77</v>
      </c>
      <c r="N1085" s="25" t="s">
        <v>1850</v>
      </c>
      <c r="O1085" s="25" t="s">
        <v>710</v>
      </c>
      <c r="P1085" s="26">
        <f ca="1">IFERROR(VLOOKUP(DadosViagem5[[#This Row],[Placa]],[1]BIP!A:E,5,FALSE),"")</f>
        <v>45989</v>
      </c>
      <c r="Q1085" s="27">
        <f ca="1">DATEDIF(DadosViagem5[[#This Row],[BIP]],TODAY(),"D")</f>
        <v>1</v>
      </c>
      <c r="R1085" s="28" t="str">
        <f>IFERROR(VLOOKUP(DadosViagem5[[#This Row],[Placa]],[1]DDS!B:C,2,FALSE),"Verificar cadastro")</f>
        <v>Operando</v>
      </c>
      <c r="S1085" s="29" t="s">
        <v>48</v>
      </c>
      <c r="T1085" s="23"/>
      <c r="U1085" s="30"/>
      <c r="V1085" s="31"/>
      <c r="W1085" s="32"/>
      <c r="X1085" s="33"/>
      <c r="Y1085" s="34"/>
      <c r="Z1085" s="32"/>
      <c r="AA1085" s="20" t="s">
        <v>49</v>
      </c>
      <c r="AB1085" s="20" t="s">
        <v>49</v>
      </c>
      <c r="AC1085" s="19" t="s">
        <v>49</v>
      </c>
      <c r="AD1085" s="19" t="str">
        <f ca="1">IFERROR(DATEDIF(DadosViagem5[[#This Row],[Utimo Bip Reserva]],TODAY(),"D"),"")</f>
        <v/>
      </c>
      <c r="AE1085" s="36"/>
      <c r="AF1085" s="25"/>
      <c r="AG1085" s="36"/>
      <c r="AH1085" s="25">
        <v>45807</v>
      </c>
      <c r="AI1085" s="36" t="str">
        <f>IF(DadosViagem5[[#This Row],[Dias em manutenção ]]&lt;5,"Dentro do Prazo","Fora do Prazo")</f>
        <v>Fora do Prazo</v>
      </c>
      <c r="AJ1085" s="36" t="e">
        <v>#REF!</v>
      </c>
    </row>
    <row r="1086" spans="1:36">
      <c r="A1086" s="19" t="s">
        <v>1879</v>
      </c>
      <c r="B1086" s="20"/>
      <c r="C1086" s="19" t="s">
        <v>74</v>
      </c>
      <c r="D1086" s="19" t="s">
        <v>52</v>
      </c>
      <c r="E1086" s="19" t="s">
        <v>75</v>
      </c>
      <c r="F1086" s="19" t="s">
        <v>115</v>
      </c>
      <c r="G1086" s="19"/>
      <c r="H1086" s="20">
        <v>2024</v>
      </c>
      <c r="I1086" s="19" t="s">
        <v>41</v>
      </c>
      <c r="J1086" s="19" t="s">
        <v>1848</v>
      </c>
      <c r="K1086" s="21" t="s">
        <v>1849</v>
      </c>
      <c r="L1086" s="22" t="s">
        <v>60</v>
      </c>
      <c r="M1086" s="23" t="s">
        <v>77</v>
      </c>
      <c r="N1086" s="25" t="s">
        <v>1850</v>
      </c>
      <c r="O1086" s="25" t="s">
        <v>710</v>
      </c>
      <c r="P1086" s="26">
        <f ca="1">IFERROR(VLOOKUP(DadosViagem5[[#This Row],[Placa]],[1]BIP!A:E,5,FALSE),"")</f>
        <v>45989</v>
      </c>
      <c r="Q1086" s="27">
        <f ca="1">DATEDIF(DadosViagem5[[#This Row],[BIP]],TODAY(),"D")</f>
        <v>1</v>
      </c>
      <c r="R1086" s="28" t="str">
        <f>IFERROR(VLOOKUP(DadosViagem5[[#This Row],[Placa]],[1]DDS!B:C,2,FALSE),"Verificar cadastro")</f>
        <v>Operando</v>
      </c>
      <c r="S1086" s="29" t="s">
        <v>48</v>
      </c>
      <c r="T1086" s="23"/>
      <c r="U1086" s="30"/>
      <c r="V1086" s="31"/>
      <c r="W1086" s="32"/>
      <c r="X1086" s="33"/>
      <c r="Y1086" s="34"/>
      <c r="Z1086" s="32"/>
      <c r="AA1086" s="20" t="s">
        <v>49</v>
      </c>
      <c r="AB1086" s="20" t="s">
        <v>49</v>
      </c>
      <c r="AC1086" s="19" t="s">
        <v>49</v>
      </c>
      <c r="AD1086" s="19" t="str">
        <f ca="1">IFERROR(DATEDIF(DadosViagem5[[#This Row],[Utimo Bip Reserva]],TODAY(),"D"),"")</f>
        <v/>
      </c>
      <c r="AE1086" s="36"/>
      <c r="AF1086" s="25"/>
      <c r="AG1086" s="36"/>
      <c r="AH1086" s="25">
        <v>45807</v>
      </c>
      <c r="AI1086" s="36" t="str">
        <f>IF(DadosViagem5[[#This Row],[Dias em manutenção ]]&lt;5,"Dentro do Prazo","Fora do Prazo")</f>
        <v>Fora do Prazo</v>
      </c>
      <c r="AJ1086" s="36" t="e">
        <v>#REF!</v>
      </c>
    </row>
    <row r="1087" spans="1:36">
      <c r="A1087" s="19" t="s">
        <v>1880</v>
      </c>
      <c r="B1087" s="20"/>
      <c r="C1087" s="19" t="s">
        <v>74</v>
      </c>
      <c r="D1087" s="19" t="s">
        <v>52</v>
      </c>
      <c r="E1087" s="19" t="s">
        <v>75</v>
      </c>
      <c r="F1087" s="19" t="s">
        <v>115</v>
      </c>
      <c r="G1087" s="19"/>
      <c r="H1087" s="20">
        <v>2024</v>
      </c>
      <c r="I1087" s="19" t="s">
        <v>41</v>
      </c>
      <c r="J1087" s="19" t="s">
        <v>1848</v>
      </c>
      <c r="K1087" s="21" t="s">
        <v>1849</v>
      </c>
      <c r="L1087" s="22" t="s">
        <v>60</v>
      </c>
      <c r="M1087" s="23" t="s">
        <v>77</v>
      </c>
      <c r="N1087" s="25" t="s">
        <v>1850</v>
      </c>
      <c r="O1087" s="25" t="s">
        <v>710</v>
      </c>
      <c r="P1087" s="26">
        <f ca="1">IFERROR(VLOOKUP(DadosViagem5[[#This Row],[Placa]],[1]BIP!A:E,5,FALSE),"")</f>
        <v>45978</v>
      </c>
      <c r="Q1087" s="27">
        <f ca="1">DATEDIF(DadosViagem5[[#This Row],[BIP]],TODAY(),"D")</f>
        <v>12</v>
      </c>
      <c r="R1087" s="28" t="str">
        <f>IFERROR(VLOOKUP(DadosViagem5[[#This Row],[Placa]],[1]DDS!B:C,2,FALSE),"Verificar cadastro")</f>
        <v>Manutenção</v>
      </c>
      <c r="S1087" s="29" t="s">
        <v>48</v>
      </c>
      <c r="T1087" s="23"/>
      <c r="U1087" s="30"/>
      <c r="V1087" s="31"/>
      <c r="W1087" s="32"/>
      <c r="X1087" s="33"/>
      <c r="Y1087" s="34"/>
      <c r="Z1087" s="32"/>
      <c r="AA1087" s="20" t="s">
        <v>49</v>
      </c>
      <c r="AB1087" s="20" t="s">
        <v>49</v>
      </c>
      <c r="AC1087" s="19" t="s">
        <v>49</v>
      </c>
      <c r="AD1087" s="19" t="str">
        <f ca="1">IFERROR(DATEDIF(DadosViagem5[[#This Row],[Utimo Bip Reserva]],TODAY(),"D"),"")</f>
        <v/>
      </c>
      <c r="AE1087" s="36"/>
      <c r="AF1087" s="25"/>
      <c r="AG1087" s="36"/>
      <c r="AH1087" s="25">
        <v>45807</v>
      </c>
      <c r="AI1087" s="36" t="str">
        <f>IF(DadosViagem5[[#This Row],[Dias em manutenção ]]&lt;5,"Dentro do Prazo","Fora do Prazo")</f>
        <v>Fora do Prazo</v>
      </c>
      <c r="AJ1087" s="36" t="e">
        <v>#REF!</v>
      </c>
    </row>
    <row r="1088" spans="1:36">
      <c r="A1088" s="19" t="s">
        <v>1881</v>
      </c>
      <c r="B1088" s="20"/>
      <c r="C1088" s="19" t="s">
        <v>74</v>
      </c>
      <c r="D1088" s="19" t="s">
        <v>52</v>
      </c>
      <c r="E1088" s="19" t="s">
        <v>75</v>
      </c>
      <c r="F1088" s="19" t="s">
        <v>115</v>
      </c>
      <c r="G1088" s="19"/>
      <c r="H1088" s="20">
        <v>2024</v>
      </c>
      <c r="I1088" s="19" t="s">
        <v>41</v>
      </c>
      <c r="J1088" s="19" t="s">
        <v>1848</v>
      </c>
      <c r="K1088" s="21" t="s">
        <v>1849</v>
      </c>
      <c r="L1088" s="22" t="s">
        <v>60</v>
      </c>
      <c r="M1088" s="23" t="s">
        <v>77</v>
      </c>
      <c r="N1088" s="25" t="s">
        <v>1850</v>
      </c>
      <c r="O1088" s="25" t="s">
        <v>710</v>
      </c>
      <c r="P1088" s="26">
        <f ca="1">IFERROR(VLOOKUP(DadosViagem5[[#This Row],[Placa]],[1]BIP!A:E,5,FALSE),"")</f>
        <v>45989</v>
      </c>
      <c r="Q1088" s="27">
        <f ca="1">DATEDIF(DadosViagem5[[#This Row],[BIP]],TODAY(),"D")</f>
        <v>1</v>
      </c>
      <c r="R1088" s="28" t="str">
        <f>IFERROR(VLOOKUP(DadosViagem5[[#This Row],[Placa]],[1]DDS!B:C,2,FALSE),"Verificar cadastro")</f>
        <v>Operando</v>
      </c>
      <c r="S1088" s="29" t="s">
        <v>48</v>
      </c>
      <c r="T1088" s="23"/>
      <c r="U1088" s="30"/>
      <c r="V1088" s="31"/>
      <c r="W1088" s="32"/>
      <c r="X1088" s="33"/>
      <c r="Y1088" s="34"/>
      <c r="Z1088" s="42"/>
      <c r="AA1088" s="20" t="s">
        <v>49</v>
      </c>
      <c r="AB1088" s="20" t="s">
        <v>49</v>
      </c>
      <c r="AC1088" s="19" t="s">
        <v>49</v>
      </c>
      <c r="AD1088" s="19" t="str">
        <f ca="1">IFERROR(DATEDIF(DadosViagem5[[#This Row],[Utimo Bip Reserva]],TODAY(),"D"),"")</f>
        <v/>
      </c>
      <c r="AE1088" s="36"/>
      <c r="AF1088" s="25"/>
      <c r="AG1088" s="36"/>
      <c r="AH1088" s="25">
        <v>45807</v>
      </c>
      <c r="AI1088" s="36" t="str">
        <f>IF(DadosViagem5[[#This Row],[Dias em manutenção ]]&lt;5,"Dentro do Prazo","Fora do Prazo")</f>
        <v>Fora do Prazo</v>
      </c>
      <c r="AJ1088" s="36" t="e">
        <v>#REF!</v>
      </c>
    </row>
    <row r="1089" spans="1:36">
      <c r="A1089" s="19" t="s">
        <v>1882</v>
      </c>
      <c r="B1089" s="20"/>
      <c r="C1089" s="19" t="s">
        <v>74</v>
      </c>
      <c r="D1089" s="19" t="s">
        <v>52</v>
      </c>
      <c r="E1089" s="19" t="s">
        <v>75</v>
      </c>
      <c r="F1089" s="19" t="s">
        <v>115</v>
      </c>
      <c r="G1089" s="19"/>
      <c r="H1089" s="20">
        <v>2024</v>
      </c>
      <c r="I1089" s="19" t="s">
        <v>41</v>
      </c>
      <c r="J1089" s="19" t="s">
        <v>1848</v>
      </c>
      <c r="K1089" s="21" t="s">
        <v>1849</v>
      </c>
      <c r="L1089" s="22" t="s">
        <v>60</v>
      </c>
      <c r="M1089" s="23" t="s">
        <v>77</v>
      </c>
      <c r="N1089" s="25" t="s">
        <v>1850</v>
      </c>
      <c r="O1089" s="25" t="s">
        <v>710</v>
      </c>
      <c r="P1089" s="26">
        <f ca="1">IFERROR(VLOOKUP(DadosViagem5[[#This Row],[Placa]],[1]BIP!A:E,5,FALSE),"")</f>
        <v>45989</v>
      </c>
      <c r="Q1089" s="27">
        <f ca="1">DATEDIF(DadosViagem5[[#This Row],[BIP]],TODAY(),"D")</f>
        <v>1</v>
      </c>
      <c r="R1089" s="28" t="str">
        <f>IFERROR(VLOOKUP(DadosViagem5[[#This Row],[Placa]],[1]DDS!B:C,2,FALSE),"Verificar cadastro")</f>
        <v>Operando</v>
      </c>
      <c r="S1089" s="29" t="s">
        <v>48</v>
      </c>
      <c r="T1089" s="23"/>
      <c r="U1089" s="30"/>
      <c r="V1089" s="31"/>
      <c r="W1089" s="32"/>
      <c r="X1089" s="33"/>
      <c r="Y1089" s="34"/>
      <c r="Z1089" s="32"/>
      <c r="AA1089" s="20" t="s">
        <v>49</v>
      </c>
      <c r="AB1089" s="20" t="s">
        <v>49</v>
      </c>
      <c r="AC1089" s="19" t="s">
        <v>49</v>
      </c>
      <c r="AD1089" s="19" t="str">
        <f ca="1">IFERROR(DATEDIF(DadosViagem5[[#This Row],[Utimo Bip Reserva]],TODAY(),"D"),"")</f>
        <v/>
      </c>
      <c r="AE1089" s="36"/>
      <c r="AF1089" s="25"/>
      <c r="AG1089" s="36"/>
      <c r="AH1089" s="25">
        <v>45807</v>
      </c>
      <c r="AI1089" s="36" t="str">
        <f>IF(DadosViagem5[[#This Row],[Dias em manutenção ]]&lt;5,"Dentro do Prazo","Fora do Prazo")</f>
        <v>Fora do Prazo</v>
      </c>
      <c r="AJ1089" s="36" t="e">
        <v>#REF!</v>
      </c>
    </row>
    <row r="1090" spans="1:36">
      <c r="A1090" s="19" t="s">
        <v>1883</v>
      </c>
      <c r="B1090" s="20"/>
      <c r="C1090" s="19" t="s">
        <v>131</v>
      </c>
      <c r="D1090" s="19" t="s">
        <v>132</v>
      </c>
      <c r="E1090" s="19" t="s">
        <v>114</v>
      </c>
      <c r="F1090" s="19" t="s">
        <v>115</v>
      </c>
      <c r="G1090" s="19"/>
      <c r="H1090" s="20">
        <v>2022</v>
      </c>
      <c r="I1090" s="19" t="s">
        <v>41</v>
      </c>
      <c r="J1090" s="19" t="s">
        <v>1848</v>
      </c>
      <c r="K1090" s="21" t="s">
        <v>1849</v>
      </c>
      <c r="L1090" s="22" t="s">
        <v>60</v>
      </c>
      <c r="M1090" s="23" t="s">
        <v>61</v>
      </c>
      <c r="N1090" s="25" t="s">
        <v>1850</v>
      </c>
      <c r="O1090" s="25" t="s">
        <v>710</v>
      </c>
      <c r="P1090" s="26">
        <f ca="1">IFERROR(VLOOKUP(DadosViagem5[[#This Row],[Placa]],[1]BIP!A:E,5,FALSE),"")</f>
        <v>45986</v>
      </c>
      <c r="Q1090" s="27">
        <f ca="1">DATEDIF(DadosViagem5[[#This Row],[BIP]],TODAY(),"D")</f>
        <v>4</v>
      </c>
      <c r="R1090" s="28" t="str">
        <f>IFERROR(VLOOKUP(DadosViagem5[[#This Row],[Placa]],[1]DDS!B:C,2,FALSE),"Verificar cadastro")</f>
        <v>Falta Motorista</v>
      </c>
      <c r="S1090" s="29" t="s">
        <v>48</v>
      </c>
      <c r="T1090" s="23"/>
      <c r="U1090" s="30"/>
      <c r="V1090" s="31"/>
      <c r="W1090" s="31"/>
      <c r="X1090" s="33"/>
      <c r="Y1090" s="34"/>
      <c r="Z1090" s="32"/>
      <c r="AA1090" s="20" t="s">
        <v>49</v>
      </c>
      <c r="AB1090" s="20" t="s">
        <v>49</v>
      </c>
      <c r="AC1090" s="19" t="s">
        <v>49</v>
      </c>
      <c r="AD1090" s="19" t="str">
        <f ca="1">IFERROR(DATEDIF(DadosViagem5[[#This Row],[Utimo Bip Reserva]],TODAY(),"D"),"")</f>
        <v/>
      </c>
      <c r="AE1090" s="36" t="s">
        <v>49</v>
      </c>
      <c r="AF1090" s="25" t="s">
        <v>49</v>
      </c>
      <c r="AG1090" s="36"/>
      <c r="AH1090" s="25">
        <v>45807</v>
      </c>
      <c r="AI1090" s="36" t="str">
        <f>IF(DadosViagem5[[#This Row],[Dias em manutenção ]]&lt;5,"Dentro do Prazo","Fora do Prazo")</f>
        <v>Fora do Prazo</v>
      </c>
      <c r="AJ1090" s="36" t="e">
        <v>#REF!</v>
      </c>
    </row>
    <row r="1091" spans="1:36">
      <c r="A1091" s="19" t="s">
        <v>1884</v>
      </c>
      <c r="B1091" s="20"/>
      <c r="C1091" s="19" t="s">
        <v>671</v>
      </c>
      <c r="D1091" s="19" t="s">
        <v>132</v>
      </c>
      <c r="E1091" s="19" t="s">
        <v>114</v>
      </c>
      <c r="F1091" s="19" t="s">
        <v>115</v>
      </c>
      <c r="G1091" s="19"/>
      <c r="H1091" s="20">
        <v>2022</v>
      </c>
      <c r="I1091" s="19" t="s">
        <v>41</v>
      </c>
      <c r="J1091" s="19" t="s">
        <v>1848</v>
      </c>
      <c r="K1091" s="21" t="s">
        <v>1849</v>
      </c>
      <c r="L1091" s="22" t="s">
        <v>60</v>
      </c>
      <c r="M1091" s="23" t="s">
        <v>61</v>
      </c>
      <c r="N1091" s="25" t="s">
        <v>1850</v>
      </c>
      <c r="O1091" s="25" t="s">
        <v>710</v>
      </c>
      <c r="P1091" s="26">
        <f ca="1">IFERROR(VLOOKUP(DadosViagem5[[#This Row],[Placa]],[1]BIP!A:E,5,FALSE),"")</f>
        <v>45989</v>
      </c>
      <c r="Q1091" s="27">
        <f ca="1">DATEDIF(DadosViagem5[[#This Row],[BIP]],TODAY(),"D")</f>
        <v>1</v>
      </c>
      <c r="R1091" s="28" t="str">
        <f>IFERROR(VLOOKUP(DadosViagem5[[#This Row],[Placa]],[1]DDS!B:C,2,FALSE),"Verificar cadastro")</f>
        <v>Operando</v>
      </c>
      <c r="S1091" s="29" t="s">
        <v>48</v>
      </c>
      <c r="T1091" s="23"/>
      <c r="U1091" s="30"/>
      <c r="V1091" s="31"/>
      <c r="W1091" s="32" t="s">
        <v>1885</v>
      </c>
      <c r="X1091" s="33"/>
      <c r="Y1091" s="34"/>
      <c r="Z1091" s="32"/>
      <c r="AA1091" s="20" t="s">
        <v>49</v>
      </c>
      <c r="AB1091" s="20" t="s">
        <v>49</v>
      </c>
      <c r="AC1091" s="19" t="s">
        <v>49</v>
      </c>
      <c r="AD1091" s="19" t="str">
        <f ca="1">IFERROR(DATEDIF(DadosViagem5[[#This Row],[Utimo Bip Reserva]],TODAY(),"D"),"")</f>
        <v/>
      </c>
      <c r="AE1091" s="36" t="s">
        <v>49</v>
      </c>
      <c r="AF1091" s="25" t="s">
        <v>49</v>
      </c>
      <c r="AG1091" s="36" t="s">
        <v>527</v>
      </c>
      <c r="AH1091" s="25">
        <v>45807</v>
      </c>
      <c r="AI1091" s="36" t="str">
        <f>IF(DadosViagem5[[#This Row],[Dias em manutenção ]]&lt;5,"Dentro do Prazo","Fora do Prazo")</f>
        <v>Fora do Prazo</v>
      </c>
      <c r="AJ1091" s="36" t="e">
        <v>#REF!</v>
      </c>
    </row>
    <row r="1092" spans="1:36">
      <c r="A1092" s="19" t="s">
        <v>1886</v>
      </c>
      <c r="B1092" s="20"/>
      <c r="C1092" s="19" t="s">
        <v>71</v>
      </c>
      <c r="D1092" s="19" t="s">
        <v>38</v>
      </c>
      <c r="E1092" s="19" t="s">
        <v>699</v>
      </c>
      <c r="F1092" s="19" t="s">
        <v>115</v>
      </c>
      <c r="G1092" s="19"/>
      <c r="H1092" s="20">
        <v>2023</v>
      </c>
      <c r="I1092" s="19" t="s">
        <v>41</v>
      </c>
      <c r="J1092" s="19" t="s">
        <v>1848</v>
      </c>
      <c r="K1092" s="21" t="s">
        <v>1849</v>
      </c>
      <c r="L1092" s="22" t="s">
        <v>60</v>
      </c>
      <c r="M1092" s="23" t="s">
        <v>61</v>
      </c>
      <c r="N1092" s="25" t="s">
        <v>1850</v>
      </c>
      <c r="O1092" s="25" t="s">
        <v>710</v>
      </c>
      <c r="P1092" s="26">
        <f ca="1">IFERROR(VLOOKUP(DadosViagem5[[#This Row],[Placa]],[1]BIP!A:E,5,FALSE),"")</f>
        <v>45989</v>
      </c>
      <c r="Q1092" s="27">
        <f ca="1">DATEDIF(DadosViagem5[[#This Row],[BIP]],TODAY(),"D")</f>
        <v>1</v>
      </c>
      <c r="R1092" s="28" t="str">
        <f>IFERROR(VLOOKUP(DadosViagem5[[#This Row],[Placa]],[1]DDS!B:C,2,FALSE),"Verificar cadastro")</f>
        <v>Operando</v>
      </c>
      <c r="S1092" s="29" t="s">
        <v>48</v>
      </c>
      <c r="T1092" s="23"/>
      <c r="U1092" s="30"/>
      <c r="V1092" s="31"/>
      <c r="W1092" s="32"/>
      <c r="X1092" s="33"/>
      <c r="Y1092" s="34"/>
      <c r="Z1092" s="32"/>
      <c r="AA1092" s="20" t="s">
        <v>49</v>
      </c>
      <c r="AB1092" s="20" t="s">
        <v>49</v>
      </c>
      <c r="AC1092" s="19" t="s">
        <v>49</v>
      </c>
      <c r="AD1092" s="19" t="str">
        <f ca="1">IFERROR(DATEDIF(DadosViagem5[[#This Row],[Utimo Bip Reserva]],TODAY(),"D"),"")</f>
        <v/>
      </c>
      <c r="AE1092" s="25" t="s">
        <v>49</v>
      </c>
      <c r="AF1092" s="25" t="s">
        <v>49</v>
      </c>
      <c r="AG1092" s="36"/>
      <c r="AH1092" s="25">
        <v>45807</v>
      </c>
      <c r="AI1092" s="36" t="str">
        <f>IF(DadosViagem5[[#This Row],[Dias em manutenção ]]&lt;5,"Dentro do Prazo","Fora do Prazo")</f>
        <v>Fora do Prazo</v>
      </c>
      <c r="AJ1092" s="36" t="e">
        <v>#REF!</v>
      </c>
    </row>
    <row r="1093" spans="1:36">
      <c r="A1093" s="19" t="s">
        <v>1887</v>
      </c>
      <c r="B1093" s="20"/>
      <c r="C1093" s="19" t="s">
        <v>71</v>
      </c>
      <c r="D1093" s="19" t="s">
        <v>38</v>
      </c>
      <c r="E1093" s="19" t="s">
        <v>57</v>
      </c>
      <c r="F1093" s="19" t="s">
        <v>115</v>
      </c>
      <c r="G1093" s="19"/>
      <c r="H1093" s="20">
        <v>2023</v>
      </c>
      <c r="I1093" s="19" t="s">
        <v>1040</v>
      </c>
      <c r="J1093" s="19" t="s">
        <v>1888</v>
      </c>
      <c r="K1093" s="21" t="s">
        <v>1889</v>
      </c>
      <c r="L1093" s="22" t="s">
        <v>60</v>
      </c>
      <c r="M1093" s="23" t="s">
        <v>45</v>
      </c>
      <c r="N1093" s="36" t="s">
        <v>1890</v>
      </c>
      <c r="O1093" s="36" t="s">
        <v>1891</v>
      </c>
      <c r="P1093" s="26">
        <f ca="1">IFERROR(VLOOKUP(DadosViagem5[[#This Row],[Placa]],[1]BIP!A:E,5,FALSE),"")</f>
        <v>45989</v>
      </c>
      <c r="Q1093" s="27">
        <f ca="1">DATEDIF(DadosViagem5[[#This Row],[BIP]],TODAY(),"D")</f>
        <v>1</v>
      </c>
      <c r="R1093" s="28" t="str">
        <f>IFERROR(VLOOKUP(DadosViagem5[[#This Row],[Placa]],[1]DDS!B:C,2,FALSE),"Verificar cadastro")</f>
        <v>Operando</v>
      </c>
      <c r="S1093" s="29" t="s">
        <v>48</v>
      </c>
      <c r="T1093" s="23"/>
      <c r="U1093" s="30"/>
      <c r="V1093" s="31"/>
      <c r="W1093" s="32"/>
      <c r="X1093" s="33"/>
      <c r="Y1093" s="34" t="s">
        <v>49</v>
      </c>
      <c r="Z1093" s="32"/>
      <c r="AA1093" s="20" t="s">
        <v>49</v>
      </c>
      <c r="AB1093" s="20" t="s">
        <v>49</v>
      </c>
      <c r="AC1093" s="19" t="s">
        <v>49</v>
      </c>
      <c r="AD1093" s="19" t="str">
        <f ca="1">IFERROR(DATEDIF(DadosViagem5[[#This Row],[Utimo Bip Reserva]],TODAY(),"D"),"")</f>
        <v/>
      </c>
      <c r="AE1093" s="36" t="s">
        <v>49</v>
      </c>
      <c r="AF1093" s="25" t="s">
        <v>49</v>
      </c>
      <c r="AG1093" s="36"/>
      <c r="AH1093" s="25">
        <v>45807</v>
      </c>
      <c r="AI1093" s="36" t="str">
        <f>IF(DadosViagem5[[#This Row],[Dias em manutenção ]]&lt;5,"Dentro do Prazo","Fora do Prazo")</f>
        <v>Fora do Prazo</v>
      </c>
      <c r="AJ1093" s="36" t="e">
        <v>#REF!</v>
      </c>
    </row>
    <row r="1094" spans="1:36">
      <c r="A1094" s="147" t="s">
        <v>1892</v>
      </c>
      <c r="B1094" s="20"/>
      <c r="C1094" s="19" t="s">
        <v>71</v>
      </c>
      <c r="D1094" s="19" t="s">
        <v>38</v>
      </c>
      <c r="E1094" s="19" t="s">
        <v>265</v>
      </c>
      <c r="F1094" s="19" t="s">
        <v>115</v>
      </c>
      <c r="G1094" s="19"/>
      <c r="H1094" s="20">
        <v>2023</v>
      </c>
      <c r="I1094" s="19" t="s">
        <v>1040</v>
      </c>
      <c r="J1094" s="19" t="s">
        <v>1888</v>
      </c>
      <c r="K1094" s="38" t="s">
        <v>1889</v>
      </c>
      <c r="L1094" s="22" t="s">
        <v>60</v>
      </c>
      <c r="M1094" s="23" t="s">
        <v>45</v>
      </c>
      <c r="N1094" s="24" t="s">
        <v>1890</v>
      </c>
      <c r="O1094" s="65" t="s">
        <v>1891</v>
      </c>
      <c r="P1094" s="26">
        <f ca="1">IFERROR(VLOOKUP(DadosViagem5[[#This Row],[Placa]],[1]BIP!A:E,5,FALSE),"")</f>
        <v>45989</v>
      </c>
      <c r="Q1094" s="27">
        <f ca="1">DATEDIF(DadosViagem5[[#This Row],[BIP]],TODAY(),"D")</f>
        <v>1</v>
      </c>
      <c r="R1094" s="28" t="str">
        <f>IFERROR(VLOOKUP(DadosViagem5[[#This Row],[Placa]],[1]DDS!B:C,2,FALSE),"Verificar cadastro")</f>
        <v>Operando</v>
      </c>
      <c r="S1094" s="29" t="s">
        <v>48</v>
      </c>
      <c r="T1094" s="23"/>
      <c r="U1094" s="30"/>
      <c r="V1094" s="31"/>
      <c r="W1094" s="32"/>
      <c r="X1094" s="33"/>
      <c r="Y1094" s="34"/>
      <c r="Z1094" s="32"/>
      <c r="AA1094" s="20" t="s">
        <v>49</v>
      </c>
      <c r="AB1094" s="20" t="s">
        <v>49</v>
      </c>
      <c r="AC1094" s="19" t="s">
        <v>49</v>
      </c>
      <c r="AD1094" s="19" t="str">
        <f ca="1">IFERROR(DATEDIF(DadosViagem5[[#This Row],[Utimo Bip Reserva]],TODAY(),"D"),"")</f>
        <v/>
      </c>
      <c r="AE1094" s="25" t="s">
        <v>49</v>
      </c>
      <c r="AF1094" s="25" t="s">
        <v>49</v>
      </c>
      <c r="AG1094" s="36"/>
      <c r="AH1094" s="25">
        <v>45807</v>
      </c>
      <c r="AI1094" s="36" t="str">
        <f>IF(DadosViagem5[[#This Row],[Dias em manutenção ]]&lt;5,"Dentro do Prazo","Fora do Prazo")</f>
        <v>Fora do Prazo</v>
      </c>
      <c r="AJ1094" s="36" t="e">
        <v>#REF!</v>
      </c>
    </row>
    <row r="1095" spans="1:36">
      <c r="A1095" s="19" t="s">
        <v>1893</v>
      </c>
      <c r="B1095" s="20"/>
      <c r="C1095" s="19" t="s">
        <v>71</v>
      </c>
      <c r="D1095" s="19" t="s">
        <v>38</v>
      </c>
      <c r="E1095" s="19" t="s">
        <v>265</v>
      </c>
      <c r="F1095" s="19" t="s">
        <v>115</v>
      </c>
      <c r="G1095" s="19"/>
      <c r="H1095" s="20">
        <v>2023</v>
      </c>
      <c r="I1095" s="19" t="s">
        <v>1040</v>
      </c>
      <c r="J1095" s="19" t="s">
        <v>1888</v>
      </c>
      <c r="K1095" s="21" t="s">
        <v>1889</v>
      </c>
      <c r="L1095" s="22" t="s">
        <v>60</v>
      </c>
      <c r="M1095" s="23" t="s">
        <v>45</v>
      </c>
      <c r="N1095" s="36" t="s">
        <v>1890</v>
      </c>
      <c r="O1095" s="65" t="s">
        <v>1891</v>
      </c>
      <c r="P1095" s="26">
        <f ca="1">IFERROR(VLOOKUP(DadosViagem5[[#This Row],[Placa]],[1]BIP!A:E,5,FALSE),"")</f>
        <v>45989</v>
      </c>
      <c r="Q1095" s="27">
        <f ca="1">DATEDIF(DadosViagem5[[#This Row],[BIP]],TODAY(),"D")</f>
        <v>1</v>
      </c>
      <c r="R1095" s="28" t="str">
        <f>IFERROR(VLOOKUP(DadosViagem5[[#This Row],[Placa]],[1]DDS!B:C,2,FALSE),"Verificar cadastro")</f>
        <v>Operando</v>
      </c>
      <c r="S1095" s="29" t="s">
        <v>48</v>
      </c>
      <c r="T1095" s="23"/>
      <c r="U1095" s="30"/>
      <c r="V1095" s="31"/>
      <c r="W1095" s="32"/>
      <c r="X1095" s="33"/>
      <c r="Y1095" s="34"/>
      <c r="Z1095" s="32"/>
      <c r="AA1095" s="20" t="s">
        <v>49</v>
      </c>
      <c r="AB1095" s="20" t="s">
        <v>49</v>
      </c>
      <c r="AC1095" s="19" t="s">
        <v>49</v>
      </c>
      <c r="AD1095" s="19" t="str">
        <f ca="1">IFERROR(DATEDIF(DadosViagem5[[#This Row],[Utimo Bip Reserva]],TODAY(),"D"),"")</f>
        <v/>
      </c>
      <c r="AE1095" s="36"/>
      <c r="AF1095" s="25"/>
      <c r="AG1095" s="36"/>
      <c r="AH1095" s="25">
        <v>45807</v>
      </c>
      <c r="AI1095" s="36" t="str">
        <f>IF(DadosViagem5[[#This Row],[Dias em manutenção ]]&lt;5,"Dentro do Prazo","Fora do Prazo")</f>
        <v>Fora do Prazo</v>
      </c>
      <c r="AJ1095" s="36" t="e">
        <v>#REF!</v>
      </c>
    </row>
    <row r="1096" spans="1:36">
      <c r="A1096" s="19" t="s">
        <v>1894</v>
      </c>
      <c r="B1096" s="20"/>
      <c r="C1096" s="19" t="s">
        <v>71</v>
      </c>
      <c r="D1096" s="19" t="s">
        <v>38</v>
      </c>
      <c r="E1096" s="19" t="s">
        <v>265</v>
      </c>
      <c r="F1096" s="19" t="s">
        <v>115</v>
      </c>
      <c r="G1096" s="19"/>
      <c r="H1096" s="20">
        <v>2023</v>
      </c>
      <c r="I1096" s="19" t="s">
        <v>1040</v>
      </c>
      <c r="J1096" s="19" t="s">
        <v>1888</v>
      </c>
      <c r="K1096" s="21" t="s">
        <v>1889</v>
      </c>
      <c r="L1096" s="22" t="s">
        <v>60</v>
      </c>
      <c r="M1096" s="23" t="s">
        <v>45</v>
      </c>
      <c r="N1096" s="36" t="s">
        <v>1890</v>
      </c>
      <c r="O1096" s="36" t="s">
        <v>1891</v>
      </c>
      <c r="P1096" s="26">
        <f ca="1">IFERROR(VLOOKUP(DadosViagem5[[#This Row],[Placa]],[1]BIP!A:E,5,FALSE),"")</f>
        <v>45989</v>
      </c>
      <c r="Q1096" s="27">
        <f ca="1">DATEDIF(DadosViagem5[[#This Row],[BIP]],TODAY(),"D")</f>
        <v>1</v>
      </c>
      <c r="R1096" s="28" t="str">
        <f>IFERROR(VLOOKUP(DadosViagem5[[#This Row],[Placa]],[1]DDS!B:C,2,FALSE),"Verificar cadastro")</f>
        <v>Operando</v>
      </c>
      <c r="S1096" s="29" t="s">
        <v>48</v>
      </c>
      <c r="T1096" s="23"/>
      <c r="U1096" s="30"/>
      <c r="V1096" s="31"/>
      <c r="W1096" s="32"/>
      <c r="X1096" s="33"/>
      <c r="Y1096" s="34"/>
      <c r="Z1096" s="32"/>
      <c r="AA1096" s="20" t="s">
        <v>49</v>
      </c>
      <c r="AB1096" s="20" t="s">
        <v>49</v>
      </c>
      <c r="AC1096" s="19" t="s">
        <v>49</v>
      </c>
      <c r="AD1096" s="19" t="str">
        <f ca="1">IFERROR(DATEDIF(DadosViagem5[[#This Row],[Utimo Bip Reserva]],TODAY(),"D"),"")</f>
        <v/>
      </c>
      <c r="AE1096" s="25" t="s">
        <v>49</v>
      </c>
      <c r="AF1096" s="25" t="s">
        <v>49</v>
      </c>
      <c r="AG1096" s="36"/>
      <c r="AH1096" s="25">
        <v>45807</v>
      </c>
      <c r="AI1096" s="36" t="str">
        <f>IF(DadosViagem5[[#This Row],[Dias em manutenção ]]&lt;5,"Dentro do Prazo","Fora do Prazo")</f>
        <v>Fora do Prazo</v>
      </c>
      <c r="AJ1096" s="36" t="e">
        <v>#REF!</v>
      </c>
    </row>
    <row r="1097" spans="1:36">
      <c r="A1097" s="19" t="s">
        <v>1895</v>
      </c>
      <c r="B1097" s="20"/>
      <c r="C1097" s="19" t="s">
        <v>74</v>
      </c>
      <c r="D1097" s="19" t="s">
        <v>52</v>
      </c>
      <c r="E1097" s="19" t="s">
        <v>75</v>
      </c>
      <c r="F1097" s="19" t="s">
        <v>115</v>
      </c>
      <c r="G1097" s="19"/>
      <c r="H1097" s="20">
        <v>2023</v>
      </c>
      <c r="I1097" s="19" t="s">
        <v>1040</v>
      </c>
      <c r="J1097" s="19" t="s">
        <v>1888</v>
      </c>
      <c r="K1097" s="21" t="s">
        <v>1889</v>
      </c>
      <c r="L1097" s="22" t="s">
        <v>60</v>
      </c>
      <c r="M1097" s="23" t="s">
        <v>77</v>
      </c>
      <c r="N1097" s="36" t="s">
        <v>1890</v>
      </c>
      <c r="O1097" s="65" t="s">
        <v>1891</v>
      </c>
      <c r="P1097" s="26">
        <f ca="1">IFERROR(VLOOKUP(DadosViagem5[[#This Row],[Placa]],[1]BIP!A:E,5,FALSE),"")</f>
        <v>0</v>
      </c>
      <c r="Q1097" s="27">
        <f ca="1">DATEDIF(DadosViagem5[[#This Row],[BIP]],TODAY(),"D")</f>
        <v>45990</v>
      </c>
      <c r="R1097" s="28" t="str">
        <f>IFERROR(VLOOKUP(DadosViagem5[[#This Row],[Placa]],[1]DDS!B:C,2,FALSE),"Verificar cadastro")</f>
        <v>Verificar cadastro</v>
      </c>
      <c r="S1097" s="29" t="s">
        <v>48</v>
      </c>
      <c r="T1097" s="23"/>
      <c r="U1097" s="30"/>
      <c r="V1097" s="31"/>
      <c r="W1097" s="32"/>
      <c r="X1097" s="33"/>
      <c r="Y1097" s="34"/>
      <c r="Z1097" s="32"/>
      <c r="AA1097" s="20" t="s">
        <v>49</v>
      </c>
      <c r="AB1097" s="20" t="s">
        <v>49</v>
      </c>
      <c r="AC1097" s="19" t="s">
        <v>49</v>
      </c>
      <c r="AD1097" s="19" t="str">
        <f ca="1">IFERROR(DATEDIF(DadosViagem5[[#This Row],[Utimo Bip Reserva]],TODAY(),"D"),"")</f>
        <v/>
      </c>
      <c r="AE1097" s="36"/>
      <c r="AF1097" s="25"/>
      <c r="AG1097" s="36"/>
      <c r="AH1097" s="25">
        <v>45807</v>
      </c>
      <c r="AI1097" s="36" t="str">
        <f>IF(DadosViagem5[[#This Row],[Dias em manutenção ]]&lt;5,"Dentro do Prazo","Fora do Prazo")</f>
        <v>Fora do Prazo</v>
      </c>
      <c r="AJ1097" s="36" t="e">
        <v>#REF!</v>
      </c>
    </row>
    <row r="1098" spans="1:36">
      <c r="A1098" s="19" t="s">
        <v>1896</v>
      </c>
      <c r="B1098" s="20"/>
      <c r="C1098" s="19" t="s">
        <v>74</v>
      </c>
      <c r="D1098" s="19" t="s">
        <v>52</v>
      </c>
      <c r="E1098" s="19" t="s">
        <v>75</v>
      </c>
      <c r="F1098" s="19" t="s">
        <v>115</v>
      </c>
      <c r="G1098" s="19"/>
      <c r="H1098" s="20">
        <v>2023</v>
      </c>
      <c r="I1098" s="19" t="s">
        <v>1040</v>
      </c>
      <c r="J1098" s="19" t="s">
        <v>1888</v>
      </c>
      <c r="K1098" s="21" t="s">
        <v>1889</v>
      </c>
      <c r="L1098" s="22" t="s">
        <v>60</v>
      </c>
      <c r="M1098" s="23" t="s">
        <v>77</v>
      </c>
      <c r="N1098" s="36" t="s">
        <v>1890</v>
      </c>
      <c r="O1098" s="65" t="s">
        <v>1891</v>
      </c>
      <c r="P1098" s="26">
        <f ca="1">IFERROR(VLOOKUP(DadosViagem5[[#This Row],[Placa]],[1]BIP!A:E,5,FALSE),"")</f>
        <v>45989</v>
      </c>
      <c r="Q1098" s="27">
        <f ca="1">DATEDIF(DadosViagem5[[#This Row],[BIP]],TODAY(),"D")</f>
        <v>1</v>
      </c>
      <c r="R1098" s="28" t="str">
        <f>IFERROR(VLOOKUP(DadosViagem5[[#This Row],[Placa]],[1]DDS!B:C,2,FALSE),"Verificar cadastro")</f>
        <v>Operando</v>
      </c>
      <c r="S1098" s="29" t="s">
        <v>48</v>
      </c>
      <c r="T1098" s="23"/>
      <c r="U1098" s="30"/>
      <c r="V1098" s="31"/>
      <c r="W1098" s="32"/>
      <c r="X1098" s="33"/>
      <c r="Y1098" s="34"/>
      <c r="Z1098" s="32"/>
      <c r="AA1098" s="20" t="s">
        <v>49</v>
      </c>
      <c r="AB1098" s="20" t="s">
        <v>49</v>
      </c>
      <c r="AC1098" s="19" t="s">
        <v>49</v>
      </c>
      <c r="AD1098" s="19" t="str">
        <f ca="1">IFERROR(DATEDIF(DadosViagem5[[#This Row],[Utimo Bip Reserva]],TODAY(),"D"),"")</f>
        <v/>
      </c>
      <c r="AE1098" s="36"/>
      <c r="AF1098" s="25"/>
      <c r="AG1098" s="36"/>
      <c r="AH1098" s="25">
        <v>45807</v>
      </c>
      <c r="AI1098" s="36" t="str">
        <f>IF(DadosViagem5[[#This Row],[Dias em manutenção ]]&lt;5,"Dentro do Prazo","Fora do Prazo")</f>
        <v>Fora do Prazo</v>
      </c>
      <c r="AJ1098" s="36" t="e">
        <v>#REF!</v>
      </c>
    </row>
    <row r="1099" spans="1:36">
      <c r="A1099" s="19" t="s">
        <v>1897</v>
      </c>
      <c r="B1099" s="20"/>
      <c r="C1099" s="19" t="s">
        <v>74</v>
      </c>
      <c r="D1099" s="19" t="s">
        <v>52</v>
      </c>
      <c r="E1099" s="19" t="s">
        <v>75</v>
      </c>
      <c r="F1099" s="19" t="s">
        <v>115</v>
      </c>
      <c r="G1099" s="19"/>
      <c r="H1099" s="20">
        <v>2023</v>
      </c>
      <c r="I1099" s="19" t="s">
        <v>1040</v>
      </c>
      <c r="J1099" s="19" t="s">
        <v>1888</v>
      </c>
      <c r="K1099" s="21" t="s">
        <v>1889</v>
      </c>
      <c r="L1099" s="22" t="s">
        <v>60</v>
      </c>
      <c r="M1099" s="23" t="s">
        <v>77</v>
      </c>
      <c r="N1099" s="36" t="s">
        <v>1890</v>
      </c>
      <c r="O1099" s="65" t="s">
        <v>1891</v>
      </c>
      <c r="P1099" s="26">
        <f ca="1">IFERROR(VLOOKUP(DadosViagem5[[#This Row],[Placa]],[1]BIP!A:E,5,FALSE),"")</f>
        <v>45979</v>
      </c>
      <c r="Q1099" s="27">
        <f ca="1">DATEDIF(DadosViagem5[[#This Row],[BIP]],TODAY(),"D")</f>
        <v>11</v>
      </c>
      <c r="R1099" s="28" t="str">
        <f>IFERROR(VLOOKUP(DadosViagem5[[#This Row],[Placa]],[1]DDS!B:C,2,FALSE),"Verificar cadastro")</f>
        <v> </v>
      </c>
      <c r="S1099" s="29" t="s">
        <v>48</v>
      </c>
      <c r="T1099" s="23"/>
      <c r="U1099" s="30"/>
      <c r="V1099" s="31"/>
      <c r="W1099" s="32"/>
      <c r="X1099" s="33"/>
      <c r="Y1099" s="34"/>
      <c r="Z1099" s="32"/>
      <c r="AA1099" s="20" t="s">
        <v>49</v>
      </c>
      <c r="AB1099" s="20" t="s">
        <v>49</v>
      </c>
      <c r="AC1099" s="19" t="s">
        <v>49</v>
      </c>
      <c r="AD1099" s="19" t="str">
        <f ca="1">IFERROR(DATEDIF(DadosViagem5[[#This Row],[Utimo Bip Reserva]],TODAY(),"D"),"")</f>
        <v/>
      </c>
      <c r="AE1099" s="36"/>
      <c r="AF1099" s="25"/>
      <c r="AG1099" s="36"/>
      <c r="AH1099" s="25">
        <v>45807</v>
      </c>
      <c r="AI1099" s="36" t="str">
        <f>IF(DadosViagem5[[#This Row],[Dias em manutenção ]]&lt;5,"Dentro do Prazo","Fora do Prazo")</f>
        <v>Fora do Prazo</v>
      </c>
      <c r="AJ1099" s="36" t="e">
        <v>#REF!</v>
      </c>
    </row>
    <row r="1100" spans="1:36">
      <c r="A1100" s="19" t="s">
        <v>1898</v>
      </c>
      <c r="B1100" s="20"/>
      <c r="C1100" s="19" t="s">
        <v>74</v>
      </c>
      <c r="D1100" s="19" t="s">
        <v>52</v>
      </c>
      <c r="E1100" s="19" t="s">
        <v>75</v>
      </c>
      <c r="F1100" s="19" t="s">
        <v>76</v>
      </c>
      <c r="G1100" s="19"/>
      <c r="H1100" s="20">
        <v>2023</v>
      </c>
      <c r="I1100" s="19" t="s">
        <v>1040</v>
      </c>
      <c r="J1100" s="19" t="s">
        <v>1888</v>
      </c>
      <c r="K1100" s="21" t="s">
        <v>1889</v>
      </c>
      <c r="L1100" s="22" t="s">
        <v>60</v>
      </c>
      <c r="M1100" s="23" t="s">
        <v>77</v>
      </c>
      <c r="N1100" s="36" t="s">
        <v>1890</v>
      </c>
      <c r="O1100" s="65" t="s">
        <v>1891</v>
      </c>
      <c r="P1100" s="26">
        <f ca="1">IFERROR(VLOOKUP(DadosViagem5[[#This Row],[Placa]],[1]BIP!A:E,5,FALSE),"")</f>
        <v>45989</v>
      </c>
      <c r="Q1100" s="27">
        <f ca="1">DATEDIF(DadosViagem5[[#This Row],[BIP]],TODAY(),"D")</f>
        <v>1</v>
      </c>
      <c r="R1100" s="28" t="str">
        <f>IFERROR(VLOOKUP(DadosViagem5[[#This Row],[Placa]],[1]DDS!B:C,2,FALSE),"Verificar cadastro")</f>
        <v>Operando</v>
      </c>
      <c r="S1100" s="29" t="s">
        <v>48</v>
      </c>
      <c r="T1100" s="23"/>
      <c r="U1100" s="30"/>
      <c r="V1100" s="31"/>
      <c r="W1100" s="32"/>
      <c r="X1100" s="33"/>
      <c r="Y1100" s="34"/>
      <c r="Z1100" s="32"/>
      <c r="AA1100" s="20" t="s">
        <v>49</v>
      </c>
      <c r="AB1100" s="20" t="s">
        <v>49</v>
      </c>
      <c r="AC1100" s="19" t="s">
        <v>49</v>
      </c>
      <c r="AD1100" s="19" t="str">
        <f ca="1">IFERROR(DATEDIF(DadosViagem5[[#This Row],[Utimo Bip Reserva]],TODAY(),"D"),"")</f>
        <v/>
      </c>
      <c r="AE1100" s="36"/>
      <c r="AF1100" s="25"/>
      <c r="AG1100" s="36"/>
      <c r="AH1100" s="25">
        <v>45807</v>
      </c>
      <c r="AI1100" s="36" t="str">
        <f>IF(DadosViagem5[[#This Row],[Dias em manutenção ]]&lt;5,"Dentro do Prazo","Fora do Prazo")</f>
        <v>Fora do Prazo</v>
      </c>
      <c r="AJ1100" s="36" t="e">
        <v>#REF!</v>
      </c>
    </row>
    <row r="1101" spans="1:36">
      <c r="A1101" s="19" t="s">
        <v>1899</v>
      </c>
      <c r="B1101" s="147"/>
      <c r="C1101" s="19" t="s">
        <v>74</v>
      </c>
      <c r="D1101" s="19" t="s">
        <v>52</v>
      </c>
      <c r="E1101" s="19" t="s">
        <v>75</v>
      </c>
      <c r="F1101" s="19" t="s">
        <v>76</v>
      </c>
      <c r="G1101" s="19"/>
      <c r="H1101" s="20">
        <v>2024</v>
      </c>
      <c r="I1101" s="19" t="s">
        <v>1040</v>
      </c>
      <c r="J1101" s="19" t="s">
        <v>1888</v>
      </c>
      <c r="K1101" s="21" t="s">
        <v>1889</v>
      </c>
      <c r="L1101" s="22" t="s">
        <v>60</v>
      </c>
      <c r="M1101" s="23" t="s">
        <v>77</v>
      </c>
      <c r="N1101" s="36" t="s">
        <v>1890</v>
      </c>
      <c r="O1101" s="36" t="s">
        <v>1891</v>
      </c>
      <c r="P1101" s="26">
        <f ca="1">IFERROR(VLOOKUP(DadosViagem5[[#This Row],[Placa]],[1]BIP!A:E,5,FALSE),"")</f>
        <v>45989</v>
      </c>
      <c r="Q1101" s="27">
        <f ca="1">DATEDIF(DadosViagem5[[#This Row],[BIP]],TODAY(),"D")</f>
        <v>1</v>
      </c>
      <c r="R1101" s="28" t="str">
        <f>IFERROR(VLOOKUP(DadosViagem5[[#This Row],[Placa]],[1]DDS!B:C,2,FALSE),"Verificar cadastro")</f>
        <v>Operando</v>
      </c>
      <c r="S1101" s="29" t="s">
        <v>48</v>
      </c>
      <c r="T1101" s="23"/>
      <c r="U1101" s="30"/>
      <c r="V1101" s="31"/>
      <c r="W1101" s="32"/>
      <c r="X1101" s="33"/>
      <c r="Y1101" s="34"/>
      <c r="Z1101" s="32"/>
      <c r="AA1101" s="20" t="s">
        <v>49</v>
      </c>
      <c r="AB1101" s="20" t="s">
        <v>49</v>
      </c>
      <c r="AC1101" s="19" t="s">
        <v>49</v>
      </c>
      <c r="AD1101" s="19" t="str">
        <f ca="1">IFERROR(DATEDIF(DadosViagem5[[#This Row],[Utimo Bip Reserva]],TODAY(),"D"),"")</f>
        <v/>
      </c>
      <c r="AE1101" s="36"/>
      <c r="AF1101" s="25"/>
      <c r="AG1101" s="36"/>
      <c r="AH1101" s="25">
        <v>45807</v>
      </c>
      <c r="AI1101" s="36" t="str">
        <f>IF(DadosViagem5[[#This Row],[Dias em manutenção ]]&lt;5,"Dentro do Prazo","Fora do Prazo")</f>
        <v>Fora do Prazo</v>
      </c>
      <c r="AJ1101" s="36" t="e">
        <v>#REF!</v>
      </c>
    </row>
    <row r="1102" spans="1:36">
      <c r="A1102" s="19" t="s">
        <v>1900</v>
      </c>
      <c r="B1102" s="20"/>
      <c r="C1102" s="19" t="s">
        <v>74</v>
      </c>
      <c r="D1102" s="19" t="s">
        <v>52</v>
      </c>
      <c r="E1102" s="19" t="s">
        <v>75</v>
      </c>
      <c r="F1102" s="19" t="s">
        <v>76</v>
      </c>
      <c r="G1102" s="19"/>
      <c r="H1102" s="20">
        <v>2023</v>
      </c>
      <c r="I1102" s="19" t="s">
        <v>1040</v>
      </c>
      <c r="J1102" s="19" t="s">
        <v>1888</v>
      </c>
      <c r="K1102" s="21" t="s">
        <v>1889</v>
      </c>
      <c r="L1102" s="22" t="s">
        <v>60</v>
      </c>
      <c r="M1102" s="23" t="s">
        <v>77</v>
      </c>
      <c r="N1102" s="36" t="s">
        <v>1890</v>
      </c>
      <c r="O1102" s="36" t="s">
        <v>1891</v>
      </c>
      <c r="P1102" s="26">
        <f ca="1">IFERROR(VLOOKUP(DadosViagem5[[#This Row],[Placa]],[1]BIP!A:E,5,FALSE),"")</f>
        <v>45989</v>
      </c>
      <c r="Q1102" s="27">
        <f ca="1">DATEDIF(DadosViagem5[[#This Row],[BIP]],TODAY(),"D")</f>
        <v>1</v>
      </c>
      <c r="R1102" s="28" t="str">
        <f>IFERROR(VLOOKUP(DadosViagem5[[#This Row],[Placa]],[1]DDS!B:C,2,FALSE),"Verificar cadastro")</f>
        <v>Operando</v>
      </c>
      <c r="S1102" s="29" t="s">
        <v>48</v>
      </c>
      <c r="T1102" s="23"/>
      <c r="U1102" s="30"/>
      <c r="V1102" s="31"/>
      <c r="W1102" s="32"/>
      <c r="X1102" s="33"/>
      <c r="Y1102" s="34"/>
      <c r="Z1102" s="32"/>
      <c r="AA1102" s="20" t="s">
        <v>49</v>
      </c>
      <c r="AB1102" s="20" t="s">
        <v>49</v>
      </c>
      <c r="AC1102" s="19" t="s">
        <v>49</v>
      </c>
      <c r="AD1102" s="19" t="str">
        <f ca="1">IFERROR(DATEDIF(DadosViagem5[[#This Row],[Utimo Bip Reserva]],TODAY(),"D"),"")</f>
        <v/>
      </c>
      <c r="AE1102" s="36"/>
      <c r="AF1102" s="25"/>
      <c r="AG1102" s="36"/>
      <c r="AH1102" s="25">
        <v>45807</v>
      </c>
      <c r="AI1102" s="36" t="str">
        <f>IF(DadosViagem5[[#This Row],[Dias em manutenção ]]&lt;5,"Dentro do Prazo","Fora do Prazo")</f>
        <v>Fora do Prazo</v>
      </c>
      <c r="AJ1102" s="36" t="e">
        <v>#REF!</v>
      </c>
    </row>
    <row r="1103" spans="1:36">
      <c r="A1103" s="19" t="s">
        <v>1901</v>
      </c>
      <c r="B1103" s="20"/>
      <c r="C1103" s="19" t="s">
        <v>591</v>
      </c>
      <c r="D1103" s="19" t="s">
        <v>592</v>
      </c>
      <c r="E1103" s="19" t="s">
        <v>114</v>
      </c>
      <c r="F1103" s="19" t="s">
        <v>115</v>
      </c>
      <c r="G1103" s="19"/>
      <c r="H1103" s="20">
        <v>2023</v>
      </c>
      <c r="I1103" s="19" t="s">
        <v>41</v>
      </c>
      <c r="J1103" s="19" t="s">
        <v>1902</v>
      </c>
      <c r="K1103" s="21" t="s">
        <v>1903</v>
      </c>
      <c r="L1103" s="22" t="s">
        <v>60</v>
      </c>
      <c r="M1103" s="23" t="s">
        <v>290</v>
      </c>
      <c r="N1103" s="36" t="s">
        <v>1904</v>
      </c>
      <c r="O1103" s="36" t="s">
        <v>142</v>
      </c>
      <c r="P1103" s="26">
        <f ca="1">IFERROR(VLOOKUP(DadosViagem5[[#This Row],[Placa]],[1]BIP!A:E,5,FALSE),"")</f>
        <v>45989</v>
      </c>
      <c r="Q1103" s="27">
        <f ca="1">DATEDIF(DadosViagem5[[#This Row],[BIP]],TODAY(),"D")</f>
        <v>1</v>
      </c>
      <c r="R1103" s="28" t="str">
        <f>IFERROR(VLOOKUP(DadosViagem5[[#This Row],[Placa]],[1]DDS!B:C,2,FALSE),"Verificar cadastro")</f>
        <v>Operando</v>
      </c>
      <c r="S1103" s="29" t="s">
        <v>48</v>
      </c>
      <c r="T1103" s="23"/>
      <c r="U1103" s="30"/>
      <c r="V1103" s="31"/>
      <c r="W1103" s="32" t="s">
        <v>1905</v>
      </c>
      <c r="X1103" s="33" t="s">
        <v>55</v>
      </c>
      <c r="Y1103" s="34" t="s">
        <v>49</v>
      </c>
      <c r="Z1103" s="32"/>
      <c r="AA1103" s="20" t="s">
        <v>49</v>
      </c>
      <c r="AB1103" s="20" t="s">
        <v>49</v>
      </c>
      <c r="AC1103" s="19" t="s">
        <v>49</v>
      </c>
      <c r="AD1103" s="19" t="str">
        <f ca="1">IFERROR(DATEDIF(DadosViagem5[[#This Row],[Utimo Bip Reserva]],TODAY(),"D"),"")</f>
        <v/>
      </c>
      <c r="AE1103" s="36" t="s">
        <v>49</v>
      </c>
      <c r="AF1103" s="25" t="s">
        <v>49</v>
      </c>
      <c r="AG1103" s="36"/>
      <c r="AH1103" s="25">
        <v>45807</v>
      </c>
      <c r="AI1103" s="36" t="str">
        <f>IF(DadosViagem5[[#This Row],[Dias em manutenção ]]&lt;5,"Dentro do Prazo","Fora do Prazo")</f>
        <v>Fora do Prazo</v>
      </c>
      <c r="AJ1103" s="36" t="e">
        <v>#REF!</v>
      </c>
    </row>
    <row r="1104" spans="1:36">
      <c r="A1104" s="19" t="s">
        <v>1906</v>
      </c>
      <c r="B1104" s="20">
        <v>539</v>
      </c>
      <c r="C1104" s="19" t="s">
        <v>74</v>
      </c>
      <c r="D1104" s="19" t="s">
        <v>52</v>
      </c>
      <c r="E1104" s="19" t="s">
        <v>75</v>
      </c>
      <c r="F1104" s="19" t="s">
        <v>115</v>
      </c>
      <c r="G1104" s="19"/>
      <c r="H1104" s="20">
        <v>2023</v>
      </c>
      <c r="I1104" s="19" t="s">
        <v>41</v>
      </c>
      <c r="J1104" s="19" t="s">
        <v>1902</v>
      </c>
      <c r="K1104" s="21" t="s">
        <v>1903</v>
      </c>
      <c r="L1104" s="22" t="s">
        <v>60</v>
      </c>
      <c r="M1104" s="23" t="s">
        <v>77</v>
      </c>
      <c r="N1104" s="36" t="s">
        <v>1904</v>
      </c>
      <c r="O1104" s="36" t="s">
        <v>142</v>
      </c>
      <c r="P1104" s="26">
        <f ca="1">IFERROR(VLOOKUP(DadosViagem5[[#This Row],[Placa]],[1]BIP!A:E,5,FALSE),"")</f>
        <v>45836</v>
      </c>
      <c r="Q1104" s="27">
        <f ca="1">DATEDIF(DadosViagem5[[#This Row],[BIP]],TODAY(),"D")</f>
        <v>154</v>
      </c>
      <c r="R1104" s="28" t="str">
        <f>IFERROR(VLOOKUP(DadosViagem5[[#This Row],[Placa]],[1]DDS!B:C,2,FALSE),"Verificar cadastro")</f>
        <v>Manutenção</v>
      </c>
      <c r="S1104" s="36" t="s">
        <v>186</v>
      </c>
      <c r="T1104" s="23"/>
      <c r="U1104" s="30"/>
      <c r="V1104" s="31">
        <v>45836</v>
      </c>
      <c r="W1104" s="116" t="s">
        <v>1907</v>
      </c>
      <c r="X1104" s="57" t="s">
        <v>188</v>
      </c>
      <c r="Y1104" s="34" t="s">
        <v>66</v>
      </c>
      <c r="Z1104" s="58" t="s">
        <v>654</v>
      </c>
      <c r="AA1104" s="20" t="s">
        <v>49</v>
      </c>
      <c r="AB1104" s="20" t="s">
        <v>49</v>
      </c>
      <c r="AC1104" s="19" t="s">
        <v>49</v>
      </c>
      <c r="AD1104" s="19" t="str">
        <f ca="1">IFERROR(DATEDIF(DadosViagem5[[#This Row],[Utimo Bip Reserva]],TODAY(),"D"),"")</f>
        <v/>
      </c>
      <c r="AE1104" s="25" t="s">
        <v>49</v>
      </c>
      <c r="AF1104" s="25" t="s">
        <v>49</v>
      </c>
      <c r="AG1104" s="36"/>
      <c r="AH1104" s="25">
        <v>45807</v>
      </c>
      <c r="AI1104" s="36" t="str">
        <f>IF(DadosViagem5[[#This Row],[Dias em manutenção ]]&lt;5,"Dentro do Prazo","Fora do Prazo")</f>
        <v>Fora do Prazo</v>
      </c>
      <c r="AJ1104" s="36" t="e">
        <v>#REF!</v>
      </c>
    </row>
    <row r="1105" spans="1:36">
      <c r="A1105" s="19" t="s">
        <v>1908</v>
      </c>
      <c r="B1105" s="20">
        <v>436</v>
      </c>
      <c r="C1105" s="19" t="s">
        <v>74</v>
      </c>
      <c r="D1105" s="19" t="s">
        <v>52</v>
      </c>
      <c r="E1105" s="19" t="s">
        <v>75</v>
      </c>
      <c r="F1105" s="19" t="s">
        <v>76</v>
      </c>
      <c r="G1105" s="19"/>
      <c r="H1105" s="20">
        <v>2024</v>
      </c>
      <c r="I1105" s="19" t="s">
        <v>41</v>
      </c>
      <c r="J1105" s="19" t="s">
        <v>1902</v>
      </c>
      <c r="K1105" s="21" t="s">
        <v>1903</v>
      </c>
      <c r="L1105" s="22" t="s">
        <v>60</v>
      </c>
      <c r="M1105" s="23" t="s">
        <v>77</v>
      </c>
      <c r="N1105" s="36" t="s">
        <v>1904</v>
      </c>
      <c r="O1105" s="36" t="s">
        <v>142</v>
      </c>
      <c r="P1105" s="26">
        <f ca="1">IFERROR(VLOOKUP(DadosViagem5[[#This Row],[Placa]],[1]BIP!A:E,5,FALSE),"")</f>
        <v>45989</v>
      </c>
      <c r="Q1105" s="27">
        <f ca="1">DATEDIF(DadosViagem5[[#This Row],[BIP]],TODAY(),"D")</f>
        <v>1</v>
      </c>
      <c r="R1105" s="28" t="str">
        <f>IFERROR(VLOOKUP(DadosViagem5[[#This Row],[Placa]],[1]DDS!B:C,2,FALSE),"Verificar cadastro")</f>
        <v>Operando</v>
      </c>
      <c r="S1105" s="29" t="s">
        <v>48</v>
      </c>
      <c r="T1105" s="23"/>
      <c r="U1105" s="30"/>
      <c r="V1105" s="31"/>
      <c r="W1105" s="116"/>
      <c r="X1105" s="33"/>
      <c r="Y1105" s="34"/>
      <c r="Z1105" s="32"/>
      <c r="AA1105" s="20" t="s">
        <v>49</v>
      </c>
      <c r="AB1105" s="20" t="s">
        <v>49</v>
      </c>
      <c r="AC1105" s="19" t="s">
        <v>49</v>
      </c>
      <c r="AD1105" s="19" t="str">
        <f ca="1">IFERROR(DATEDIF(DadosViagem5[[#This Row],[Utimo Bip Reserva]],TODAY(),"D"),"")</f>
        <v/>
      </c>
      <c r="AE1105" s="29" t="s">
        <v>49</v>
      </c>
      <c r="AF1105" s="35" t="s">
        <v>49</v>
      </c>
      <c r="AG1105" s="36"/>
      <c r="AH1105" s="25">
        <v>45807</v>
      </c>
      <c r="AI1105" s="36" t="str">
        <f>IF(DadosViagem5[[#This Row],[Dias em manutenção ]]&lt;5,"Dentro do Prazo","Fora do Prazo")</f>
        <v>Fora do Prazo</v>
      </c>
      <c r="AJ1105" s="36" t="e">
        <v>#REF!</v>
      </c>
    </row>
    <row r="1106" spans="1:36">
      <c r="A1106" s="19" t="s">
        <v>1909</v>
      </c>
      <c r="B1106" s="20"/>
      <c r="C1106" s="19" t="s">
        <v>88</v>
      </c>
      <c r="D1106" s="19" t="s">
        <v>38</v>
      </c>
      <c r="E1106" s="19" t="s">
        <v>114</v>
      </c>
      <c r="F1106" s="19" t="s">
        <v>115</v>
      </c>
      <c r="G1106" s="19"/>
      <c r="H1106" s="20">
        <v>2021</v>
      </c>
      <c r="I1106" s="19" t="s">
        <v>41</v>
      </c>
      <c r="J1106" s="19" t="s">
        <v>1902</v>
      </c>
      <c r="K1106" s="21" t="s">
        <v>1903</v>
      </c>
      <c r="L1106" s="22" t="s">
        <v>60</v>
      </c>
      <c r="M1106" s="23" t="s">
        <v>290</v>
      </c>
      <c r="N1106" s="36" t="s">
        <v>1904</v>
      </c>
      <c r="O1106" s="36" t="s">
        <v>142</v>
      </c>
      <c r="P1106" s="26">
        <f ca="1">IFERROR(VLOOKUP(DadosViagem5[[#This Row],[Placa]],[1]BIP!A:E,5,FALSE),"")</f>
        <v>45975</v>
      </c>
      <c r="Q1106" s="27">
        <f ca="1">DATEDIF(DadosViagem5[[#This Row],[BIP]],TODAY(),"D")</f>
        <v>15</v>
      </c>
      <c r="R1106" s="28" t="str">
        <f>IFERROR(VLOOKUP(DadosViagem5[[#This Row],[Placa]],[1]DDS!B:C,2,FALSE),"Verificar cadastro")</f>
        <v>Sem operação</v>
      </c>
      <c r="S1106" s="36" t="s">
        <v>35</v>
      </c>
      <c r="T1106" s="23"/>
      <c r="U1106" s="30"/>
      <c r="V1106" s="31"/>
      <c r="W1106" s="32" t="s">
        <v>1910</v>
      </c>
      <c r="X1106" s="33"/>
      <c r="Y1106" s="34"/>
      <c r="Z1106" s="42"/>
      <c r="AA1106" s="20" t="s">
        <v>49</v>
      </c>
      <c r="AB1106" s="20" t="s">
        <v>49</v>
      </c>
      <c r="AC1106" s="19" t="s">
        <v>49</v>
      </c>
      <c r="AD1106" s="19" t="str">
        <f ca="1">IFERROR(DATEDIF(DadosViagem5[[#This Row],[Utimo Bip Reserva]],TODAY(),"D"),"")</f>
        <v/>
      </c>
      <c r="AE1106" s="36" t="s">
        <v>49</v>
      </c>
      <c r="AF1106" s="25" t="s">
        <v>49</v>
      </c>
      <c r="AG1106" s="36"/>
      <c r="AH1106" s="25">
        <v>45807</v>
      </c>
      <c r="AI1106" s="36" t="str">
        <f>IF(DadosViagem5[[#This Row],[Dias em manutenção ]]&lt;5,"Dentro do Prazo","Fora do Prazo")</f>
        <v>Fora do Prazo</v>
      </c>
      <c r="AJ1106" s="36" t="e">
        <v>#REF!</v>
      </c>
    </row>
    <row r="1107" spans="1:36">
      <c r="A1107" s="19" t="s">
        <v>1911</v>
      </c>
      <c r="B1107" s="20"/>
      <c r="C1107" s="19" t="s">
        <v>88</v>
      </c>
      <c r="D1107" s="19" t="s">
        <v>38</v>
      </c>
      <c r="E1107" s="19" t="s">
        <v>114</v>
      </c>
      <c r="F1107" s="19" t="s">
        <v>115</v>
      </c>
      <c r="G1107" s="19"/>
      <c r="H1107" s="20">
        <v>2021</v>
      </c>
      <c r="I1107" s="19" t="s">
        <v>41</v>
      </c>
      <c r="J1107" s="19" t="s">
        <v>1902</v>
      </c>
      <c r="K1107" s="21" t="s">
        <v>1903</v>
      </c>
      <c r="L1107" s="22" t="s">
        <v>60</v>
      </c>
      <c r="M1107" s="46" t="s">
        <v>290</v>
      </c>
      <c r="N1107" s="36" t="s">
        <v>1904</v>
      </c>
      <c r="O1107" s="36" t="s">
        <v>142</v>
      </c>
      <c r="P1107" s="26">
        <f ca="1">IFERROR(VLOOKUP(DadosViagem5[[#This Row],[Placa]],[1]BIP!A:E,5,FALSE),"")</f>
        <v>45941</v>
      </c>
      <c r="Q1107" s="27">
        <f ca="1">DATEDIF(DadosViagem5[[#This Row],[BIP]],TODAY(),"D")</f>
        <v>49</v>
      </c>
      <c r="R1107" s="28" t="str">
        <f>IFERROR(VLOOKUP(DadosViagem5[[#This Row],[Placa]],[1]DDS!B:C,2,FALSE),"Verificar cadastro")</f>
        <v> </v>
      </c>
      <c r="S1107" s="29" t="s">
        <v>48</v>
      </c>
      <c r="T1107" s="23"/>
      <c r="U1107" s="30"/>
      <c r="V1107" s="31"/>
      <c r="W1107" s="116"/>
      <c r="X1107" s="33"/>
      <c r="Y1107" s="34"/>
      <c r="Z1107" s="42"/>
      <c r="AA1107" s="20" t="s">
        <v>49</v>
      </c>
      <c r="AB1107" s="20" t="s">
        <v>49</v>
      </c>
      <c r="AC1107" s="19" t="s">
        <v>49</v>
      </c>
      <c r="AD1107" s="19" t="str">
        <f ca="1">IFERROR(DATEDIF(DadosViagem5[[#This Row],[Utimo Bip Reserva]],TODAY(),"D"),"")</f>
        <v/>
      </c>
      <c r="AE1107" s="36" t="s">
        <v>49</v>
      </c>
      <c r="AF1107" s="25" t="s">
        <v>49</v>
      </c>
      <c r="AG1107" s="36"/>
      <c r="AH1107" s="25">
        <v>45807</v>
      </c>
      <c r="AI1107" s="36" t="str">
        <f>IF(DadosViagem5[[#This Row],[Dias em manutenção ]]&lt;5,"Dentro do Prazo","Fora do Prazo")</f>
        <v>Fora do Prazo</v>
      </c>
      <c r="AJ1107" s="36" t="e">
        <v>#REF!</v>
      </c>
    </row>
    <row r="1108" spans="1:36">
      <c r="A1108" s="19" t="s">
        <v>1912</v>
      </c>
      <c r="B1108" s="20">
        <v>470</v>
      </c>
      <c r="C1108" s="19" t="s">
        <v>74</v>
      </c>
      <c r="D1108" s="19" t="s">
        <v>52</v>
      </c>
      <c r="E1108" s="19" t="s">
        <v>75</v>
      </c>
      <c r="F1108" s="19" t="s">
        <v>76</v>
      </c>
      <c r="G1108" s="19"/>
      <c r="H1108" s="20">
        <v>2023</v>
      </c>
      <c r="I1108" s="19" t="s">
        <v>41</v>
      </c>
      <c r="J1108" s="19" t="s">
        <v>1133</v>
      </c>
      <c r="K1108" s="21" t="s">
        <v>1134</v>
      </c>
      <c r="L1108" s="22" t="s">
        <v>60</v>
      </c>
      <c r="M1108" s="23" t="s">
        <v>77</v>
      </c>
      <c r="N1108" s="24" t="s">
        <v>1135</v>
      </c>
      <c r="O1108" s="36" t="s">
        <v>1136</v>
      </c>
      <c r="P1108" s="26">
        <f ca="1">IFERROR(VLOOKUP(DadosViagem5[[#This Row],[Placa]],[1]BIP!A:E,5,FALSE),"")</f>
        <v>45989</v>
      </c>
      <c r="Q1108" s="27">
        <f ca="1">DATEDIF(DadosViagem5[[#This Row],[BIP]],TODAY(),"D")</f>
        <v>1</v>
      </c>
      <c r="R1108" s="28" t="str">
        <f>IFERROR(VLOOKUP(DadosViagem5[[#This Row],[Placa]],[1]DDS!B:C,2,FALSE),"Verificar cadastro")</f>
        <v>Operando</v>
      </c>
      <c r="S1108" s="29" t="s">
        <v>173</v>
      </c>
      <c r="T1108" s="23"/>
      <c r="U1108" s="30"/>
      <c r="V1108" s="31"/>
      <c r="W1108" s="116"/>
      <c r="X1108" s="33"/>
      <c r="Y1108" s="34"/>
      <c r="Z1108" s="42"/>
      <c r="AA1108" s="20" t="s">
        <v>49</v>
      </c>
      <c r="AB1108" s="20" t="s">
        <v>49</v>
      </c>
      <c r="AC1108" s="19" t="s">
        <v>49</v>
      </c>
      <c r="AD1108" s="19" t="str">
        <f ca="1">IFERROR(DATEDIF(DadosViagem5[[#This Row],[Utimo Bip Reserva]],TODAY(),"D"),"")</f>
        <v/>
      </c>
      <c r="AE1108" s="25" t="s">
        <v>49</v>
      </c>
      <c r="AF1108" s="25" t="s">
        <v>49</v>
      </c>
      <c r="AG1108" s="36"/>
      <c r="AH1108" s="25">
        <v>12</v>
      </c>
      <c r="AI1108" s="36" t="str">
        <f>IF(DadosViagem5[[#This Row],[Dias em manutenção ]]&lt;5,"Dentro do Prazo","Fora do Prazo")</f>
        <v>Fora do Prazo</v>
      </c>
      <c r="AJ1108" s="36" t="e">
        <v>#REF!</v>
      </c>
    </row>
    <row r="1109" spans="1:36">
      <c r="A1109" s="19" t="s">
        <v>1913</v>
      </c>
      <c r="B1109" s="20">
        <v>571</v>
      </c>
      <c r="C1109" s="19" t="s">
        <v>74</v>
      </c>
      <c r="D1109" s="19" t="s">
        <v>52</v>
      </c>
      <c r="E1109" s="19" t="s">
        <v>75</v>
      </c>
      <c r="F1109" s="19" t="s">
        <v>115</v>
      </c>
      <c r="G1109" s="19"/>
      <c r="H1109" s="20">
        <v>2024</v>
      </c>
      <c r="I1109" s="19" t="s">
        <v>41</v>
      </c>
      <c r="J1109" s="19" t="s">
        <v>1902</v>
      </c>
      <c r="K1109" s="21" t="s">
        <v>1903</v>
      </c>
      <c r="L1109" s="22" t="s">
        <v>60</v>
      </c>
      <c r="M1109" s="23" t="s">
        <v>77</v>
      </c>
      <c r="N1109" s="36" t="s">
        <v>1904</v>
      </c>
      <c r="O1109" s="36" t="s">
        <v>142</v>
      </c>
      <c r="P1109" s="26">
        <f ca="1">IFERROR(VLOOKUP(DadosViagem5[[#This Row],[Placa]],[1]BIP!A:E,5,FALSE),"")</f>
        <v>45989</v>
      </c>
      <c r="Q1109" s="27">
        <f ca="1">DATEDIF(DadosViagem5[[#This Row],[BIP]],TODAY(),"D")</f>
        <v>1</v>
      </c>
      <c r="R1109" s="28" t="s">
        <v>1137</v>
      </c>
      <c r="S1109" s="29" t="s">
        <v>48</v>
      </c>
      <c r="T1109" s="23"/>
      <c r="U1109" s="30"/>
      <c r="V1109" s="31"/>
      <c r="W1109" s="116"/>
      <c r="X1109" s="33"/>
      <c r="Y1109" s="34"/>
      <c r="Z1109" s="32"/>
      <c r="AA1109" s="20"/>
      <c r="AB1109" s="20" t="s">
        <v>49</v>
      </c>
      <c r="AC1109" s="19" t="s">
        <v>49</v>
      </c>
      <c r="AD1109" s="19" t="str">
        <f ca="1">IFERROR(DATEDIF(DadosViagem5[[#This Row],[Utimo Bip Reserva]],TODAY(),"D"),"")</f>
        <v/>
      </c>
      <c r="AE1109" s="25" t="s">
        <v>49</v>
      </c>
      <c r="AF1109" s="25" t="s">
        <v>49</v>
      </c>
      <c r="AG1109" s="36"/>
      <c r="AH1109" s="25">
        <v>15</v>
      </c>
      <c r="AI1109" s="36" t="str">
        <f>IF(DadosViagem5[[#This Row],[Dias em manutenção ]]&lt;5,"Dentro do Prazo","Fora do Prazo")</f>
        <v>Fora do Prazo</v>
      </c>
      <c r="AJ1109" s="36" t="e">
        <v>#REF!</v>
      </c>
    </row>
    <row r="1110" spans="1:36">
      <c r="A1110" s="19" t="s">
        <v>1914</v>
      </c>
      <c r="B1110" s="20">
        <v>558</v>
      </c>
      <c r="C1110" s="19" t="s">
        <v>74</v>
      </c>
      <c r="D1110" s="19" t="s">
        <v>52</v>
      </c>
      <c r="E1110" s="19" t="s">
        <v>75</v>
      </c>
      <c r="F1110" s="19" t="s">
        <v>76</v>
      </c>
      <c r="G1110" s="19"/>
      <c r="H1110" s="20">
        <v>2024</v>
      </c>
      <c r="I1110" s="19" t="s">
        <v>41</v>
      </c>
      <c r="J1110" s="19" t="s">
        <v>1902</v>
      </c>
      <c r="K1110" s="21" t="s">
        <v>1903</v>
      </c>
      <c r="L1110" s="22" t="s">
        <v>60</v>
      </c>
      <c r="M1110" s="23" t="s">
        <v>77</v>
      </c>
      <c r="N1110" s="36" t="s">
        <v>1904</v>
      </c>
      <c r="O1110" s="36" t="s">
        <v>142</v>
      </c>
      <c r="P1110" s="26">
        <f ca="1">IFERROR(VLOOKUP(DadosViagem5[[#This Row],[Placa]],[1]BIP!A:E,5,FALSE),"")</f>
        <v>45989</v>
      </c>
      <c r="Q1110" s="27">
        <f ca="1">DATEDIF(DadosViagem5[[#This Row],[BIP]],TODAY(),"D")</f>
        <v>1</v>
      </c>
      <c r="R1110" s="28" t="s">
        <v>1137</v>
      </c>
      <c r="S1110" s="29" t="s">
        <v>48</v>
      </c>
      <c r="T1110" s="23"/>
      <c r="U1110" s="30"/>
      <c r="V1110" s="31">
        <v>45895</v>
      </c>
      <c r="W1110" s="116" t="s">
        <v>1915</v>
      </c>
      <c r="X1110" s="33" t="s">
        <v>65</v>
      </c>
      <c r="Y1110" s="34" t="s">
        <v>159</v>
      </c>
      <c r="Z1110" s="32" t="s">
        <v>511</v>
      </c>
      <c r="AA1110" s="20" t="s">
        <v>49</v>
      </c>
      <c r="AB1110" s="20" t="s">
        <v>49</v>
      </c>
      <c r="AC1110" s="19" t="s">
        <v>49</v>
      </c>
      <c r="AD1110" s="19" t="str">
        <f ca="1">IFERROR(DATEDIF(DadosViagem5[[#This Row],[Utimo Bip Reserva]],TODAY(),"D"),"")</f>
        <v/>
      </c>
      <c r="AE1110" s="25" t="s">
        <v>49</v>
      </c>
      <c r="AF1110" s="25" t="s">
        <v>49</v>
      </c>
      <c r="AG1110" s="36"/>
      <c r="AH1110" s="25">
        <v>45807</v>
      </c>
      <c r="AI1110" s="36" t="str">
        <f>IF(DadosViagem5[[#This Row],[Dias em manutenção ]]&lt;5,"Dentro do Prazo","Fora do Prazo")</f>
        <v>Fora do Prazo</v>
      </c>
      <c r="AJ1110" s="36" t="e">
        <v>#REF!</v>
      </c>
    </row>
    <row r="1111" spans="1:36">
      <c r="A1111" s="19" t="s">
        <v>1916</v>
      </c>
      <c r="B1111" s="20"/>
      <c r="C1111" s="19" t="s">
        <v>74</v>
      </c>
      <c r="D1111" s="19" t="s">
        <v>52</v>
      </c>
      <c r="E1111" s="19" t="s">
        <v>75</v>
      </c>
      <c r="F1111" s="19" t="s">
        <v>76</v>
      </c>
      <c r="G1111" s="19"/>
      <c r="H1111" s="20">
        <v>2023</v>
      </c>
      <c r="I1111" s="19" t="s">
        <v>41</v>
      </c>
      <c r="J1111" s="19" t="s">
        <v>1902</v>
      </c>
      <c r="K1111" s="21" t="s">
        <v>1903</v>
      </c>
      <c r="L1111" s="22" t="s">
        <v>60</v>
      </c>
      <c r="M1111" s="23" t="s">
        <v>77</v>
      </c>
      <c r="N1111" s="36" t="s">
        <v>1904</v>
      </c>
      <c r="O1111" s="36" t="s">
        <v>142</v>
      </c>
      <c r="P1111" s="26">
        <f ca="1">IFERROR(VLOOKUP(DadosViagem5[[#This Row],[Placa]],[1]BIP!A:E,5,FALSE),"")</f>
        <v>45989</v>
      </c>
      <c r="Q1111" s="27">
        <f ca="1">DATEDIF(DadosViagem5[[#This Row],[BIP]],TODAY(),"D")</f>
        <v>1</v>
      </c>
      <c r="R1111" s="28" t="str">
        <f>IFERROR(VLOOKUP(DadosViagem5[[#This Row],[Placa]],[1]DDS!B:C,2,FALSE),"Verificar cadastro")</f>
        <v>Operando</v>
      </c>
      <c r="S1111" s="29" t="s">
        <v>48</v>
      </c>
      <c r="T1111" s="23"/>
      <c r="U1111" s="30"/>
      <c r="V1111" s="31"/>
      <c r="W1111" s="32" t="s">
        <v>1917</v>
      </c>
      <c r="X1111" s="33"/>
      <c r="Y1111" s="34"/>
      <c r="Z1111" s="42"/>
      <c r="AA1111" s="20" t="s">
        <v>49</v>
      </c>
      <c r="AB1111" s="20" t="s">
        <v>49</v>
      </c>
      <c r="AC1111" s="19" t="s">
        <v>49</v>
      </c>
      <c r="AD1111" s="19" t="str">
        <f ca="1">IFERROR(DATEDIF(DadosViagem5[[#This Row],[Utimo Bip Reserva]],TODAY(),"D"),"")</f>
        <v/>
      </c>
      <c r="AE1111" s="25" t="s">
        <v>49</v>
      </c>
      <c r="AF1111" s="25" t="s">
        <v>49</v>
      </c>
      <c r="AG1111" s="36"/>
      <c r="AH1111" s="25">
        <v>45807</v>
      </c>
      <c r="AI1111" s="36" t="str">
        <f>IF(DadosViagem5[[#This Row],[Dias em manutenção ]]&lt;5,"Dentro do Prazo","Fora do Prazo")</f>
        <v>Fora do Prazo</v>
      </c>
      <c r="AJ1111" s="36" t="e">
        <v>#REF!</v>
      </c>
    </row>
    <row r="1112" spans="1:36">
      <c r="A1112" s="19" t="s">
        <v>1918</v>
      </c>
      <c r="B1112" s="20">
        <v>544</v>
      </c>
      <c r="C1112" s="19" t="s">
        <v>74</v>
      </c>
      <c r="D1112" s="19" t="s">
        <v>52</v>
      </c>
      <c r="E1112" s="19" t="s">
        <v>75</v>
      </c>
      <c r="F1112" s="19" t="s">
        <v>115</v>
      </c>
      <c r="G1112" s="19"/>
      <c r="H1112" s="20">
        <v>2023</v>
      </c>
      <c r="I1112" s="19" t="s">
        <v>41</v>
      </c>
      <c r="J1112" s="19" t="s">
        <v>1902</v>
      </c>
      <c r="K1112" s="21" t="s">
        <v>1903</v>
      </c>
      <c r="L1112" s="22" t="s">
        <v>60</v>
      </c>
      <c r="M1112" s="23" t="s">
        <v>77</v>
      </c>
      <c r="N1112" s="36" t="s">
        <v>1904</v>
      </c>
      <c r="O1112" s="36" t="s">
        <v>142</v>
      </c>
      <c r="P1112" s="26">
        <f ca="1">IFERROR(VLOOKUP(DadosViagem5[[#This Row],[Placa]],[1]BIP!A:E,5,FALSE),"")</f>
        <v>45988</v>
      </c>
      <c r="Q1112" s="27">
        <f ca="1">DATEDIF(DadosViagem5[[#This Row],[BIP]],TODAY(),"D")</f>
        <v>2</v>
      </c>
      <c r="R1112" s="28" t="str">
        <f>IFERROR(VLOOKUP(DadosViagem5[[#This Row],[Placa]],[1]DDS!B:C,2,FALSE),"Verificar cadastro")</f>
        <v> </v>
      </c>
      <c r="S1112" s="29" t="s">
        <v>173</v>
      </c>
      <c r="T1112" s="23"/>
      <c r="U1112" s="30"/>
      <c r="V1112" s="31"/>
      <c r="W1112" s="116"/>
      <c r="X1112" s="33"/>
      <c r="Y1112" s="34"/>
      <c r="Z1112" s="42"/>
      <c r="AA1112" s="20" t="s">
        <v>49</v>
      </c>
      <c r="AB1112" s="20" t="s">
        <v>49</v>
      </c>
      <c r="AC1112" s="19" t="s">
        <v>49</v>
      </c>
      <c r="AD1112" s="19" t="str">
        <f ca="1">IFERROR(DATEDIF(DadosViagem5[[#This Row],[Utimo Bip Reserva]],TODAY(),"D"),"")</f>
        <v/>
      </c>
      <c r="AE1112" s="25" t="s">
        <v>49</v>
      </c>
      <c r="AF1112" s="25" t="s">
        <v>49</v>
      </c>
      <c r="AG1112" s="36"/>
      <c r="AH1112" s="25">
        <v>45807</v>
      </c>
      <c r="AI1112" s="36" t="str">
        <f>IF(DadosViagem5[[#This Row],[Dias em manutenção ]]&lt;5,"Dentro do Prazo","Fora do Prazo")</f>
        <v>Fora do Prazo</v>
      </c>
      <c r="AJ1112" s="36" t="e">
        <v>#REF!</v>
      </c>
    </row>
    <row r="1113" spans="1:36">
      <c r="A1113" s="19" t="s">
        <v>1919</v>
      </c>
      <c r="B1113" s="20">
        <v>435</v>
      </c>
      <c r="C1113" s="19" t="s">
        <v>74</v>
      </c>
      <c r="D1113" s="19" t="s">
        <v>52</v>
      </c>
      <c r="E1113" s="19" t="s">
        <v>75</v>
      </c>
      <c r="F1113" s="19" t="s">
        <v>76</v>
      </c>
      <c r="G1113" s="19"/>
      <c r="H1113" s="20">
        <v>2023</v>
      </c>
      <c r="I1113" s="19" t="s">
        <v>41</v>
      </c>
      <c r="J1113" s="19" t="s">
        <v>1902</v>
      </c>
      <c r="K1113" s="21" t="s">
        <v>1903</v>
      </c>
      <c r="L1113" s="22" t="s">
        <v>60</v>
      </c>
      <c r="M1113" s="23" t="s">
        <v>77</v>
      </c>
      <c r="N1113" s="36" t="s">
        <v>1904</v>
      </c>
      <c r="O1113" s="36" t="s">
        <v>142</v>
      </c>
      <c r="P1113" s="26">
        <f ca="1">IFERROR(VLOOKUP(DadosViagem5[[#This Row],[Placa]],[1]BIP!A:E,5,FALSE),"")</f>
        <v>45989</v>
      </c>
      <c r="Q1113" s="27">
        <f ca="1">DATEDIF(DadosViagem5[[#This Row],[BIP]],TODAY(),"D")</f>
        <v>1</v>
      </c>
      <c r="R1113" s="28" t="str">
        <f>IFERROR(VLOOKUP(DadosViagem5[[#This Row],[Placa]],[1]DDS!B:C,2,FALSE),"Verificar cadastro")</f>
        <v>Operando</v>
      </c>
      <c r="S1113" s="29" t="s">
        <v>48</v>
      </c>
      <c r="T1113" s="23"/>
      <c r="U1113" s="30"/>
      <c r="V1113" s="31"/>
      <c r="W1113" s="116"/>
      <c r="X1113" s="33"/>
      <c r="Y1113" s="34"/>
      <c r="Z1113" s="42"/>
      <c r="AA1113" s="20" t="s">
        <v>49</v>
      </c>
      <c r="AB1113" s="20" t="s">
        <v>49</v>
      </c>
      <c r="AC1113" s="19" t="s">
        <v>49</v>
      </c>
      <c r="AD1113" s="19" t="str">
        <f ca="1">IFERROR(DATEDIF(DadosViagem5[[#This Row],[Utimo Bip Reserva]],TODAY(),"D"),"")</f>
        <v/>
      </c>
      <c r="AE1113" s="29" t="s">
        <v>49</v>
      </c>
      <c r="AF1113" s="35" t="s">
        <v>49</v>
      </c>
      <c r="AG1113" s="36"/>
      <c r="AH1113" s="25">
        <v>45807</v>
      </c>
      <c r="AI1113" s="36" t="str">
        <f>IF(DadosViagem5[[#This Row],[Dias em manutenção ]]&lt;5,"Dentro do Prazo","Fora do Prazo")</f>
        <v>Fora do Prazo</v>
      </c>
      <c r="AJ1113" s="36" t="e">
        <v>#REF!</v>
      </c>
    </row>
    <row r="1114" spans="1:36">
      <c r="A1114" s="19" t="s">
        <v>1920</v>
      </c>
      <c r="B1114" s="20">
        <v>542</v>
      </c>
      <c r="C1114" s="19" t="s">
        <v>74</v>
      </c>
      <c r="D1114" s="19" t="s">
        <v>52</v>
      </c>
      <c r="E1114" s="19" t="s">
        <v>75</v>
      </c>
      <c r="F1114" s="19" t="s">
        <v>115</v>
      </c>
      <c r="G1114" s="19"/>
      <c r="H1114" s="20">
        <v>2024</v>
      </c>
      <c r="I1114" s="19" t="s">
        <v>41</v>
      </c>
      <c r="J1114" s="19" t="s">
        <v>1902</v>
      </c>
      <c r="K1114" s="21" t="s">
        <v>1903</v>
      </c>
      <c r="L1114" s="22" t="s">
        <v>60</v>
      </c>
      <c r="M1114" s="23" t="s">
        <v>77</v>
      </c>
      <c r="N1114" s="36" t="s">
        <v>1904</v>
      </c>
      <c r="O1114" s="36" t="s">
        <v>142</v>
      </c>
      <c r="P1114" s="26">
        <f ca="1">IFERROR(VLOOKUP(DadosViagem5[[#This Row],[Placa]],[1]BIP!A:E,5,FALSE),"")</f>
        <v>45989</v>
      </c>
      <c r="Q1114" s="27">
        <f ca="1">DATEDIF(DadosViagem5[[#This Row],[BIP]],TODAY(),"D")</f>
        <v>1</v>
      </c>
      <c r="R1114" s="28"/>
      <c r="S1114" s="29" t="s">
        <v>48</v>
      </c>
      <c r="T1114" s="23"/>
      <c r="U1114" s="30"/>
      <c r="V1114" s="31">
        <v>45883</v>
      </c>
      <c r="W1114" s="116" t="s">
        <v>1921</v>
      </c>
      <c r="X1114" s="33" t="s">
        <v>65</v>
      </c>
      <c r="Y1114" s="34" t="s">
        <v>159</v>
      </c>
      <c r="Z1114" s="42" t="s">
        <v>1922</v>
      </c>
      <c r="AA1114" s="20" t="s">
        <v>49</v>
      </c>
      <c r="AB1114" s="20" t="s">
        <v>49</v>
      </c>
      <c r="AC1114" s="19" t="s">
        <v>49</v>
      </c>
      <c r="AD1114" s="19" t="str">
        <f ca="1">IFERROR(DATEDIF(DadosViagem5[[#This Row],[Utimo Bip Reserva]],TODAY(),"D"),"")</f>
        <v/>
      </c>
      <c r="AE1114" s="36"/>
      <c r="AF1114" s="25"/>
      <c r="AG1114" s="36"/>
      <c r="AH1114" s="25">
        <v>45807</v>
      </c>
      <c r="AI1114" s="36" t="str">
        <f>IF(DadosViagem5[[#This Row],[Dias em manutenção ]]&lt;5,"Dentro do Prazo","Fora do Prazo")</f>
        <v>Fora do Prazo</v>
      </c>
      <c r="AJ1114" s="36" t="e">
        <v>#REF!</v>
      </c>
    </row>
    <row r="1115" spans="1:36">
      <c r="A1115" s="19" t="s">
        <v>1923</v>
      </c>
      <c r="B1115" s="20"/>
      <c r="C1115" s="19" t="s">
        <v>88</v>
      </c>
      <c r="D1115" s="19" t="s">
        <v>52</v>
      </c>
      <c r="E1115" s="19" t="s">
        <v>114</v>
      </c>
      <c r="F1115" s="19" t="s">
        <v>115</v>
      </c>
      <c r="G1115" s="19"/>
      <c r="H1115" s="20">
        <v>2023</v>
      </c>
      <c r="I1115" s="19" t="s">
        <v>41</v>
      </c>
      <c r="J1115" s="19" t="s">
        <v>1902</v>
      </c>
      <c r="K1115" s="21" t="s">
        <v>1903</v>
      </c>
      <c r="L1115" s="22" t="s">
        <v>60</v>
      </c>
      <c r="M1115" s="23" t="s">
        <v>290</v>
      </c>
      <c r="N1115" s="36" t="s">
        <v>1904</v>
      </c>
      <c r="O1115" s="36" t="s">
        <v>142</v>
      </c>
      <c r="P1115" s="26">
        <f ca="1">IFERROR(VLOOKUP(DadosViagem5[[#This Row],[Placa]],[1]BIP!A:E,5,FALSE),"")</f>
        <v>45891</v>
      </c>
      <c r="Q1115" s="27">
        <f ca="1">DATEDIF(DadosViagem5[[#This Row],[BIP]],TODAY(),"D")</f>
        <v>99</v>
      </c>
      <c r="R1115" s="28" t="str">
        <f>IFERROR(VLOOKUP(DadosViagem5[[#This Row],[Placa]],[1]DDS!B:C,2,FALSE),"Verificar cadastro")</f>
        <v>Verificar cadastro</v>
      </c>
      <c r="S1115" s="36" t="s">
        <v>574</v>
      </c>
      <c r="T1115" s="23"/>
      <c r="U1115" s="30"/>
      <c r="V1115" s="31"/>
      <c r="W1115" s="32" t="s">
        <v>1924</v>
      </c>
      <c r="X1115" s="33"/>
      <c r="Y1115" s="34"/>
      <c r="Z1115" s="42"/>
      <c r="AA1115" s="20" t="s">
        <v>49</v>
      </c>
      <c r="AB1115" s="20" t="s">
        <v>49</v>
      </c>
      <c r="AC1115" s="19" t="s">
        <v>49</v>
      </c>
      <c r="AD1115" s="19" t="str">
        <f ca="1">IFERROR(DATEDIF(DadosViagem5[[#This Row],[Utimo Bip Reserva]],TODAY(),"D"),"")</f>
        <v/>
      </c>
      <c r="AE1115" s="36" t="s">
        <v>1925</v>
      </c>
      <c r="AF1115" s="25" t="s">
        <v>49</v>
      </c>
      <c r="AG1115" s="36" t="s">
        <v>540</v>
      </c>
      <c r="AH1115" s="25">
        <v>45807</v>
      </c>
      <c r="AI1115" s="36" t="str">
        <f>IF(DadosViagem5[[#This Row],[Dias em manutenção ]]&lt;5,"Dentro do Prazo","Fora do Prazo")</f>
        <v>Fora do Prazo</v>
      </c>
      <c r="AJ1115" s="36" t="e">
        <v>#REF!</v>
      </c>
    </row>
    <row r="1116" spans="1:36">
      <c r="A1116" s="19" t="s">
        <v>1926</v>
      </c>
      <c r="B1116" s="20"/>
      <c r="C1116" s="19" t="s">
        <v>591</v>
      </c>
      <c r="D1116" s="19" t="s">
        <v>592</v>
      </c>
      <c r="E1116" s="19" t="s">
        <v>114</v>
      </c>
      <c r="F1116" s="19" t="s">
        <v>115</v>
      </c>
      <c r="G1116" s="19"/>
      <c r="H1116" s="20">
        <v>2023</v>
      </c>
      <c r="I1116" s="19" t="s">
        <v>41</v>
      </c>
      <c r="J1116" s="19" t="s">
        <v>1902</v>
      </c>
      <c r="K1116" s="21" t="s">
        <v>1903</v>
      </c>
      <c r="L1116" s="22" t="s">
        <v>60</v>
      </c>
      <c r="M1116" s="23" t="s">
        <v>290</v>
      </c>
      <c r="N1116" s="36" t="s">
        <v>1904</v>
      </c>
      <c r="O1116" s="36" t="s">
        <v>142</v>
      </c>
      <c r="P1116" s="26">
        <f ca="1">IFERROR(VLOOKUP(DadosViagem5[[#This Row],[Placa]],[1]BIP!A:E,5,FALSE),"")</f>
        <v>45976</v>
      </c>
      <c r="Q1116" s="27">
        <f ca="1">DATEDIF(DadosViagem5[[#This Row],[BIP]],TODAY(),"D")</f>
        <v>14</v>
      </c>
      <c r="R1116" s="28" t="str">
        <f>IFERROR(VLOOKUP(DadosViagem5[[#This Row],[Placa]],[1]DDS!B:C,2,FALSE),"Verificar cadastro")</f>
        <v>Manutenção</v>
      </c>
      <c r="S1116" s="29" t="s">
        <v>1927</v>
      </c>
      <c r="T1116" s="23"/>
      <c r="U1116" s="30"/>
      <c r="V1116" s="31"/>
      <c r="W1116" s="116" t="s">
        <v>1107</v>
      </c>
      <c r="X1116" s="33"/>
      <c r="Y1116" s="34"/>
      <c r="Z1116" s="42"/>
      <c r="AA1116" s="20" t="s">
        <v>49</v>
      </c>
      <c r="AB1116" s="20" t="s">
        <v>49</v>
      </c>
      <c r="AC1116" s="19" t="s">
        <v>49</v>
      </c>
      <c r="AD1116" s="19" t="str">
        <f ca="1">IFERROR(DATEDIF(DadosViagem5[[#This Row],[Utimo Bip Reserva]],TODAY(),"D"),"")</f>
        <v/>
      </c>
      <c r="AE1116" s="36" t="s">
        <v>1928</v>
      </c>
      <c r="AF1116" s="25" t="s">
        <v>49</v>
      </c>
      <c r="AG1116" s="36"/>
      <c r="AH1116" s="25">
        <v>45807</v>
      </c>
      <c r="AI1116" s="36" t="str">
        <f>IF(DadosViagem5[[#This Row],[Dias em manutenção ]]&lt;5,"Dentro do Prazo","Fora do Prazo")</f>
        <v>Fora do Prazo</v>
      </c>
      <c r="AJ1116" s="36" t="e">
        <v>#REF!</v>
      </c>
    </row>
    <row r="1117" spans="1:36">
      <c r="A1117" s="19" t="s">
        <v>1929</v>
      </c>
      <c r="B1117" s="20">
        <v>432</v>
      </c>
      <c r="C1117" s="19" t="s">
        <v>74</v>
      </c>
      <c r="D1117" s="19" t="s">
        <v>52</v>
      </c>
      <c r="E1117" s="19" t="s">
        <v>75</v>
      </c>
      <c r="F1117" s="19" t="s">
        <v>76</v>
      </c>
      <c r="G1117" s="19"/>
      <c r="H1117" s="20">
        <v>2024</v>
      </c>
      <c r="I1117" s="19" t="s">
        <v>41</v>
      </c>
      <c r="J1117" s="19" t="s">
        <v>1902</v>
      </c>
      <c r="K1117" s="21" t="s">
        <v>1903</v>
      </c>
      <c r="L1117" s="22" t="s">
        <v>60</v>
      </c>
      <c r="M1117" s="23" t="s">
        <v>77</v>
      </c>
      <c r="N1117" s="36" t="s">
        <v>1904</v>
      </c>
      <c r="O1117" s="36" t="s">
        <v>142</v>
      </c>
      <c r="P1117" s="26">
        <f ca="1">IFERROR(VLOOKUP(DadosViagem5[[#This Row],[Placa]],[1]BIP!A:E,5,FALSE),"")</f>
        <v>45989</v>
      </c>
      <c r="Q1117" s="27">
        <f ca="1">DATEDIF(DadosViagem5[[#This Row],[BIP]],TODAY(),"D")</f>
        <v>1</v>
      </c>
      <c r="R1117" s="28" t="str">
        <f>IFERROR(VLOOKUP(DadosViagem5[[#This Row],[Placa]],[1]DDS!B:C,2,FALSE),"Verificar cadastro")</f>
        <v>Operando</v>
      </c>
      <c r="S1117" s="29" t="s">
        <v>48</v>
      </c>
      <c r="T1117" s="23"/>
      <c r="U1117" s="30"/>
      <c r="V1117" s="31"/>
      <c r="W1117" s="32" t="s">
        <v>1930</v>
      </c>
      <c r="X1117" s="33"/>
      <c r="Y1117" s="34"/>
      <c r="Z1117" s="42"/>
      <c r="AA1117" s="20" t="s">
        <v>49</v>
      </c>
      <c r="AB1117" s="20" t="s">
        <v>49</v>
      </c>
      <c r="AC1117" s="19" t="s">
        <v>49</v>
      </c>
      <c r="AD1117" s="19" t="str">
        <f ca="1">IFERROR(DATEDIF(DadosViagem5[[#This Row],[Utimo Bip Reserva]],TODAY(),"D"),"")</f>
        <v/>
      </c>
      <c r="AE1117" s="35"/>
      <c r="AF1117" s="35"/>
      <c r="AG1117" s="36"/>
      <c r="AH1117" s="25">
        <v>45807</v>
      </c>
      <c r="AI1117" s="36" t="str">
        <f>IF(DadosViagem5[[#This Row],[Dias em manutenção ]]&lt;5,"Dentro do Prazo","Fora do Prazo")</f>
        <v>Fora do Prazo</v>
      </c>
      <c r="AJ1117" s="36" t="e">
        <v>#REF!</v>
      </c>
    </row>
    <row r="1118" spans="1:36">
      <c r="A1118" s="19" t="s">
        <v>1931</v>
      </c>
      <c r="B1118" s="20">
        <v>547</v>
      </c>
      <c r="C1118" s="19" t="s">
        <v>74</v>
      </c>
      <c r="D1118" s="19" t="s">
        <v>52</v>
      </c>
      <c r="E1118" s="19" t="s">
        <v>75</v>
      </c>
      <c r="F1118" s="19" t="s">
        <v>115</v>
      </c>
      <c r="G1118" s="19"/>
      <c r="H1118" s="20">
        <v>2024</v>
      </c>
      <c r="I1118" s="19" t="s">
        <v>41</v>
      </c>
      <c r="J1118" s="19" t="s">
        <v>1902</v>
      </c>
      <c r="K1118" s="21" t="s">
        <v>1903</v>
      </c>
      <c r="L1118" s="22" t="s">
        <v>60</v>
      </c>
      <c r="M1118" s="23" t="s">
        <v>77</v>
      </c>
      <c r="N1118" s="36" t="s">
        <v>1904</v>
      </c>
      <c r="O1118" s="36" t="s">
        <v>142</v>
      </c>
      <c r="P1118" s="26">
        <f ca="1">IFERROR(VLOOKUP(DadosViagem5[[#This Row],[Placa]],[1]BIP!A:E,5,FALSE),"")</f>
        <v>45989</v>
      </c>
      <c r="Q1118" s="27">
        <f ca="1">DATEDIF(DadosViagem5[[#This Row],[BIP]],TODAY(),"D")</f>
        <v>1</v>
      </c>
      <c r="R1118" s="28" t="s">
        <v>1137</v>
      </c>
      <c r="S1118" s="29" t="s">
        <v>48</v>
      </c>
      <c r="T1118" s="23"/>
      <c r="U1118" s="30"/>
      <c r="V1118" s="31"/>
      <c r="W1118" s="32"/>
      <c r="X1118" s="33"/>
      <c r="Y1118" s="34"/>
      <c r="Z1118" s="32"/>
      <c r="AA1118" s="20" t="s">
        <v>49</v>
      </c>
      <c r="AB1118" s="20" t="s">
        <v>49</v>
      </c>
      <c r="AC1118" s="19" t="s">
        <v>49</v>
      </c>
      <c r="AD1118" s="19" t="str">
        <f ca="1">IFERROR(DATEDIF(DadosViagem5[[#This Row],[Utimo Bip Reserva]],TODAY(),"D"),"")</f>
        <v/>
      </c>
      <c r="AE1118" s="25" t="s">
        <v>49</v>
      </c>
      <c r="AF1118" s="25" t="s">
        <v>49</v>
      </c>
      <c r="AG1118" s="36"/>
      <c r="AH1118" s="25">
        <v>45807</v>
      </c>
      <c r="AI1118" s="36" t="str">
        <f>IF(DadosViagem5[[#This Row],[Dias em manutenção ]]&lt;5,"Dentro do Prazo","Fora do Prazo")</f>
        <v>Fora do Prazo</v>
      </c>
      <c r="AJ1118" s="36" t="e">
        <v>#REF!</v>
      </c>
    </row>
    <row r="1119" spans="1:36">
      <c r="A1119" s="19" t="s">
        <v>1932</v>
      </c>
      <c r="B1119" s="20"/>
      <c r="C1119" s="19" t="s">
        <v>74</v>
      </c>
      <c r="D1119" s="19" t="s">
        <v>52</v>
      </c>
      <c r="E1119" s="19" t="s">
        <v>75</v>
      </c>
      <c r="F1119" s="19" t="s">
        <v>76</v>
      </c>
      <c r="G1119" s="19"/>
      <c r="H1119" s="20">
        <v>2024</v>
      </c>
      <c r="I1119" s="19" t="s">
        <v>41</v>
      </c>
      <c r="J1119" s="19" t="s">
        <v>1902</v>
      </c>
      <c r="K1119" s="21" t="s">
        <v>1903</v>
      </c>
      <c r="L1119" s="22" t="s">
        <v>60</v>
      </c>
      <c r="M1119" s="23" t="s">
        <v>77</v>
      </c>
      <c r="N1119" s="36" t="s">
        <v>1904</v>
      </c>
      <c r="O1119" s="36" t="s">
        <v>142</v>
      </c>
      <c r="P1119" s="26">
        <f ca="1">IFERROR(VLOOKUP(DadosViagem5[[#This Row],[Placa]],[1]BIP!A:E,5,FALSE),"")</f>
        <v>45989</v>
      </c>
      <c r="Q1119" s="27">
        <f ca="1">DATEDIF(DadosViagem5[[#This Row],[BIP]],TODAY(),"D")</f>
        <v>1</v>
      </c>
      <c r="R1119" s="28" t="str">
        <f>IFERROR(VLOOKUP(DadosViagem5[[#This Row],[Placa]],[1]DDS!B:C,2,FALSE),"Verificar cadastro")</f>
        <v>Operando</v>
      </c>
      <c r="S1119" s="29" t="s">
        <v>48</v>
      </c>
      <c r="T1119" s="23"/>
      <c r="U1119" s="30"/>
      <c r="V1119" s="31"/>
      <c r="W1119" s="32" t="s">
        <v>1933</v>
      </c>
      <c r="X1119" s="33"/>
      <c r="Y1119" s="34"/>
      <c r="Z1119" s="42"/>
      <c r="AA1119" s="20" t="s">
        <v>49</v>
      </c>
      <c r="AB1119" s="20" t="s">
        <v>49</v>
      </c>
      <c r="AC1119" s="19" t="s">
        <v>49</v>
      </c>
      <c r="AD1119" s="19" t="str">
        <f ca="1">IFERROR(DATEDIF(DadosViagem5[[#This Row],[Utimo Bip Reserva]],TODAY(),"D"),"")</f>
        <v/>
      </c>
      <c r="AE1119" s="25" t="s">
        <v>49</v>
      </c>
      <c r="AF1119" s="25" t="s">
        <v>49</v>
      </c>
      <c r="AG1119" s="36"/>
      <c r="AH1119" s="25">
        <v>7</v>
      </c>
      <c r="AI1119" s="36" t="str">
        <f>IF(DadosViagem5[[#This Row],[Dias em manutenção ]]&lt;5,"Dentro do Prazo","Fora do Prazo")</f>
        <v>Fora do Prazo</v>
      </c>
      <c r="AJ1119" s="36" t="e">
        <v>#REF!</v>
      </c>
    </row>
    <row r="1120" spans="1:36">
      <c r="A1120" s="19" t="s">
        <v>1934</v>
      </c>
      <c r="B1120" s="20">
        <v>439</v>
      </c>
      <c r="C1120" s="19" t="s">
        <v>74</v>
      </c>
      <c r="D1120" s="19" t="s">
        <v>52</v>
      </c>
      <c r="E1120" s="19" t="s">
        <v>75</v>
      </c>
      <c r="F1120" s="19" t="s">
        <v>76</v>
      </c>
      <c r="G1120" s="19"/>
      <c r="H1120" s="20">
        <v>2024</v>
      </c>
      <c r="I1120" s="19" t="s">
        <v>41</v>
      </c>
      <c r="J1120" s="19" t="s">
        <v>1902</v>
      </c>
      <c r="K1120" s="21" t="s">
        <v>1903</v>
      </c>
      <c r="L1120" s="22" t="s">
        <v>60</v>
      </c>
      <c r="M1120" s="23" t="s">
        <v>77</v>
      </c>
      <c r="N1120" s="36" t="s">
        <v>1904</v>
      </c>
      <c r="O1120" s="36" t="s">
        <v>142</v>
      </c>
      <c r="P1120" s="26">
        <f ca="1">IFERROR(VLOOKUP(DadosViagem5[[#This Row],[Placa]],[1]BIP!A:E,5,FALSE),"")</f>
        <v>45988</v>
      </c>
      <c r="Q1120" s="27">
        <f ca="1">DATEDIF(DadosViagem5[[#This Row],[BIP]],TODAY(),"D")</f>
        <v>2</v>
      </c>
      <c r="R1120" s="28" t="str">
        <f>IFERROR(VLOOKUP(DadosViagem5[[#This Row],[Placa]],[1]DDS!B:C,2,FALSE),"Verificar cadastro")</f>
        <v> </v>
      </c>
      <c r="S1120" s="29" t="s">
        <v>48</v>
      </c>
      <c r="T1120" s="23"/>
      <c r="U1120" s="30"/>
      <c r="V1120" s="31"/>
      <c r="W1120" s="32" t="s">
        <v>1933</v>
      </c>
      <c r="X1120" s="33"/>
      <c r="Y1120" s="34"/>
      <c r="Z1120" s="42"/>
      <c r="AA1120" s="20" t="s">
        <v>49</v>
      </c>
      <c r="AB1120" s="20" t="s">
        <v>49</v>
      </c>
      <c r="AC1120" s="19" t="s">
        <v>49</v>
      </c>
      <c r="AD1120" s="19" t="str">
        <f ca="1">IFERROR(DATEDIF(DadosViagem5[[#This Row],[Utimo Bip Reserva]],TODAY(),"D"),"")</f>
        <v/>
      </c>
      <c r="AE1120" s="35" t="s">
        <v>1935</v>
      </c>
      <c r="AF1120" s="35"/>
      <c r="AG1120" s="36"/>
      <c r="AH1120" s="25">
        <v>33</v>
      </c>
      <c r="AI1120" s="36" t="str">
        <f>IF(DadosViagem5[[#This Row],[Dias em manutenção ]]&lt;5,"Dentro do Prazo","Fora do Prazo")</f>
        <v>Fora do Prazo</v>
      </c>
      <c r="AJ1120" s="36" t="e">
        <v>#REF!</v>
      </c>
    </row>
    <row r="1121" spans="1:36">
      <c r="A1121" s="19" t="s">
        <v>1936</v>
      </c>
      <c r="B1121" s="20"/>
      <c r="C1121" s="19" t="s">
        <v>74</v>
      </c>
      <c r="D1121" s="19" t="s">
        <v>52</v>
      </c>
      <c r="E1121" s="19" t="s">
        <v>75</v>
      </c>
      <c r="F1121" s="19" t="s">
        <v>115</v>
      </c>
      <c r="G1121" s="19"/>
      <c r="H1121" s="20">
        <v>2024</v>
      </c>
      <c r="I1121" s="19" t="s">
        <v>41</v>
      </c>
      <c r="J1121" s="19" t="s">
        <v>1902</v>
      </c>
      <c r="K1121" s="21" t="s">
        <v>1903</v>
      </c>
      <c r="L1121" s="22" t="s">
        <v>60</v>
      </c>
      <c r="M1121" s="23" t="s">
        <v>77</v>
      </c>
      <c r="N1121" s="36" t="s">
        <v>1904</v>
      </c>
      <c r="O1121" s="36" t="s">
        <v>142</v>
      </c>
      <c r="P1121" s="26">
        <f ca="1">IFERROR(VLOOKUP(DadosViagem5[[#This Row],[Placa]],[1]BIP!A:E,5,FALSE),"")</f>
        <v>45988</v>
      </c>
      <c r="Q1121" s="27">
        <f ca="1">DATEDIF(DadosViagem5[[#This Row],[BIP]],TODAY(),"D")</f>
        <v>2</v>
      </c>
      <c r="R1121" s="28" t="str">
        <f>IFERROR(VLOOKUP(DadosViagem5[[#This Row],[Placa]],[1]DDS!B:C,2,FALSE),"Verificar cadastro")</f>
        <v> </v>
      </c>
      <c r="S1121" s="29" t="s">
        <v>48</v>
      </c>
      <c r="T1121" s="23"/>
      <c r="U1121" s="30"/>
      <c r="V1121" s="31"/>
      <c r="W1121" s="32" t="s">
        <v>1933</v>
      </c>
      <c r="X1121" s="33"/>
      <c r="Y1121" s="34"/>
      <c r="Z1121" s="42"/>
      <c r="AA1121" s="20" t="s">
        <v>49</v>
      </c>
      <c r="AB1121" s="20" t="s">
        <v>49</v>
      </c>
      <c r="AC1121" s="19" t="s">
        <v>49</v>
      </c>
      <c r="AD1121" s="19" t="str">
        <f ca="1">IFERROR(DATEDIF(DadosViagem5[[#This Row],[Utimo Bip Reserva]],TODAY(),"D"),"")</f>
        <v/>
      </c>
      <c r="AE1121" s="25" t="s">
        <v>49</v>
      </c>
      <c r="AF1121" s="25" t="s">
        <v>49</v>
      </c>
      <c r="AG1121" s="36"/>
      <c r="AH1121" s="25">
        <v>7</v>
      </c>
      <c r="AI1121" s="36" t="str">
        <f>IF(DadosViagem5[[#This Row],[Dias em manutenção ]]&lt;5,"Dentro do Prazo","Fora do Prazo")</f>
        <v>Fora do Prazo</v>
      </c>
      <c r="AJ1121" s="36" t="e">
        <v>#REF!</v>
      </c>
    </row>
    <row r="1122" spans="1:36">
      <c r="A1122" s="19" t="s">
        <v>1937</v>
      </c>
      <c r="B1122" s="20"/>
      <c r="C1122" s="19" t="s">
        <v>591</v>
      </c>
      <c r="D1122" s="19" t="s">
        <v>592</v>
      </c>
      <c r="E1122" s="19" t="s">
        <v>114</v>
      </c>
      <c r="F1122" s="19" t="s">
        <v>115</v>
      </c>
      <c r="G1122" s="19"/>
      <c r="H1122" s="20">
        <v>2021</v>
      </c>
      <c r="I1122" s="19" t="s">
        <v>41</v>
      </c>
      <c r="J1122" s="19" t="s">
        <v>1902</v>
      </c>
      <c r="K1122" s="21" t="s">
        <v>1903</v>
      </c>
      <c r="L1122" s="22" t="s">
        <v>60</v>
      </c>
      <c r="M1122" s="23" t="s">
        <v>290</v>
      </c>
      <c r="N1122" s="36" t="s">
        <v>1904</v>
      </c>
      <c r="O1122" s="36" t="s">
        <v>142</v>
      </c>
      <c r="P1122" s="26">
        <f ca="1">IFERROR(VLOOKUP(DadosViagem5[[#This Row],[Placa]],[1]BIP!A:E,5,FALSE),"")</f>
        <v>45989</v>
      </c>
      <c r="Q1122" s="27">
        <f ca="1">DATEDIF(DadosViagem5[[#This Row],[BIP]],TODAY(),"D")</f>
        <v>1</v>
      </c>
      <c r="R1122" s="28" t="str">
        <f>IFERROR(VLOOKUP(DadosViagem5[[#This Row],[Placa]],[1]DDS!B:C,2,FALSE),"Verificar cadastro")</f>
        <v>Operando</v>
      </c>
      <c r="S1122" s="29" t="s">
        <v>48</v>
      </c>
      <c r="T1122" s="23"/>
      <c r="U1122" s="30"/>
      <c r="V1122" s="31"/>
      <c r="W1122" s="116" t="s">
        <v>1938</v>
      </c>
      <c r="X1122" s="33"/>
      <c r="Y1122" s="34"/>
      <c r="Z1122" s="32"/>
      <c r="AA1122" s="20"/>
      <c r="AB1122" s="20" t="s">
        <v>49</v>
      </c>
      <c r="AC1122" s="19" t="s">
        <v>49</v>
      </c>
      <c r="AD1122" s="19" t="str">
        <f ca="1">IFERROR(DATEDIF(DadosViagem5[[#This Row],[Utimo Bip Reserva]],TODAY(),"D"),"")</f>
        <v/>
      </c>
      <c r="AE1122" s="36"/>
      <c r="AF1122" s="25" t="s">
        <v>49</v>
      </c>
      <c r="AG1122" s="36"/>
      <c r="AH1122" s="25">
        <v>7</v>
      </c>
      <c r="AI1122" s="36" t="str">
        <f>IF(DadosViagem5[[#This Row],[Dias em manutenção ]]&lt;5,"Dentro do Prazo","Fora do Prazo")</f>
        <v>Fora do Prazo</v>
      </c>
      <c r="AJ1122" s="36" t="e">
        <v>#REF!</v>
      </c>
    </row>
    <row r="1123" spans="1:36">
      <c r="A1123" s="19" t="s">
        <v>1939</v>
      </c>
      <c r="B1123" s="20"/>
      <c r="C1123" s="19" t="s">
        <v>591</v>
      </c>
      <c r="D1123" s="19" t="s">
        <v>592</v>
      </c>
      <c r="E1123" s="19" t="s">
        <v>114</v>
      </c>
      <c r="F1123" s="19" t="s">
        <v>115</v>
      </c>
      <c r="G1123" s="19"/>
      <c r="H1123" s="20">
        <v>2023</v>
      </c>
      <c r="I1123" s="19" t="s">
        <v>41</v>
      </c>
      <c r="J1123" s="19" t="s">
        <v>1902</v>
      </c>
      <c r="K1123" s="21" t="s">
        <v>1903</v>
      </c>
      <c r="L1123" s="22" t="s">
        <v>60</v>
      </c>
      <c r="M1123" s="23" t="s">
        <v>290</v>
      </c>
      <c r="N1123" s="36" t="s">
        <v>1904</v>
      </c>
      <c r="O1123" s="36" t="s">
        <v>142</v>
      </c>
      <c r="P1123" s="26">
        <f ca="1">IFERROR(VLOOKUP(DadosViagem5[[#This Row],[Placa]],[1]BIP!A:E,5,FALSE),"")</f>
        <v>45989</v>
      </c>
      <c r="Q1123" s="27">
        <f ca="1">DATEDIF(DadosViagem5[[#This Row],[BIP]],TODAY(),"D")</f>
        <v>1</v>
      </c>
      <c r="R1123" s="28" t="str">
        <f>IFERROR(VLOOKUP(DadosViagem5[[#This Row],[Placa]],[1]DDS!B:C,2,FALSE),"Verificar cadastro")</f>
        <v>Operando</v>
      </c>
      <c r="S1123" s="29" t="s">
        <v>48</v>
      </c>
      <c r="T1123" s="23"/>
      <c r="U1123" s="30"/>
      <c r="V1123" s="31"/>
      <c r="W1123" s="32" t="s">
        <v>1933</v>
      </c>
      <c r="X1123" s="33"/>
      <c r="Y1123" s="34"/>
      <c r="Z1123" s="32"/>
      <c r="AA1123" s="20" t="s">
        <v>49</v>
      </c>
      <c r="AB1123" s="20" t="s">
        <v>49</v>
      </c>
      <c r="AC1123" s="19" t="s">
        <v>49</v>
      </c>
      <c r="AD1123" s="19">
        <v>0</v>
      </c>
      <c r="AE1123" s="36" t="s">
        <v>1940</v>
      </c>
      <c r="AF1123" s="25" t="s">
        <v>49</v>
      </c>
      <c r="AG1123" s="36"/>
      <c r="AH1123" s="25">
        <v>45807</v>
      </c>
      <c r="AI1123" s="36" t="str">
        <f>IF(DadosViagem5[[#This Row],[Dias em manutenção ]]&lt;5,"Dentro do Prazo","Fora do Prazo")</f>
        <v>Fora do Prazo</v>
      </c>
      <c r="AJ1123" s="36" t="e">
        <v>#REF!</v>
      </c>
    </row>
    <row r="1124" spans="1:36">
      <c r="A1124" s="19" t="s">
        <v>1941</v>
      </c>
      <c r="B1124" s="20"/>
      <c r="C1124" s="19" t="s">
        <v>74</v>
      </c>
      <c r="D1124" s="19" t="s">
        <v>52</v>
      </c>
      <c r="E1124" s="19" t="s">
        <v>114</v>
      </c>
      <c r="F1124" s="19" t="s">
        <v>115</v>
      </c>
      <c r="G1124" s="19"/>
      <c r="H1124" s="20">
        <v>2022</v>
      </c>
      <c r="I1124" s="19" t="s">
        <v>41</v>
      </c>
      <c r="J1124" s="19" t="s">
        <v>1902</v>
      </c>
      <c r="K1124" s="21" t="s">
        <v>1903</v>
      </c>
      <c r="L1124" s="22" t="s">
        <v>60</v>
      </c>
      <c r="M1124" s="23" t="s">
        <v>77</v>
      </c>
      <c r="N1124" s="36" t="s">
        <v>1904</v>
      </c>
      <c r="O1124" s="36" t="s">
        <v>142</v>
      </c>
      <c r="P1124" s="26">
        <f ca="1">IFERROR(VLOOKUP(DadosViagem5[[#This Row],[Placa]],[1]BIP!A:E,5,FALSE),"")</f>
        <v>0</v>
      </c>
      <c r="Q1124" s="27">
        <f ca="1">DATEDIF(DadosViagem5[[#This Row],[BIP]],TODAY(),"D")</f>
        <v>45990</v>
      </c>
      <c r="R1124" s="28" t="str">
        <f>IFERROR(VLOOKUP(DadosViagem5[[#This Row],[Placa]],[1]DDS!B:C,2,FALSE),"Verificar cadastro")</f>
        <v>Verificar cadastro</v>
      </c>
      <c r="S1124" s="36" t="s">
        <v>574</v>
      </c>
      <c r="T1124" s="23"/>
      <c r="U1124" s="30"/>
      <c r="V1124" s="31"/>
      <c r="W1124" s="32" t="s">
        <v>1942</v>
      </c>
      <c r="X1124" s="33"/>
      <c r="Y1124" s="34"/>
      <c r="Z1124" s="32"/>
      <c r="AA1124" s="20" t="s">
        <v>49</v>
      </c>
      <c r="AB1124" s="20" t="s">
        <v>49</v>
      </c>
      <c r="AC1124" s="19" t="s">
        <v>49</v>
      </c>
      <c r="AD1124" s="19" t="str">
        <f ca="1">IFERROR(DATEDIF(DadosViagem5[[#This Row],[Utimo Bip Reserva]],TODAY(),"D"),"")</f>
        <v/>
      </c>
      <c r="AE1124" s="36" t="s">
        <v>49</v>
      </c>
      <c r="AF1124" s="25" t="s">
        <v>49</v>
      </c>
      <c r="AG1124" s="36"/>
      <c r="AH1124" s="25">
        <v>45807</v>
      </c>
      <c r="AI1124" s="36" t="str">
        <f>IF(DadosViagem5[[#This Row],[Dias em manutenção ]]&lt;5,"Dentro do Prazo","Fora do Prazo")</f>
        <v>Fora do Prazo</v>
      </c>
      <c r="AJ1124" s="36" t="e">
        <v>#REF!</v>
      </c>
    </row>
    <row r="1125" spans="1:36">
      <c r="A1125" s="19" t="s">
        <v>1943</v>
      </c>
      <c r="B1125" s="20"/>
      <c r="C1125" s="19" t="s">
        <v>74</v>
      </c>
      <c r="D1125" s="19" t="s">
        <v>52</v>
      </c>
      <c r="E1125" s="19" t="s">
        <v>114</v>
      </c>
      <c r="F1125" s="19" t="s">
        <v>115</v>
      </c>
      <c r="G1125" s="19"/>
      <c r="H1125" s="20">
        <v>2023</v>
      </c>
      <c r="I1125" s="19" t="s">
        <v>41</v>
      </c>
      <c r="J1125" s="19" t="s">
        <v>1902</v>
      </c>
      <c r="K1125" s="21" t="s">
        <v>1903</v>
      </c>
      <c r="L1125" s="22" t="s">
        <v>60</v>
      </c>
      <c r="M1125" s="23" t="s">
        <v>77</v>
      </c>
      <c r="N1125" s="36" t="s">
        <v>1904</v>
      </c>
      <c r="O1125" s="36" t="s">
        <v>142</v>
      </c>
      <c r="P1125" s="26">
        <f ca="1">IFERROR(VLOOKUP(DadosViagem5[[#This Row],[Placa]],[1]BIP!A:E,5,FALSE),"")</f>
        <v>0</v>
      </c>
      <c r="Q1125" s="27">
        <f ca="1">DATEDIF(DadosViagem5[[#This Row],[BIP]],TODAY(),"D")</f>
        <v>45990</v>
      </c>
      <c r="R1125" s="28" t="str">
        <f>IFERROR(VLOOKUP(DadosViagem5[[#This Row],[Placa]],[1]DDS!B:C,2,FALSE),"Verificar cadastro")</f>
        <v>Verificar cadastro</v>
      </c>
      <c r="S1125" s="36" t="s">
        <v>574</v>
      </c>
      <c r="T1125" s="23"/>
      <c r="U1125" s="30"/>
      <c r="V1125" s="31"/>
      <c r="W1125" s="32" t="s">
        <v>1944</v>
      </c>
      <c r="X1125" s="33"/>
      <c r="Y1125" s="34"/>
      <c r="Z1125" s="32"/>
      <c r="AA1125" s="20" t="s">
        <v>49</v>
      </c>
      <c r="AB1125" s="20" t="s">
        <v>49</v>
      </c>
      <c r="AC1125" s="19" t="s">
        <v>49</v>
      </c>
      <c r="AD1125" s="19" t="str">
        <f ca="1">IFERROR(DATEDIF(DadosViagem5[[#This Row],[Utimo Bip Reserva]],TODAY(),"D"),"")</f>
        <v/>
      </c>
      <c r="AE1125" s="36" t="s">
        <v>49</v>
      </c>
      <c r="AF1125" s="25" t="s">
        <v>49</v>
      </c>
      <c r="AG1125" s="36"/>
      <c r="AH1125" s="25">
        <v>45807</v>
      </c>
      <c r="AI1125" s="36" t="str">
        <f>IF(DadosViagem5[[#This Row],[Dias em manutenção ]]&lt;5,"Dentro do Prazo","Fora do Prazo")</f>
        <v>Fora do Prazo</v>
      </c>
      <c r="AJ1125" s="36" t="e">
        <v>#REF!</v>
      </c>
    </row>
    <row r="1126" spans="1:36">
      <c r="A1126" s="19" t="s">
        <v>1945</v>
      </c>
      <c r="B1126" s="20">
        <v>541</v>
      </c>
      <c r="C1126" s="19" t="s">
        <v>74</v>
      </c>
      <c r="D1126" s="19" t="s">
        <v>52</v>
      </c>
      <c r="E1126" s="19" t="s">
        <v>75</v>
      </c>
      <c r="F1126" s="19" t="s">
        <v>76</v>
      </c>
      <c r="G1126" s="19"/>
      <c r="H1126" s="20">
        <v>2024</v>
      </c>
      <c r="I1126" s="19" t="s">
        <v>41</v>
      </c>
      <c r="J1126" s="19" t="s">
        <v>1902</v>
      </c>
      <c r="K1126" s="21" t="s">
        <v>1903</v>
      </c>
      <c r="L1126" s="22" t="s">
        <v>60</v>
      </c>
      <c r="M1126" s="23" t="s">
        <v>77</v>
      </c>
      <c r="N1126" s="36" t="s">
        <v>1904</v>
      </c>
      <c r="O1126" s="36" t="s">
        <v>142</v>
      </c>
      <c r="P1126" s="26">
        <f ca="1">IFERROR(VLOOKUP(DadosViagem5[[#This Row],[Placa]],[1]BIP!A:E,5,FALSE),"")</f>
        <v>45989</v>
      </c>
      <c r="Q1126" s="27">
        <f ca="1">DATEDIF(DadosViagem5[[#This Row],[BIP]],TODAY(),"D")</f>
        <v>1</v>
      </c>
      <c r="R1126" s="28" t="str">
        <f>IFERROR(VLOOKUP(DadosViagem5[[#This Row],[Placa]],[1]DDS!B:C,2,FALSE),"Verificar cadastro")</f>
        <v>Operando</v>
      </c>
      <c r="S1126" s="29" t="s">
        <v>48</v>
      </c>
      <c r="T1126" s="23"/>
      <c r="U1126" s="30"/>
      <c r="V1126" s="31"/>
      <c r="W1126" s="32" t="s">
        <v>1933</v>
      </c>
      <c r="X1126" s="33"/>
      <c r="Y1126" s="34"/>
      <c r="Z1126" s="32"/>
      <c r="AA1126" s="20" t="s">
        <v>49</v>
      </c>
      <c r="AB1126" s="20" t="s">
        <v>49</v>
      </c>
      <c r="AC1126" s="19" t="s">
        <v>49</v>
      </c>
      <c r="AD1126" s="19" t="str">
        <f ca="1">IFERROR(DATEDIF(DadosViagem5[[#This Row],[Utimo Bip Reserva]],TODAY(),"D"),"")</f>
        <v/>
      </c>
      <c r="AE1126" s="36" t="s">
        <v>49</v>
      </c>
      <c r="AF1126" s="25" t="s">
        <v>49</v>
      </c>
      <c r="AG1126" s="36"/>
      <c r="AH1126" s="25">
        <v>7</v>
      </c>
      <c r="AI1126" s="36" t="str">
        <f>IF(DadosViagem5[[#This Row],[Dias em manutenção ]]&lt;5,"Dentro do Prazo","Fora do Prazo")</f>
        <v>Fora do Prazo</v>
      </c>
      <c r="AJ1126" s="36" t="e">
        <v>#REF!</v>
      </c>
    </row>
    <row r="1127" spans="1:36">
      <c r="A1127" s="19" t="s">
        <v>1946</v>
      </c>
      <c r="B1127" s="20">
        <v>572</v>
      </c>
      <c r="C1127" s="19" t="s">
        <v>74</v>
      </c>
      <c r="D1127" s="19" t="s">
        <v>52</v>
      </c>
      <c r="E1127" s="19" t="s">
        <v>75</v>
      </c>
      <c r="F1127" s="19" t="s">
        <v>115</v>
      </c>
      <c r="G1127" s="19"/>
      <c r="H1127" s="20">
        <v>2024</v>
      </c>
      <c r="I1127" s="19" t="s">
        <v>41</v>
      </c>
      <c r="J1127" s="19" t="s">
        <v>1902</v>
      </c>
      <c r="K1127" s="21" t="s">
        <v>1903</v>
      </c>
      <c r="L1127" s="22" t="s">
        <v>60</v>
      </c>
      <c r="M1127" s="23" t="s">
        <v>77</v>
      </c>
      <c r="N1127" s="36" t="s">
        <v>1904</v>
      </c>
      <c r="O1127" s="36" t="s">
        <v>142</v>
      </c>
      <c r="P1127" s="26">
        <f ca="1">IFERROR(VLOOKUP(DadosViagem5[[#This Row],[Placa]],[1]BIP!A:E,5,FALSE),"")</f>
        <v>45989</v>
      </c>
      <c r="Q1127" s="27">
        <f ca="1">DATEDIF(DadosViagem5[[#This Row],[BIP]],TODAY(),"D")</f>
        <v>1</v>
      </c>
      <c r="R1127" s="28" t="str">
        <f>IFERROR(VLOOKUP(DadosViagem5[[#This Row],[Placa]],[1]DDS!B:C,2,FALSE),"Verificar cadastro")</f>
        <v>Operando</v>
      </c>
      <c r="S1127" s="29" t="s">
        <v>48</v>
      </c>
      <c r="T1127" s="23"/>
      <c r="U1127" s="30"/>
      <c r="V1127" s="31"/>
      <c r="W1127" s="32" t="s">
        <v>1933</v>
      </c>
      <c r="X1127" s="33"/>
      <c r="Y1127" s="34"/>
      <c r="Z1127" s="42"/>
      <c r="AA1127" s="20" t="s">
        <v>49</v>
      </c>
      <c r="AB1127" s="20" t="s">
        <v>49</v>
      </c>
      <c r="AC1127" s="19" t="s">
        <v>49</v>
      </c>
      <c r="AD1127" s="19" t="str">
        <f ca="1">IFERROR(DATEDIF(DadosViagem5[[#This Row],[Utimo Bip Reserva]],TODAY(),"D"),"")</f>
        <v/>
      </c>
      <c r="AE1127" s="25" t="s">
        <v>49</v>
      </c>
      <c r="AF1127" s="25" t="s">
        <v>49</v>
      </c>
      <c r="AG1127" s="36"/>
      <c r="AH1127" s="25">
        <v>45807</v>
      </c>
      <c r="AI1127" s="36" t="str">
        <f>IF(DadosViagem5[[#This Row],[Dias em manutenção ]]&lt;5,"Dentro do Prazo","Fora do Prazo")</f>
        <v>Fora do Prazo</v>
      </c>
      <c r="AJ1127" s="36" t="e">
        <v>#REF!</v>
      </c>
    </row>
    <row r="1128" spans="1:36">
      <c r="A1128" s="19" t="s">
        <v>1947</v>
      </c>
      <c r="B1128" s="20">
        <v>540</v>
      </c>
      <c r="C1128" s="19" t="s">
        <v>74</v>
      </c>
      <c r="D1128" s="19" t="s">
        <v>52</v>
      </c>
      <c r="E1128" s="19" t="s">
        <v>75</v>
      </c>
      <c r="F1128" s="19" t="s">
        <v>115</v>
      </c>
      <c r="G1128" s="19"/>
      <c r="H1128" s="20">
        <v>2023</v>
      </c>
      <c r="I1128" s="19" t="s">
        <v>41</v>
      </c>
      <c r="J1128" s="19" t="s">
        <v>1902</v>
      </c>
      <c r="K1128" s="21" t="s">
        <v>1903</v>
      </c>
      <c r="L1128" s="22" t="s">
        <v>60</v>
      </c>
      <c r="M1128" s="23" t="s">
        <v>77</v>
      </c>
      <c r="N1128" s="36" t="s">
        <v>1904</v>
      </c>
      <c r="O1128" s="36" t="s">
        <v>142</v>
      </c>
      <c r="P1128" s="26">
        <f ca="1">IFERROR(VLOOKUP(DadosViagem5[[#This Row],[Placa]],[1]BIP!A:E,5,FALSE),"")</f>
        <v>45989</v>
      </c>
      <c r="Q1128" s="27">
        <f ca="1">DATEDIF(DadosViagem5[[#This Row],[BIP]],TODAY(),"D")</f>
        <v>1</v>
      </c>
      <c r="R1128" s="28" t="str">
        <f>IFERROR(VLOOKUP(DadosViagem5[[#This Row],[Placa]],[1]DDS!B:C,2,FALSE),"Verificar cadastro")</f>
        <v> </v>
      </c>
      <c r="S1128" s="29" t="s">
        <v>48</v>
      </c>
      <c r="T1128" s="23"/>
      <c r="U1128" s="30"/>
      <c r="V1128" s="31"/>
      <c r="W1128" s="32" t="s">
        <v>1933</v>
      </c>
      <c r="X1128" s="33"/>
      <c r="Y1128" s="34"/>
      <c r="Z1128" s="42"/>
      <c r="AA1128" s="20" t="s">
        <v>49</v>
      </c>
      <c r="AB1128" s="20" t="s">
        <v>49</v>
      </c>
      <c r="AC1128" s="19" t="s">
        <v>49</v>
      </c>
      <c r="AD1128" s="19" t="str">
        <f ca="1">IFERROR(DATEDIF(DadosViagem5[[#This Row],[Utimo Bip Reserva]],TODAY(),"D"),"")</f>
        <v/>
      </c>
      <c r="AE1128" s="25" t="s">
        <v>49</v>
      </c>
      <c r="AF1128" s="25" t="s">
        <v>49</v>
      </c>
      <c r="AG1128" s="36"/>
      <c r="AH1128" s="25">
        <v>45807</v>
      </c>
      <c r="AI1128" s="36" t="str">
        <f>IF(DadosViagem5[[#This Row],[Dias em manutenção ]]&lt;5,"Dentro do Prazo","Fora do Prazo")</f>
        <v>Fora do Prazo</v>
      </c>
      <c r="AJ1128" s="36" t="e">
        <v>#REF!</v>
      </c>
    </row>
    <row r="1129" spans="1:36">
      <c r="A1129" s="19" t="s">
        <v>1948</v>
      </c>
      <c r="B1129" s="20">
        <v>425</v>
      </c>
      <c r="C1129" s="19" t="s">
        <v>74</v>
      </c>
      <c r="D1129" s="19" t="s">
        <v>52</v>
      </c>
      <c r="E1129" s="19" t="s">
        <v>75</v>
      </c>
      <c r="F1129" s="19" t="s">
        <v>76</v>
      </c>
      <c r="G1129" s="19"/>
      <c r="H1129" s="20">
        <v>2024</v>
      </c>
      <c r="I1129" s="19" t="s">
        <v>41</v>
      </c>
      <c r="J1129" s="19" t="s">
        <v>1902</v>
      </c>
      <c r="K1129" s="21" t="s">
        <v>1903</v>
      </c>
      <c r="L1129" s="22" t="s">
        <v>60</v>
      </c>
      <c r="M1129" s="23" t="s">
        <v>77</v>
      </c>
      <c r="N1129" s="36" t="s">
        <v>1904</v>
      </c>
      <c r="O1129" s="36" t="s">
        <v>142</v>
      </c>
      <c r="P1129" s="26">
        <f ca="1">IFERROR(VLOOKUP(DadosViagem5[[#This Row],[Placa]],[1]BIP!A:E,5,FALSE),"")</f>
        <v>45973</v>
      </c>
      <c r="Q1129" s="27">
        <f ca="1">DATEDIF(DadosViagem5[[#This Row],[BIP]],TODAY(),"D")</f>
        <v>17</v>
      </c>
      <c r="R1129" s="28" t="str">
        <f>IFERROR(VLOOKUP(DadosViagem5[[#This Row],[Placa]],[1]DDS!B:C,2,FALSE),"Verificar cadastro")</f>
        <v>Manutenção</v>
      </c>
      <c r="S1129" s="29" t="s">
        <v>48</v>
      </c>
      <c r="T1129" s="23"/>
      <c r="U1129" s="30"/>
      <c r="V1129" s="31"/>
      <c r="W1129" s="32" t="s">
        <v>1473</v>
      </c>
      <c r="X1129" s="33"/>
      <c r="Y1129" s="34"/>
      <c r="Z1129" s="32"/>
      <c r="AA1129" s="20" t="s">
        <v>49</v>
      </c>
      <c r="AB1129" s="20" t="s">
        <v>49</v>
      </c>
      <c r="AC1129" s="19" t="s">
        <v>49</v>
      </c>
      <c r="AD1129" s="19" t="str">
        <f ca="1">IFERROR(DATEDIF(DadosViagem5[[#This Row],[Utimo Bip Reserva]],TODAY(),"D"),"")</f>
        <v/>
      </c>
      <c r="AE1129" s="29"/>
      <c r="AF1129" s="25">
        <v>45705</v>
      </c>
      <c r="AG1129" s="36" t="s">
        <v>540</v>
      </c>
      <c r="AH1129" s="25">
        <v>45807</v>
      </c>
      <c r="AI1129" s="36" t="str">
        <f>IF(DadosViagem5[[#This Row],[Dias em manutenção ]]&lt;5,"Dentro do Prazo","Fora do Prazo")</f>
        <v>Fora do Prazo</v>
      </c>
      <c r="AJ1129" s="36" t="e">
        <v>#REF!</v>
      </c>
    </row>
    <row r="1130" spans="1:36">
      <c r="A1130" s="19" t="s">
        <v>1949</v>
      </c>
      <c r="B1130" s="20"/>
      <c r="C1130" s="19" t="s">
        <v>74</v>
      </c>
      <c r="D1130" s="19" t="s">
        <v>52</v>
      </c>
      <c r="E1130" s="19" t="s">
        <v>75</v>
      </c>
      <c r="F1130" s="19" t="s">
        <v>115</v>
      </c>
      <c r="G1130" s="19"/>
      <c r="H1130" s="20">
        <v>2024</v>
      </c>
      <c r="I1130" s="19" t="s">
        <v>41</v>
      </c>
      <c r="J1130" s="19" t="s">
        <v>1902</v>
      </c>
      <c r="K1130" s="21" t="s">
        <v>1903</v>
      </c>
      <c r="L1130" s="22" t="s">
        <v>60</v>
      </c>
      <c r="M1130" s="23" t="s">
        <v>77</v>
      </c>
      <c r="N1130" s="36" t="s">
        <v>1904</v>
      </c>
      <c r="O1130" s="36" t="s">
        <v>142</v>
      </c>
      <c r="P1130" s="26">
        <f ca="1">IFERROR(VLOOKUP(DadosViagem5[[#This Row],[Placa]],[1]BIP!A:E,5,FALSE),"")</f>
        <v>45988</v>
      </c>
      <c r="Q1130" s="27">
        <f ca="1">DATEDIF(DadosViagem5[[#This Row],[BIP]],TODAY(),"D")</f>
        <v>2</v>
      </c>
      <c r="R1130" s="28" t="str">
        <f>IFERROR(VLOOKUP(DadosViagem5[[#This Row],[Placa]],[1]DDS!B:C,2,FALSE),"Verificar cadastro")</f>
        <v> </v>
      </c>
      <c r="S1130" s="29" t="s">
        <v>48</v>
      </c>
      <c r="T1130" s="23"/>
      <c r="U1130" s="30"/>
      <c r="V1130" s="31"/>
      <c r="W1130" s="32" t="s">
        <v>1933</v>
      </c>
      <c r="X1130" s="33"/>
      <c r="Y1130" s="34"/>
      <c r="Z1130" s="32"/>
      <c r="AA1130" s="20" t="s">
        <v>49</v>
      </c>
      <c r="AB1130" s="20" t="s">
        <v>49</v>
      </c>
      <c r="AC1130" s="19" t="s">
        <v>49</v>
      </c>
      <c r="AD1130" s="19" t="str">
        <f ca="1">IFERROR(DATEDIF(DadosViagem5[[#This Row],[Utimo Bip Reserva]],TODAY(),"D"),"")</f>
        <v/>
      </c>
      <c r="AE1130" s="25" t="s">
        <v>49</v>
      </c>
      <c r="AF1130" s="25" t="s">
        <v>49</v>
      </c>
      <c r="AG1130" s="36"/>
      <c r="AH1130" s="25">
        <v>45807</v>
      </c>
      <c r="AI1130" s="36" t="str">
        <f>IF(DadosViagem5[[#This Row],[Dias em manutenção ]]&lt;5,"Dentro do Prazo","Fora do Prazo")</f>
        <v>Fora do Prazo</v>
      </c>
      <c r="AJ1130" s="36" t="e">
        <v>#REF!</v>
      </c>
    </row>
    <row r="1131" spans="1:36">
      <c r="A1131" s="19" t="s">
        <v>1950</v>
      </c>
      <c r="B1131" s="20">
        <v>543</v>
      </c>
      <c r="C1131" s="19" t="s">
        <v>74</v>
      </c>
      <c r="D1131" s="19" t="s">
        <v>52</v>
      </c>
      <c r="E1131" s="19" t="s">
        <v>75</v>
      </c>
      <c r="F1131" s="19" t="s">
        <v>115</v>
      </c>
      <c r="G1131" s="19"/>
      <c r="H1131" s="20">
        <v>2024</v>
      </c>
      <c r="I1131" s="19" t="s">
        <v>41</v>
      </c>
      <c r="J1131" s="19" t="s">
        <v>1902</v>
      </c>
      <c r="K1131" s="21" t="s">
        <v>1903</v>
      </c>
      <c r="L1131" s="22" t="s">
        <v>60</v>
      </c>
      <c r="M1131" s="23" t="s">
        <v>77</v>
      </c>
      <c r="N1131" s="36" t="s">
        <v>1904</v>
      </c>
      <c r="O1131" s="36" t="s">
        <v>142</v>
      </c>
      <c r="P1131" s="26">
        <f ca="1">IFERROR(VLOOKUP(DadosViagem5[[#This Row],[Placa]],[1]BIP!A:E,5,FALSE),"")</f>
        <v>45912</v>
      </c>
      <c r="Q1131" s="27">
        <f ca="1">DATEDIF(DadosViagem5[[#This Row],[BIP]],TODAY(),"D")</f>
        <v>78</v>
      </c>
      <c r="R1131" s="28" t="str">
        <f>IFERROR(VLOOKUP(DadosViagem5[[#This Row],[Placa]],[1]DDS!B:C,2,FALSE),"Verificar cadastro")</f>
        <v>Manutenção</v>
      </c>
      <c r="S1131" s="36" t="s">
        <v>186</v>
      </c>
      <c r="T1131" s="23"/>
      <c r="U1131" s="30"/>
      <c r="V1131" s="31">
        <v>45913</v>
      </c>
      <c r="W1131" s="116" t="s">
        <v>1951</v>
      </c>
      <c r="X1131" s="33" t="s">
        <v>316</v>
      </c>
      <c r="Y1131" s="34" t="s">
        <v>159</v>
      </c>
      <c r="Z1131" s="32" t="s">
        <v>654</v>
      </c>
      <c r="AA1131" s="20" t="s">
        <v>49</v>
      </c>
      <c r="AB1131" s="20" t="s">
        <v>49</v>
      </c>
      <c r="AC1131" s="19" t="s">
        <v>49</v>
      </c>
      <c r="AD1131" s="19" t="str">
        <f ca="1">IFERROR(DATEDIF(DadosViagem5[[#This Row],[Utimo Bip Reserva]],TODAY(),"D"),"")</f>
        <v/>
      </c>
      <c r="AE1131" s="25" t="s">
        <v>49</v>
      </c>
      <c r="AF1131" s="25" t="s">
        <v>49</v>
      </c>
      <c r="AG1131" s="36"/>
      <c r="AH1131" s="25">
        <v>45807</v>
      </c>
      <c r="AI1131" s="36" t="str">
        <f>IF(DadosViagem5[[#This Row],[Dias em manutenção ]]&lt;5,"Dentro do Prazo","Fora do Prazo")</f>
        <v>Fora do Prazo</v>
      </c>
      <c r="AJ1131" s="36" t="e">
        <v>#REF!</v>
      </c>
    </row>
    <row r="1132" spans="1:36">
      <c r="A1132" s="19" t="s">
        <v>1952</v>
      </c>
      <c r="B1132" s="20"/>
      <c r="C1132" s="19" t="s">
        <v>591</v>
      </c>
      <c r="D1132" s="19" t="s">
        <v>592</v>
      </c>
      <c r="E1132" s="19" t="s">
        <v>114</v>
      </c>
      <c r="F1132" s="19" t="s">
        <v>115</v>
      </c>
      <c r="G1132" s="19"/>
      <c r="H1132" s="20">
        <v>2023</v>
      </c>
      <c r="I1132" s="19" t="s">
        <v>41</v>
      </c>
      <c r="J1132" s="19" t="s">
        <v>1902</v>
      </c>
      <c r="K1132" s="21" t="s">
        <v>1903</v>
      </c>
      <c r="L1132" s="22" t="s">
        <v>60</v>
      </c>
      <c r="M1132" s="23" t="s">
        <v>290</v>
      </c>
      <c r="N1132" s="36" t="s">
        <v>1904</v>
      </c>
      <c r="O1132" s="36" t="s">
        <v>142</v>
      </c>
      <c r="P1132" s="26">
        <f ca="1">IFERROR(VLOOKUP(DadosViagem5[[#This Row],[Placa]],[1]BIP!A:E,5,FALSE),"")</f>
        <v>45989</v>
      </c>
      <c r="Q1132" s="27">
        <f ca="1">DATEDIF(DadosViagem5[[#This Row],[BIP]],TODAY(),"D")</f>
        <v>1</v>
      </c>
      <c r="R1132" s="28" t="str">
        <f>IFERROR(VLOOKUP(DadosViagem5[[#This Row],[Placa]],[1]DDS!B:C,2,FALSE),"Verificar cadastro")</f>
        <v>Operando</v>
      </c>
      <c r="S1132" s="29" t="s">
        <v>48</v>
      </c>
      <c r="T1132" s="23"/>
      <c r="U1132" s="30"/>
      <c r="V1132" s="31"/>
      <c r="W1132" s="32" t="s">
        <v>1953</v>
      </c>
      <c r="X1132" s="33"/>
      <c r="Y1132" s="34"/>
      <c r="Z1132" s="32"/>
      <c r="AA1132" s="20" t="s">
        <v>49</v>
      </c>
      <c r="AB1132" s="20" t="s">
        <v>49</v>
      </c>
      <c r="AC1132" s="19" t="s">
        <v>49</v>
      </c>
      <c r="AD1132" s="19" t="str">
        <f ca="1">IFERROR(DATEDIF(DadosViagem5[[#This Row],[Utimo Bip Reserva]],TODAY(),"D"),"")</f>
        <v/>
      </c>
      <c r="AE1132" s="36" t="s">
        <v>49</v>
      </c>
      <c r="AF1132" s="25" t="s">
        <v>49</v>
      </c>
      <c r="AG1132" s="36"/>
      <c r="AH1132" s="25">
        <v>45807</v>
      </c>
      <c r="AI1132" s="36" t="str">
        <f>IF(DadosViagem5[[#This Row],[Dias em manutenção ]]&lt;5,"Dentro do Prazo","Fora do Prazo")</f>
        <v>Fora do Prazo</v>
      </c>
      <c r="AJ1132" s="36" t="e">
        <v>#REF!</v>
      </c>
    </row>
    <row r="1133" spans="1:36">
      <c r="A1133" s="19" t="s">
        <v>1954</v>
      </c>
      <c r="B1133" s="20">
        <v>570</v>
      </c>
      <c r="C1133" s="19" t="s">
        <v>74</v>
      </c>
      <c r="D1133" s="19" t="s">
        <v>52</v>
      </c>
      <c r="E1133" s="19" t="s">
        <v>75</v>
      </c>
      <c r="F1133" s="19" t="s">
        <v>76</v>
      </c>
      <c r="G1133" s="19"/>
      <c r="H1133" s="20">
        <v>2024</v>
      </c>
      <c r="I1133" s="19" t="s">
        <v>41</v>
      </c>
      <c r="J1133" s="19" t="s">
        <v>1133</v>
      </c>
      <c r="K1133" s="21" t="s">
        <v>1134</v>
      </c>
      <c r="L1133" s="22" t="s">
        <v>60</v>
      </c>
      <c r="M1133" s="23" t="s">
        <v>77</v>
      </c>
      <c r="N1133" s="24" t="s">
        <v>1135</v>
      </c>
      <c r="O1133" s="36" t="s">
        <v>1136</v>
      </c>
      <c r="P1133" s="26">
        <f ca="1">IFERROR(VLOOKUP(DadosViagem5[[#This Row],[Placa]],[1]BIP!A:E,5,FALSE),"")</f>
        <v>45967</v>
      </c>
      <c r="Q1133" s="27">
        <f ca="1">DATEDIF(DadosViagem5[[#This Row],[BIP]],TODAY(),"D")</f>
        <v>23</v>
      </c>
      <c r="R1133" s="28" t="str">
        <f>IFERROR(VLOOKUP(DadosViagem5[[#This Row],[Placa]],[1]DDS!B:C,2,FALSE),"Verificar cadastro")</f>
        <v> </v>
      </c>
      <c r="S1133" s="29" t="s">
        <v>1955</v>
      </c>
      <c r="T1133" s="23"/>
      <c r="U1133" s="30"/>
      <c r="V1133" s="31"/>
      <c r="W1133" s="32" t="s">
        <v>1933</v>
      </c>
      <c r="X1133" s="33"/>
      <c r="Y1133" s="34"/>
      <c r="Z1133" s="32"/>
      <c r="AA1133" s="20" t="s">
        <v>49</v>
      </c>
      <c r="AB1133" s="20" t="s">
        <v>49</v>
      </c>
      <c r="AC1133" s="19" t="s">
        <v>49</v>
      </c>
      <c r="AD1133" s="19" t="str">
        <f ca="1">IFERROR(DATEDIF(DadosViagem5[[#This Row],[Utimo Bip Reserva]],TODAY(),"D"),"")</f>
        <v/>
      </c>
      <c r="AE1133" s="7" t="s">
        <v>49</v>
      </c>
      <c r="AF1133" s="16" t="s">
        <v>49</v>
      </c>
      <c r="AG1133" s="36"/>
      <c r="AH1133" s="25">
        <v>45807</v>
      </c>
      <c r="AI1133" s="36" t="str">
        <f>IF(DadosViagem5[[#This Row],[Dias em manutenção ]]&lt;5,"Dentro do Prazo","Fora do Prazo")</f>
        <v>Fora do Prazo</v>
      </c>
      <c r="AJ1133" s="36" t="e">
        <v>#REF!</v>
      </c>
    </row>
    <row r="1134" spans="1:36">
      <c r="A1134" s="19" t="s">
        <v>1956</v>
      </c>
      <c r="B1134" s="20"/>
      <c r="C1134" s="19" t="s">
        <v>71</v>
      </c>
      <c r="D1134" s="19" t="s">
        <v>38</v>
      </c>
      <c r="E1134" s="19" t="s">
        <v>114</v>
      </c>
      <c r="F1134" s="19" t="s">
        <v>115</v>
      </c>
      <c r="G1134" s="19"/>
      <c r="H1134" s="20">
        <v>2022</v>
      </c>
      <c r="I1134" s="19" t="s">
        <v>41</v>
      </c>
      <c r="J1134" s="19" t="s">
        <v>1902</v>
      </c>
      <c r="K1134" s="21" t="s">
        <v>1903</v>
      </c>
      <c r="L1134" s="22" t="s">
        <v>60</v>
      </c>
      <c r="M1134" s="23" t="s">
        <v>290</v>
      </c>
      <c r="N1134" s="36" t="s">
        <v>1904</v>
      </c>
      <c r="O1134" s="36" t="s">
        <v>142</v>
      </c>
      <c r="P1134" s="26">
        <f ca="1">IFERROR(VLOOKUP(DadosViagem5[[#This Row],[Placa]],[1]BIP!A:E,5,FALSE),"")</f>
        <v>45934</v>
      </c>
      <c r="Q1134" s="27">
        <f ca="1">DATEDIF(DadosViagem5[[#This Row],[BIP]],TODAY(),"D")</f>
        <v>56</v>
      </c>
      <c r="R1134" s="28" t="str">
        <f>IFERROR(VLOOKUP(DadosViagem5[[#This Row],[Placa]],[1]DDS!B:C,2,FALSE),"Verificar cadastro")</f>
        <v>Sem operação</v>
      </c>
      <c r="S1134" s="36" t="s">
        <v>35</v>
      </c>
      <c r="T1134" s="23"/>
      <c r="U1134" s="30"/>
      <c r="V1134" s="31"/>
      <c r="W1134" s="32" t="s">
        <v>1957</v>
      </c>
      <c r="X1134" s="33"/>
      <c r="Y1134" s="34"/>
      <c r="Z1134" s="32"/>
      <c r="AA1134" s="20" t="s">
        <v>49</v>
      </c>
      <c r="AB1134" s="20" t="s">
        <v>49</v>
      </c>
      <c r="AC1134" s="19" t="s">
        <v>49</v>
      </c>
      <c r="AD1134" s="19" t="str">
        <f ca="1">IFERROR(DATEDIF(DadosViagem5[[#This Row],[Utimo Bip Reserva]],TODAY(),"D"),"")</f>
        <v/>
      </c>
      <c r="AE1134" s="36" t="s">
        <v>1958</v>
      </c>
      <c r="AF1134" s="25" t="s">
        <v>49</v>
      </c>
      <c r="AG1134" s="36"/>
      <c r="AH1134" s="25">
        <v>45807</v>
      </c>
      <c r="AI1134" s="36" t="str">
        <f>IF(DadosViagem5[[#This Row],[Dias em manutenção ]]&lt;5,"Dentro do Prazo","Fora do Prazo")</f>
        <v>Fora do Prazo</v>
      </c>
      <c r="AJ1134" s="36" t="e">
        <v>#REF!</v>
      </c>
    </row>
    <row r="1135" spans="1:36">
      <c r="A1135" s="19" t="s">
        <v>1959</v>
      </c>
      <c r="B1135" s="20">
        <v>576</v>
      </c>
      <c r="C1135" s="19" t="s">
        <v>74</v>
      </c>
      <c r="D1135" s="19" t="s">
        <v>52</v>
      </c>
      <c r="E1135" s="19" t="s">
        <v>75</v>
      </c>
      <c r="F1135" s="19" t="s">
        <v>115</v>
      </c>
      <c r="G1135" s="19"/>
      <c r="H1135" s="20">
        <v>2024</v>
      </c>
      <c r="I1135" s="19" t="s">
        <v>41</v>
      </c>
      <c r="J1135" s="19" t="s">
        <v>1902</v>
      </c>
      <c r="K1135" s="21" t="s">
        <v>1903</v>
      </c>
      <c r="L1135" s="22" t="s">
        <v>60</v>
      </c>
      <c r="M1135" s="23" t="s">
        <v>77</v>
      </c>
      <c r="N1135" s="36" t="s">
        <v>1904</v>
      </c>
      <c r="O1135" s="36" t="s">
        <v>142</v>
      </c>
      <c r="P1135" s="26">
        <f ca="1">IFERROR(VLOOKUP(DadosViagem5[[#This Row],[Placa]],[1]BIP!A:E,5,FALSE),"")</f>
        <v>45989</v>
      </c>
      <c r="Q1135" s="27">
        <f ca="1">DATEDIF(DadosViagem5[[#This Row],[BIP]],TODAY(),"D")</f>
        <v>1</v>
      </c>
      <c r="R1135" s="28"/>
      <c r="S1135" s="29" t="s">
        <v>48</v>
      </c>
      <c r="T1135" s="23"/>
      <c r="U1135" s="30"/>
      <c r="V1135" s="31">
        <v>45914</v>
      </c>
      <c r="W1135" s="116" t="s">
        <v>1960</v>
      </c>
      <c r="X1135" s="33" t="s">
        <v>65</v>
      </c>
      <c r="Y1135" s="148" t="s">
        <v>159</v>
      </c>
      <c r="Z1135" s="32" t="s">
        <v>511</v>
      </c>
      <c r="AA1135" s="20" t="s">
        <v>49</v>
      </c>
      <c r="AB1135" s="20" t="s">
        <v>49</v>
      </c>
      <c r="AC1135" s="19" t="s">
        <v>49</v>
      </c>
      <c r="AD1135" s="19" t="str">
        <f ca="1">IFERROR(DATEDIF(DadosViagem5[[#This Row],[Utimo Bip Reserva]],TODAY(),"D"),"")</f>
        <v/>
      </c>
      <c r="AE1135" s="35" t="s">
        <v>49</v>
      </c>
      <c r="AF1135" s="35" t="s">
        <v>49</v>
      </c>
      <c r="AG1135" s="36"/>
      <c r="AH1135" s="25">
        <v>45807</v>
      </c>
      <c r="AI1135" s="36" t="str">
        <f>IF(DadosViagem5[[#This Row],[Dias em manutenção ]]&lt;5,"Dentro do Prazo","Fora do Prazo")</f>
        <v>Fora do Prazo</v>
      </c>
      <c r="AJ1135" s="36" t="e">
        <v>#REF!</v>
      </c>
    </row>
    <row r="1136" spans="1:36">
      <c r="A1136" s="19" t="s">
        <v>1961</v>
      </c>
      <c r="B1136" s="20"/>
      <c r="C1136" s="19" t="s">
        <v>74</v>
      </c>
      <c r="D1136" s="19" t="s">
        <v>52</v>
      </c>
      <c r="E1136" s="19" t="s">
        <v>75</v>
      </c>
      <c r="F1136" s="19" t="s">
        <v>115</v>
      </c>
      <c r="G1136" s="19"/>
      <c r="H1136" s="20">
        <v>2024</v>
      </c>
      <c r="I1136" s="19" t="s">
        <v>41</v>
      </c>
      <c r="J1136" s="19" t="s">
        <v>1902</v>
      </c>
      <c r="K1136" s="21" t="s">
        <v>1903</v>
      </c>
      <c r="L1136" s="22" t="s">
        <v>60</v>
      </c>
      <c r="M1136" s="23" t="s">
        <v>77</v>
      </c>
      <c r="N1136" s="36" t="s">
        <v>1904</v>
      </c>
      <c r="O1136" s="36" t="s">
        <v>142</v>
      </c>
      <c r="P1136" s="26">
        <f ca="1">IFERROR(VLOOKUP(DadosViagem5[[#This Row],[Placa]],[1]BIP!A:E,5,FALSE),"")</f>
        <v>45989</v>
      </c>
      <c r="Q1136" s="27">
        <f ca="1">DATEDIF(DadosViagem5[[#This Row],[BIP]],TODAY(),"D")</f>
        <v>1</v>
      </c>
      <c r="R1136" s="28" t="str">
        <f>IFERROR(VLOOKUP(DadosViagem5[[#This Row],[Placa]],[1]DDS!B:C,2,FALSE),"Verificar cadastro")</f>
        <v>Operando</v>
      </c>
      <c r="S1136" s="29" t="s">
        <v>48</v>
      </c>
      <c r="T1136" s="23"/>
      <c r="U1136" s="30"/>
      <c r="V1136" s="31"/>
      <c r="W1136" s="32" t="s">
        <v>1933</v>
      </c>
      <c r="X1136" s="33"/>
      <c r="Y1136" s="148"/>
      <c r="Z1136" s="32"/>
      <c r="AA1136" s="20" t="s">
        <v>49</v>
      </c>
      <c r="AB1136" s="20" t="s">
        <v>49</v>
      </c>
      <c r="AC1136" s="19" t="s">
        <v>49</v>
      </c>
      <c r="AD1136" s="19" t="str">
        <f ca="1">IFERROR(DATEDIF(DadosViagem5[[#This Row],[Utimo Bip Reserva]],TODAY(),"D"),"")</f>
        <v/>
      </c>
      <c r="AE1136" s="29" t="s">
        <v>49</v>
      </c>
      <c r="AF1136" s="35" t="s">
        <v>49</v>
      </c>
      <c r="AG1136" s="36"/>
      <c r="AH1136" s="25">
        <v>45807</v>
      </c>
      <c r="AI1136" s="36" t="str">
        <f>IF(DadosViagem5[[#This Row],[Dias em manutenção ]]&lt;5,"Dentro do Prazo","Fora do Prazo")</f>
        <v>Fora do Prazo</v>
      </c>
      <c r="AJ1136" s="36" t="e">
        <v>#REF!</v>
      </c>
    </row>
    <row r="1137" spans="1:36">
      <c r="A1137" s="19" t="s">
        <v>1962</v>
      </c>
      <c r="B1137" s="20"/>
      <c r="C1137" s="19" t="s">
        <v>591</v>
      </c>
      <c r="D1137" s="19" t="s">
        <v>592</v>
      </c>
      <c r="E1137" s="19" t="s">
        <v>114</v>
      </c>
      <c r="F1137" s="19" t="s">
        <v>115</v>
      </c>
      <c r="G1137" s="19"/>
      <c r="H1137" s="20">
        <v>2023</v>
      </c>
      <c r="I1137" s="19" t="s">
        <v>41</v>
      </c>
      <c r="J1137" s="19" t="s">
        <v>1902</v>
      </c>
      <c r="K1137" s="21" t="s">
        <v>1903</v>
      </c>
      <c r="L1137" s="22" t="s">
        <v>60</v>
      </c>
      <c r="M1137" s="23" t="s">
        <v>290</v>
      </c>
      <c r="N1137" s="36" t="s">
        <v>1904</v>
      </c>
      <c r="O1137" s="36" t="s">
        <v>142</v>
      </c>
      <c r="P1137" s="26">
        <f ca="1">IFERROR(VLOOKUP(DadosViagem5[[#This Row],[Placa]],[1]BIP!A:E,5,FALSE),"")</f>
        <v>45989</v>
      </c>
      <c r="Q1137" s="27">
        <f ca="1">DATEDIF(DadosViagem5[[#This Row],[BIP]],TODAY(),"D")</f>
        <v>1</v>
      </c>
      <c r="R1137" s="28" t="str">
        <f>IFERROR(VLOOKUP(DadosViagem5[[#This Row],[Placa]],[1]DDS!B:C,2,FALSE),"Verificar cadastro")</f>
        <v>Operando</v>
      </c>
      <c r="S1137" s="29" t="s">
        <v>48</v>
      </c>
      <c r="T1137" s="23"/>
      <c r="U1137" s="30"/>
      <c r="V1137" s="31"/>
      <c r="W1137" s="32" t="s">
        <v>1933</v>
      </c>
      <c r="X1137" s="33"/>
      <c r="Y1137" s="34"/>
      <c r="Z1137" s="32"/>
      <c r="AA1137" s="20" t="s">
        <v>49</v>
      </c>
      <c r="AB1137" s="20" t="s">
        <v>49</v>
      </c>
      <c r="AC1137" s="19" t="s">
        <v>49</v>
      </c>
      <c r="AD1137" s="19" t="str">
        <f ca="1">IFERROR(DATEDIF(DadosViagem5[[#This Row],[Utimo Bip Reserva]],TODAY(),"D"),"")</f>
        <v/>
      </c>
      <c r="AE1137" s="36" t="s">
        <v>49</v>
      </c>
      <c r="AF1137" s="25" t="s">
        <v>49</v>
      </c>
      <c r="AG1137" s="36"/>
      <c r="AH1137" s="25">
        <v>45807</v>
      </c>
      <c r="AI1137" s="36" t="str">
        <f>IF(DadosViagem5[[#This Row],[Dias em manutenção ]]&lt;5,"Dentro do Prazo","Fora do Prazo")</f>
        <v>Fora do Prazo</v>
      </c>
      <c r="AJ1137" s="36" t="e">
        <v>#REF!</v>
      </c>
    </row>
    <row r="1138" spans="1:36">
      <c r="A1138" s="19" t="s">
        <v>1963</v>
      </c>
      <c r="B1138" s="20">
        <v>545</v>
      </c>
      <c r="C1138" s="19" t="s">
        <v>74</v>
      </c>
      <c r="D1138" s="19" t="s">
        <v>52</v>
      </c>
      <c r="E1138" s="19" t="s">
        <v>75</v>
      </c>
      <c r="F1138" s="19" t="s">
        <v>115</v>
      </c>
      <c r="G1138" s="19"/>
      <c r="H1138" s="20">
        <v>2024</v>
      </c>
      <c r="I1138" s="19" t="s">
        <v>41</v>
      </c>
      <c r="J1138" s="19" t="s">
        <v>1133</v>
      </c>
      <c r="K1138" s="21" t="s">
        <v>1134</v>
      </c>
      <c r="L1138" s="22" t="s">
        <v>60</v>
      </c>
      <c r="M1138" s="23" t="s">
        <v>77</v>
      </c>
      <c r="N1138" s="24" t="s">
        <v>1135</v>
      </c>
      <c r="O1138" s="36" t="s">
        <v>1136</v>
      </c>
      <c r="P1138" s="26">
        <f ca="1">IFERROR(VLOOKUP(DadosViagem5[[#This Row],[Placa]],[1]BIP!A:E,5,FALSE),"")</f>
        <v>45959</v>
      </c>
      <c r="Q1138" s="27">
        <f ca="1">DATEDIF(DadosViagem5[[#This Row],[BIP]],TODAY(),"D")</f>
        <v>31</v>
      </c>
      <c r="R1138" s="28"/>
      <c r="S1138" s="29"/>
      <c r="T1138" s="23"/>
      <c r="U1138" s="30"/>
      <c r="V1138" s="31"/>
      <c r="W1138" s="116"/>
      <c r="X1138" s="33"/>
      <c r="Y1138" s="34"/>
      <c r="Z1138" s="32"/>
      <c r="AA1138" s="20" t="s">
        <v>49</v>
      </c>
      <c r="AB1138" s="20" t="s">
        <v>49</v>
      </c>
      <c r="AC1138" s="19" t="s">
        <v>49</v>
      </c>
      <c r="AD1138" s="19" t="str">
        <f ca="1">IFERROR(DATEDIF(DadosViagem5[[#This Row],[Utimo Bip Reserva]],TODAY(),"D"),"")</f>
        <v/>
      </c>
      <c r="AE1138" s="25" t="s">
        <v>49</v>
      </c>
      <c r="AF1138" s="25" t="s">
        <v>49</v>
      </c>
      <c r="AG1138" s="36"/>
      <c r="AH1138" s="25">
        <v>45807</v>
      </c>
      <c r="AI1138" s="36" t="str">
        <f>IF(DadosViagem5[[#This Row],[Dias em manutenção ]]&lt;5,"Dentro do Prazo","Fora do Prazo")</f>
        <v>Fora do Prazo</v>
      </c>
      <c r="AJ1138" s="36" t="e">
        <v>#REF!</v>
      </c>
    </row>
    <row r="1139" spans="1:36">
      <c r="A1139" s="19" t="s">
        <v>1964</v>
      </c>
      <c r="B1139" s="20">
        <v>554</v>
      </c>
      <c r="C1139" s="19" t="s">
        <v>74</v>
      </c>
      <c r="D1139" s="19" t="s">
        <v>52</v>
      </c>
      <c r="E1139" s="19" t="s">
        <v>75</v>
      </c>
      <c r="F1139" s="19" t="s">
        <v>115</v>
      </c>
      <c r="G1139" s="19"/>
      <c r="H1139" s="20">
        <v>2024</v>
      </c>
      <c r="I1139" s="19" t="s">
        <v>41</v>
      </c>
      <c r="J1139" s="19" t="s">
        <v>1902</v>
      </c>
      <c r="K1139" s="21" t="s">
        <v>1903</v>
      </c>
      <c r="L1139" s="22" t="s">
        <v>60</v>
      </c>
      <c r="M1139" s="23" t="s">
        <v>77</v>
      </c>
      <c r="N1139" s="36" t="s">
        <v>1904</v>
      </c>
      <c r="O1139" s="36" t="s">
        <v>142</v>
      </c>
      <c r="P1139" s="26">
        <f ca="1">IFERROR(VLOOKUP(DadosViagem5[[#This Row],[Placa]],[1]BIP!A:E,5,FALSE),"")</f>
        <v>45989</v>
      </c>
      <c r="Q1139" s="27">
        <f ca="1">DATEDIF(DadosViagem5[[#This Row],[BIP]],TODAY(),"D")</f>
        <v>1</v>
      </c>
      <c r="R1139" s="28" t="str">
        <f>IFERROR(VLOOKUP(DadosViagem5[[#This Row],[Placa]],[1]DDS!B:C,2,FALSE),"Verificar cadastro")</f>
        <v>Operando</v>
      </c>
      <c r="S1139" s="29" t="s">
        <v>48</v>
      </c>
      <c r="T1139" s="23"/>
      <c r="U1139" s="30"/>
      <c r="V1139" s="31"/>
      <c r="W1139" s="32" t="s">
        <v>1933</v>
      </c>
      <c r="X1139" s="33"/>
      <c r="Y1139" s="34"/>
      <c r="Z1139" s="32"/>
      <c r="AA1139" s="20" t="s">
        <v>49</v>
      </c>
      <c r="AB1139" s="20" t="s">
        <v>49</v>
      </c>
      <c r="AC1139" s="19" t="s">
        <v>49</v>
      </c>
      <c r="AD1139" s="19" t="str">
        <f ca="1">IFERROR(DATEDIF(DadosViagem5[[#This Row],[Utimo Bip Reserva]],TODAY(),"D"),"")</f>
        <v/>
      </c>
      <c r="AE1139" s="25" t="s">
        <v>49</v>
      </c>
      <c r="AF1139" s="25" t="s">
        <v>49</v>
      </c>
      <c r="AG1139" s="36"/>
      <c r="AH1139" s="25">
        <v>45807</v>
      </c>
      <c r="AI1139" s="36" t="str">
        <f>IF(DadosViagem5[[#This Row],[Dias em manutenção ]]&lt;5,"Dentro do Prazo","Fora do Prazo")</f>
        <v>Fora do Prazo</v>
      </c>
      <c r="AJ1139" s="36" t="e">
        <v>#REF!</v>
      </c>
    </row>
    <row r="1140" spans="1:36">
      <c r="A1140" s="19" t="s">
        <v>1965</v>
      </c>
      <c r="B1140" s="20"/>
      <c r="C1140" s="19" t="s">
        <v>74</v>
      </c>
      <c r="D1140" s="19" t="s">
        <v>52</v>
      </c>
      <c r="E1140" s="19" t="s">
        <v>75</v>
      </c>
      <c r="F1140" s="19" t="s">
        <v>76</v>
      </c>
      <c r="G1140" s="19"/>
      <c r="H1140" s="20">
        <v>2023</v>
      </c>
      <c r="I1140" s="19" t="s">
        <v>41</v>
      </c>
      <c r="J1140" s="19" t="s">
        <v>1902</v>
      </c>
      <c r="K1140" s="21" t="s">
        <v>1903</v>
      </c>
      <c r="L1140" s="22" t="s">
        <v>60</v>
      </c>
      <c r="M1140" s="23" t="s">
        <v>77</v>
      </c>
      <c r="N1140" s="36" t="s">
        <v>1904</v>
      </c>
      <c r="O1140" s="36" t="s">
        <v>142</v>
      </c>
      <c r="P1140" s="26">
        <f ca="1">IFERROR(VLOOKUP(DadosViagem5[[#This Row],[Placa]],[1]BIP!A:E,5,FALSE),"")</f>
        <v>45989</v>
      </c>
      <c r="Q1140" s="27">
        <f ca="1">DATEDIF(DadosViagem5[[#This Row],[BIP]],TODAY(),"D")</f>
        <v>1</v>
      </c>
      <c r="R1140" s="28" t="str">
        <f>IFERROR(VLOOKUP(DadosViagem5[[#This Row],[Placa]],[1]DDS!B:C,2,FALSE),"Verificar cadastro")</f>
        <v> </v>
      </c>
      <c r="S1140" s="29" t="s">
        <v>48</v>
      </c>
      <c r="T1140" s="23"/>
      <c r="U1140" s="30"/>
      <c r="V1140" s="31"/>
      <c r="W1140" s="32" t="s">
        <v>1933</v>
      </c>
      <c r="X1140" s="33"/>
      <c r="Y1140" s="34"/>
      <c r="Z1140" s="42"/>
      <c r="AA1140" s="20" t="s">
        <v>49</v>
      </c>
      <c r="AB1140" s="20" t="s">
        <v>49</v>
      </c>
      <c r="AC1140" s="19" t="s">
        <v>49</v>
      </c>
      <c r="AD1140" s="19" t="str">
        <f ca="1">IFERROR(DATEDIF(DadosViagem5[[#This Row],[Utimo Bip Reserva]],TODAY(),"D"),"")</f>
        <v/>
      </c>
      <c r="AE1140" s="25" t="s">
        <v>49</v>
      </c>
      <c r="AF1140" s="25" t="s">
        <v>49</v>
      </c>
      <c r="AG1140" s="36"/>
      <c r="AH1140" s="25">
        <v>45807</v>
      </c>
      <c r="AI1140" s="36" t="str">
        <f>IF(DadosViagem5[[#This Row],[Dias em manutenção ]]&lt;5,"Dentro do Prazo","Fora do Prazo")</f>
        <v>Fora do Prazo</v>
      </c>
      <c r="AJ1140" s="36" t="e">
        <v>#REF!</v>
      </c>
    </row>
    <row r="1141" spans="1:36">
      <c r="A1141" s="19" t="s">
        <v>1966</v>
      </c>
      <c r="B1141" s="20">
        <v>569</v>
      </c>
      <c r="C1141" s="19" t="s">
        <v>74</v>
      </c>
      <c r="D1141" s="19" t="s">
        <v>52</v>
      </c>
      <c r="E1141" s="19" t="s">
        <v>75</v>
      </c>
      <c r="F1141" s="19" t="s">
        <v>115</v>
      </c>
      <c r="G1141" s="19"/>
      <c r="H1141" s="20">
        <v>2024</v>
      </c>
      <c r="I1141" s="19" t="s">
        <v>41</v>
      </c>
      <c r="J1141" s="19" t="s">
        <v>1133</v>
      </c>
      <c r="K1141" s="21" t="s">
        <v>1134</v>
      </c>
      <c r="L1141" s="22" t="s">
        <v>60</v>
      </c>
      <c r="M1141" s="23" t="s">
        <v>77</v>
      </c>
      <c r="N1141" s="24" t="s">
        <v>1135</v>
      </c>
      <c r="O1141" s="36" t="s">
        <v>1136</v>
      </c>
      <c r="P1141" s="26">
        <f ca="1">IFERROR(VLOOKUP(DadosViagem5[[#This Row],[Placa]],[1]BIP!A:E,5,FALSE),"")</f>
        <v>45989</v>
      </c>
      <c r="Q1141" s="27">
        <f ca="1">DATEDIF(DadosViagem5[[#This Row],[BIP]],TODAY(),"D")</f>
        <v>1</v>
      </c>
      <c r="R1141" s="28" t="str">
        <f>IFERROR(VLOOKUP(DadosViagem5[[#This Row],[Placa]],[1]DDS!B:C,2,FALSE),"Verificar cadastro")</f>
        <v>Operando</v>
      </c>
      <c r="S1141" s="29" t="s">
        <v>48</v>
      </c>
      <c r="T1141" s="23"/>
      <c r="U1141" s="30"/>
      <c r="V1141" s="31"/>
      <c r="W1141" s="32" t="s">
        <v>1933</v>
      </c>
      <c r="X1141" s="33"/>
      <c r="Y1141" s="34"/>
      <c r="Z1141" s="32"/>
      <c r="AA1141" s="20" t="s">
        <v>49</v>
      </c>
      <c r="AB1141" s="20" t="s">
        <v>49</v>
      </c>
      <c r="AC1141" s="19" t="s">
        <v>49</v>
      </c>
      <c r="AD1141" s="19" t="str">
        <f ca="1">IFERROR(DATEDIF(DadosViagem5[[#This Row],[Utimo Bip Reserva]],TODAY(),"D"),"")</f>
        <v/>
      </c>
      <c r="AE1141" s="25" t="s">
        <v>49</v>
      </c>
      <c r="AF1141" s="25" t="s">
        <v>49</v>
      </c>
      <c r="AG1141" s="36"/>
      <c r="AH1141" s="25">
        <v>45807</v>
      </c>
      <c r="AI1141" s="36" t="str">
        <f>IF(DadosViagem5[[#This Row],[Dias em manutenção ]]&lt;5,"Dentro do Prazo","Fora do Prazo")</f>
        <v>Fora do Prazo</v>
      </c>
      <c r="AJ1141" s="36" t="e">
        <v>#REF!</v>
      </c>
    </row>
    <row r="1142" spans="1:36">
      <c r="A1142" s="19" t="s">
        <v>1967</v>
      </c>
      <c r="B1142" s="20"/>
      <c r="C1142" s="19" t="s">
        <v>74</v>
      </c>
      <c r="D1142" s="19" t="s">
        <v>52</v>
      </c>
      <c r="E1142" s="19" t="s">
        <v>75</v>
      </c>
      <c r="F1142" s="19" t="s">
        <v>115</v>
      </c>
      <c r="G1142" s="19"/>
      <c r="H1142" s="20">
        <v>2024</v>
      </c>
      <c r="I1142" s="19" t="s">
        <v>41</v>
      </c>
      <c r="J1142" s="19" t="s">
        <v>1902</v>
      </c>
      <c r="K1142" s="21" t="s">
        <v>1903</v>
      </c>
      <c r="L1142" s="22" t="s">
        <v>60</v>
      </c>
      <c r="M1142" s="23" t="s">
        <v>77</v>
      </c>
      <c r="N1142" s="36" t="s">
        <v>1904</v>
      </c>
      <c r="O1142" s="36" t="s">
        <v>142</v>
      </c>
      <c r="P1142" s="26">
        <f ca="1">IFERROR(VLOOKUP(DadosViagem5[[#This Row],[Placa]],[1]BIP!A:E,5,FALSE),"")</f>
        <v>45975</v>
      </c>
      <c r="Q1142" s="27">
        <f ca="1">DATEDIF(DadosViagem5[[#This Row],[BIP]],TODAY(),"D")</f>
        <v>15</v>
      </c>
      <c r="R1142" s="28" t="str">
        <f>IFERROR(VLOOKUP(DadosViagem5[[#This Row],[Placa]],[1]DDS!B:C,2,FALSE),"Verificar cadastro")</f>
        <v>Manutenção</v>
      </c>
      <c r="S1142" s="29" t="s">
        <v>48</v>
      </c>
      <c r="T1142" s="23"/>
      <c r="U1142" s="30"/>
      <c r="V1142" s="31"/>
      <c r="W1142" s="32" t="s">
        <v>1473</v>
      </c>
      <c r="X1142" s="33"/>
      <c r="Y1142" s="34"/>
      <c r="Z1142" s="32"/>
      <c r="AA1142" s="20" t="s">
        <v>49</v>
      </c>
      <c r="AB1142" s="20" t="s">
        <v>49</v>
      </c>
      <c r="AC1142" s="19" t="s">
        <v>49</v>
      </c>
      <c r="AD1142" s="19" t="str">
        <f ca="1">IFERROR(DATEDIF(DadosViagem5[[#This Row],[Utimo Bip Reserva]],TODAY(),"D"),"")</f>
        <v/>
      </c>
      <c r="AE1142" s="29"/>
      <c r="AF1142" s="35" t="s">
        <v>49</v>
      </c>
      <c r="AG1142" s="36"/>
      <c r="AH1142" s="25">
        <v>45807</v>
      </c>
      <c r="AI1142" s="36" t="str">
        <f>IF(DadosViagem5[[#This Row],[Dias em manutenção ]]&lt;5,"Dentro do Prazo","Fora do Prazo")</f>
        <v>Fora do Prazo</v>
      </c>
      <c r="AJ1142" s="36" t="e">
        <v>#REF!</v>
      </c>
    </row>
    <row r="1143" spans="1:36">
      <c r="A1143" s="19" t="s">
        <v>1968</v>
      </c>
      <c r="B1143" s="20">
        <v>546</v>
      </c>
      <c r="C1143" s="19" t="s">
        <v>74</v>
      </c>
      <c r="D1143" s="19" t="s">
        <v>52</v>
      </c>
      <c r="E1143" s="19" t="s">
        <v>75</v>
      </c>
      <c r="F1143" s="19" t="s">
        <v>115</v>
      </c>
      <c r="G1143" s="19"/>
      <c r="H1143" s="20">
        <v>2024</v>
      </c>
      <c r="I1143" s="19" t="s">
        <v>41</v>
      </c>
      <c r="J1143" s="19" t="s">
        <v>1902</v>
      </c>
      <c r="K1143" s="21" t="s">
        <v>1903</v>
      </c>
      <c r="L1143" s="22" t="s">
        <v>60</v>
      </c>
      <c r="M1143" s="23" t="s">
        <v>77</v>
      </c>
      <c r="N1143" s="36" t="s">
        <v>1904</v>
      </c>
      <c r="O1143" s="36" t="s">
        <v>142</v>
      </c>
      <c r="P1143" s="26">
        <f ca="1">IFERROR(VLOOKUP(DadosViagem5[[#This Row],[Placa]],[1]BIP!A:E,5,FALSE),"")</f>
        <v>45989</v>
      </c>
      <c r="Q1143" s="27">
        <f ca="1">DATEDIF(DadosViagem5[[#This Row],[BIP]],TODAY(),"D")</f>
        <v>1</v>
      </c>
      <c r="R1143" s="28" t="str">
        <f>IFERROR(VLOOKUP(DadosViagem5[[#This Row],[Placa]],[1]DDS!B:C,2,FALSE),"Verificar cadastro")</f>
        <v>Operando</v>
      </c>
      <c r="S1143" s="29" t="s">
        <v>48</v>
      </c>
      <c r="T1143" s="23"/>
      <c r="U1143" s="30"/>
      <c r="V1143" s="31"/>
      <c r="W1143" s="32" t="s">
        <v>1969</v>
      </c>
      <c r="X1143" s="33"/>
      <c r="Y1143" s="34"/>
      <c r="Z1143" s="32"/>
      <c r="AA1143" s="20" t="s">
        <v>49</v>
      </c>
      <c r="AB1143" s="20" t="s">
        <v>49</v>
      </c>
      <c r="AC1143" s="19" t="s">
        <v>49</v>
      </c>
      <c r="AD1143" s="19" t="str">
        <f ca="1">IFERROR(DATEDIF(DadosViagem5[[#This Row],[Utimo Bip Reserva]],TODAY(),"D"),"")</f>
        <v/>
      </c>
      <c r="AE1143" s="29"/>
      <c r="AF1143" s="35"/>
      <c r="AG1143" s="36"/>
      <c r="AH1143" s="25">
        <v>45807</v>
      </c>
      <c r="AI1143" s="36" t="str">
        <f>IF(DadosViagem5[[#This Row],[Dias em manutenção ]]&lt;5,"Dentro do Prazo","Fora do Prazo")</f>
        <v>Fora do Prazo</v>
      </c>
      <c r="AJ1143" s="36" t="e">
        <v>#REF!</v>
      </c>
    </row>
    <row r="1144" spans="1:36">
      <c r="A1144" s="19" t="s">
        <v>1970</v>
      </c>
      <c r="B1144" s="20"/>
      <c r="C1144" s="19" t="s">
        <v>74</v>
      </c>
      <c r="D1144" s="19" t="s">
        <v>52</v>
      </c>
      <c r="E1144" s="19" t="s">
        <v>75</v>
      </c>
      <c r="F1144" s="19" t="s">
        <v>115</v>
      </c>
      <c r="G1144" s="19"/>
      <c r="H1144" s="20">
        <v>2024</v>
      </c>
      <c r="I1144" s="19" t="s">
        <v>41</v>
      </c>
      <c r="J1144" s="19" t="s">
        <v>1133</v>
      </c>
      <c r="K1144" s="21" t="s">
        <v>1134</v>
      </c>
      <c r="L1144" s="22" t="s">
        <v>60</v>
      </c>
      <c r="M1144" s="23" t="s">
        <v>77</v>
      </c>
      <c r="N1144" s="24" t="s">
        <v>1135</v>
      </c>
      <c r="O1144" s="36" t="s">
        <v>1136</v>
      </c>
      <c r="P1144" s="26">
        <f ca="1">IFERROR(VLOOKUP(DadosViagem5[[#This Row],[Placa]],[1]BIP!A:E,5,FALSE),"")</f>
        <v>45982</v>
      </c>
      <c r="Q1144" s="27">
        <f ca="1">DATEDIF(DadosViagem5[[#This Row],[BIP]],TODAY(),"D")</f>
        <v>8</v>
      </c>
      <c r="R1144" s="28" t="str">
        <f>IFERROR(VLOOKUP(DadosViagem5[[#This Row],[Placa]],[1]DDS!B:C,2,FALSE),"Verificar cadastro")</f>
        <v> </v>
      </c>
      <c r="S1144" s="29" t="s">
        <v>48</v>
      </c>
      <c r="T1144" s="23"/>
      <c r="U1144" s="30"/>
      <c r="V1144" s="31"/>
      <c r="W1144" s="32" t="s">
        <v>1933</v>
      </c>
      <c r="X1144" s="33"/>
      <c r="Y1144" s="34"/>
      <c r="Z1144" s="132"/>
      <c r="AA1144" s="20" t="s">
        <v>49</v>
      </c>
      <c r="AB1144" s="20" t="s">
        <v>49</v>
      </c>
      <c r="AC1144" s="19" t="s">
        <v>49</v>
      </c>
      <c r="AD1144" s="19" t="str">
        <f ca="1">IFERROR(DATEDIF(DadosViagem5[[#This Row],[Utimo Bip Reserva]],TODAY(),"D"),"")</f>
        <v/>
      </c>
      <c r="AE1144" s="29" t="s">
        <v>49</v>
      </c>
      <c r="AF1144" s="35" t="s">
        <v>49</v>
      </c>
      <c r="AG1144" s="36"/>
      <c r="AH1144" s="25">
        <v>45807</v>
      </c>
      <c r="AI1144" s="36" t="str">
        <f>IF(DadosViagem5[[#This Row],[Dias em manutenção ]]&lt;5,"Dentro do Prazo","Fora do Prazo")</f>
        <v>Fora do Prazo</v>
      </c>
      <c r="AJ1144" s="36" t="e">
        <v>#REF!</v>
      </c>
    </row>
    <row r="1145" spans="1:36">
      <c r="A1145" s="19" t="s">
        <v>1971</v>
      </c>
      <c r="B1145" s="20"/>
      <c r="C1145" s="19" t="s">
        <v>74</v>
      </c>
      <c r="D1145" s="19" t="s">
        <v>52</v>
      </c>
      <c r="E1145" s="19" t="s">
        <v>75</v>
      </c>
      <c r="F1145" s="19" t="s">
        <v>76</v>
      </c>
      <c r="G1145" s="19"/>
      <c r="H1145" s="20">
        <v>2024</v>
      </c>
      <c r="I1145" s="19" t="s">
        <v>41</v>
      </c>
      <c r="J1145" s="19" t="s">
        <v>1133</v>
      </c>
      <c r="K1145" s="21" t="s">
        <v>1134</v>
      </c>
      <c r="L1145" s="22" t="s">
        <v>60</v>
      </c>
      <c r="M1145" s="23" t="s">
        <v>77</v>
      </c>
      <c r="N1145" s="36" t="s">
        <v>1135</v>
      </c>
      <c r="O1145" s="36" t="s">
        <v>1136</v>
      </c>
      <c r="P1145" s="26">
        <f ca="1">IFERROR(VLOOKUP(DadosViagem5[[#This Row],[Placa]],[1]BIP!A:E,5,FALSE),"")</f>
        <v>45989</v>
      </c>
      <c r="Q1145" s="27">
        <f ca="1">DATEDIF(DadosViagem5[[#This Row],[BIP]],TODAY(),"D")</f>
        <v>1</v>
      </c>
      <c r="R1145" s="28" t="str">
        <f>IFERROR(VLOOKUP(DadosViagem5[[#This Row],[Placa]],[1]DDS!B:C,2,FALSE),"Verificar cadastro")</f>
        <v>Operando</v>
      </c>
      <c r="S1145" s="29" t="s">
        <v>48</v>
      </c>
      <c r="T1145" s="23"/>
      <c r="U1145" s="30"/>
      <c r="V1145" s="31"/>
      <c r="W1145" s="32" t="s">
        <v>1953</v>
      </c>
      <c r="X1145" s="33"/>
      <c r="Y1145" s="34"/>
      <c r="Z1145" s="32"/>
      <c r="AA1145" s="20" t="s">
        <v>49</v>
      </c>
      <c r="AB1145" s="20" t="s">
        <v>49</v>
      </c>
      <c r="AC1145" s="19" t="s">
        <v>49</v>
      </c>
      <c r="AD1145" s="19" t="str">
        <f ca="1">IFERROR(DATEDIF(DadosViagem5[[#This Row],[Utimo Bip Reserva]],TODAY(),"D"),"")</f>
        <v/>
      </c>
      <c r="AE1145" s="25" t="s">
        <v>49</v>
      </c>
      <c r="AF1145" s="25" t="s">
        <v>49</v>
      </c>
      <c r="AG1145" s="36"/>
      <c r="AH1145" s="25">
        <v>45807</v>
      </c>
      <c r="AI1145" s="36" t="str">
        <f>IF(DadosViagem5[[#This Row],[Dias em manutenção ]]&lt;5,"Dentro do Prazo","Fora do Prazo")</f>
        <v>Fora do Prazo</v>
      </c>
      <c r="AJ1145" s="36" t="e">
        <v>#REF!</v>
      </c>
    </row>
    <row r="1146" spans="1:36">
      <c r="A1146" s="19" t="s">
        <v>1972</v>
      </c>
      <c r="B1146" s="20">
        <v>573</v>
      </c>
      <c r="C1146" s="19" t="s">
        <v>74</v>
      </c>
      <c r="D1146" s="19" t="s">
        <v>52</v>
      </c>
      <c r="E1146" s="19" t="s">
        <v>75</v>
      </c>
      <c r="F1146" s="19" t="s">
        <v>115</v>
      </c>
      <c r="G1146" s="19"/>
      <c r="H1146" s="20">
        <v>2024</v>
      </c>
      <c r="I1146" s="19" t="s">
        <v>41</v>
      </c>
      <c r="J1146" s="19" t="s">
        <v>1902</v>
      </c>
      <c r="K1146" s="21" t="s">
        <v>1903</v>
      </c>
      <c r="L1146" s="22" t="s">
        <v>60</v>
      </c>
      <c r="M1146" s="23" t="s">
        <v>77</v>
      </c>
      <c r="N1146" s="36" t="s">
        <v>1904</v>
      </c>
      <c r="O1146" s="36" t="s">
        <v>142</v>
      </c>
      <c r="P1146" s="26">
        <f ca="1">IFERROR(VLOOKUP(DadosViagem5[[#This Row],[Placa]],[1]BIP!A:E,5,FALSE),"")</f>
        <v>45989</v>
      </c>
      <c r="Q1146" s="27">
        <f ca="1">DATEDIF(DadosViagem5[[#This Row],[BIP]],TODAY(),"D")</f>
        <v>1</v>
      </c>
      <c r="R1146" s="28" t="str">
        <f>IFERROR(VLOOKUP(DadosViagem5[[#This Row],[Placa]],[1]DDS!B:C,2,FALSE),"Verificar cadastro")</f>
        <v>Operando</v>
      </c>
      <c r="S1146" s="29" t="s">
        <v>48</v>
      </c>
      <c r="T1146" s="23"/>
      <c r="U1146" s="30"/>
      <c r="V1146" s="31"/>
      <c r="W1146" s="32" t="s">
        <v>1933</v>
      </c>
      <c r="X1146" s="33"/>
      <c r="Y1146" s="34"/>
      <c r="Z1146" s="32"/>
      <c r="AA1146" s="20" t="s">
        <v>49</v>
      </c>
      <c r="AB1146" s="20" t="s">
        <v>49</v>
      </c>
      <c r="AC1146" s="19" t="s">
        <v>49</v>
      </c>
      <c r="AD1146" s="19" t="str">
        <f ca="1">IFERROR(DATEDIF(DadosViagem5[[#This Row],[Utimo Bip Reserva]],TODAY(),"D"),"")</f>
        <v/>
      </c>
      <c r="AE1146" s="25" t="s">
        <v>49</v>
      </c>
      <c r="AF1146" s="25" t="s">
        <v>49</v>
      </c>
      <c r="AG1146" s="36"/>
      <c r="AH1146" s="25">
        <v>45807</v>
      </c>
      <c r="AI1146" s="36" t="str">
        <f>IF(DadosViagem5[[#This Row],[Dias em manutenção ]]&lt;5,"Dentro do Prazo","Fora do Prazo")</f>
        <v>Fora do Prazo</v>
      </c>
      <c r="AJ1146" s="36" t="e">
        <v>#REF!</v>
      </c>
    </row>
    <row r="1147" spans="1:36">
      <c r="A1147" s="19" t="s">
        <v>1973</v>
      </c>
      <c r="B1147" s="20"/>
      <c r="C1147" s="19" t="s">
        <v>88</v>
      </c>
      <c r="D1147" s="19" t="s">
        <v>38</v>
      </c>
      <c r="E1147" s="19" t="s">
        <v>114</v>
      </c>
      <c r="F1147" s="19" t="s">
        <v>115</v>
      </c>
      <c r="G1147" s="19"/>
      <c r="H1147" s="20">
        <v>2021</v>
      </c>
      <c r="I1147" s="19" t="s">
        <v>41</v>
      </c>
      <c r="J1147" s="19" t="s">
        <v>1902</v>
      </c>
      <c r="K1147" s="21" t="s">
        <v>1903</v>
      </c>
      <c r="L1147" s="22" t="s">
        <v>60</v>
      </c>
      <c r="M1147" s="23" t="s">
        <v>290</v>
      </c>
      <c r="N1147" s="36" t="s">
        <v>1904</v>
      </c>
      <c r="O1147" s="36" t="s">
        <v>142</v>
      </c>
      <c r="P1147" s="26">
        <f ca="1">IFERROR(VLOOKUP(DadosViagem5[[#This Row],[Placa]],[1]BIP!A:E,5,FALSE),"")</f>
        <v>45915</v>
      </c>
      <c r="Q1147" s="27">
        <f ca="1">DATEDIF(DadosViagem5[[#This Row],[BIP]],TODAY(),"D")</f>
        <v>75</v>
      </c>
      <c r="R1147" s="28" t="str">
        <f>IFERROR(VLOOKUP(DadosViagem5[[#This Row],[Placa]],[1]DDS!B:C,2,FALSE),"Verificar cadastro")</f>
        <v>Falta Motorista</v>
      </c>
      <c r="S1147" s="36" t="s">
        <v>35</v>
      </c>
      <c r="T1147" s="23"/>
      <c r="U1147" s="30"/>
      <c r="V1147" s="31"/>
      <c r="W1147" s="32" t="s">
        <v>1974</v>
      </c>
      <c r="X1147" s="33"/>
      <c r="Y1147" s="34"/>
      <c r="Z1147" s="42" t="s">
        <v>171</v>
      </c>
      <c r="AA1147" s="20" t="s">
        <v>49</v>
      </c>
      <c r="AB1147" s="20" t="s">
        <v>49</v>
      </c>
      <c r="AC1147" s="19" t="s">
        <v>49</v>
      </c>
      <c r="AD1147" s="19" t="str">
        <f ca="1">IFERROR(DATEDIF(DadosViagem5[[#This Row],[Utimo Bip Reserva]],TODAY(),"D"),"")</f>
        <v/>
      </c>
      <c r="AE1147" s="36" t="s">
        <v>49</v>
      </c>
      <c r="AF1147" s="25" t="s">
        <v>49</v>
      </c>
      <c r="AG1147" s="36"/>
      <c r="AH1147" s="25">
        <v>45807</v>
      </c>
      <c r="AI1147" s="36" t="str">
        <f>IF(DadosViagem5[[#This Row],[Dias em manutenção ]]&lt;5,"Dentro do Prazo","Fora do Prazo")</f>
        <v>Fora do Prazo</v>
      </c>
      <c r="AJ1147" s="36" t="e">
        <v>#REF!</v>
      </c>
    </row>
    <row r="1148" spans="1:36">
      <c r="A1148" s="19" t="s">
        <v>1975</v>
      </c>
      <c r="B1148" s="20"/>
      <c r="C1148" s="19" t="s">
        <v>74</v>
      </c>
      <c r="D1148" s="19" t="s">
        <v>52</v>
      </c>
      <c r="E1148" s="19" t="s">
        <v>75</v>
      </c>
      <c r="F1148" s="19" t="s">
        <v>76</v>
      </c>
      <c r="G1148" s="19"/>
      <c r="H1148" s="20">
        <v>2023</v>
      </c>
      <c r="I1148" s="19" t="s">
        <v>41</v>
      </c>
      <c r="J1148" s="19" t="s">
        <v>1902</v>
      </c>
      <c r="K1148" s="21" t="s">
        <v>1903</v>
      </c>
      <c r="L1148" s="22" t="s">
        <v>60</v>
      </c>
      <c r="M1148" s="23" t="s">
        <v>77</v>
      </c>
      <c r="N1148" s="36" t="s">
        <v>1904</v>
      </c>
      <c r="O1148" s="36" t="s">
        <v>142</v>
      </c>
      <c r="P1148" s="26">
        <f ca="1">IFERROR(VLOOKUP(DadosViagem5[[#This Row],[Placa]],[1]BIP!A:E,5,FALSE),"")</f>
        <v>45988</v>
      </c>
      <c r="Q1148" s="27">
        <f ca="1">DATEDIF(DadosViagem5[[#This Row],[BIP]],TODAY(),"D")</f>
        <v>2</v>
      </c>
      <c r="R1148" s="28" t="str">
        <f>IFERROR(VLOOKUP(DadosViagem5[[#This Row],[Placa]],[1]DDS!B:C,2,FALSE),"Verificar cadastro")</f>
        <v> </v>
      </c>
      <c r="S1148" s="29" t="s">
        <v>48</v>
      </c>
      <c r="T1148" s="23"/>
      <c r="U1148" s="30"/>
      <c r="V1148" s="31"/>
      <c r="W1148" s="32" t="s">
        <v>1933</v>
      </c>
      <c r="X1148" s="33"/>
      <c r="Y1148" s="34"/>
      <c r="Z1148" s="42"/>
      <c r="AA1148" s="20" t="s">
        <v>49</v>
      </c>
      <c r="AB1148" s="20" t="s">
        <v>49</v>
      </c>
      <c r="AC1148" s="19" t="s">
        <v>49</v>
      </c>
      <c r="AD1148" s="19" t="str">
        <f ca="1">IFERROR(DATEDIF(DadosViagem5[[#This Row],[Utimo Bip Reserva]],TODAY(),"D"),"")</f>
        <v/>
      </c>
      <c r="AE1148" s="25" t="s">
        <v>49</v>
      </c>
      <c r="AF1148" s="25" t="s">
        <v>49</v>
      </c>
      <c r="AG1148" s="36"/>
      <c r="AH1148" s="25">
        <v>45807</v>
      </c>
      <c r="AI1148" s="36" t="str">
        <f>IF(DadosViagem5[[#This Row],[Dias em manutenção ]]&lt;5,"Dentro do Prazo","Fora do Prazo")</f>
        <v>Fora do Prazo</v>
      </c>
      <c r="AJ1148" s="36" t="e">
        <v>#REF!</v>
      </c>
    </row>
    <row r="1149" spans="1:36">
      <c r="A1149" s="19" t="s">
        <v>1976</v>
      </c>
      <c r="B1149" s="20"/>
      <c r="C1149" s="19" t="s">
        <v>562</v>
      </c>
      <c r="D1149" s="19" t="s">
        <v>563</v>
      </c>
      <c r="E1149" s="19" t="s">
        <v>114</v>
      </c>
      <c r="F1149" s="19" t="s">
        <v>115</v>
      </c>
      <c r="G1149" s="19"/>
      <c r="H1149" s="20">
        <v>2021</v>
      </c>
      <c r="I1149" s="19" t="s">
        <v>41</v>
      </c>
      <c r="J1149" s="19" t="s">
        <v>1977</v>
      </c>
      <c r="K1149" s="21" t="s">
        <v>1978</v>
      </c>
      <c r="L1149" s="22" t="s">
        <v>60</v>
      </c>
      <c r="M1149" s="23" t="s">
        <v>268</v>
      </c>
      <c r="N1149" s="36" t="s">
        <v>1979</v>
      </c>
      <c r="O1149" s="36" t="s">
        <v>142</v>
      </c>
      <c r="P1149" s="26">
        <f ca="1">IFERROR(VLOOKUP(DadosViagem5[[#This Row],[Placa]],[1]BIP!A:E,5,FALSE),"")</f>
        <v>45947</v>
      </c>
      <c r="Q1149" s="27">
        <f ca="1">DATEDIF(DadosViagem5[[#This Row],[BIP]],TODAY(),"D")</f>
        <v>43</v>
      </c>
      <c r="R1149" s="28" t="str">
        <f>IFERROR(VLOOKUP(DadosViagem5[[#This Row],[Placa]],[1]DDS!B:C,2,FALSE),"Verificar cadastro")</f>
        <v>Manutenção</v>
      </c>
      <c r="S1149" s="29" t="s">
        <v>48</v>
      </c>
      <c r="T1149" s="23"/>
      <c r="U1149" s="30"/>
      <c r="V1149" s="31"/>
      <c r="W1149" s="32"/>
      <c r="X1149" s="33"/>
      <c r="Y1149" s="34" t="s">
        <v>49</v>
      </c>
      <c r="Z1149" s="32"/>
      <c r="AA1149" s="20" t="s">
        <v>49</v>
      </c>
      <c r="AB1149" s="20" t="s">
        <v>49</v>
      </c>
      <c r="AC1149" s="19" t="s">
        <v>49</v>
      </c>
      <c r="AD1149" s="19" t="str">
        <f ca="1">IFERROR(DATEDIF(DadosViagem5[[#This Row],[Utimo Bip Reserva]],TODAY(),"D"),"")</f>
        <v/>
      </c>
      <c r="AE1149" s="36" t="s">
        <v>49</v>
      </c>
      <c r="AF1149" s="25" t="s">
        <v>49</v>
      </c>
      <c r="AG1149" s="36"/>
      <c r="AH1149" s="25">
        <v>45807</v>
      </c>
      <c r="AI1149" s="36" t="str">
        <f>IF(DadosViagem5[[#This Row],[Dias em manutenção ]]&lt;5,"Dentro do Prazo","Fora do Prazo")</f>
        <v>Fora do Prazo</v>
      </c>
      <c r="AJ1149" s="36" t="e">
        <v>#REF!</v>
      </c>
    </row>
    <row r="1150" spans="1:36">
      <c r="A1150" s="19" t="s">
        <v>1980</v>
      </c>
      <c r="B1150" s="20"/>
      <c r="C1150" s="19" t="s">
        <v>1013</v>
      </c>
      <c r="D1150" s="19" t="s">
        <v>1014</v>
      </c>
      <c r="E1150" s="19" t="s">
        <v>114</v>
      </c>
      <c r="F1150" s="19" t="s">
        <v>115</v>
      </c>
      <c r="G1150" s="19"/>
      <c r="H1150" s="20">
        <v>2023</v>
      </c>
      <c r="I1150" s="19" t="s">
        <v>41</v>
      </c>
      <c r="J1150" s="19" t="s">
        <v>1977</v>
      </c>
      <c r="K1150" s="21" t="s">
        <v>1978</v>
      </c>
      <c r="L1150" s="22" t="s">
        <v>60</v>
      </c>
      <c r="M1150" s="23" t="s">
        <v>268</v>
      </c>
      <c r="N1150" s="36" t="s">
        <v>1979</v>
      </c>
      <c r="O1150" s="36" t="s">
        <v>142</v>
      </c>
      <c r="P1150" s="26">
        <f ca="1">IFERROR(VLOOKUP(DadosViagem5[[#This Row],[Placa]],[1]BIP!A:E,5,FALSE),"")</f>
        <v>45989</v>
      </c>
      <c r="Q1150" s="27">
        <f ca="1">DATEDIF(DadosViagem5[[#This Row],[BIP]],TODAY(),"D")</f>
        <v>1</v>
      </c>
      <c r="R1150" s="28" t="str">
        <f>IFERROR(VLOOKUP(DadosViagem5[[#This Row],[Placa]],[1]DDS!B:C,2,FALSE),"Verificar cadastro")</f>
        <v>Operando</v>
      </c>
      <c r="S1150" s="29" t="s">
        <v>48</v>
      </c>
      <c r="T1150" s="23"/>
      <c r="U1150" s="30"/>
      <c r="V1150" s="31"/>
      <c r="W1150" s="32"/>
      <c r="X1150" s="33"/>
      <c r="Y1150" s="34" t="s">
        <v>49</v>
      </c>
      <c r="Z1150" s="32"/>
      <c r="AA1150" s="20" t="s">
        <v>49</v>
      </c>
      <c r="AB1150" s="20" t="s">
        <v>49</v>
      </c>
      <c r="AC1150" s="19" t="s">
        <v>49</v>
      </c>
      <c r="AD1150" s="19" t="str">
        <f ca="1">IFERROR(DATEDIF(DadosViagem5[[#This Row],[Utimo Bip Reserva]],TODAY(),"D"),"")</f>
        <v/>
      </c>
      <c r="AE1150" s="36" t="s">
        <v>49</v>
      </c>
      <c r="AF1150" s="25" t="s">
        <v>49</v>
      </c>
      <c r="AG1150" s="36"/>
      <c r="AH1150" s="25">
        <v>45807</v>
      </c>
      <c r="AI1150" s="36" t="str">
        <f>IF(DadosViagem5[[#This Row],[Dias em manutenção ]]&lt;5,"Dentro do Prazo","Fora do Prazo")</f>
        <v>Fora do Prazo</v>
      </c>
      <c r="AJ1150" s="36" t="e">
        <v>#REF!</v>
      </c>
    </row>
    <row r="1151" spans="1:36">
      <c r="A1151" s="19" t="s">
        <v>1981</v>
      </c>
      <c r="B1151" s="20"/>
      <c r="C1151" s="19" t="s">
        <v>1013</v>
      </c>
      <c r="D1151" s="19" t="s">
        <v>1014</v>
      </c>
      <c r="E1151" s="19" t="s">
        <v>114</v>
      </c>
      <c r="F1151" s="19" t="s">
        <v>115</v>
      </c>
      <c r="G1151" s="19"/>
      <c r="H1151" s="20">
        <v>2023</v>
      </c>
      <c r="I1151" s="19" t="s">
        <v>41</v>
      </c>
      <c r="J1151" s="19" t="s">
        <v>1977</v>
      </c>
      <c r="K1151" s="21" t="s">
        <v>1978</v>
      </c>
      <c r="L1151" s="22" t="s">
        <v>60</v>
      </c>
      <c r="M1151" s="23" t="s">
        <v>268</v>
      </c>
      <c r="N1151" s="36" t="s">
        <v>1979</v>
      </c>
      <c r="O1151" s="36" t="s">
        <v>142</v>
      </c>
      <c r="P1151" s="26">
        <f ca="1">IFERROR(VLOOKUP(DadosViagem5[[#This Row],[Placa]],[1]BIP!A:E,5,FALSE),"")</f>
        <v>45989</v>
      </c>
      <c r="Q1151" s="27">
        <f ca="1">DATEDIF(DadosViagem5[[#This Row],[BIP]],TODAY(),"D")</f>
        <v>1</v>
      </c>
      <c r="R1151" s="28" t="str">
        <f>IFERROR(VLOOKUP(DadosViagem5[[#This Row],[Placa]],[1]DDS!B:C,2,FALSE),"Verificar cadastro")</f>
        <v>Operando</v>
      </c>
      <c r="S1151" s="29" t="s">
        <v>48</v>
      </c>
      <c r="T1151" s="23"/>
      <c r="U1151" s="30"/>
      <c r="V1151" s="31"/>
      <c r="W1151" s="32"/>
      <c r="X1151" s="33"/>
      <c r="Y1151" s="34" t="s">
        <v>49</v>
      </c>
      <c r="Z1151" s="32"/>
      <c r="AA1151" s="20" t="s">
        <v>49</v>
      </c>
      <c r="AB1151" s="20" t="s">
        <v>49</v>
      </c>
      <c r="AC1151" s="19" t="s">
        <v>49</v>
      </c>
      <c r="AD1151" s="19" t="str">
        <f ca="1">IFERROR(DATEDIF(DadosViagem5[[#This Row],[Utimo Bip Reserva]],TODAY(),"D"),"")</f>
        <v/>
      </c>
      <c r="AE1151" s="36" t="s">
        <v>49</v>
      </c>
      <c r="AF1151" s="25" t="s">
        <v>49</v>
      </c>
      <c r="AG1151" s="36"/>
      <c r="AH1151" s="25">
        <v>45807</v>
      </c>
      <c r="AI1151" s="36" t="str">
        <f>IF(DadosViagem5[[#This Row],[Dias em manutenção ]]&lt;5,"Dentro do Prazo","Fora do Prazo")</f>
        <v>Fora do Prazo</v>
      </c>
      <c r="AJ1151" s="36" t="e">
        <v>#REF!</v>
      </c>
    </row>
    <row r="1152" spans="1:36">
      <c r="A1152" s="19" t="s">
        <v>1982</v>
      </c>
      <c r="B1152" s="20"/>
      <c r="C1152" s="19" t="s">
        <v>1013</v>
      </c>
      <c r="D1152" s="19" t="s">
        <v>1014</v>
      </c>
      <c r="E1152" s="19" t="s">
        <v>114</v>
      </c>
      <c r="F1152" s="19" t="s">
        <v>115</v>
      </c>
      <c r="G1152" s="19"/>
      <c r="H1152" s="20">
        <v>2023</v>
      </c>
      <c r="I1152" s="19" t="s">
        <v>41</v>
      </c>
      <c r="J1152" s="19" t="s">
        <v>1977</v>
      </c>
      <c r="K1152" s="21" t="s">
        <v>1978</v>
      </c>
      <c r="L1152" s="22" t="s">
        <v>60</v>
      </c>
      <c r="M1152" s="23" t="s">
        <v>268</v>
      </c>
      <c r="N1152" s="36" t="s">
        <v>1979</v>
      </c>
      <c r="O1152" s="36" t="s">
        <v>142</v>
      </c>
      <c r="P1152" s="26">
        <f ca="1">IFERROR(VLOOKUP(DadosViagem5[[#This Row],[Placa]],[1]BIP!A:E,5,FALSE),"")</f>
        <v>45989</v>
      </c>
      <c r="Q1152" s="27">
        <f ca="1">DATEDIF(DadosViagem5[[#This Row],[BIP]],TODAY(),"D")</f>
        <v>1</v>
      </c>
      <c r="R1152" s="28" t="str">
        <f>IFERROR(VLOOKUP(DadosViagem5[[#This Row],[Placa]],[1]DDS!B:C,2,FALSE),"Verificar cadastro")</f>
        <v>Operando</v>
      </c>
      <c r="S1152" s="29" t="s">
        <v>48</v>
      </c>
      <c r="T1152" s="23"/>
      <c r="U1152" s="30"/>
      <c r="V1152" s="31"/>
      <c r="W1152" s="32"/>
      <c r="X1152" s="33"/>
      <c r="Y1152" s="34" t="s">
        <v>49</v>
      </c>
      <c r="Z1152" s="32"/>
      <c r="AA1152" s="20" t="s">
        <v>49</v>
      </c>
      <c r="AB1152" s="20" t="s">
        <v>49</v>
      </c>
      <c r="AC1152" s="19" t="s">
        <v>49</v>
      </c>
      <c r="AD1152" s="19" t="str">
        <f ca="1">IFERROR(DATEDIF(DadosViagem5[[#This Row],[Utimo Bip Reserva]],TODAY(),"D"),"")</f>
        <v/>
      </c>
      <c r="AE1152" s="36" t="s">
        <v>49</v>
      </c>
      <c r="AF1152" s="25" t="s">
        <v>49</v>
      </c>
      <c r="AG1152" s="36"/>
      <c r="AH1152" s="25">
        <v>45807</v>
      </c>
      <c r="AI1152" s="36" t="str">
        <f>IF(DadosViagem5[[#This Row],[Dias em manutenção ]]&lt;5,"Dentro do Prazo","Fora do Prazo")</f>
        <v>Fora do Prazo</v>
      </c>
      <c r="AJ1152" s="36" t="e">
        <v>#REF!</v>
      </c>
    </row>
    <row r="1153" spans="1:36">
      <c r="A1153" s="19" t="s">
        <v>1983</v>
      </c>
      <c r="B1153" s="20"/>
      <c r="C1153" s="19" t="s">
        <v>1013</v>
      </c>
      <c r="D1153" s="19" t="s">
        <v>1014</v>
      </c>
      <c r="E1153" s="19" t="s">
        <v>114</v>
      </c>
      <c r="F1153" s="19" t="s">
        <v>115</v>
      </c>
      <c r="G1153" s="19"/>
      <c r="H1153" s="20">
        <v>2023</v>
      </c>
      <c r="I1153" s="19" t="s">
        <v>41</v>
      </c>
      <c r="J1153" s="19" t="s">
        <v>1977</v>
      </c>
      <c r="K1153" s="21" t="s">
        <v>1978</v>
      </c>
      <c r="L1153" s="22" t="s">
        <v>60</v>
      </c>
      <c r="M1153" s="23" t="s">
        <v>268</v>
      </c>
      <c r="N1153" s="36" t="s">
        <v>1979</v>
      </c>
      <c r="O1153" s="36" t="s">
        <v>142</v>
      </c>
      <c r="P1153" s="26">
        <f ca="1">IFERROR(VLOOKUP(DadosViagem5[[#This Row],[Placa]],[1]BIP!A:E,5,FALSE),"")</f>
        <v>45987</v>
      </c>
      <c r="Q1153" s="27">
        <f ca="1">DATEDIF(DadosViagem5[[#This Row],[BIP]],TODAY(),"D")</f>
        <v>3</v>
      </c>
      <c r="R1153" s="28" t="str">
        <f>IFERROR(VLOOKUP(DadosViagem5[[#This Row],[Placa]],[1]DDS!B:C,2,FALSE),"Verificar cadastro")</f>
        <v>Falta Motorista</v>
      </c>
      <c r="S1153" s="29" t="s">
        <v>48</v>
      </c>
      <c r="T1153" s="23"/>
      <c r="U1153" s="30"/>
      <c r="V1153" s="31"/>
      <c r="W1153" s="32"/>
      <c r="X1153" s="33"/>
      <c r="Y1153" s="34" t="s">
        <v>49</v>
      </c>
      <c r="Z1153" s="32"/>
      <c r="AA1153" s="20" t="s">
        <v>49</v>
      </c>
      <c r="AB1153" s="20" t="s">
        <v>49</v>
      </c>
      <c r="AC1153" s="19" t="s">
        <v>49</v>
      </c>
      <c r="AD1153" s="19" t="str">
        <f ca="1">IFERROR(DATEDIF(DadosViagem5[[#This Row],[Utimo Bip Reserva]],TODAY(),"D"),"")</f>
        <v/>
      </c>
      <c r="AE1153" s="36" t="s">
        <v>49</v>
      </c>
      <c r="AF1153" s="25" t="s">
        <v>49</v>
      </c>
      <c r="AG1153" s="36"/>
      <c r="AH1153" s="25">
        <v>45807</v>
      </c>
      <c r="AI1153" s="36" t="str">
        <f>IF(DadosViagem5[[#This Row],[Dias em manutenção ]]&lt;5,"Dentro do Prazo","Fora do Prazo")</f>
        <v>Fora do Prazo</v>
      </c>
      <c r="AJ1153" s="36" t="e">
        <v>#REF!</v>
      </c>
    </row>
    <row r="1154" spans="1:36">
      <c r="A1154" s="19" t="s">
        <v>1984</v>
      </c>
      <c r="B1154" s="20"/>
      <c r="C1154" s="19" t="s">
        <v>1013</v>
      </c>
      <c r="D1154" s="19" t="s">
        <v>1014</v>
      </c>
      <c r="E1154" s="19" t="s">
        <v>114</v>
      </c>
      <c r="F1154" s="19" t="s">
        <v>115</v>
      </c>
      <c r="G1154" s="19"/>
      <c r="H1154" s="20">
        <v>2022</v>
      </c>
      <c r="I1154" s="19" t="s">
        <v>41</v>
      </c>
      <c r="J1154" s="19" t="s">
        <v>1977</v>
      </c>
      <c r="K1154" s="21" t="s">
        <v>1978</v>
      </c>
      <c r="L1154" s="22" t="s">
        <v>60</v>
      </c>
      <c r="M1154" s="23" t="s">
        <v>268</v>
      </c>
      <c r="N1154" s="36" t="s">
        <v>1979</v>
      </c>
      <c r="O1154" s="36" t="s">
        <v>142</v>
      </c>
      <c r="P1154" s="26">
        <f ca="1">IFERROR(VLOOKUP(DadosViagem5[[#This Row],[Placa]],[1]BIP!A:E,5,FALSE),"")</f>
        <v>45986</v>
      </c>
      <c r="Q1154" s="27">
        <f ca="1">DATEDIF(DadosViagem5[[#This Row],[BIP]],TODAY(),"D")</f>
        <v>4</v>
      </c>
      <c r="R1154" s="28" t="str">
        <f>IFERROR(VLOOKUP(DadosViagem5[[#This Row],[Placa]],[1]DDS!B:C,2,FALSE),"Verificar cadastro")</f>
        <v>Falta Motorista</v>
      </c>
      <c r="S1154" s="29" t="s">
        <v>48</v>
      </c>
      <c r="T1154" s="23"/>
      <c r="U1154" s="30"/>
      <c r="V1154" s="31"/>
      <c r="W1154" s="116"/>
      <c r="X1154" s="33"/>
      <c r="Y1154" s="34"/>
      <c r="Z1154" s="32"/>
      <c r="AA1154" s="20" t="s">
        <v>49</v>
      </c>
      <c r="AB1154" s="20" t="s">
        <v>49</v>
      </c>
      <c r="AC1154" s="19" t="s">
        <v>49</v>
      </c>
      <c r="AD1154" s="19" t="str">
        <f ca="1">IFERROR(DATEDIF(DadosViagem5[[#This Row],[Utimo Bip Reserva]],TODAY(),"D"),"")</f>
        <v/>
      </c>
      <c r="AE1154" s="36" t="s">
        <v>49</v>
      </c>
      <c r="AF1154" s="25" t="s">
        <v>49</v>
      </c>
      <c r="AG1154" s="36"/>
      <c r="AH1154" s="25">
        <v>45807</v>
      </c>
      <c r="AI1154" s="36" t="str">
        <f>IF(DadosViagem5[[#This Row],[Dias em manutenção ]]&lt;5,"Dentro do Prazo","Fora do Prazo")</f>
        <v>Fora do Prazo</v>
      </c>
      <c r="AJ1154" s="36" t="e">
        <v>#REF!</v>
      </c>
    </row>
    <row r="1155" spans="1:36">
      <c r="A1155" s="19" t="s">
        <v>1985</v>
      </c>
      <c r="B1155" s="20"/>
      <c r="C1155" s="19" t="s">
        <v>1013</v>
      </c>
      <c r="D1155" s="19" t="s">
        <v>1014</v>
      </c>
      <c r="E1155" s="19" t="s">
        <v>114</v>
      </c>
      <c r="F1155" s="19" t="s">
        <v>115</v>
      </c>
      <c r="G1155" s="19"/>
      <c r="H1155" s="20">
        <v>2022</v>
      </c>
      <c r="I1155" s="19" t="s">
        <v>41</v>
      </c>
      <c r="J1155" s="19" t="s">
        <v>1977</v>
      </c>
      <c r="K1155" s="21" t="s">
        <v>1978</v>
      </c>
      <c r="L1155" s="22" t="s">
        <v>60</v>
      </c>
      <c r="M1155" s="23" t="s">
        <v>268</v>
      </c>
      <c r="N1155" s="36" t="s">
        <v>1979</v>
      </c>
      <c r="O1155" s="36" t="s">
        <v>142</v>
      </c>
      <c r="P1155" s="26">
        <f ca="1">IFERROR(VLOOKUP(DadosViagem5[[#This Row],[Placa]],[1]BIP!A:E,5,FALSE),"")</f>
        <v>45989</v>
      </c>
      <c r="Q1155" s="27">
        <f ca="1">DATEDIF(DadosViagem5[[#This Row],[BIP]],TODAY(),"D")</f>
        <v>1</v>
      </c>
      <c r="R1155" s="28" t="str">
        <f>IFERROR(VLOOKUP(DadosViagem5[[#This Row],[Placa]],[1]DDS!B:C,2,FALSE),"Verificar cadastro")</f>
        <v>Operando</v>
      </c>
      <c r="S1155" s="29" t="s">
        <v>48</v>
      </c>
      <c r="T1155" s="23"/>
      <c r="U1155" s="30"/>
      <c r="V1155" s="31"/>
      <c r="W1155" s="32"/>
      <c r="X1155" s="33"/>
      <c r="Y1155" s="34" t="s">
        <v>49</v>
      </c>
      <c r="Z1155" s="32"/>
      <c r="AA1155" s="20" t="s">
        <v>49</v>
      </c>
      <c r="AB1155" s="20" t="s">
        <v>49</v>
      </c>
      <c r="AC1155" s="19" t="s">
        <v>49</v>
      </c>
      <c r="AD1155" s="19" t="str">
        <f ca="1">IFERROR(DATEDIF(DadosViagem5[[#This Row],[Utimo Bip Reserva]],TODAY(),"D"),"")</f>
        <v/>
      </c>
      <c r="AE1155" s="36" t="s">
        <v>49</v>
      </c>
      <c r="AF1155" s="25" t="s">
        <v>49</v>
      </c>
      <c r="AG1155" s="36"/>
      <c r="AH1155" s="25">
        <v>45807</v>
      </c>
      <c r="AI1155" s="36" t="str">
        <f>IF(DadosViagem5[[#This Row],[Dias em manutenção ]]&lt;5,"Dentro do Prazo","Fora do Prazo")</f>
        <v>Fora do Prazo</v>
      </c>
      <c r="AJ1155" s="36" t="e">
        <v>#REF!</v>
      </c>
    </row>
    <row r="1156" spans="1:36">
      <c r="A1156" s="19" t="s">
        <v>1986</v>
      </c>
      <c r="B1156" s="20"/>
      <c r="C1156" s="19" t="s">
        <v>562</v>
      </c>
      <c r="D1156" s="19" t="s">
        <v>563</v>
      </c>
      <c r="E1156" s="19" t="s">
        <v>114</v>
      </c>
      <c r="F1156" s="19" t="s">
        <v>115</v>
      </c>
      <c r="G1156" s="19"/>
      <c r="H1156" s="20">
        <v>2023</v>
      </c>
      <c r="I1156" s="19" t="s">
        <v>41</v>
      </c>
      <c r="J1156" s="19" t="s">
        <v>1977</v>
      </c>
      <c r="K1156" s="21" t="s">
        <v>1978</v>
      </c>
      <c r="L1156" s="22" t="s">
        <v>60</v>
      </c>
      <c r="M1156" s="23" t="s">
        <v>268</v>
      </c>
      <c r="N1156" s="36" t="s">
        <v>1979</v>
      </c>
      <c r="O1156" s="36" t="s">
        <v>142</v>
      </c>
      <c r="P1156" s="26">
        <f ca="1">IFERROR(VLOOKUP(DadosViagem5[[#This Row],[Placa]],[1]BIP!A:E,5,FALSE),"")</f>
        <v>45989</v>
      </c>
      <c r="Q1156" s="27">
        <f ca="1">DATEDIF(DadosViagem5[[#This Row],[BIP]],TODAY(),"D")</f>
        <v>1</v>
      </c>
      <c r="R1156" s="28" t="str">
        <f>IFERROR(VLOOKUP(DadosViagem5[[#This Row],[Placa]],[1]DDS!B:C,2,FALSE),"Verificar cadastro")</f>
        <v>Operando</v>
      </c>
      <c r="S1156" s="29" t="s">
        <v>48</v>
      </c>
      <c r="T1156" s="23"/>
      <c r="U1156" s="30"/>
      <c r="V1156" s="31"/>
      <c r="W1156" s="32"/>
      <c r="X1156" s="33"/>
      <c r="Y1156" s="34" t="s">
        <v>49</v>
      </c>
      <c r="Z1156" s="32"/>
      <c r="AA1156" s="20" t="s">
        <v>49</v>
      </c>
      <c r="AB1156" s="20" t="s">
        <v>49</v>
      </c>
      <c r="AC1156" s="19" t="s">
        <v>49</v>
      </c>
      <c r="AD1156" s="19" t="str">
        <f ca="1">IFERROR(DATEDIF(DadosViagem5[[#This Row],[Utimo Bip Reserva]],TODAY(),"D"),"")</f>
        <v/>
      </c>
      <c r="AE1156" s="36" t="s">
        <v>49</v>
      </c>
      <c r="AF1156" s="25" t="s">
        <v>49</v>
      </c>
      <c r="AG1156" s="36"/>
      <c r="AH1156" s="25">
        <v>45807</v>
      </c>
      <c r="AI1156" s="36" t="str">
        <f>IF(DadosViagem5[[#This Row],[Dias em manutenção ]]&lt;5,"Dentro do Prazo","Fora do Prazo")</f>
        <v>Fora do Prazo</v>
      </c>
      <c r="AJ1156" s="36" t="e">
        <v>#REF!</v>
      </c>
    </row>
    <row r="1157" spans="1:36">
      <c r="A1157" s="19" t="s">
        <v>1987</v>
      </c>
      <c r="B1157" s="20"/>
      <c r="C1157" s="19" t="s">
        <v>562</v>
      </c>
      <c r="D1157" s="19" t="s">
        <v>563</v>
      </c>
      <c r="E1157" s="19" t="s">
        <v>114</v>
      </c>
      <c r="F1157" s="19" t="s">
        <v>115</v>
      </c>
      <c r="G1157" s="19"/>
      <c r="H1157" s="20">
        <v>2023</v>
      </c>
      <c r="I1157" s="19" t="s">
        <v>41</v>
      </c>
      <c r="J1157" s="19" t="s">
        <v>1977</v>
      </c>
      <c r="K1157" s="21" t="s">
        <v>1978</v>
      </c>
      <c r="L1157" s="22" t="s">
        <v>60</v>
      </c>
      <c r="M1157" s="23" t="s">
        <v>268</v>
      </c>
      <c r="N1157" s="36" t="s">
        <v>1979</v>
      </c>
      <c r="O1157" s="36" t="s">
        <v>142</v>
      </c>
      <c r="P1157" s="26">
        <f ca="1">IFERROR(VLOOKUP(DadosViagem5[[#This Row],[Placa]],[1]BIP!A:E,5,FALSE),"")</f>
        <v>45989</v>
      </c>
      <c r="Q1157" s="27">
        <f ca="1">DATEDIF(DadosViagem5[[#This Row],[BIP]],TODAY(),"D")</f>
        <v>1</v>
      </c>
      <c r="R1157" s="28" t="str">
        <f>IFERROR(VLOOKUP(DadosViagem5[[#This Row],[Placa]],[1]DDS!B:C,2,FALSE),"Verificar cadastro")</f>
        <v>Operando</v>
      </c>
      <c r="S1157" s="29" t="s">
        <v>48</v>
      </c>
      <c r="T1157" s="23"/>
      <c r="U1157" s="30"/>
      <c r="V1157" s="31"/>
      <c r="W1157" s="32"/>
      <c r="X1157" s="33"/>
      <c r="Y1157" s="34" t="s">
        <v>49</v>
      </c>
      <c r="Z1157" s="132"/>
      <c r="AA1157" s="20" t="s">
        <v>49</v>
      </c>
      <c r="AB1157" s="20" t="s">
        <v>49</v>
      </c>
      <c r="AC1157" s="19" t="s">
        <v>49</v>
      </c>
      <c r="AD1157" s="19" t="str">
        <f ca="1">IFERROR(DATEDIF(DadosViagem5[[#This Row],[Utimo Bip Reserva]],TODAY(),"D"),"")</f>
        <v/>
      </c>
      <c r="AE1157" s="36" t="s">
        <v>49</v>
      </c>
      <c r="AF1157" s="25" t="s">
        <v>49</v>
      </c>
      <c r="AG1157" s="36"/>
      <c r="AH1157" s="25">
        <v>45807</v>
      </c>
      <c r="AI1157" s="36" t="str">
        <f>IF(DadosViagem5[[#This Row],[Dias em manutenção ]]&lt;5,"Dentro do Prazo","Fora do Prazo")</f>
        <v>Fora do Prazo</v>
      </c>
      <c r="AJ1157" s="36" t="e">
        <v>#REF!</v>
      </c>
    </row>
    <row r="1158" spans="1:36">
      <c r="A1158" s="19" t="s">
        <v>1988</v>
      </c>
      <c r="B1158" s="20"/>
      <c r="C1158" s="19" t="s">
        <v>562</v>
      </c>
      <c r="D1158" s="19" t="s">
        <v>563</v>
      </c>
      <c r="E1158" s="19" t="s">
        <v>114</v>
      </c>
      <c r="F1158" s="19" t="s">
        <v>115</v>
      </c>
      <c r="G1158" s="19"/>
      <c r="H1158" s="20">
        <v>2023</v>
      </c>
      <c r="I1158" s="19" t="s">
        <v>41</v>
      </c>
      <c r="J1158" s="19" t="s">
        <v>1977</v>
      </c>
      <c r="K1158" s="21" t="s">
        <v>1978</v>
      </c>
      <c r="L1158" s="22" t="s">
        <v>60</v>
      </c>
      <c r="M1158" s="23" t="s">
        <v>268</v>
      </c>
      <c r="N1158" s="36" t="s">
        <v>1979</v>
      </c>
      <c r="O1158" s="36" t="s">
        <v>142</v>
      </c>
      <c r="P1158" s="26">
        <f ca="1">IFERROR(VLOOKUP(DadosViagem5[[#This Row],[Placa]],[1]BIP!A:E,5,FALSE),"")</f>
        <v>45989</v>
      </c>
      <c r="Q1158" s="27">
        <f ca="1">DATEDIF(DadosViagem5[[#This Row],[BIP]],TODAY(),"D")</f>
        <v>1</v>
      </c>
      <c r="R1158" s="28" t="str">
        <f>IFERROR(VLOOKUP(DadosViagem5[[#This Row],[Placa]],[1]DDS!B:C,2,FALSE),"Verificar cadastro")</f>
        <v>Operando</v>
      </c>
      <c r="S1158" s="29" t="s">
        <v>48</v>
      </c>
      <c r="T1158" s="23"/>
      <c r="U1158" s="30"/>
      <c r="V1158" s="31"/>
      <c r="W1158" s="32"/>
      <c r="X1158" s="33"/>
      <c r="Y1158" s="34" t="s">
        <v>49</v>
      </c>
      <c r="Z1158" s="32"/>
      <c r="AA1158" s="20" t="s">
        <v>49</v>
      </c>
      <c r="AB1158" s="20" t="s">
        <v>49</v>
      </c>
      <c r="AC1158" s="19" t="s">
        <v>49</v>
      </c>
      <c r="AD1158" s="19" t="str">
        <f ca="1">IFERROR(DATEDIF(DadosViagem5[[#This Row],[Utimo Bip Reserva]],TODAY(),"D"),"")</f>
        <v/>
      </c>
      <c r="AE1158" s="36" t="s">
        <v>49</v>
      </c>
      <c r="AF1158" s="25" t="s">
        <v>49</v>
      </c>
      <c r="AG1158" s="36"/>
      <c r="AH1158" s="25">
        <v>45807</v>
      </c>
      <c r="AI1158" s="36" t="str">
        <f>IF(DadosViagem5[[#This Row],[Dias em manutenção ]]&lt;5,"Dentro do Prazo","Fora do Prazo")</f>
        <v>Fora do Prazo</v>
      </c>
      <c r="AJ1158" s="36" t="e">
        <v>#REF!</v>
      </c>
    </row>
    <row r="1159" spans="1:36">
      <c r="A1159" s="19" t="s">
        <v>1989</v>
      </c>
      <c r="B1159" s="20"/>
      <c r="C1159" s="19" t="s">
        <v>562</v>
      </c>
      <c r="D1159" s="19" t="s">
        <v>563</v>
      </c>
      <c r="E1159" s="19" t="s">
        <v>114</v>
      </c>
      <c r="F1159" s="19" t="s">
        <v>115</v>
      </c>
      <c r="G1159" s="19"/>
      <c r="H1159" s="20">
        <v>2023</v>
      </c>
      <c r="I1159" s="19" t="s">
        <v>41</v>
      </c>
      <c r="J1159" s="19" t="s">
        <v>1977</v>
      </c>
      <c r="K1159" s="21" t="s">
        <v>1978</v>
      </c>
      <c r="L1159" s="22" t="s">
        <v>60</v>
      </c>
      <c r="M1159" s="23" t="s">
        <v>268</v>
      </c>
      <c r="N1159" s="36" t="s">
        <v>1979</v>
      </c>
      <c r="O1159" s="36" t="s">
        <v>142</v>
      </c>
      <c r="P1159" s="26">
        <f ca="1">IFERROR(VLOOKUP(DadosViagem5[[#This Row],[Placa]],[1]BIP!A:E,5,FALSE),"")</f>
        <v>45989</v>
      </c>
      <c r="Q1159" s="27">
        <f ca="1">DATEDIF(DadosViagem5[[#This Row],[BIP]],TODAY(),"D")</f>
        <v>1</v>
      </c>
      <c r="R1159" s="28" t="str">
        <f>IFERROR(VLOOKUP(DadosViagem5[[#This Row],[Placa]],[1]DDS!B:C,2,FALSE),"Verificar cadastro")</f>
        <v>Operando</v>
      </c>
      <c r="S1159" s="29" t="s">
        <v>48</v>
      </c>
      <c r="T1159" s="23"/>
      <c r="U1159" s="30"/>
      <c r="V1159" s="31"/>
      <c r="W1159" s="32"/>
      <c r="X1159" s="33"/>
      <c r="Y1159" s="34" t="s">
        <v>49</v>
      </c>
      <c r="Z1159" s="32"/>
      <c r="AA1159" s="20" t="s">
        <v>49</v>
      </c>
      <c r="AB1159" s="20" t="s">
        <v>49</v>
      </c>
      <c r="AC1159" s="19" t="s">
        <v>49</v>
      </c>
      <c r="AD1159" s="19" t="str">
        <f ca="1">IFERROR(DATEDIF(DadosViagem5[[#This Row],[Utimo Bip Reserva]],TODAY(),"D"),"")</f>
        <v/>
      </c>
      <c r="AE1159" s="36" t="s">
        <v>49</v>
      </c>
      <c r="AF1159" s="25" t="s">
        <v>49</v>
      </c>
      <c r="AG1159" s="36"/>
      <c r="AH1159" s="25">
        <v>45807</v>
      </c>
      <c r="AI1159" s="36" t="str">
        <f>IF(DadosViagem5[[#This Row],[Dias em manutenção ]]&lt;5,"Dentro do Prazo","Fora do Prazo")</f>
        <v>Fora do Prazo</v>
      </c>
      <c r="AJ1159" s="36" t="e">
        <v>#REF!</v>
      </c>
    </row>
    <row r="1160" spans="1:36">
      <c r="A1160" s="19" t="s">
        <v>1990</v>
      </c>
      <c r="B1160" s="20"/>
      <c r="C1160" s="19" t="s">
        <v>562</v>
      </c>
      <c r="D1160" s="19" t="s">
        <v>563</v>
      </c>
      <c r="E1160" s="19" t="s">
        <v>114</v>
      </c>
      <c r="F1160" s="19" t="s">
        <v>115</v>
      </c>
      <c r="G1160" s="19"/>
      <c r="H1160" s="20">
        <v>2023</v>
      </c>
      <c r="I1160" s="19" t="s">
        <v>41</v>
      </c>
      <c r="J1160" s="19" t="s">
        <v>1977</v>
      </c>
      <c r="K1160" s="21" t="s">
        <v>1978</v>
      </c>
      <c r="L1160" s="22" t="s">
        <v>60</v>
      </c>
      <c r="M1160" s="23" t="s">
        <v>268</v>
      </c>
      <c r="N1160" s="36" t="s">
        <v>1979</v>
      </c>
      <c r="O1160" s="36" t="s">
        <v>142</v>
      </c>
      <c r="P1160" s="26">
        <f ca="1">IFERROR(VLOOKUP(DadosViagem5[[#This Row],[Placa]],[1]BIP!A:E,5,FALSE),"")</f>
        <v>45989</v>
      </c>
      <c r="Q1160" s="27">
        <f ca="1">DATEDIF(DadosViagem5[[#This Row],[BIP]],TODAY(),"D")</f>
        <v>1</v>
      </c>
      <c r="R1160" s="28" t="str">
        <f>IFERROR(VLOOKUP(DadosViagem5[[#This Row],[Placa]],[1]DDS!B:C,2,FALSE),"Verificar cadastro")</f>
        <v>Operando</v>
      </c>
      <c r="S1160" s="29" t="s">
        <v>48</v>
      </c>
      <c r="T1160" s="23"/>
      <c r="U1160" s="30"/>
      <c r="V1160" s="31"/>
      <c r="W1160" s="32"/>
      <c r="X1160" s="33"/>
      <c r="Y1160" s="34" t="s">
        <v>49</v>
      </c>
      <c r="Z1160" s="32"/>
      <c r="AA1160" s="20" t="s">
        <v>49</v>
      </c>
      <c r="AB1160" s="20" t="s">
        <v>49</v>
      </c>
      <c r="AC1160" s="19" t="s">
        <v>49</v>
      </c>
      <c r="AD1160" s="19" t="str">
        <f ca="1">IFERROR(DATEDIF(DadosViagem5[[#This Row],[Utimo Bip Reserva]],TODAY(),"D"),"")</f>
        <v/>
      </c>
      <c r="AE1160" s="36" t="s">
        <v>49</v>
      </c>
      <c r="AF1160" s="25" t="s">
        <v>49</v>
      </c>
      <c r="AG1160" s="36"/>
      <c r="AH1160" s="25">
        <v>45807</v>
      </c>
      <c r="AI1160" s="36" t="str">
        <f>IF(DadosViagem5[[#This Row],[Dias em manutenção ]]&lt;5,"Dentro do Prazo","Fora do Prazo")</f>
        <v>Fora do Prazo</v>
      </c>
      <c r="AJ1160" s="36" t="e">
        <v>#REF!</v>
      </c>
    </row>
    <row r="1161" spans="1:36">
      <c r="A1161" s="19" t="s">
        <v>1991</v>
      </c>
      <c r="B1161" s="20"/>
      <c r="C1161" s="19" t="s">
        <v>1013</v>
      </c>
      <c r="D1161" s="19" t="s">
        <v>1014</v>
      </c>
      <c r="E1161" s="19" t="s">
        <v>114</v>
      </c>
      <c r="F1161" s="19" t="s">
        <v>115</v>
      </c>
      <c r="G1161" s="19"/>
      <c r="H1161" s="20">
        <v>2022</v>
      </c>
      <c r="I1161" s="19" t="s">
        <v>41</v>
      </c>
      <c r="J1161" s="19" t="s">
        <v>1977</v>
      </c>
      <c r="K1161" s="21" t="s">
        <v>1978</v>
      </c>
      <c r="L1161" s="22" t="s">
        <v>60</v>
      </c>
      <c r="M1161" s="23" t="s">
        <v>268</v>
      </c>
      <c r="N1161" s="36" t="s">
        <v>1979</v>
      </c>
      <c r="O1161" s="36" t="s">
        <v>142</v>
      </c>
      <c r="P1161" s="26">
        <f ca="1">IFERROR(VLOOKUP(DadosViagem5[[#This Row],[Placa]],[1]BIP!A:E,5,FALSE),"")</f>
        <v>45979</v>
      </c>
      <c r="Q1161" s="27">
        <f ca="1">DATEDIF(DadosViagem5[[#This Row],[BIP]],TODAY(),"D")</f>
        <v>11</v>
      </c>
      <c r="R1161" s="28" t="str">
        <f>IFERROR(VLOOKUP(DadosViagem5[[#This Row],[Placa]],[1]DDS!B:C,2,FALSE),"Verificar cadastro")</f>
        <v>Falta Motorista</v>
      </c>
      <c r="S1161" s="29" t="s">
        <v>48</v>
      </c>
      <c r="T1161" s="23"/>
      <c r="U1161" s="30"/>
      <c r="V1161" s="31"/>
      <c r="W1161" s="32"/>
      <c r="X1161" s="57"/>
      <c r="Y1161" s="34"/>
      <c r="Z1161" s="58"/>
      <c r="AA1161" s="20" t="s">
        <v>49</v>
      </c>
      <c r="AB1161" s="20" t="s">
        <v>49</v>
      </c>
      <c r="AC1161" s="19" t="s">
        <v>49</v>
      </c>
      <c r="AD1161" s="19" t="str">
        <f ca="1">IFERROR(DATEDIF(DadosViagem5[[#This Row],[Utimo Bip Reserva]],TODAY(),"D"),"")</f>
        <v/>
      </c>
      <c r="AE1161" s="36" t="s">
        <v>49</v>
      </c>
      <c r="AF1161" s="25" t="s">
        <v>49</v>
      </c>
      <c r="AG1161" s="36"/>
      <c r="AH1161" s="25">
        <v>45807</v>
      </c>
      <c r="AI1161" s="36" t="str">
        <f>IF(DadosViagem5[[#This Row],[Dias em manutenção ]]&lt;5,"Dentro do Prazo","Fora do Prazo")</f>
        <v>Fora do Prazo</v>
      </c>
      <c r="AJ1161" s="36" t="e">
        <v>#REF!</v>
      </c>
    </row>
    <row r="1162" spans="1:36">
      <c r="A1162" s="19" t="s">
        <v>1992</v>
      </c>
      <c r="B1162" s="20"/>
      <c r="C1162" s="19" t="s">
        <v>562</v>
      </c>
      <c r="D1162" s="19" t="s">
        <v>563</v>
      </c>
      <c r="E1162" s="19" t="s">
        <v>114</v>
      </c>
      <c r="F1162" s="19" t="s">
        <v>115</v>
      </c>
      <c r="G1162" s="19"/>
      <c r="H1162" s="20">
        <v>2023</v>
      </c>
      <c r="I1162" s="19" t="s">
        <v>41</v>
      </c>
      <c r="J1162" s="19" t="s">
        <v>1977</v>
      </c>
      <c r="K1162" s="21" t="s">
        <v>1978</v>
      </c>
      <c r="L1162" s="22" t="s">
        <v>60</v>
      </c>
      <c r="M1162" s="23" t="s">
        <v>268</v>
      </c>
      <c r="N1162" s="36" t="s">
        <v>1979</v>
      </c>
      <c r="O1162" s="36" t="s">
        <v>142</v>
      </c>
      <c r="P1162" s="26">
        <f ca="1">IFERROR(VLOOKUP(DadosViagem5[[#This Row],[Placa]],[1]BIP!A:E,5,FALSE),"")</f>
        <v>45989</v>
      </c>
      <c r="Q1162" s="27">
        <f ca="1">DATEDIF(DadosViagem5[[#This Row],[BIP]],TODAY(),"D")</f>
        <v>1</v>
      </c>
      <c r="R1162" s="28" t="str">
        <f>IFERROR(VLOOKUP(DadosViagem5[[#This Row],[Placa]],[1]DDS!B:C,2,FALSE),"Verificar cadastro")</f>
        <v>Operando</v>
      </c>
      <c r="S1162" s="29" t="s">
        <v>48</v>
      </c>
      <c r="T1162" s="23"/>
      <c r="U1162" s="30"/>
      <c r="V1162" s="31"/>
      <c r="W1162" s="32" t="s">
        <v>1993</v>
      </c>
      <c r="X1162" s="33"/>
      <c r="Y1162" s="34"/>
      <c r="Z1162" s="42"/>
      <c r="AA1162" s="20" t="s">
        <v>49</v>
      </c>
      <c r="AB1162" s="20" t="s">
        <v>49</v>
      </c>
      <c r="AC1162" s="19" t="s">
        <v>49</v>
      </c>
      <c r="AD1162" s="19" t="str">
        <f ca="1">IFERROR(DATEDIF(DadosViagem5[[#This Row],[Utimo Bip Reserva]],TODAY(),"D"),"")</f>
        <v/>
      </c>
      <c r="AE1162" s="36" t="s">
        <v>1940</v>
      </c>
      <c r="AF1162" s="25">
        <v>45698</v>
      </c>
      <c r="AG1162" s="36" t="s">
        <v>540</v>
      </c>
      <c r="AH1162" s="25">
        <v>21</v>
      </c>
      <c r="AI1162" s="36" t="str">
        <f>IF(DadosViagem5[[#This Row],[Dias em manutenção ]]&lt;5,"Dentro do Prazo","Fora do Prazo")</f>
        <v>Fora do Prazo</v>
      </c>
      <c r="AJ1162" s="36" t="e">
        <v>#REF!</v>
      </c>
    </row>
    <row r="1163" spans="1:36">
      <c r="A1163" s="19" t="s">
        <v>1994</v>
      </c>
      <c r="B1163" s="20"/>
      <c r="C1163" s="19" t="s">
        <v>1013</v>
      </c>
      <c r="D1163" s="19" t="s">
        <v>1014</v>
      </c>
      <c r="E1163" s="19" t="s">
        <v>114</v>
      </c>
      <c r="F1163" s="19" t="s">
        <v>115</v>
      </c>
      <c r="G1163" s="19"/>
      <c r="H1163" s="20">
        <v>2022</v>
      </c>
      <c r="I1163" s="19" t="s">
        <v>41</v>
      </c>
      <c r="J1163" s="19" t="s">
        <v>1977</v>
      </c>
      <c r="K1163" s="21" t="s">
        <v>1978</v>
      </c>
      <c r="L1163" s="22" t="s">
        <v>60</v>
      </c>
      <c r="M1163" s="23" t="s">
        <v>268</v>
      </c>
      <c r="N1163" s="36" t="s">
        <v>1979</v>
      </c>
      <c r="O1163" s="36" t="s">
        <v>142</v>
      </c>
      <c r="P1163" s="26">
        <f ca="1">IFERROR(VLOOKUP(DadosViagem5[[#This Row],[Placa]],[1]BIP!A:E,5,FALSE),"")</f>
        <v>45466</v>
      </c>
      <c r="Q1163" s="27">
        <f ca="1">DATEDIF(DadosViagem5[[#This Row],[BIP]],TODAY(),"D")</f>
        <v>524</v>
      </c>
      <c r="R1163" s="28" t="str">
        <f>IFERROR(VLOOKUP(DadosViagem5[[#This Row],[Placa]],[1]DDS!B:C,2,FALSE),"Verificar cadastro")</f>
        <v>Verificar cadastro</v>
      </c>
      <c r="S1163" s="29" t="s">
        <v>173</v>
      </c>
      <c r="T1163" s="23">
        <v>6760262</v>
      </c>
      <c r="U1163" s="30">
        <v>45874</v>
      </c>
      <c r="V1163" s="31">
        <v>45874</v>
      </c>
      <c r="W1163" s="32" t="s">
        <v>1995</v>
      </c>
      <c r="X1163" s="33" t="s">
        <v>65</v>
      </c>
      <c r="Y1163" s="34">
        <v>45926</v>
      </c>
      <c r="Z1163" s="42" t="s">
        <v>1996</v>
      </c>
      <c r="AA1163" s="20" t="s">
        <v>49</v>
      </c>
      <c r="AB1163" s="20" t="s">
        <v>49</v>
      </c>
      <c r="AC1163" s="19" t="s">
        <v>49</v>
      </c>
      <c r="AD1163" s="19" t="str">
        <f ca="1">IFERROR(DATEDIF(DadosViagem5[[#This Row],[Utimo Bip Reserva]],TODAY(),"D"),"")</f>
        <v/>
      </c>
      <c r="AE1163" s="36" t="s">
        <v>1997</v>
      </c>
      <c r="AF1163" s="25">
        <v>45705</v>
      </c>
      <c r="AG1163" s="36" t="s">
        <v>540</v>
      </c>
      <c r="AH1163" s="25">
        <v>340</v>
      </c>
      <c r="AI1163" s="36" t="str">
        <f>IF(DadosViagem5[[#This Row],[Dias em manutenção ]]&lt;5,"Dentro do Prazo","Fora do Prazo")</f>
        <v>Fora do Prazo</v>
      </c>
      <c r="AJ1163" s="36" t="e">
        <v>#REF!</v>
      </c>
    </row>
    <row r="1164" spans="1:36">
      <c r="A1164" s="19" t="s">
        <v>1998</v>
      </c>
      <c r="B1164" s="20"/>
      <c r="C1164" s="19" t="s">
        <v>562</v>
      </c>
      <c r="D1164" s="19" t="s">
        <v>563</v>
      </c>
      <c r="E1164" s="19" t="s">
        <v>114</v>
      </c>
      <c r="F1164" s="19" t="s">
        <v>115</v>
      </c>
      <c r="G1164" s="19"/>
      <c r="H1164" s="20">
        <v>2023</v>
      </c>
      <c r="I1164" s="19" t="s">
        <v>41</v>
      </c>
      <c r="J1164" s="19" t="s">
        <v>1977</v>
      </c>
      <c r="K1164" s="21" t="s">
        <v>1978</v>
      </c>
      <c r="L1164" s="22" t="s">
        <v>60</v>
      </c>
      <c r="M1164" s="23" t="s">
        <v>268</v>
      </c>
      <c r="N1164" s="36" t="s">
        <v>1979</v>
      </c>
      <c r="O1164" s="36" t="s">
        <v>142</v>
      </c>
      <c r="P1164" s="26">
        <f ca="1">IFERROR(VLOOKUP(DadosViagem5[[#This Row],[Placa]],[1]BIP!A:E,5,FALSE),"")</f>
        <v>45989</v>
      </c>
      <c r="Q1164" s="27">
        <f ca="1">DATEDIF(DadosViagem5[[#This Row],[BIP]],TODAY(),"D")</f>
        <v>1</v>
      </c>
      <c r="R1164" s="28" t="str">
        <f>IFERROR(VLOOKUP(DadosViagem5[[#This Row],[Placa]],[1]DDS!B:C,2,FALSE),"Verificar cadastro")</f>
        <v>Operando</v>
      </c>
      <c r="S1164" s="29" t="s">
        <v>48</v>
      </c>
      <c r="T1164" s="23"/>
      <c r="U1164" s="30"/>
      <c r="V1164" s="31"/>
      <c r="W1164" s="32"/>
      <c r="X1164" s="33"/>
      <c r="Y1164" s="34"/>
      <c r="Z1164" s="32"/>
      <c r="AA1164" s="20" t="s">
        <v>49</v>
      </c>
      <c r="AB1164" s="20" t="s">
        <v>49</v>
      </c>
      <c r="AC1164" s="19" t="s">
        <v>49</v>
      </c>
      <c r="AD1164" s="19" t="str">
        <f ca="1">IFERROR(DATEDIF(DadosViagem5[[#This Row],[Utimo Bip Reserva]],TODAY(),"D"),"")</f>
        <v/>
      </c>
      <c r="AE1164" s="36" t="s">
        <v>49</v>
      </c>
      <c r="AF1164" s="25" t="s">
        <v>49</v>
      </c>
      <c r="AG1164" s="36"/>
      <c r="AH1164" s="25">
        <v>45807</v>
      </c>
      <c r="AI1164" s="36" t="str">
        <f>IF(DadosViagem5[[#This Row],[Dias em manutenção ]]&lt;5,"Dentro do Prazo","Fora do Prazo")</f>
        <v>Fora do Prazo</v>
      </c>
      <c r="AJ1164" s="36" t="e">
        <v>#REF!</v>
      </c>
    </row>
    <row r="1165" spans="1:36">
      <c r="A1165" s="19" t="s">
        <v>1999</v>
      </c>
      <c r="B1165" s="20"/>
      <c r="C1165" s="19" t="s">
        <v>1013</v>
      </c>
      <c r="D1165" s="19" t="s">
        <v>1014</v>
      </c>
      <c r="E1165" s="19" t="s">
        <v>114</v>
      </c>
      <c r="F1165" s="19" t="s">
        <v>115</v>
      </c>
      <c r="G1165" s="19"/>
      <c r="H1165" s="20">
        <v>2022</v>
      </c>
      <c r="I1165" s="19" t="s">
        <v>41</v>
      </c>
      <c r="J1165" s="19" t="s">
        <v>1977</v>
      </c>
      <c r="K1165" s="21" t="s">
        <v>1978</v>
      </c>
      <c r="L1165" s="22" t="s">
        <v>60</v>
      </c>
      <c r="M1165" s="23" t="s">
        <v>268</v>
      </c>
      <c r="N1165" s="36" t="s">
        <v>1979</v>
      </c>
      <c r="O1165" s="36" t="s">
        <v>142</v>
      </c>
      <c r="P1165" s="26">
        <f ca="1">IFERROR(VLOOKUP(DadosViagem5[[#This Row],[Placa]],[1]BIP!A:E,5,FALSE),"")</f>
        <v>45989</v>
      </c>
      <c r="Q1165" s="27">
        <f ca="1">DATEDIF(DadosViagem5[[#This Row],[BIP]],TODAY(),"D")</f>
        <v>1</v>
      </c>
      <c r="R1165" s="28" t="str">
        <f>IFERROR(VLOOKUP(DadosViagem5[[#This Row],[Placa]],[1]DDS!B:C,2,FALSE),"Verificar cadastro")</f>
        <v>Operando</v>
      </c>
      <c r="S1165" s="29" t="s">
        <v>48</v>
      </c>
      <c r="T1165" s="23"/>
      <c r="U1165" s="30"/>
      <c r="V1165" s="47"/>
      <c r="W1165" s="32" t="s">
        <v>2000</v>
      </c>
      <c r="X1165" s="33"/>
      <c r="Y1165" s="34"/>
      <c r="Z1165" s="42"/>
      <c r="AA1165" s="20" t="s">
        <v>49</v>
      </c>
      <c r="AB1165" s="20" t="s">
        <v>49</v>
      </c>
      <c r="AC1165" s="19" t="s">
        <v>49</v>
      </c>
      <c r="AD1165" s="19" t="str">
        <f ca="1">IFERROR(DATEDIF(DadosViagem5[[#This Row],[Utimo Bip Reserva]],TODAY(),"D"),"")</f>
        <v/>
      </c>
      <c r="AE1165" s="36" t="s">
        <v>49</v>
      </c>
      <c r="AF1165" s="25" t="s">
        <v>49</v>
      </c>
      <c r="AG1165" s="36"/>
      <c r="AH1165" s="25">
        <v>45807</v>
      </c>
      <c r="AI1165" s="36" t="str">
        <f>IF(DadosViagem5[[#This Row],[Dias em manutenção ]]&lt;5,"Dentro do Prazo","Fora do Prazo")</f>
        <v>Fora do Prazo</v>
      </c>
      <c r="AJ1165" s="36" t="e">
        <v>#REF!</v>
      </c>
    </row>
    <row r="1166" spans="1:36">
      <c r="A1166" s="19" t="s">
        <v>2001</v>
      </c>
      <c r="B1166" s="20"/>
      <c r="C1166" s="19" t="s">
        <v>1013</v>
      </c>
      <c r="D1166" s="19" t="s">
        <v>1014</v>
      </c>
      <c r="E1166" s="19" t="s">
        <v>114</v>
      </c>
      <c r="F1166" s="19" t="s">
        <v>115</v>
      </c>
      <c r="G1166" s="19"/>
      <c r="H1166" s="20">
        <v>2022</v>
      </c>
      <c r="I1166" s="19" t="s">
        <v>41</v>
      </c>
      <c r="J1166" s="19" t="s">
        <v>1977</v>
      </c>
      <c r="K1166" s="21" t="s">
        <v>1978</v>
      </c>
      <c r="L1166" s="22" t="s">
        <v>60</v>
      </c>
      <c r="M1166" s="23" t="s">
        <v>268</v>
      </c>
      <c r="N1166" s="36" t="s">
        <v>1979</v>
      </c>
      <c r="O1166" s="36" t="s">
        <v>142</v>
      </c>
      <c r="P1166" s="26">
        <f ca="1">IFERROR(VLOOKUP(DadosViagem5[[#This Row],[Placa]],[1]BIP!A:E,5,FALSE),"")</f>
        <v>45989</v>
      </c>
      <c r="Q1166" s="27">
        <f ca="1">DATEDIF(DadosViagem5[[#This Row],[BIP]],TODAY(),"D")</f>
        <v>1</v>
      </c>
      <c r="R1166" s="28" t="str">
        <f>IFERROR(VLOOKUP(DadosViagem5[[#This Row],[Placa]],[1]DDS!B:C,2,FALSE),"Verificar cadastro")</f>
        <v>Operando</v>
      </c>
      <c r="S1166" s="29" t="s">
        <v>48</v>
      </c>
      <c r="T1166" s="23"/>
      <c r="U1166" s="30"/>
      <c r="V1166" s="31"/>
      <c r="W1166" s="32" t="s">
        <v>744</v>
      </c>
      <c r="X1166" s="33"/>
      <c r="Y1166" s="34"/>
      <c r="Z1166" s="32"/>
      <c r="AA1166" s="20" t="s">
        <v>49</v>
      </c>
      <c r="AB1166" s="20" t="s">
        <v>49</v>
      </c>
      <c r="AC1166" s="19" t="s">
        <v>49</v>
      </c>
      <c r="AD1166" s="19" t="str">
        <f ca="1">IFERROR(DATEDIF(DadosViagem5[[#This Row],[Utimo Bip Reserva]],TODAY(),"D"),"")</f>
        <v/>
      </c>
      <c r="AE1166" s="36"/>
      <c r="AF1166" s="25" t="s">
        <v>49</v>
      </c>
      <c r="AG1166" s="36"/>
      <c r="AH1166" s="25"/>
      <c r="AI1166" s="36"/>
      <c r="AJ1166" s="36"/>
    </row>
    <row r="1167" spans="1:36">
      <c r="A1167" s="19" t="s">
        <v>2002</v>
      </c>
      <c r="B1167" s="20"/>
      <c r="C1167" s="19" t="s">
        <v>1013</v>
      </c>
      <c r="D1167" s="19" t="s">
        <v>1014</v>
      </c>
      <c r="E1167" s="19" t="s">
        <v>114</v>
      </c>
      <c r="F1167" s="19" t="s">
        <v>115</v>
      </c>
      <c r="G1167" s="19"/>
      <c r="H1167" s="20">
        <v>2023</v>
      </c>
      <c r="I1167" s="19" t="s">
        <v>41</v>
      </c>
      <c r="J1167" s="19" t="s">
        <v>1977</v>
      </c>
      <c r="K1167" s="21" t="s">
        <v>1978</v>
      </c>
      <c r="L1167" s="22" t="s">
        <v>60</v>
      </c>
      <c r="M1167" s="23" t="s">
        <v>268</v>
      </c>
      <c r="N1167" s="36" t="s">
        <v>1979</v>
      </c>
      <c r="O1167" s="36" t="s">
        <v>142</v>
      </c>
      <c r="P1167" s="26">
        <f ca="1">IFERROR(VLOOKUP(DadosViagem5[[#This Row],[Placa]],[1]BIP!A:E,5,FALSE),"")</f>
        <v>45989</v>
      </c>
      <c r="Q1167" s="27">
        <f ca="1">DATEDIF(DadosViagem5[[#This Row],[BIP]],TODAY(),"D")</f>
        <v>1</v>
      </c>
      <c r="R1167" s="28" t="str">
        <f>IFERROR(VLOOKUP(DadosViagem5[[#This Row],[Placa]],[1]DDS!B:C,2,FALSE),"Verificar cadastro")</f>
        <v>Operando</v>
      </c>
      <c r="S1167" s="29" t="s">
        <v>48</v>
      </c>
      <c r="T1167" s="23"/>
      <c r="U1167" s="30"/>
      <c r="V1167" s="31"/>
      <c r="W1167" s="144"/>
      <c r="X1167" s="33"/>
      <c r="Y1167" s="34"/>
      <c r="Z1167" s="32"/>
      <c r="AA1167" s="20" t="s">
        <v>49</v>
      </c>
      <c r="AB1167" s="20" t="s">
        <v>49</v>
      </c>
      <c r="AC1167" s="19" t="s">
        <v>49</v>
      </c>
      <c r="AD1167" s="19" t="str">
        <f ca="1">IFERROR(DATEDIF(DadosViagem5[[#This Row],[Utimo Bip Reserva]],TODAY(),"D"),"")</f>
        <v/>
      </c>
      <c r="AE1167" s="36" t="s">
        <v>49</v>
      </c>
      <c r="AF1167" s="25" t="s">
        <v>49</v>
      </c>
      <c r="AG1167" s="36"/>
      <c r="AH1167" s="25">
        <v>45807</v>
      </c>
      <c r="AI1167" s="36" t="str">
        <f>IF(DadosViagem5[[#This Row],[Dias em manutenção ]]&lt;5,"Dentro do Prazo","Fora do Prazo")</f>
        <v>Fora do Prazo</v>
      </c>
      <c r="AJ1167" s="36" t="e">
        <v>#REF!</v>
      </c>
    </row>
    <row r="1168" spans="1:36">
      <c r="A1168" s="19" t="s">
        <v>2003</v>
      </c>
      <c r="B1168" s="20"/>
      <c r="C1168" s="19" t="s">
        <v>1013</v>
      </c>
      <c r="D1168" s="19" t="s">
        <v>1014</v>
      </c>
      <c r="E1168" s="19" t="s">
        <v>114</v>
      </c>
      <c r="F1168" s="19" t="s">
        <v>115</v>
      </c>
      <c r="G1168" s="19"/>
      <c r="H1168" s="20">
        <v>2022</v>
      </c>
      <c r="I1168" s="19" t="s">
        <v>41</v>
      </c>
      <c r="J1168" s="19" t="s">
        <v>1977</v>
      </c>
      <c r="K1168" s="21" t="s">
        <v>1978</v>
      </c>
      <c r="L1168" s="22" t="s">
        <v>60</v>
      </c>
      <c r="M1168" s="23" t="s">
        <v>268</v>
      </c>
      <c r="N1168" s="36" t="s">
        <v>1979</v>
      </c>
      <c r="O1168" s="36" t="s">
        <v>142</v>
      </c>
      <c r="P1168" s="26">
        <f ca="1">IFERROR(VLOOKUP(DadosViagem5[[#This Row],[Placa]],[1]BIP!A:E,5,FALSE),"")</f>
        <v>45989</v>
      </c>
      <c r="Q1168" s="27">
        <f ca="1">DATEDIF(DadosViagem5[[#This Row],[BIP]],TODAY(),"D")</f>
        <v>1</v>
      </c>
      <c r="R1168" s="28" t="str">
        <f>IFERROR(VLOOKUP(DadosViagem5[[#This Row],[Placa]],[1]DDS!B:C,2,FALSE),"Verificar cadastro")</f>
        <v>Operando</v>
      </c>
      <c r="S1168" s="29" t="s">
        <v>48</v>
      </c>
      <c r="T1168" s="23"/>
      <c r="U1168" s="30"/>
      <c r="V1168" s="31"/>
      <c r="W1168" s="32"/>
      <c r="X1168" s="33"/>
      <c r="Y1168" s="34"/>
      <c r="Z1168" s="42"/>
      <c r="AA1168" s="20" t="s">
        <v>49</v>
      </c>
      <c r="AB1168" s="20" t="s">
        <v>49</v>
      </c>
      <c r="AC1168" s="19" t="s">
        <v>49</v>
      </c>
      <c r="AD1168" s="19" t="str">
        <f ca="1">IFERROR(DATEDIF(DadosViagem5[[#This Row],[Utimo Bip Reserva]],TODAY(),"D"),"")</f>
        <v/>
      </c>
      <c r="AE1168" s="36" t="s">
        <v>49</v>
      </c>
      <c r="AF1168" s="25" t="s">
        <v>49</v>
      </c>
      <c r="AG1168" s="36"/>
      <c r="AH1168" s="25">
        <v>45807</v>
      </c>
      <c r="AI1168" s="36" t="str">
        <f>IF(DadosViagem5[[#This Row],[Dias em manutenção ]]&lt;5,"Dentro do Prazo","Fora do Prazo")</f>
        <v>Fora do Prazo</v>
      </c>
      <c r="AJ1168" s="36" t="e">
        <v>#REF!</v>
      </c>
    </row>
    <row r="1169" spans="1:36">
      <c r="A1169" s="19" t="s">
        <v>2004</v>
      </c>
      <c r="B1169" s="20"/>
      <c r="C1169" s="19" t="s">
        <v>562</v>
      </c>
      <c r="D1169" s="19" t="s">
        <v>563</v>
      </c>
      <c r="E1169" s="19" t="s">
        <v>114</v>
      </c>
      <c r="F1169" s="19" t="s">
        <v>115</v>
      </c>
      <c r="G1169" s="19"/>
      <c r="H1169" s="20">
        <v>2022</v>
      </c>
      <c r="I1169" s="19" t="s">
        <v>41</v>
      </c>
      <c r="J1169" s="19" t="s">
        <v>1977</v>
      </c>
      <c r="K1169" s="21" t="s">
        <v>1978</v>
      </c>
      <c r="L1169" s="22" t="s">
        <v>60</v>
      </c>
      <c r="M1169" s="23" t="s">
        <v>268</v>
      </c>
      <c r="N1169" s="36" t="s">
        <v>1979</v>
      </c>
      <c r="O1169" s="36" t="s">
        <v>142</v>
      </c>
      <c r="P1169" s="26">
        <f ca="1">IFERROR(VLOOKUP(DadosViagem5[[#This Row],[Placa]],[1]BIP!A:E,5,FALSE),"")</f>
        <v>45986</v>
      </c>
      <c r="Q1169" s="27">
        <f ca="1">DATEDIF(DadosViagem5[[#This Row],[BIP]],TODAY(),"D")</f>
        <v>4</v>
      </c>
      <c r="R1169" s="28" t="str">
        <f>IFERROR(VLOOKUP(DadosViagem5[[#This Row],[Placa]],[1]DDS!B:C,2,FALSE),"Verificar cadastro")</f>
        <v>Falta Motorista</v>
      </c>
      <c r="S1169" s="29" t="s">
        <v>48</v>
      </c>
      <c r="T1169" s="23"/>
      <c r="U1169" s="30"/>
      <c r="V1169" s="31"/>
      <c r="W1169" s="32"/>
      <c r="X1169" s="33"/>
      <c r="Y1169" s="34"/>
      <c r="Z1169" s="32"/>
      <c r="AA1169" s="20" t="s">
        <v>49</v>
      </c>
      <c r="AB1169" s="20" t="s">
        <v>49</v>
      </c>
      <c r="AC1169" s="19" t="s">
        <v>49</v>
      </c>
      <c r="AD1169" s="19" t="str">
        <f ca="1">IFERROR(DATEDIF(DadosViagem5[[#This Row],[Utimo Bip Reserva]],TODAY(),"D"),"")</f>
        <v/>
      </c>
      <c r="AE1169" s="36" t="s">
        <v>49</v>
      </c>
      <c r="AF1169" s="25" t="s">
        <v>49</v>
      </c>
      <c r="AG1169" s="36"/>
      <c r="AH1169" s="25">
        <v>45807</v>
      </c>
      <c r="AI1169" s="36" t="str">
        <f>IF(DadosViagem5[[#This Row],[Dias em manutenção ]]&lt;5,"Dentro do Prazo","Fora do Prazo")</f>
        <v>Fora do Prazo</v>
      </c>
      <c r="AJ1169" s="36" t="e">
        <v>#REF!</v>
      </c>
    </row>
    <row r="1170" spans="1:36">
      <c r="A1170" s="19" t="s">
        <v>2005</v>
      </c>
      <c r="B1170" s="20"/>
      <c r="C1170" s="19" t="s">
        <v>1013</v>
      </c>
      <c r="D1170" s="19" t="s">
        <v>1014</v>
      </c>
      <c r="E1170" s="19" t="s">
        <v>114</v>
      </c>
      <c r="F1170" s="19" t="s">
        <v>115</v>
      </c>
      <c r="G1170" s="19"/>
      <c r="H1170" s="20">
        <v>2023</v>
      </c>
      <c r="I1170" s="19" t="s">
        <v>41</v>
      </c>
      <c r="J1170" s="19" t="s">
        <v>1977</v>
      </c>
      <c r="K1170" s="21" t="s">
        <v>1978</v>
      </c>
      <c r="L1170" s="22" t="s">
        <v>60</v>
      </c>
      <c r="M1170" s="23" t="s">
        <v>268</v>
      </c>
      <c r="N1170" s="36" t="s">
        <v>1979</v>
      </c>
      <c r="O1170" s="36" t="s">
        <v>142</v>
      </c>
      <c r="P1170" s="26">
        <f ca="1">IFERROR(VLOOKUP(DadosViagem5[[#This Row],[Placa]],[1]BIP!A:E,5,FALSE),"")</f>
        <v>45989</v>
      </c>
      <c r="Q1170" s="27">
        <f ca="1">DATEDIF(DadosViagem5[[#This Row],[BIP]],TODAY(),"D")</f>
        <v>1</v>
      </c>
      <c r="R1170" s="28" t="str">
        <f>IFERROR(VLOOKUP(DadosViagem5[[#This Row],[Placa]],[1]DDS!B:C,2,FALSE),"Verificar cadastro")</f>
        <v>Operando</v>
      </c>
      <c r="S1170" s="29" t="s">
        <v>48</v>
      </c>
      <c r="T1170" s="23"/>
      <c r="U1170" s="30"/>
      <c r="V1170" s="31"/>
      <c r="W1170" s="32"/>
      <c r="X1170" s="33"/>
      <c r="Y1170" s="34"/>
      <c r="Z1170" s="32"/>
      <c r="AA1170" s="20" t="s">
        <v>49</v>
      </c>
      <c r="AB1170" s="20" t="s">
        <v>49</v>
      </c>
      <c r="AC1170" s="19" t="s">
        <v>49</v>
      </c>
      <c r="AD1170" s="19" t="str">
        <f ca="1">IFERROR(DATEDIF(DadosViagem5[[#This Row],[Utimo Bip Reserva]],TODAY(),"D"),"")</f>
        <v/>
      </c>
      <c r="AE1170" s="36" t="s">
        <v>2006</v>
      </c>
      <c r="AF1170" s="25" t="s">
        <v>49</v>
      </c>
      <c r="AG1170" s="36"/>
      <c r="AH1170" s="25">
        <v>45807</v>
      </c>
      <c r="AI1170" s="36" t="str">
        <f>IF(DadosViagem5[[#This Row],[Dias em manutenção ]]&lt;5,"Dentro do Prazo","Fora do Prazo")</f>
        <v>Fora do Prazo</v>
      </c>
      <c r="AJ1170" s="36" t="e">
        <v>#REF!</v>
      </c>
    </row>
    <row r="1171" spans="1:36">
      <c r="A1171" s="19" t="s">
        <v>2007</v>
      </c>
      <c r="B1171" s="20"/>
      <c r="C1171" s="19" t="s">
        <v>562</v>
      </c>
      <c r="D1171" s="19" t="s">
        <v>563</v>
      </c>
      <c r="E1171" s="19" t="s">
        <v>114</v>
      </c>
      <c r="F1171" s="19" t="s">
        <v>115</v>
      </c>
      <c r="G1171" s="19"/>
      <c r="H1171" s="20">
        <v>2021</v>
      </c>
      <c r="I1171" s="19" t="s">
        <v>41</v>
      </c>
      <c r="J1171" s="19" t="s">
        <v>1977</v>
      </c>
      <c r="K1171" s="21" t="s">
        <v>1978</v>
      </c>
      <c r="L1171" s="22" t="s">
        <v>60</v>
      </c>
      <c r="M1171" s="23" t="s">
        <v>268</v>
      </c>
      <c r="N1171" s="36" t="s">
        <v>1979</v>
      </c>
      <c r="O1171" s="36" t="s">
        <v>142</v>
      </c>
      <c r="P1171" s="26">
        <f ca="1">IFERROR(VLOOKUP(DadosViagem5[[#This Row],[Placa]],[1]BIP!A:E,5,FALSE),"")</f>
        <v>45989</v>
      </c>
      <c r="Q1171" s="27">
        <f ca="1">DATEDIF(DadosViagem5[[#This Row],[BIP]],TODAY(),"D")</f>
        <v>1</v>
      </c>
      <c r="R1171" s="28" t="str">
        <f>IFERROR(VLOOKUP(DadosViagem5[[#This Row],[Placa]],[1]DDS!B:C,2,FALSE),"Verificar cadastro")</f>
        <v>Operando</v>
      </c>
      <c r="S1171" s="29" t="s">
        <v>48</v>
      </c>
      <c r="T1171" s="23"/>
      <c r="U1171" s="30"/>
      <c r="V1171" s="31"/>
      <c r="W1171" s="32"/>
      <c r="X1171" s="33"/>
      <c r="Y1171" s="34"/>
      <c r="Z1171" s="93"/>
      <c r="AA1171" s="20" t="s">
        <v>49</v>
      </c>
      <c r="AB1171" s="20" t="s">
        <v>49</v>
      </c>
      <c r="AC1171" s="19" t="s">
        <v>49</v>
      </c>
      <c r="AD1171" s="19" t="str">
        <f ca="1">IFERROR(DATEDIF(DadosViagem5[[#This Row],[Utimo Bip Reserva]],TODAY(),"D"),"")</f>
        <v/>
      </c>
      <c r="AE1171" s="36" t="s">
        <v>49</v>
      </c>
      <c r="AF1171" s="25">
        <v>45698</v>
      </c>
      <c r="AG1171" s="36" t="s">
        <v>540</v>
      </c>
      <c r="AH1171" s="25">
        <v>45807</v>
      </c>
      <c r="AI1171" s="36" t="str">
        <f>IF(DadosViagem5[[#This Row],[Dias em manutenção ]]&lt;5,"Dentro do Prazo","Fora do Prazo")</f>
        <v>Fora do Prazo</v>
      </c>
      <c r="AJ1171" s="36" t="e">
        <v>#REF!</v>
      </c>
    </row>
    <row r="1172" spans="1:36">
      <c r="A1172" s="19" t="s">
        <v>2008</v>
      </c>
      <c r="B1172" s="20"/>
      <c r="C1172" s="19" t="s">
        <v>1013</v>
      </c>
      <c r="D1172" s="19" t="s">
        <v>1014</v>
      </c>
      <c r="E1172" s="19" t="s">
        <v>114</v>
      </c>
      <c r="F1172" s="19" t="s">
        <v>115</v>
      </c>
      <c r="G1172" s="19"/>
      <c r="H1172" s="20">
        <v>2022</v>
      </c>
      <c r="I1172" s="19" t="s">
        <v>41</v>
      </c>
      <c r="J1172" s="19" t="s">
        <v>1977</v>
      </c>
      <c r="K1172" s="21" t="s">
        <v>1978</v>
      </c>
      <c r="L1172" s="22" t="s">
        <v>60</v>
      </c>
      <c r="M1172" s="23" t="s">
        <v>268</v>
      </c>
      <c r="N1172" s="36" t="s">
        <v>1979</v>
      </c>
      <c r="O1172" s="36" t="s">
        <v>142</v>
      </c>
      <c r="P1172" s="26">
        <f ca="1">IFERROR(VLOOKUP(DadosViagem5[[#This Row],[Placa]],[1]BIP!A:E,5,FALSE),"")</f>
        <v>45989</v>
      </c>
      <c r="Q1172" s="27">
        <f ca="1">DATEDIF(DadosViagem5[[#This Row],[BIP]],TODAY(),"D")</f>
        <v>1</v>
      </c>
      <c r="R1172" s="28" t="str">
        <f>IFERROR(VLOOKUP(DadosViagem5[[#This Row],[Placa]],[1]DDS!B:C,2,FALSE),"Verificar cadastro")</f>
        <v>Operando</v>
      </c>
      <c r="S1172" s="29" t="s">
        <v>48</v>
      </c>
      <c r="T1172" s="23"/>
      <c r="U1172" s="30"/>
      <c r="V1172" s="31"/>
      <c r="W1172" s="32"/>
      <c r="X1172" s="33"/>
      <c r="Y1172" s="34"/>
      <c r="Z1172" s="32"/>
      <c r="AA1172" s="20" t="s">
        <v>49</v>
      </c>
      <c r="AB1172" s="20" t="s">
        <v>49</v>
      </c>
      <c r="AC1172" s="19" t="s">
        <v>49</v>
      </c>
      <c r="AD1172" s="19" t="str">
        <f ca="1">IFERROR(DATEDIF(DadosViagem5[[#This Row],[Utimo Bip Reserva]],TODAY(),"D"),"")</f>
        <v/>
      </c>
      <c r="AE1172" s="36" t="s">
        <v>49</v>
      </c>
      <c r="AF1172" s="25" t="s">
        <v>49</v>
      </c>
      <c r="AG1172" s="36" t="s">
        <v>91</v>
      </c>
      <c r="AH1172" s="25">
        <v>45807</v>
      </c>
      <c r="AI1172" s="36" t="str">
        <f>IF(DadosViagem5[[#This Row],[Dias em manutenção ]]&lt;5,"Dentro do Prazo","Fora do Prazo")</f>
        <v>Fora do Prazo</v>
      </c>
      <c r="AJ1172" s="36" t="e">
        <v>#REF!</v>
      </c>
    </row>
    <row r="1173" spans="1:36">
      <c r="A1173" s="19" t="s">
        <v>2009</v>
      </c>
      <c r="B1173" s="20"/>
      <c r="C1173" s="19" t="s">
        <v>1013</v>
      </c>
      <c r="D1173" s="19" t="s">
        <v>1014</v>
      </c>
      <c r="E1173" s="19" t="s">
        <v>114</v>
      </c>
      <c r="F1173" s="19" t="s">
        <v>115</v>
      </c>
      <c r="G1173" s="19"/>
      <c r="H1173" s="20">
        <v>2023</v>
      </c>
      <c r="I1173" s="19" t="s">
        <v>41</v>
      </c>
      <c r="J1173" s="19" t="s">
        <v>1977</v>
      </c>
      <c r="K1173" s="21" t="s">
        <v>1978</v>
      </c>
      <c r="L1173" s="22" t="s">
        <v>60</v>
      </c>
      <c r="M1173" s="23" t="s">
        <v>268</v>
      </c>
      <c r="N1173" s="36" t="s">
        <v>1979</v>
      </c>
      <c r="O1173" s="36" t="s">
        <v>142</v>
      </c>
      <c r="P1173" s="26">
        <f ca="1">IFERROR(VLOOKUP(DadosViagem5[[#This Row],[Placa]],[1]BIP!A:E,5,FALSE),"")</f>
        <v>45989</v>
      </c>
      <c r="Q1173" s="27">
        <f ca="1">DATEDIF(DadosViagem5[[#This Row],[BIP]],TODAY(),"D")</f>
        <v>1</v>
      </c>
      <c r="R1173" s="28" t="str">
        <f>IFERROR(VLOOKUP(DadosViagem5[[#This Row],[Placa]],[1]DDS!B:C,2,FALSE),"Verificar cadastro")</f>
        <v>Operando</v>
      </c>
      <c r="S1173" s="29" t="s">
        <v>48</v>
      </c>
      <c r="T1173" s="23"/>
      <c r="U1173" s="30"/>
      <c r="V1173" s="31"/>
      <c r="W1173" s="32"/>
      <c r="X1173" s="33"/>
      <c r="Y1173" s="34"/>
      <c r="Z1173" s="32"/>
      <c r="AA1173" s="20" t="s">
        <v>49</v>
      </c>
      <c r="AB1173" s="20" t="s">
        <v>49</v>
      </c>
      <c r="AC1173" s="19" t="s">
        <v>49</v>
      </c>
      <c r="AD1173" s="19" t="str">
        <f ca="1">IFERROR(DATEDIF(DadosViagem5[[#This Row],[Utimo Bip Reserva]],TODAY(),"D"),"")</f>
        <v/>
      </c>
      <c r="AE1173" s="36" t="s">
        <v>49</v>
      </c>
      <c r="AF1173" s="25" t="s">
        <v>49</v>
      </c>
      <c r="AG1173" s="36"/>
      <c r="AH1173" s="25">
        <v>45807</v>
      </c>
      <c r="AI1173" s="36" t="str">
        <f>IF(DadosViagem5[[#This Row],[Dias em manutenção ]]&lt;5,"Dentro do Prazo","Fora do Prazo")</f>
        <v>Fora do Prazo</v>
      </c>
      <c r="AJ1173" s="36" t="e">
        <v>#REF!</v>
      </c>
    </row>
    <row r="1174" spans="1:36">
      <c r="A1174" s="19" t="s">
        <v>2010</v>
      </c>
      <c r="B1174" s="20"/>
      <c r="C1174" s="19" t="s">
        <v>562</v>
      </c>
      <c r="D1174" s="19" t="s">
        <v>563</v>
      </c>
      <c r="E1174" s="19" t="s">
        <v>114</v>
      </c>
      <c r="F1174" s="19" t="s">
        <v>115</v>
      </c>
      <c r="G1174" s="19"/>
      <c r="H1174" s="20">
        <v>2022</v>
      </c>
      <c r="I1174" s="19" t="s">
        <v>41</v>
      </c>
      <c r="J1174" s="19" t="s">
        <v>1977</v>
      </c>
      <c r="K1174" s="21" t="s">
        <v>1978</v>
      </c>
      <c r="L1174" s="22" t="s">
        <v>60</v>
      </c>
      <c r="M1174" s="23" t="s">
        <v>268</v>
      </c>
      <c r="N1174" s="36" t="s">
        <v>1979</v>
      </c>
      <c r="O1174" s="36" t="s">
        <v>142</v>
      </c>
      <c r="P1174" s="26">
        <f ca="1">IFERROR(VLOOKUP(DadosViagem5[[#This Row],[Placa]],[1]BIP!A:E,5,FALSE),"")</f>
        <v>45989</v>
      </c>
      <c r="Q1174" s="27">
        <f ca="1">DATEDIF(DadosViagem5[[#This Row],[BIP]],TODAY(),"D")</f>
        <v>1</v>
      </c>
      <c r="R1174" s="28" t="str">
        <f>IFERROR(VLOOKUP(DadosViagem5[[#This Row],[Placa]],[1]DDS!B:C,2,FALSE),"Verificar cadastro")</f>
        <v>Operando</v>
      </c>
      <c r="S1174" s="29" t="s">
        <v>48</v>
      </c>
      <c r="T1174" s="23"/>
      <c r="U1174" s="30"/>
      <c r="V1174" s="31"/>
      <c r="W1174" s="32" t="s">
        <v>2011</v>
      </c>
      <c r="X1174" s="33"/>
      <c r="Y1174" s="34"/>
      <c r="Z1174" s="42"/>
      <c r="AA1174" s="20" t="s">
        <v>49</v>
      </c>
      <c r="AB1174" s="20" t="s">
        <v>49</v>
      </c>
      <c r="AC1174" s="19" t="s">
        <v>49</v>
      </c>
      <c r="AD1174" s="19" t="str">
        <f ca="1">IFERROR(DATEDIF(DadosViagem5[[#This Row],[Utimo Bip Reserva]],TODAY(),"D"),"")</f>
        <v/>
      </c>
      <c r="AE1174" s="36" t="s">
        <v>2006</v>
      </c>
      <c r="AF1174" s="25" t="s">
        <v>49</v>
      </c>
      <c r="AG1174" s="36"/>
      <c r="AH1174" s="25">
        <v>33</v>
      </c>
      <c r="AI1174" s="36" t="str">
        <f>IF(DadosViagem5[[#This Row],[Dias em manutenção ]]&lt;5,"Dentro do Prazo","Fora do Prazo")</f>
        <v>Fora do Prazo</v>
      </c>
      <c r="AJ1174" s="36" t="e">
        <v>#REF!</v>
      </c>
    </row>
    <row r="1175" spans="1:36">
      <c r="A1175" s="19" t="s">
        <v>2012</v>
      </c>
      <c r="B1175" s="20"/>
      <c r="C1175" s="19" t="s">
        <v>1013</v>
      </c>
      <c r="D1175" s="19" t="s">
        <v>1014</v>
      </c>
      <c r="E1175" s="19" t="s">
        <v>114</v>
      </c>
      <c r="F1175" s="19" t="s">
        <v>115</v>
      </c>
      <c r="G1175" s="19"/>
      <c r="H1175" s="20">
        <v>2022</v>
      </c>
      <c r="I1175" s="19" t="s">
        <v>41</v>
      </c>
      <c r="J1175" s="19" t="s">
        <v>1977</v>
      </c>
      <c r="K1175" s="21" t="s">
        <v>1978</v>
      </c>
      <c r="L1175" s="22" t="s">
        <v>60</v>
      </c>
      <c r="M1175" s="23" t="s">
        <v>268</v>
      </c>
      <c r="N1175" s="36" t="s">
        <v>1979</v>
      </c>
      <c r="O1175" s="36" t="s">
        <v>142</v>
      </c>
      <c r="P1175" s="26">
        <f ca="1">IFERROR(VLOOKUP(DadosViagem5[[#This Row],[Placa]],[1]BIP!A:E,5,FALSE),"")</f>
        <v>45989</v>
      </c>
      <c r="Q1175" s="27">
        <f ca="1">DATEDIF(DadosViagem5[[#This Row],[BIP]],TODAY(),"D")</f>
        <v>1</v>
      </c>
      <c r="R1175" s="28" t="str">
        <f>IFERROR(VLOOKUP(DadosViagem5[[#This Row],[Placa]],[1]DDS!B:C,2,FALSE),"Verificar cadastro")</f>
        <v>Operando</v>
      </c>
      <c r="S1175" s="29" t="s">
        <v>48</v>
      </c>
      <c r="T1175" s="23"/>
      <c r="U1175" s="30"/>
      <c r="V1175" s="31"/>
      <c r="W1175" s="32"/>
      <c r="X1175" s="33"/>
      <c r="Y1175" s="34"/>
      <c r="Z1175" s="32"/>
      <c r="AA1175" s="20" t="s">
        <v>49</v>
      </c>
      <c r="AB1175" s="20" t="s">
        <v>49</v>
      </c>
      <c r="AC1175" s="19" t="s">
        <v>49</v>
      </c>
      <c r="AD1175" s="19" t="str">
        <f ca="1">IFERROR(DATEDIF(DadosViagem5[[#This Row],[Utimo Bip Reserva]],TODAY(),"D"),"")</f>
        <v/>
      </c>
      <c r="AE1175" s="36" t="s">
        <v>49</v>
      </c>
      <c r="AF1175" s="25" t="s">
        <v>49</v>
      </c>
      <c r="AG1175" s="30"/>
      <c r="AH1175" s="25">
        <v>43</v>
      </c>
      <c r="AI1175" s="36" t="str">
        <f>IF(DadosViagem5[[#This Row],[Dias em manutenção ]]&lt;5,"Dentro do Prazo","Fora do Prazo")</f>
        <v>Fora do Prazo</v>
      </c>
      <c r="AJ1175" s="36" t="e">
        <v>#REF!</v>
      </c>
    </row>
    <row r="1176" spans="1:36">
      <c r="A1176" s="19" t="s">
        <v>2013</v>
      </c>
      <c r="B1176" s="20"/>
      <c r="C1176" s="19" t="s">
        <v>562</v>
      </c>
      <c r="D1176" s="19" t="s">
        <v>563</v>
      </c>
      <c r="E1176" s="19" t="s">
        <v>114</v>
      </c>
      <c r="F1176" s="19" t="s">
        <v>115</v>
      </c>
      <c r="G1176" s="19"/>
      <c r="H1176" s="20">
        <v>2023</v>
      </c>
      <c r="I1176" s="19" t="s">
        <v>41</v>
      </c>
      <c r="J1176" s="19" t="s">
        <v>1977</v>
      </c>
      <c r="K1176" s="21" t="s">
        <v>1978</v>
      </c>
      <c r="L1176" s="22" t="s">
        <v>60</v>
      </c>
      <c r="M1176" s="23" t="s">
        <v>268</v>
      </c>
      <c r="N1176" s="36" t="s">
        <v>1979</v>
      </c>
      <c r="O1176" s="36" t="s">
        <v>142</v>
      </c>
      <c r="P1176" s="26">
        <f ca="1">IFERROR(VLOOKUP(DadosViagem5[[#This Row],[Placa]],[1]BIP!A:E,5,FALSE),"")</f>
        <v>45989</v>
      </c>
      <c r="Q1176" s="27">
        <f ca="1">DATEDIF(DadosViagem5[[#This Row],[BIP]],TODAY(),"D")</f>
        <v>1</v>
      </c>
      <c r="R1176" s="28" t="str">
        <f>IFERROR(VLOOKUP(DadosViagem5[[#This Row],[Placa]],[1]DDS!B:C,2,FALSE),"Verificar cadastro")</f>
        <v>Operando</v>
      </c>
      <c r="S1176" s="29" t="s">
        <v>48</v>
      </c>
      <c r="T1176" s="23"/>
      <c r="U1176" s="30"/>
      <c r="V1176" s="31"/>
      <c r="W1176" s="32"/>
      <c r="X1176" s="33"/>
      <c r="Y1176" s="34"/>
      <c r="Z1176" s="32"/>
      <c r="AA1176" s="20" t="s">
        <v>49</v>
      </c>
      <c r="AB1176" s="20" t="s">
        <v>49</v>
      </c>
      <c r="AC1176" s="19" t="s">
        <v>49</v>
      </c>
      <c r="AD1176" s="19" t="str">
        <f ca="1">IFERROR(DATEDIF(DadosViagem5[[#This Row],[Utimo Bip Reserva]],TODAY(),"D"),"")</f>
        <v/>
      </c>
      <c r="AE1176" s="36" t="s">
        <v>215</v>
      </c>
      <c r="AF1176" s="25" t="s">
        <v>49</v>
      </c>
      <c r="AG1176" s="36"/>
      <c r="AH1176" s="25">
        <v>45807</v>
      </c>
      <c r="AI1176" s="36" t="str">
        <f>IF(DadosViagem5[[#This Row],[Dias em manutenção ]]&lt;5,"Dentro do Prazo","Fora do Prazo")</f>
        <v>Fora do Prazo</v>
      </c>
      <c r="AJ1176" s="36" t="e">
        <v>#REF!</v>
      </c>
    </row>
    <row r="1177" spans="1:36">
      <c r="A1177" s="19" t="s">
        <v>2014</v>
      </c>
      <c r="B1177" s="20"/>
      <c r="C1177" s="19" t="s">
        <v>1013</v>
      </c>
      <c r="D1177" s="19" t="s">
        <v>1014</v>
      </c>
      <c r="E1177" s="19" t="s">
        <v>114</v>
      </c>
      <c r="F1177" s="19" t="s">
        <v>115</v>
      </c>
      <c r="G1177" s="19"/>
      <c r="H1177" s="20">
        <v>2022</v>
      </c>
      <c r="I1177" s="19" t="s">
        <v>41</v>
      </c>
      <c r="J1177" s="19" t="s">
        <v>1977</v>
      </c>
      <c r="K1177" s="21" t="s">
        <v>1978</v>
      </c>
      <c r="L1177" s="22" t="s">
        <v>60</v>
      </c>
      <c r="M1177" s="23" t="s">
        <v>268</v>
      </c>
      <c r="N1177" s="36" t="s">
        <v>1979</v>
      </c>
      <c r="O1177" s="36" t="s">
        <v>142</v>
      </c>
      <c r="P1177" s="26">
        <f ca="1">IFERROR(VLOOKUP(DadosViagem5[[#This Row],[Placa]],[1]BIP!A:E,5,FALSE),"")</f>
        <v>45989</v>
      </c>
      <c r="Q1177" s="27">
        <f ca="1">DATEDIF(DadosViagem5[[#This Row],[BIP]],TODAY(),"D")</f>
        <v>1</v>
      </c>
      <c r="R1177" s="28" t="str">
        <f>IFERROR(VLOOKUP(DadosViagem5[[#This Row],[Placa]],[1]DDS!B:C,2,FALSE),"Verificar cadastro")</f>
        <v>Operando</v>
      </c>
      <c r="S1177" s="29" t="s">
        <v>48</v>
      </c>
      <c r="T1177" s="23"/>
      <c r="U1177" s="30"/>
      <c r="V1177" s="31"/>
      <c r="W1177" s="32"/>
      <c r="X1177" s="33"/>
      <c r="Y1177" s="34"/>
      <c r="Z1177" s="32"/>
      <c r="AA1177" s="20" t="s">
        <v>49</v>
      </c>
      <c r="AB1177" s="20" t="s">
        <v>49</v>
      </c>
      <c r="AC1177" s="19" t="s">
        <v>49</v>
      </c>
      <c r="AD1177" s="19" t="str">
        <f ca="1">IFERROR(DATEDIF(DadosViagem5[[#This Row],[Utimo Bip Reserva]],TODAY(),"D"),"")</f>
        <v/>
      </c>
      <c r="AE1177" s="36" t="s">
        <v>49</v>
      </c>
      <c r="AF1177" s="25" t="s">
        <v>49</v>
      </c>
      <c r="AG1177" s="36"/>
      <c r="AH1177" s="25">
        <v>45807</v>
      </c>
      <c r="AI1177" s="36" t="str">
        <f>IF(DadosViagem5[[#This Row],[Dias em manutenção ]]&lt;5,"Dentro do Prazo","Fora do Prazo")</f>
        <v>Fora do Prazo</v>
      </c>
      <c r="AJ1177" s="36" t="e">
        <v>#REF!</v>
      </c>
    </row>
    <row r="1178" spans="1:36">
      <c r="A1178" s="19" t="s">
        <v>2015</v>
      </c>
      <c r="B1178" s="20"/>
      <c r="C1178" s="19" t="s">
        <v>1013</v>
      </c>
      <c r="D1178" s="19" t="s">
        <v>1014</v>
      </c>
      <c r="E1178" s="19" t="s">
        <v>114</v>
      </c>
      <c r="F1178" s="19" t="s">
        <v>115</v>
      </c>
      <c r="G1178" s="19"/>
      <c r="H1178" s="20">
        <v>2023</v>
      </c>
      <c r="I1178" s="19" t="s">
        <v>41</v>
      </c>
      <c r="J1178" s="19" t="s">
        <v>1977</v>
      </c>
      <c r="K1178" s="21" t="s">
        <v>1978</v>
      </c>
      <c r="L1178" s="22" t="s">
        <v>60</v>
      </c>
      <c r="M1178" s="23" t="s">
        <v>268</v>
      </c>
      <c r="N1178" s="36" t="s">
        <v>1979</v>
      </c>
      <c r="O1178" s="36" t="s">
        <v>142</v>
      </c>
      <c r="P1178" s="26">
        <f ca="1">IFERROR(VLOOKUP(DadosViagem5[[#This Row],[Placa]],[1]BIP!A:E,5,FALSE),"")</f>
        <v>45989</v>
      </c>
      <c r="Q1178" s="27">
        <f ca="1">DATEDIF(DadosViagem5[[#This Row],[BIP]],TODAY(),"D")</f>
        <v>1</v>
      </c>
      <c r="R1178" s="28" t="str">
        <f>IFERROR(VLOOKUP(DadosViagem5[[#This Row],[Placa]],[1]DDS!B:C,2,FALSE),"Verificar cadastro")</f>
        <v>Operando</v>
      </c>
      <c r="S1178" s="29" t="s">
        <v>48</v>
      </c>
      <c r="T1178" s="23"/>
      <c r="U1178" s="30"/>
      <c r="V1178" s="31"/>
      <c r="W1178" s="32"/>
      <c r="X1178" s="33"/>
      <c r="Y1178" s="34"/>
      <c r="Z1178" s="32"/>
      <c r="AA1178" s="20" t="s">
        <v>49</v>
      </c>
      <c r="AB1178" s="20" t="s">
        <v>49</v>
      </c>
      <c r="AC1178" s="19" t="s">
        <v>49</v>
      </c>
      <c r="AD1178" s="19" t="str">
        <f ca="1">IFERROR(DATEDIF(DadosViagem5[[#This Row],[Utimo Bip Reserva]],TODAY(),"D"),"")</f>
        <v/>
      </c>
      <c r="AE1178" s="36" t="s">
        <v>49</v>
      </c>
      <c r="AF1178" s="25" t="s">
        <v>49</v>
      </c>
      <c r="AG1178" s="36"/>
      <c r="AH1178" s="25">
        <v>45807</v>
      </c>
      <c r="AI1178" s="36" t="str">
        <f>IF(DadosViagem5[[#This Row],[Dias em manutenção ]]&lt;5,"Dentro do Prazo","Fora do Prazo")</f>
        <v>Fora do Prazo</v>
      </c>
      <c r="AJ1178" s="36" t="e">
        <v>#REF!</v>
      </c>
    </row>
    <row r="1179" spans="1:36">
      <c r="A1179" s="19" t="s">
        <v>2016</v>
      </c>
      <c r="B1179" s="20"/>
      <c r="C1179" s="19" t="s">
        <v>1013</v>
      </c>
      <c r="D1179" s="19" t="s">
        <v>1014</v>
      </c>
      <c r="E1179" s="19" t="s">
        <v>114</v>
      </c>
      <c r="F1179" s="19" t="s">
        <v>115</v>
      </c>
      <c r="G1179" s="19"/>
      <c r="H1179" s="20">
        <v>2022</v>
      </c>
      <c r="I1179" s="19" t="s">
        <v>41</v>
      </c>
      <c r="J1179" s="19" t="s">
        <v>1977</v>
      </c>
      <c r="K1179" s="21" t="s">
        <v>1978</v>
      </c>
      <c r="L1179" s="22" t="s">
        <v>60</v>
      </c>
      <c r="M1179" s="23" t="s">
        <v>268</v>
      </c>
      <c r="N1179" s="36" t="s">
        <v>1979</v>
      </c>
      <c r="O1179" s="36" t="s">
        <v>142</v>
      </c>
      <c r="P1179" s="26">
        <f ca="1">IFERROR(VLOOKUP(DadosViagem5[[#This Row],[Placa]],[1]BIP!A:E,5,FALSE),"")</f>
        <v>45989</v>
      </c>
      <c r="Q1179" s="27">
        <f ca="1">DATEDIF(DadosViagem5[[#This Row],[BIP]],TODAY(),"D")</f>
        <v>1</v>
      </c>
      <c r="R1179" s="28" t="str">
        <f>IFERROR(VLOOKUP(DadosViagem5[[#This Row],[Placa]],[1]DDS!B:C,2,FALSE),"Verificar cadastro")</f>
        <v>Operando</v>
      </c>
      <c r="S1179" s="29" t="s">
        <v>48</v>
      </c>
      <c r="T1179" s="23"/>
      <c r="U1179" s="30"/>
      <c r="V1179" s="31"/>
      <c r="W1179" s="32"/>
      <c r="X1179" s="33"/>
      <c r="Y1179" s="34"/>
      <c r="Z1179" s="32"/>
      <c r="AA1179" s="20" t="s">
        <v>49</v>
      </c>
      <c r="AB1179" s="20" t="s">
        <v>49</v>
      </c>
      <c r="AC1179" s="19" t="s">
        <v>49</v>
      </c>
      <c r="AD1179" s="19" t="str">
        <f ca="1">IFERROR(DATEDIF(DadosViagem5[[#This Row],[Utimo Bip Reserva]],TODAY(),"D"),"")</f>
        <v/>
      </c>
      <c r="AE1179" s="36" t="s">
        <v>49</v>
      </c>
      <c r="AF1179" s="25" t="s">
        <v>49</v>
      </c>
      <c r="AG1179" s="36"/>
      <c r="AH1179" s="25">
        <v>45807</v>
      </c>
      <c r="AI1179" s="36" t="str">
        <f>IF(DadosViagem5[[#This Row],[Dias em manutenção ]]&lt;5,"Dentro do Prazo","Fora do Prazo")</f>
        <v>Fora do Prazo</v>
      </c>
      <c r="AJ1179" s="36" t="e">
        <v>#REF!</v>
      </c>
    </row>
    <row r="1180" spans="1:36">
      <c r="A1180" s="19" t="s">
        <v>2017</v>
      </c>
      <c r="B1180" s="20"/>
      <c r="C1180" s="19" t="s">
        <v>1013</v>
      </c>
      <c r="D1180" s="19" t="s">
        <v>1014</v>
      </c>
      <c r="E1180" s="19" t="s">
        <v>114</v>
      </c>
      <c r="F1180" s="19" t="s">
        <v>115</v>
      </c>
      <c r="G1180" s="19"/>
      <c r="H1180" s="20">
        <v>2022</v>
      </c>
      <c r="I1180" s="19" t="s">
        <v>41</v>
      </c>
      <c r="J1180" s="19" t="s">
        <v>1977</v>
      </c>
      <c r="K1180" s="21" t="s">
        <v>1978</v>
      </c>
      <c r="L1180" s="22" t="s">
        <v>60</v>
      </c>
      <c r="M1180" s="23" t="s">
        <v>268</v>
      </c>
      <c r="N1180" s="36" t="s">
        <v>1979</v>
      </c>
      <c r="O1180" s="36" t="s">
        <v>142</v>
      </c>
      <c r="P1180" s="26">
        <f ca="1">IFERROR(VLOOKUP(DadosViagem5[[#This Row],[Placa]],[1]BIP!A:E,5,FALSE),"")</f>
        <v>45989</v>
      </c>
      <c r="Q1180" s="27">
        <f ca="1">DATEDIF(DadosViagem5[[#This Row],[BIP]],TODAY(),"D")</f>
        <v>1</v>
      </c>
      <c r="R1180" s="28" t="str">
        <f>IFERROR(VLOOKUP(DadosViagem5[[#This Row],[Placa]],[1]DDS!B:C,2,FALSE),"Verificar cadastro")</f>
        <v>Operando</v>
      </c>
      <c r="S1180" s="29" t="s">
        <v>48</v>
      </c>
      <c r="T1180" s="23"/>
      <c r="U1180" s="30"/>
      <c r="V1180" s="31"/>
      <c r="W1180" s="32"/>
      <c r="X1180" s="33"/>
      <c r="Y1180" s="34"/>
      <c r="Z1180" s="32"/>
      <c r="AA1180" s="20" t="s">
        <v>49</v>
      </c>
      <c r="AB1180" s="20" t="s">
        <v>49</v>
      </c>
      <c r="AC1180" s="19" t="s">
        <v>49</v>
      </c>
      <c r="AD1180" s="19" t="str">
        <f ca="1">IFERROR(DATEDIF(DadosViagem5[[#This Row],[Utimo Bip Reserva]],TODAY(),"D"),"")</f>
        <v/>
      </c>
      <c r="AE1180" s="36" t="s">
        <v>49</v>
      </c>
      <c r="AF1180" s="25" t="s">
        <v>49</v>
      </c>
      <c r="AG1180" s="36"/>
      <c r="AH1180" s="25">
        <v>45807</v>
      </c>
      <c r="AI1180" s="36" t="str">
        <f>IF(DadosViagem5[[#This Row],[Dias em manutenção ]]&lt;5,"Dentro do Prazo","Fora do Prazo")</f>
        <v>Fora do Prazo</v>
      </c>
      <c r="AJ1180" s="36" t="e">
        <v>#REF!</v>
      </c>
    </row>
    <row r="1181" spans="1:36">
      <c r="A1181" s="19" t="s">
        <v>2018</v>
      </c>
      <c r="B1181" s="20"/>
      <c r="C1181" s="19" t="s">
        <v>131</v>
      </c>
      <c r="D1181" s="19" t="s">
        <v>132</v>
      </c>
      <c r="E1181" s="19" t="s">
        <v>114</v>
      </c>
      <c r="F1181" s="19" t="s">
        <v>115</v>
      </c>
      <c r="G1181" s="19"/>
      <c r="H1181" s="20">
        <v>2023</v>
      </c>
      <c r="I1181" s="19" t="s">
        <v>41</v>
      </c>
      <c r="J1181" s="19" t="s">
        <v>1977</v>
      </c>
      <c r="K1181" s="21" t="s">
        <v>1978</v>
      </c>
      <c r="L1181" s="22" t="s">
        <v>60</v>
      </c>
      <c r="M1181" s="23" t="s">
        <v>268</v>
      </c>
      <c r="N1181" s="36" t="s">
        <v>1979</v>
      </c>
      <c r="O1181" s="36" t="s">
        <v>142</v>
      </c>
      <c r="P1181" s="26">
        <f ca="1">IFERROR(VLOOKUP(DadosViagem5[[#This Row],[Placa]],[1]BIP!A:E,5,FALSE),"")</f>
        <v>45989</v>
      </c>
      <c r="Q1181" s="27">
        <f ca="1">DATEDIF(DadosViagem5[[#This Row],[BIP]],TODAY(),"D")</f>
        <v>1</v>
      </c>
      <c r="R1181" s="28" t="str">
        <f>IFERROR(VLOOKUP(DadosViagem5[[#This Row],[Placa]],[1]DDS!B:C,2,FALSE),"Verificar cadastro")</f>
        <v>Operando</v>
      </c>
      <c r="S1181" s="29" t="s">
        <v>48</v>
      </c>
      <c r="T1181" s="23"/>
      <c r="U1181" s="30"/>
      <c r="V1181" s="31"/>
      <c r="W1181" s="32"/>
      <c r="X1181" s="33"/>
      <c r="Y1181" s="34"/>
      <c r="Z1181" s="32"/>
      <c r="AA1181" s="20" t="s">
        <v>49</v>
      </c>
      <c r="AB1181" s="20" t="s">
        <v>2019</v>
      </c>
      <c r="AC1181" s="19" t="s">
        <v>49</v>
      </c>
      <c r="AD1181" s="19" t="str">
        <f ca="1">IFERROR(DATEDIF(DadosViagem5[[#This Row],[Utimo Bip Reserva]],TODAY(),"D"),"")</f>
        <v/>
      </c>
      <c r="AE1181" s="36" t="s">
        <v>49</v>
      </c>
      <c r="AF1181" s="25" t="s">
        <v>49</v>
      </c>
      <c r="AG1181" s="36"/>
      <c r="AH1181" s="25">
        <v>45807</v>
      </c>
      <c r="AI1181" s="36" t="str">
        <f>IF(DadosViagem5[[#This Row],[Dias em manutenção ]]&lt;5,"Dentro do Prazo","Fora do Prazo")</f>
        <v>Fora do Prazo</v>
      </c>
      <c r="AJ1181" s="36" t="e">
        <v>#REF!</v>
      </c>
    </row>
    <row r="1182" spans="1:36">
      <c r="A1182" s="19" t="s">
        <v>2020</v>
      </c>
      <c r="B1182" s="20"/>
      <c r="C1182" s="19" t="s">
        <v>562</v>
      </c>
      <c r="D1182" s="19" t="s">
        <v>563</v>
      </c>
      <c r="E1182" s="19" t="s">
        <v>114</v>
      </c>
      <c r="F1182" s="19" t="s">
        <v>115</v>
      </c>
      <c r="G1182" s="19"/>
      <c r="H1182" s="20">
        <v>2021</v>
      </c>
      <c r="I1182" s="19" t="s">
        <v>41</v>
      </c>
      <c r="J1182" s="37" t="s">
        <v>1977</v>
      </c>
      <c r="K1182" s="38" t="s">
        <v>1978</v>
      </c>
      <c r="L1182" s="22" t="s">
        <v>60</v>
      </c>
      <c r="M1182" s="23" t="s">
        <v>268</v>
      </c>
      <c r="N1182" s="36" t="s">
        <v>1979</v>
      </c>
      <c r="O1182" s="36" t="s">
        <v>142</v>
      </c>
      <c r="P1182" s="26">
        <f ca="1">IFERROR(VLOOKUP(DadosViagem5[[#This Row],[Placa]],[1]BIP!A:E,5,FALSE),"")</f>
        <v>45989</v>
      </c>
      <c r="Q1182" s="27">
        <f ca="1">DATEDIF(DadosViagem5[[#This Row],[BIP]],TODAY(),"D")</f>
        <v>1</v>
      </c>
      <c r="R1182" s="28" t="str">
        <f>IFERROR(VLOOKUP(DadosViagem5[[#This Row],[Placa]],[1]DDS!B:C,2,FALSE),"Verificar cadastro")</f>
        <v>Operando</v>
      </c>
      <c r="S1182" s="29" t="s">
        <v>48</v>
      </c>
      <c r="T1182" s="23"/>
      <c r="U1182" s="30"/>
      <c r="V1182" s="31"/>
      <c r="W1182" s="32"/>
      <c r="X1182" s="33"/>
      <c r="Y1182" s="34"/>
      <c r="Z1182" s="32"/>
      <c r="AA1182" s="20" t="s">
        <v>49</v>
      </c>
      <c r="AB1182" s="20" t="s">
        <v>49</v>
      </c>
      <c r="AC1182" s="19" t="s">
        <v>49</v>
      </c>
      <c r="AD1182" s="19" t="str">
        <f ca="1">IFERROR(DATEDIF(DadosViagem5[[#This Row],[Utimo Bip Reserva]],TODAY(),"D"),"")</f>
        <v/>
      </c>
      <c r="AE1182" s="36" t="s">
        <v>2021</v>
      </c>
      <c r="AF1182" s="25" t="s">
        <v>49</v>
      </c>
      <c r="AG1182" s="36"/>
      <c r="AH1182" s="25">
        <v>45807</v>
      </c>
      <c r="AI1182" s="36" t="str">
        <f>IF(DadosViagem5[[#This Row],[Dias em manutenção ]]&lt;5,"Dentro do Prazo","Fora do Prazo")</f>
        <v>Fora do Prazo</v>
      </c>
      <c r="AJ1182" s="36" t="e">
        <v>#REF!</v>
      </c>
    </row>
    <row r="1183" spans="1:36">
      <c r="A1183" s="19" t="s">
        <v>2022</v>
      </c>
      <c r="B1183" s="20"/>
      <c r="C1183" s="19" t="s">
        <v>1013</v>
      </c>
      <c r="D1183" s="19" t="s">
        <v>1014</v>
      </c>
      <c r="E1183" s="19" t="s">
        <v>114</v>
      </c>
      <c r="F1183" s="19" t="s">
        <v>115</v>
      </c>
      <c r="G1183" s="19"/>
      <c r="H1183" s="20">
        <v>2023</v>
      </c>
      <c r="I1183" s="19" t="s">
        <v>41</v>
      </c>
      <c r="J1183" s="19" t="s">
        <v>1977</v>
      </c>
      <c r="K1183" s="21" t="s">
        <v>1978</v>
      </c>
      <c r="L1183" s="22" t="s">
        <v>60</v>
      </c>
      <c r="M1183" s="23" t="s">
        <v>268</v>
      </c>
      <c r="N1183" s="36" t="s">
        <v>1979</v>
      </c>
      <c r="O1183" s="36" t="s">
        <v>142</v>
      </c>
      <c r="P1183" s="26">
        <f ca="1">IFERROR(VLOOKUP(DadosViagem5[[#This Row],[Placa]],[1]BIP!A:E,5,FALSE),"")</f>
        <v>45987</v>
      </c>
      <c r="Q1183" s="27">
        <f ca="1">DATEDIF(DadosViagem5[[#This Row],[BIP]],TODAY(),"D")</f>
        <v>3</v>
      </c>
      <c r="R1183" s="28" t="str">
        <f>IFERROR(VLOOKUP(DadosViagem5[[#This Row],[Placa]],[1]DDS!B:C,2,FALSE),"Verificar cadastro")</f>
        <v>Falta Motorista</v>
      </c>
      <c r="S1183" s="29" t="s">
        <v>48</v>
      </c>
      <c r="T1183" s="23"/>
      <c r="U1183" s="30"/>
      <c r="V1183" s="31"/>
      <c r="W1183" s="32"/>
      <c r="X1183" s="33"/>
      <c r="Y1183" s="34"/>
      <c r="Z1183" s="32"/>
      <c r="AA1183" s="20" t="s">
        <v>49</v>
      </c>
      <c r="AB1183" s="20" t="s">
        <v>49</v>
      </c>
      <c r="AC1183" s="19" t="s">
        <v>49</v>
      </c>
      <c r="AD1183" s="19" t="str">
        <f ca="1">IFERROR(DATEDIF(DadosViagem5[[#This Row],[Utimo Bip Reserva]],TODAY(),"D"),"")</f>
        <v/>
      </c>
      <c r="AE1183" s="36" t="s">
        <v>49</v>
      </c>
      <c r="AF1183" s="25" t="s">
        <v>49</v>
      </c>
      <c r="AG1183" s="36"/>
      <c r="AH1183" s="25">
        <v>45807</v>
      </c>
      <c r="AI1183" s="36" t="str">
        <f>IF(DadosViagem5[[#This Row],[Dias em manutenção ]]&lt;5,"Dentro do Prazo","Fora do Prazo")</f>
        <v>Fora do Prazo</v>
      </c>
      <c r="AJ1183" s="36" t="e">
        <v>#REF!</v>
      </c>
    </row>
    <row r="1184" spans="1:36">
      <c r="A1184" s="19" t="s">
        <v>2023</v>
      </c>
      <c r="B1184" s="20"/>
      <c r="C1184" s="19" t="s">
        <v>562</v>
      </c>
      <c r="D1184" s="19" t="s">
        <v>563</v>
      </c>
      <c r="E1184" s="19" t="s">
        <v>114</v>
      </c>
      <c r="F1184" s="19" t="s">
        <v>115</v>
      </c>
      <c r="G1184" s="19"/>
      <c r="H1184" s="20">
        <v>2022</v>
      </c>
      <c r="I1184" s="19" t="s">
        <v>41</v>
      </c>
      <c r="J1184" s="37" t="s">
        <v>1977</v>
      </c>
      <c r="K1184" s="38" t="s">
        <v>1978</v>
      </c>
      <c r="L1184" s="22" t="s">
        <v>60</v>
      </c>
      <c r="M1184" s="23" t="s">
        <v>268</v>
      </c>
      <c r="N1184" s="36" t="s">
        <v>1979</v>
      </c>
      <c r="O1184" s="36" t="s">
        <v>142</v>
      </c>
      <c r="P1184" s="26">
        <f ca="1">IFERROR(VLOOKUP(DadosViagem5[[#This Row],[Placa]],[1]BIP!A:E,5,FALSE),"")</f>
        <v>45989</v>
      </c>
      <c r="Q1184" s="27">
        <f ca="1">DATEDIF(DadosViagem5[[#This Row],[BIP]],TODAY(),"D")</f>
        <v>1</v>
      </c>
      <c r="R1184" s="28" t="str">
        <f>IFERROR(VLOOKUP(DadosViagem5[[#This Row],[Placa]],[1]DDS!B:C,2,FALSE),"Verificar cadastro")</f>
        <v>Operando</v>
      </c>
      <c r="S1184" s="29" t="s">
        <v>48</v>
      </c>
      <c r="T1184" s="23"/>
      <c r="U1184" s="30"/>
      <c r="V1184" s="31"/>
      <c r="W1184" s="32"/>
      <c r="X1184" s="33"/>
      <c r="Y1184" s="34"/>
      <c r="Z1184" s="32"/>
      <c r="AA1184" s="20" t="s">
        <v>49</v>
      </c>
      <c r="AB1184" s="20" t="s">
        <v>49</v>
      </c>
      <c r="AC1184" s="19" t="s">
        <v>49</v>
      </c>
      <c r="AD1184" s="19" t="str">
        <f ca="1">IFERROR(DATEDIF(DadosViagem5[[#This Row],[Utimo Bip Reserva]],TODAY(),"D"),"")</f>
        <v/>
      </c>
      <c r="AE1184" s="36" t="s">
        <v>49</v>
      </c>
      <c r="AF1184" s="25" t="s">
        <v>49</v>
      </c>
      <c r="AG1184" s="36"/>
      <c r="AH1184" s="25">
        <v>45807</v>
      </c>
      <c r="AI1184" s="36" t="str">
        <f>IF(DadosViagem5[[#This Row],[Dias em manutenção ]]&lt;5,"Dentro do Prazo","Fora do Prazo")</f>
        <v>Fora do Prazo</v>
      </c>
      <c r="AJ1184" s="36" t="e">
        <v>#REF!</v>
      </c>
    </row>
    <row r="1185" spans="1:36">
      <c r="A1185" s="19" t="s">
        <v>2024</v>
      </c>
      <c r="B1185" s="20"/>
      <c r="C1185" s="19" t="s">
        <v>1013</v>
      </c>
      <c r="D1185" s="19" t="s">
        <v>1014</v>
      </c>
      <c r="E1185" s="19" t="s">
        <v>114</v>
      </c>
      <c r="F1185" s="19" t="s">
        <v>115</v>
      </c>
      <c r="G1185" s="19"/>
      <c r="H1185" s="20">
        <v>2022</v>
      </c>
      <c r="I1185" s="19" t="s">
        <v>41</v>
      </c>
      <c r="J1185" s="19" t="s">
        <v>1977</v>
      </c>
      <c r="K1185" s="21" t="s">
        <v>1978</v>
      </c>
      <c r="L1185" s="22" t="s">
        <v>60</v>
      </c>
      <c r="M1185" s="23" t="s">
        <v>268</v>
      </c>
      <c r="N1185" s="36" t="s">
        <v>1979</v>
      </c>
      <c r="O1185" s="36" t="s">
        <v>142</v>
      </c>
      <c r="P1185" s="26">
        <f ca="1">IFERROR(VLOOKUP(DadosViagem5[[#This Row],[Placa]],[1]BIP!A:E,5,FALSE),"")</f>
        <v>45989</v>
      </c>
      <c r="Q1185" s="27">
        <f ca="1">DATEDIF(DadosViagem5[[#This Row],[BIP]],TODAY(),"D")</f>
        <v>1</v>
      </c>
      <c r="R1185" s="28" t="str">
        <f>IFERROR(VLOOKUP(DadosViagem5[[#This Row],[Placa]],[1]DDS!B:C,2,FALSE),"Verificar cadastro")</f>
        <v>Operando</v>
      </c>
      <c r="S1185" s="29" t="s">
        <v>48</v>
      </c>
      <c r="T1185" s="23"/>
      <c r="U1185" s="30"/>
      <c r="V1185" s="31"/>
      <c r="W1185" s="32"/>
      <c r="X1185" s="33"/>
      <c r="Y1185" s="34"/>
      <c r="Z1185" s="32"/>
      <c r="AA1185" s="20" t="s">
        <v>49</v>
      </c>
      <c r="AB1185" s="20" t="s">
        <v>49</v>
      </c>
      <c r="AC1185" s="19" t="s">
        <v>49</v>
      </c>
      <c r="AD1185" s="19" t="str">
        <f ca="1">IFERROR(DATEDIF(DadosViagem5[[#This Row],[Utimo Bip Reserva]],TODAY(),"D"),"")</f>
        <v/>
      </c>
      <c r="AE1185" s="36" t="s">
        <v>49</v>
      </c>
      <c r="AF1185" s="25" t="s">
        <v>49</v>
      </c>
      <c r="AG1185" s="36"/>
      <c r="AH1185" s="25">
        <v>45807</v>
      </c>
      <c r="AI1185" s="36" t="str">
        <f>IF(DadosViagem5[[#This Row],[Dias em manutenção ]]&lt;5,"Dentro do Prazo","Fora do Prazo")</f>
        <v>Fora do Prazo</v>
      </c>
      <c r="AJ1185" s="36" t="e">
        <v>#REF!</v>
      </c>
    </row>
    <row r="1186" spans="1:36">
      <c r="A1186" s="19" t="s">
        <v>2025</v>
      </c>
      <c r="B1186" s="20"/>
      <c r="C1186" s="19" t="s">
        <v>1013</v>
      </c>
      <c r="D1186" s="19" t="s">
        <v>1014</v>
      </c>
      <c r="E1186" s="19" t="s">
        <v>114</v>
      </c>
      <c r="F1186" s="19" t="s">
        <v>115</v>
      </c>
      <c r="G1186" s="19"/>
      <c r="H1186" s="20">
        <v>2022</v>
      </c>
      <c r="I1186" s="37" t="s">
        <v>41</v>
      </c>
      <c r="J1186" s="37" t="s">
        <v>1977</v>
      </c>
      <c r="K1186" s="38" t="s">
        <v>1978</v>
      </c>
      <c r="L1186" s="39" t="s">
        <v>60</v>
      </c>
      <c r="M1186" s="23" t="s">
        <v>268</v>
      </c>
      <c r="N1186" s="36" t="s">
        <v>1979</v>
      </c>
      <c r="O1186" s="36" t="s">
        <v>142</v>
      </c>
      <c r="P1186" s="26">
        <f ca="1">IFERROR(VLOOKUP(DadosViagem5[[#This Row],[Placa]],[1]BIP!A:E,5,FALSE),"")</f>
        <v>45989</v>
      </c>
      <c r="Q1186" s="27">
        <f ca="1">DATEDIF(DadosViagem5[[#This Row],[BIP]],TODAY(),"D")</f>
        <v>1</v>
      </c>
      <c r="R1186" s="28" t="str">
        <f>IFERROR(VLOOKUP(DadosViagem5[[#This Row],[Placa]],[1]DDS!B:C,2,FALSE),"Verificar cadastro")</f>
        <v>Operando</v>
      </c>
      <c r="S1186" s="29" t="s">
        <v>48</v>
      </c>
      <c r="T1186" s="23"/>
      <c r="U1186" s="30"/>
      <c r="V1186" s="31"/>
      <c r="W1186" s="32"/>
      <c r="X1186" s="33"/>
      <c r="Y1186" s="34"/>
      <c r="Z1186" s="32"/>
      <c r="AA1186" s="20" t="s">
        <v>49</v>
      </c>
      <c r="AB1186" s="20" t="s">
        <v>49</v>
      </c>
      <c r="AC1186" s="19" t="s">
        <v>49</v>
      </c>
      <c r="AD1186" s="19" t="str">
        <f ca="1">IFERROR(DATEDIF(DadosViagem5[[#This Row],[Utimo Bip Reserva]],TODAY(),"D"),"")</f>
        <v/>
      </c>
      <c r="AE1186" s="36" t="s">
        <v>49</v>
      </c>
      <c r="AF1186" s="25">
        <v>45698</v>
      </c>
      <c r="AG1186" s="36" t="s">
        <v>540</v>
      </c>
      <c r="AH1186" s="25">
        <v>45807</v>
      </c>
      <c r="AI1186" s="36" t="str">
        <f>IF(DadosViagem5[[#This Row],[Dias em manutenção ]]&lt;5,"Dentro do Prazo","Fora do Prazo")</f>
        <v>Fora do Prazo</v>
      </c>
      <c r="AJ1186" s="36" t="e">
        <v>#REF!</v>
      </c>
    </row>
    <row r="1187" spans="1:36">
      <c r="A1187" s="19" t="s">
        <v>2026</v>
      </c>
      <c r="B1187" s="20"/>
      <c r="C1187" s="19" t="s">
        <v>1013</v>
      </c>
      <c r="D1187" s="19" t="s">
        <v>1014</v>
      </c>
      <c r="E1187" s="19" t="s">
        <v>114</v>
      </c>
      <c r="F1187" s="19" t="s">
        <v>115</v>
      </c>
      <c r="G1187" s="19"/>
      <c r="H1187" s="20">
        <v>2023</v>
      </c>
      <c r="I1187" s="19" t="s">
        <v>41</v>
      </c>
      <c r="J1187" s="19" t="s">
        <v>1977</v>
      </c>
      <c r="K1187" s="21" t="s">
        <v>1978</v>
      </c>
      <c r="L1187" s="22" t="s">
        <v>60</v>
      </c>
      <c r="M1187" s="23" t="s">
        <v>268</v>
      </c>
      <c r="N1187" s="36" t="s">
        <v>1979</v>
      </c>
      <c r="O1187" s="36" t="s">
        <v>142</v>
      </c>
      <c r="P1187" s="26">
        <f ca="1">IFERROR(VLOOKUP(DadosViagem5[[#This Row],[Placa]],[1]BIP!A:E,5,FALSE),"")</f>
        <v>45989</v>
      </c>
      <c r="Q1187" s="27">
        <f ca="1">DATEDIF(DadosViagem5[[#This Row],[BIP]],TODAY(),"D")</f>
        <v>1</v>
      </c>
      <c r="R1187" s="28" t="str">
        <f>IFERROR(VLOOKUP(DadosViagem5[[#This Row],[Placa]],[1]DDS!B:C,2,FALSE),"Verificar cadastro")</f>
        <v>Operando</v>
      </c>
      <c r="S1187" s="29" t="s">
        <v>48</v>
      </c>
      <c r="T1187" s="23"/>
      <c r="U1187" s="30"/>
      <c r="V1187" s="31"/>
      <c r="W1187" s="32"/>
      <c r="X1187" s="33"/>
      <c r="Y1187" s="34"/>
      <c r="Z1187" s="32"/>
      <c r="AA1187" s="20" t="s">
        <v>49</v>
      </c>
      <c r="AB1187" s="20" t="s">
        <v>49</v>
      </c>
      <c r="AC1187" s="19" t="s">
        <v>49</v>
      </c>
      <c r="AD1187" s="19" t="str">
        <f ca="1">IFERROR(DATEDIF(DadosViagem5[[#This Row],[Utimo Bip Reserva]],TODAY(),"D"),"")</f>
        <v/>
      </c>
      <c r="AE1187" s="36" t="s">
        <v>49</v>
      </c>
      <c r="AF1187" s="25" t="s">
        <v>49</v>
      </c>
      <c r="AG1187" s="36"/>
      <c r="AH1187" s="25">
        <v>45807</v>
      </c>
      <c r="AI1187" s="36" t="str">
        <f>IF(DadosViagem5[[#This Row],[Dias em manutenção ]]&lt;5,"Dentro do Prazo","Fora do Prazo")</f>
        <v>Fora do Prazo</v>
      </c>
      <c r="AJ1187" s="36" t="e">
        <v>#REF!</v>
      </c>
    </row>
    <row r="1188" spans="1:36">
      <c r="A1188" s="19" t="s">
        <v>2027</v>
      </c>
      <c r="B1188" s="20"/>
      <c r="C1188" s="19" t="s">
        <v>1013</v>
      </c>
      <c r="D1188" s="19" t="s">
        <v>1014</v>
      </c>
      <c r="E1188" s="19" t="s">
        <v>114</v>
      </c>
      <c r="F1188" s="19" t="s">
        <v>115</v>
      </c>
      <c r="G1188" s="19"/>
      <c r="H1188" s="20">
        <v>2022</v>
      </c>
      <c r="I1188" s="19" t="s">
        <v>41</v>
      </c>
      <c r="J1188" s="19" t="s">
        <v>1977</v>
      </c>
      <c r="K1188" s="21" t="s">
        <v>1978</v>
      </c>
      <c r="L1188" s="22" t="s">
        <v>60</v>
      </c>
      <c r="M1188" s="23" t="s">
        <v>268</v>
      </c>
      <c r="N1188" s="36" t="s">
        <v>1979</v>
      </c>
      <c r="O1188" s="36" t="s">
        <v>142</v>
      </c>
      <c r="P1188" s="26">
        <f ca="1">IFERROR(VLOOKUP(DadosViagem5[[#This Row],[Placa]],[1]BIP!A:E,5,FALSE),"")</f>
        <v>45987</v>
      </c>
      <c r="Q1188" s="27">
        <f ca="1">DATEDIF(DadosViagem5[[#This Row],[BIP]],TODAY(),"D")</f>
        <v>3</v>
      </c>
      <c r="R1188" s="28" t="str">
        <f>IFERROR(VLOOKUP(DadosViagem5[[#This Row],[Placa]],[1]DDS!B:C,2,FALSE),"Verificar cadastro")</f>
        <v>Falta Motorista</v>
      </c>
      <c r="S1188" s="29" t="s">
        <v>48</v>
      </c>
      <c r="T1188" s="23"/>
      <c r="U1188" s="30"/>
      <c r="V1188" s="31"/>
      <c r="W1188" s="32"/>
      <c r="X1188" s="33"/>
      <c r="Y1188" s="34"/>
      <c r="Z1188" s="32"/>
      <c r="AA1188" s="20" t="s">
        <v>49</v>
      </c>
      <c r="AB1188" s="20" t="s">
        <v>49</v>
      </c>
      <c r="AC1188" s="19" t="s">
        <v>49</v>
      </c>
      <c r="AD1188" s="19" t="str">
        <f ca="1">IFERROR(DATEDIF(DadosViagem5[[#This Row],[Utimo Bip Reserva]],TODAY(),"D"),"")</f>
        <v/>
      </c>
      <c r="AE1188" s="36" t="s">
        <v>49</v>
      </c>
      <c r="AF1188" s="25" t="s">
        <v>49</v>
      </c>
      <c r="AG1188" s="36"/>
      <c r="AH1188" s="25">
        <v>45807</v>
      </c>
      <c r="AI1188" s="36" t="str">
        <f>IF(DadosViagem5[[#This Row],[Dias em manutenção ]]&lt;5,"Dentro do Prazo","Fora do Prazo")</f>
        <v>Fora do Prazo</v>
      </c>
      <c r="AJ1188" s="36" t="e">
        <v>#REF!</v>
      </c>
    </row>
    <row r="1189" spans="1:36">
      <c r="A1189" s="19" t="s">
        <v>2028</v>
      </c>
      <c r="B1189" s="20"/>
      <c r="C1189" s="19" t="s">
        <v>1013</v>
      </c>
      <c r="D1189" s="19" t="s">
        <v>1014</v>
      </c>
      <c r="E1189" s="19" t="s">
        <v>114</v>
      </c>
      <c r="F1189" s="19" t="s">
        <v>115</v>
      </c>
      <c r="G1189" s="19"/>
      <c r="H1189" s="20">
        <v>2022</v>
      </c>
      <c r="I1189" s="19" t="s">
        <v>41</v>
      </c>
      <c r="J1189" s="37" t="s">
        <v>1977</v>
      </c>
      <c r="K1189" s="38" t="s">
        <v>1978</v>
      </c>
      <c r="L1189" s="22" t="s">
        <v>60</v>
      </c>
      <c r="M1189" s="23" t="s">
        <v>268</v>
      </c>
      <c r="N1189" s="36" t="s">
        <v>1979</v>
      </c>
      <c r="O1189" s="36" t="s">
        <v>142</v>
      </c>
      <c r="P1189" s="26">
        <f ca="1">IFERROR(VLOOKUP(DadosViagem5[[#This Row],[Placa]],[1]BIP!A:E,5,FALSE),"")</f>
        <v>45987</v>
      </c>
      <c r="Q1189" s="27">
        <f ca="1">DATEDIF(DadosViagem5[[#This Row],[BIP]],TODAY(),"D")</f>
        <v>3</v>
      </c>
      <c r="R1189" s="28" t="str">
        <f>IFERROR(VLOOKUP(DadosViagem5[[#This Row],[Placa]],[1]DDS!B:C,2,FALSE),"Verificar cadastro")</f>
        <v>Falta Motorista</v>
      </c>
      <c r="S1189" s="29" t="s">
        <v>48</v>
      </c>
      <c r="T1189" s="23"/>
      <c r="U1189" s="30"/>
      <c r="V1189" s="31"/>
      <c r="W1189" s="32"/>
      <c r="X1189" s="33"/>
      <c r="Y1189" s="34"/>
      <c r="Z1189" s="32"/>
      <c r="AA1189" s="20" t="s">
        <v>49</v>
      </c>
      <c r="AB1189" s="20" t="s">
        <v>49</v>
      </c>
      <c r="AC1189" s="19" t="s">
        <v>49</v>
      </c>
      <c r="AD1189" s="19" t="str">
        <f ca="1">IFERROR(DATEDIF(DadosViagem5[[#This Row],[Utimo Bip Reserva]],TODAY(),"D"),"")</f>
        <v/>
      </c>
      <c r="AE1189" s="36" t="s">
        <v>49</v>
      </c>
      <c r="AF1189" s="25" t="s">
        <v>49</v>
      </c>
      <c r="AG1189" s="36"/>
      <c r="AH1189" s="25">
        <v>45807</v>
      </c>
      <c r="AI1189" s="36" t="str">
        <f>IF(DadosViagem5[[#This Row],[Dias em manutenção ]]&lt;5,"Dentro do Prazo","Fora do Prazo")</f>
        <v>Fora do Prazo</v>
      </c>
      <c r="AJ1189" s="36" t="e">
        <v>#REF!</v>
      </c>
    </row>
    <row r="1190" spans="1:36">
      <c r="A1190" s="19" t="s">
        <v>2029</v>
      </c>
      <c r="B1190" s="20"/>
      <c r="C1190" s="19" t="s">
        <v>1013</v>
      </c>
      <c r="D1190" s="19" t="s">
        <v>1014</v>
      </c>
      <c r="E1190" s="19" t="s">
        <v>114</v>
      </c>
      <c r="F1190" s="19" t="s">
        <v>115</v>
      </c>
      <c r="G1190" s="19"/>
      <c r="H1190" s="20">
        <v>2022</v>
      </c>
      <c r="I1190" s="19" t="s">
        <v>41</v>
      </c>
      <c r="J1190" s="19" t="s">
        <v>1977</v>
      </c>
      <c r="K1190" s="21" t="s">
        <v>1978</v>
      </c>
      <c r="L1190" s="22" t="s">
        <v>60</v>
      </c>
      <c r="M1190" s="23" t="s">
        <v>268</v>
      </c>
      <c r="N1190" s="36" t="s">
        <v>1979</v>
      </c>
      <c r="O1190" s="36" t="s">
        <v>142</v>
      </c>
      <c r="P1190" s="26">
        <f ca="1">IFERROR(VLOOKUP(DadosViagem5[[#This Row],[Placa]],[1]BIP!A:E,5,FALSE),"")</f>
        <v>45989</v>
      </c>
      <c r="Q1190" s="27">
        <f ca="1">DATEDIF(DadosViagem5[[#This Row],[BIP]],TODAY(),"D")</f>
        <v>1</v>
      </c>
      <c r="R1190" s="28" t="str">
        <f>IFERROR(VLOOKUP(DadosViagem5[[#This Row],[Placa]],[1]DDS!B:C,2,FALSE),"Verificar cadastro")</f>
        <v>Operando</v>
      </c>
      <c r="S1190" s="29" t="s">
        <v>48</v>
      </c>
      <c r="T1190" s="23" t="s">
        <v>55</v>
      </c>
      <c r="U1190" s="30"/>
      <c r="V1190" s="31"/>
      <c r="W1190" s="32"/>
      <c r="X1190" s="33"/>
      <c r="Y1190" s="34"/>
      <c r="Z1190" s="32"/>
      <c r="AA1190" s="20" t="s">
        <v>49</v>
      </c>
      <c r="AB1190" s="20" t="s">
        <v>49</v>
      </c>
      <c r="AC1190" s="19" t="s">
        <v>49</v>
      </c>
      <c r="AD1190" s="19" t="str">
        <f ca="1">IFERROR(DATEDIF(DadosViagem5[[#This Row],[Utimo Bip Reserva]],TODAY(),"D"),"")</f>
        <v/>
      </c>
      <c r="AE1190" s="36" t="s">
        <v>49</v>
      </c>
      <c r="AF1190" s="25" t="s">
        <v>49</v>
      </c>
      <c r="AG1190" s="36"/>
      <c r="AH1190" s="25">
        <v>45807</v>
      </c>
      <c r="AI1190" s="36" t="str">
        <f>IF(DadosViagem5[[#This Row],[Dias em manutenção ]]&lt;5,"Dentro do Prazo","Fora do Prazo")</f>
        <v>Fora do Prazo</v>
      </c>
      <c r="AJ1190" s="36" t="e">
        <v>#REF!</v>
      </c>
    </row>
    <row r="1191" spans="1:36">
      <c r="A1191" s="19" t="s">
        <v>2030</v>
      </c>
      <c r="B1191" s="20"/>
      <c r="C1191" s="19" t="s">
        <v>1013</v>
      </c>
      <c r="D1191" s="19" t="s">
        <v>1014</v>
      </c>
      <c r="E1191" s="19" t="s">
        <v>114</v>
      </c>
      <c r="F1191" s="19" t="s">
        <v>115</v>
      </c>
      <c r="G1191" s="19"/>
      <c r="H1191" s="20">
        <v>2022</v>
      </c>
      <c r="I1191" s="19" t="s">
        <v>41</v>
      </c>
      <c r="J1191" s="19" t="s">
        <v>1977</v>
      </c>
      <c r="K1191" s="21" t="s">
        <v>1978</v>
      </c>
      <c r="L1191" s="22" t="s">
        <v>60</v>
      </c>
      <c r="M1191" s="23" t="s">
        <v>268</v>
      </c>
      <c r="N1191" s="36" t="s">
        <v>1979</v>
      </c>
      <c r="O1191" s="36" t="s">
        <v>142</v>
      </c>
      <c r="P1191" s="26">
        <f ca="1">IFERROR(VLOOKUP(DadosViagem5[[#This Row],[Placa]],[1]BIP!A:E,5,FALSE),"")</f>
        <v>45989</v>
      </c>
      <c r="Q1191" s="27">
        <f ca="1">DATEDIF(DadosViagem5[[#This Row],[BIP]],TODAY(),"D")</f>
        <v>1</v>
      </c>
      <c r="R1191" s="28" t="str">
        <f>IFERROR(VLOOKUP(DadosViagem5[[#This Row],[Placa]],[1]DDS!B:C,2,FALSE),"Verificar cadastro")</f>
        <v>Operando</v>
      </c>
      <c r="S1191" s="29" t="s">
        <v>48</v>
      </c>
      <c r="T1191" s="23"/>
      <c r="U1191" s="30"/>
      <c r="V1191" s="31"/>
      <c r="W1191" s="32"/>
      <c r="X1191" s="33"/>
      <c r="Y1191" s="34"/>
      <c r="Z1191" s="32"/>
      <c r="AA1191" s="20" t="s">
        <v>49</v>
      </c>
      <c r="AB1191" s="20" t="s">
        <v>49</v>
      </c>
      <c r="AC1191" s="19" t="s">
        <v>49</v>
      </c>
      <c r="AD1191" s="19" t="str">
        <f ca="1">IFERROR(DATEDIF(DadosViagem5[[#This Row],[Utimo Bip Reserva]],TODAY(),"D"),"")</f>
        <v/>
      </c>
      <c r="AE1191" s="36" t="s">
        <v>49</v>
      </c>
      <c r="AF1191" s="25" t="s">
        <v>49</v>
      </c>
      <c r="AG1191" s="36"/>
      <c r="AH1191" s="25">
        <v>45807</v>
      </c>
      <c r="AI1191" s="36" t="str">
        <f>IF(DadosViagem5[[#This Row],[Dias em manutenção ]]&lt;5,"Dentro do Prazo","Fora do Prazo")</f>
        <v>Fora do Prazo</v>
      </c>
      <c r="AJ1191" s="36" t="e">
        <v>#REF!</v>
      </c>
    </row>
    <row r="1192" spans="1:36">
      <c r="A1192" s="19" t="s">
        <v>2031</v>
      </c>
      <c r="B1192" s="20"/>
      <c r="C1192" s="19" t="s">
        <v>1013</v>
      </c>
      <c r="D1192" s="19" t="s">
        <v>1014</v>
      </c>
      <c r="E1192" s="19" t="s">
        <v>114</v>
      </c>
      <c r="F1192" s="19" t="s">
        <v>115</v>
      </c>
      <c r="G1192" s="19"/>
      <c r="H1192" s="20">
        <v>2023</v>
      </c>
      <c r="I1192" s="19" t="s">
        <v>41</v>
      </c>
      <c r="J1192" s="19" t="s">
        <v>1977</v>
      </c>
      <c r="K1192" s="21" t="s">
        <v>1978</v>
      </c>
      <c r="L1192" s="22" t="s">
        <v>60</v>
      </c>
      <c r="M1192" s="23" t="s">
        <v>268</v>
      </c>
      <c r="N1192" s="36" t="s">
        <v>1979</v>
      </c>
      <c r="O1192" s="36" t="s">
        <v>142</v>
      </c>
      <c r="P1192" s="26">
        <f ca="1">IFERROR(VLOOKUP(DadosViagem5[[#This Row],[Placa]],[1]BIP!A:E,5,FALSE),"")</f>
        <v>45981</v>
      </c>
      <c r="Q1192" s="27">
        <f ca="1">DATEDIF(DadosViagem5[[#This Row],[BIP]],TODAY(),"D")</f>
        <v>9</v>
      </c>
      <c r="R1192" s="28" t="str">
        <f>IFERROR(VLOOKUP(DadosViagem5[[#This Row],[Placa]],[1]DDS!B:C,2,FALSE),"Verificar cadastro")</f>
        <v>Falta Motorista</v>
      </c>
      <c r="S1192" s="29" t="s">
        <v>48</v>
      </c>
      <c r="T1192" s="23"/>
      <c r="U1192" s="30"/>
      <c r="V1192" s="31"/>
      <c r="W1192" s="32" t="s">
        <v>2032</v>
      </c>
      <c r="X1192" s="33"/>
      <c r="Y1192" s="34"/>
      <c r="Z1192" s="32"/>
      <c r="AA1192" s="20" t="s">
        <v>49</v>
      </c>
      <c r="AB1192" s="20" t="s">
        <v>49</v>
      </c>
      <c r="AC1192" s="19" t="s">
        <v>49</v>
      </c>
      <c r="AD1192" s="19" t="str">
        <f ca="1">IFERROR(DATEDIF(DadosViagem5[[#This Row],[Utimo Bip Reserva]],TODAY(),"D"),"")</f>
        <v/>
      </c>
      <c r="AE1192" s="36" t="s">
        <v>49</v>
      </c>
      <c r="AF1192" s="25" t="s">
        <v>49</v>
      </c>
      <c r="AG1192" s="36"/>
      <c r="AH1192" s="25">
        <v>45807</v>
      </c>
      <c r="AI1192" s="36" t="str">
        <f>IF(DadosViagem5[[#This Row],[Dias em manutenção ]]&lt;5,"Dentro do Prazo","Fora do Prazo")</f>
        <v>Fora do Prazo</v>
      </c>
      <c r="AJ1192" s="36" t="e">
        <v>#REF!</v>
      </c>
    </row>
    <row r="1193" spans="1:36">
      <c r="A1193" s="19" t="s">
        <v>2033</v>
      </c>
      <c r="B1193" s="20"/>
      <c r="C1193" s="19" t="s">
        <v>562</v>
      </c>
      <c r="D1193" s="19" t="s">
        <v>563</v>
      </c>
      <c r="E1193" s="19" t="s">
        <v>114</v>
      </c>
      <c r="F1193" s="19" t="s">
        <v>115</v>
      </c>
      <c r="G1193" s="19"/>
      <c r="H1193" s="20">
        <v>2023</v>
      </c>
      <c r="I1193" s="19" t="s">
        <v>41</v>
      </c>
      <c r="J1193" s="19" t="s">
        <v>1977</v>
      </c>
      <c r="K1193" s="21" t="s">
        <v>1978</v>
      </c>
      <c r="L1193" s="22" t="s">
        <v>60</v>
      </c>
      <c r="M1193" s="23" t="s">
        <v>268</v>
      </c>
      <c r="N1193" s="36" t="s">
        <v>1979</v>
      </c>
      <c r="O1193" s="36" t="s">
        <v>142</v>
      </c>
      <c r="P1193" s="26">
        <f ca="1">IFERROR(VLOOKUP(DadosViagem5[[#This Row],[Placa]],[1]BIP!A:E,5,FALSE),"")</f>
        <v>45989</v>
      </c>
      <c r="Q1193" s="27">
        <f ca="1">DATEDIF(DadosViagem5[[#This Row],[BIP]],TODAY(),"D")</f>
        <v>1</v>
      </c>
      <c r="R1193" s="28" t="str">
        <f>IFERROR(VLOOKUP(DadosViagem5[[#This Row],[Placa]],[1]DDS!B:C,2,FALSE),"Verificar cadastro")</f>
        <v>Falta Motorista</v>
      </c>
      <c r="S1193" s="29" t="s">
        <v>48</v>
      </c>
      <c r="T1193" s="23"/>
      <c r="U1193" s="30"/>
      <c r="V1193" s="31"/>
      <c r="W1193" s="32"/>
      <c r="X1193" s="33"/>
      <c r="Y1193" s="34"/>
      <c r="Z1193" s="32"/>
      <c r="AA1193" s="20" t="s">
        <v>49</v>
      </c>
      <c r="AB1193" s="20" t="s">
        <v>49</v>
      </c>
      <c r="AC1193" s="19" t="s">
        <v>49</v>
      </c>
      <c r="AD1193" s="19" t="str">
        <f ca="1">IFERROR(DATEDIF(DadosViagem5[[#This Row],[Utimo Bip Reserva]],TODAY(),"D"),"")</f>
        <v/>
      </c>
      <c r="AE1193" s="36" t="s">
        <v>49</v>
      </c>
      <c r="AF1193" s="25" t="s">
        <v>49</v>
      </c>
      <c r="AG1193" s="36"/>
      <c r="AH1193" s="25">
        <v>45807</v>
      </c>
      <c r="AI1193" s="36" t="str">
        <f>IF(DadosViagem5[[#This Row],[Dias em manutenção ]]&lt;5,"Dentro do Prazo","Fora do Prazo")</f>
        <v>Fora do Prazo</v>
      </c>
      <c r="AJ1193" s="36" t="e">
        <v>#REF!</v>
      </c>
    </row>
    <row r="1194" spans="1:36">
      <c r="A1194" s="19" t="s">
        <v>2034</v>
      </c>
      <c r="B1194" s="20"/>
      <c r="C1194" s="19" t="s">
        <v>562</v>
      </c>
      <c r="D1194" s="19" t="s">
        <v>563</v>
      </c>
      <c r="E1194" s="19" t="s">
        <v>114</v>
      </c>
      <c r="F1194" s="19" t="s">
        <v>115</v>
      </c>
      <c r="G1194" s="19"/>
      <c r="H1194" s="20">
        <v>2023</v>
      </c>
      <c r="I1194" s="19" t="s">
        <v>41</v>
      </c>
      <c r="J1194" s="19" t="s">
        <v>1977</v>
      </c>
      <c r="K1194" s="21" t="s">
        <v>1978</v>
      </c>
      <c r="L1194" s="22" t="s">
        <v>60</v>
      </c>
      <c r="M1194" s="23" t="s">
        <v>268</v>
      </c>
      <c r="N1194" s="36" t="s">
        <v>1979</v>
      </c>
      <c r="O1194" s="36" t="s">
        <v>142</v>
      </c>
      <c r="P1194" s="26">
        <f ca="1">IFERROR(VLOOKUP(DadosViagem5[[#This Row],[Placa]],[1]BIP!A:E,5,FALSE),"")</f>
        <v>45989</v>
      </c>
      <c r="Q1194" s="27">
        <f ca="1">DATEDIF(DadosViagem5[[#This Row],[BIP]],TODAY(),"D")</f>
        <v>1</v>
      </c>
      <c r="R1194" s="28" t="str">
        <f>IFERROR(VLOOKUP(DadosViagem5[[#This Row],[Placa]],[1]DDS!B:C,2,FALSE),"Verificar cadastro")</f>
        <v>Operando</v>
      </c>
      <c r="S1194" s="29" t="s">
        <v>48</v>
      </c>
      <c r="T1194" s="23"/>
      <c r="U1194" s="30"/>
      <c r="V1194" s="31"/>
      <c r="W1194" s="32"/>
      <c r="X1194" s="33"/>
      <c r="Y1194" s="34"/>
      <c r="Z1194" s="32"/>
      <c r="AA1194" s="20" t="s">
        <v>49</v>
      </c>
      <c r="AB1194" s="20" t="s">
        <v>49</v>
      </c>
      <c r="AC1194" s="19" t="s">
        <v>49</v>
      </c>
      <c r="AD1194" s="19" t="str">
        <f ca="1">IFERROR(DATEDIF(DadosViagem5[[#This Row],[Utimo Bip Reserva]],TODAY(),"D"),"")</f>
        <v/>
      </c>
      <c r="AE1194" s="36" t="s">
        <v>49</v>
      </c>
      <c r="AF1194" s="25" t="s">
        <v>49</v>
      </c>
      <c r="AG1194" s="36"/>
      <c r="AH1194" s="25">
        <v>45807</v>
      </c>
      <c r="AI1194" s="36" t="str">
        <f>IF(DadosViagem5[[#This Row],[Dias em manutenção ]]&lt;5,"Dentro do Prazo","Fora do Prazo")</f>
        <v>Fora do Prazo</v>
      </c>
      <c r="AJ1194" s="36" t="e">
        <v>#REF!</v>
      </c>
    </row>
    <row r="1195" spans="1:36">
      <c r="A1195" s="19" t="s">
        <v>2035</v>
      </c>
      <c r="B1195" s="20"/>
      <c r="C1195" s="19" t="s">
        <v>562</v>
      </c>
      <c r="D1195" s="19" t="s">
        <v>563</v>
      </c>
      <c r="E1195" s="19" t="s">
        <v>114</v>
      </c>
      <c r="F1195" s="19" t="s">
        <v>115</v>
      </c>
      <c r="G1195" s="19"/>
      <c r="H1195" s="20">
        <v>2022</v>
      </c>
      <c r="I1195" s="19" t="s">
        <v>41</v>
      </c>
      <c r="J1195" s="19" t="s">
        <v>1977</v>
      </c>
      <c r="K1195" s="21" t="s">
        <v>1978</v>
      </c>
      <c r="L1195" s="22" t="s">
        <v>60</v>
      </c>
      <c r="M1195" s="23" t="s">
        <v>268</v>
      </c>
      <c r="N1195" s="36" t="s">
        <v>1979</v>
      </c>
      <c r="O1195" s="36" t="s">
        <v>142</v>
      </c>
      <c r="P1195" s="26">
        <f ca="1">IFERROR(VLOOKUP(DadosViagem5[[#This Row],[Placa]],[1]BIP!A:E,5,FALSE),"")</f>
        <v>45989</v>
      </c>
      <c r="Q1195" s="27">
        <f ca="1">DATEDIF(DadosViagem5[[#This Row],[BIP]],TODAY(),"D")</f>
        <v>1</v>
      </c>
      <c r="R1195" s="28" t="str">
        <f>IFERROR(VLOOKUP(DadosViagem5[[#This Row],[Placa]],[1]DDS!B:C,2,FALSE),"Verificar cadastro")</f>
        <v>Operando</v>
      </c>
      <c r="S1195" s="29" t="s">
        <v>48</v>
      </c>
      <c r="T1195" s="23"/>
      <c r="U1195" s="30"/>
      <c r="V1195" s="31"/>
      <c r="W1195" s="32"/>
      <c r="X1195" s="33"/>
      <c r="Y1195" s="34"/>
      <c r="Z1195" s="32"/>
      <c r="AA1195" s="20" t="s">
        <v>49</v>
      </c>
      <c r="AB1195" s="20" t="s">
        <v>49</v>
      </c>
      <c r="AC1195" s="19" t="s">
        <v>49</v>
      </c>
      <c r="AD1195" s="19" t="str">
        <f ca="1">IFERROR(DATEDIF(DadosViagem5[[#This Row],[Utimo Bip Reserva]],TODAY(),"D"),"")</f>
        <v/>
      </c>
      <c r="AE1195" s="36" t="s">
        <v>49</v>
      </c>
      <c r="AF1195" s="25" t="s">
        <v>49</v>
      </c>
      <c r="AG1195" s="36"/>
      <c r="AH1195" s="25">
        <v>45807</v>
      </c>
      <c r="AI1195" s="36" t="str">
        <f>IF(DadosViagem5[[#This Row],[Dias em manutenção ]]&lt;5,"Dentro do Prazo","Fora do Prazo")</f>
        <v>Fora do Prazo</v>
      </c>
      <c r="AJ1195" s="36" t="e">
        <v>#REF!</v>
      </c>
    </row>
    <row r="1196" spans="1:36">
      <c r="A1196" s="19" t="s">
        <v>2036</v>
      </c>
      <c r="B1196" s="20"/>
      <c r="C1196" s="19" t="s">
        <v>1013</v>
      </c>
      <c r="D1196" s="19" t="s">
        <v>1014</v>
      </c>
      <c r="E1196" s="19" t="s">
        <v>114</v>
      </c>
      <c r="F1196" s="19" t="s">
        <v>115</v>
      </c>
      <c r="G1196" s="19"/>
      <c r="H1196" s="20">
        <v>2022</v>
      </c>
      <c r="I1196" s="19" t="s">
        <v>41</v>
      </c>
      <c r="J1196" s="37" t="s">
        <v>1977</v>
      </c>
      <c r="K1196" s="38" t="s">
        <v>1978</v>
      </c>
      <c r="L1196" s="39" t="s">
        <v>60</v>
      </c>
      <c r="M1196" s="23" t="s">
        <v>268</v>
      </c>
      <c r="N1196" s="36" t="s">
        <v>1979</v>
      </c>
      <c r="O1196" s="36" t="s">
        <v>142</v>
      </c>
      <c r="P1196" s="26">
        <f ca="1">IFERROR(VLOOKUP(DadosViagem5[[#This Row],[Placa]],[1]BIP!A:E,5,FALSE),"")</f>
        <v>45989</v>
      </c>
      <c r="Q1196" s="27">
        <f ca="1">DATEDIF(DadosViagem5[[#This Row],[BIP]],TODAY(),"D")</f>
        <v>1</v>
      </c>
      <c r="R1196" s="28" t="str">
        <f>IFERROR(VLOOKUP(DadosViagem5[[#This Row],[Placa]],[1]DDS!B:C,2,FALSE),"Verificar cadastro")</f>
        <v>Operando</v>
      </c>
      <c r="S1196" s="29" t="s">
        <v>48</v>
      </c>
      <c r="T1196" s="23"/>
      <c r="U1196" s="30"/>
      <c r="V1196" s="31"/>
      <c r="W1196" s="32"/>
      <c r="X1196" s="33"/>
      <c r="Y1196" s="34"/>
      <c r="Z1196" s="32"/>
      <c r="AA1196" s="20" t="s">
        <v>49</v>
      </c>
      <c r="AB1196" s="20" t="s">
        <v>49</v>
      </c>
      <c r="AC1196" s="19" t="s">
        <v>49</v>
      </c>
      <c r="AD1196" s="19" t="str">
        <f ca="1">IFERROR(DATEDIF(DadosViagem5[[#This Row],[Utimo Bip Reserva]],TODAY(),"D"),"")</f>
        <v/>
      </c>
      <c r="AE1196" s="36" t="s">
        <v>49</v>
      </c>
      <c r="AF1196" s="25" t="s">
        <v>49</v>
      </c>
      <c r="AG1196" s="36" t="s">
        <v>540</v>
      </c>
      <c r="AH1196" s="25">
        <v>45807</v>
      </c>
      <c r="AI1196" s="36" t="str">
        <f>IF(DadosViagem5[[#This Row],[Dias em manutenção ]]&lt;5,"Dentro do Prazo","Fora do Prazo")</f>
        <v>Fora do Prazo</v>
      </c>
      <c r="AJ1196" s="36" t="e">
        <v>#REF!</v>
      </c>
    </row>
    <row r="1197" spans="1:36">
      <c r="A1197" s="19" t="s">
        <v>2037</v>
      </c>
      <c r="B1197" s="20"/>
      <c r="C1197" s="19" t="s">
        <v>562</v>
      </c>
      <c r="D1197" s="19" t="s">
        <v>563</v>
      </c>
      <c r="E1197" s="19" t="s">
        <v>114</v>
      </c>
      <c r="F1197" s="19" t="s">
        <v>115</v>
      </c>
      <c r="G1197" s="19"/>
      <c r="H1197" s="20">
        <v>2023</v>
      </c>
      <c r="I1197" s="19" t="s">
        <v>41</v>
      </c>
      <c r="J1197" s="19" t="s">
        <v>1977</v>
      </c>
      <c r="K1197" s="21" t="s">
        <v>1978</v>
      </c>
      <c r="L1197" s="22" t="s">
        <v>60</v>
      </c>
      <c r="M1197" s="23" t="s">
        <v>268</v>
      </c>
      <c r="N1197" s="36" t="s">
        <v>1979</v>
      </c>
      <c r="O1197" s="36" t="s">
        <v>142</v>
      </c>
      <c r="P1197" s="26">
        <f ca="1">IFERROR(VLOOKUP(DadosViagem5[[#This Row],[Placa]],[1]BIP!A:E,5,FALSE),"")</f>
        <v>45989</v>
      </c>
      <c r="Q1197" s="27">
        <f ca="1">DATEDIF(DadosViagem5[[#This Row],[BIP]],TODAY(),"D")</f>
        <v>1</v>
      </c>
      <c r="R1197" s="28" t="str">
        <f>IFERROR(VLOOKUP(DadosViagem5[[#This Row],[Placa]],[1]DDS!B:C,2,FALSE),"Verificar cadastro")</f>
        <v>Operando</v>
      </c>
      <c r="S1197" s="29" t="s">
        <v>48</v>
      </c>
      <c r="T1197" s="23"/>
      <c r="U1197" s="30"/>
      <c r="V1197" s="31"/>
      <c r="W1197" s="32"/>
      <c r="X1197" s="33"/>
      <c r="Y1197" s="34"/>
      <c r="Z1197" s="32"/>
      <c r="AA1197" s="20" t="s">
        <v>49</v>
      </c>
      <c r="AB1197" s="20" t="s">
        <v>49</v>
      </c>
      <c r="AC1197" s="19" t="s">
        <v>49</v>
      </c>
      <c r="AD1197" s="19" t="str">
        <f ca="1">IFERROR(DATEDIF(DadosViagem5[[#This Row],[Utimo Bip Reserva]],TODAY(),"D"),"")</f>
        <v/>
      </c>
      <c r="AE1197" s="36" t="s">
        <v>49</v>
      </c>
      <c r="AF1197" s="25" t="s">
        <v>49</v>
      </c>
      <c r="AG1197" s="36"/>
      <c r="AH1197" s="25">
        <v>45807</v>
      </c>
      <c r="AI1197" s="36" t="str">
        <f>IF(DadosViagem5[[#This Row],[Dias em manutenção ]]&lt;5,"Dentro do Prazo","Fora do Prazo")</f>
        <v>Fora do Prazo</v>
      </c>
      <c r="AJ1197" s="36" t="e">
        <v>#REF!</v>
      </c>
    </row>
    <row r="1198" spans="1:36">
      <c r="A1198" s="19" t="s">
        <v>2038</v>
      </c>
      <c r="B1198" s="20"/>
      <c r="C1198" s="19" t="s">
        <v>131</v>
      </c>
      <c r="D1198" s="19" t="s">
        <v>132</v>
      </c>
      <c r="E1198" s="19" t="s">
        <v>57</v>
      </c>
      <c r="F1198" s="19" t="s">
        <v>40</v>
      </c>
      <c r="G1198" s="19"/>
      <c r="H1198" s="20">
        <v>2022</v>
      </c>
      <c r="I1198" s="19" t="s">
        <v>1183</v>
      </c>
      <c r="J1198" s="19" t="s">
        <v>2039</v>
      </c>
      <c r="K1198" s="21" t="s">
        <v>2040</v>
      </c>
      <c r="L1198" s="22" t="s">
        <v>60</v>
      </c>
      <c r="M1198" s="23" t="s">
        <v>268</v>
      </c>
      <c r="N1198" s="36" t="s">
        <v>2041</v>
      </c>
      <c r="O1198" s="36" t="s">
        <v>1187</v>
      </c>
      <c r="P1198" s="26">
        <f ca="1">IFERROR(VLOOKUP(DadosViagem5[[#This Row],[Placa]],[1]BIP!A:E,5,FALSE),"")</f>
        <v>0</v>
      </c>
      <c r="Q1198" s="27">
        <f ca="1">DATEDIF(DadosViagem5[[#This Row],[BIP]],TODAY(),"D")</f>
        <v>45990</v>
      </c>
      <c r="R1198" s="28" t="str">
        <f>IFERROR(VLOOKUP(DadosViagem5[[#This Row],[Placa]],[1]DDS!B:C,2,FALSE),"Verificar cadastro")</f>
        <v> </v>
      </c>
      <c r="S1198" s="29" t="s">
        <v>48</v>
      </c>
      <c r="T1198" s="23"/>
      <c r="U1198" s="30"/>
      <c r="V1198" s="31"/>
      <c r="W1198" s="32"/>
      <c r="X1198" s="33"/>
      <c r="Y1198" s="34"/>
      <c r="Z1198" s="32"/>
      <c r="AA1198" s="20" t="s">
        <v>49</v>
      </c>
      <c r="AB1198" s="20" t="s">
        <v>49</v>
      </c>
      <c r="AC1198" s="19" t="s">
        <v>49</v>
      </c>
      <c r="AD1198" s="19" t="str">
        <f ca="1">IFERROR(DATEDIF(DadosViagem5[[#This Row],[Utimo Bip Reserva]],TODAY(),"D"),"")</f>
        <v/>
      </c>
      <c r="AE1198" s="36" t="s">
        <v>49</v>
      </c>
      <c r="AF1198" s="25" t="s">
        <v>49</v>
      </c>
      <c r="AG1198" s="36"/>
      <c r="AH1198" s="25">
        <v>45807</v>
      </c>
      <c r="AI1198" s="36" t="str">
        <f>IF(DadosViagem5[[#This Row],[Dias em manutenção ]]&lt;5,"Dentro do Prazo","Fora do Prazo")</f>
        <v>Fora do Prazo</v>
      </c>
      <c r="AJ1198" s="36" t="e">
        <v>#REF!</v>
      </c>
    </row>
    <row r="1199" spans="1:36">
      <c r="A1199" s="19" t="s">
        <v>2042</v>
      </c>
      <c r="B1199" s="20"/>
      <c r="C1199" s="19" t="s">
        <v>131</v>
      </c>
      <c r="D1199" s="19" t="s">
        <v>132</v>
      </c>
      <c r="E1199" s="19" t="s">
        <v>57</v>
      </c>
      <c r="F1199" s="19" t="s">
        <v>40</v>
      </c>
      <c r="G1199" s="19"/>
      <c r="H1199" s="20">
        <v>2022</v>
      </c>
      <c r="I1199" s="19" t="s">
        <v>1183</v>
      </c>
      <c r="J1199" s="19" t="s">
        <v>2039</v>
      </c>
      <c r="K1199" s="21" t="s">
        <v>2040</v>
      </c>
      <c r="L1199" s="22" t="s">
        <v>60</v>
      </c>
      <c r="M1199" s="23" t="s">
        <v>268</v>
      </c>
      <c r="N1199" s="36" t="s">
        <v>2041</v>
      </c>
      <c r="O1199" s="36" t="s">
        <v>1187</v>
      </c>
      <c r="P1199" s="26">
        <f ca="1">IFERROR(VLOOKUP(DadosViagem5[[#This Row],[Placa]],[1]BIP!A:E,5,FALSE),"")</f>
        <v>0</v>
      </c>
      <c r="Q1199" s="27">
        <f ca="1">DATEDIF(DadosViagem5[[#This Row],[BIP]],TODAY(),"D")</f>
        <v>45990</v>
      </c>
      <c r="R1199" s="28" t="str">
        <f>IFERROR(VLOOKUP(DadosViagem5[[#This Row],[Placa]],[1]DDS!B:C,2,FALSE),"Verificar cadastro")</f>
        <v> </v>
      </c>
      <c r="S1199" s="29" t="s">
        <v>48</v>
      </c>
      <c r="T1199" s="23"/>
      <c r="U1199" s="30"/>
      <c r="V1199" s="31"/>
      <c r="W1199" s="32" t="s">
        <v>2043</v>
      </c>
      <c r="X1199" s="33"/>
      <c r="Y1199" s="34"/>
      <c r="Z1199" s="32"/>
      <c r="AA1199" s="20" t="s">
        <v>49</v>
      </c>
      <c r="AB1199" s="20" t="s">
        <v>49</v>
      </c>
      <c r="AC1199" s="19" t="s">
        <v>49</v>
      </c>
      <c r="AD1199" s="19" t="str">
        <f ca="1">IFERROR(DATEDIF(DadosViagem5[[#This Row],[Utimo Bip Reserva]],TODAY(),"D"),"")</f>
        <v/>
      </c>
      <c r="AE1199" s="36" t="s">
        <v>2044</v>
      </c>
      <c r="AF1199" s="25" t="s">
        <v>49</v>
      </c>
      <c r="AG1199" s="36"/>
      <c r="AH1199" s="25">
        <v>45807</v>
      </c>
      <c r="AI1199" s="36" t="str">
        <f>IF(DadosViagem5[[#This Row],[Dias em manutenção ]]&lt;5,"Dentro do Prazo","Fora do Prazo")</f>
        <v>Fora do Prazo</v>
      </c>
      <c r="AJ1199" s="36" t="e">
        <v>#REF!</v>
      </c>
    </row>
    <row r="1200" spans="1:36">
      <c r="A1200" s="19" t="s">
        <v>2045</v>
      </c>
      <c r="B1200" s="20"/>
      <c r="C1200" s="19" t="s">
        <v>131</v>
      </c>
      <c r="D1200" s="19" t="s">
        <v>132</v>
      </c>
      <c r="E1200" s="19" t="s">
        <v>57</v>
      </c>
      <c r="F1200" s="19" t="s">
        <v>40</v>
      </c>
      <c r="G1200" s="19"/>
      <c r="H1200" s="20">
        <v>2022</v>
      </c>
      <c r="I1200" s="19" t="s">
        <v>1183</v>
      </c>
      <c r="J1200" s="19" t="s">
        <v>2039</v>
      </c>
      <c r="K1200" s="21" t="s">
        <v>2040</v>
      </c>
      <c r="L1200" s="22" t="s">
        <v>60</v>
      </c>
      <c r="M1200" s="23" t="s">
        <v>268</v>
      </c>
      <c r="N1200" s="36" t="s">
        <v>2041</v>
      </c>
      <c r="O1200" s="36" t="s">
        <v>1187</v>
      </c>
      <c r="P1200" s="26">
        <f ca="1">IFERROR(VLOOKUP(DadosViagem5[[#This Row],[Placa]],[1]BIP!A:E,5,FALSE),"")</f>
        <v>0</v>
      </c>
      <c r="Q1200" s="27">
        <f ca="1">DATEDIF(DadosViagem5[[#This Row],[BIP]],TODAY(),"D")</f>
        <v>45990</v>
      </c>
      <c r="R1200" s="28" t="str">
        <f>IFERROR(VLOOKUP(DadosViagem5[[#This Row],[Placa]],[1]DDS!B:C,2,FALSE),"Verificar cadastro")</f>
        <v> </v>
      </c>
      <c r="S1200" s="29" t="s">
        <v>48</v>
      </c>
      <c r="T1200" s="23"/>
      <c r="U1200" s="30"/>
      <c r="V1200" s="31"/>
      <c r="W1200" s="32"/>
      <c r="X1200" s="33"/>
      <c r="Y1200" s="34"/>
      <c r="Z1200" s="32"/>
      <c r="AA1200" s="20" t="s">
        <v>49</v>
      </c>
      <c r="AB1200" s="20" t="s">
        <v>49</v>
      </c>
      <c r="AC1200" s="19" t="s">
        <v>49</v>
      </c>
      <c r="AD1200" s="19" t="str">
        <f ca="1">IFERROR(DATEDIF(DadosViagem5[[#This Row],[Utimo Bip Reserva]],TODAY(),"D"),"")</f>
        <v/>
      </c>
      <c r="AE1200" s="36" t="s">
        <v>49</v>
      </c>
      <c r="AF1200" s="25" t="s">
        <v>49</v>
      </c>
      <c r="AG1200" s="36"/>
      <c r="AH1200" s="25">
        <v>45807</v>
      </c>
      <c r="AI1200" s="36" t="str">
        <f>IF(DadosViagem5[[#This Row],[Dias em manutenção ]]&lt;5,"Dentro do Prazo","Fora do Prazo")</f>
        <v>Fora do Prazo</v>
      </c>
      <c r="AJ1200" s="36" t="e">
        <v>#REF!</v>
      </c>
    </row>
    <row r="1201" spans="1:36">
      <c r="A1201" s="19" t="s">
        <v>2046</v>
      </c>
      <c r="B1201" s="20"/>
      <c r="C1201" s="19" t="s">
        <v>131</v>
      </c>
      <c r="D1201" s="19" t="s">
        <v>132</v>
      </c>
      <c r="E1201" s="19" t="s">
        <v>57</v>
      </c>
      <c r="F1201" s="19" t="s">
        <v>40</v>
      </c>
      <c r="G1201" s="19"/>
      <c r="H1201" s="20">
        <v>2022</v>
      </c>
      <c r="I1201" s="19" t="s">
        <v>1183</v>
      </c>
      <c r="J1201" s="19" t="s">
        <v>2039</v>
      </c>
      <c r="K1201" s="21" t="s">
        <v>2040</v>
      </c>
      <c r="L1201" s="22" t="s">
        <v>60</v>
      </c>
      <c r="M1201" s="23" t="s">
        <v>268</v>
      </c>
      <c r="N1201" s="36" t="s">
        <v>2041</v>
      </c>
      <c r="O1201" s="36" t="s">
        <v>1187</v>
      </c>
      <c r="P1201" s="26">
        <f ca="1">IFERROR(VLOOKUP(DadosViagem5[[#This Row],[Placa]],[1]BIP!A:E,5,FALSE),"")</f>
        <v>0</v>
      </c>
      <c r="Q1201" s="27">
        <f ca="1">DATEDIF(DadosViagem5[[#This Row],[BIP]],TODAY(),"D")</f>
        <v>45990</v>
      </c>
      <c r="R1201" s="28" t="str">
        <f>IFERROR(VLOOKUP(DadosViagem5[[#This Row],[Placa]],[1]DDS!B:C,2,FALSE),"Verificar cadastro")</f>
        <v> </v>
      </c>
      <c r="S1201" s="29" t="s">
        <v>48</v>
      </c>
      <c r="T1201" s="23"/>
      <c r="U1201" s="30"/>
      <c r="V1201" s="31"/>
      <c r="W1201" s="32"/>
      <c r="X1201" s="33"/>
      <c r="Y1201" s="34"/>
      <c r="Z1201" s="32"/>
      <c r="AA1201" s="20" t="s">
        <v>49</v>
      </c>
      <c r="AB1201" s="20" t="s">
        <v>49</v>
      </c>
      <c r="AC1201" s="19" t="s">
        <v>49</v>
      </c>
      <c r="AD1201" s="19" t="str">
        <f ca="1">IFERROR(DATEDIF(DadosViagem5[[#This Row],[Utimo Bip Reserva]],TODAY(),"D"),"")</f>
        <v/>
      </c>
      <c r="AE1201" s="36" t="s">
        <v>49</v>
      </c>
      <c r="AF1201" s="25" t="s">
        <v>49</v>
      </c>
      <c r="AG1201" s="36"/>
      <c r="AH1201" s="25">
        <v>45807</v>
      </c>
      <c r="AI1201" s="36" t="str">
        <f>IF(DadosViagem5[[#This Row],[Dias em manutenção ]]&lt;5,"Dentro do Prazo","Fora do Prazo")</f>
        <v>Fora do Prazo</v>
      </c>
      <c r="AJ1201" s="36" t="e">
        <v>#REF!</v>
      </c>
    </row>
    <row r="1202" spans="1:36">
      <c r="A1202" s="19" t="s">
        <v>2047</v>
      </c>
      <c r="B1202" s="20"/>
      <c r="C1202" s="19" t="s">
        <v>74</v>
      </c>
      <c r="D1202" s="19" t="s">
        <v>52</v>
      </c>
      <c r="E1202" s="19" t="s">
        <v>57</v>
      </c>
      <c r="F1202" s="19" t="s">
        <v>396</v>
      </c>
      <c r="G1202" s="19"/>
      <c r="H1202" s="20">
        <v>2023</v>
      </c>
      <c r="I1202" s="19" t="s">
        <v>41</v>
      </c>
      <c r="J1202" s="19" t="s">
        <v>2048</v>
      </c>
      <c r="K1202" s="21" t="s">
        <v>2049</v>
      </c>
      <c r="L1202" s="22" t="s">
        <v>60</v>
      </c>
      <c r="M1202" s="23" t="s">
        <v>77</v>
      </c>
      <c r="N1202" s="36" t="s">
        <v>2050</v>
      </c>
      <c r="O1202" s="36" t="s">
        <v>2050</v>
      </c>
      <c r="P1202" s="26">
        <f ca="1">IFERROR(VLOOKUP(DadosViagem5[[#This Row],[Placa]],[1]BIP!A:E,5,FALSE),"")</f>
        <v>0</v>
      </c>
      <c r="Q1202" s="27">
        <f ca="1">DATEDIF(DadosViagem5[[#This Row],[BIP]],TODAY(),"D")</f>
        <v>45990</v>
      </c>
      <c r="R1202" s="28" t="str">
        <f>IFERROR(VLOOKUP(DadosViagem5[[#This Row],[Placa]],[1]DDS!B:C,2,FALSE),"Verificar cadastro")</f>
        <v>Verificar cadastro</v>
      </c>
      <c r="S1202" s="29" t="s">
        <v>48</v>
      </c>
      <c r="T1202" s="23"/>
      <c r="U1202" s="30"/>
      <c r="V1202" s="31"/>
      <c r="W1202" s="32"/>
      <c r="X1202" s="33"/>
      <c r="Y1202" s="34"/>
      <c r="Z1202" s="93"/>
      <c r="AA1202" s="20" t="s">
        <v>49</v>
      </c>
      <c r="AB1202" s="20" t="s">
        <v>49</v>
      </c>
      <c r="AC1202" s="19" t="s">
        <v>49</v>
      </c>
      <c r="AD1202" s="19" t="str">
        <f ca="1">IFERROR(DATEDIF(DadosViagem5[[#This Row],[Utimo Bip Reserva]],TODAY(),"D"),"")</f>
        <v/>
      </c>
      <c r="AE1202" s="29" t="s">
        <v>49</v>
      </c>
      <c r="AF1202" s="35" t="s">
        <v>49</v>
      </c>
      <c r="AG1202" s="36"/>
      <c r="AH1202" s="25">
        <v>112</v>
      </c>
      <c r="AI1202" s="36" t="str">
        <f>IF(DadosViagem5[[#This Row],[Dias em manutenção ]]&lt;5,"Dentro do Prazo","Fora do Prazo")</f>
        <v>Fora do Prazo</v>
      </c>
      <c r="AJ1202" s="36" t="e">
        <v>#REF!</v>
      </c>
    </row>
    <row r="1203" spans="1:36">
      <c r="A1203" s="19" t="s">
        <v>2051</v>
      </c>
      <c r="B1203" s="20"/>
      <c r="C1203" s="19" t="s">
        <v>74</v>
      </c>
      <c r="D1203" s="19" t="s">
        <v>52</v>
      </c>
      <c r="E1203" s="19" t="s">
        <v>75</v>
      </c>
      <c r="F1203" s="19" t="s">
        <v>76</v>
      </c>
      <c r="G1203" s="19"/>
      <c r="H1203" s="20">
        <v>2023</v>
      </c>
      <c r="I1203" s="19" t="s">
        <v>41</v>
      </c>
      <c r="J1203" s="19" t="s">
        <v>2052</v>
      </c>
      <c r="K1203" s="21" t="s">
        <v>2049</v>
      </c>
      <c r="L1203" s="22" t="s">
        <v>60</v>
      </c>
      <c r="M1203" s="23" t="s">
        <v>77</v>
      </c>
      <c r="N1203" s="25" t="s">
        <v>2053</v>
      </c>
      <c r="O1203" s="25" t="s">
        <v>1713</v>
      </c>
      <c r="P1203" s="26">
        <f ca="1">IFERROR(VLOOKUP(DadosViagem5[[#This Row],[Placa]],[1]BIP!A:E,5,FALSE),"")</f>
        <v>45989</v>
      </c>
      <c r="Q1203" s="27">
        <f ca="1">DATEDIF(DadosViagem5[[#This Row],[BIP]],TODAY(),"D")</f>
        <v>1</v>
      </c>
      <c r="R1203" s="28" t="str">
        <f>IFERROR(VLOOKUP(DadosViagem5[[#This Row],[Placa]],[1]DDS!B:C,2,FALSE),"Verificar cadastro")</f>
        <v>Operando</v>
      </c>
      <c r="S1203" s="29" t="s">
        <v>48</v>
      </c>
      <c r="T1203" s="23"/>
      <c r="U1203" s="30"/>
      <c r="V1203" s="31"/>
      <c r="W1203" s="32"/>
      <c r="X1203" s="33"/>
      <c r="Y1203" s="34"/>
      <c r="Z1203" s="32"/>
      <c r="AA1203" s="20" t="s">
        <v>49</v>
      </c>
      <c r="AB1203" s="20" t="s">
        <v>49</v>
      </c>
      <c r="AC1203" s="20" t="s">
        <v>49</v>
      </c>
      <c r="AD1203" s="20" t="s">
        <v>49</v>
      </c>
      <c r="AE1203" s="29" t="s">
        <v>49</v>
      </c>
      <c r="AF1203" s="35" t="s">
        <v>49</v>
      </c>
      <c r="AG1203" s="36"/>
      <c r="AH1203" s="25">
        <v>45807</v>
      </c>
      <c r="AI1203" s="36" t="str">
        <f>IF(DadosViagem5[[#This Row],[Dias em manutenção ]]&lt;5,"Dentro do Prazo","Fora do Prazo")</f>
        <v>Fora do Prazo</v>
      </c>
      <c r="AJ1203" s="36" t="e">
        <v>#REF!</v>
      </c>
    </row>
    <row r="1204" spans="1:36">
      <c r="A1204" s="19" t="s">
        <v>2054</v>
      </c>
      <c r="B1204" s="20"/>
      <c r="C1204" s="19" t="s">
        <v>37</v>
      </c>
      <c r="D1204" s="19" t="s">
        <v>38</v>
      </c>
      <c r="E1204" s="19" t="s">
        <v>57</v>
      </c>
      <c r="F1204" s="19" t="s">
        <v>40</v>
      </c>
      <c r="G1204" s="19"/>
      <c r="H1204" s="20">
        <v>2022</v>
      </c>
      <c r="I1204" s="19" t="s">
        <v>41</v>
      </c>
      <c r="J1204" s="19" t="s">
        <v>2048</v>
      </c>
      <c r="K1204" s="21" t="s">
        <v>2049</v>
      </c>
      <c r="L1204" s="22" t="s">
        <v>60</v>
      </c>
      <c r="M1204" s="23" t="s">
        <v>140</v>
      </c>
      <c r="N1204" s="36" t="s">
        <v>2050</v>
      </c>
      <c r="O1204" s="36" t="s">
        <v>2050</v>
      </c>
      <c r="P1204" s="26">
        <f ca="1">IFERROR(VLOOKUP(DadosViagem5[[#This Row],[Placa]],[1]BIP!A:E,5,FALSE),"")</f>
        <v>0</v>
      </c>
      <c r="Q1204" s="27">
        <f ca="1">DATEDIF(DadosViagem5[[#This Row],[BIP]],TODAY(),"D")</f>
        <v>45990</v>
      </c>
      <c r="R1204" s="28" t="str">
        <f>IFERROR(VLOOKUP(DadosViagem5[[#This Row],[Placa]],[1]DDS!B:C,2,FALSE),"Verificar cadastro")</f>
        <v>Verificar cadastro</v>
      </c>
      <c r="S1204" s="29" t="s">
        <v>48</v>
      </c>
      <c r="T1204" s="23"/>
      <c r="U1204" s="30"/>
      <c r="V1204" s="31"/>
      <c r="W1204" s="32"/>
      <c r="X1204" s="33"/>
      <c r="Y1204" s="34"/>
      <c r="Z1204" s="32"/>
      <c r="AA1204" s="20" t="s">
        <v>49</v>
      </c>
      <c r="AB1204" s="20" t="s">
        <v>49</v>
      </c>
      <c r="AC1204" s="19" t="s">
        <v>49</v>
      </c>
      <c r="AD1204" s="19" t="str">
        <f ca="1">IFERROR(DATEDIF(DadosViagem5[[#This Row],[Utimo Bip Reserva]],TODAY(),"D"),"")</f>
        <v/>
      </c>
      <c r="AE1204" s="36" t="s">
        <v>49</v>
      </c>
      <c r="AF1204" s="25" t="s">
        <v>49</v>
      </c>
      <c r="AG1204" s="36"/>
      <c r="AH1204" s="25">
        <v>45807</v>
      </c>
      <c r="AI1204" s="36" t="str">
        <f>IF(DadosViagem5[[#This Row],[Dias em manutenção ]]&lt;5,"Dentro do Prazo","Fora do Prazo")</f>
        <v>Fora do Prazo</v>
      </c>
      <c r="AJ1204" s="36" t="e">
        <v>#REF!</v>
      </c>
    </row>
    <row r="1205" spans="1:36">
      <c r="A1205" t="s">
        <v>56</v>
      </c>
      <c r="B1205" s="20">
        <v>405</v>
      </c>
      <c r="C1205" s="19" t="s">
        <v>74</v>
      </c>
      <c r="D1205" s="19" t="s">
        <v>52</v>
      </c>
      <c r="E1205" s="19" t="s">
        <v>57</v>
      </c>
      <c r="F1205" s="19" t="s">
        <v>396</v>
      </c>
      <c r="G1205" s="19"/>
      <c r="H1205" s="20">
        <v>2023</v>
      </c>
      <c r="I1205" s="19" t="s">
        <v>41</v>
      </c>
      <c r="J1205" s="19" t="s">
        <v>2048</v>
      </c>
      <c r="K1205" s="21" t="s">
        <v>2049</v>
      </c>
      <c r="L1205" s="22" t="s">
        <v>60</v>
      </c>
      <c r="M1205" s="23" t="s">
        <v>77</v>
      </c>
      <c r="N1205" s="36" t="s">
        <v>2050</v>
      </c>
      <c r="O1205" s="36" t="s">
        <v>2050</v>
      </c>
      <c r="P1205" s="26">
        <f ca="1">IFERROR(VLOOKUP(DadosViagem5[[#This Row],[Placa]],[1]BIP!A:E,5,FALSE),"")</f>
        <v>0</v>
      </c>
      <c r="Q1205" s="27">
        <f ca="1">DATEDIF(DadosViagem5[[#This Row],[BIP]],TODAY(),"D")</f>
        <v>45990</v>
      </c>
      <c r="R1205" s="28" t="str">
        <f>IFERROR(VLOOKUP(DadosViagem5[[#This Row],[Placa]],[1]DDS!B:C,2,FALSE),"Verificar cadastro")</f>
        <v> </v>
      </c>
      <c r="S1205" s="29" t="s">
        <v>48</v>
      </c>
      <c r="T1205" s="23"/>
      <c r="U1205" s="30"/>
      <c r="V1205" s="31"/>
      <c r="W1205" s="32" t="s">
        <v>2055</v>
      </c>
      <c r="X1205" s="33"/>
      <c r="Y1205" s="34"/>
      <c r="Z1205" s="32"/>
      <c r="AA1205" s="20" t="s">
        <v>49</v>
      </c>
      <c r="AB1205" s="20"/>
      <c r="AC1205" s="19" t="s">
        <v>49</v>
      </c>
      <c r="AD1205" s="19" t="str">
        <f ca="1">IFERROR(DATEDIF(DadosViagem5[[#This Row],[Utimo Bip Reserva]],TODAY(),"D"),"")</f>
        <v/>
      </c>
      <c r="AE1205" s="25" t="s">
        <v>49</v>
      </c>
      <c r="AF1205" s="25" t="s">
        <v>49</v>
      </c>
      <c r="AG1205" s="36"/>
      <c r="AH1205" s="25">
        <v>45807</v>
      </c>
      <c r="AI1205" s="36" t="str">
        <f>IF(DadosViagem5[[#This Row],[Dias em manutenção ]]&lt;5,"Dentro do Prazo","Fora do Prazo")</f>
        <v>Fora do Prazo</v>
      </c>
      <c r="AJ1205" s="36" t="e">
        <v>#REF!</v>
      </c>
    </row>
    <row r="1206" spans="1:36">
      <c r="A1206" s="19" t="s">
        <v>2056</v>
      </c>
      <c r="B1206" s="20"/>
      <c r="C1206" s="19" t="s">
        <v>131</v>
      </c>
      <c r="D1206" s="19" t="s">
        <v>132</v>
      </c>
      <c r="E1206" s="19" t="s">
        <v>57</v>
      </c>
      <c r="F1206" s="19"/>
      <c r="G1206" s="19"/>
      <c r="H1206" s="20">
        <v>2021</v>
      </c>
      <c r="I1206" s="19" t="s">
        <v>1040</v>
      </c>
      <c r="J1206" s="19" t="s">
        <v>2057</v>
      </c>
      <c r="K1206" s="21" t="s">
        <v>2058</v>
      </c>
      <c r="L1206" s="22" t="s">
        <v>60</v>
      </c>
      <c r="M1206" s="23" t="s">
        <v>45</v>
      </c>
      <c r="N1206" s="36" t="s">
        <v>2059</v>
      </c>
      <c r="O1206" s="36" t="s">
        <v>1152</v>
      </c>
      <c r="P1206" s="26" t="str">
        <f>IFERROR(VLOOKUP(DadosViagem5[[#This Row],[Placa]],[1]BIP!A:E,5,FALSE),"")</f>
        <v/>
      </c>
      <c r="Q1206" s="27" t="e">
        <f ca="1">DATEDIF(DadosViagem5[[#This Row],[BIP]],TODAY(),"D")</f>
        <v>#VALUE!</v>
      </c>
      <c r="R1206" s="28" t="str">
        <f>IFERROR(VLOOKUP(DadosViagem5[[#This Row],[Placa]],[1]DDS!B:C,2,FALSE),"Verificar cadastro")</f>
        <v>Verificar cadastro</v>
      </c>
      <c r="S1206" s="29" t="s">
        <v>48</v>
      </c>
      <c r="T1206" s="23"/>
      <c r="U1206" s="30"/>
      <c r="V1206" s="31">
        <v>45938</v>
      </c>
      <c r="W1206" s="32" t="s">
        <v>2060</v>
      </c>
      <c r="X1206" s="33" t="s">
        <v>65</v>
      </c>
      <c r="Y1206" s="34" t="s">
        <v>159</v>
      </c>
      <c r="Z1206" s="32" t="s">
        <v>1810</v>
      </c>
      <c r="AA1206" s="20" t="s">
        <v>49</v>
      </c>
      <c r="AB1206" s="20" t="s">
        <v>49</v>
      </c>
      <c r="AC1206" s="19" t="s">
        <v>49</v>
      </c>
      <c r="AD1206" s="19" t="str">
        <f ca="1">IFERROR(DATEDIF(DadosViagem5[[#This Row],[Utimo Bip Reserva]],TODAY(),"D"),"")</f>
        <v/>
      </c>
      <c r="AE1206" s="23" t="s">
        <v>49</v>
      </c>
      <c r="AF1206" s="30" t="s">
        <v>49</v>
      </c>
      <c r="AG1206" s="23"/>
      <c r="AH1206" s="25">
        <v>45807</v>
      </c>
      <c r="AI1206" s="36" t="str">
        <f>IF(DadosViagem5[[#This Row],[Dias em manutenção ]]&lt;5,"Dentro do Prazo","Fora do Prazo")</f>
        <v>Fora do Prazo</v>
      </c>
      <c r="AJ1206" s="36" t="e">
        <v>#REF!</v>
      </c>
    </row>
    <row r="1207" spans="1:36">
      <c r="A1207" s="19" t="s">
        <v>2061</v>
      </c>
      <c r="B1207" s="20"/>
      <c r="C1207" s="19" t="s">
        <v>671</v>
      </c>
      <c r="D1207" s="19" t="s">
        <v>132</v>
      </c>
      <c r="E1207" s="19" t="s">
        <v>114</v>
      </c>
      <c r="F1207" s="19" t="s">
        <v>115</v>
      </c>
      <c r="G1207" s="19"/>
      <c r="H1207" s="20">
        <v>2022</v>
      </c>
      <c r="I1207" s="19" t="s">
        <v>1040</v>
      </c>
      <c r="J1207" s="19" t="s">
        <v>2057</v>
      </c>
      <c r="K1207" s="21" t="s">
        <v>2058</v>
      </c>
      <c r="L1207" s="22" t="s">
        <v>60</v>
      </c>
      <c r="M1207" s="23" t="s">
        <v>45</v>
      </c>
      <c r="N1207" s="36" t="s">
        <v>2059</v>
      </c>
      <c r="O1207" s="36" t="s">
        <v>1152</v>
      </c>
      <c r="P1207" s="26">
        <f ca="1">IFERROR(VLOOKUP(DadosViagem5[[#This Row],[Placa]],[1]BIP!A:E,5,FALSE),"")</f>
        <v>45989</v>
      </c>
      <c r="Q1207" s="27">
        <f ca="1">DATEDIF(DadosViagem5[[#This Row],[BIP]],TODAY(),"D")</f>
        <v>1</v>
      </c>
      <c r="R1207" s="28" t="str">
        <f>IFERROR(VLOOKUP(DadosViagem5[[#This Row],[Placa]],[1]DDS!B:C,2,FALSE),"Verificar cadastro")</f>
        <v>Operando</v>
      </c>
      <c r="S1207" s="29" t="s">
        <v>48</v>
      </c>
      <c r="T1207" s="23"/>
      <c r="U1207" s="30"/>
      <c r="V1207" s="31">
        <v>45916</v>
      </c>
      <c r="W1207" s="32" t="s">
        <v>2062</v>
      </c>
      <c r="X1207" s="33"/>
      <c r="Y1207" s="34"/>
      <c r="Z1207" s="33"/>
      <c r="AA1207" s="20" t="s">
        <v>49</v>
      </c>
      <c r="AB1207" s="20" t="s">
        <v>49</v>
      </c>
      <c r="AC1207" s="19" t="s">
        <v>49</v>
      </c>
      <c r="AD1207" s="19" t="str">
        <f ca="1">IFERROR(DATEDIF(DadosViagem5[[#This Row],[Utimo Bip Reserva]],TODAY(),"D"),"")</f>
        <v/>
      </c>
      <c r="AE1207" s="36" t="s">
        <v>49</v>
      </c>
      <c r="AF1207" s="25" t="s">
        <v>49</v>
      </c>
      <c r="AG1207" s="36"/>
      <c r="AH1207" s="25">
        <v>45807</v>
      </c>
      <c r="AI1207" s="36" t="str">
        <f>IF(DadosViagem5[[#This Row],[Dias em manutenção ]]&lt;5,"Dentro do Prazo","Fora do Prazo")</f>
        <v>Fora do Prazo</v>
      </c>
      <c r="AJ1207" s="36" t="e">
        <v>#REF!</v>
      </c>
    </row>
    <row r="1208" spans="1:36">
      <c r="A1208" s="19" t="s">
        <v>2063</v>
      </c>
      <c r="B1208" s="20"/>
      <c r="C1208" s="19" t="s">
        <v>671</v>
      </c>
      <c r="D1208" s="19" t="s">
        <v>132</v>
      </c>
      <c r="E1208" s="19" t="s">
        <v>114</v>
      </c>
      <c r="F1208" s="19" t="s">
        <v>115</v>
      </c>
      <c r="G1208" s="19"/>
      <c r="H1208" s="20">
        <v>2022</v>
      </c>
      <c r="I1208" s="19" t="s">
        <v>1040</v>
      </c>
      <c r="J1208" s="19" t="s">
        <v>2057</v>
      </c>
      <c r="K1208" s="21" t="s">
        <v>2058</v>
      </c>
      <c r="L1208" s="22" t="s">
        <v>60</v>
      </c>
      <c r="M1208" s="23" t="s">
        <v>45</v>
      </c>
      <c r="N1208" s="36" t="s">
        <v>2059</v>
      </c>
      <c r="O1208" s="36" t="s">
        <v>1152</v>
      </c>
      <c r="P1208" s="26">
        <f ca="1">IFERROR(VLOOKUP(DadosViagem5[[#This Row],[Placa]],[1]BIP!A:E,5,FALSE),"")</f>
        <v>45989</v>
      </c>
      <c r="Q1208" s="27">
        <f ca="1">DATEDIF(DadosViagem5[[#This Row],[BIP]],TODAY(),"D")</f>
        <v>1</v>
      </c>
      <c r="R1208" s="28" t="str">
        <f>IFERROR(VLOOKUP(DadosViagem5[[#This Row],[Placa]],[1]DDS!B:C,2,FALSE),"Verificar cadastro")</f>
        <v>Operando</v>
      </c>
      <c r="S1208" s="29" t="s">
        <v>48</v>
      </c>
      <c r="T1208" s="23"/>
      <c r="U1208" s="30"/>
      <c r="V1208" s="31"/>
      <c r="W1208" s="32"/>
      <c r="X1208" s="33"/>
      <c r="Y1208" s="34"/>
      <c r="Z1208" s="31"/>
      <c r="AA1208" s="20" t="s">
        <v>49</v>
      </c>
      <c r="AB1208" s="20" t="s">
        <v>49</v>
      </c>
      <c r="AC1208" s="19" t="s">
        <v>49</v>
      </c>
      <c r="AD1208" s="19" t="str">
        <f ca="1">IFERROR(DATEDIF(DadosViagem5[[#This Row],[Utimo Bip Reserva]],TODAY(),"D"),"")</f>
        <v/>
      </c>
      <c r="AE1208" s="23" t="s">
        <v>49</v>
      </c>
      <c r="AF1208" s="30" t="s">
        <v>49</v>
      </c>
      <c r="AG1208" s="23"/>
      <c r="AH1208" s="25">
        <v>45807</v>
      </c>
      <c r="AI1208" s="36" t="str">
        <f>IF(DadosViagem5[[#This Row],[Dias em manutenção ]]&lt;5,"Dentro do Prazo","Fora do Prazo")</f>
        <v>Fora do Prazo</v>
      </c>
      <c r="AJ1208" s="36" t="e">
        <v>#REF!</v>
      </c>
    </row>
    <row r="1209" spans="1:36">
      <c r="A1209" s="19" t="s">
        <v>2064</v>
      </c>
      <c r="B1209" s="20"/>
      <c r="C1209" s="19" t="s">
        <v>37</v>
      </c>
      <c r="D1209" s="19" t="s">
        <v>38</v>
      </c>
      <c r="E1209" s="19" t="s">
        <v>57</v>
      </c>
      <c r="F1209" s="19" t="s">
        <v>40</v>
      </c>
      <c r="G1209" s="19"/>
      <c r="H1209" s="20">
        <v>2021</v>
      </c>
      <c r="I1209" s="19" t="s">
        <v>1040</v>
      </c>
      <c r="J1209" s="19" t="s">
        <v>2057</v>
      </c>
      <c r="K1209" s="21" t="s">
        <v>2058</v>
      </c>
      <c r="L1209" s="22" t="s">
        <v>60</v>
      </c>
      <c r="M1209" s="23" t="s">
        <v>45</v>
      </c>
      <c r="N1209" s="36" t="s">
        <v>2059</v>
      </c>
      <c r="O1209" s="36" t="s">
        <v>1152</v>
      </c>
      <c r="P1209" s="26">
        <f ca="1">IFERROR(VLOOKUP(DadosViagem5[[#This Row],[Placa]],[1]BIP!A:E,5,FALSE),"")</f>
        <v>45989</v>
      </c>
      <c r="Q1209" s="27">
        <f ca="1">DATEDIF(DadosViagem5[[#This Row],[BIP]],TODAY(),"D")</f>
        <v>1</v>
      </c>
      <c r="R1209" s="28" t="str">
        <f>IFERROR(VLOOKUP(DadosViagem5[[#This Row],[Placa]],[1]DDS!B:C,2,FALSE),"Verificar cadastro")</f>
        <v>Operando</v>
      </c>
      <c r="S1209" s="29" t="s">
        <v>48</v>
      </c>
      <c r="T1209" s="23"/>
      <c r="U1209" s="30"/>
      <c r="V1209" s="31"/>
      <c r="W1209" s="32"/>
      <c r="X1209" s="33"/>
      <c r="Y1209" s="34"/>
      <c r="Z1209" s="32"/>
      <c r="AA1209" s="20" t="s">
        <v>49</v>
      </c>
      <c r="AB1209" s="20"/>
      <c r="AC1209" s="19" t="s">
        <v>49</v>
      </c>
      <c r="AD1209" s="19" t="str">
        <f ca="1">IFERROR(DATEDIF(DadosViagem5[[#This Row],[Utimo Bip Reserva]],TODAY(),"D"),"")</f>
        <v/>
      </c>
      <c r="AE1209" s="36" t="s">
        <v>49</v>
      </c>
      <c r="AF1209" s="25" t="s">
        <v>49</v>
      </c>
      <c r="AG1209" s="36"/>
      <c r="AH1209" s="25">
        <v>45807</v>
      </c>
      <c r="AI1209" s="36" t="str">
        <f>IF(DadosViagem5[[#This Row],[Dias em manutenção ]]&lt;5,"Dentro do Prazo","Fora do Prazo")</f>
        <v>Fora do Prazo</v>
      </c>
      <c r="AJ1209" s="36" t="e">
        <v>#REF!</v>
      </c>
    </row>
    <row r="1210" spans="1:36">
      <c r="A1210" s="19" t="s">
        <v>2065</v>
      </c>
      <c r="B1210" s="20"/>
      <c r="C1210" s="19" t="s">
        <v>74</v>
      </c>
      <c r="D1210" s="19" t="s">
        <v>52</v>
      </c>
      <c r="E1210" s="19" t="s">
        <v>75</v>
      </c>
      <c r="F1210" s="19" t="s">
        <v>76</v>
      </c>
      <c r="G1210" s="19"/>
      <c r="H1210" s="20">
        <v>2024</v>
      </c>
      <c r="I1210" s="19" t="s">
        <v>1183</v>
      </c>
      <c r="J1210" s="19" t="e">
        <v>#N/A</v>
      </c>
      <c r="K1210" s="21" t="s">
        <v>2066</v>
      </c>
      <c r="L1210" s="22" t="s">
        <v>60</v>
      </c>
      <c r="M1210" s="23" t="s">
        <v>77</v>
      </c>
      <c r="N1210" s="25" t="s">
        <v>2067</v>
      </c>
      <c r="O1210" s="25" t="s">
        <v>2068</v>
      </c>
      <c r="P1210" s="26">
        <f ca="1">IFERROR(VLOOKUP(DadosViagem5[[#This Row],[Placa]],[1]BIP!A:E,5,FALSE),"")</f>
        <v>45989</v>
      </c>
      <c r="Q1210" s="27">
        <f ca="1">DATEDIF(DadosViagem5[[#This Row],[BIP]],TODAY(),"D")</f>
        <v>1</v>
      </c>
      <c r="R1210" s="28" t="str">
        <f>IFERROR(VLOOKUP(DadosViagem5[[#This Row],[Placa]],[1]DDS!B:C,2,FALSE),"Verificar cadastro")</f>
        <v>Operando</v>
      </c>
      <c r="S1210" s="29" t="s">
        <v>48</v>
      </c>
      <c r="T1210" s="23"/>
      <c r="U1210" s="30"/>
      <c r="V1210" s="31"/>
      <c r="W1210" s="32" t="s">
        <v>2069</v>
      </c>
      <c r="X1210" s="33"/>
      <c r="Y1210" s="34"/>
      <c r="Z1210" s="32"/>
      <c r="AA1210" s="20" t="s">
        <v>49</v>
      </c>
      <c r="AB1210" s="20" t="s">
        <v>49</v>
      </c>
      <c r="AC1210" s="19" t="s">
        <v>49</v>
      </c>
      <c r="AD1210" s="19" t="str">
        <f ca="1">IFERROR(DATEDIF(DadosViagem5[[#This Row],[Utimo Bip Reserva]],TODAY(),"D"),"")</f>
        <v/>
      </c>
      <c r="AE1210" s="25" t="s">
        <v>49</v>
      </c>
      <c r="AF1210" s="25" t="s">
        <v>49</v>
      </c>
      <c r="AG1210" s="36"/>
      <c r="AH1210" s="25">
        <v>45807</v>
      </c>
      <c r="AI1210" s="36" t="str">
        <f>IF(DadosViagem5[[#This Row],[Dias em manutenção ]]&lt;5,"Dentro do Prazo","Fora do Prazo")</f>
        <v>Fora do Prazo</v>
      </c>
      <c r="AJ1210" s="36" t="e">
        <v>#REF!</v>
      </c>
    </row>
    <row r="1211" spans="1:36">
      <c r="A1211" s="19" t="s">
        <v>2070</v>
      </c>
      <c r="B1211" s="20"/>
      <c r="C1211" s="19" t="s">
        <v>131</v>
      </c>
      <c r="D1211" s="19" t="s">
        <v>132</v>
      </c>
      <c r="E1211" s="19" t="s">
        <v>894</v>
      </c>
      <c r="F1211" s="19" t="s">
        <v>115</v>
      </c>
      <c r="G1211" s="19"/>
      <c r="H1211" s="20">
        <v>2022</v>
      </c>
      <c r="I1211" s="19" t="s">
        <v>1738</v>
      </c>
      <c r="J1211" s="19" t="s">
        <v>2071</v>
      </c>
      <c r="K1211" s="21" t="s">
        <v>2072</v>
      </c>
      <c r="L1211" s="22" t="s">
        <v>60</v>
      </c>
      <c r="M1211" s="23" t="s">
        <v>140</v>
      </c>
      <c r="N1211" s="36" t="s">
        <v>2073</v>
      </c>
      <c r="O1211" s="36" t="s">
        <v>2074</v>
      </c>
      <c r="P1211" s="26">
        <f ca="1">IFERROR(VLOOKUP(DadosViagem5[[#This Row],[Placa]],[1]BIP!A:E,5,FALSE),"")</f>
        <v>45861</v>
      </c>
      <c r="Q1211" s="27">
        <f ca="1">DATEDIF(DadosViagem5[[#This Row],[BIP]],TODAY(),"D")</f>
        <v>129</v>
      </c>
      <c r="R1211" s="28" t="str">
        <f>IFERROR(VLOOKUP(DadosViagem5[[#This Row],[Placa]],[1]DDS!B:C,2,FALSE),"Verificar cadastro")</f>
        <v>Manutenção</v>
      </c>
      <c r="S1211" s="36" t="s">
        <v>35</v>
      </c>
      <c r="T1211" s="23">
        <v>6866787</v>
      </c>
      <c r="U1211" s="30">
        <v>45877</v>
      </c>
      <c r="V1211" s="31">
        <v>45862</v>
      </c>
      <c r="W1211" s="32" t="s">
        <v>1567</v>
      </c>
      <c r="X1211" s="33" t="s">
        <v>65</v>
      </c>
      <c r="Y1211" s="34" t="s">
        <v>159</v>
      </c>
      <c r="Z1211" s="42" t="s">
        <v>2075</v>
      </c>
      <c r="AA1211" s="20" t="s">
        <v>49</v>
      </c>
      <c r="AB1211" s="20" t="s">
        <v>49</v>
      </c>
      <c r="AC1211" s="19" t="s">
        <v>49</v>
      </c>
      <c r="AD1211" s="19" t="str">
        <f ca="1">IFERROR(DATEDIF(DadosViagem5[[#This Row],[Utimo Bip Reserva]],TODAY(),"D"),"")</f>
        <v/>
      </c>
      <c r="AE1211" s="25"/>
      <c r="AF1211" s="25"/>
      <c r="AG1211" s="36" t="s">
        <v>540</v>
      </c>
      <c r="AH1211" s="25">
        <v>45807</v>
      </c>
      <c r="AI1211" s="36" t="str">
        <f>IF(DadosViagem5[[#This Row],[Dias em manutenção ]]&lt;5,"Dentro do Prazo","Fora do Prazo")</f>
        <v>Fora do Prazo</v>
      </c>
      <c r="AJ1211" s="36" t="s">
        <v>2076</v>
      </c>
    </row>
    <row r="1212" spans="1:36">
      <c r="A1212" s="19" t="s">
        <v>2077</v>
      </c>
      <c r="B1212" s="20"/>
      <c r="C1212" s="19" t="s">
        <v>74</v>
      </c>
      <c r="D1212" s="19" t="s">
        <v>52</v>
      </c>
      <c r="E1212" s="19" t="s">
        <v>75</v>
      </c>
      <c r="F1212" s="19" t="s">
        <v>76</v>
      </c>
      <c r="G1212" s="19"/>
      <c r="H1212" s="20">
        <v>2023</v>
      </c>
      <c r="I1212" s="19" t="s">
        <v>1738</v>
      </c>
      <c r="J1212" s="19" t="s">
        <v>2052</v>
      </c>
      <c r="K1212" s="21" t="s">
        <v>2072</v>
      </c>
      <c r="L1212" s="22" t="s">
        <v>60</v>
      </c>
      <c r="M1212" s="23" t="s">
        <v>77</v>
      </c>
      <c r="N1212" s="25" t="s">
        <v>2073</v>
      </c>
      <c r="O1212" s="25" t="s">
        <v>2078</v>
      </c>
      <c r="P1212" s="26">
        <f ca="1">IFERROR(VLOOKUP(DadosViagem5[[#This Row],[Placa]],[1]BIP!A:E,5,FALSE),"")</f>
        <v>45989</v>
      </c>
      <c r="Q1212" s="27">
        <f ca="1">DATEDIF(DadosViagem5[[#This Row],[BIP]],TODAY(),"D")</f>
        <v>1</v>
      </c>
      <c r="R1212" s="28" t="str">
        <f>IFERROR(VLOOKUP(DadosViagem5[[#This Row],[Placa]],[1]DDS!B:C,2,FALSE),"Verificar cadastro")</f>
        <v>Operando</v>
      </c>
      <c r="S1212" s="29" t="s">
        <v>48</v>
      </c>
      <c r="T1212" s="23"/>
      <c r="U1212" s="30"/>
      <c r="V1212" s="31"/>
      <c r="W1212" s="32"/>
      <c r="X1212" s="33"/>
      <c r="Y1212" s="34"/>
      <c r="Z1212" s="32"/>
      <c r="AA1212" s="20" t="s">
        <v>49</v>
      </c>
      <c r="AB1212" s="20" t="s">
        <v>49</v>
      </c>
      <c r="AC1212" s="19" t="s">
        <v>49</v>
      </c>
      <c r="AD1212" s="19" t="str">
        <f ca="1">IFERROR(DATEDIF(DadosViagem5[[#This Row],[Utimo Bip Reserva]],TODAY(),"D"),"")</f>
        <v/>
      </c>
      <c r="AE1212" s="25" t="s">
        <v>49</v>
      </c>
      <c r="AF1212" s="25" t="s">
        <v>49</v>
      </c>
      <c r="AG1212" s="36"/>
      <c r="AH1212" s="25">
        <v>6</v>
      </c>
      <c r="AI1212" s="36" t="str">
        <f>IF(DadosViagem5[[#This Row],[Dias em manutenção ]]&lt;5,"Dentro do Prazo","Fora do Prazo")</f>
        <v>Fora do Prazo</v>
      </c>
      <c r="AJ1212" s="36" t="e">
        <v>#REF!</v>
      </c>
    </row>
    <row r="1213" spans="1:36">
      <c r="A1213" s="19" t="s">
        <v>2079</v>
      </c>
      <c r="B1213" s="20"/>
      <c r="C1213" s="19" t="s">
        <v>74</v>
      </c>
      <c r="D1213" s="19" t="s">
        <v>52</v>
      </c>
      <c r="E1213" s="19" t="s">
        <v>75</v>
      </c>
      <c r="F1213" s="19" t="s">
        <v>76</v>
      </c>
      <c r="G1213" s="19"/>
      <c r="H1213" s="20">
        <v>2024</v>
      </c>
      <c r="I1213" s="19" t="s">
        <v>1738</v>
      </c>
      <c r="J1213" s="19" t="s">
        <v>2052</v>
      </c>
      <c r="K1213" s="101" t="s">
        <v>2072</v>
      </c>
      <c r="L1213" s="22" t="s">
        <v>60</v>
      </c>
      <c r="M1213" s="23" t="s">
        <v>77</v>
      </c>
      <c r="N1213" s="36" t="s">
        <v>2073</v>
      </c>
      <c r="O1213" s="36" t="s">
        <v>2074</v>
      </c>
      <c r="P1213" s="26">
        <f ca="1">IFERROR(VLOOKUP(DadosViagem5[[#This Row],[Placa]],[1]BIP!A:E,5,FALSE),"")</f>
        <v>45989</v>
      </c>
      <c r="Q1213" s="27">
        <f ca="1">DATEDIF(DadosViagem5[[#This Row],[BIP]],TODAY(),"D")</f>
        <v>1</v>
      </c>
      <c r="R1213" s="28" t="str">
        <f>IFERROR(VLOOKUP(DadosViagem5[[#This Row],[Placa]],[1]DDS!B:C,2,FALSE),"Verificar cadastro")</f>
        <v>Operando</v>
      </c>
      <c r="S1213" s="29" t="s">
        <v>48</v>
      </c>
      <c r="T1213" s="23"/>
      <c r="U1213" s="30"/>
      <c r="V1213" s="31"/>
      <c r="W1213" s="32"/>
      <c r="X1213" s="33"/>
      <c r="Y1213" s="34"/>
      <c r="Z1213" s="32"/>
      <c r="AA1213" s="20" t="s">
        <v>49</v>
      </c>
      <c r="AB1213" s="20" t="s">
        <v>49</v>
      </c>
      <c r="AC1213" s="19" t="s">
        <v>49</v>
      </c>
      <c r="AD1213" s="19" t="str">
        <f ca="1">IFERROR(DATEDIF(DadosViagem5[[#This Row],[Utimo Bip Reserva]],TODAY(),"D"),"")</f>
        <v/>
      </c>
      <c r="AE1213" s="25" t="s">
        <v>49</v>
      </c>
      <c r="AF1213" s="25" t="s">
        <v>49</v>
      </c>
      <c r="AG1213" s="36"/>
      <c r="AH1213" s="25">
        <v>45807</v>
      </c>
      <c r="AI1213" s="36" t="str">
        <f>IF(DadosViagem5[[#This Row],[Dias em manutenção ]]&lt;5,"Dentro do Prazo","Fora do Prazo")</f>
        <v>Fora do Prazo</v>
      </c>
      <c r="AJ1213" s="36" t="e">
        <v>#REF!</v>
      </c>
    </row>
    <row r="1214" spans="1:36">
      <c r="A1214" s="19" t="s">
        <v>2080</v>
      </c>
      <c r="B1214" s="20"/>
      <c r="C1214" s="19" t="s">
        <v>74</v>
      </c>
      <c r="D1214" s="19" t="s">
        <v>52</v>
      </c>
      <c r="E1214" s="19" t="s">
        <v>75</v>
      </c>
      <c r="F1214" s="19" t="s">
        <v>76</v>
      </c>
      <c r="G1214" s="19"/>
      <c r="H1214" s="20">
        <v>2024</v>
      </c>
      <c r="I1214" s="19" t="s">
        <v>1738</v>
      </c>
      <c r="J1214" s="19" t="s">
        <v>2071</v>
      </c>
      <c r="K1214" s="101" t="s">
        <v>2072</v>
      </c>
      <c r="L1214" s="22" t="s">
        <v>60</v>
      </c>
      <c r="M1214" s="23" t="s">
        <v>77</v>
      </c>
      <c r="N1214" s="36" t="s">
        <v>2073</v>
      </c>
      <c r="O1214" s="36" t="s">
        <v>2074</v>
      </c>
      <c r="P1214" s="26">
        <f ca="1">IFERROR(VLOOKUP(DadosViagem5[[#This Row],[Placa]],[1]BIP!A:E,5,FALSE),"")</f>
        <v>45989</v>
      </c>
      <c r="Q1214" s="27">
        <f ca="1">DATEDIF(DadosViagem5[[#This Row],[BIP]],TODAY(),"D")</f>
        <v>1</v>
      </c>
      <c r="R1214" s="28" t="str">
        <f>IFERROR(VLOOKUP(DadosViagem5[[#This Row],[Placa]],[1]DDS!B:C,2,FALSE),"Verificar cadastro")</f>
        <v>Operando</v>
      </c>
      <c r="S1214" s="29" t="s">
        <v>48</v>
      </c>
      <c r="T1214" s="23"/>
      <c r="U1214" s="30"/>
      <c r="V1214" s="31"/>
      <c r="W1214" s="32"/>
      <c r="X1214" s="33"/>
      <c r="Y1214" s="34"/>
      <c r="Z1214" s="32"/>
      <c r="AA1214" s="20" t="s">
        <v>49</v>
      </c>
      <c r="AB1214" s="20" t="s">
        <v>49</v>
      </c>
      <c r="AC1214" s="19" t="s">
        <v>49</v>
      </c>
      <c r="AD1214" s="19" t="str">
        <f ca="1">IFERROR(DATEDIF(DadosViagem5[[#This Row],[Utimo Bip Reserva]],TODAY(),"D"),"")</f>
        <v/>
      </c>
      <c r="AE1214" s="36"/>
      <c r="AF1214" s="25"/>
      <c r="AG1214" s="36"/>
      <c r="AH1214" s="25">
        <v>45807</v>
      </c>
      <c r="AI1214" s="36" t="str">
        <f>IF(DadosViagem5[[#This Row],[Dias em manutenção ]]&lt;5,"Dentro do Prazo","Fora do Prazo")</f>
        <v>Fora do Prazo</v>
      </c>
      <c r="AJ1214" s="36" t="e">
        <v>#REF!</v>
      </c>
    </row>
    <row r="1215" spans="1:36">
      <c r="A1215" s="19" t="s">
        <v>2081</v>
      </c>
      <c r="B1215" s="20"/>
      <c r="C1215" s="19" t="s">
        <v>88</v>
      </c>
      <c r="D1215" s="19" t="s">
        <v>52</v>
      </c>
      <c r="E1215" s="19" t="s">
        <v>114</v>
      </c>
      <c r="F1215" s="19" t="s">
        <v>115</v>
      </c>
      <c r="G1215" s="19"/>
      <c r="H1215" s="20">
        <v>2021</v>
      </c>
      <c r="I1215" s="19" t="s">
        <v>41</v>
      </c>
      <c r="J1215" s="19" t="s">
        <v>2082</v>
      </c>
      <c r="K1215" s="21" t="s">
        <v>2083</v>
      </c>
      <c r="L1215" s="22" t="s">
        <v>60</v>
      </c>
      <c r="M1215" s="23" t="s">
        <v>470</v>
      </c>
      <c r="N1215" s="36" t="s">
        <v>1106</v>
      </c>
      <c r="O1215" s="36" t="s">
        <v>872</v>
      </c>
      <c r="P1215" s="26">
        <f ca="1">IFERROR(VLOOKUP(DadosViagem5[[#This Row],[Placa]],[1]BIP!A:E,5,FALSE),"")</f>
        <v>45962</v>
      </c>
      <c r="Q1215" s="27">
        <f ca="1">DATEDIF(DadosViagem5[[#This Row],[BIP]],TODAY(),"D")</f>
        <v>28</v>
      </c>
      <c r="R1215" s="28" t="str">
        <f>IFERROR(VLOOKUP(DadosViagem5[[#This Row],[Placa]],[1]DDS!B:C,2,FALSE),"Verificar cadastro")</f>
        <v>Manutenção</v>
      </c>
      <c r="S1215" s="29" t="s">
        <v>48</v>
      </c>
      <c r="T1215" s="23"/>
      <c r="U1215" s="30"/>
      <c r="V1215" s="31"/>
      <c r="W1215" s="32" t="s">
        <v>608</v>
      </c>
      <c r="X1215" s="33"/>
      <c r="Y1215" s="34"/>
      <c r="Z1215" s="58"/>
      <c r="AA1215" s="20" t="s">
        <v>49</v>
      </c>
      <c r="AB1215" s="20" t="s">
        <v>49</v>
      </c>
      <c r="AC1215" s="19" t="s">
        <v>49</v>
      </c>
      <c r="AD1215" s="19" t="str">
        <f ca="1">IFERROR(DATEDIF(DadosViagem5[[#This Row],[Utimo Bip Reserva]],TODAY(),"D"),"")</f>
        <v/>
      </c>
      <c r="AE1215" s="36" t="s">
        <v>49</v>
      </c>
      <c r="AF1215" s="25" t="s">
        <v>49</v>
      </c>
      <c r="AG1215" s="36"/>
      <c r="AH1215" s="25">
        <v>45807</v>
      </c>
      <c r="AI1215" s="36" t="str">
        <f>IF(DadosViagem5[[#This Row],[Dias em manutenção ]]&lt;5,"Dentro do Prazo","Fora do Prazo")</f>
        <v>Fora do Prazo</v>
      </c>
      <c r="AJ1215" s="36" t="e">
        <v>#REF!</v>
      </c>
    </row>
    <row r="1216" spans="1:36">
      <c r="A1216" s="19" t="s">
        <v>2084</v>
      </c>
      <c r="B1216" s="20"/>
      <c r="C1216" s="19" t="s">
        <v>71</v>
      </c>
      <c r="D1216" s="19" t="s">
        <v>38</v>
      </c>
      <c r="E1216" s="19" t="s">
        <v>699</v>
      </c>
      <c r="F1216" s="19" t="s">
        <v>115</v>
      </c>
      <c r="G1216" s="19"/>
      <c r="H1216" s="20">
        <v>2023</v>
      </c>
      <c r="I1216" s="19" t="s">
        <v>41</v>
      </c>
      <c r="J1216" s="19" t="s">
        <v>2082</v>
      </c>
      <c r="K1216" s="21" t="s">
        <v>2083</v>
      </c>
      <c r="L1216" s="22" t="s">
        <v>60</v>
      </c>
      <c r="M1216" s="23" t="s">
        <v>470</v>
      </c>
      <c r="N1216" s="24" t="s">
        <v>1106</v>
      </c>
      <c r="O1216" s="36" t="s">
        <v>872</v>
      </c>
      <c r="P1216" s="26">
        <f ca="1">IFERROR(VLOOKUP(DadosViagem5[[#This Row],[Placa]],[1]BIP!A:E,5,FALSE),"")</f>
        <v>45977</v>
      </c>
      <c r="Q1216" s="27">
        <f ca="1">DATEDIF(DadosViagem5[[#This Row],[BIP]],TODAY(),"D")</f>
        <v>13</v>
      </c>
      <c r="R1216" s="28" t="str">
        <f>IFERROR(VLOOKUP(DadosViagem5[[#This Row],[Placa]],[1]DDS!B:C,2,FALSE),"Verificar cadastro")</f>
        <v>Manutenção</v>
      </c>
      <c r="S1216" s="29" t="s">
        <v>2085</v>
      </c>
      <c r="T1216" s="23"/>
      <c r="U1216" s="30"/>
      <c r="V1216" s="31"/>
      <c r="W1216" s="32"/>
      <c r="X1216" s="33"/>
      <c r="Y1216" s="34"/>
      <c r="Z1216" s="32"/>
      <c r="AA1216" s="20" t="s">
        <v>49</v>
      </c>
      <c r="AB1216" s="20" t="s">
        <v>49</v>
      </c>
      <c r="AC1216" s="19" t="s">
        <v>49</v>
      </c>
      <c r="AD1216" s="19" t="str">
        <f ca="1">IFERROR(DATEDIF(DadosViagem5[[#This Row],[Utimo Bip Reserva]],TODAY(),"D"),"")</f>
        <v/>
      </c>
      <c r="AE1216" s="25" t="s">
        <v>49</v>
      </c>
      <c r="AF1216" s="25" t="s">
        <v>49</v>
      </c>
      <c r="AG1216" s="36"/>
      <c r="AH1216" s="25">
        <v>45807</v>
      </c>
      <c r="AI1216" s="36" t="str">
        <f>IF(DadosViagem5[[#This Row],[Dias em manutenção ]]&lt;5,"Dentro do Prazo","Fora do Prazo")</f>
        <v>Fora do Prazo</v>
      </c>
      <c r="AJ1216" s="36" t="e">
        <v>#REF!</v>
      </c>
    </row>
    <row r="1217" spans="1:36">
      <c r="A1217" s="19" t="s">
        <v>2086</v>
      </c>
      <c r="B1217" s="20"/>
      <c r="C1217" s="19" t="s">
        <v>71</v>
      </c>
      <c r="D1217" s="19" t="s">
        <v>38</v>
      </c>
      <c r="E1217" s="19" t="s">
        <v>699</v>
      </c>
      <c r="F1217" s="19" t="s">
        <v>115</v>
      </c>
      <c r="G1217" s="19"/>
      <c r="H1217" s="20">
        <v>2023</v>
      </c>
      <c r="I1217" s="19" t="s">
        <v>41</v>
      </c>
      <c r="J1217" s="19" t="s">
        <v>2082</v>
      </c>
      <c r="K1217" s="21" t="s">
        <v>2083</v>
      </c>
      <c r="L1217" s="22" t="s">
        <v>60</v>
      </c>
      <c r="M1217" s="23" t="s">
        <v>470</v>
      </c>
      <c r="N1217" s="24" t="s">
        <v>1106</v>
      </c>
      <c r="O1217" s="36" t="s">
        <v>872</v>
      </c>
      <c r="P1217" s="26">
        <f ca="1">IFERROR(VLOOKUP(DadosViagem5[[#This Row],[Placa]],[1]BIP!A:E,5,FALSE),"")</f>
        <v>45989</v>
      </c>
      <c r="Q1217" s="27">
        <f ca="1">DATEDIF(DadosViagem5[[#This Row],[BIP]],TODAY(),"D")</f>
        <v>1</v>
      </c>
      <c r="R1217" s="28" t="str">
        <f>IFERROR(VLOOKUP(DadosViagem5[[#This Row],[Placa]],[1]DDS!B:C,2,FALSE),"Verificar cadastro")</f>
        <v>Operando</v>
      </c>
      <c r="S1217" s="29" t="s">
        <v>48</v>
      </c>
      <c r="T1217" s="23"/>
      <c r="U1217" s="30"/>
      <c r="V1217" s="31"/>
      <c r="W1217" s="32"/>
      <c r="X1217" s="33"/>
      <c r="Y1217" s="34"/>
      <c r="Z1217" s="32"/>
      <c r="AA1217" s="20" t="s">
        <v>49</v>
      </c>
      <c r="AB1217" s="20" t="s">
        <v>49</v>
      </c>
      <c r="AC1217" s="19" t="s">
        <v>49</v>
      </c>
      <c r="AD1217" s="19" t="str">
        <f ca="1">IFERROR(DATEDIF(DadosViagem5[[#This Row],[Utimo Bip Reserva]],TODAY(),"D"),"")</f>
        <v/>
      </c>
      <c r="AE1217" s="25" t="s">
        <v>49</v>
      </c>
      <c r="AF1217" s="25" t="s">
        <v>49</v>
      </c>
      <c r="AG1217" s="36"/>
      <c r="AH1217" s="25">
        <v>45807</v>
      </c>
      <c r="AI1217" s="36" t="str">
        <f>IF(DadosViagem5[[#This Row],[Dias em manutenção ]]&lt;5,"Dentro do Prazo","Fora do Prazo")</f>
        <v>Fora do Prazo</v>
      </c>
      <c r="AJ1217" s="36" t="e">
        <v>#REF!</v>
      </c>
    </row>
    <row r="1218" spans="1:36">
      <c r="A1218" s="19" t="s">
        <v>2087</v>
      </c>
      <c r="B1218" s="20"/>
      <c r="C1218" s="19" t="s">
        <v>71</v>
      </c>
      <c r="D1218" s="19" t="s">
        <v>38</v>
      </c>
      <c r="E1218" s="19" t="s">
        <v>699</v>
      </c>
      <c r="F1218" s="19" t="s">
        <v>115</v>
      </c>
      <c r="G1218" s="19"/>
      <c r="H1218" s="20">
        <v>2023</v>
      </c>
      <c r="I1218" s="19" t="s">
        <v>41</v>
      </c>
      <c r="J1218" s="19" t="s">
        <v>2082</v>
      </c>
      <c r="K1218" s="21" t="s">
        <v>2083</v>
      </c>
      <c r="L1218" s="22" t="s">
        <v>60</v>
      </c>
      <c r="M1218" s="23" t="s">
        <v>470</v>
      </c>
      <c r="N1218" s="36" t="s">
        <v>1106</v>
      </c>
      <c r="O1218" s="36" t="s">
        <v>872</v>
      </c>
      <c r="P1218" s="26">
        <f ca="1">IFERROR(VLOOKUP(DadosViagem5[[#This Row],[Placa]],[1]BIP!A:E,5,FALSE),"")</f>
        <v>45989</v>
      </c>
      <c r="Q1218" s="27">
        <f ca="1">DATEDIF(DadosViagem5[[#This Row],[BIP]],TODAY(),"D")</f>
        <v>1</v>
      </c>
      <c r="R1218" s="28" t="str">
        <f>IFERROR(VLOOKUP(DadosViagem5[[#This Row],[Placa]],[1]DDS!B:C,2,FALSE),"Verificar cadastro")</f>
        <v>Operando</v>
      </c>
      <c r="S1218" s="29" t="s">
        <v>48</v>
      </c>
      <c r="T1218" s="23"/>
      <c r="U1218" s="30"/>
      <c r="V1218" s="31"/>
      <c r="W1218" s="32"/>
      <c r="X1218" s="33"/>
      <c r="Y1218" s="34"/>
      <c r="Z1218" s="32"/>
      <c r="AA1218" s="20" t="s">
        <v>49</v>
      </c>
      <c r="AB1218" s="20" t="s">
        <v>49</v>
      </c>
      <c r="AC1218" s="20" t="s">
        <v>49</v>
      </c>
      <c r="AD1218" s="20" t="s">
        <v>49</v>
      </c>
      <c r="AE1218" s="35" t="s">
        <v>49</v>
      </c>
      <c r="AF1218" s="35" t="s">
        <v>49</v>
      </c>
      <c r="AG1218" s="36"/>
      <c r="AH1218" s="25">
        <v>45807</v>
      </c>
      <c r="AI1218" s="36" t="str">
        <f>IF(DadosViagem5[[#This Row],[Dias em manutenção ]]&lt;5,"Dentro do Prazo","Fora do Prazo")</f>
        <v>Fora do Prazo</v>
      </c>
      <c r="AJ1218" s="36" t="e">
        <v>#REF!</v>
      </c>
    </row>
    <row r="1219" spans="1:36">
      <c r="A1219" s="19" t="s">
        <v>2088</v>
      </c>
      <c r="B1219" s="20"/>
      <c r="C1219" s="19" t="s">
        <v>671</v>
      </c>
      <c r="D1219" s="19" t="s">
        <v>132</v>
      </c>
      <c r="E1219" s="19" t="s">
        <v>114</v>
      </c>
      <c r="F1219" s="19" t="s">
        <v>115</v>
      </c>
      <c r="G1219" s="19"/>
      <c r="H1219" s="20">
        <v>2022</v>
      </c>
      <c r="I1219" s="19" t="s">
        <v>1183</v>
      </c>
      <c r="J1219" s="19" t="s">
        <v>2089</v>
      </c>
      <c r="K1219" s="21" t="s">
        <v>2090</v>
      </c>
      <c r="L1219" s="22" t="s">
        <v>60</v>
      </c>
      <c r="M1219" s="23" t="s">
        <v>268</v>
      </c>
      <c r="N1219" s="36" t="s">
        <v>2091</v>
      </c>
      <c r="O1219" s="36" t="s">
        <v>2068</v>
      </c>
      <c r="P1219" s="26">
        <f ca="1">IFERROR(VLOOKUP(DadosViagem5[[#This Row],[Placa]],[1]BIP!A:E,5,FALSE),"")</f>
        <v>45878</v>
      </c>
      <c r="Q1219" s="27">
        <f ca="1">DATEDIF(DadosViagem5[[#This Row],[BIP]],TODAY(),"D")</f>
        <v>112</v>
      </c>
      <c r="R1219" s="28" t="str">
        <f>IFERROR(VLOOKUP(DadosViagem5[[#This Row],[Placa]],[1]DDS!B:C,2,FALSE),"Verificar cadastro")</f>
        <v>Manutenção</v>
      </c>
      <c r="S1219" s="36" t="s">
        <v>186</v>
      </c>
      <c r="T1219" s="23"/>
      <c r="U1219" s="30"/>
      <c r="V1219" s="31">
        <v>45879</v>
      </c>
      <c r="W1219" s="149" t="s">
        <v>2092</v>
      </c>
      <c r="X1219" s="57" t="s">
        <v>188</v>
      </c>
      <c r="Y1219" s="34" t="s">
        <v>66</v>
      </c>
      <c r="Z1219" s="58" t="s">
        <v>189</v>
      </c>
      <c r="AA1219" s="20" t="s">
        <v>49</v>
      </c>
      <c r="AB1219" s="20" t="s">
        <v>49</v>
      </c>
      <c r="AC1219" s="19" t="s">
        <v>49</v>
      </c>
      <c r="AD1219" s="19" t="str">
        <f ca="1">IFERROR(DATEDIF(DadosViagem5[[#This Row],[Utimo Bip Reserva]],TODAY(),"D"),"")</f>
        <v/>
      </c>
      <c r="AE1219" s="36" t="s">
        <v>49</v>
      </c>
      <c r="AF1219" s="25" t="s">
        <v>49</v>
      </c>
      <c r="AG1219" s="36" t="s">
        <v>540</v>
      </c>
      <c r="AH1219" s="25">
        <v>45807</v>
      </c>
      <c r="AI1219" s="36" t="str">
        <f>IF(DadosViagem5[[#This Row],[Dias em manutenção ]]&lt;5,"Dentro do Prazo","Fora do Prazo")</f>
        <v>Fora do Prazo</v>
      </c>
      <c r="AJ1219" s="36" t="e">
        <v>#REF!</v>
      </c>
    </row>
    <row r="1220" spans="1:36">
      <c r="A1220" s="19" t="s">
        <v>2093</v>
      </c>
      <c r="B1220" s="20"/>
      <c r="C1220" s="19" t="s">
        <v>671</v>
      </c>
      <c r="D1220" s="19" t="s">
        <v>132</v>
      </c>
      <c r="E1220" s="19" t="s">
        <v>114</v>
      </c>
      <c r="F1220" s="19" t="s">
        <v>115</v>
      </c>
      <c r="G1220" s="19"/>
      <c r="H1220" s="20">
        <v>2022</v>
      </c>
      <c r="I1220" s="19" t="s">
        <v>1183</v>
      </c>
      <c r="J1220" s="19" t="s">
        <v>2089</v>
      </c>
      <c r="K1220" s="21" t="s">
        <v>2090</v>
      </c>
      <c r="L1220" s="22" t="s">
        <v>60</v>
      </c>
      <c r="M1220" s="23" t="s">
        <v>268</v>
      </c>
      <c r="N1220" s="36" t="s">
        <v>2091</v>
      </c>
      <c r="O1220" s="36" t="s">
        <v>1187</v>
      </c>
      <c r="P1220" s="26">
        <f ca="1">IFERROR(VLOOKUP(DadosViagem5[[#This Row],[Placa]],[1]BIP!A:E,5,FALSE),"")</f>
        <v>45989</v>
      </c>
      <c r="Q1220" s="27">
        <f ca="1">DATEDIF(DadosViagem5[[#This Row],[BIP]],TODAY(),"D")</f>
        <v>1</v>
      </c>
      <c r="R1220" s="28" t="str">
        <f>IFERROR(VLOOKUP(DadosViagem5[[#This Row],[Placa]],[1]DDS!B:C,2,FALSE),"Verificar cadastro")</f>
        <v>Operando</v>
      </c>
      <c r="S1220" s="29" t="s">
        <v>48</v>
      </c>
      <c r="T1220" s="23"/>
      <c r="U1220" s="30"/>
      <c r="V1220" s="31"/>
      <c r="W1220" s="32"/>
      <c r="X1220" s="33"/>
      <c r="Y1220" s="34"/>
      <c r="Z1220" s="32"/>
      <c r="AA1220" s="20" t="s">
        <v>49</v>
      </c>
      <c r="AB1220" s="20" t="s">
        <v>49</v>
      </c>
      <c r="AC1220" s="19" t="s">
        <v>49</v>
      </c>
      <c r="AD1220" s="19" t="str">
        <f ca="1">IFERROR(DATEDIF(DadosViagem5[[#This Row],[Utimo Bip Reserva]],TODAY(),"D"),"")</f>
        <v/>
      </c>
      <c r="AE1220" s="36" t="s">
        <v>49</v>
      </c>
      <c r="AF1220" s="25" t="s">
        <v>49</v>
      </c>
      <c r="AG1220" s="36"/>
      <c r="AH1220" s="25">
        <v>45807</v>
      </c>
      <c r="AI1220" s="36" t="str">
        <f>IF(DadosViagem5[[#This Row],[Dias em manutenção ]]&lt;5,"Dentro do Prazo","Fora do Prazo")</f>
        <v>Fora do Prazo</v>
      </c>
      <c r="AJ1220" s="36" t="e">
        <v>#REF!</v>
      </c>
    </row>
    <row r="1221" spans="1:36">
      <c r="A1221" s="19" t="s">
        <v>2094</v>
      </c>
      <c r="B1221" s="20"/>
      <c r="C1221" s="19" t="s">
        <v>671</v>
      </c>
      <c r="D1221" s="19" t="s">
        <v>132</v>
      </c>
      <c r="E1221" s="19" t="s">
        <v>114</v>
      </c>
      <c r="F1221" s="19" t="s">
        <v>115</v>
      </c>
      <c r="G1221" s="19"/>
      <c r="H1221" s="20">
        <v>2022</v>
      </c>
      <c r="I1221" s="19" t="s">
        <v>1183</v>
      </c>
      <c r="J1221" s="19" t="s">
        <v>2089</v>
      </c>
      <c r="K1221" s="21" t="s">
        <v>2090</v>
      </c>
      <c r="L1221" s="22" t="s">
        <v>60</v>
      </c>
      <c r="M1221" s="23" t="s">
        <v>268</v>
      </c>
      <c r="N1221" s="36" t="s">
        <v>2091</v>
      </c>
      <c r="O1221" s="36" t="s">
        <v>1187</v>
      </c>
      <c r="P1221" s="26">
        <f ca="1">IFERROR(VLOOKUP(DadosViagem5[[#This Row],[Placa]],[1]BIP!A:E,5,FALSE),"")</f>
        <v>45912</v>
      </c>
      <c r="Q1221" s="27">
        <f ca="1">DATEDIF(DadosViagem5[[#This Row],[BIP]],TODAY(),"D")</f>
        <v>78</v>
      </c>
      <c r="R1221" s="28" t="str">
        <f>IFERROR(VLOOKUP(DadosViagem5[[#This Row],[Placa]],[1]DDS!B:C,2,FALSE),"Verificar cadastro")</f>
        <v> </v>
      </c>
      <c r="S1221" s="36" t="s">
        <v>574</v>
      </c>
      <c r="T1221" s="23"/>
      <c r="U1221" s="30"/>
      <c r="V1221" s="31"/>
      <c r="W1221" s="32" t="s">
        <v>2095</v>
      </c>
      <c r="X1221" s="33"/>
      <c r="Y1221" s="34"/>
      <c r="Z1221" s="32"/>
      <c r="AA1221" s="20" t="s">
        <v>49</v>
      </c>
      <c r="AB1221" s="20" t="s">
        <v>49</v>
      </c>
      <c r="AC1221" s="19" t="s">
        <v>49</v>
      </c>
      <c r="AD1221" s="19" t="str">
        <f ca="1">IFERROR(DATEDIF(DadosViagem5[[#This Row],[Utimo Bip Reserva]],TODAY(),"D"),"")</f>
        <v/>
      </c>
      <c r="AE1221" s="36" t="s">
        <v>49</v>
      </c>
      <c r="AF1221" s="25" t="s">
        <v>49</v>
      </c>
      <c r="AG1221" s="36"/>
      <c r="AH1221" s="25">
        <v>3</v>
      </c>
      <c r="AI1221" s="36" t="str">
        <f>IF(DadosViagem5[[#This Row],[Dias em manutenção ]]&lt;5,"Dentro do Prazo","Fora do Prazo")</f>
        <v>Dentro do Prazo</v>
      </c>
      <c r="AJ1221" s="36" t="e">
        <v>#REF!</v>
      </c>
    </row>
    <row r="1222" spans="1:36">
      <c r="A1222" s="19" t="s">
        <v>2096</v>
      </c>
      <c r="B1222" s="20"/>
      <c r="C1222" s="19" t="s">
        <v>225</v>
      </c>
      <c r="D1222" s="19" t="s">
        <v>38</v>
      </c>
      <c r="E1222" s="19" t="s">
        <v>39</v>
      </c>
      <c r="F1222" s="19" t="s">
        <v>106</v>
      </c>
      <c r="G1222" s="19"/>
      <c r="H1222" s="20">
        <v>2024</v>
      </c>
      <c r="I1222" s="19" t="s">
        <v>1183</v>
      </c>
      <c r="J1222" s="19" t="s">
        <v>2089</v>
      </c>
      <c r="K1222" s="21" t="s">
        <v>2090</v>
      </c>
      <c r="L1222" s="22" t="s">
        <v>60</v>
      </c>
      <c r="M1222" s="23" t="s">
        <v>268</v>
      </c>
      <c r="N1222" s="36" t="s">
        <v>2091</v>
      </c>
      <c r="O1222" s="36" t="s">
        <v>2068</v>
      </c>
      <c r="P1222" s="26">
        <f ca="1">IFERROR(VLOOKUP(DadosViagem5[[#This Row],[Placa]],[1]BIP!A:E,5,FALSE),"")</f>
        <v>45989</v>
      </c>
      <c r="Q1222" s="27">
        <f ca="1">DATEDIF(DadosViagem5[[#This Row],[BIP]],TODAY(),"D")</f>
        <v>1</v>
      </c>
      <c r="R1222" s="28" t="str">
        <f>IFERROR(VLOOKUP(DadosViagem5[[#This Row],[Placa]],[1]DDS!B:C,2,FALSE),"Verificar cadastro")</f>
        <v>Operando</v>
      </c>
      <c r="S1222" s="29" t="s">
        <v>48</v>
      </c>
      <c r="T1222" s="23"/>
      <c r="U1222" s="30"/>
      <c r="V1222" s="31"/>
      <c r="W1222" s="95"/>
      <c r="X1222" s="33"/>
      <c r="Y1222" s="34"/>
      <c r="Z1222" s="32"/>
      <c r="AA1222" s="20" t="s">
        <v>49</v>
      </c>
      <c r="AB1222" s="20" t="s">
        <v>49</v>
      </c>
      <c r="AC1222" s="19" t="s">
        <v>49</v>
      </c>
      <c r="AD1222" s="19" t="str">
        <f ca="1">IFERROR(DATEDIF(DadosViagem5[[#This Row],[Utimo Bip Reserva]],TODAY(),"D"),"")</f>
        <v/>
      </c>
      <c r="AE1222" s="35" t="s">
        <v>49</v>
      </c>
      <c r="AF1222" s="35" t="s">
        <v>49</v>
      </c>
      <c r="AG1222" s="36"/>
      <c r="AH1222" s="25">
        <v>45807</v>
      </c>
      <c r="AI1222" s="36" t="str">
        <f>IF(DadosViagem5[[#This Row],[Dias em manutenção ]]&lt;5,"Dentro do Prazo","Fora do Prazo")</f>
        <v>Fora do Prazo</v>
      </c>
      <c r="AJ1222" s="36" t="e">
        <v>#REF!</v>
      </c>
    </row>
    <row r="1223" spans="1:36">
      <c r="A1223" s="19" t="s">
        <v>2097</v>
      </c>
      <c r="B1223" s="20"/>
      <c r="C1223" s="19" t="s">
        <v>1803</v>
      </c>
      <c r="D1223" s="19" t="s">
        <v>52</v>
      </c>
      <c r="E1223" s="19" t="s">
        <v>57</v>
      </c>
      <c r="F1223" s="19" t="s">
        <v>396</v>
      </c>
      <c r="G1223" s="19"/>
      <c r="H1223" s="20">
        <v>2022</v>
      </c>
      <c r="I1223" s="19" t="s">
        <v>1183</v>
      </c>
      <c r="J1223" s="19" t="s">
        <v>2089</v>
      </c>
      <c r="K1223" s="21" t="s">
        <v>2090</v>
      </c>
      <c r="L1223" s="22" t="s">
        <v>60</v>
      </c>
      <c r="M1223" s="23" t="s">
        <v>268</v>
      </c>
      <c r="N1223" s="36" t="s">
        <v>1111</v>
      </c>
      <c r="O1223" s="36" t="s">
        <v>1187</v>
      </c>
      <c r="P1223" s="26" t="str">
        <f>IFERROR(VLOOKUP(DadosViagem5[[#This Row],[Placa]],[1]BIP!A:E,5,FALSE),"")</f>
        <v/>
      </c>
      <c r="Q1223" s="27" t="e">
        <f ca="1">DATEDIF(DadosViagem5[[#This Row],[BIP]],TODAY(),"D")</f>
        <v>#VALUE!</v>
      </c>
      <c r="R1223" s="28" t="str">
        <f>IFERROR(VLOOKUP(DadosViagem5[[#This Row],[Placa]],[1]DDS!B:C,2,FALSE),"Verificar cadastro")</f>
        <v>Operando</v>
      </c>
      <c r="S1223" s="29" t="s">
        <v>48</v>
      </c>
      <c r="T1223" s="23"/>
      <c r="U1223" s="30"/>
      <c r="V1223" s="31"/>
      <c r="W1223" s="95"/>
      <c r="X1223" s="33"/>
      <c r="Y1223" s="34"/>
      <c r="Z1223" s="32"/>
      <c r="AA1223" s="20" t="s">
        <v>49</v>
      </c>
      <c r="AB1223" s="20" t="s">
        <v>49</v>
      </c>
      <c r="AC1223" s="19" t="s">
        <v>49</v>
      </c>
      <c r="AD1223" s="19" t="str">
        <f ca="1">IFERROR(DATEDIF(DadosViagem5[[#This Row],[Utimo Bip Reserva]],TODAY(),"D"),"")</f>
        <v/>
      </c>
      <c r="AE1223" s="36"/>
      <c r="AF1223" s="25"/>
      <c r="AG1223" s="36"/>
      <c r="AH1223" s="25">
        <v>45807</v>
      </c>
      <c r="AI1223" s="36" t="str">
        <f>IF(DadosViagem5[[#This Row],[Dias em manutenção ]]&lt;5,"Dentro do Prazo","Fora do Prazo")</f>
        <v>Fora do Prazo</v>
      </c>
      <c r="AJ1223" s="36" t="e">
        <v>#REF!</v>
      </c>
    </row>
    <row r="1224" spans="1:36">
      <c r="A1224" s="19" t="s">
        <v>2098</v>
      </c>
      <c r="B1224" s="20"/>
      <c r="C1224" s="19" t="s">
        <v>671</v>
      </c>
      <c r="D1224" s="19" t="s">
        <v>132</v>
      </c>
      <c r="E1224" s="19" t="s">
        <v>114</v>
      </c>
      <c r="F1224" s="19" t="s">
        <v>115</v>
      </c>
      <c r="G1224" s="19"/>
      <c r="H1224" s="20">
        <v>2022</v>
      </c>
      <c r="I1224" s="19" t="s">
        <v>1183</v>
      </c>
      <c r="J1224" s="19" t="s">
        <v>2089</v>
      </c>
      <c r="K1224" s="21" t="s">
        <v>2090</v>
      </c>
      <c r="L1224" s="22" t="s">
        <v>60</v>
      </c>
      <c r="M1224" s="23" t="s">
        <v>268</v>
      </c>
      <c r="N1224" s="36" t="s">
        <v>2091</v>
      </c>
      <c r="O1224" s="36" t="s">
        <v>1187</v>
      </c>
      <c r="P1224" s="26">
        <f ca="1">IFERROR(VLOOKUP(DadosViagem5[[#This Row],[Placa]],[1]BIP!A:E,5,FALSE),"")</f>
        <v>45929</v>
      </c>
      <c r="Q1224" s="27">
        <f ca="1">DATEDIF(DadosViagem5[[#This Row],[BIP]],TODAY(),"D")</f>
        <v>61</v>
      </c>
      <c r="R1224" s="28" t="str">
        <f>IFERROR(VLOOKUP(DadosViagem5[[#This Row],[Placa]],[1]DDS!B:C,2,FALSE),"Verificar cadastro")</f>
        <v> </v>
      </c>
      <c r="S1224" s="36" t="s">
        <v>35</v>
      </c>
      <c r="T1224" s="23"/>
      <c r="U1224" s="30"/>
      <c r="V1224" s="31"/>
      <c r="W1224" s="32"/>
      <c r="X1224" s="33"/>
      <c r="Y1224" s="34"/>
      <c r="Z1224" s="32"/>
      <c r="AA1224" s="20" t="s">
        <v>49</v>
      </c>
      <c r="AB1224" s="20" t="s">
        <v>49</v>
      </c>
      <c r="AC1224" s="19" t="s">
        <v>49</v>
      </c>
      <c r="AD1224" s="19" t="str">
        <f ca="1">IFERROR(DATEDIF(DadosViagem5[[#This Row],[Utimo Bip Reserva]],TODAY(),"D"),"")</f>
        <v/>
      </c>
      <c r="AE1224" s="36" t="s">
        <v>49</v>
      </c>
      <c r="AF1224" s="25" t="s">
        <v>49</v>
      </c>
      <c r="AG1224" s="36"/>
      <c r="AH1224" s="25">
        <v>45807</v>
      </c>
      <c r="AI1224" s="36" t="str">
        <f>IF(DadosViagem5[[#This Row],[Dias em manutenção ]]&lt;5,"Dentro do Prazo","Fora do Prazo")</f>
        <v>Fora do Prazo</v>
      </c>
      <c r="AJ1224" s="36" t="e">
        <v>#REF!</v>
      </c>
    </row>
    <row r="1225" spans="1:36">
      <c r="A1225" s="19" t="s">
        <v>2099</v>
      </c>
      <c r="B1225" s="20"/>
      <c r="C1225" s="19" t="s">
        <v>671</v>
      </c>
      <c r="D1225" s="19" t="s">
        <v>132</v>
      </c>
      <c r="E1225" s="19" t="s">
        <v>114</v>
      </c>
      <c r="F1225" s="19" t="s">
        <v>115</v>
      </c>
      <c r="G1225" s="19"/>
      <c r="H1225" s="20">
        <v>2022</v>
      </c>
      <c r="I1225" s="19" t="s">
        <v>1183</v>
      </c>
      <c r="J1225" s="19" t="s">
        <v>2089</v>
      </c>
      <c r="K1225" s="21" t="s">
        <v>2090</v>
      </c>
      <c r="L1225" s="22" t="s">
        <v>60</v>
      </c>
      <c r="M1225" s="23" t="s">
        <v>268</v>
      </c>
      <c r="N1225" s="36" t="s">
        <v>2091</v>
      </c>
      <c r="O1225" s="36" t="s">
        <v>1187</v>
      </c>
      <c r="P1225" s="26">
        <f ca="1">IFERROR(VLOOKUP(DadosViagem5[[#This Row],[Placa]],[1]BIP!A:E,5,FALSE),"")</f>
        <v>45927</v>
      </c>
      <c r="Q1225" s="27">
        <f ca="1">DATEDIF(DadosViagem5[[#This Row],[BIP]],TODAY(),"D")</f>
        <v>63</v>
      </c>
      <c r="R1225" s="28" t="str">
        <f>IFERROR(VLOOKUP(DadosViagem5[[#This Row],[Placa]],[1]DDS!B:C,2,FALSE),"Verificar cadastro")</f>
        <v> </v>
      </c>
      <c r="S1225" s="36" t="s">
        <v>35</v>
      </c>
      <c r="T1225" s="23"/>
      <c r="U1225" s="30"/>
      <c r="V1225" s="31"/>
      <c r="W1225" s="32"/>
      <c r="X1225" s="33"/>
      <c r="Y1225" s="34"/>
      <c r="Z1225" s="32"/>
      <c r="AA1225" s="20" t="s">
        <v>49</v>
      </c>
      <c r="AB1225" s="20" t="s">
        <v>49</v>
      </c>
      <c r="AC1225" s="19" t="s">
        <v>49</v>
      </c>
      <c r="AD1225" s="19" t="str">
        <f ca="1">IFERROR(DATEDIF(DadosViagem5[[#This Row],[Utimo Bip Reserva]],TODAY(),"D"),"")</f>
        <v/>
      </c>
      <c r="AE1225" s="36" t="s">
        <v>49</v>
      </c>
      <c r="AF1225" s="25" t="s">
        <v>49</v>
      </c>
      <c r="AG1225" s="36"/>
      <c r="AH1225" s="25">
        <v>45807</v>
      </c>
      <c r="AI1225" s="36" t="str">
        <f>IF(DadosViagem5[[#This Row],[Dias em manutenção ]]&lt;5,"Dentro do Prazo","Fora do Prazo")</f>
        <v>Fora do Prazo</v>
      </c>
      <c r="AJ1225" s="36" t="e">
        <v>#REF!</v>
      </c>
    </row>
    <row r="1226" spans="1:36">
      <c r="A1226" s="19" t="s">
        <v>2100</v>
      </c>
      <c r="B1226" s="20"/>
      <c r="C1226" s="19" t="s">
        <v>671</v>
      </c>
      <c r="D1226" s="19" t="s">
        <v>132</v>
      </c>
      <c r="E1226" s="19" t="s">
        <v>114</v>
      </c>
      <c r="F1226" s="19" t="s">
        <v>115</v>
      </c>
      <c r="G1226" s="19"/>
      <c r="H1226" s="20">
        <v>2022</v>
      </c>
      <c r="I1226" s="19" t="s">
        <v>1183</v>
      </c>
      <c r="J1226" s="19" t="s">
        <v>2089</v>
      </c>
      <c r="K1226" s="21" t="s">
        <v>2090</v>
      </c>
      <c r="L1226" s="22" t="s">
        <v>60</v>
      </c>
      <c r="M1226" s="23" t="s">
        <v>268</v>
      </c>
      <c r="N1226" s="36" t="s">
        <v>2091</v>
      </c>
      <c r="O1226" s="36" t="s">
        <v>1187</v>
      </c>
      <c r="P1226" s="26">
        <f ca="1">IFERROR(VLOOKUP(DadosViagem5[[#This Row],[Placa]],[1]BIP!A:E,5,FALSE),"")</f>
        <v>45927</v>
      </c>
      <c r="Q1226" s="27">
        <f ca="1">DATEDIF(DadosViagem5[[#This Row],[BIP]],TODAY(),"D")</f>
        <v>63</v>
      </c>
      <c r="R1226" s="28" t="str">
        <f>IFERROR(VLOOKUP(DadosViagem5[[#This Row],[Placa]],[1]DDS!B:C,2,FALSE),"Verificar cadastro")</f>
        <v> </v>
      </c>
      <c r="S1226" s="36" t="s">
        <v>35</v>
      </c>
      <c r="T1226" s="23"/>
      <c r="U1226" s="30"/>
      <c r="V1226" s="31"/>
      <c r="W1226" s="32"/>
      <c r="X1226" s="33"/>
      <c r="Y1226" s="34"/>
      <c r="Z1226" s="32"/>
      <c r="AA1226" s="20" t="s">
        <v>49</v>
      </c>
      <c r="AB1226" s="20" t="s">
        <v>49</v>
      </c>
      <c r="AC1226" s="19" t="s">
        <v>49</v>
      </c>
      <c r="AD1226" s="19" t="str">
        <f ca="1">IFERROR(DATEDIF(DadosViagem5[[#This Row],[Utimo Bip Reserva]],TODAY(),"D"),"")</f>
        <v/>
      </c>
      <c r="AE1226" s="36" t="s">
        <v>49</v>
      </c>
      <c r="AF1226" s="25" t="s">
        <v>49</v>
      </c>
      <c r="AG1226" s="36"/>
      <c r="AH1226" s="25">
        <v>45807</v>
      </c>
      <c r="AI1226" s="36" t="str">
        <f>IF(DadosViagem5[[#This Row],[Dias em manutenção ]]&lt;5,"Dentro do Prazo","Fora do Prazo")</f>
        <v>Fora do Prazo</v>
      </c>
      <c r="AJ1226" s="36" t="e">
        <v>#REF!</v>
      </c>
    </row>
    <row r="1227" spans="1:36">
      <c r="A1227" s="19" t="s">
        <v>2101</v>
      </c>
      <c r="B1227" s="20"/>
      <c r="C1227" s="19" t="s">
        <v>671</v>
      </c>
      <c r="D1227" s="19" t="s">
        <v>132</v>
      </c>
      <c r="E1227" s="19" t="s">
        <v>114</v>
      </c>
      <c r="F1227" s="19" t="s">
        <v>115</v>
      </c>
      <c r="G1227" s="19"/>
      <c r="H1227" s="20">
        <v>2022</v>
      </c>
      <c r="I1227" s="19" t="s">
        <v>1183</v>
      </c>
      <c r="J1227" s="19" t="s">
        <v>2089</v>
      </c>
      <c r="K1227" s="21" t="s">
        <v>2090</v>
      </c>
      <c r="L1227" s="22" t="s">
        <v>60</v>
      </c>
      <c r="M1227" s="23" t="s">
        <v>268</v>
      </c>
      <c r="N1227" s="25" t="s">
        <v>2091</v>
      </c>
      <c r="O1227" s="36" t="s">
        <v>2068</v>
      </c>
      <c r="P1227" s="26">
        <f ca="1">IFERROR(VLOOKUP(DadosViagem5[[#This Row],[Placa]],[1]BIP!A:E,5,FALSE),"")</f>
        <v>45989</v>
      </c>
      <c r="Q1227" s="27">
        <f ca="1">DATEDIF(DadosViagem5[[#This Row],[BIP]],TODAY(),"D")</f>
        <v>1</v>
      </c>
      <c r="R1227" s="28" t="str">
        <f>IFERROR(VLOOKUP(DadosViagem5[[#This Row],[Placa]],[1]DDS!B:C,2,FALSE),"Verificar cadastro")</f>
        <v>Operando</v>
      </c>
      <c r="S1227" s="29" t="s">
        <v>48</v>
      </c>
      <c r="T1227" s="23"/>
      <c r="U1227" s="30"/>
      <c r="V1227" s="31"/>
      <c r="W1227" s="32"/>
      <c r="X1227" s="33"/>
      <c r="Y1227" s="34"/>
      <c r="Z1227" s="32"/>
      <c r="AA1227" s="20" t="s">
        <v>49</v>
      </c>
      <c r="AB1227" s="20" t="s">
        <v>49</v>
      </c>
      <c r="AC1227" s="19" t="s">
        <v>49</v>
      </c>
      <c r="AD1227" s="19" t="str">
        <f ca="1">IFERROR(DATEDIF(DadosViagem5[[#This Row],[Utimo Bip Reserva]],TODAY(),"D"),"")</f>
        <v/>
      </c>
      <c r="AE1227" s="36" t="s">
        <v>49</v>
      </c>
      <c r="AF1227" s="25" t="s">
        <v>49</v>
      </c>
      <c r="AG1227" s="36" t="s">
        <v>481</v>
      </c>
      <c r="AH1227" s="25">
        <v>45807</v>
      </c>
      <c r="AI1227" s="36" t="str">
        <f>IF(DadosViagem5[[#This Row],[Dias em manutenção ]]&lt;5,"Dentro do Prazo","Fora do Prazo")</f>
        <v>Fora do Prazo</v>
      </c>
      <c r="AJ1227" s="36" t="e">
        <v>#REF!</v>
      </c>
    </row>
    <row r="1228" spans="1:36">
      <c r="A1228" s="19" t="s">
        <v>2102</v>
      </c>
      <c r="B1228" s="20"/>
      <c r="C1228" s="19" t="s">
        <v>131</v>
      </c>
      <c r="D1228" s="19" t="s">
        <v>132</v>
      </c>
      <c r="E1228" s="19" t="s">
        <v>894</v>
      </c>
      <c r="F1228" s="19" t="s">
        <v>115</v>
      </c>
      <c r="G1228" s="19"/>
      <c r="H1228" s="20">
        <v>2022</v>
      </c>
      <c r="I1228" s="19" t="s">
        <v>1040</v>
      </c>
      <c r="J1228" s="19" t="s">
        <v>2103</v>
      </c>
      <c r="K1228" s="21" t="s">
        <v>2104</v>
      </c>
      <c r="L1228" s="22" t="s">
        <v>60</v>
      </c>
      <c r="M1228" s="23" t="s">
        <v>45</v>
      </c>
      <c r="N1228" s="24" t="s">
        <v>2105</v>
      </c>
      <c r="O1228" s="36" t="s">
        <v>1152</v>
      </c>
      <c r="P1228" s="26">
        <f ca="1">IFERROR(VLOOKUP(DadosViagem5[[#This Row],[Placa]],[1]BIP!A:E,5,FALSE),"")</f>
        <v>45989</v>
      </c>
      <c r="Q1228" s="27">
        <f ca="1">DATEDIF(DadosViagem5[[#This Row],[BIP]],TODAY(),"D")</f>
        <v>1</v>
      </c>
      <c r="R1228" s="28" t="str">
        <f>IFERROR(VLOOKUP(DadosViagem5[[#This Row],[Placa]],[1]DDS!B:C,2,FALSE),"Verificar cadastro")</f>
        <v>Operando</v>
      </c>
      <c r="S1228" s="29" t="s">
        <v>48</v>
      </c>
      <c r="T1228" s="23"/>
      <c r="U1228" s="30"/>
      <c r="V1228" s="31"/>
      <c r="W1228" s="32"/>
      <c r="X1228" s="33"/>
      <c r="Y1228" s="34"/>
      <c r="Z1228" s="32"/>
      <c r="AA1228" s="20" t="s">
        <v>49</v>
      </c>
      <c r="AB1228" s="20" t="s">
        <v>49</v>
      </c>
      <c r="AC1228" s="19" t="s">
        <v>49</v>
      </c>
      <c r="AD1228" s="19" t="str">
        <f ca="1">IFERROR(DATEDIF(DadosViagem5[[#This Row],[Utimo Bip Reserva]],TODAY(),"D"),"")</f>
        <v/>
      </c>
      <c r="AE1228" s="30" t="s">
        <v>2106</v>
      </c>
      <c r="AF1228" s="30" t="s">
        <v>49</v>
      </c>
      <c r="AG1228" s="23"/>
      <c r="AH1228" s="25">
        <v>45807</v>
      </c>
      <c r="AI1228" s="36" t="str">
        <f>IF(DadosViagem5[[#This Row],[Dias em manutenção ]]&lt;5,"Dentro do Prazo","Fora do Prazo")</f>
        <v>Fora do Prazo</v>
      </c>
      <c r="AJ1228" s="36" t="e">
        <v>#REF!</v>
      </c>
    </row>
    <row r="1229" spans="1:36">
      <c r="A1229" s="19" t="s">
        <v>2107</v>
      </c>
      <c r="B1229" s="20"/>
      <c r="C1229" s="19" t="s">
        <v>671</v>
      </c>
      <c r="D1229" s="19" t="s">
        <v>132</v>
      </c>
      <c r="E1229" s="19" t="s">
        <v>894</v>
      </c>
      <c r="F1229" s="19" t="s">
        <v>115</v>
      </c>
      <c r="G1229" s="19"/>
      <c r="H1229" s="20">
        <v>2022</v>
      </c>
      <c r="I1229" s="19" t="s">
        <v>1040</v>
      </c>
      <c r="J1229" s="19" t="s">
        <v>2103</v>
      </c>
      <c r="K1229" s="21" t="s">
        <v>2104</v>
      </c>
      <c r="L1229" s="22" t="s">
        <v>60</v>
      </c>
      <c r="M1229" s="23" t="s">
        <v>45</v>
      </c>
      <c r="N1229" s="36" t="s">
        <v>2105</v>
      </c>
      <c r="O1229" s="36" t="s">
        <v>1152</v>
      </c>
      <c r="P1229" s="26">
        <f ca="1">IFERROR(VLOOKUP(DadosViagem5[[#This Row],[Placa]],[1]BIP!A:E,5,FALSE),"")</f>
        <v>45968</v>
      </c>
      <c r="Q1229" s="27">
        <f ca="1">DATEDIF(DadosViagem5[[#This Row],[BIP]],TODAY(),"D")</f>
        <v>22</v>
      </c>
      <c r="R1229" s="28" t="str">
        <f>IFERROR(VLOOKUP(DadosViagem5[[#This Row],[Placa]],[1]DDS!B:C,2,FALSE),"Verificar cadastro")</f>
        <v> </v>
      </c>
      <c r="S1229" s="29" t="s">
        <v>35</v>
      </c>
      <c r="T1229" s="23"/>
      <c r="U1229" s="30"/>
      <c r="V1229" s="31"/>
      <c r="W1229" s="32" t="s">
        <v>2108</v>
      </c>
      <c r="X1229" s="33"/>
      <c r="Y1229" s="34"/>
      <c r="Z1229" s="32"/>
      <c r="AA1229" s="20" t="s">
        <v>49</v>
      </c>
      <c r="AB1229" s="20" t="s">
        <v>49</v>
      </c>
      <c r="AC1229" s="19" t="s">
        <v>49</v>
      </c>
      <c r="AD1229" s="19" t="str">
        <f ca="1">IFERROR(DATEDIF(DadosViagem5[[#This Row],[Utimo Bip Reserva]],TODAY(),"D"),"")</f>
        <v/>
      </c>
      <c r="AE1229" s="25" t="s">
        <v>2109</v>
      </c>
      <c r="AF1229" s="25" t="s">
        <v>49</v>
      </c>
      <c r="AG1229" s="36"/>
      <c r="AH1229" s="25">
        <v>45807</v>
      </c>
      <c r="AI1229" s="36" t="str">
        <f>IF(DadosViagem5[[#This Row],[Dias em manutenção ]]&lt;5,"Dentro do Prazo","Fora do Prazo")</f>
        <v>Fora do Prazo</v>
      </c>
      <c r="AJ1229" s="36" t="e">
        <v>#REF!</v>
      </c>
    </row>
    <row r="1230" spans="1:36">
      <c r="A1230" s="19" t="s">
        <v>2110</v>
      </c>
      <c r="B1230" s="20"/>
      <c r="C1230" s="19" t="s">
        <v>88</v>
      </c>
      <c r="D1230" s="19" t="s">
        <v>52</v>
      </c>
      <c r="E1230" s="19" t="s">
        <v>57</v>
      </c>
      <c r="F1230" s="19" t="s">
        <v>40</v>
      </c>
      <c r="G1230" s="19"/>
      <c r="H1230" s="20">
        <v>2023</v>
      </c>
      <c r="I1230" s="19" t="s">
        <v>1040</v>
      </c>
      <c r="J1230" s="19" t="s">
        <v>2103</v>
      </c>
      <c r="K1230" s="21" t="s">
        <v>2104</v>
      </c>
      <c r="L1230" s="22" t="s">
        <v>60</v>
      </c>
      <c r="M1230" s="23" t="s">
        <v>45</v>
      </c>
      <c r="N1230" s="36" t="s">
        <v>2105</v>
      </c>
      <c r="O1230" s="36" t="s">
        <v>1152</v>
      </c>
      <c r="P1230" s="26">
        <f ca="1">IFERROR(VLOOKUP(DadosViagem5[[#This Row],[Placa]],[1]BIP!A:E,5,FALSE),"")</f>
        <v>0</v>
      </c>
      <c r="Q1230" s="27">
        <f ca="1">DATEDIF(DadosViagem5[[#This Row],[BIP]],TODAY(),"D")</f>
        <v>45990</v>
      </c>
      <c r="R1230" s="28" t="str">
        <f>IFERROR(VLOOKUP(DadosViagem5[[#This Row],[Placa]],[1]DDS!B:C,2,FALSE),"Verificar cadastro")</f>
        <v> </v>
      </c>
      <c r="S1230" s="29" t="s">
        <v>48</v>
      </c>
      <c r="T1230" s="23"/>
      <c r="U1230" s="30"/>
      <c r="V1230" s="31"/>
      <c r="W1230" s="32"/>
      <c r="X1230" s="33"/>
      <c r="Y1230" s="34"/>
      <c r="Z1230" s="32"/>
      <c r="AA1230" s="20" t="s">
        <v>49</v>
      </c>
      <c r="AB1230" s="20" t="s">
        <v>49</v>
      </c>
      <c r="AC1230" s="19" t="s">
        <v>49</v>
      </c>
      <c r="AD1230" s="19" t="str">
        <f ca="1">IFERROR(DATEDIF(DadosViagem5[[#This Row],[Utimo Bip Reserva]],TODAY(),"D"),"")</f>
        <v/>
      </c>
      <c r="AE1230" s="25" t="s">
        <v>49</v>
      </c>
      <c r="AF1230" s="25" t="s">
        <v>49</v>
      </c>
      <c r="AG1230" s="36"/>
      <c r="AH1230" s="25">
        <v>45807</v>
      </c>
      <c r="AI1230" s="36" t="str">
        <f>IF(DadosViagem5[[#This Row],[Dias em manutenção ]]&lt;5,"Dentro do Prazo","Fora do Prazo")</f>
        <v>Fora do Prazo</v>
      </c>
      <c r="AJ1230" s="36" t="e">
        <v>#REF!</v>
      </c>
    </row>
    <row r="1231" spans="1:36">
      <c r="A1231" s="19" t="s">
        <v>2111</v>
      </c>
      <c r="B1231" s="20"/>
      <c r="C1231" s="19" t="s">
        <v>88</v>
      </c>
      <c r="D1231" s="19" t="s">
        <v>52</v>
      </c>
      <c r="E1231" s="19" t="s">
        <v>57</v>
      </c>
      <c r="F1231" s="19" t="s">
        <v>40</v>
      </c>
      <c r="G1231" s="19"/>
      <c r="H1231" s="20">
        <v>2023</v>
      </c>
      <c r="I1231" s="19" t="s">
        <v>1040</v>
      </c>
      <c r="J1231" s="19" t="s">
        <v>2103</v>
      </c>
      <c r="K1231" s="21" t="s">
        <v>2104</v>
      </c>
      <c r="L1231" s="22" t="s">
        <v>60</v>
      </c>
      <c r="M1231" s="23" t="s">
        <v>45</v>
      </c>
      <c r="N1231" s="36" t="s">
        <v>2105</v>
      </c>
      <c r="O1231" s="36" t="s">
        <v>1152</v>
      </c>
      <c r="P1231" s="26">
        <f ca="1">IFERROR(VLOOKUP(DadosViagem5[[#This Row],[Placa]],[1]BIP!A:E,5,FALSE),"")</f>
        <v>45989</v>
      </c>
      <c r="Q1231" s="27">
        <f ca="1">DATEDIF(DadosViagem5[[#This Row],[BIP]],TODAY(),"D")</f>
        <v>1</v>
      </c>
      <c r="R1231" s="28" t="str">
        <f>IFERROR(VLOOKUP(DadosViagem5[[#This Row],[Placa]],[1]DDS!B:C,2,FALSE),"Verificar cadastro")</f>
        <v>Operando</v>
      </c>
      <c r="S1231" s="29" t="s">
        <v>48</v>
      </c>
      <c r="T1231" s="23"/>
      <c r="U1231" s="30"/>
      <c r="V1231" s="31"/>
      <c r="W1231" s="32"/>
      <c r="X1231" s="33"/>
      <c r="Y1231" s="34"/>
      <c r="Z1231" s="32"/>
      <c r="AA1231" s="20" t="s">
        <v>49</v>
      </c>
      <c r="AB1231" s="20" t="s">
        <v>49</v>
      </c>
      <c r="AC1231" s="19" t="s">
        <v>49</v>
      </c>
      <c r="AD1231" s="19" t="str">
        <f ca="1">IFERROR(DATEDIF(DadosViagem5[[#This Row],[Utimo Bip Reserva]],TODAY(),"D"),"")</f>
        <v/>
      </c>
      <c r="AE1231" s="36" t="s">
        <v>49</v>
      </c>
      <c r="AF1231" s="25" t="s">
        <v>49</v>
      </c>
      <c r="AG1231" s="36"/>
      <c r="AH1231" s="25">
        <v>45807</v>
      </c>
      <c r="AI1231" s="36" t="str">
        <f>IF(DadosViagem5[[#This Row],[Dias em manutenção ]]&lt;5,"Dentro do Prazo","Fora do Prazo")</f>
        <v>Fora do Prazo</v>
      </c>
      <c r="AJ1231" s="36" t="e">
        <v>#REF!</v>
      </c>
    </row>
    <row r="1232" spans="1:36">
      <c r="A1232" s="19" t="s">
        <v>2112</v>
      </c>
      <c r="B1232" s="20"/>
      <c r="C1232" s="19" t="s">
        <v>562</v>
      </c>
      <c r="D1232" s="19" t="s">
        <v>563</v>
      </c>
      <c r="E1232" s="19" t="s">
        <v>114</v>
      </c>
      <c r="F1232" s="19" t="s">
        <v>115</v>
      </c>
      <c r="G1232" s="19"/>
      <c r="H1232" s="20">
        <v>2022</v>
      </c>
      <c r="I1232" s="19" t="s">
        <v>1738</v>
      </c>
      <c r="J1232" s="19" t="s">
        <v>2052</v>
      </c>
      <c r="K1232" s="21" t="s">
        <v>2113</v>
      </c>
      <c r="L1232" s="22" t="s">
        <v>60</v>
      </c>
      <c r="M1232" s="23" t="s">
        <v>140</v>
      </c>
      <c r="N1232" s="25" t="s">
        <v>2053</v>
      </c>
      <c r="O1232" s="25" t="s">
        <v>1713</v>
      </c>
      <c r="P1232" s="26">
        <f ca="1">IFERROR(VLOOKUP(DadosViagem5[[#This Row],[Placa]],[1]BIP!A:E,5,FALSE),"")</f>
        <v>45735</v>
      </c>
      <c r="Q1232" s="27">
        <f ca="1">DATEDIF(DadosViagem5[[#This Row],[BIP]],TODAY(),"D")</f>
        <v>255</v>
      </c>
      <c r="R1232" s="28" t="str">
        <f>IFERROR(VLOOKUP(DadosViagem5[[#This Row],[Placa]],[1]DDS!B:C,2,FALSE),"Verificar cadastro")</f>
        <v>Manutenção</v>
      </c>
      <c r="S1232" s="36" t="s">
        <v>186</v>
      </c>
      <c r="T1232" s="23"/>
      <c r="U1232" s="30"/>
      <c r="V1232" s="31">
        <v>45736</v>
      </c>
      <c r="W1232" s="32" t="s">
        <v>2114</v>
      </c>
      <c r="X1232" s="57" t="s">
        <v>188</v>
      </c>
      <c r="Y1232" s="57">
        <v>45925</v>
      </c>
      <c r="Z1232" s="42" t="s">
        <v>1234</v>
      </c>
      <c r="AA1232" s="20" t="s">
        <v>49</v>
      </c>
      <c r="AB1232" s="20" t="s">
        <v>49</v>
      </c>
      <c r="AC1232" s="19" t="s">
        <v>49</v>
      </c>
      <c r="AD1232" s="19" t="str">
        <f ca="1">IFERROR(DATEDIF(DadosViagem5[[#This Row],[Utimo Bip Reserva]],TODAY(),"D"),"")</f>
        <v/>
      </c>
      <c r="AE1232" s="36" t="s">
        <v>2115</v>
      </c>
      <c r="AF1232" s="25" t="s">
        <v>49</v>
      </c>
      <c r="AG1232" s="36"/>
      <c r="AH1232" s="25">
        <v>71</v>
      </c>
      <c r="AI1232" s="36" t="str">
        <f>IF(DadosViagem5[[#This Row],[Dias em manutenção ]]&lt;5,"Dentro do Prazo","Fora do Prazo")</f>
        <v>Fora do Prazo</v>
      </c>
      <c r="AJ1232" s="36" t="e">
        <v>#REF!</v>
      </c>
    </row>
    <row r="1233" spans="1:36">
      <c r="A1233" s="19" t="s">
        <v>2116</v>
      </c>
      <c r="B1233" s="20"/>
      <c r="C1233" s="19" t="s">
        <v>88</v>
      </c>
      <c r="D1233" s="19" t="s">
        <v>38</v>
      </c>
      <c r="E1233" s="19" t="s">
        <v>114</v>
      </c>
      <c r="F1233" s="19" t="s">
        <v>115</v>
      </c>
      <c r="G1233" s="19"/>
      <c r="H1233" s="20">
        <v>2021</v>
      </c>
      <c r="I1233" s="19" t="s">
        <v>1738</v>
      </c>
      <c r="J1233" s="19" t="s">
        <v>2052</v>
      </c>
      <c r="K1233" s="21" t="s">
        <v>2113</v>
      </c>
      <c r="L1233" s="22" t="s">
        <v>60</v>
      </c>
      <c r="M1233" s="23" t="s">
        <v>140</v>
      </c>
      <c r="N1233" s="25" t="s">
        <v>2053</v>
      </c>
      <c r="O1233" s="25" t="s">
        <v>1713</v>
      </c>
      <c r="P1233" s="26">
        <f ca="1">IFERROR(VLOOKUP(DadosViagem5[[#This Row],[Placa]],[1]BIP!A:E,5,FALSE),"")</f>
        <v>45848</v>
      </c>
      <c r="Q1233" s="27">
        <f ca="1">DATEDIF(DadosViagem5[[#This Row],[BIP]],TODAY(),"D")</f>
        <v>142</v>
      </c>
      <c r="R1233" s="28" t="str">
        <f>IFERROR(VLOOKUP(DadosViagem5[[#This Row],[Placa]],[1]DDS!B:C,2,FALSE),"Verificar cadastro")</f>
        <v>Manutenção</v>
      </c>
      <c r="S1233" s="36" t="s">
        <v>186</v>
      </c>
      <c r="T1233" s="23"/>
      <c r="U1233" s="30"/>
      <c r="V1233" s="31">
        <v>45848</v>
      </c>
      <c r="W1233" s="32" t="s">
        <v>2117</v>
      </c>
      <c r="X1233" s="57" t="s">
        <v>188</v>
      </c>
      <c r="Y1233" s="86">
        <v>45930</v>
      </c>
      <c r="Z1233" s="42" t="s">
        <v>1234</v>
      </c>
      <c r="AA1233" s="20" t="s">
        <v>49</v>
      </c>
      <c r="AB1233" s="20" t="s">
        <v>49</v>
      </c>
      <c r="AC1233" s="19" t="s">
        <v>49</v>
      </c>
      <c r="AD1233" s="19" t="str">
        <f ca="1">IFERROR(DATEDIF(DadosViagem5[[#This Row],[Utimo Bip Reserva]],TODAY(),"D"),"")</f>
        <v/>
      </c>
      <c r="AE1233" s="36" t="s">
        <v>49</v>
      </c>
      <c r="AF1233" s="25" t="s">
        <v>49</v>
      </c>
      <c r="AG1233" s="36"/>
      <c r="AH1233" s="25">
        <v>6</v>
      </c>
      <c r="AI1233" s="36" t="str">
        <f>IF(DadosViagem5[[#This Row],[Dias em manutenção ]]&lt;5,"Dentro do Prazo","Fora do Prazo")</f>
        <v>Fora do Prazo</v>
      </c>
      <c r="AJ1233" s="36" t="e">
        <v>#REF!</v>
      </c>
    </row>
    <row r="1234" spans="1:36">
      <c r="A1234" s="19" t="s">
        <v>2118</v>
      </c>
      <c r="B1234" s="20"/>
      <c r="C1234" s="19" t="s">
        <v>562</v>
      </c>
      <c r="D1234" s="19" t="s">
        <v>563</v>
      </c>
      <c r="E1234" s="19" t="s">
        <v>114</v>
      </c>
      <c r="F1234" s="19" t="s">
        <v>115</v>
      </c>
      <c r="G1234" s="19"/>
      <c r="H1234" s="20">
        <v>2022</v>
      </c>
      <c r="I1234" s="19" t="s">
        <v>1738</v>
      </c>
      <c r="J1234" s="19" t="s">
        <v>2052</v>
      </c>
      <c r="K1234" s="38" t="s">
        <v>2113</v>
      </c>
      <c r="L1234" s="22" t="s">
        <v>60</v>
      </c>
      <c r="M1234" s="23" t="s">
        <v>140</v>
      </c>
      <c r="N1234" s="40" t="s">
        <v>2053</v>
      </c>
      <c r="O1234" s="25" t="s">
        <v>1713</v>
      </c>
      <c r="P1234" s="26">
        <f ca="1">IFERROR(VLOOKUP(DadosViagem5[[#This Row],[Placa]],[1]BIP!A:E,5,FALSE),"")</f>
        <v>45989</v>
      </c>
      <c r="Q1234" s="27">
        <f ca="1">DATEDIF(DadosViagem5[[#This Row],[BIP]],TODAY(),"D")</f>
        <v>1</v>
      </c>
      <c r="R1234" s="28" t="str">
        <f>IFERROR(VLOOKUP(DadosViagem5[[#This Row],[Placa]],[1]DDS!B:C,2,FALSE),"Verificar cadastro")</f>
        <v>Operando</v>
      </c>
      <c r="S1234" s="29" t="s">
        <v>48</v>
      </c>
      <c r="T1234" s="23"/>
      <c r="U1234" s="30"/>
      <c r="V1234" s="31"/>
      <c r="W1234" s="32" t="s">
        <v>49</v>
      </c>
      <c r="X1234" s="33"/>
      <c r="Y1234" s="34" t="s">
        <v>49</v>
      </c>
      <c r="Z1234" s="32"/>
      <c r="AA1234" s="20" t="s">
        <v>49</v>
      </c>
      <c r="AB1234" s="20" t="s">
        <v>49</v>
      </c>
      <c r="AC1234" s="19" t="s">
        <v>49</v>
      </c>
      <c r="AD1234" s="19" t="str">
        <f ca="1">IFERROR(DATEDIF(DadosViagem5[[#This Row],[Utimo Bip Reserva]],TODAY(),"D"),"")</f>
        <v/>
      </c>
      <c r="AE1234" s="36" t="s">
        <v>49</v>
      </c>
      <c r="AF1234" s="25" t="s">
        <v>49</v>
      </c>
      <c r="AG1234" s="36"/>
      <c r="AH1234" s="25">
        <v>45807</v>
      </c>
      <c r="AI1234" s="36" t="str">
        <f>IF(DadosViagem5[[#This Row],[Dias em manutenção ]]&lt;5,"Dentro do Prazo","Fora do Prazo")</f>
        <v>Fora do Prazo</v>
      </c>
      <c r="AJ1234" s="36" t="e">
        <v>#REF!</v>
      </c>
    </row>
    <row r="1235" spans="1:36">
      <c r="A1235" s="19" t="s">
        <v>2119</v>
      </c>
      <c r="B1235" s="20"/>
      <c r="C1235" s="19" t="s">
        <v>562</v>
      </c>
      <c r="D1235" s="19" t="s">
        <v>563</v>
      </c>
      <c r="E1235" s="19" t="s">
        <v>114</v>
      </c>
      <c r="F1235" s="19" t="s">
        <v>115</v>
      </c>
      <c r="G1235" s="19"/>
      <c r="H1235" s="20">
        <v>2022</v>
      </c>
      <c r="I1235" s="19" t="s">
        <v>1738</v>
      </c>
      <c r="J1235" s="19" t="s">
        <v>2052</v>
      </c>
      <c r="K1235" s="21" t="s">
        <v>2113</v>
      </c>
      <c r="L1235" s="22" t="s">
        <v>60</v>
      </c>
      <c r="M1235" s="23" t="s">
        <v>140</v>
      </c>
      <c r="N1235" s="25" t="s">
        <v>2053</v>
      </c>
      <c r="O1235" s="25" t="s">
        <v>1713</v>
      </c>
      <c r="P1235" s="26">
        <f ca="1">IFERROR(VLOOKUP(DadosViagem5[[#This Row],[Placa]],[1]BIP!A:E,5,FALSE),"")</f>
        <v>45989</v>
      </c>
      <c r="Q1235" s="27">
        <f ca="1">DATEDIF(DadosViagem5[[#This Row],[BIP]],TODAY(),"D")</f>
        <v>1</v>
      </c>
      <c r="R1235" s="28" t="str">
        <f>IFERROR(VLOOKUP(DadosViagem5[[#This Row],[Placa]],[1]DDS!B:C,2,FALSE),"Verificar cadastro")</f>
        <v>Operando</v>
      </c>
      <c r="S1235" s="29" t="s">
        <v>48</v>
      </c>
      <c r="T1235" s="23"/>
      <c r="U1235" s="30"/>
      <c r="V1235" s="31"/>
      <c r="W1235" s="32"/>
      <c r="X1235" s="33"/>
      <c r="Y1235" s="34" t="s">
        <v>49</v>
      </c>
      <c r="Z1235" s="32"/>
      <c r="AA1235" s="20" t="s">
        <v>49</v>
      </c>
      <c r="AB1235" s="20" t="s">
        <v>49</v>
      </c>
      <c r="AC1235" s="19" t="s">
        <v>49</v>
      </c>
      <c r="AD1235" s="19" t="str">
        <f ca="1">IFERROR(DATEDIF(DadosViagem5[[#This Row],[Utimo Bip Reserva]],TODAY(),"D"),"")</f>
        <v/>
      </c>
      <c r="AE1235" s="36" t="s">
        <v>49</v>
      </c>
      <c r="AF1235" s="25" t="s">
        <v>49</v>
      </c>
      <c r="AG1235" s="36"/>
      <c r="AH1235" s="25">
        <v>45807</v>
      </c>
      <c r="AI1235" s="36" t="str">
        <f>IF(DadosViagem5[[#This Row],[Dias em manutenção ]]&lt;5,"Dentro do Prazo","Fora do Prazo")</f>
        <v>Fora do Prazo</v>
      </c>
      <c r="AJ1235" s="36" t="e">
        <v>#REF!</v>
      </c>
    </row>
    <row r="1236" spans="1:36">
      <c r="A1236" s="19" t="s">
        <v>2120</v>
      </c>
      <c r="B1236" s="20"/>
      <c r="C1236" s="19" t="s">
        <v>562</v>
      </c>
      <c r="D1236" s="19" t="s">
        <v>563</v>
      </c>
      <c r="E1236" s="19" t="s">
        <v>114</v>
      </c>
      <c r="F1236" s="19" t="s">
        <v>115</v>
      </c>
      <c r="G1236" s="19"/>
      <c r="H1236" s="20">
        <v>2022</v>
      </c>
      <c r="I1236" s="19" t="s">
        <v>1738</v>
      </c>
      <c r="J1236" s="19" t="s">
        <v>2052</v>
      </c>
      <c r="K1236" s="21" t="s">
        <v>2113</v>
      </c>
      <c r="L1236" s="22" t="s">
        <v>60</v>
      </c>
      <c r="M1236" s="23" t="s">
        <v>140</v>
      </c>
      <c r="N1236" s="25" t="s">
        <v>2053</v>
      </c>
      <c r="O1236" s="25" t="s">
        <v>1713</v>
      </c>
      <c r="P1236" s="26">
        <f ca="1">IFERROR(VLOOKUP(DadosViagem5[[#This Row],[Placa]],[1]BIP!A:E,5,FALSE),"")</f>
        <v>45989</v>
      </c>
      <c r="Q1236" s="27">
        <f ca="1">DATEDIF(DadosViagem5[[#This Row],[BIP]],TODAY(),"D")</f>
        <v>1</v>
      </c>
      <c r="R1236" s="28" t="str">
        <f>IFERROR(VLOOKUP(DadosViagem5[[#This Row],[Placa]],[1]DDS!B:C,2,FALSE),"Verificar cadastro")</f>
        <v>Operando</v>
      </c>
      <c r="S1236" s="29" t="s">
        <v>48</v>
      </c>
      <c r="T1236" s="23"/>
      <c r="U1236" s="30"/>
      <c r="V1236" s="31"/>
      <c r="W1236" s="32"/>
      <c r="X1236" s="33"/>
      <c r="Y1236" s="34"/>
      <c r="Z1236" s="32"/>
      <c r="AA1236" s="20"/>
      <c r="AB1236" s="20" t="s">
        <v>49</v>
      </c>
      <c r="AC1236" s="19" t="s">
        <v>49</v>
      </c>
      <c r="AD1236" s="19" t="str">
        <f ca="1">IFERROR(DATEDIF(DadosViagem5[[#This Row],[Utimo Bip Reserva]],TODAY(),"D"),"")</f>
        <v/>
      </c>
      <c r="AE1236" s="36" t="s">
        <v>49</v>
      </c>
      <c r="AF1236" s="25" t="s">
        <v>49</v>
      </c>
      <c r="AG1236" s="36"/>
      <c r="AH1236" s="25">
        <v>45807</v>
      </c>
      <c r="AI1236" s="36" t="str">
        <f>IF(DadosViagem5[[#This Row],[Dias em manutenção ]]&lt;5,"Dentro do Prazo","Fora do Prazo")</f>
        <v>Fora do Prazo</v>
      </c>
      <c r="AJ1236" s="36" t="e">
        <v>#REF!</v>
      </c>
    </row>
    <row r="1237" spans="1:36">
      <c r="A1237" s="19" t="s">
        <v>2121</v>
      </c>
      <c r="B1237" s="20"/>
      <c r="C1237" s="19" t="s">
        <v>74</v>
      </c>
      <c r="D1237" s="19" t="s">
        <v>52</v>
      </c>
      <c r="E1237" s="19" t="s">
        <v>75</v>
      </c>
      <c r="F1237" s="19" t="s">
        <v>115</v>
      </c>
      <c r="G1237" s="19"/>
      <c r="H1237" s="20">
        <v>2023</v>
      </c>
      <c r="I1237" s="19" t="s">
        <v>1738</v>
      </c>
      <c r="J1237" s="19" t="s">
        <v>2052</v>
      </c>
      <c r="K1237" s="21" t="s">
        <v>2113</v>
      </c>
      <c r="L1237" s="22" t="s">
        <v>60</v>
      </c>
      <c r="M1237" s="23" t="s">
        <v>77</v>
      </c>
      <c r="N1237" s="25" t="s">
        <v>2053</v>
      </c>
      <c r="O1237" s="25" t="s">
        <v>1713</v>
      </c>
      <c r="P1237" s="26">
        <f ca="1">IFERROR(VLOOKUP(DadosViagem5[[#This Row],[Placa]],[1]BIP!A:E,5,FALSE),"")</f>
        <v>45989</v>
      </c>
      <c r="Q1237" s="27">
        <f ca="1">DATEDIF(DadosViagem5[[#This Row],[BIP]],TODAY(),"D")</f>
        <v>1</v>
      </c>
      <c r="R1237" s="28" t="str">
        <f>IFERROR(VLOOKUP(DadosViagem5[[#This Row],[Placa]],[1]DDS!B:C,2,FALSE),"Verificar cadastro")</f>
        <v>Operando</v>
      </c>
      <c r="S1237" s="29" t="s">
        <v>48</v>
      </c>
      <c r="T1237" s="23"/>
      <c r="U1237" s="30"/>
      <c r="V1237" s="31"/>
      <c r="W1237" s="32" t="s">
        <v>2122</v>
      </c>
      <c r="X1237" s="33"/>
      <c r="Y1237" s="34"/>
      <c r="Z1237" s="32"/>
      <c r="AA1237" s="20" t="s">
        <v>49</v>
      </c>
      <c r="AB1237" s="20" t="s">
        <v>49</v>
      </c>
      <c r="AC1237" s="19" t="s">
        <v>49</v>
      </c>
      <c r="AD1237" s="19" t="str">
        <f ca="1">IFERROR(DATEDIF(DadosViagem5[[#This Row],[Utimo Bip Reserva]],TODAY(),"D"),"")</f>
        <v/>
      </c>
      <c r="AE1237" s="25" t="s">
        <v>49</v>
      </c>
      <c r="AF1237" s="25" t="s">
        <v>49</v>
      </c>
      <c r="AG1237" s="36"/>
      <c r="AH1237" s="25">
        <v>45807</v>
      </c>
      <c r="AI1237" s="36" t="str">
        <f>IF(DadosViagem5[[#This Row],[Dias em manutenção ]]&lt;5,"Dentro do Prazo","Fora do Prazo")</f>
        <v>Fora do Prazo</v>
      </c>
      <c r="AJ1237" s="36" t="e">
        <v>#REF!</v>
      </c>
    </row>
    <row r="1238" spans="1:36">
      <c r="A1238" s="19" t="s">
        <v>2123</v>
      </c>
      <c r="B1238" s="20">
        <v>294</v>
      </c>
      <c r="C1238" s="19" t="s">
        <v>74</v>
      </c>
      <c r="D1238" s="19" t="s">
        <v>52</v>
      </c>
      <c r="E1238" s="19" t="s">
        <v>75</v>
      </c>
      <c r="F1238" s="19" t="s">
        <v>115</v>
      </c>
      <c r="G1238" s="19"/>
      <c r="H1238" s="20">
        <v>2023</v>
      </c>
      <c r="I1238" s="19" t="s">
        <v>1738</v>
      </c>
      <c r="J1238" s="19" t="s">
        <v>2052</v>
      </c>
      <c r="K1238" s="21" t="s">
        <v>2113</v>
      </c>
      <c r="L1238" s="22" t="s">
        <v>60</v>
      </c>
      <c r="M1238" s="23" t="s">
        <v>77</v>
      </c>
      <c r="N1238" s="25" t="s">
        <v>2053</v>
      </c>
      <c r="O1238" s="25" t="s">
        <v>1713</v>
      </c>
      <c r="P1238" s="26">
        <f ca="1">IFERROR(VLOOKUP(DadosViagem5[[#This Row],[Placa]],[1]BIP!A:E,5,FALSE),"")</f>
        <v>45989</v>
      </c>
      <c r="Q1238" s="27">
        <f ca="1">DATEDIF(DadosViagem5[[#This Row],[BIP]],TODAY(),"D")</f>
        <v>1</v>
      </c>
      <c r="R1238" s="28" t="str">
        <f>IFERROR(VLOOKUP(DadosViagem5[[#This Row],[Placa]],[1]DDS!B:C,2,FALSE),"Verificar cadastro")</f>
        <v>Carregado</v>
      </c>
      <c r="S1238" s="29" t="s">
        <v>48</v>
      </c>
      <c r="T1238" s="23"/>
      <c r="U1238" s="30"/>
      <c r="V1238" s="31"/>
      <c r="W1238" s="31"/>
      <c r="X1238" s="33"/>
      <c r="Y1238" s="34"/>
      <c r="Z1238" s="32"/>
      <c r="AA1238" s="20" t="s">
        <v>49</v>
      </c>
      <c r="AB1238" s="20" t="s">
        <v>49</v>
      </c>
      <c r="AC1238" s="19" t="s">
        <v>49</v>
      </c>
      <c r="AD1238" s="19" t="str">
        <f ca="1">IFERROR(DATEDIF(DadosViagem5[[#This Row],[Utimo Bip Reserva]],TODAY(),"D"),"")</f>
        <v/>
      </c>
      <c r="AE1238" s="36" t="s">
        <v>49</v>
      </c>
      <c r="AF1238" s="25" t="s">
        <v>49</v>
      </c>
      <c r="AG1238" s="36"/>
      <c r="AH1238" s="25">
        <v>45807</v>
      </c>
      <c r="AI1238" s="36" t="str">
        <f>IF(DadosViagem5[[#This Row],[Dias em manutenção ]]&lt;5,"Dentro do Prazo","Fora do Prazo")</f>
        <v>Fora do Prazo</v>
      </c>
      <c r="AJ1238" s="36" t="e">
        <v>#REF!</v>
      </c>
    </row>
    <row r="1239" spans="1:36">
      <c r="A1239" s="19" t="s">
        <v>2124</v>
      </c>
      <c r="B1239" s="20"/>
      <c r="C1239" s="19" t="s">
        <v>562</v>
      </c>
      <c r="D1239" s="19" t="s">
        <v>563</v>
      </c>
      <c r="E1239" s="19" t="s">
        <v>114</v>
      </c>
      <c r="F1239" s="19" t="s">
        <v>115</v>
      </c>
      <c r="G1239" s="19"/>
      <c r="H1239" s="20">
        <v>2022</v>
      </c>
      <c r="I1239" s="19" t="s">
        <v>1738</v>
      </c>
      <c r="J1239" s="19" t="s">
        <v>2052</v>
      </c>
      <c r="K1239" s="21" t="s">
        <v>2113</v>
      </c>
      <c r="L1239" s="22" t="s">
        <v>60</v>
      </c>
      <c r="M1239" s="23" t="s">
        <v>140</v>
      </c>
      <c r="N1239" s="25" t="s">
        <v>2053</v>
      </c>
      <c r="O1239" s="25" t="s">
        <v>1713</v>
      </c>
      <c r="P1239" s="26">
        <f ca="1">IFERROR(VLOOKUP(DadosViagem5[[#This Row],[Placa]],[1]BIP!A:E,5,FALSE),"")</f>
        <v>45937</v>
      </c>
      <c r="Q1239" s="27">
        <f ca="1">DATEDIF(DadosViagem5[[#This Row],[BIP]],TODAY(),"D")</f>
        <v>53</v>
      </c>
      <c r="R1239" s="28" t="str">
        <f>IFERROR(VLOOKUP(DadosViagem5[[#This Row],[Placa]],[1]DDS!B:C,2,FALSE),"Verificar cadastro")</f>
        <v>Manutenção</v>
      </c>
      <c r="S1239" s="29" t="s">
        <v>48</v>
      </c>
      <c r="T1239" s="23"/>
      <c r="U1239" s="30"/>
      <c r="V1239" s="31"/>
      <c r="W1239" s="32" t="s">
        <v>608</v>
      </c>
      <c r="X1239" s="33"/>
      <c r="Y1239" s="34"/>
      <c r="Z1239" s="42"/>
      <c r="AA1239" s="20" t="s">
        <v>49</v>
      </c>
      <c r="AB1239" s="20" t="s">
        <v>49</v>
      </c>
      <c r="AC1239" s="19" t="s">
        <v>49</v>
      </c>
      <c r="AD1239" s="19" t="str">
        <f ca="1">IFERROR(DATEDIF(DadosViagem5[[#This Row],[Utimo Bip Reserva]],TODAY(),"D"),"")</f>
        <v/>
      </c>
      <c r="AE1239" s="36" t="s">
        <v>2125</v>
      </c>
      <c r="AF1239" s="25" t="s">
        <v>49</v>
      </c>
      <c r="AG1239" s="36" t="s">
        <v>2126</v>
      </c>
      <c r="AH1239" s="25">
        <v>45807</v>
      </c>
      <c r="AI1239" s="36" t="str">
        <f>IF(DadosViagem5[[#This Row],[Dias em manutenção ]]&lt;5,"Dentro do Prazo","Fora do Prazo")</f>
        <v>Fora do Prazo</v>
      </c>
      <c r="AJ1239" s="36" t="e">
        <v>#REF!</v>
      </c>
    </row>
    <row r="1240" spans="1:36">
      <c r="A1240" s="19" t="s">
        <v>2127</v>
      </c>
      <c r="B1240" s="20">
        <v>407</v>
      </c>
      <c r="C1240" s="19" t="s">
        <v>74</v>
      </c>
      <c r="D1240" s="19" t="s">
        <v>52</v>
      </c>
      <c r="E1240" s="19" t="s">
        <v>75</v>
      </c>
      <c r="F1240" s="19" t="s">
        <v>115</v>
      </c>
      <c r="G1240" s="19"/>
      <c r="H1240" s="20">
        <v>2023</v>
      </c>
      <c r="I1240" s="19" t="s">
        <v>1738</v>
      </c>
      <c r="J1240" s="19" t="s">
        <v>2052</v>
      </c>
      <c r="K1240" s="21" t="s">
        <v>2113</v>
      </c>
      <c r="L1240" s="22" t="s">
        <v>60</v>
      </c>
      <c r="M1240" s="23" t="s">
        <v>77</v>
      </c>
      <c r="N1240" s="25" t="s">
        <v>2053</v>
      </c>
      <c r="O1240" s="25" t="s">
        <v>1713</v>
      </c>
      <c r="P1240" s="26">
        <f ca="1">IFERROR(VLOOKUP(DadosViagem5[[#This Row],[Placa]],[1]BIP!A:E,5,FALSE),"")</f>
        <v>45976</v>
      </c>
      <c r="Q1240" s="27">
        <f ca="1">DATEDIF(DadosViagem5[[#This Row],[BIP]],TODAY(),"D")</f>
        <v>14</v>
      </c>
      <c r="R1240" s="28" t="str">
        <f>IFERROR(VLOOKUP(DadosViagem5[[#This Row],[Placa]],[1]DDS!B:C,2,FALSE),"Verificar cadastro")</f>
        <v>Manutenção</v>
      </c>
      <c r="S1240" s="29" t="s">
        <v>48</v>
      </c>
      <c r="T1240" s="23"/>
      <c r="U1240" s="30"/>
      <c r="V1240" s="31"/>
      <c r="W1240" s="32"/>
      <c r="X1240" s="33"/>
      <c r="Y1240" s="34"/>
      <c r="Z1240" s="42"/>
      <c r="AA1240" s="20" t="s">
        <v>49</v>
      </c>
      <c r="AB1240" s="20" t="s">
        <v>49</v>
      </c>
      <c r="AC1240" s="19" t="s">
        <v>49</v>
      </c>
      <c r="AD1240" s="19" t="str">
        <f ca="1">IFERROR(DATEDIF(DadosViagem5[[#This Row],[Utimo Bip Reserva]],TODAY(),"D"),"")</f>
        <v/>
      </c>
      <c r="AE1240" s="25" t="s">
        <v>49</v>
      </c>
      <c r="AF1240" s="25" t="s">
        <v>49</v>
      </c>
      <c r="AG1240" s="36"/>
      <c r="AH1240" s="25">
        <v>45807</v>
      </c>
      <c r="AI1240" s="36" t="str">
        <f>IF(DadosViagem5[[#This Row],[Dias em manutenção ]]&lt;5,"Dentro do Prazo","Fora do Prazo")</f>
        <v>Fora do Prazo</v>
      </c>
      <c r="AJ1240" s="36" t="e">
        <v>#REF!</v>
      </c>
    </row>
    <row r="1241" spans="1:36">
      <c r="A1241" s="19" t="s">
        <v>2128</v>
      </c>
      <c r="B1241" s="20">
        <v>318</v>
      </c>
      <c r="C1241" s="19" t="s">
        <v>74</v>
      </c>
      <c r="D1241" s="19" t="s">
        <v>52</v>
      </c>
      <c r="E1241" s="19" t="s">
        <v>75</v>
      </c>
      <c r="F1241" s="19" t="s">
        <v>115</v>
      </c>
      <c r="G1241" s="19"/>
      <c r="H1241" s="20">
        <v>2023</v>
      </c>
      <c r="I1241" s="19" t="s">
        <v>1738</v>
      </c>
      <c r="J1241" s="19" t="s">
        <v>2052</v>
      </c>
      <c r="K1241" s="21" t="s">
        <v>2113</v>
      </c>
      <c r="L1241" s="22" t="s">
        <v>60</v>
      </c>
      <c r="M1241" s="23" t="s">
        <v>77</v>
      </c>
      <c r="N1241" s="25" t="s">
        <v>2053</v>
      </c>
      <c r="O1241" s="25" t="s">
        <v>1713</v>
      </c>
      <c r="P1241" s="26">
        <f ca="1">IFERROR(VLOOKUP(DadosViagem5[[#This Row],[Placa]],[1]BIP!A:E,5,FALSE),"")</f>
        <v>45989</v>
      </c>
      <c r="Q1241" s="27">
        <f ca="1">DATEDIF(DadosViagem5[[#This Row],[BIP]],TODAY(),"D")</f>
        <v>1</v>
      </c>
      <c r="R1241" s="28" t="str">
        <f>IFERROR(VLOOKUP(DadosViagem5[[#This Row],[Placa]],[1]DDS!B:C,2,FALSE),"Verificar cadastro")</f>
        <v>Operando</v>
      </c>
      <c r="S1241" s="29" t="s">
        <v>48</v>
      </c>
      <c r="T1241" s="23"/>
      <c r="U1241" s="30"/>
      <c r="V1241" s="31"/>
      <c r="W1241" s="32" t="s">
        <v>2129</v>
      </c>
      <c r="X1241" s="33"/>
      <c r="Y1241" s="34"/>
      <c r="Z1241" s="32" t="s">
        <v>2130</v>
      </c>
      <c r="AA1241" s="20" t="s">
        <v>49</v>
      </c>
      <c r="AB1241" s="20" t="s">
        <v>49</v>
      </c>
      <c r="AC1241" s="19" t="s">
        <v>49</v>
      </c>
      <c r="AD1241" s="19" t="str">
        <f ca="1">IFERROR(DATEDIF(DadosViagem5[[#This Row],[Utimo Bip Reserva]],TODAY(),"D"),"")</f>
        <v/>
      </c>
      <c r="AE1241" s="25" t="s">
        <v>49</v>
      </c>
      <c r="AF1241" s="25" t="s">
        <v>49</v>
      </c>
      <c r="AG1241" s="36" t="s">
        <v>1056</v>
      </c>
      <c r="AH1241" s="25">
        <v>45807</v>
      </c>
      <c r="AI1241" s="36" t="str">
        <f>IF(DadosViagem5[[#This Row],[Dias em manutenção ]]&lt;5,"Dentro do Prazo","Fora do Prazo")</f>
        <v>Fora do Prazo</v>
      </c>
      <c r="AJ1241" s="36" t="e">
        <v>#REF!</v>
      </c>
    </row>
    <row r="1242" spans="1:36">
      <c r="A1242" s="19" t="s">
        <v>2131</v>
      </c>
      <c r="B1242" s="20">
        <v>389</v>
      </c>
      <c r="C1242" s="19" t="s">
        <v>74</v>
      </c>
      <c r="D1242" s="19" t="s">
        <v>52</v>
      </c>
      <c r="E1242" s="19" t="s">
        <v>75</v>
      </c>
      <c r="F1242" s="19" t="s">
        <v>115</v>
      </c>
      <c r="G1242" s="19"/>
      <c r="H1242" s="20">
        <v>2023</v>
      </c>
      <c r="I1242" s="19" t="s">
        <v>1738</v>
      </c>
      <c r="J1242" s="19" t="s">
        <v>2052</v>
      </c>
      <c r="K1242" s="21" t="s">
        <v>2113</v>
      </c>
      <c r="L1242" s="22" t="s">
        <v>60</v>
      </c>
      <c r="M1242" s="23" t="s">
        <v>77</v>
      </c>
      <c r="N1242" s="25" t="s">
        <v>2053</v>
      </c>
      <c r="O1242" s="25" t="s">
        <v>1713</v>
      </c>
      <c r="P1242" s="26">
        <f ca="1">IFERROR(VLOOKUP(DadosViagem5[[#This Row],[Placa]],[1]BIP!A:E,5,FALSE),"")</f>
        <v>45978</v>
      </c>
      <c r="Q1242" s="27">
        <f ca="1">DATEDIF(DadosViagem5[[#This Row],[BIP]],TODAY(),"D")</f>
        <v>12</v>
      </c>
      <c r="R1242" s="28" t="str">
        <f>IFERROR(VLOOKUP(DadosViagem5[[#This Row],[Placa]],[1]DDS!B:C,2,FALSE),"Verificar cadastro")</f>
        <v>Manutenção</v>
      </c>
      <c r="S1242" s="29" t="s">
        <v>48</v>
      </c>
      <c r="T1242" s="23"/>
      <c r="U1242" s="30"/>
      <c r="V1242" s="31"/>
      <c r="W1242" s="32" t="s">
        <v>2043</v>
      </c>
      <c r="X1242" s="33"/>
      <c r="Y1242" s="34"/>
      <c r="Z1242" s="32"/>
      <c r="AA1242" s="20" t="s">
        <v>49</v>
      </c>
      <c r="AB1242" s="20" t="s">
        <v>49</v>
      </c>
      <c r="AC1242" s="19" t="s">
        <v>49</v>
      </c>
      <c r="AD1242" s="19" t="str">
        <f ca="1">IFERROR(DATEDIF(DadosViagem5[[#This Row],[Utimo Bip Reserva]],TODAY(),"D"),"")</f>
        <v/>
      </c>
      <c r="AE1242" s="29"/>
      <c r="AF1242" s="35"/>
      <c r="AG1242" s="36"/>
      <c r="AH1242" s="25">
        <v>45807</v>
      </c>
      <c r="AI1242" s="36" t="str">
        <f>IF(DadosViagem5[[#This Row],[Dias em manutenção ]]&lt;5,"Dentro do Prazo","Fora do Prazo")</f>
        <v>Fora do Prazo</v>
      </c>
      <c r="AJ1242" s="36" t="e">
        <v>#REF!</v>
      </c>
    </row>
    <row r="1243" spans="1:36">
      <c r="A1243" s="19" t="s">
        <v>2132</v>
      </c>
      <c r="B1243" s="20"/>
      <c r="C1243" s="19" t="s">
        <v>88</v>
      </c>
      <c r="D1243" s="19" t="s">
        <v>52</v>
      </c>
      <c r="E1243" s="19" t="s">
        <v>114</v>
      </c>
      <c r="F1243" s="19" t="s">
        <v>115</v>
      </c>
      <c r="G1243" s="19"/>
      <c r="H1243" s="20">
        <v>2021</v>
      </c>
      <c r="I1243" s="19" t="s">
        <v>1738</v>
      </c>
      <c r="J1243" s="19" t="s">
        <v>2052</v>
      </c>
      <c r="K1243" s="21" t="s">
        <v>2113</v>
      </c>
      <c r="L1243" s="22" t="s">
        <v>60</v>
      </c>
      <c r="M1243" s="23" t="s">
        <v>140</v>
      </c>
      <c r="N1243" s="25" t="s">
        <v>2053</v>
      </c>
      <c r="O1243" s="25" t="s">
        <v>1713</v>
      </c>
      <c r="P1243" s="26">
        <f ca="1">IFERROR(VLOOKUP(DadosViagem5[[#This Row],[Placa]],[1]BIP!A:E,5,FALSE),"")</f>
        <v>45948</v>
      </c>
      <c r="Q1243" s="27">
        <f ca="1">DATEDIF(DadosViagem5[[#This Row],[BIP]],TODAY(),"D")</f>
        <v>42</v>
      </c>
      <c r="R1243" s="28" t="str">
        <f>IFERROR(VLOOKUP(DadosViagem5[[#This Row],[Placa]],[1]DDS!B:C,2,FALSE),"Verificar cadastro")</f>
        <v>Manutenção</v>
      </c>
      <c r="S1243" s="29" t="s">
        <v>48</v>
      </c>
      <c r="T1243" s="23"/>
      <c r="U1243" s="30"/>
      <c r="V1243" s="31"/>
      <c r="W1243" s="32"/>
      <c r="X1243" s="33"/>
      <c r="Y1243" s="34"/>
      <c r="Z1243" s="42"/>
      <c r="AA1243" s="20" t="s">
        <v>49</v>
      </c>
      <c r="AB1243" s="20" t="s">
        <v>49</v>
      </c>
      <c r="AC1243" s="19" t="s">
        <v>49</v>
      </c>
      <c r="AD1243" s="19" t="str">
        <f ca="1">IFERROR(DATEDIF(DadosViagem5[[#This Row],[Utimo Bip Reserva]],TODAY(),"D"),"")</f>
        <v/>
      </c>
      <c r="AE1243" s="36" t="s">
        <v>49</v>
      </c>
      <c r="AF1243" s="25" t="s">
        <v>49</v>
      </c>
      <c r="AG1243" s="30" t="s">
        <v>153</v>
      </c>
      <c r="AH1243" s="25">
        <v>52</v>
      </c>
      <c r="AI1243" s="36" t="str">
        <f>IF(DadosViagem5[[#This Row],[Dias em manutenção ]]&lt;5,"Dentro do Prazo","Fora do Prazo")</f>
        <v>Fora do Prazo</v>
      </c>
      <c r="AJ1243" s="36" t="e">
        <v>#REF!</v>
      </c>
    </row>
    <row r="1244" spans="1:36">
      <c r="A1244" s="19" t="s">
        <v>2133</v>
      </c>
      <c r="B1244" s="20">
        <v>315</v>
      </c>
      <c r="C1244" s="19" t="s">
        <v>74</v>
      </c>
      <c r="D1244" s="19" t="s">
        <v>52</v>
      </c>
      <c r="E1244" s="19" t="s">
        <v>75</v>
      </c>
      <c r="F1244" s="19" t="s">
        <v>396</v>
      </c>
      <c r="G1244" s="19"/>
      <c r="H1244" s="20">
        <v>2023</v>
      </c>
      <c r="I1244" s="19" t="s">
        <v>1738</v>
      </c>
      <c r="J1244" s="19" t="s">
        <v>2052</v>
      </c>
      <c r="K1244" s="21" t="s">
        <v>2113</v>
      </c>
      <c r="L1244" s="22" t="s">
        <v>60</v>
      </c>
      <c r="M1244" s="23" t="s">
        <v>77</v>
      </c>
      <c r="N1244" s="25" t="s">
        <v>2053</v>
      </c>
      <c r="O1244" s="25" t="s">
        <v>1713</v>
      </c>
      <c r="P1244" s="26">
        <f ca="1">IFERROR(VLOOKUP(DadosViagem5[[#This Row],[Placa]],[1]BIP!A:E,5,FALSE),"")</f>
        <v>45989</v>
      </c>
      <c r="Q1244" s="27">
        <f ca="1">DATEDIF(DadosViagem5[[#This Row],[BIP]],TODAY(),"D")</f>
        <v>1</v>
      </c>
      <c r="R1244" s="28" t="str">
        <f>IFERROR(VLOOKUP(DadosViagem5[[#This Row],[Placa]],[1]DDS!B:C,2,FALSE),"Verificar cadastro")</f>
        <v>Operando</v>
      </c>
      <c r="S1244" s="29" t="s">
        <v>48</v>
      </c>
      <c r="T1244" s="23"/>
      <c r="U1244" s="30"/>
      <c r="V1244" s="31"/>
      <c r="W1244" s="32"/>
      <c r="X1244" s="33"/>
      <c r="Y1244" s="34"/>
      <c r="Z1244" s="42"/>
      <c r="AA1244" s="20" t="s">
        <v>49</v>
      </c>
      <c r="AB1244" s="20" t="s">
        <v>49</v>
      </c>
      <c r="AC1244" s="19" t="s">
        <v>49</v>
      </c>
      <c r="AD1244" s="19" t="str">
        <f ca="1">IFERROR(DATEDIF(DadosViagem5[[#This Row],[Utimo Bip Reserva]],TODAY(),"D"),"")</f>
        <v/>
      </c>
      <c r="AE1244" s="36"/>
      <c r="AF1244" s="25"/>
      <c r="AG1244" s="30"/>
      <c r="AH1244" s="25">
        <v>45807</v>
      </c>
      <c r="AI1244" s="36" t="str">
        <f>IF(DadosViagem5[[#This Row],[Dias em manutenção ]]&lt;5,"Dentro do Prazo","Fora do Prazo")</f>
        <v>Fora do Prazo</v>
      </c>
      <c r="AJ1244" s="36" t="e">
        <v>#REF!</v>
      </c>
    </row>
    <row r="1245" spans="1:36">
      <c r="A1245" s="19" t="s">
        <v>2134</v>
      </c>
      <c r="B1245" s="20"/>
      <c r="C1245" s="19" t="s">
        <v>74</v>
      </c>
      <c r="D1245" s="19" t="s">
        <v>52</v>
      </c>
      <c r="E1245" s="19" t="s">
        <v>75</v>
      </c>
      <c r="F1245" s="19" t="s">
        <v>115</v>
      </c>
      <c r="G1245" s="19"/>
      <c r="H1245" s="20">
        <v>2023</v>
      </c>
      <c r="I1245" s="19" t="s">
        <v>1738</v>
      </c>
      <c r="J1245" s="19" t="s">
        <v>2052</v>
      </c>
      <c r="K1245" s="21" t="s">
        <v>2113</v>
      </c>
      <c r="L1245" s="22" t="s">
        <v>60</v>
      </c>
      <c r="M1245" s="23" t="s">
        <v>77</v>
      </c>
      <c r="N1245" s="25" t="s">
        <v>2053</v>
      </c>
      <c r="O1245" s="25" t="s">
        <v>1713</v>
      </c>
      <c r="P1245" s="26">
        <f ca="1">IFERROR(VLOOKUP(DadosViagem5[[#This Row],[Placa]],[1]BIP!A:E,5,FALSE),"")</f>
        <v>45989</v>
      </c>
      <c r="Q1245" s="27">
        <f ca="1">DATEDIF(DadosViagem5[[#This Row],[BIP]],TODAY(),"D")</f>
        <v>1</v>
      </c>
      <c r="R1245" s="28" t="str">
        <f>IFERROR(VLOOKUP(DadosViagem5[[#This Row],[Placa]],[1]DDS!B:C,2,FALSE),"Verificar cadastro")</f>
        <v>Carregado</v>
      </c>
      <c r="S1245" s="29" t="s">
        <v>48</v>
      </c>
      <c r="T1245" s="23"/>
      <c r="U1245" s="30"/>
      <c r="V1245" s="31"/>
      <c r="W1245" s="32"/>
      <c r="X1245" s="33"/>
      <c r="Y1245" s="34"/>
      <c r="Z1245" s="42"/>
      <c r="AA1245" s="20" t="s">
        <v>49</v>
      </c>
      <c r="AB1245" s="20" t="s">
        <v>49</v>
      </c>
      <c r="AC1245" s="19" t="s">
        <v>49</v>
      </c>
      <c r="AD1245" s="19" t="str">
        <f ca="1">IFERROR(DATEDIF(DadosViagem5[[#This Row],[Utimo Bip Reserva]],TODAY(),"D"),"")</f>
        <v/>
      </c>
      <c r="AE1245" s="35" t="s">
        <v>49</v>
      </c>
      <c r="AF1245" s="35" t="s">
        <v>49</v>
      </c>
      <c r="AG1245" s="36"/>
      <c r="AH1245" s="25">
        <v>45807</v>
      </c>
      <c r="AI1245" s="36" t="str">
        <f>IF(DadosViagem5[[#This Row],[Dias em manutenção ]]&lt;5,"Dentro do Prazo","Fora do Prazo")</f>
        <v>Fora do Prazo</v>
      </c>
      <c r="AJ1245" s="36" t="e">
        <v>#REF!</v>
      </c>
    </row>
    <row r="1246" spans="1:36">
      <c r="A1246" s="19" t="s">
        <v>2135</v>
      </c>
      <c r="B1246" s="20">
        <v>366</v>
      </c>
      <c r="C1246" s="19" t="s">
        <v>74</v>
      </c>
      <c r="D1246" s="19" t="s">
        <v>52</v>
      </c>
      <c r="E1246" s="19" t="s">
        <v>75</v>
      </c>
      <c r="F1246" s="19" t="s">
        <v>76</v>
      </c>
      <c r="G1246" s="19"/>
      <c r="H1246" s="20">
        <v>2023</v>
      </c>
      <c r="I1246" s="19" t="s">
        <v>1738</v>
      </c>
      <c r="J1246" s="19" t="s">
        <v>2052</v>
      </c>
      <c r="K1246" s="21" t="s">
        <v>2113</v>
      </c>
      <c r="L1246" s="22" t="s">
        <v>60</v>
      </c>
      <c r="M1246" s="23" t="s">
        <v>77</v>
      </c>
      <c r="N1246" s="25" t="s">
        <v>2053</v>
      </c>
      <c r="O1246" s="25" t="s">
        <v>1713</v>
      </c>
      <c r="P1246" s="26">
        <f ca="1">IFERROR(VLOOKUP(DadosViagem5[[#This Row],[Placa]],[1]BIP!A:E,5,FALSE),"")</f>
        <v>45967</v>
      </c>
      <c r="Q1246" s="27">
        <f ca="1">DATEDIF(DadosViagem5[[#This Row],[BIP]],TODAY(),"D")</f>
        <v>23</v>
      </c>
      <c r="R1246" s="28" t="str">
        <f>IFERROR(VLOOKUP(DadosViagem5[[#This Row],[Placa]],[1]DDS!B:C,2,FALSE),"Verificar cadastro")</f>
        <v>Manutenção</v>
      </c>
      <c r="S1246" s="29" t="s">
        <v>48</v>
      </c>
      <c r="T1246" s="23"/>
      <c r="U1246" s="30"/>
      <c r="V1246" s="31"/>
      <c r="W1246" s="32"/>
      <c r="X1246" s="33"/>
      <c r="Y1246" s="86"/>
      <c r="Z1246" s="42"/>
      <c r="AA1246" s="20" t="s">
        <v>49</v>
      </c>
      <c r="AB1246" s="20" t="s">
        <v>49</v>
      </c>
      <c r="AC1246" s="19" t="s">
        <v>49</v>
      </c>
      <c r="AD1246" s="19" t="str">
        <f ca="1">IFERROR(DATEDIF(DadosViagem5[[#This Row],[Utimo Bip Reserva]],TODAY(),"D"),"")</f>
        <v/>
      </c>
      <c r="AE1246" s="36" t="s">
        <v>49</v>
      </c>
      <c r="AF1246" s="25" t="s">
        <v>49</v>
      </c>
      <c r="AG1246" s="36"/>
      <c r="AH1246" s="25">
        <v>45807</v>
      </c>
      <c r="AI1246" s="36" t="str">
        <f>IF(DadosViagem5[[#This Row],[Dias em manutenção ]]&lt;5,"Dentro do Prazo","Fora do Prazo")</f>
        <v>Fora do Prazo</v>
      </c>
      <c r="AJ1246" s="36" t="e">
        <v>#REF!</v>
      </c>
    </row>
    <row r="1247" spans="1:36">
      <c r="A1247" s="19" t="s">
        <v>2136</v>
      </c>
      <c r="B1247" s="20"/>
      <c r="C1247" s="19" t="s">
        <v>562</v>
      </c>
      <c r="D1247" s="19" t="s">
        <v>563</v>
      </c>
      <c r="E1247" s="19" t="s">
        <v>114</v>
      </c>
      <c r="F1247" s="19" t="s">
        <v>115</v>
      </c>
      <c r="G1247" s="19"/>
      <c r="H1247" s="20">
        <v>2022</v>
      </c>
      <c r="I1247" s="19" t="s">
        <v>1738</v>
      </c>
      <c r="J1247" s="19" t="s">
        <v>2052</v>
      </c>
      <c r="K1247" s="21" t="s">
        <v>2113</v>
      </c>
      <c r="L1247" s="22" t="s">
        <v>60</v>
      </c>
      <c r="M1247" s="23" t="s">
        <v>140</v>
      </c>
      <c r="N1247" s="25" t="s">
        <v>2053</v>
      </c>
      <c r="O1247" s="25" t="s">
        <v>1713</v>
      </c>
      <c r="P1247" s="26">
        <f ca="1">IFERROR(VLOOKUP(DadosViagem5[[#This Row],[Placa]],[1]BIP!A:E,5,FALSE),"")</f>
        <v>45986</v>
      </c>
      <c r="Q1247" s="27">
        <f ca="1">DATEDIF(DadosViagem5[[#This Row],[BIP]],TODAY(),"D")</f>
        <v>4</v>
      </c>
      <c r="R1247" s="28" t="str">
        <f>IFERROR(VLOOKUP(DadosViagem5[[#This Row],[Placa]],[1]DDS!B:C,2,FALSE),"Verificar cadastro")</f>
        <v>Manutenção</v>
      </c>
      <c r="S1247" s="29" t="s">
        <v>48</v>
      </c>
      <c r="T1247" s="23"/>
      <c r="U1247" s="30"/>
      <c r="V1247" s="31"/>
      <c r="W1247" s="32"/>
      <c r="X1247" s="33"/>
      <c r="Y1247" s="86"/>
      <c r="Z1247" s="32"/>
      <c r="AA1247" s="20" t="s">
        <v>49</v>
      </c>
      <c r="AB1247" s="20" t="s">
        <v>49</v>
      </c>
      <c r="AC1247" s="19" t="s">
        <v>49</v>
      </c>
      <c r="AD1247" s="19" t="str">
        <f ca="1">IFERROR(DATEDIF(DadosViagem5[[#This Row],[Utimo Bip Reserva]],TODAY(),"D"),"")</f>
        <v/>
      </c>
      <c r="AE1247" s="36" t="s">
        <v>49</v>
      </c>
      <c r="AF1247" s="25" t="s">
        <v>49</v>
      </c>
      <c r="AG1247" s="36"/>
      <c r="AH1247" s="25">
        <v>45807</v>
      </c>
      <c r="AI1247" s="36" t="str">
        <f>IF(DadosViagem5[[#This Row],[Dias em manutenção ]]&lt;5,"Dentro do Prazo","Fora do Prazo")</f>
        <v>Fora do Prazo</v>
      </c>
      <c r="AJ1247" s="36" t="e">
        <v>#REF!</v>
      </c>
    </row>
    <row r="1248" spans="1:36">
      <c r="A1248" s="19" t="s">
        <v>2137</v>
      </c>
      <c r="B1248" s="20"/>
      <c r="C1248" s="19" t="s">
        <v>562</v>
      </c>
      <c r="D1248" s="19" t="s">
        <v>563</v>
      </c>
      <c r="E1248" s="19" t="s">
        <v>114</v>
      </c>
      <c r="F1248" s="19" t="s">
        <v>115</v>
      </c>
      <c r="G1248" s="19"/>
      <c r="H1248" s="20">
        <v>2022</v>
      </c>
      <c r="I1248" s="19" t="s">
        <v>1738</v>
      </c>
      <c r="J1248" s="19" t="s">
        <v>2052</v>
      </c>
      <c r="K1248" s="21" t="s">
        <v>2113</v>
      </c>
      <c r="L1248" s="22" t="s">
        <v>60</v>
      </c>
      <c r="M1248" s="23" t="s">
        <v>140</v>
      </c>
      <c r="N1248" s="25" t="s">
        <v>2053</v>
      </c>
      <c r="O1248" s="25" t="s">
        <v>1713</v>
      </c>
      <c r="P1248" s="26">
        <f ca="1">IFERROR(VLOOKUP(DadosViagem5[[#This Row],[Placa]],[1]BIP!A:E,5,FALSE),"")</f>
        <v>45989</v>
      </c>
      <c r="Q1248" s="27">
        <f ca="1">DATEDIF(DadosViagem5[[#This Row],[BIP]],TODAY(),"D")</f>
        <v>1</v>
      </c>
      <c r="R1248" s="28" t="str">
        <f>IFERROR(VLOOKUP(DadosViagem5[[#This Row],[Placa]],[1]DDS!B:C,2,FALSE),"Verificar cadastro")</f>
        <v>Operando</v>
      </c>
      <c r="S1248" s="29" t="s">
        <v>48</v>
      </c>
      <c r="T1248" s="23"/>
      <c r="U1248" s="30"/>
      <c r="V1248" s="31"/>
      <c r="W1248" s="32"/>
      <c r="X1248" s="57"/>
      <c r="Y1248" s="86"/>
      <c r="Z1248" s="11"/>
      <c r="AA1248" s="20" t="s">
        <v>49</v>
      </c>
      <c r="AB1248" s="20" t="s">
        <v>49</v>
      </c>
      <c r="AC1248" s="19" t="s">
        <v>49</v>
      </c>
      <c r="AD1248" s="19" t="str">
        <f ca="1">IFERROR(DATEDIF(DadosViagem5[[#This Row],[Utimo Bip Reserva]],TODAY(),"D"),"")</f>
        <v/>
      </c>
      <c r="AE1248" s="36" t="s">
        <v>49</v>
      </c>
      <c r="AF1248" s="25" t="s">
        <v>49</v>
      </c>
      <c r="AG1248" s="36"/>
      <c r="AH1248" s="25">
        <v>45807</v>
      </c>
      <c r="AI1248" s="36" t="str">
        <f>IF(DadosViagem5[[#This Row],[Dias em manutenção ]]&lt;5,"Dentro do Prazo","Fora do Prazo")</f>
        <v>Fora do Prazo</v>
      </c>
      <c r="AJ1248" s="36" t="e">
        <v>#REF!</v>
      </c>
    </row>
    <row r="1249" spans="1:36">
      <c r="A1249" s="19" t="s">
        <v>2138</v>
      </c>
      <c r="B1249" s="20"/>
      <c r="C1249" s="19" t="s">
        <v>562</v>
      </c>
      <c r="D1249" s="19" t="s">
        <v>563</v>
      </c>
      <c r="E1249" s="19" t="s">
        <v>114</v>
      </c>
      <c r="F1249" s="19" t="s">
        <v>115</v>
      </c>
      <c r="G1249" s="19"/>
      <c r="H1249" s="20">
        <v>2022</v>
      </c>
      <c r="I1249" s="19" t="s">
        <v>1738</v>
      </c>
      <c r="J1249" s="19" t="s">
        <v>2052</v>
      </c>
      <c r="K1249" s="21" t="s">
        <v>2113</v>
      </c>
      <c r="L1249" s="22" t="s">
        <v>60</v>
      </c>
      <c r="M1249" s="23" t="s">
        <v>140</v>
      </c>
      <c r="N1249" s="25" t="s">
        <v>2053</v>
      </c>
      <c r="O1249" s="25" t="s">
        <v>1713</v>
      </c>
      <c r="P1249" s="26">
        <f ca="1">IFERROR(VLOOKUP(DadosViagem5[[#This Row],[Placa]],[1]BIP!A:E,5,FALSE),"")</f>
        <v>45986</v>
      </c>
      <c r="Q1249" s="27">
        <f ca="1">DATEDIF(DadosViagem5[[#This Row],[BIP]],TODAY(),"D")</f>
        <v>4</v>
      </c>
      <c r="R1249" s="28" t="str">
        <f>IFERROR(VLOOKUP(DadosViagem5[[#This Row],[Placa]],[1]DDS!B:C,2,FALSE),"Verificar cadastro")</f>
        <v>Manutenção</v>
      </c>
      <c r="S1249" s="29" t="s">
        <v>48</v>
      </c>
      <c r="T1249" s="23"/>
      <c r="U1249" s="30"/>
      <c r="V1249" s="31"/>
      <c r="W1249" s="32"/>
      <c r="X1249" s="33"/>
      <c r="Y1249" s="34"/>
      <c r="Z1249" s="42"/>
      <c r="AA1249" s="20" t="s">
        <v>49</v>
      </c>
      <c r="AB1249" s="20" t="s">
        <v>49</v>
      </c>
      <c r="AC1249" s="19" t="s">
        <v>49</v>
      </c>
      <c r="AD1249" s="19" t="str">
        <f ca="1">IFERROR(DATEDIF(DadosViagem5[[#This Row],[Utimo Bip Reserva]],TODAY(),"D"),"")</f>
        <v/>
      </c>
      <c r="AE1249" s="36" t="s">
        <v>2139</v>
      </c>
      <c r="AF1249" s="25" t="s">
        <v>49</v>
      </c>
      <c r="AG1249" s="36"/>
      <c r="AH1249" s="25">
        <v>45807</v>
      </c>
      <c r="AI1249" s="36" t="str">
        <f>IF(DadosViagem5[[#This Row],[Dias em manutenção ]]&lt;5,"Dentro do Prazo","Fora do Prazo")</f>
        <v>Fora do Prazo</v>
      </c>
      <c r="AJ1249" s="36" t="e">
        <v>#REF!</v>
      </c>
    </row>
    <row r="1250" spans="1:36">
      <c r="A1250" s="19" t="s">
        <v>2140</v>
      </c>
      <c r="B1250" s="20"/>
      <c r="C1250" s="19" t="s">
        <v>562</v>
      </c>
      <c r="D1250" s="19" t="s">
        <v>563</v>
      </c>
      <c r="E1250" s="19" t="s">
        <v>114</v>
      </c>
      <c r="F1250" s="19" t="s">
        <v>115</v>
      </c>
      <c r="G1250" s="19"/>
      <c r="H1250" s="20">
        <v>2022</v>
      </c>
      <c r="I1250" s="19" t="s">
        <v>1738</v>
      </c>
      <c r="J1250" s="19" t="s">
        <v>2052</v>
      </c>
      <c r="K1250" s="21" t="s">
        <v>2113</v>
      </c>
      <c r="L1250" s="22" t="s">
        <v>60</v>
      </c>
      <c r="M1250" s="23" t="s">
        <v>140</v>
      </c>
      <c r="N1250" s="25" t="s">
        <v>2053</v>
      </c>
      <c r="O1250" s="25" t="s">
        <v>1713</v>
      </c>
      <c r="P1250" s="26">
        <f ca="1">IFERROR(VLOOKUP(DadosViagem5[[#This Row],[Placa]],[1]BIP!A:E,5,FALSE),"")</f>
        <v>45989</v>
      </c>
      <c r="Q1250" s="27">
        <f ca="1">DATEDIF(DadosViagem5[[#This Row],[BIP]],TODAY(),"D")</f>
        <v>1</v>
      </c>
      <c r="R1250" s="28" t="str">
        <f>IFERROR(VLOOKUP(DadosViagem5[[#This Row],[Placa]],[1]DDS!B:C,2,FALSE),"Verificar cadastro")</f>
        <v>Operando</v>
      </c>
      <c r="S1250" s="29" t="s">
        <v>48</v>
      </c>
      <c r="T1250" s="23"/>
      <c r="U1250" s="30"/>
      <c r="V1250" s="31"/>
      <c r="W1250" s="32" t="s">
        <v>2141</v>
      </c>
      <c r="X1250" s="33"/>
      <c r="Y1250" s="34"/>
      <c r="Z1250" s="32"/>
      <c r="AA1250" s="20" t="s">
        <v>49</v>
      </c>
      <c r="AB1250" s="20" t="s">
        <v>49</v>
      </c>
      <c r="AC1250" s="19" t="s">
        <v>49</v>
      </c>
      <c r="AD1250" s="19" t="str">
        <f ca="1">IFERROR(DATEDIF(DadosViagem5[[#This Row],[Utimo Bip Reserva]],TODAY(),"D"),"")</f>
        <v/>
      </c>
      <c r="AE1250" s="36" t="s">
        <v>49</v>
      </c>
      <c r="AF1250" s="25" t="s">
        <v>49</v>
      </c>
      <c r="AG1250" s="36"/>
      <c r="AH1250" s="25">
        <v>45807</v>
      </c>
      <c r="AI1250" s="36" t="str">
        <f>IF(DadosViagem5[[#This Row],[Dias em manutenção ]]&lt;5,"Dentro do Prazo","Fora do Prazo")</f>
        <v>Fora do Prazo</v>
      </c>
      <c r="AJ1250" s="36" t="e">
        <v>#REF!</v>
      </c>
    </row>
    <row r="1251" spans="1:36">
      <c r="A1251" s="19" t="s">
        <v>2142</v>
      </c>
      <c r="B1251" s="20">
        <v>291</v>
      </c>
      <c r="C1251" s="19" t="s">
        <v>74</v>
      </c>
      <c r="D1251" s="19" t="s">
        <v>52</v>
      </c>
      <c r="E1251" s="19" t="s">
        <v>75</v>
      </c>
      <c r="F1251" s="19" t="s">
        <v>115</v>
      </c>
      <c r="G1251" s="19"/>
      <c r="H1251" s="20">
        <v>2023</v>
      </c>
      <c r="I1251" s="19" t="s">
        <v>1738</v>
      </c>
      <c r="J1251" s="19" t="s">
        <v>2052</v>
      </c>
      <c r="K1251" s="21" t="s">
        <v>2113</v>
      </c>
      <c r="L1251" s="22" t="s">
        <v>60</v>
      </c>
      <c r="M1251" s="23" t="s">
        <v>77</v>
      </c>
      <c r="N1251" s="25" t="s">
        <v>2053</v>
      </c>
      <c r="O1251" s="25" t="s">
        <v>1713</v>
      </c>
      <c r="P1251" s="26">
        <f ca="1">IFERROR(VLOOKUP(DadosViagem5[[#This Row],[Placa]],[1]BIP!A:E,5,FALSE),"")</f>
        <v>45989</v>
      </c>
      <c r="Q1251" s="27">
        <f ca="1">DATEDIF(DadosViagem5[[#This Row],[BIP]],TODAY(),"D")</f>
        <v>1</v>
      </c>
      <c r="R1251" s="28" t="str">
        <f>IFERROR(VLOOKUP(DadosViagem5[[#This Row],[Placa]],[1]DDS!B:C,2,FALSE),"Verificar cadastro")</f>
        <v>Operando</v>
      </c>
      <c r="S1251" s="29" t="s">
        <v>48</v>
      </c>
      <c r="T1251" s="23"/>
      <c r="U1251" s="30"/>
      <c r="V1251" s="31"/>
      <c r="W1251" s="32"/>
      <c r="X1251" s="33"/>
      <c r="Y1251" s="34"/>
      <c r="Z1251" s="32"/>
      <c r="AA1251" s="20" t="s">
        <v>49</v>
      </c>
      <c r="AB1251" s="20" t="s">
        <v>49</v>
      </c>
      <c r="AC1251" s="19" t="s">
        <v>49</v>
      </c>
      <c r="AD1251" s="19" t="str">
        <f ca="1">IFERROR(DATEDIF(DadosViagem5[[#This Row],[Utimo Bip Reserva]],TODAY(),"D"),"")</f>
        <v/>
      </c>
      <c r="AE1251" s="16" t="s">
        <v>49</v>
      </c>
      <c r="AF1251" s="16" t="s">
        <v>49</v>
      </c>
      <c r="AG1251" s="36"/>
      <c r="AH1251" s="25">
        <v>10</v>
      </c>
      <c r="AI1251" s="36" t="str">
        <f>IF(DadosViagem5[[#This Row],[Dias em manutenção ]]&lt;5,"Dentro do Prazo","Fora do Prazo")</f>
        <v>Fora do Prazo</v>
      </c>
      <c r="AJ1251" s="36" t="e">
        <v>#REF!</v>
      </c>
    </row>
    <row r="1252" spans="1:36">
      <c r="A1252" s="19" t="s">
        <v>2143</v>
      </c>
      <c r="B1252" s="20"/>
      <c r="C1252" s="19" t="s">
        <v>131</v>
      </c>
      <c r="D1252" s="19" t="s">
        <v>132</v>
      </c>
      <c r="E1252" s="19" t="s">
        <v>114</v>
      </c>
      <c r="F1252" s="19" t="s">
        <v>115</v>
      </c>
      <c r="G1252" s="19"/>
      <c r="H1252" s="20">
        <v>2022</v>
      </c>
      <c r="I1252" s="19" t="s">
        <v>1738</v>
      </c>
      <c r="J1252" s="19" t="s">
        <v>2052</v>
      </c>
      <c r="K1252" s="21" t="s">
        <v>2113</v>
      </c>
      <c r="L1252" s="22" t="s">
        <v>60</v>
      </c>
      <c r="M1252" s="23" t="s">
        <v>140</v>
      </c>
      <c r="N1252" s="25" t="s">
        <v>2053</v>
      </c>
      <c r="O1252" s="25" t="s">
        <v>1713</v>
      </c>
      <c r="P1252" s="26">
        <f ca="1">IFERROR(VLOOKUP(DadosViagem5[[#This Row],[Placa]],[1]BIP!A:E,5,FALSE),"")</f>
        <v>45989</v>
      </c>
      <c r="Q1252" s="27">
        <f ca="1">DATEDIF(DadosViagem5[[#This Row],[BIP]],TODAY(),"D")</f>
        <v>1</v>
      </c>
      <c r="R1252" s="28" t="str">
        <f>IFERROR(VLOOKUP(DadosViagem5[[#This Row],[Placa]],[1]DDS!B:C,2,FALSE),"Verificar cadastro")</f>
        <v>Operando</v>
      </c>
      <c r="S1252" s="29" t="s">
        <v>48</v>
      </c>
      <c r="T1252" s="23"/>
      <c r="U1252" s="30"/>
      <c r="V1252" s="31"/>
      <c r="W1252" s="32" t="s">
        <v>854</v>
      </c>
      <c r="X1252" s="33"/>
      <c r="Y1252" s="34"/>
      <c r="Z1252" s="32"/>
      <c r="AA1252" s="20" t="s">
        <v>49</v>
      </c>
      <c r="AB1252" s="20" t="s">
        <v>49</v>
      </c>
      <c r="AC1252" s="19" t="s">
        <v>49</v>
      </c>
      <c r="AD1252" s="19" t="str">
        <f ca="1">IFERROR(DATEDIF(DadosViagem5[[#This Row],[Utimo Bip Reserva]],TODAY(),"D"),"")</f>
        <v/>
      </c>
      <c r="AE1252" s="36" t="s">
        <v>49</v>
      </c>
      <c r="AF1252" s="25" t="s">
        <v>49</v>
      </c>
      <c r="AG1252" s="36"/>
      <c r="AH1252" s="25">
        <v>45807</v>
      </c>
      <c r="AI1252" s="36" t="str">
        <f>IF(DadosViagem5[[#This Row],[Dias em manutenção ]]&lt;5,"Dentro do Prazo","Fora do Prazo")</f>
        <v>Fora do Prazo</v>
      </c>
      <c r="AJ1252" s="36" t="e">
        <v>#REF!</v>
      </c>
    </row>
    <row r="1253" spans="1:36">
      <c r="A1253" s="19" t="s">
        <v>2144</v>
      </c>
      <c r="B1253" s="20">
        <v>343</v>
      </c>
      <c r="C1253" s="19" t="s">
        <v>74</v>
      </c>
      <c r="D1253" s="19" t="s">
        <v>52</v>
      </c>
      <c r="E1253" s="19" t="s">
        <v>75</v>
      </c>
      <c r="F1253" s="19" t="s">
        <v>115</v>
      </c>
      <c r="G1253" s="19"/>
      <c r="H1253" s="20">
        <v>2023</v>
      </c>
      <c r="I1253" s="19" t="s">
        <v>1738</v>
      </c>
      <c r="J1253" s="19" t="s">
        <v>2052</v>
      </c>
      <c r="K1253" s="21" t="s">
        <v>2113</v>
      </c>
      <c r="L1253" s="22" t="s">
        <v>60</v>
      </c>
      <c r="M1253" s="23" t="s">
        <v>77</v>
      </c>
      <c r="N1253" s="25" t="s">
        <v>2053</v>
      </c>
      <c r="O1253" s="25" t="s">
        <v>1713</v>
      </c>
      <c r="P1253" s="26">
        <f ca="1">IFERROR(VLOOKUP(DadosViagem5[[#This Row],[Placa]],[1]BIP!A:E,5,FALSE),"")</f>
        <v>45989</v>
      </c>
      <c r="Q1253" s="27">
        <f ca="1">DATEDIF(DadosViagem5[[#This Row],[BIP]],TODAY(),"D")</f>
        <v>1</v>
      </c>
      <c r="R1253" s="28" t="str">
        <f>IFERROR(VLOOKUP(DadosViagem5[[#This Row],[Placa]],[1]DDS!B:C,2,FALSE),"Verificar cadastro")</f>
        <v>Operando</v>
      </c>
      <c r="S1253" s="29" t="s">
        <v>48</v>
      </c>
      <c r="T1253" s="23"/>
      <c r="U1253" s="30"/>
      <c r="V1253" s="31"/>
      <c r="W1253" s="32"/>
      <c r="X1253" s="33"/>
      <c r="Y1253" s="34"/>
      <c r="Z1253" s="32"/>
      <c r="AA1253" s="20" t="s">
        <v>49</v>
      </c>
      <c r="AB1253" s="20" t="s">
        <v>49</v>
      </c>
      <c r="AC1253" s="19" t="s">
        <v>49</v>
      </c>
      <c r="AD1253" s="19" t="str">
        <f ca="1">IFERROR(DATEDIF(DadosViagem5[[#This Row],[Utimo Bip Reserva]],TODAY(),"D"),"")</f>
        <v/>
      </c>
      <c r="AE1253" s="25" t="s">
        <v>49</v>
      </c>
      <c r="AF1253" s="25" t="s">
        <v>49</v>
      </c>
      <c r="AG1253" s="36"/>
      <c r="AH1253" s="25">
        <v>5</v>
      </c>
      <c r="AI1253" s="36" t="str">
        <f>IF(DadosViagem5[[#This Row],[Dias em manutenção ]]&lt;5,"Dentro do Prazo","Fora do Prazo")</f>
        <v>Fora do Prazo</v>
      </c>
      <c r="AJ1253" s="36" t="e">
        <v>#REF!</v>
      </c>
    </row>
    <row r="1254" spans="1:36">
      <c r="A1254" s="19" t="s">
        <v>2145</v>
      </c>
      <c r="B1254" s="20"/>
      <c r="C1254" s="19" t="s">
        <v>88</v>
      </c>
      <c r="D1254" s="19" t="s">
        <v>38</v>
      </c>
      <c r="E1254" s="19" t="s">
        <v>114</v>
      </c>
      <c r="F1254" s="19" t="s">
        <v>115</v>
      </c>
      <c r="G1254" s="19"/>
      <c r="H1254" s="20">
        <v>2021</v>
      </c>
      <c r="I1254" s="19" t="s">
        <v>1738</v>
      </c>
      <c r="J1254" s="19" t="s">
        <v>2052</v>
      </c>
      <c r="K1254" s="21" t="s">
        <v>2113</v>
      </c>
      <c r="L1254" s="22" t="s">
        <v>60</v>
      </c>
      <c r="M1254" s="23" t="s">
        <v>140</v>
      </c>
      <c r="N1254" s="25" t="s">
        <v>2053</v>
      </c>
      <c r="O1254" s="25" t="s">
        <v>1713</v>
      </c>
      <c r="P1254" s="26">
        <f ca="1">IFERROR(VLOOKUP(DadosViagem5[[#This Row],[Placa]],[1]BIP!A:E,5,FALSE),"")</f>
        <v>45989</v>
      </c>
      <c r="Q1254" s="27">
        <f ca="1">DATEDIF(DadosViagem5[[#This Row],[BIP]],TODAY(),"D")</f>
        <v>1</v>
      </c>
      <c r="R1254" s="28" t="str">
        <f>IFERROR(VLOOKUP(DadosViagem5[[#This Row],[Placa]],[1]DDS!B:C,2,FALSE),"Verificar cadastro")</f>
        <v>Operando</v>
      </c>
      <c r="S1254" s="36" t="s">
        <v>35</v>
      </c>
      <c r="T1254" s="23"/>
      <c r="U1254" s="30"/>
      <c r="V1254" s="31"/>
      <c r="W1254" s="32" t="s">
        <v>2146</v>
      </c>
      <c r="X1254" s="33"/>
      <c r="Y1254" s="34"/>
      <c r="Z1254" s="42"/>
      <c r="AA1254" s="20" t="s">
        <v>49</v>
      </c>
      <c r="AB1254" s="20" t="s">
        <v>49</v>
      </c>
      <c r="AC1254" s="19" t="s">
        <v>49</v>
      </c>
      <c r="AD1254" s="19" t="str">
        <f ca="1">IFERROR(DATEDIF(DadosViagem5[[#This Row],[Utimo Bip Reserva]],TODAY(),"D"),"")</f>
        <v/>
      </c>
      <c r="AE1254" s="36" t="s">
        <v>49</v>
      </c>
      <c r="AF1254" s="25" t="s">
        <v>49</v>
      </c>
      <c r="AG1254" s="36"/>
      <c r="AH1254" s="25">
        <v>45807</v>
      </c>
      <c r="AI1254" s="36" t="str">
        <f>IF(DadosViagem5[[#This Row],[Dias em manutenção ]]&lt;5,"Dentro do Prazo","Fora do Prazo")</f>
        <v>Fora do Prazo</v>
      </c>
      <c r="AJ1254" s="36" t="e">
        <v>#REF!</v>
      </c>
    </row>
    <row r="1255" spans="1:36">
      <c r="A1255" s="19" t="s">
        <v>2147</v>
      </c>
      <c r="B1255" s="20"/>
      <c r="C1255" s="19" t="s">
        <v>131</v>
      </c>
      <c r="D1255" s="19" t="s">
        <v>132</v>
      </c>
      <c r="E1255" s="19" t="s">
        <v>57</v>
      </c>
      <c r="F1255" s="19" t="s">
        <v>40</v>
      </c>
      <c r="G1255" s="19"/>
      <c r="H1255" s="20">
        <v>2021</v>
      </c>
      <c r="I1255" s="19" t="s">
        <v>1738</v>
      </c>
      <c r="J1255" s="19" t="s">
        <v>2052</v>
      </c>
      <c r="K1255" s="21" t="s">
        <v>2113</v>
      </c>
      <c r="L1255" s="22" t="s">
        <v>60</v>
      </c>
      <c r="M1255" s="23" t="s">
        <v>140</v>
      </c>
      <c r="N1255" s="25" t="s">
        <v>2053</v>
      </c>
      <c r="O1255" s="25" t="s">
        <v>1713</v>
      </c>
      <c r="P1255" s="26">
        <f ca="1">IFERROR(VLOOKUP(DadosViagem5[[#This Row],[Placa]],[1]BIP!A:E,5,FALSE),"")</f>
        <v>0</v>
      </c>
      <c r="Q1255" s="27">
        <f ca="1">DATEDIF(DadosViagem5[[#This Row],[BIP]],TODAY(),"D")</f>
        <v>45990</v>
      </c>
      <c r="R1255" s="28" t="str">
        <f>IFERROR(VLOOKUP(DadosViagem5[[#This Row],[Placa]],[1]DDS!B:C,2,FALSE),"Verificar cadastro")</f>
        <v>Manutenção</v>
      </c>
      <c r="S1255" s="29" t="s">
        <v>48</v>
      </c>
      <c r="T1255" s="23"/>
      <c r="U1255" s="30"/>
      <c r="V1255" s="31"/>
      <c r="W1255" s="95"/>
      <c r="X1255" s="33"/>
      <c r="Y1255" s="34"/>
      <c r="Z1255" s="32"/>
      <c r="AA1255" s="20" t="s">
        <v>49</v>
      </c>
      <c r="AB1255" s="20" t="s">
        <v>49</v>
      </c>
      <c r="AC1255" s="19" t="s">
        <v>49</v>
      </c>
      <c r="AD1255" s="19" t="str">
        <f ca="1">IFERROR(DATEDIF(DadosViagem5[[#This Row],[Utimo Bip Reserva]],TODAY(),"D"),"")</f>
        <v/>
      </c>
      <c r="AE1255" s="36" t="s">
        <v>2115</v>
      </c>
      <c r="AF1255" s="25" t="s">
        <v>49</v>
      </c>
      <c r="AG1255" s="36"/>
      <c r="AH1255" s="25">
        <v>29</v>
      </c>
      <c r="AI1255" s="36" t="str">
        <f>IF(DadosViagem5[[#This Row],[Dias em manutenção ]]&lt;5,"Dentro do Prazo","Fora do Prazo")</f>
        <v>Fora do Prazo</v>
      </c>
      <c r="AJ1255" s="36" t="e">
        <v>#REF!</v>
      </c>
    </row>
    <row r="1256" spans="1:36">
      <c r="A1256" s="19" t="s">
        <v>2148</v>
      </c>
      <c r="B1256" s="20"/>
      <c r="C1256" s="19" t="s">
        <v>131</v>
      </c>
      <c r="D1256" s="19" t="s">
        <v>132</v>
      </c>
      <c r="E1256" s="19" t="s">
        <v>57</v>
      </c>
      <c r="F1256" s="19" t="s">
        <v>40</v>
      </c>
      <c r="G1256" s="19"/>
      <c r="H1256" s="20">
        <v>2021</v>
      </c>
      <c r="I1256" s="19" t="s">
        <v>1738</v>
      </c>
      <c r="J1256" s="19" t="s">
        <v>2052</v>
      </c>
      <c r="K1256" s="21" t="s">
        <v>2113</v>
      </c>
      <c r="L1256" s="22" t="s">
        <v>60</v>
      </c>
      <c r="M1256" s="23" t="s">
        <v>140</v>
      </c>
      <c r="N1256" s="25" t="s">
        <v>2053</v>
      </c>
      <c r="O1256" s="25" t="s">
        <v>1713</v>
      </c>
      <c r="P1256" s="26">
        <f ca="1">IFERROR(VLOOKUP(DadosViagem5[[#This Row],[Placa]],[1]BIP!A:E,5,FALSE),"")</f>
        <v>0</v>
      </c>
      <c r="Q1256" s="27">
        <f ca="1">DATEDIF(DadosViagem5[[#This Row],[BIP]],TODAY(),"D")</f>
        <v>45990</v>
      </c>
      <c r="R1256" s="28"/>
      <c r="S1256" s="29" t="s">
        <v>48</v>
      </c>
      <c r="T1256" s="23"/>
      <c r="U1256" s="30"/>
      <c r="V1256" s="31"/>
      <c r="W1256" s="32"/>
      <c r="X1256" s="33"/>
      <c r="Y1256" s="34"/>
      <c r="Z1256" s="31"/>
      <c r="AA1256" s="20" t="s">
        <v>49</v>
      </c>
      <c r="AB1256" s="20" t="s">
        <v>49</v>
      </c>
      <c r="AC1256" s="19" t="s">
        <v>49</v>
      </c>
      <c r="AD1256" s="19" t="str">
        <f ca="1">IFERROR(DATEDIF(DadosViagem5[[#This Row],[Utimo Bip Reserva]],TODAY(),"D"),"")</f>
        <v/>
      </c>
      <c r="AE1256" s="36" t="s">
        <v>49</v>
      </c>
      <c r="AF1256" s="25" t="s">
        <v>49</v>
      </c>
      <c r="AG1256" s="36"/>
      <c r="AH1256" s="25">
        <v>45807</v>
      </c>
      <c r="AI1256" s="36" t="str">
        <f>IF(DadosViagem5[[#This Row],[Dias em manutenção ]]&lt;5,"Dentro do Prazo","Fora do Prazo")</f>
        <v>Fora do Prazo</v>
      </c>
      <c r="AJ1256" s="36" t="e">
        <v>#REF!</v>
      </c>
    </row>
    <row r="1257" spans="1:36">
      <c r="A1257" s="19" t="s">
        <v>2149</v>
      </c>
      <c r="B1257" s="20"/>
      <c r="C1257" s="19" t="s">
        <v>74</v>
      </c>
      <c r="D1257" s="19" t="s">
        <v>52</v>
      </c>
      <c r="E1257" s="19" t="s">
        <v>75</v>
      </c>
      <c r="F1257" s="19" t="s">
        <v>115</v>
      </c>
      <c r="G1257" s="19"/>
      <c r="H1257" s="20">
        <v>2023</v>
      </c>
      <c r="I1257" s="19" t="s">
        <v>1738</v>
      </c>
      <c r="J1257" s="19" t="s">
        <v>2052</v>
      </c>
      <c r="K1257" s="21" t="s">
        <v>2113</v>
      </c>
      <c r="L1257" s="22" t="s">
        <v>60</v>
      </c>
      <c r="M1257" s="23" t="s">
        <v>77</v>
      </c>
      <c r="N1257" s="25" t="s">
        <v>2053</v>
      </c>
      <c r="O1257" s="25" t="s">
        <v>1713</v>
      </c>
      <c r="P1257" s="26">
        <f ca="1">IFERROR(VLOOKUP(DadosViagem5[[#This Row],[Placa]],[1]BIP!A:E,5,FALSE),"")</f>
        <v>45988</v>
      </c>
      <c r="Q1257" s="27">
        <f ca="1">DATEDIF(DadosViagem5[[#This Row],[BIP]],TODAY(),"D")</f>
        <v>2</v>
      </c>
      <c r="R1257" s="28" t="str">
        <f>IFERROR(VLOOKUP(DadosViagem5[[#This Row],[Placa]],[1]DDS!B:C,2,FALSE),"Verificar cadastro")</f>
        <v>Manutenção</v>
      </c>
      <c r="S1257" s="29" t="s">
        <v>48</v>
      </c>
      <c r="T1257" s="23"/>
      <c r="U1257" s="30"/>
      <c r="V1257" s="31"/>
      <c r="W1257" s="32"/>
      <c r="X1257" s="33"/>
      <c r="Y1257" s="34"/>
      <c r="Z1257" s="32"/>
      <c r="AA1257" s="20" t="s">
        <v>49</v>
      </c>
      <c r="AB1257" s="20" t="s">
        <v>49</v>
      </c>
      <c r="AC1257" s="19" t="s">
        <v>49</v>
      </c>
      <c r="AD1257" s="19" t="str">
        <f ca="1">IFERROR(DATEDIF(DadosViagem5[[#This Row],[Utimo Bip Reserva]],TODAY(),"D"),"")</f>
        <v/>
      </c>
      <c r="AE1257" s="25" t="s">
        <v>49</v>
      </c>
      <c r="AF1257" s="25" t="s">
        <v>49</v>
      </c>
      <c r="AG1257" s="36"/>
      <c r="AH1257" s="25">
        <v>19</v>
      </c>
      <c r="AI1257" s="36" t="str">
        <f>IF(DadosViagem5[[#This Row],[Dias em manutenção ]]&lt;5,"Dentro do Prazo","Fora do Prazo")</f>
        <v>Fora do Prazo</v>
      </c>
      <c r="AJ1257" s="36" t="e">
        <v>#REF!</v>
      </c>
    </row>
    <row r="1258" spans="1:36">
      <c r="A1258" s="19" t="s">
        <v>2150</v>
      </c>
      <c r="B1258" s="20"/>
      <c r="C1258" s="19" t="s">
        <v>562</v>
      </c>
      <c r="D1258" s="19" t="s">
        <v>563</v>
      </c>
      <c r="E1258" s="19" t="s">
        <v>114</v>
      </c>
      <c r="F1258" s="19" t="s">
        <v>115</v>
      </c>
      <c r="G1258" s="19"/>
      <c r="H1258" s="20">
        <v>2022</v>
      </c>
      <c r="I1258" s="19" t="s">
        <v>1738</v>
      </c>
      <c r="J1258" s="19" t="s">
        <v>2052</v>
      </c>
      <c r="K1258" s="21" t="s">
        <v>2113</v>
      </c>
      <c r="L1258" s="22" t="s">
        <v>60</v>
      </c>
      <c r="M1258" s="23" t="s">
        <v>140</v>
      </c>
      <c r="N1258" s="25" t="s">
        <v>2053</v>
      </c>
      <c r="O1258" s="25" t="s">
        <v>1713</v>
      </c>
      <c r="P1258" s="26">
        <f ca="1">IFERROR(VLOOKUP(DadosViagem5[[#This Row],[Placa]],[1]BIP!A:E,5,FALSE),"")</f>
        <v>0</v>
      </c>
      <c r="Q1258" s="27">
        <f ca="1">DATEDIF(DadosViagem5[[#This Row],[BIP]],TODAY(),"D")</f>
        <v>45990</v>
      </c>
      <c r="R1258" s="28" t="str">
        <f>IFERROR(VLOOKUP(DadosViagem5[[#This Row],[Placa]],[1]DDS!B:C,2,FALSE),"Verificar cadastro")</f>
        <v>Sem operação</v>
      </c>
      <c r="S1258" s="29" t="s">
        <v>48</v>
      </c>
      <c r="T1258" s="23"/>
      <c r="U1258" s="30"/>
      <c r="V1258" s="31"/>
      <c r="W1258" s="32"/>
      <c r="X1258" s="33"/>
      <c r="Y1258" s="34"/>
      <c r="Z1258" s="32"/>
      <c r="AA1258" s="20" t="s">
        <v>49</v>
      </c>
      <c r="AB1258" s="20" t="s">
        <v>49</v>
      </c>
      <c r="AC1258" s="19" t="s">
        <v>49</v>
      </c>
      <c r="AD1258" s="19" t="str">
        <f ca="1">IFERROR(DATEDIF(DadosViagem5[[#This Row],[Utimo Bip Reserva]],TODAY(),"D"),"")</f>
        <v/>
      </c>
      <c r="AE1258" s="36" t="s">
        <v>49</v>
      </c>
      <c r="AF1258" s="25" t="s">
        <v>49</v>
      </c>
      <c r="AG1258" s="36"/>
      <c r="AH1258" s="25">
        <v>45807</v>
      </c>
      <c r="AI1258" s="36" t="str">
        <f>IF(DadosViagem5[[#This Row],[Dias em manutenção ]]&lt;5,"Dentro do Prazo","Fora do Prazo")</f>
        <v>Fora do Prazo</v>
      </c>
      <c r="AJ1258" s="36" t="e">
        <v>#REF!</v>
      </c>
    </row>
    <row r="1259" spans="1:36">
      <c r="A1259" s="19" t="s">
        <v>2151</v>
      </c>
      <c r="B1259" s="20"/>
      <c r="C1259" s="19" t="s">
        <v>562</v>
      </c>
      <c r="D1259" s="19" t="s">
        <v>563</v>
      </c>
      <c r="E1259" s="19" t="s">
        <v>114</v>
      </c>
      <c r="F1259" s="19" t="s">
        <v>115</v>
      </c>
      <c r="G1259" s="19"/>
      <c r="H1259" s="20">
        <v>2022</v>
      </c>
      <c r="I1259" s="19" t="s">
        <v>1738</v>
      </c>
      <c r="J1259" s="19" t="s">
        <v>2052</v>
      </c>
      <c r="K1259" s="21" t="s">
        <v>2113</v>
      </c>
      <c r="L1259" s="22" t="s">
        <v>60</v>
      </c>
      <c r="M1259" s="23" t="s">
        <v>140</v>
      </c>
      <c r="N1259" s="25" t="s">
        <v>2053</v>
      </c>
      <c r="O1259" s="25" t="s">
        <v>1713</v>
      </c>
      <c r="P1259" s="26">
        <f ca="1">IFERROR(VLOOKUP(DadosViagem5[[#This Row],[Placa]],[1]BIP!A:E,5,FALSE),"")</f>
        <v>45989</v>
      </c>
      <c r="Q1259" s="27">
        <f ca="1">DATEDIF(DadosViagem5[[#This Row],[BIP]],TODAY(),"D")</f>
        <v>1</v>
      </c>
      <c r="R1259" s="28" t="str">
        <f>IFERROR(VLOOKUP(DadosViagem5[[#This Row],[Placa]],[1]DDS!B:C,2,FALSE),"Verificar cadastro")</f>
        <v>Operando</v>
      </c>
      <c r="S1259" s="29" t="s">
        <v>48</v>
      </c>
      <c r="T1259" s="23"/>
      <c r="U1259" s="30"/>
      <c r="V1259" s="31"/>
      <c r="W1259" s="32"/>
      <c r="X1259" s="33"/>
      <c r="Y1259" s="34"/>
      <c r="Z1259" s="32"/>
      <c r="AA1259" s="20" t="s">
        <v>49</v>
      </c>
      <c r="AB1259" s="20" t="s">
        <v>49</v>
      </c>
      <c r="AC1259" s="19" t="s">
        <v>49</v>
      </c>
      <c r="AD1259" s="19" t="str">
        <f ca="1">IFERROR(DATEDIF(DadosViagem5[[#This Row],[Utimo Bip Reserva]],TODAY(),"D"),"")</f>
        <v/>
      </c>
      <c r="AE1259" s="36" t="s">
        <v>49</v>
      </c>
      <c r="AF1259" s="25" t="s">
        <v>49</v>
      </c>
      <c r="AG1259" s="36"/>
      <c r="AH1259" s="25">
        <v>1</v>
      </c>
      <c r="AI1259" s="36" t="str">
        <f>IF(DadosViagem5[[#This Row],[Dias em manutenção ]]&lt;5,"Dentro do Prazo","Fora do Prazo")</f>
        <v>Dentro do Prazo</v>
      </c>
      <c r="AJ1259" s="36" t="e">
        <v>#REF!</v>
      </c>
    </row>
    <row r="1260" spans="1:36">
      <c r="A1260" s="19" t="s">
        <v>2152</v>
      </c>
      <c r="B1260" s="20">
        <v>396</v>
      </c>
      <c r="C1260" s="19" t="s">
        <v>74</v>
      </c>
      <c r="D1260" s="19" t="s">
        <v>52</v>
      </c>
      <c r="E1260" s="19" t="s">
        <v>75</v>
      </c>
      <c r="F1260" s="19" t="s">
        <v>115</v>
      </c>
      <c r="G1260" s="19"/>
      <c r="H1260" s="20">
        <v>2023</v>
      </c>
      <c r="I1260" s="19" t="s">
        <v>1738</v>
      </c>
      <c r="J1260" s="19" t="s">
        <v>2052</v>
      </c>
      <c r="K1260" s="21" t="s">
        <v>2113</v>
      </c>
      <c r="L1260" s="22" t="s">
        <v>60</v>
      </c>
      <c r="M1260" s="23" t="s">
        <v>77</v>
      </c>
      <c r="N1260" s="25" t="s">
        <v>2053</v>
      </c>
      <c r="O1260" s="25" t="s">
        <v>1713</v>
      </c>
      <c r="P1260" s="26">
        <f ca="1">IFERROR(VLOOKUP(DadosViagem5[[#This Row],[Placa]],[1]BIP!A:E,5,FALSE),"")</f>
        <v>45989</v>
      </c>
      <c r="Q1260" s="27">
        <f ca="1">DATEDIF(DadosViagem5[[#This Row],[BIP]],TODAY(),"D")</f>
        <v>1</v>
      </c>
      <c r="R1260" s="28" t="str">
        <f>IFERROR(VLOOKUP(DadosViagem5[[#This Row],[Placa]],[1]DDS!B:C,2,FALSE),"Verificar cadastro")</f>
        <v>Operando</v>
      </c>
      <c r="S1260" s="29" t="s">
        <v>48</v>
      </c>
      <c r="T1260" s="23"/>
      <c r="U1260" s="30"/>
      <c r="V1260" s="31"/>
      <c r="W1260" s="32"/>
      <c r="X1260" s="33"/>
      <c r="Y1260" s="34"/>
      <c r="Z1260" s="32"/>
      <c r="AA1260" s="20" t="s">
        <v>49</v>
      </c>
      <c r="AB1260" s="20" t="s">
        <v>49</v>
      </c>
      <c r="AC1260" s="19" t="s">
        <v>49</v>
      </c>
      <c r="AD1260" s="19" t="str">
        <f ca="1">IFERROR(DATEDIF(DadosViagem5[[#This Row],[Utimo Bip Reserva]],TODAY(),"D"),"")</f>
        <v/>
      </c>
      <c r="AE1260" s="25" t="s">
        <v>49</v>
      </c>
      <c r="AF1260" s="25" t="s">
        <v>49</v>
      </c>
      <c r="AG1260" s="36"/>
      <c r="AH1260" s="25">
        <v>19</v>
      </c>
      <c r="AI1260" s="36" t="str">
        <f>IF(DadosViagem5[[#This Row],[Dias em manutenção ]]&lt;5,"Dentro do Prazo","Fora do Prazo")</f>
        <v>Fora do Prazo</v>
      </c>
      <c r="AJ1260" s="36" t="e">
        <v>#REF!</v>
      </c>
    </row>
    <row r="1261" spans="1:36">
      <c r="A1261" s="19" t="s">
        <v>2153</v>
      </c>
      <c r="B1261" s="20"/>
      <c r="C1261" s="19" t="s">
        <v>74</v>
      </c>
      <c r="D1261" s="19" t="s">
        <v>52</v>
      </c>
      <c r="E1261" s="19" t="s">
        <v>75</v>
      </c>
      <c r="F1261" s="19" t="s">
        <v>76</v>
      </c>
      <c r="G1261" s="19"/>
      <c r="H1261" s="20">
        <v>2023</v>
      </c>
      <c r="I1261" s="19" t="s">
        <v>1738</v>
      </c>
      <c r="J1261" s="19" t="s">
        <v>2052</v>
      </c>
      <c r="K1261" s="21" t="s">
        <v>2113</v>
      </c>
      <c r="L1261" s="22" t="s">
        <v>60</v>
      </c>
      <c r="M1261" s="23" t="s">
        <v>77</v>
      </c>
      <c r="N1261" s="25" t="s">
        <v>2053</v>
      </c>
      <c r="O1261" s="25" t="s">
        <v>1713</v>
      </c>
      <c r="P1261" s="26">
        <f ca="1">IFERROR(VLOOKUP(DadosViagem5[[#This Row],[Placa]],[1]BIP!A:E,5,FALSE),"")</f>
        <v>0</v>
      </c>
      <c r="Q1261" s="27">
        <f ca="1">DATEDIF(DadosViagem5[[#This Row],[BIP]],TODAY(),"D")</f>
        <v>45990</v>
      </c>
      <c r="R1261" s="28" t="str">
        <f>IFERROR(VLOOKUP(DadosViagem5[[#This Row],[Placa]],[1]DDS!B:C,2,FALSE),"Verificar cadastro")</f>
        <v>Verificar cadastro</v>
      </c>
      <c r="S1261" s="29" t="s">
        <v>48</v>
      </c>
      <c r="T1261" s="23"/>
      <c r="U1261" s="30"/>
      <c r="V1261" s="31"/>
      <c r="W1261" s="32"/>
      <c r="X1261" s="33"/>
      <c r="Y1261" s="34"/>
      <c r="Z1261" s="32"/>
      <c r="AA1261" s="20" t="s">
        <v>49</v>
      </c>
      <c r="AB1261" s="20" t="s">
        <v>49</v>
      </c>
      <c r="AC1261" s="19" t="s">
        <v>49</v>
      </c>
      <c r="AD1261" s="19" t="str">
        <f ca="1">IFERROR(DATEDIF(DadosViagem5[[#This Row],[Utimo Bip Reserva]],TODAY(),"D"),"")</f>
        <v/>
      </c>
      <c r="AE1261" s="25" t="s">
        <v>49</v>
      </c>
      <c r="AF1261" s="25" t="s">
        <v>49</v>
      </c>
      <c r="AG1261" s="36"/>
      <c r="AH1261" s="25">
        <v>45807</v>
      </c>
      <c r="AI1261" s="36" t="str">
        <f>IF(DadosViagem5[[#This Row],[Dias em manutenção ]]&lt;5,"Dentro do Prazo","Fora do Prazo")</f>
        <v>Fora do Prazo</v>
      </c>
      <c r="AJ1261" s="36" t="e">
        <v>#REF!</v>
      </c>
    </row>
    <row r="1262" spans="1:36">
      <c r="A1262" s="19" t="s">
        <v>2154</v>
      </c>
      <c r="B1262" s="20">
        <v>537</v>
      </c>
      <c r="C1262" s="19" t="s">
        <v>74</v>
      </c>
      <c r="D1262" s="19" t="s">
        <v>52</v>
      </c>
      <c r="E1262" s="19" t="s">
        <v>75</v>
      </c>
      <c r="F1262" s="19" t="s">
        <v>76</v>
      </c>
      <c r="G1262" s="19"/>
      <c r="H1262" s="20">
        <v>2023</v>
      </c>
      <c r="I1262" s="19" t="s">
        <v>1738</v>
      </c>
      <c r="J1262" s="19" t="s">
        <v>2052</v>
      </c>
      <c r="K1262" s="21" t="s">
        <v>2113</v>
      </c>
      <c r="L1262" s="22" t="s">
        <v>60</v>
      </c>
      <c r="M1262" s="23" t="s">
        <v>77</v>
      </c>
      <c r="N1262" s="25" t="s">
        <v>2053</v>
      </c>
      <c r="O1262" s="25" t="s">
        <v>1713</v>
      </c>
      <c r="P1262" s="26">
        <f ca="1">IFERROR(VLOOKUP(DadosViagem5[[#This Row],[Placa]],[1]BIP!A:E,5,FALSE),"")</f>
        <v>45989</v>
      </c>
      <c r="Q1262" s="27">
        <f ca="1">DATEDIF(DadosViagem5[[#This Row],[BIP]],TODAY(),"D")</f>
        <v>1</v>
      </c>
      <c r="R1262" s="28" t="str">
        <f>IFERROR(VLOOKUP(DadosViagem5[[#This Row],[Placa]],[1]DDS!B:C,2,FALSE),"Verificar cadastro")</f>
        <v>Operando</v>
      </c>
      <c r="S1262" s="29" t="s">
        <v>48</v>
      </c>
      <c r="T1262" s="23"/>
      <c r="U1262" s="30"/>
      <c r="V1262" s="31"/>
      <c r="W1262" s="32"/>
      <c r="X1262" s="33"/>
      <c r="Y1262" s="34"/>
      <c r="Z1262" s="32"/>
      <c r="AA1262" s="20" t="s">
        <v>49</v>
      </c>
      <c r="AB1262" s="20" t="s">
        <v>49</v>
      </c>
      <c r="AC1262" s="19" t="s">
        <v>49</v>
      </c>
      <c r="AD1262" s="19" t="str">
        <f ca="1">IFERROR(DATEDIF(DadosViagem5[[#This Row],[Utimo Bip Reserva]],TODAY(),"D"),"")</f>
        <v/>
      </c>
      <c r="AE1262" s="7" t="s">
        <v>49</v>
      </c>
      <c r="AF1262" s="16" t="s">
        <v>49</v>
      </c>
      <c r="AG1262" s="36"/>
      <c r="AH1262" s="25">
        <v>45807</v>
      </c>
      <c r="AI1262" s="36" t="str">
        <f>IF(DadosViagem5[[#This Row],[Dias em manutenção ]]&lt;5,"Dentro do Prazo","Fora do Prazo")</f>
        <v>Fora do Prazo</v>
      </c>
      <c r="AJ1262" s="36" t="e">
        <v>#REF!</v>
      </c>
    </row>
    <row r="1263" spans="1:36">
      <c r="A1263" s="19" t="s">
        <v>2155</v>
      </c>
      <c r="B1263" s="20">
        <v>331</v>
      </c>
      <c r="C1263" s="19" t="s">
        <v>74</v>
      </c>
      <c r="D1263" s="19" t="s">
        <v>52</v>
      </c>
      <c r="E1263" s="19" t="s">
        <v>75</v>
      </c>
      <c r="F1263" s="19" t="s">
        <v>115</v>
      </c>
      <c r="G1263" s="19"/>
      <c r="H1263" s="20">
        <v>2023</v>
      </c>
      <c r="I1263" s="19" t="s">
        <v>1738</v>
      </c>
      <c r="J1263" s="19" t="s">
        <v>2052</v>
      </c>
      <c r="K1263" s="21" t="s">
        <v>2113</v>
      </c>
      <c r="L1263" s="22" t="s">
        <v>60</v>
      </c>
      <c r="M1263" s="23" t="s">
        <v>77</v>
      </c>
      <c r="N1263" s="25" t="s">
        <v>2053</v>
      </c>
      <c r="O1263" s="25" t="s">
        <v>1713</v>
      </c>
      <c r="P1263" s="26">
        <f ca="1">IFERROR(VLOOKUP(DadosViagem5[[#This Row],[Placa]],[1]BIP!A:E,5,FALSE),"")</f>
        <v>45989</v>
      </c>
      <c r="Q1263" s="27">
        <f ca="1">DATEDIF(DadosViagem5[[#This Row],[BIP]],TODAY(),"D")</f>
        <v>1</v>
      </c>
      <c r="R1263" s="28" t="str">
        <f>IFERROR(VLOOKUP(DadosViagem5[[#This Row],[Placa]],[1]DDS!B:C,2,FALSE),"Verificar cadastro")</f>
        <v>Operando</v>
      </c>
      <c r="S1263" s="29" t="s">
        <v>48</v>
      </c>
      <c r="T1263" s="23"/>
      <c r="U1263" s="30"/>
      <c r="V1263" s="31"/>
      <c r="W1263" s="32"/>
      <c r="X1263" s="33"/>
      <c r="Y1263" s="34"/>
      <c r="Z1263" s="32"/>
      <c r="AA1263" s="20" t="s">
        <v>49</v>
      </c>
      <c r="AB1263" s="20" t="s">
        <v>49</v>
      </c>
      <c r="AC1263" s="19" t="s">
        <v>49</v>
      </c>
      <c r="AD1263" s="19" t="str">
        <f ca="1">IFERROR(DATEDIF(DadosViagem5[[#This Row],[Utimo Bip Reserva]],TODAY(),"D"),"")</f>
        <v/>
      </c>
      <c r="AE1263" s="25" t="s">
        <v>49</v>
      </c>
      <c r="AF1263" s="25" t="s">
        <v>49</v>
      </c>
      <c r="AG1263" s="36"/>
      <c r="AH1263" s="25">
        <v>45807</v>
      </c>
      <c r="AI1263" s="36" t="str">
        <f>IF(DadosViagem5[[#This Row],[Dias em manutenção ]]&lt;5,"Dentro do Prazo","Fora do Prazo")</f>
        <v>Fora do Prazo</v>
      </c>
      <c r="AJ1263" s="36" t="e">
        <v>#REF!</v>
      </c>
    </row>
    <row r="1264" spans="1:36">
      <c r="A1264" s="19" t="s">
        <v>2156</v>
      </c>
      <c r="B1264" s="20"/>
      <c r="C1264" s="19" t="s">
        <v>74</v>
      </c>
      <c r="D1264" s="19" t="s">
        <v>52</v>
      </c>
      <c r="E1264" s="19" t="s">
        <v>75</v>
      </c>
      <c r="F1264" s="19" t="s">
        <v>115</v>
      </c>
      <c r="G1264" s="19"/>
      <c r="H1264" s="20">
        <v>2023</v>
      </c>
      <c r="I1264" s="19" t="s">
        <v>1738</v>
      </c>
      <c r="J1264" s="19" t="s">
        <v>2052</v>
      </c>
      <c r="K1264" s="21" t="s">
        <v>2113</v>
      </c>
      <c r="L1264" s="22" t="s">
        <v>60</v>
      </c>
      <c r="M1264" s="23" t="s">
        <v>77</v>
      </c>
      <c r="N1264" s="25" t="s">
        <v>2053</v>
      </c>
      <c r="O1264" s="25" t="s">
        <v>1713</v>
      </c>
      <c r="P1264" s="26">
        <f ca="1">IFERROR(VLOOKUP(DadosViagem5[[#This Row],[Placa]],[1]BIP!A:E,5,FALSE),"")</f>
        <v>45989</v>
      </c>
      <c r="Q1264" s="27">
        <f ca="1">DATEDIF(DadosViagem5[[#This Row],[BIP]],TODAY(),"D")</f>
        <v>1</v>
      </c>
      <c r="R1264" s="28" t="str">
        <f>IFERROR(VLOOKUP(DadosViagem5[[#This Row],[Placa]],[1]DDS!B:C,2,FALSE),"Verificar cadastro")</f>
        <v>Carregado</v>
      </c>
      <c r="S1264" s="29" t="s">
        <v>48</v>
      </c>
      <c r="T1264" s="23"/>
      <c r="U1264" s="30"/>
      <c r="V1264" s="31"/>
      <c r="W1264" s="32"/>
      <c r="X1264" s="33"/>
      <c r="Y1264" s="34"/>
      <c r="Z1264" s="32"/>
      <c r="AA1264" s="20" t="s">
        <v>49</v>
      </c>
      <c r="AB1264" s="20" t="s">
        <v>49</v>
      </c>
      <c r="AC1264" s="19" t="s">
        <v>49</v>
      </c>
      <c r="AD1264" s="19" t="str">
        <f ca="1">IFERROR(DATEDIF(DadosViagem5[[#This Row],[Utimo Bip Reserva]],TODAY(),"D"),"")</f>
        <v/>
      </c>
      <c r="AE1264" s="25" t="s">
        <v>49</v>
      </c>
      <c r="AF1264" s="25" t="s">
        <v>49</v>
      </c>
      <c r="AG1264" s="36"/>
      <c r="AH1264" s="25">
        <v>45807</v>
      </c>
      <c r="AI1264" s="36" t="str">
        <f>IF(DadosViagem5[[#This Row],[Dias em manutenção ]]&lt;5,"Dentro do Prazo","Fora do Prazo")</f>
        <v>Fora do Prazo</v>
      </c>
      <c r="AJ1264" s="36" t="e">
        <v>#REF!</v>
      </c>
    </row>
    <row r="1265" spans="1:36">
      <c r="A1265" s="19" t="s">
        <v>2157</v>
      </c>
      <c r="B1265" s="20">
        <v>536</v>
      </c>
      <c r="C1265" s="19" t="s">
        <v>74</v>
      </c>
      <c r="D1265" s="19" t="s">
        <v>52</v>
      </c>
      <c r="E1265" s="19" t="s">
        <v>75</v>
      </c>
      <c r="F1265" s="19" t="s">
        <v>76</v>
      </c>
      <c r="G1265" s="19"/>
      <c r="H1265" s="20">
        <v>2023</v>
      </c>
      <c r="I1265" s="19" t="s">
        <v>1738</v>
      </c>
      <c r="J1265" s="19" t="s">
        <v>2052</v>
      </c>
      <c r="K1265" s="21" t="s">
        <v>2113</v>
      </c>
      <c r="L1265" s="22" t="s">
        <v>60</v>
      </c>
      <c r="M1265" s="23" t="s">
        <v>77</v>
      </c>
      <c r="N1265" s="25" t="s">
        <v>2053</v>
      </c>
      <c r="O1265" s="25" t="s">
        <v>1713</v>
      </c>
      <c r="P1265" s="26">
        <f ca="1">IFERROR(VLOOKUP(DadosViagem5[[#This Row],[Placa]],[1]BIP!A:E,5,FALSE),"")</f>
        <v>45984</v>
      </c>
      <c r="Q1265" s="27">
        <f ca="1">DATEDIF(DadosViagem5[[#This Row],[BIP]],TODAY(),"D")</f>
        <v>6</v>
      </c>
      <c r="R1265" s="28" t="str">
        <f>IFERROR(VLOOKUP(DadosViagem5[[#This Row],[Placa]],[1]DDS!B:C,2,FALSE),"Verificar cadastro")</f>
        <v>Manutenção</v>
      </c>
      <c r="S1265" s="29" t="s">
        <v>48</v>
      </c>
      <c r="T1265" s="23"/>
      <c r="U1265" s="30"/>
      <c r="V1265" s="31"/>
      <c r="W1265" s="32"/>
      <c r="X1265" s="33"/>
      <c r="Y1265" s="34"/>
      <c r="Z1265" s="32"/>
      <c r="AA1265" s="20" t="s">
        <v>49</v>
      </c>
      <c r="AB1265" s="20" t="s">
        <v>49</v>
      </c>
      <c r="AC1265" s="19" t="s">
        <v>49</v>
      </c>
      <c r="AD1265" s="19" t="str">
        <f ca="1">IFERROR(DATEDIF(DadosViagem5[[#This Row],[Utimo Bip Reserva]],TODAY(),"D"),"")</f>
        <v/>
      </c>
      <c r="AE1265" s="25" t="s">
        <v>49</v>
      </c>
      <c r="AF1265" s="25" t="s">
        <v>49</v>
      </c>
      <c r="AG1265" s="36"/>
      <c r="AH1265" s="25">
        <v>45807</v>
      </c>
      <c r="AI1265" s="36" t="str">
        <f>IF(DadosViagem5[[#This Row],[Dias em manutenção ]]&lt;5,"Dentro do Prazo","Fora do Prazo")</f>
        <v>Fora do Prazo</v>
      </c>
      <c r="AJ1265" s="36" t="e">
        <v>#REF!</v>
      </c>
    </row>
    <row r="1266" spans="1:36">
      <c r="A1266" s="19" t="s">
        <v>2158</v>
      </c>
      <c r="B1266" s="20"/>
      <c r="C1266" s="19" t="s">
        <v>671</v>
      </c>
      <c r="D1266" s="19" t="s">
        <v>132</v>
      </c>
      <c r="E1266" s="19" t="s">
        <v>114</v>
      </c>
      <c r="F1266" s="19" t="s">
        <v>115</v>
      </c>
      <c r="G1266" s="19"/>
      <c r="H1266" s="20">
        <v>2022</v>
      </c>
      <c r="I1266" s="19" t="s">
        <v>1738</v>
      </c>
      <c r="J1266" s="19" t="s">
        <v>2052</v>
      </c>
      <c r="K1266" s="21" t="s">
        <v>2113</v>
      </c>
      <c r="L1266" s="22" t="s">
        <v>60</v>
      </c>
      <c r="M1266" s="23" t="s">
        <v>140</v>
      </c>
      <c r="N1266" s="25" t="s">
        <v>2053</v>
      </c>
      <c r="O1266" s="25" t="s">
        <v>1713</v>
      </c>
      <c r="P1266" s="26">
        <f ca="1">IFERROR(VLOOKUP(DadosViagem5[[#This Row],[Placa]],[1]BIP!A:E,5,FALSE),"")</f>
        <v>45938</v>
      </c>
      <c r="Q1266" s="27">
        <f ca="1">DATEDIF(DadosViagem5[[#This Row],[BIP]],TODAY(),"D")</f>
        <v>52</v>
      </c>
      <c r="R1266" s="28" t="str">
        <f>IFERROR(VLOOKUP(DadosViagem5[[#This Row],[Placa]],[1]DDS!B:C,2,FALSE),"Verificar cadastro")</f>
        <v>Manutenção</v>
      </c>
      <c r="S1266" s="29" t="s">
        <v>48</v>
      </c>
      <c r="T1266" s="23"/>
      <c r="U1266" s="30"/>
      <c r="V1266" s="31"/>
      <c r="W1266" s="32"/>
      <c r="X1266" s="33"/>
      <c r="Y1266" s="34"/>
      <c r="Z1266" s="32"/>
      <c r="AA1266" s="20" t="s">
        <v>49</v>
      </c>
      <c r="AB1266" s="20" t="s">
        <v>49</v>
      </c>
      <c r="AC1266" s="19" t="s">
        <v>49</v>
      </c>
      <c r="AD1266" s="19" t="str">
        <f ca="1">IFERROR(DATEDIF(DadosViagem5[[#This Row],[Utimo Bip Reserva]],TODAY(),"D"),"")</f>
        <v/>
      </c>
      <c r="AE1266" s="36" t="s">
        <v>49</v>
      </c>
      <c r="AF1266" s="25" t="s">
        <v>49</v>
      </c>
      <c r="AG1266" s="36"/>
      <c r="AH1266" s="25">
        <v>45807</v>
      </c>
      <c r="AI1266" s="36" t="str">
        <f>IF(DadosViagem5[[#This Row],[Dias em manutenção ]]&lt;5,"Dentro do Prazo","Fora do Prazo")</f>
        <v>Fora do Prazo</v>
      </c>
      <c r="AJ1266" s="36" t="e">
        <v>#REF!</v>
      </c>
    </row>
    <row r="1267" spans="1:36">
      <c r="A1267" s="19" t="s">
        <v>2159</v>
      </c>
      <c r="B1267" s="20">
        <v>290</v>
      </c>
      <c r="C1267" s="19" t="s">
        <v>74</v>
      </c>
      <c r="D1267" s="19" t="s">
        <v>52</v>
      </c>
      <c r="E1267" s="19" t="s">
        <v>75</v>
      </c>
      <c r="F1267" s="19" t="s">
        <v>76</v>
      </c>
      <c r="G1267" s="19"/>
      <c r="H1267" s="20">
        <v>2023</v>
      </c>
      <c r="I1267" s="19" t="s">
        <v>1738</v>
      </c>
      <c r="J1267" s="19" t="s">
        <v>2052</v>
      </c>
      <c r="K1267" s="21" t="s">
        <v>2113</v>
      </c>
      <c r="L1267" s="22" t="s">
        <v>60</v>
      </c>
      <c r="M1267" s="23" t="s">
        <v>77</v>
      </c>
      <c r="N1267" s="25" t="s">
        <v>2053</v>
      </c>
      <c r="O1267" s="25" t="s">
        <v>1713</v>
      </c>
      <c r="P1267" s="26">
        <f ca="1">IFERROR(VLOOKUP(DadosViagem5[[#This Row],[Placa]],[1]BIP!A:E,5,FALSE),"")</f>
        <v>45984</v>
      </c>
      <c r="Q1267" s="27">
        <f ca="1">DATEDIF(DadosViagem5[[#This Row],[BIP]],TODAY(),"D")</f>
        <v>6</v>
      </c>
      <c r="R1267" s="28" t="str">
        <f>IFERROR(VLOOKUP(DadosViagem5[[#This Row],[Placa]],[1]DDS!B:C,2,FALSE),"Verificar cadastro")</f>
        <v>Manutenção</v>
      </c>
      <c r="S1267" s="29" t="s">
        <v>48</v>
      </c>
      <c r="T1267" s="23"/>
      <c r="U1267" s="30"/>
      <c r="V1267" s="31"/>
      <c r="W1267" s="32"/>
      <c r="X1267" s="33"/>
      <c r="Y1267" s="34"/>
      <c r="Z1267" s="32"/>
      <c r="AA1267" s="20" t="s">
        <v>49</v>
      </c>
      <c r="AB1267" s="20" t="s">
        <v>49</v>
      </c>
      <c r="AC1267" s="19" t="s">
        <v>49</v>
      </c>
      <c r="AD1267" s="19" t="str">
        <f ca="1">IFERROR(DATEDIF(DadosViagem5[[#This Row],[Utimo Bip Reserva]],TODAY(),"D"),"")</f>
        <v/>
      </c>
      <c r="AE1267" s="150"/>
      <c r="AF1267" s="25" t="s">
        <v>49</v>
      </c>
      <c r="AG1267" s="36"/>
      <c r="AH1267" s="25">
        <v>45807</v>
      </c>
      <c r="AI1267" s="36" t="str">
        <f>IF(DadosViagem5[[#This Row],[Dias em manutenção ]]&lt;5,"Dentro do Prazo","Fora do Prazo")</f>
        <v>Fora do Prazo</v>
      </c>
      <c r="AJ1267" s="36" t="e">
        <v>#REF!</v>
      </c>
    </row>
    <row r="1268" spans="1:36">
      <c r="A1268" s="19" t="s">
        <v>2160</v>
      </c>
      <c r="B1268" s="20"/>
      <c r="C1268" s="19" t="s">
        <v>562</v>
      </c>
      <c r="D1268" s="19" t="s">
        <v>563</v>
      </c>
      <c r="E1268" s="19" t="s">
        <v>114</v>
      </c>
      <c r="F1268" s="19" t="s">
        <v>115</v>
      </c>
      <c r="G1268" s="19"/>
      <c r="H1268" s="20">
        <v>2022</v>
      </c>
      <c r="I1268" s="19" t="s">
        <v>1738</v>
      </c>
      <c r="J1268" s="19" t="s">
        <v>2052</v>
      </c>
      <c r="K1268" s="21" t="s">
        <v>2113</v>
      </c>
      <c r="L1268" s="22" t="s">
        <v>60</v>
      </c>
      <c r="M1268" s="23" t="s">
        <v>140</v>
      </c>
      <c r="N1268" s="25" t="s">
        <v>2053</v>
      </c>
      <c r="O1268" s="25" t="s">
        <v>1713</v>
      </c>
      <c r="P1268" s="26">
        <f ca="1">IFERROR(VLOOKUP(DadosViagem5[[#This Row],[Placa]],[1]BIP!A:E,5,FALSE),"")</f>
        <v>45989</v>
      </c>
      <c r="Q1268" s="27">
        <f ca="1">DATEDIF(DadosViagem5[[#This Row],[BIP]],TODAY(),"D")</f>
        <v>1</v>
      </c>
      <c r="R1268" s="28"/>
      <c r="S1268" s="29" t="s">
        <v>48</v>
      </c>
      <c r="T1268" s="23"/>
      <c r="U1268" s="30"/>
      <c r="V1268" s="31"/>
      <c r="W1268" s="32"/>
      <c r="X1268" s="33"/>
      <c r="Y1268" s="34"/>
      <c r="Z1268" s="32"/>
      <c r="AA1268" s="20">
        <v>0</v>
      </c>
      <c r="AB1268" s="20" t="s">
        <v>49</v>
      </c>
      <c r="AC1268" s="19" t="s">
        <v>49</v>
      </c>
      <c r="AD1268" s="19" t="str">
        <f ca="1">IFERROR(DATEDIF(DadosViagem5[[#This Row],[Utimo Bip Reserva]],TODAY(),"D"),"")</f>
        <v/>
      </c>
      <c r="AE1268" s="103"/>
      <c r="AF1268" s="25" t="s">
        <v>49</v>
      </c>
      <c r="AG1268" s="36"/>
      <c r="AH1268" s="25">
        <v>45807</v>
      </c>
      <c r="AI1268" s="36" t="str">
        <f>IF(DadosViagem5[[#This Row],[Dias em manutenção ]]&lt;5,"Dentro do Prazo","Fora do Prazo")</f>
        <v>Fora do Prazo</v>
      </c>
      <c r="AJ1268" s="36" t="e">
        <v>#REF!</v>
      </c>
    </row>
    <row r="1269" spans="1:36">
      <c r="A1269" s="19" t="s">
        <v>2161</v>
      </c>
      <c r="B1269" s="20">
        <v>300</v>
      </c>
      <c r="C1269" s="19" t="s">
        <v>74</v>
      </c>
      <c r="D1269" s="19" t="s">
        <v>52</v>
      </c>
      <c r="E1269" s="19" t="s">
        <v>75</v>
      </c>
      <c r="F1269" s="19" t="s">
        <v>115</v>
      </c>
      <c r="G1269" s="19"/>
      <c r="H1269" s="20">
        <v>2023</v>
      </c>
      <c r="I1269" s="19" t="s">
        <v>1738</v>
      </c>
      <c r="J1269" s="19" t="s">
        <v>2052</v>
      </c>
      <c r="K1269" s="21" t="s">
        <v>2113</v>
      </c>
      <c r="L1269" s="22" t="s">
        <v>60</v>
      </c>
      <c r="M1269" s="23" t="s">
        <v>77</v>
      </c>
      <c r="N1269" s="25" t="s">
        <v>2053</v>
      </c>
      <c r="O1269" s="25" t="s">
        <v>1713</v>
      </c>
      <c r="P1269" s="26">
        <f ca="1">IFERROR(VLOOKUP(DadosViagem5[[#This Row],[Placa]],[1]BIP!A:E,5,FALSE),"")</f>
        <v>45989</v>
      </c>
      <c r="Q1269" s="27">
        <f ca="1">DATEDIF(DadosViagem5[[#This Row],[BIP]],TODAY(),"D")</f>
        <v>1</v>
      </c>
      <c r="R1269" s="28" t="str">
        <f>IFERROR(VLOOKUP(DadosViagem5[[#This Row],[Placa]],[1]DDS!B:C,2,FALSE),"Verificar cadastro")</f>
        <v>Operando</v>
      </c>
      <c r="S1269" s="29" t="s">
        <v>48</v>
      </c>
      <c r="T1269" s="23"/>
      <c r="U1269" s="30"/>
      <c r="V1269" s="31"/>
      <c r="W1269" s="32"/>
      <c r="X1269" s="33"/>
      <c r="Y1269" s="86"/>
      <c r="Z1269" s="32"/>
      <c r="AA1269" s="20" t="s">
        <v>49</v>
      </c>
      <c r="AB1269" s="20" t="s">
        <v>49</v>
      </c>
      <c r="AC1269" s="19" t="s">
        <v>49</v>
      </c>
      <c r="AD1269" s="19" t="str">
        <f ca="1">IFERROR(DATEDIF(DadosViagem5[[#This Row],[Utimo Bip Reserva]],TODAY(),"D"),"")</f>
        <v/>
      </c>
      <c r="AE1269" s="35" t="s">
        <v>49</v>
      </c>
      <c r="AF1269" s="25" t="s">
        <v>49</v>
      </c>
      <c r="AG1269" s="36"/>
      <c r="AH1269" s="25">
        <v>45807</v>
      </c>
      <c r="AI1269" s="36" t="str">
        <f>IF(DadosViagem5[[#This Row],[Dias em manutenção ]]&lt;5,"Dentro do Prazo","Fora do Prazo")</f>
        <v>Fora do Prazo</v>
      </c>
      <c r="AJ1269" s="36" t="e">
        <v>#REF!</v>
      </c>
    </row>
    <row r="1270" spans="1:36">
      <c r="A1270" s="19" t="s">
        <v>2162</v>
      </c>
      <c r="B1270" s="20">
        <v>332</v>
      </c>
      <c r="C1270" s="19" t="s">
        <v>74</v>
      </c>
      <c r="D1270" s="19" t="s">
        <v>52</v>
      </c>
      <c r="E1270" s="19" t="s">
        <v>75</v>
      </c>
      <c r="F1270" s="19" t="s">
        <v>115</v>
      </c>
      <c r="G1270" s="19"/>
      <c r="H1270" s="20">
        <v>2023</v>
      </c>
      <c r="I1270" s="19" t="s">
        <v>1738</v>
      </c>
      <c r="J1270" s="19" t="s">
        <v>2052</v>
      </c>
      <c r="K1270" s="21" t="s">
        <v>2113</v>
      </c>
      <c r="L1270" s="22" t="s">
        <v>60</v>
      </c>
      <c r="M1270" s="23" t="s">
        <v>77</v>
      </c>
      <c r="N1270" s="25" t="s">
        <v>2053</v>
      </c>
      <c r="O1270" s="25" t="s">
        <v>1713</v>
      </c>
      <c r="P1270" s="26">
        <f ca="1">IFERROR(VLOOKUP(DadosViagem5[[#This Row],[Placa]],[1]BIP!A:E,5,FALSE),"")</f>
        <v>45988</v>
      </c>
      <c r="Q1270" s="27">
        <f ca="1">DATEDIF(DadosViagem5[[#This Row],[BIP]],TODAY(),"D")</f>
        <v>2</v>
      </c>
      <c r="R1270" s="28"/>
      <c r="S1270" s="29" t="s">
        <v>48</v>
      </c>
      <c r="T1270" s="23"/>
      <c r="U1270" s="30"/>
      <c r="V1270" s="31"/>
      <c r="W1270" s="32"/>
      <c r="X1270" s="33"/>
      <c r="Y1270" s="34"/>
      <c r="Z1270" s="32"/>
      <c r="AA1270" s="20" t="s">
        <v>49</v>
      </c>
      <c r="AB1270" s="20" t="s">
        <v>49</v>
      </c>
      <c r="AC1270" s="19" t="s">
        <v>49</v>
      </c>
      <c r="AD1270" s="19" t="str">
        <f ca="1">IFERROR(DATEDIF(DadosViagem5[[#This Row],[Utimo Bip Reserva]],TODAY(),"D"),"")</f>
        <v/>
      </c>
      <c r="AE1270" s="35" t="s">
        <v>49</v>
      </c>
      <c r="AF1270" s="35" t="s">
        <v>49</v>
      </c>
      <c r="AG1270" s="36"/>
      <c r="AH1270" s="25">
        <v>45807</v>
      </c>
      <c r="AI1270" s="36" t="str">
        <f>IF(DadosViagem5[[#This Row],[Dias em manutenção ]]&lt;5,"Dentro do Prazo","Fora do Prazo")</f>
        <v>Fora do Prazo</v>
      </c>
      <c r="AJ1270" s="36" t="e">
        <v>#REF!</v>
      </c>
    </row>
    <row r="1271" spans="1:36">
      <c r="A1271" s="19" t="s">
        <v>2163</v>
      </c>
      <c r="B1271" s="20">
        <v>365</v>
      </c>
      <c r="C1271" s="19" t="s">
        <v>74</v>
      </c>
      <c r="D1271" s="19" t="s">
        <v>52</v>
      </c>
      <c r="E1271" s="19" t="s">
        <v>75</v>
      </c>
      <c r="F1271" s="19" t="s">
        <v>115</v>
      </c>
      <c r="G1271" s="19"/>
      <c r="H1271" s="20">
        <v>2023</v>
      </c>
      <c r="I1271" s="19" t="s">
        <v>1738</v>
      </c>
      <c r="J1271" s="19" t="s">
        <v>2052</v>
      </c>
      <c r="K1271" s="21" t="s">
        <v>2113</v>
      </c>
      <c r="L1271" s="22" t="s">
        <v>60</v>
      </c>
      <c r="M1271" s="23" t="s">
        <v>77</v>
      </c>
      <c r="N1271" s="25" t="s">
        <v>2053</v>
      </c>
      <c r="O1271" s="25" t="s">
        <v>1713</v>
      </c>
      <c r="P1271" s="26">
        <f ca="1">IFERROR(VLOOKUP(DadosViagem5[[#This Row],[Placa]],[1]BIP!A:E,5,FALSE),"")</f>
        <v>45989</v>
      </c>
      <c r="Q1271" s="27">
        <f ca="1">DATEDIF(DadosViagem5[[#This Row],[BIP]],TODAY(),"D")</f>
        <v>1</v>
      </c>
      <c r="R1271" s="28" t="str">
        <f>IFERROR(VLOOKUP(DadosViagem5[[#This Row],[Placa]],[1]DDS!B:C,2,FALSE),"Verificar cadastro")</f>
        <v>Carregado</v>
      </c>
      <c r="S1271" s="29" t="s">
        <v>48</v>
      </c>
      <c r="T1271" s="23"/>
      <c r="U1271" s="30"/>
      <c r="V1271" s="31"/>
      <c r="W1271" s="32"/>
      <c r="X1271" s="33"/>
      <c r="Y1271" s="34"/>
      <c r="Z1271" s="32"/>
      <c r="AA1271" s="20" t="s">
        <v>49</v>
      </c>
      <c r="AB1271" s="20" t="s">
        <v>49</v>
      </c>
      <c r="AC1271" s="19" t="s">
        <v>49</v>
      </c>
      <c r="AD1271" s="19" t="str">
        <f ca="1">IFERROR(DATEDIF(DadosViagem5[[#This Row],[Utimo Bip Reserva]],TODAY(),"D"),"")</f>
        <v/>
      </c>
      <c r="AE1271" s="25" t="s">
        <v>49</v>
      </c>
      <c r="AF1271" s="25" t="s">
        <v>49</v>
      </c>
      <c r="AG1271" s="36"/>
      <c r="AH1271" s="25">
        <v>45807</v>
      </c>
      <c r="AI1271" s="36" t="str">
        <f>IF(DadosViagem5[[#This Row],[Dias em manutenção ]]&lt;5,"Dentro do Prazo","Fora do Prazo")</f>
        <v>Fora do Prazo</v>
      </c>
      <c r="AJ1271" s="36" t="e">
        <v>#REF!</v>
      </c>
    </row>
    <row r="1272" spans="1:36">
      <c r="A1272" s="19" t="s">
        <v>2164</v>
      </c>
      <c r="B1272" s="20">
        <v>352</v>
      </c>
      <c r="C1272" s="19" t="s">
        <v>74</v>
      </c>
      <c r="D1272" s="19" t="s">
        <v>52</v>
      </c>
      <c r="E1272" s="19" t="s">
        <v>75</v>
      </c>
      <c r="F1272" s="19" t="s">
        <v>115</v>
      </c>
      <c r="G1272" s="19"/>
      <c r="H1272" s="20">
        <v>2023</v>
      </c>
      <c r="I1272" s="19" t="s">
        <v>1738</v>
      </c>
      <c r="J1272" s="19" t="s">
        <v>2052</v>
      </c>
      <c r="K1272" s="21" t="s">
        <v>2113</v>
      </c>
      <c r="L1272" s="22" t="s">
        <v>60</v>
      </c>
      <c r="M1272" s="23" t="s">
        <v>77</v>
      </c>
      <c r="N1272" s="25" t="s">
        <v>2053</v>
      </c>
      <c r="O1272" s="25" t="s">
        <v>1713</v>
      </c>
      <c r="P1272" s="26">
        <f ca="1">IFERROR(VLOOKUP(DadosViagem5[[#This Row],[Placa]],[1]BIP!A:E,5,FALSE),"")</f>
        <v>45989</v>
      </c>
      <c r="Q1272" s="27">
        <f ca="1">DATEDIF(DadosViagem5[[#This Row],[BIP]],TODAY(),"D")</f>
        <v>1</v>
      </c>
      <c r="R1272" s="28" t="str">
        <f>IFERROR(VLOOKUP(DadosViagem5[[#This Row],[Placa]],[1]DDS!B:C,2,FALSE),"Verificar cadastro")</f>
        <v>Manutenção</v>
      </c>
      <c r="S1272" s="29" t="s">
        <v>48</v>
      </c>
      <c r="T1272" s="23"/>
      <c r="U1272" s="30"/>
      <c r="V1272" s="31"/>
      <c r="W1272" s="32"/>
      <c r="X1272" s="33"/>
      <c r="Y1272" s="34"/>
      <c r="Z1272" s="32"/>
      <c r="AA1272" s="20" t="s">
        <v>49</v>
      </c>
      <c r="AB1272" s="20" t="s">
        <v>49</v>
      </c>
      <c r="AC1272" s="19" t="s">
        <v>49</v>
      </c>
      <c r="AD1272" s="19" t="str">
        <f ca="1">IFERROR(DATEDIF(DadosViagem5[[#This Row],[Utimo Bip Reserva]],TODAY(),"D"),"")</f>
        <v/>
      </c>
      <c r="AE1272" s="25" t="s">
        <v>49</v>
      </c>
      <c r="AF1272" s="25" t="s">
        <v>49</v>
      </c>
      <c r="AG1272" s="36"/>
      <c r="AH1272" s="25">
        <v>45807</v>
      </c>
      <c r="AI1272" s="36" t="str">
        <f>IF(DadosViagem5[[#This Row],[Dias em manutenção ]]&lt;5,"Dentro do Prazo","Fora do Prazo")</f>
        <v>Fora do Prazo</v>
      </c>
      <c r="AJ1272" s="36" t="e">
        <v>#REF!</v>
      </c>
    </row>
    <row r="1273" spans="1:36">
      <c r="A1273" s="19" t="s">
        <v>2165</v>
      </c>
      <c r="B1273" s="20">
        <v>364</v>
      </c>
      <c r="C1273" s="19" t="s">
        <v>74</v>
      </c>
      <c r="D1273" s="19" t="s">
        <v>52</v>
      </c>
      <c r="E1273" s="19" t="s">
        <v>75</v>
      </c>
      <c r="F1273" s="19" t="s">
        <v>115</v>
      </c>
      <c r="G1273" s="19"/>
      <c r="H1273" s="20">
        <v>2023</v>
      </c>
      <c r="I1273" s="19" t="s">
        <v>1738</v>
      </c>
      <c r="J1273" s="19" t="s">
        <v>2052</v>
      </c>
      <c r="K1273" s="21" t="s">
        <v>2113</v>
      </c>
      <c r="L1273" s="22" t="s">
        <v>60</v>
      </c>
      <c r="M1273" s="23" t="s">
        <v>77</v>
      </c>
      <c r="N1273" s="25" t="s">
        <v>2053</v>
      </c>
      <c r="O1273" s="25" t="s">
        <v>1713</v>
      </c>
      <c r="P1273" s="26">
        <f ca="1">IFERROR(VLOOKUP(DadosViagem5[[#This Row],[Placa]],[1]BIP!A:E,5,FALSE),"")</f>
        <v>45989</v>
      </c>
      <c r="Q1273" s="27">
        <f ca="1">DATEDIF(DadosViagem5[[#This Row],[BIP]],TODAY(),"D")</f>
        <v>1</v>
      </c>
      <c r="R1273" s="28" t="str">
        <f>IFERROR(VLOOKUP(DadosViagem5[[#This Row],[Placa]],[1]DDS!B:C,2,FALSE),"Verificar cadastro")</f>
        <v>Operando</v>
      </c>
      <c r="S1273" s="29" t="s">
        <v>48</v>
      </c>
      <c r="T1273" s="23"/>
      <c r="U1273" s="30"/>
      <c r="V1273" s="31"/>
      <c r="W1273" s="32" t="s">
        <v>2166</v>
      </c>
      <c r="X1273" s="33"/>
      <c r="Y1273" s="34"/>
      <c r="Z1273" s="32"/>
      <c r="AA1273" s="20" t="s">
        <v>49</v>
      </c>
      <c r="AB1273" s="20" t="s">
        <v>49</v>
      </c>
      <c r="AC1273" s="19" t="s">
        <v>49</v>
      </c>
      <c r="AD1273" s="19" t="str">
        <f ca="1">IFERROR(DATEDIF(DadosViagem5[[#This Row],[Utimo Bip Reserva]],TODAY(),"D"),"")</f>
        <v/>
      </c>
      <c r="AE1273" s="35" t="s">
        <v>49</v>
      </c>
      <c r="AF1273" s="35" t="s">
        <v>49</v>
      </c>
      <c r="AG1273" s="36"/>
      <c r="AH1273" s="25">
        <v>45807</v>
      </c>
      <c r="AI1273" s="36" t="str">
        <f>IF(DadosViagem5[[#This Row],[Dias em manutenção ]]&lt;5,"Dentro do Prazo","Fora do Prazo")</f>
        <v>Fora do Prazo</v>
      </c>
      <c r="AJ1273" s="36" t="e">
        <v>#REF!</v>
      </c>
    </row>
    <row r="1274" spans="1:36">
      <c r="A1274" s="19" t="s">
        <v>2167</v>
      </c>
      <c r="B1274" s="20">
        <v>298</v>
      </c>
      <c r="C1274" s="19" t="s">
        <v>74</v>
      </c>
      <c r="D1274" s="19" t="s">
        <v>52</v>
      </c>
      <c r="E1274" s="19" t="s">
        <v>75</v>
      </c>
      <c r="F1274" s="19" t="s">
        <v>115</v>
      </c>
      <c r="G1274" s="19"/>
      <c r="H1274" s="20">
        <v>2023</v>
      </c>
      <c r="I1274" s="19" t="s">
        <v>1738</v>
      </c>
      <c r="J1274" s="19" t="s">
        <v>2052</v>
      </c>
      <c r="K1274" s="21" t="s">
        <v>2113</v>
      </c>
      <c r="L1274" s="22" t="s">
        <v>60</v>
      </c>
      <c r="M1274" s="23" t="s">
        <v>77</v>
      </c>
      <c r="N1274" s="25" t="s">
        <v>2053</v>
      </c>
      <c r="O1274" s="25" t="s">
        <v>1713</v>
      </c>
      <c r="P1274" s="26">
        <f ca="1">IFERROR(VLOOKUP(DadosViagem5[[#This Row],[Placa]],[1]BIP!A:E,5,FALSE),"")</f>
        <v>45989</v>
      </c>
      <c r="Q1274" s="27">
        <f ca="1">DATEDIF(DadosViagem5[[#This Row],[BIP]],TODAY(),"D")</f>
        <v>1</v>
      </c>
      <c r="R1274" s="28" t="str">
        <f>IFERROR(VLOOKUP(DadosViagem5[[#This Row],[Placa]],[1]DDS!B:C,2,FALSE),"Verificar cadastro")</f>
        <v>Operando</v>
      </c>
      <c r="S1274" s="29" t="s">
        <v>48</v>
      </c>
      <c r="T1274" s="23"/>
      <c r="U1274" s="30"/>
      <c r="V1274" s="31"/>
      <c r="W1274" s="32"/>
      <c r="X1274" s="33"/>
      <c r="Y1274" s="34"/>
      <c r="Z1274" s="32"/>
      <c r="AA1274" s="20" t="s">
        <v>49</v>
      </c>
      <c r="AB1274" s="20" t="s">
        <v>49</v>
      </c>
      <c r="AC1274" s="19" t="s">
        <v>49</v>
      </c>
      <c r="AD1274" s="19" t="str">
        <f ca="1">IFERROR(DATEDIF(DadosViagem5[[#This Row],[Utimo Bip Reserva]],TODAY(),"D"),"")</f>
        <v/>
      </c>
      <c r="AE1274" s="25" t="s">
        <v>49</v>
      </c>
      <c r="AF1274" s="25" t="s">
        <v>49</v>
      </c>
      <c r="AG1274" s="36"/>
      <c r="AH1274" s="25">
        <v>45807</v>
      </c>
      <c r="AI1274" s="36" t="str">
        <f>IF(DadosViagem5[[#This Row],[Dias em manutenção ]]&lt;5,"Dentro do Prazo","Fora do Prazo")</f>
        <v>Fora do Prazo</v>
      </c>
      <c r="AJ1274" s="36" t="e">
        <v>#REF!</v>
      </c>
    </row>
    <row r="1275" spans="1:36">
      <c r="A1275" s="19" t="s">
        <v>2168</v>
      </c>
      <c r="B1275" s="20"/>
      <c r="C1275" s="19" t="s">
        <v>74</v>
      </c>
      <c r="D1275" s="19" t="s">
        <v>52</v>
      </c>
      <c r="E1275" s="19" t="s">
        <v>75</v>
      </c>
      <c r="F1275" s="19" t="s">
        <v>115</v>
      </c>
      <c r="G1275" s="19"/>
      <c r="H1275" s="20">
        <v>2023</v>
      </c>
      <c r="I1275" s="19" t="s">
        <v>1738</v>
      </c>
      <c r="J1275" s="19" t="s">
        <v>2052</v>
      </c>
      <c r="K1275" s="21" t="s">
        <v>2113</v>
      </c>
      <c r="L1275" s="22" t="s">
        <v>60</v>
      </c>
      <c r="M1275" s="23" t="s">
        <v>77</v>
      </c>
      <c r="N1275" s="25" t="s">
        <v>2053</v>
      </c>
      <c r="O1275" s="25" t="s">
        <v>1713</v>
      </c>
      <c r="P1275" s="26">
        <f ca="1">IFERROR(VLOOKUP(DadosViagem5[[#This Row],[Placa]],[1]BIP!A:E,5,FALSE),"")</f>
        <v>45917</v>
      </c>
      <c r="Q1275" s="27">
        <f ca="1">DATEDIF(DadosViagem5[[#This Row],[BIP]],TODAY(),"D")</f>
        <v>73</v>
      </c>
      <c r="R1275" s="28" t="str">
        <f>IFERROR(VLOOKUP(DadosViagem5[[#This Row],[Placa]],[1]DDS!B:C,2,FALSE),"Verificar cadastro")</f>
        <v>Manutenção</v>
      </c>
      <c r="S1275" s="29" t="s">
        <v>48</v>
      </c>
      <c r="T1275" s="23"/>
      <c r="U1275" s="30"/>
      <c r="V1275" s="31"/>
      <c r="W1275" s="32"/>
      <c r="X1275" s="33"/>
      <c r="Y1275" s="34"/>
      <c r="Z1275" s="32" t="s">
        <v>2169</v>
      </c>
      <c r="AA1275" s="20" t="s">
        <v>49</v>
      </c>
      <c r="AB1275" s="20" t="s">
        <v>49</v>
      </c>
      <c r="AC1275" s="19" t="s">
        <v>49</v>
      </c>
      <c r="AD1275" s="19" t="str">
        <f ca="1">IFERROR(DATEDIF(DadosViagem5[[#This Row],[Utimo Bip Reserva]],TODAY(),"D"),"")</f>
        <v/>
      </c>
      <c r="AE1275" s="25" t="s">
        <v>49</v>
      </c>
      <c r="AF1275" s="25" t="s">
        <v>49</v>
      </c>
      <c r="AG1275" s="36"/>
      <c r="AH1275" s="25">
        <v>45807</v>
      </c>
      <c r="AI1275" s="36" t="str">
        <f>IF(DadosViagem5[[#This Row],[Dias em manutenção ]]&lt;5,"Dentro do Prazo","Fora do Prazo")</f>
        <v>Fora do Prazo</v>
      </c>
      <c r="AJ1275" s="36" t="e">
        <v>#REF!</v>
      </c>
    </row>
    <row r="1276" spans="1:36">
      <c r="A1276" s="19" t="s">
        <v>2170</v>
      </c>
      <c r="B1276" s="20">
        <v>296</v>
      </c>
      <c r="C1276" s="19" t="s">
        <v>74</v>
      </c>
      <c r="D1276" s="19" t="s">
        <v>52</v>
      </c>
      <c r="E1276" s="19" t="s">
        <v>75</v>
      </c>
      <c r="F1276" s="19" t="s">
        <v>115</v>
      </c>
      <c r="G1276" s="19"/>
      <c r="H1276" s="20">
        <v>2023</v>
      </c>
      <c r="I1276" s="19" t="s">
        <v>1738</v>
      </c>
      <c r="J1276" s="19" t="s">
        <v>2052</v>
      </c>
      <c r="K1276" s="21" t="s">
        <v>2113</v>
      </c>
      <c r="L1276" s="22" t="s">
        <v>60</v>
      </c>
      <c r="M1276" s="23" t="s">
        <v>77</v>
      </c>
      <c r="N1276" s="25" t="s">
        <v>2053</v>
      </c>
      <c r="O1276" s="25" t="s">
        <v>1713</v>
      </c>
      <c r="P1276" s="26">
        <f ca="1">IFERROR(VLOOKUP(DadosViagem5[[#This Row],[Placa]],[1]BIP!A:E,5,FALSE),"")</f>
        <v>45989</v>
      </c>
      <c r="Q1276" s="27">
        <f ca="1">DATEDIF(DadosViagem5[[#This Row],[BIP]],TODAY(),"D")</f>
        <v>1</v>
      </c>
      <c r="R1276" s="28" t="str">
        <f>IFERROR(VLOOKUP(DadosViagem5[[#This Row],[Placa]],[1]DDS!B:C,2,FALSE),"Verificar cadastro")</f>
        <v>Carregado</v>
      </c>
      <c r="S1276" s="29" t="s">
        <v>48</v>
      </c>
      <c r="T1276" s="23"/>
      <c r="U1276" s="30"/>
      <c r="V1276" s="31"/>
      <c r="W1276" s="32"/>
      <c r="X1276" s="33"/>
      <c r="Y1276" s="34"/>
      <c r="Z1276" s="32"/>
      <c r="AA1276" s="20" t="s">
        <v>49</v>
      </c>
      <c r="AB1276" s="20" t="s">
        <v>49</v>
      </c>
      <c r="AC1276" s="19" t="s">
        <v>49</v>
      </c>
      <c r="AD1276" s="19" t="str">
        <f ca="1">IFERROR(DATEDIF(DadosViagem5[[#This Row],[Utimo Bip Reserva]],TODAY(),"D"),"")</f>
        <v/>
      </c>
      <c r="AE1276" s="25" t="s">
        <v>49</v>
      </c>
      <c r="AF1276" s="25" t="s">
        <v>49</v>
      </c>
      <c r="AG1276" s="36"/>
      <c r="AH1276" s="25">
        <v>45807</v>
      </c>
      <c r="AI1276" s="36" t="str">
        <f>IF(DadosViagem5[[#This Row],[Dias em manutenção ]]&lt;5,"Dentro do Prazo","Fora do Prazo")</f>
        <v>Fora do Prazo</v>
      </c>
      <c r="AJ1276" s="36" t="e">
        <v>#REF!</v>
      </c>
    </row>
    <row r="1277" spans="1:36">
      <c r="A1277" s="19" t="s">
        <v>2171</v>
      </c>
      <c r="B1277" s="20">
        <v>295</v>
      </c>
      <c r="C1277" s="19" t="s">
        <v>74</v>
      </c>
      <c r="D1277" s="19" t="s">
        <v>52</v>
      </c>
      <c r="E1277" s="19" t="s">
        <v>57</v>
      </c>
      <c r="F1277" s="19" t="s">
        <v>396</v>
      </c>
      <c r="G1277" s="19"/>
      <c r="H1277" s="20">
        <v>2022</v>
      </c>
      <c r="I1277" s="19" t="s">
        <v>1738</v>
      </c>
      <c r="J1277" s="19" t="s">
        <v>2052</v>
      </c>
      <c r="K1277" s="21" t="s">
        <v>2113</v>
      </c>
      <c r="L1277" s="22" t="s">
        <v>60</v>
      </c>
      <c r="M1277" s="23" t="s">
        <v>77</v>
      </c>
      <c r="N1277" s="25" t="s">
        <v>2053</v>
      </c>
      <c r="O1277" s="25" t="s">
        <v>1713</v>
      </c>
      <c r="P1277" s="26">
        <f ca="1">IFERROR(VLOOKUP(DadosViagem5[[#This Row],[Placa]],[1]BIP!A:E,5,FALSE),"")</f>
        <v>45976</v>
      </c>
      <c r="Q1277" s="27">
        <f ca="1">DATEDIF(DadosViagem5[[#This Row],[BIP]],TODAY(),"D")</f>
        <v>14</v>
      </c>
      <c r="R1277" s="28" t="str">
        <f>IFERROR(VLOOKUP(DadosViagem5[[#This Row],[Placa]],[1]DDS!B:C,2,FALSE),"Verificar cadastro")</f>
        <v>Manutenção</v>
      </c>
      <c r="S1277" s="29" t="s">
        <v>48</v>
      </c>
      <c r="T1277" s="23"/>
      <c r="U1277" s="30"/>
      <c r="V1277" s="31"/>
      <c r="W1277" s="32"/>
      <c r="X1277" s="33"/>
      <c r="Y1277" s="34"/>
      <c r="Z1277" s="32"/>
      <c r="AA1277" s="20" t="s">
        <v>49</v>
      </c>
      <c r="AB1277" s="20" t="s">
        <v>49</v>
      </c>
      <c r="AC1277" s="19" t="s">
        <v>49</v>
      </c>
      <c r="AD1277" s="19" t="str">
        <f ca="1">IFERROR(DATEDIF(DadosViagem5[[#This Row],[Utimo Bip Reserva]],TODAY(),"D"),"")</f>
        <v/>
      </c>
      <c r="AE1277" s="25"/>
      <c r="AF1277" s="25"/>
      <c r="AG1277" s="36"/>
      <c r="AH1277" s="25">
        <v>45807</v>
      </c>
      <c r="AI1277" s="36" t="str">
        <f>IF(DadosViagem5[[#This Row],[Dias em manutenção ]]&lt;5,"Dentro do Prazo","Fora do Prazo")</f>
        <v>Fora do Prazo</v>
      </c>
      <c r="AJ1277" s="36" t="e">
        <v>#REF!</v>
      </c>
    </row>
    <row r="1278" spans="1:36">
      <c r="A1278" s="19" t="s">
        <v>2172</v>
      </c>
      <c r="B1278" s="20"/>
      <c r="C1278" s="19" t="s">
        <v>88</v>
      </c>
      <c r="D1278" s="19" t="s">
        <v>52</v>
      </c>
      <c r="E1278" s="19" t="s">
        <v>114</v>
      </c>
      <c r="F1278" s="19" t="s">
        <v>115</v>
      </c>
      <c r="G1278" s="19"/>
      <c r="H1278" s="20">
        <v>2021</v>
      </c>
      <c r="I1278" s="19" t="s">
        <v>1738</v>
      </c>
      <c r="J1278" s="19" t="s">
        <v>2052</v>
      </c>
      <c r="K1278" s="21" t="s">
        <v>2113</v>
      </c>
      <c r="L1278" s="22" t="s">
        <v>60</v>
      </c>
      <c r="M1278" s="23" t="s">
        <v>140</v>
      </c>
      <c r="N1278" s="25" t="s">
        <v>2053</v>
      </c>
      <c r="O1278" s="25" t="s">
        <v>1713</v>
      </c>
      <c r="P1278" s="26">
        <f ca="1">IFERROR(VLOOKUP(DadosViagem5[[#This Row],[Placa]],[1]BIP!A:E,5,FALSE),"")</f>
        <v>45986</v>
      </c>
      <c r="Q1278" s="27">
        <f ca="1">DATEDIF(DadosViagem5[[#This Row],[BIP]],TODAY(),"D")</f>
        <v>4</v>
      </c>
      <c r="R1278" s="28" t="str">
        <f>IFERROR(VLOOKUP(DadosViagem5[[#This Row],[Placa]],[1]DDS!B:C,2,FALSE),"Verificar cadastro")</f>
        <v>Manutenção</v>
      </c>
      <c r="S1278" s="29" t="s">
        <v>48</v>
      </c>
      <c r="T1278" s="23"/>
      <c r="U1278" s="30"/>
      <c r="V1278" s="31"/>
      <c r="W1278" s="32"/>
      <c r="X1278" s="33"/>
      <c r="Y1278" s="34"/>
      <c r="Z1278" s="32"/>
      <c r="AA1278" s="20" t="s">
        <v>49</v>
      </c>
      <c r="AB1278" s="20" t="s">
        <v>49</v>
      </c>
      <c r="AC1278" s="19" t="s">
        <v>49</v>
      </c>
      <c r="AD1278" s="19" t="str">
        <f ca="1">IFERROR(DATEDIF(DadosViagem5[[#This Row],[Utimo Bip Reserva]],TODAY(),"D"),"")</f>
        <v/>
      </c>
      <c r="AE1278" s="36" t="s">
        <v>49</v>
      </c>
      <c r="AF1278" s="25" t="s">
        <v>49</v>
      </c>
      <c r="AG1278" s="36"/>
      <c r="AH1278" s="25">
        <v>45807</v>
      </c>
      <c r="AI1278" s="36" t="str">
        <f>IF(DadosViagem5[[#This Row],[Dias em manutenção ]]&lt;5,"Dentro do Prazo","Fora do Prazo")</f>
        <v>Fora do Prazo</v>
      </c>
      <c r="AJ1278" s="36" t="e">
        <v>#REF!</v>
      </c>
    </row>
    <row r="1279" spans="1:36">
      <c r="A1279" s="19" t="s">
        <v>2173</v>
      </c>
      <c r="B1279" s="20"/>
      <c r="C1279" s="19" t="s">
        <v>74</v>
      </c>
      <c r="D1279" s="19" t="s">
        <v>52</v>
      </c>
      <c r="E1279" s="19" t="s">
        <v>75</v>
      </c>
      <c r="F1279" s="19" t="s">
        <v>76</v>
      </c>
      <c r="G1279" s="19"/>
      <c r="H1279" s="20">
        <v>2023</v>
      </c>
      <c r="I1279" s="19" t="s">
        <v>41</v>
      </c>
      <c r="J1279" s="19" t="s">
        <v>2174</v>
      </c>
      <c r="K1279" s="21" t="s">
        <v>2175</v>
      </c>
      <c r="L1279" s="22" t="s">
        <v>60</v>
      </c>
      <c r="M1279" s="23" t="s">
        <v>77</v>
      </c>
      <c r="N1279" s="25" t="s">
        <v>2176</v>
      </c>
      <c r="O1279" s="25" t="s">
        <v>1106</v>
      </c>
      <c r="P1279" s="26">
        <f ca="1">IFERROR(VLOOKUP(DadosViagem5[[#This Row],[Placa]],[1]BIP!A:E,5,FALSE),"")</f>
        <v>45989</v>
      </c>
      <c r="Q1279" s="27">
        <f ca="1">DATEDIF(DadosViagem5[[#This Row],[BIP]],TODAY(),"D")</f>
        <v>1</v>
      </c>
      <c r="R1279" s="28" t="str">
        <f>IFERROR(VLOOKUP(DadosViagem5[[#This Row],[Placa]],[1]DDS!B:C,2,FALSE),"Verificar cadastro")</f>
        <v>Operando</v>
      </c>
      <c r="S1279" s="29" t="s">
        <v>48</v>
      </c>
      <c r="T1279" s="23"/>
      <c r="U1279" s="30"/>
      <c r="V1279" s="31"/>
      <c r="W1279" s="32"/>
      <c r="X1279" s="33"/>
      <c r="Y1279" s="34"/>
      <c r="Z1279" s="42"/>
      <c r="AA1279" s="20" t="s">
        <v>49</v>
      </c>
      <c r="AB1279" s="20" t="s">
        <v>49</v>
      </c>
      <c r="AC1279" s="19" t="s">
        <v>49</v>
      </c>
      <c r="AD1279" s="19" t="str">
        <f ca="1">IFERROR(DATEDIF(DadosViagem5[[#This Row],[Utimo Bip Reserva]],TODAY(),"D"),"")</f>
        <v/>
      </c>
      <c r="AE1279" s="36"/>
      <c r="AF1279" s="25"/>
      <c r="AG1279" s="36"/>
      <c r="AH1279" s="25">
        <v>45807</v>
      </c>
      <c r="AI1279" s="36" t="str">
        <f>IF(DadosViagem5[[#This Row],[Dias em manutenção ]]&lt;5,"Dentro do Prazo","Fora do Prazo")</f>
        <v>Fora do Prazo</v>
      </c>
      <c r="AJ1279" s="36" t="e">
        <v>#REF!</v>
      </c>
    </row>
    <row r="1280" spans="1:36">
      <c r="A1280" s="19" t="s">
        <v>2177</v>
      </c>
      <c r="B1280" s="20"/>
      <c r="C1280" s="19" t="s">
        <v>74</v>
      </c>
      <c r="D1280" s="19" t="s">
        <v>52</v>
      </c>
      <c r="E1280" s="19" t="s">
        <v>75</v>
      </c>
      <c r="F1280" s="19" t="s">
        <v>76</v>
      </c>
      <c r="G1280" s="19"/>
      <c r="H1280" s="20">
        <v>2023</v>
      </c>
      <c r="I1280" s="19" t="s">
        <v>41</v>
      </c>
      <c r="J1280" s="19" t="s">
        <v>2174</v>
      </c>
      <c r="K1280" s="21" t="s">
        <v>2175</v>
      </c>
      <c r="L1280" s="22" t="s">
        <v>60</v>
      </c>
      <c r="M1280" s="23" t="s">
        <v>77</v>
      </c>
      <c r="N1280" s="25" t="s">
        <v>2176</v>
      </c>
      <c r="O1280" s="25" t="s">
        <v>1106</v>
      </c>
      <c r="P1280" s="26">
        <f ca="1">IFERROR(VLOOKUP(DadosViagem5[[#This Row],[Placa]],[1]BIP!A:E,5,FALSE),"")</f>
        <v>45989</v>
      </c>
      <c r="Q1280" s="27">
        <f ca="1">DATEDIF(DadosViagem5[[#This Row],[BIP]],TODAY(),"D")</f>
        <v>1</v>
      </c>
      <c r="R1280" s="28" t="str">
        <f>IFERROR(VLOOKUP(DadosViagem5[[#This Row],[Placa]],[1]DDS!B:C,2,FALSE),"Verificar cadastro")</f>
        <v>Operando</v>
      </c>
      <c r="S1280" s="29" t="s">
        <v>48</v>
      </c>
      <c r="T1280" s="23"/>
      <c r="U1280" s="30"/>
      <c r="V1280" s="31"/>
      <c r="W1280" s="32" t="s">
        <v>2178</v>
      </c>
      <c r="X1280" s="33"/>
      <c r="Y1280" s="34"/>
      <c r="Z1280" s="32"/>
      <c r="AA1280" s="20" t="s">
        <v>49</v>
      </c>
      <c r="AB1280" s="20" t="s">
        <v>49</v>
      </c>
      <c r="AC1280" s="19" t="s">
        <v>49</v>
      </c>
      <c r="AD1280" s="19" t="str">
        <f ca="1">IFERROR(DATEDIF(DadosViagem5[[#This Row],[Utimo Bip Reserva]],TODAY(),"D"),"")</f>
        <v/>
      </c>
      <c r="AE1280" s="36"/>
      <c r="AF1280" s="25"/>
      <c r="AG1280" s="36"/>
      <c r="AH1280" s="25">
        <v>45807</v>
      </c>
      <c r="AI1280" s="36" t="str">
        <f>IF(DadosViagem5[[#This Row],[Dias em manutenção ]]&lt;5,"Dentro do Prazo","Fora do Prazo")</f>
        <v>Fora do Prazo</v>
      </c>
      <c r="AJ1280" s="36" t="e">
        <v>#REF!</v>
      </c>
    </row>
    <row r="1281" spans="1:36">
      <c r="A1281" s="19" t="s">
        <v>2179</v>
      </c>
      <c r="B1281" s="20"/>
      <c r="C1281" s="19" t="s">
        <v>74</v>
      </c>
      <c r="D1281" s="19" t="s">
        <v>52</v>
      </c>
      <c r="E1281" s="19" t="s">
        <v>75</v>
      </c>
      <c r="F1281" s="19" t="s">
        <v>76</v>
      </c>
      <c r="G1281" s="19"/>
      <c r="H1281" s="20">
        <v>2023</v>
      </c>
      <c r="I1281" s="19" t="s">
        <v>41</v>
      </c>
      <c r="J1281" s="19" t="s">
        <v>2174</v>
      </c>
      <c r="K1281" s="21" t="s">
        <v>2175</v>
      </c>
      <c r="L1281" s="22" t="s">
        <v>60</v>
      </c>
      <c r="M1281" s="23" t="s">
        <v>77</v>
      </c>
      <c r="N1281" s="25" t="s">
        <v>2176</v>
      </c>
      <c r="O1281" s="25" t="s">
        <v>1106</v>
      </c>
      <c r="P1281" s="26">
        <f ca="1">IFERROR(VLOOKUP(DadosViagem5[[#This Row],[Placa]],[1]BIP!A:E,5,FALSE),"")</f>
        <v>45989</v>
      </c>
      <c r="Q1281" s="27">
        <f ca="1">DATEDIF(DadosViagem5[[#This Row],[BIP]],TODAY(),"D")</f>
        <v>1</v>
      </c>
      <c r="R1281" s="28" t="str">
        <f>IFERROR(VLOOKUP(DadosViagem5[[#This Row],[Placa]],[1]DDS!B:C,2,FALSE),"Verificar cadastro")</f>
        <v>Manutenção</v>
      </c>
      <c r="S1281" s="29" t="s">
        <v>48</v>
      </c>
      <c r="T1281" s="23"/>
      <c r="U1281" s="30"/>
      <c r="V1281" s="31"/>
      <c r="W1281" s="32" t="s">
        <v>1473</v>
      </c>
      <c r="X1281" s="33"/>
      <c r="Y1281" s="34"/>
      <c r="Z1281" s="32"/>
      <c r="AA1281" s="20" t="s">
        <v>49</v>
      </c>
      <c r="AB1281" s="20" t="s">
        <v>49</v>
      </c>
      <c r="AC1281" s="19" t="s">
        <v>49</v>
      </c>
      <c r="AD1281" s="19" t="str">
        <f ca="1">IFERROR(DATEDIF(DadosViagem5[[#This Row],[Utimo Bip Reserva]],TODAY(),"D"),"")</f>
        <v/>
      </c>
      <c r="AE1281" s="36"/>
      <c r="AF1281" s="25"/>
      <c r="AG1281" s="36"/>
      <c r="AH1281" s="25">
        <v>45807</v>
      </c>
      <c r="AI1281" s="36" t="str">
        <f>IF(DadosViagem5[[#This Row],[Dias em manutenção ]]&lt;5,"Dentro do Prazo","Fora do Prazo")</f>
        <v>Fora do Prazo</v>
      </c>
      <c r="AJ1281" s="36" t="e">
        <v>#REF!</v>
      </c>
    </row>
    <row r="1282" spans="1:36">
      <c r="A1282" s="19" t="s">
        <v>2180</v>
      </c>
      <c r="B1282" s="20"/>
      <c r="C1282" s="19" t="s">
        <v>74</v>
      </c>
      <c r="D1282" s="19" t="s">
        <v>52</v>
      </c>
      <c r="E1282" s="19" t="s">
        <v>75</v>
      </c>
      <c r="F1282" s="19" t="s">
        <v>115</v>
      </c>
      <c r="G1282" s="19"/>
      <c r="H1282" s="20">
        <v>2024</v>
      </c>
      <c r="I1282" s="19" t="s">
        <v>41</v>
      </c>
      <c r="J1282" s="19" t="s">
        <v>2174</v>
      </c>
      <c r="K1282" s="21" t="s">
        <v>2175</v>
      </c>
      <c r="L1282" s="22" t="s">
        <v>60</v>
      </c>
      <c r="M1282" s="23" t="s">
        <v>77</v>
      </c>
      <c r="N1282" s="25" t="s">
        <v>2176</v>
      </c>
      <c r="O1282" s="25" t="s">
        <v>1106</v>
      </c>
      <c r="P1282" s="26">
        <f ca="1">IFERROR(VLOOKUP(DadosViagem5[[#This Row],[Placa]],[1]BIP!A:E,5,FALSE),"")</f>
        <v>45989</v>
      </c>
      <c r="Q1282" s="27">
        <f ca="1">DATEDIF(DadosViagem5[[#This Row],[BIP]],TODAY(),"D")</f>
        <v>1</v>
      </c>
      <c r="R1282" s="28" t="str">
        <f>IFERROR(VLOOKUP(DadosViagem5[[#This Row],[Placa]],[1]DDS!B:C,2,FALSE),"Verificar cadastro")</f>
        <v>Operando</v>
      </c>
      <c r="S1282" s="29" t="s">
        <v>48</v>
      </c>
      <c r="T1282" s="23"/>
      <c r="U1282" s="30"/>
      <c r="V1282" s="31"/>
      <c r="W1282" s="32" t="s">
        <v>1473</v>
      </c>
      <c r="X1282" s="33"/>
      <c r="Y1282" s="34"/>
      <c r="Z1282" s="32"/>
      <c r="AA1282" s="20" t="s">
        <v>49</v>
      </c>
      <c r="AB1282" s="20" t="s">
        <v>49</v>
      </c>
      <c r="AC1282" s="19" t="s">
        <v>49</v>
      </c>
      <c r="AD1282" s="19" t="str">
        <f ca="1">IFERROR(DATEDIF(DadosViagem5[[#This Row],[Utimo Bip Reserva]],TODAY(),"D"),"")</f>
        <v/>
      </c>
      <c r="AE1282" s="36"/>
      <c r="AF1282" s="25"/>
      <c r="AG1282" s="36"/>
      <c r="AH1282" s="25">
        <v>45807</v>
      </c>
      <c r="AI1282" s="36" t="str">
        <f>IF(DadosViagem5[[#This Row],[Dias em manutenção ]]&lt;5,"Dentro do Prazo","Fora do Prazo")</f>
        <v>Fora do Prazo</v>
      </c>
      <c r="AJ1282" s="36" t="e">
        <v>#REF!</v>
      </c>
    </row>
    <row r="1283" spans="1:36">
      <c r="A1283" s="19" t="s">
        <v>2181</v>
      </c>
      <c r="B1283" s="20"/>
      <c r="C1283" s="19" t="s">
        <v>74</v>
      </c>
      <c r="D1283" s="19" t="s">
        <v>52</v>
      </c>
      <c r="E1283" s="19" t="s">
        <v>75</v>
      </c>
      <c r="F1283" s="19" t="s">
        <v>115</v>
      </c>
      <c r="G1283" s="19"/>
      <c r="H1283" s="20">
        <v>2024</v>
      </c>
      <c r="I1283" s="19" t="s">
        <v>41</v>
      </c>
      <c r="J1283" s="19" t="s">
        <v>2174</v>
      </c>
      <c r="K1283" s="21" t="s">
        <v>2175</v>
      </c>
      <c r="L1283" s="22" t="s">
        <v>60</v>
      </c>
      <c r="M1283" s="23" t="s">
        <v>77</v>
      </c>
      <c r="N1283" s="25" t="s">
        <v>2176</v>
      </c>
      <c r="O1283" s="25" t="s">
        <v>1106</v>
      </c>
      <c r="P1283" s="26">
        <f ca="1">IFERROR(VLOOKUP(DadosViagem5[[#This Row],[Placa]],[1]BIP!A:E,5,FALSE),"")</f>
        <v>45989</v>
      </c>
      <c r="Q1283" s="27">
        <f ca="1">DATEDIF(DadosViagem5[[#This Row],[BIP]],TODAY(),"D")</f>
        <v>1</v>
      </c>
      <c r="R1283" s="28" t="str">
        <f>IFERROR(VLOOKUP(DadosViagem5[[#This Row],[Placa]],[1]DDS!B:C,2,FALSE),"Verificar cadastro")</f>
        <v>Operando</v>
      </c>
      <c r="S1283" s="29" t="s">
        <v>48</v>
      </c>
      <c r="T1283" s="23"/>
      <c r="U1283" s="30"/>
      <c r="V1283" s="31"/>
      <c r="W1283" s="32" t="s">
        <v>1473</v>
      </c>
      <c r="X1283" s="33"/>
      <c r="Y1283" s="34"/>
      <c r="Z1283" s="32"/>
      <c r="AA1283" s="20" t="s">
        <v>49</v>
      </c>
      <c r="AB1283" s="20" t="s">
        <v>49</v>
      </c>
      <c r="AC1283" s="19" t="s">
        <v>49</v>
      </c>
      <c r="AD1283" s="19" t="str">
        <f ca="1">IFERROR(DATEDIF(DadosViagem5[[#This Row],[Utimo Bip Reserva]],TODAY(),"D"),"")</f>
        <v/>
      </c>
      <c r="AE1283" s="36"/>
      <c r="AF1283" s="25"/>
      <c r="AG1283" s="36"/>
      <c r="AH1283" s="25">
        <v>45807</v>
      </c>
      <c r="AI1283" s="36" t="str">
        <f>IF(DadosViagem5[[#This Row],[Dias em manutenção ]]&lt;5,"Dentro do Prazo","Fora do Prazo")</f>
        <v>Fora do Prazo</v>
      </c>
      <c r="AJ1283" s="36" t="e">
        <v>#REF!</v>
      </c>
    </row>
    <row r="1284" spans="1:36">
      <c r="A1284" s="19" t="s">
        <v>2182</v>
      </c>
      <c r="B1284" s="20"/>
      <c r="C1284" s="19" t="s">
        <v>74</v>
      </c>
      <c r="D1284" s="19" t="s">
        <v>52</v>
      </c>
      <c r="E1284" s="19" t="s">
        <v>75</v>
      </c>
      <c r="F1284" s="19" t="s">
        <v>115</v>
      </c>
      <c r="G1284" s="19"/>
      <c r="H1284" s="20">
        <v>2024</v>
      </c>
      <c r="I1284" s="19" t="s">
        <v>41</v>
      </c>
      <c r="J1284" s="19" t="s">
        <v>2174</v>
      </c>
      <c r="K1284" s="21" t="s">
        <v>2175</v>
      </c>
      <c r="L1284" s="22" t="s">
        <v>60</v>
      </c>
      <c r="M1284" s="23" t="s">
        <v>77</v>
      </c>
      <c r="N1284" s="25" t="s">
        <v>2176</v>
      </c>
      <c r="O1284" s="25" t="s">
        <v>1106</v>
      </c>
      <c r="P1284" s="26">
        <f ca="1">IFERROR(VLOOKUP(DadosViagem5[[#This Row],[Placa]],[1]BIP!A:E,5,FALSE),"")</f>
        <v>45953</v>
      </c>
      <c r="Q1284" s="151" t="s">
        <v>49</v>
      </c>
      <c r="R1284" s="28" t="str">
        <f>IFERROR(VLOOKUP(DadosViagem5[[#This Row],[Placa]],[1]DDS!B:C,2,FALSE),"Verificar cadastro")</f>
        <v>Manutenção</v>
      </c>
      <c r="S1284" s="29" t="s">
        <v>48</v>
      </c>
      <c r="T1284" s="23"/>
      <c r="U1284" s="30"/>
      <c r="V1284" s="31"/>
      <c r="W1284" s="32" t="s">
        <v>1473</v>
      </c>
      <c r="X1284" s="33"/>
      <c r="Y1284" s="34"/>
      <c r="Z1284" s="32"/>
      <c r="AA1284" s="20" t="s">
        <v>49</v>
      </c>
      <c r="AB1284" s="20" t="s">
        <v>49</v>
      </c>
      <c r="AC1284" s="19" t="s">
        <v>49</v>
      </c>
      <c r="AD1284" s="19" t="str">
        <f ca="1">IFERROR(DATEDIF(DadosViagem5[[#This Row],[Utimo Bip Reserva]],TODAY(),"D"),"")</f>
        <v/>
      </c>
      <c r="AE1284" s="36"/>
      <c r="AF1284" s="25"/>
      <c r="AG1284" s="36"/>
      <c r="AH1284" s="25">
        <v>45807</v>
      </c>
      <c r="AI1284" s="36" t="str">
        <f>IF(DadosViagem5[[#This Row],[Dias em manutenção ]]&lt;5,"Dentro do Prazo","Fora do Prazo")</f>
        <v>Fora do Prazo</v>
      </c>
      <c r="AJ1284" s="36" t="e">
        <v>#REF!</v>
      </c>
    </row>
    <row r="1285" spans="1:36">
      <c r="A1285" s="19" t="s">
        <v>2183</v>
      </c>
      <c r="B1285" s="20">
        <v>492</v>
      </c>
      <c r="C1285" s="19" t="s">
        <v>74</v>
      </c>
      <c r="D1285" s="19" t="s">
        <v>52</v>
      </c>
      <c r="E1285" s="19" t="s">
        <v>75</v>
      </c>
      <c r="F1285" s="19" t="s">
        <v>76</v>
      </c>
      <c r="G1285" s="19"/>
      <c r="H1285" s="20">
        <v>2024</v>
      </c>
      <c r="I1285" s="19" t="s">
        <v>41</v>
      </c>
      <c r="J1285" s="19" t="s">
        <v>2174</v>
      </c>
      <c r="K1285" s="21" t="s">
        <v>2175</v>
      </c>
      <c r="L1285" s="22" t="s">
        <v>60</v>
      </c>
      <c r="M1285" s="23" t="s">
        <v>77</v>
      </c>
      <c r="N1285" s="25" t="s">
        <v>2176</v>
      </c>
      <c r="O1285" s="25" t="s">
        <v>1106</v>
      </c>
      <c r="P1285" s="26">
        <f ca="1">IFERROR(VLOOKUP(DadosViagem5[[#This Row],[Placa]],[1]BIP!A:E,5,FALSE),"")</f>
        <v>45989</v>
      </c>
      <c r="Q1285" s="27">
        <f ca="1">DATEDIF(DadosViagem5[[#This Row],[BIP]],TODAY(),"D")</f>
        <v>1</v>
      </c>
      <c r="R1285" s="28" t="str">
        <f>IFERROR(VLOOKUP(DadosViagem5[[#This Row],[Placa]],[1]DDS!B:C,2,FALSE),"Verificar cadastro")</f>
        <v>Operando</v>
      </c>
      <c r="S1285" s="29" t="s">
        <v>48</v>
      </c>
      <c r="T1285" s="23"/>
      <c r="U1285" s="30"/>
      <c r="V1285" s="31"/>
      <c r="W1285" s="32" t="s">
        <v>1473</v>
      </c>
      <c r="X1285" s="33"/>
      <c r="Y1285" s="34"/>
      <c r="Z1285" s="32"/>
      <c r="AA1285" s="20" t="s">
        <v>49</v>
      </c>
      <c r="AB1285" s="20" t="s">
        <v>49</v>
      </c>
      <c r="AC1285" s="19" t="s">
        <v>49</v>
      </c>
      <c r="AD1285" s="19" t="str">
        <f ca="1">IFERROR(DATEDIF(DadosViagem5[[#This Row],[Utimo Bip Reserva]],TODAY(),"D"),"")</f>
        <v/>
      </c>
      <c r="AE1285" s="16" t="s">
        <v>49</v>
      </c>
      <c r="AF1285" s="16" t="s">
        <v>49</v>
      </c>
      <c r="AG1285" s="36"/>
      <c r="AH1285" s="25">
        <v>45807</v>
      </c>
      <c r="AI1285" s="36" t="str">
        <f>IF(DadosViagem5[[#This Row],[Dias em manutenção ]]&lt;5,"Dentro do Prazo","Fora do Prazo")</f>
        <v>Fora do Prazo</v>
      </c>
      <c r="AJ1285" s="36" t="e">
        <v>#REF!</v>
      </c>
    </row>
    <row r="1286" spans="1:36">
      <c r="A1286" s="19" t="s">
        <v>2184</v>
      </c>
      <c r="B1286" s="20"/>
      <c r="C1286" s="19" t="s">
        <v>74</v>
      </c>
      <c r="D1286" s="19" t="s">
        <v>52</v>
      </c>
      <c r="E1286" s="19" t="s">
        <v>75</v>
      </c>
      <c r="F1286" s="19" t="s">
        <v>76</v>
      </c>
      <c r="G1286" s="19"/>
      <c r="H1286" s="20">
        <v>2023</v>
      </c>
      <c r="I1286" s="19" t="s">
        <v>41</v>
      </c>
      <c r="J1286" s="19" t="s">
        <v>2174</v>
      </c>
      <c r="K1286" s="21" t="s">
        <v>2175</v>
      </c>
      <c r="L1286" s="22" t="s">
        <v>60</v>
      </c>
      <c r="M1286" s="23" t="s">
        <v>77</v>
      </c>
      <c r="N1286" s="25" t="s">
        <v>2176</v>
      </c>
      <c r="O1286" s="25" t="s">
        <v>1106</v>
      </c>
      <c r="P1286" s="26">
        <f ca="1">IFERROR(VLOOKUP(DadosViagem5[[#This Row],[Placa]],[1]BIP!A:E,5,FALSE),"")</f>
        <v>45989</v>
      </c>
      <c r="Q1286" s="27">
        <f ca="1">DATEDIF(DadosViagem5[[#This Row],[BIP]],TODAY(),"D")</f>
        <v>1</v>
      </c>
      <c r="R1286" s="28" t="str">
        <f>IFERROR(VLOOKUP(DadosViagem5[[#This Row],[Placa]],[1]DDS!B:C,2,FALSE),"Verificar cadastro")</f>
        <v>Operando</v>
      </c>
      <c r="S1286" s="29" t="s">
        <v>48</v>
      </c>
      <c r="T1286" s="23"/>
      <c r="U1286" s="30"/>
      <c r="V1286" s="31"/>
      <c r="W1286" s="32" t="s">
        <v>1473</v>
      </c>
      <c r="X1286" s="33"/>
      <c r="Y1286" s="34"/>
      <c r="Z1286" s="32"/>
      <c r="AA1286" s="20" t="s">
        <v>49</v>
      </c>
      <c r="AB1286" s="20" t="s">
        <v>49</v>
      </c>
      <c r="AC1286" s="19" t="s">
        <v>49</v>
      </c>
      <c r="AD1286" s="19" t="str">
        <f ca="1">IFERROR(DATEDIF(DadosViagem5[[#This Row],[Utimo Bip Reserva]],TODAY(),"D"),"")</f>
        <v/>
      </c>
      <c r="AE1286" s="36"/>
      <c r="AF1286" s="25"/>
      <c r="AG1286" s="36"/>
      <c r="AH1286" s="25">
        <v>45807</v>
      </c>
      <c r="AI1286" s="36" t="str">
        <f>IF(DadosViagem5[[#This Row],[Dias em manutenção ]]&lt;5,"Dentro do Prazo","Fora do Prazo")</f>
        <v>Fora do Prazo</v>
      </c>
      <c r="AJ1286" s="36" t="e">
        <v>#REF!</v>
      </c>
    </row>
    <row r="1287" spans="1:36">
      <c r="A1287" s="19" t="s">
        <v>2185</v>
      </c>
      <c r="B1287" s="20"/>
      <c r="C1287" s="19" t="s">
        <v>217</v>
      </c>
      <c r="D1287" s="19" t="s">
        <v>52</v>
      </c>
      <c r="E1287" s="19" t="s">
        <v>75</v>
      </c>
      <c r="F1287" s="19" t="s">
        <v>76</v>
      </c>
      <c r="G1287" s="19"/>
      <c r="H1287" s="20">
        <v>2024</v>
      </c>
      <c r="I1287" s="19" t="s">
        <v>41</v>
      </c>
      <c r="J1287" s="19" t="s">
        <v>2174</v>
      </c>
      <c r="K1287" s="21" t="s">
        <v>2175</v>
      </c>
      <c r="L1287" s="22" t="s">
        <v>60</v>
      </c>
      <c r="M1287" s="23" t="s">
        <v>77</v>
      </c>
      <c r="N1287" s="25" t="s">
        <v>2176</v>
      </c>
      <c r="O1287" s="25" t="s">
        <v>1106</v>
      </c>
      <c r="P1287" s="26">
        <f ca="1">IFERROR(VLOOKUP(DadosViagem5[[#This Row],[Placa]],[1]BIP!A:E,5,FALSE),"")</f>
        <v>45989</v>
      </c>
      <c r="Q1287" s="27">
        <f ca="1">DATEDIF(DadosViagem5[[#This Row],[BIP]],TODAY(),"D")</f>
        <v>1</v>
      </c>
      <c r="R1287" s="28" t="str">
        <f>IFERROR(VLOOKUP(DadosViagem5[[#This Row],[Placa]],[1]DDS!B:C,2,FALSE),"Verificar cadastro")</f>
        <v>Manutenção</v>
      </c>
      <c r="S1287" s="29" t="s">
        <v>48</v>
      </c>
      <c r="T1287" s="23"/>
      <c r="U1287" s="30"/>
      <c r="V1287" s="32"/>
      <c r="W1287" s="32" t="s">
        <v>1473</v>
      </c>
      <c r="X1287" s="33"/>
      <c r="Y1287" s="34"/>
      <c r="Z1287" s="32"/>
      <c r="AA1287" s="20" t="s">
        <v>49</v>
      </c>
      <c r="AB1287" s="20" t="s">
        <v>49</v>
      </c>
      <c r="AC1287" s="19" t="s">
        <v>49</v>
      </c>
      <c r="AD1287" s="19" t="str">
        <f ca="1">IFERROR(DATEDIF(DadosViagem5[[#This Row],[Utimo Bip Reserva]],TODAY(),"D"),"")</f>
        <v/>
      </c>
      <c r="AE1287" s="36"/>
      <c r="AF1287" s="25"/>
      <c r="AG1287" s="36"/>
      <c r="AH1287" s="25">
        <v>45807</v>
      </c>
      <c r="AI1287" s="36" t="str">
        <f>IF(DadosViagem5[[#This Row],[Dias em manutenção ]]&lt;5,"Dentro do Prazo","Fora do Prazo")</f>
        <v>Fora do Prazo</v>
      </c>
      <c r="AJ1287" s="36" t="e">
        <v>#REF!</v>
      </c>
    </row>
    <row r="1288" spans="1:36">
      <c r="A1288" s="19" t="s">
        <v>2186</v>
      </c>
      <c r="B1288" s="20"/>
      <c r="C1288" s="19" t="s">
        <v>74</v>
      </c>
      <c r="D1288" s="19" t="s">
        <v>52</v>
      </c>
      <c r="E1288" s="19" t="s">
        <v>75</v>
      </c>
      <c r="F1288" s="19" t="s">
        <v>76</v>
      </c>
      <c r="G1288" s="19"/>
      <c r="H1288" s="20">
        <v>2024</v>
      </c>
      <c r="I1288" s="19" t="s">
        <v>41</v>
      </c>
      <c r="J1288" s="19" t="s">
        <v>2174</v>
      </c>
      <c r="K1288" s="21" t="s">
        <v>2175</v>
      </c>
      <c r="L1288" s="22" t="s">
        <v>60</v>
      </c>
      <c r="M1288" s="23" t="s">
        <v>77</v>
      </c>
      <c r="N1288" s="25" t="s">
        <v>2176</v>
      </c>
      <c r="O1288" s="25" t="s">
        <v>1106</v>
      </c>
      <c r="P1288" s="26">
        <f ca="1">IFERROR(VLOOKUP(DadosViagem5[[#This Row],[Placa]],[1]BIP!A:E,5,FALSE),"")</f>
        <v>45989</v>
      </c>
      <c r="Q1288" s="27">
        <f ca="1">DATEDIF(DadosViagem5[[#This Row],[BIP]],TODAY(),"D")</f>
        <v>1</v>
      </c>
      <c r="R1288" s="28" t="str">
        <f>IFERROR(VLOOKUP(DadosViagem5[[#This Row],[Placa]],[1]DDS!B:C,2,FALSE),"Verificar cadastro")</f>
        <v>Operando</v>
      </c>
      <c r="S1288" s="29" t="s">
        <v>48</v>
      </c>
      <c r="T1288" s="23"/>
      <c r="U1288" s="30"/>
      <c r="V1288" s="31"/>
      <c r="W1288" s="32" t="s">
        <v>1473</v>
      </c>
      <c r="X1288" s="33"/>
      <c r="Y1288" s="34"/>
      <c r="Z1288" s="42"/>
      <c r="AA1288" s="20" t="s">
        <v>49</v>
      </c>
      <c r="AB1288" s="20" t="s">
        <v>49</v>
      </c>
      <c r="AC1288" s="19" t="s">
        <v>49</v>
      </c>
      <c r="AD1288" s="19" t="str">
        <f ca="1">IFERROR(DATEDIF(DadosViagem5[[#This Row],[Utimo Bip Reserva]],TODAY(),"D"),"")</f>
        <v/>
      </c>
      <c r="AE1288" s="36"/>
      <c r="AF1288" s="25"/>
      <c r="AG1288" s="36"/>
      <c r="AH1288" s="25">
        <v>45807</v>
      </c>
      <c r="AI1288" s="36" t="str">
        <f>IF(DadosViagem5[[#This Row],[Dias em manutenção ]]&lt;5,"Dentro do Prazo","Fora do Prazo")</f>
        <v>Fora do Prazo</v>
      </c>
      <c r="AJ1288" s="36" t="e">
        <v>#REF!</v>
      </c>
    </row>
    <row r="1289" spans="1:36">
      <c r="A1289" s="19" t="s">
        <v>2187</v>
      </c>
      <c r="B1289" s="20"/>
      <c r="C1289" s="19" t="s">
        <v>74</v>
      </c>
      <c r="D1289" s="19" t="s">
        <v>52</v>
      </c>
      <c r="E1289" s="19" t="s">
        <v>75</v>
      </c>
      <c r="F1289" s="19" t="s">
        <v>76</v>
      </c>
      <c r="G1289" s="19"/>
      <c r="H1289" s="20">
        <v>2023</v>
      </c>
      <c r="I1289" s="19" t="s">
        <v>41</v>
      </c>
      <c r="J1289" s="19" t="s">
        <v>2174</v>
      </c>
      <c r="K1289" s="21" t="s">
        <v>2175</v>
      </c>
      <c r="L1289" s="22" t="s">
        <v>60</v>
      </c>
      <c r="M1289" s="23" t="s">
        <v>77</v>
      </c>
      <c r="N1289" s="25" t="s">
        <v>2176</v>
      </c>
      <c r="O1289" s="25" t="s">
        <v>1106</v>
      </c>
      <c r="P1289" s="26">
        <f ca="1">IFERROR(VLOOKUP(DadosViagem5[[#This Row],[Placa]],[1]BIP!A:E,5,FALSE),"")</f>
        <v>45989</v>
      </c>
      <c r="Q1289" s="27">
        <f ca="1">DATEDIF(DadosViagem5[[#This Row],[BIP]],TODAY(),"D")</f>
        <v>1</v>
      </c>
      <c r="R1289" s="28" t="str">
        <f>IFERROR(VLOOKUP(DadosViagem5[[#This Row],[Placa]],[1]DDS!B:C,2,FALSE),"Verificar cadastro")</f>
        <v>Carregado</v>
      </c>
      <c r="S1289" s="29" t="s">
        <v>48</v>
      </c>
      <c r="T1289" s="23"/>
      <c r="U1289" s="30"/>
      <c r="V1289" s="31"/>
      <c r="W1289" s="32" t="s">
        <v>1473</v>
      </c>
      <c r="X1289" s="33"/>
      <c r="Y1289" s="34"/>
      <c r="Z1289" s="42"/>
      <c r="AA1289" s="20" t="s">
        <v>49</v>
      </c>
      <c r="AB1289" s="20" t="s">
        <v>49</v>
      </c>
      <c r="AC1289" s="19" t="s">
        <v>49</v>
      </c>
      <c r="AD1289" s="19" t="str">
        <f ca="1">IFERROR(DATEDIF(DadosViagem5[[#This Row],[Utimo Bip Reserva]],TODAY(),"D"),"")</f>
        <v/>
      </c>
      <c r="AE1289" s="36"/>
      <c r="AF1289" s="25"/>
      <c r="AG1289" s="36"/>
      <c r="AH1289" s="25">
        <v>45807</v>
      </c>
      <c r="AI1289" s="36" t="str">
        <f>IF(DadosViagem5[[#This Row],[Dias em manutenção ]]&lt;5,"Dentro do Prazo","Fora do Prazo")</f>
        <v>Fora do Prazo</v>
      </c>
      <c r="AJ1289" s="36" t="e">
        <v>#REF!</v>
      </c>
    </row>
    <row r="1290" spans="1:36">
      <c r="A1290" s="19" t="s">
        <v>2188</v>
      </c>
      <c r="B1290" s="20"/>
      <c r="C1290" s="19" t="s">
        <v>97</v>
      </c>
      <c r="D1290" s="19" t="s">
        <v>98</v>
      </c>
      <c r="E1290" s="19" t="s">
        <v>53</v>
      </c>
      <c r="F1290" s="19" t="s">
        <v>40</v>
      </c>
      <c r="G1290" s="19"/>
      <c r="H1290" s="20">
        <v>2023</v>
      </c>
      <c r="I1290" s="19" t="s">
        <v>41</v>
      </c>
      <c r="J1290" s="19" t="s">
        <v>2174</v>
      </c>
      <c r="K1290" s="21" t="s">
        <v>2175</v>
      </c>
      <c r="L1290" s="22" t="s">
        <v>60</v>
      </c>
      <c r="M1290" s="23" t="s">
        <v>290</v>
      </c>
      <c r="N1290" s="25" t="s">
        <v>2176</v>
      </c>
      <c r="O1290" s="25" t="s">
        <v>1106</v>
      </c>
      <c r="P1290" s="26">
        <f ca="1">IFERROR(VLOOKUP(DadosViagem5[[#This Row],[Placa]],[1]BIP!A:E,5,FALSE),"")</f>
        <v>45989</v>
      </c>
      <c r="Q1290" s="27">
        <f ca="1">DATEDIF(DadosViagem5[[#This Row],[BIP]],TODAY(),"D")</f>
        <v>1</v>
      </c>
      <c r="R1290" s="28" t="str">
        <f>IFERROR(VLOOKUP(DadosViagem5[[#This Row],[Placa]],[1]DDS!B:C,2,FALSE),"Verificar cadastro")</f>
        <v>Operando</v>
      </c>
      <c r="S1290" s="29" t="s">
        <v>48</v>
      </c>
      <c r="T1290" s="23"/>
      <c r="U1290" s="30"/>
      <c r="V1290" s="31"/>
      <c r="W1290" s="32" t="s">
        <v>1473</v>
      </c>
      <c r="X1290" s="33"/>
      <c r="Y1290" s="34"/>
      <c r="Z1290" s="32"/>
      <c r="AA1290" s="20" t="s">
        <v>49</v>
      </c>
      <c r="AB1290" s="20" t="s">
        <v>49</v>
      </c>
      <c r="AC1290" s="19" t="s">
        <v>49</v>
      </c>
      <c r="AD1290" s="19" t="str">
        <f ca="1">IFERROR(DATEDIF(DadosViagem5[[#This Row],[Utimo Bip Reserva]],TODAY(),"D"),"")</f>
        <v/>
      </c>
      <c r="AE1290" s="25" t="s">
        <v>49</v>
      </c>
      <c r="AF1290" s="25" t="s">
        <v>49</v>
      </c>
      <c r="AG1290" s="36"/>
      <c r="AH1290" s="25">
        <v>45807</v>
      </c>
      <c r="AI1290" s="36" t="str">
        <f>IF(DadosViagem5[[#This Row],[Dias em manutenção ]]&lt;5,"Dentro do Prazo","Fora do Prazo")</f>
        <v>Fora do Prazo</v>
      </c>
      <c r="AJ1290" s="36" t="e">
        <v>#REF!</v>
      </c>
    </row>
    <row r="1291" spans="1:36">
      <c r="A1291" s="19" t="s">
        <v>2189</v>
      </c>
      <c r="B1291" s="20"/>
      <c r="C1291" s="19" t="s">
        <v>97</v>
      </c>
      <c r="D1291" s="19" t="s">
        <v>98</v>
      </c>
      <c r="E1291" s="19" t="s">
        <v>53</v>
      </c>
      <c r="F1291" s="19" t="s">
        <v>40</v>
      </c>
      <c r="G1291" s="19"/>
      <c r="H1291" s="20">
        <v>2023</v>
      </c>
      <c r="I1291" s="19" t="s">
        <v>41</v>
      </c>
      <c r="J1291" s="19" t="s">
        <v>2174</v>
      </c>
      <c r="K1291" s="21" t="s">
        <v>2175</v>
      </c>
      <c r="L1291" s="22" t="s">
        <v>60</v>
      </c>
      <c r="M1291" s="23" t="s">
        <v>290</v>
      </c>
      <c r="N1291" s="25" t="s">
        <v>2176</v>
      </c>
      <c r="O1291" s="25" t="s">
        <v>1106</v>
      </c>
      <c r="P1291" s="26">
        <f ca="1">IFERROR(VLOOKUP(DadosViagem5[[#This Row],[Placa]],[1]BIP!A:E,5,FALSE),"")</f>
        <v>45989</v>
      </c>
      <c r="Q1291" s="27">
        <f ca="1">DATEDIF(DadosViagem5[[#This Row],[BIP]],TODAY(),"D")</f>
        <v>1</v>
      </c>
      <c r="R1291" s="28" t="str">
        <f>IFERROR(VLOOKUP(DadosViagem5[[#This Row],[Placa]],[1]DDS!B:C,2,FALSE),"Verificar cadastro")</f>
        <v>Operando</v>
      </c>
      <c r="S1291" s="29" t="s">
        <v>48</v>
      </c>
      <c r="T1291" s="23"/>
      <c r="U1291" s="30"/>
      <c r="V1291" s="31"/>
      <c r="W1291" s="32" t="s">
        <v>1473</v>
      </c>
      <c r="X1291" s="33"/>
      <c r="Y1291" s="34"/>
      <c r="Z1291" s="32"/>
      <c r="AA1291" s="20" t="s">
        <v>49</v>
      </c>
      <c r="AB1291" s="20" t="s">
        <v>49</v>
      </c>
      <c r="AC1291" s="19" t="s">
        <v>49</v>
      </c>
      <c r="AD1291" s="19" t="str">
        <f ca="1">IFERROR(DATEDIF(DadosViagem5[[#This Row],[Utimo Bip Reserva]],TODAY(),"D"),"")</f>
        <v/>
      </c>
      <c r="AE1291" s="25" t="s">
        <v>49</v>
      </c>
      <c r="AF1291" s="25" t="s">
        <v>49</v>
      </c>
      <c r="AG1291" s="36"/>
      <c r="AH1291" s="25">
        <v>45807</v>
      </c>
      <c r="AI1291" s="36" t="str">
        <f>IF(DadosViagem5[[#This Row],[Dias em manutenção ]]&lt;5,"Dentro do Prazo","Fora do Prazo")</f>
        <v>Fora do Prazo</v>
      </c>
      <c r="AJ1291" s="36" t="e">
        <v>#REF!</v>
      </c>
    </row>
    <row r="1292" spans="1:36">
      <c r="A1292" s="19" t="s">
        <v>2190</v>
      </c>
      <c r="B1292" s="20"/>
      <c r="C1292" s="19" t="s">
        <v>217</v>
      </c>
      <c r="D1292" s="19" t="s">
        <v>52</v>
      </c>
      <c r="E1292" s="19" t="s">
        <v>75</v>
      </c>
      <c r="F1292" s="19" t="s">
        <v>76</v>
      </c>
      <c r="G1292" s="19"/>
      <c r="H1292" s="20">
        <v>2024</v>
      </c>
      <c r="I1292" s="19" t="s">
        <v>41</v>
      </c>
      <c r="J1292" s="19" t="s">
        <v>2174</v>
      </c>
      <c r="K1292" s="21" t="s">
        <v>2175</v>
      </c>
      <c r="L1292" s="22" t="s">
        <v>60</v>
      </c>
      <c r="M1292" s="23" t="s">
        <v>77</v>
      </c>
      <c r="N1292" s="25" t="s">
        <v>2176</v>
      </c>
      <c r="O1292" s="25" t="s">
        <v>1106</v>
      </c>
      <c r="P1292" s="26">
        <f ca="1">IFERROR(VLOOKUP(DadosViagem5[[#This Row],[Placa]],[1]BIP!A:E,5,FALSE),"")</f>
        <v>45989</v>
      </c>
      <c r="Q1292" s="27">
        <f ca="1">DATEDIF(DadosViagem5[[#This Row],[BIP]],TODAY(),"D")</f>
        <v>1</v>
      </c>
      <c r="R1292" s="28" t="str">
        <f>IFERROR(VLOOKUP(DadosViagem5[[#This Row],[Placa]],[1]DDS!B:C,2,FALSE),"Verificar cadastro")</f>
        <v>Operando</v>
      </c>
      <c r="S1292" s="29" t="s">
        <v>48</v>
      </c>
      <c r="T1292" s="23"/>
      <c r="U1292" s="30"/>
      <c r="V1292" s="31"/>
      <c r="W1292" s="32" t="s">
        <v>1473</v>
      </c>
      <c r="X1292" s="33"/>
      <c r="Y1292" s="34"/>
      <c r="Z1292" s="32"/>
      <c r="AA1292" s="20" t="s">
        <v>49</v>
      </c>
      <c r="AB1292" s="20" t="s">
        <v>49</v>
      </c>
      <c r="AC1292" s="19" t="s">
        <v>49</v>
      </c>
      <c r="AD1292" s="19" t="str">
        <f ca="1">IFERROR(DATEDIF(DadosViagem5[[#This Row],[Utimo Bip Reserva]],TODAY(),"D"),"")</f>
        <v/>
      </c>
      <c r="AE1292" s="36"/>
      <c r="AF1292" s="25"/>
      <c r="AG1292" s="36"/>
      <c r="AH1292" s="25">
        <v>45807</v>
      </c>
      <c r="AI1292" s="36" t="str">
        <f>IF(DadosViagem5[[#This Row],[Dias em manutenção ]]&lt;5,"Dentro do Prazo","Fora do Prazo")</f>
        <v>Fora do Prazo</v>
      </c>
      <c r="AJ1292" s="36" t="e">
        <v>#REF!</v>
      </c>
    </row>
    <row r="1293" spans="1:36">
      <c r="A1293" s="19" t="s">
        <v>2191</v>
      </c>
      <c r="B1293" s="20"/>
      <c r="C1293" s="19" t="s">
        <v>74</v>
      </c>
      <c r="D1293" s="19" t="s">
        <v>52</v>
      </c>
      <c r="E1293" s="19" t="s">
        <v>75</v>
      </c>
      <c r="F1293" s="19" t="s">
        <v>76</v>
      </c>
      <c r="G1293" s="19"/>
      <c r="H1293" s="20">
        <v>2023</v>
      </c>
      <c r="I1293" s="19" t="s">
        <v>41</v>
      </c>
      <c r="J1293" s="19" t="s">
        <v>2174</v>
      </c>
      <c r="K1293" s="21" t="s">
        <v>2175</v>
      </c>
      <c r="L1293" s="22" t="s">
        <v>60</v>
      </c>
      <c r="M1293" s="23" t="s">
        <v>77</v>
      </c>
      <c r="N1293" s="25" t="s">
        <v>2176</v>
      </c>
      <c r="O1293" s="25" t="s">
        <v>1106</v>
      </c>
      <c r="P1293" s="26">
        <f ca="1">IFERROR(VLOOKUP(DadosViagem5[[#This Row],[Placa]],[1]BIP!A:E,5,FALSE),"")</f>
        <v>45989</v>
      </c>
      <c r="Q1293" s="27">
        <f ca="1">DATEDIF(DadosViagem5[[#This Row],[BIP]],TODAY(),"D")</f>
        <v>1</v>
      </c>
      <c r="R1293" s="28" t="str">
        <f>IFERROR(VLOOKUP(DadosViagem5[[#This Row],[Placa]],[1]DDS!B:C,2,FALSE),"Verificar cadastro")</f>
        <v>Operando</v>
      </c>
      <c r="S1293" s="29" t="s">
        <v>48</v>
      </c>
      <c r="T1293" s="23"/>
      <c r="U1293" s="30"/>
      <c r="V1293" s="31"/>
      <c r="W1293" s="32" t="s">
        <v>2192</v>
      </c>
      <c r="X1293" s="33"/>
      <c r="Y1293" s="34" t="s">
        <v>49</v>
      </c>
      <c r="Z1293" s="32"/>
      <c r="AA1293" s="20" t="s">
        <v>49</v>
      </c>
      <c r="AB1293" s="20" t="s">
        <v>49</v>
      </c>
      <c r="AC1293" s="19" t="s">
        <v>49</v>
      </c>
      <c r="AD1293" s="19" t="str">
        <f ca="1">IFERROR(DATEDIF(DadosViagem5[[#This Row],[Utimo Bip Reserva]],TODAY(),"D"),"")</f>
        <v/>
      </c>
      <c r="AE1293" s="36"/>
      <c r="AF1293" s="25"/>
      <c r="AG1293" s="36"/>
      <c r="AH1293" s="25">
        <v>45807</v>
      </c>
      <c r="AI1293" s="36" t="str">
        <f>IF(DadosViagem5[[#This Row],[Dias em manutenção ]]&lt;5,"Dentro do Prazo","Fora do Prazo")</f>
        <v>Fora do Prazo</v>
      </c>
      <c r="AJ1293" s="36" t="e">
        <v>#REF!</v>
      </c>
    </row>
    <row r="1294" spans="1:36">
      <c r="A1294" s="19" t="s">
        <v>2193</v>
      </c>
      <c r="B1294" s="20">
        <v>373</v>
      </c>
      <c r="C1294" s="19" t="s">
        <v>74</v>
      </c>
      <c r="D1294" s="19" t="s">
        <v>52</v>
      </c>
      <c r="E1294" s="19" t="s">
        <v>75</v>
      </c>
      <c r="F1294" s="19" t="s">
        <v>76</v>
      </c>
      <c r="G1294" s="19"/>
      <c r="H1294" s="20">
        <v>2023</v>
      </c>
      <c r="I1294" s="19" t="s">
        <v>41</v>
      </c>
      <c r="J1294" s="19" t="s">
        <v>2174</v>
      </c>
      <c r="K1294" s="21" t="s">
        <v>2175</v>
      </c>
      <c r="L1294" s="22" t="s">
        <v>60</v>
      </c>
      <c r="M1294" s="23" t="s">
        <v>77</v>
      </c>
      <c r="N1294" s="25" t="s">
        <v>2176</v>
      </c>
      <c r="O1294" s="25" t="s">
        <v>1106</v>
      </c>
      <c r="P1294" s="26">
        <f ca="1">IFERROR(VLOOKUP(DadosViagem5[[#This Row],[Placa]],[1]BIP!A:E,5,FALSE),"")</f>
        <v>45989</v>
      </c>
      <c r="Q1294" s="27">
        <f ca="1">DATEDIF(DadosViagem5[[#This Row],[BIP]],TODAY(),"D")</f>
        <v>1</v>
      </c>
      <c r="R1294" s="28" t="str">
        <f>IFERROR(VLOOKUP(DadosViagem5[[#This Row],[Placa]],[1]DDS!B:C,2,FALSE),"Verificar cadastro")</f>
        <v>Manutenção</v>
      </c>
      <c r="S1294" s="29" t="s">
        <v>173</v>
      </c>
      <c r="T1294" s="23"/>
      <c r="U1294" s="30"/>
      <c r="V1294" s="31">
        <v>45910</v>
      </c>
      <c r="W1294" s="116" t="s">
        <v>2194</v>
      </c>
      <c r="X1294" s="33" t="s">
        <v>65</v>
      </c>
      <c r="Y1294" s="34" t="s">
        <v>159</v>
      </c>
      <c r="Z1294" s="42" t="s">
        <v>2195</v>
      </c>
      <c r="AA1294" s="20" t="s">
        <v>49</v>
      </c>
      <c r="AB1294" s="20" t="s">
        <v>49</v>
      </c>
      <c r="AC1294" s="19" t="s">
        <v>49</v>
      </c>
      <c r="AD1294" s="19" t="str">
        <f ca="1">IFERROR(DATEDIF(DadosViagem5[[#This Row],[Utimo Bip Reserva]],TODAY(),"D"),"")</f>
        <v/>
      </c>
      <c r="AE1294" s="25" t="s">
        <v>49</v>
      </c>
      <c r="AF1294" s="25" t="s">
        <v>49</v>
      </c>
      <c r="AG1294" s="36"/>
      <c r="AH1294" s="25">
        <v>45807</v>
      </c>
      <c r="AI1294" s="36" t="str">
        <f>IF(DadosViagem5[[#This Row],[Dias em manutenção ]]&lt;5,"Dentro do Prazo","Fora do Prazo")</f>
        <v>Fora do Prazo</v>
      </c>
      <c r="AJ1294" s="36" t="e">
        <v>#REF!</v>
      </c>
    </row>
    <row r="1295" spans="1:36">
      <c r="A1295" s="19" t="s">
        <v>2196</v>
      </c>
      <c r="B1295" s="20"/>
      <c r="C1295" s="19" t="s">
        <v>88</v>
      </c>
      <c r="D1295" s="19" t="s">
        <v>38</v>
      </c>
      <c r="E1295" s="19" t="s">
        <v>114</v>
      </c>
      <c r="F1295" s="19" t="s">
        <v>115</v>
      </c>
      <c r="G1295" s="19"/>
      <c r="H1295" s="20">
        <v>2021</v>
      </c>
      <c r="I1295" s="19" t="s">
        <v>41</v>
      </c>
      <c r="J1295" s="19" t="s">
        <v>2174</v>
      </c>
      <c r="K1295" s="21" t="s">
        <v>2175</v>
      </c>
      <c r="L1295" s="22" t="s">
        <v>60</v>
      </c>
      <c r="M1295" s="23" t="s">
        <v>290</v>
      </c>
      <c r="N1295" s="25" t="s">
        <v>2176</v>
      </c>
      <c r="O1295" s="25" t="s">
        <v>1106</v>
      </c>
      <c r="P1295" s="26">
        <f ca="1">IFERROR(VLOOKUP(DadosViagem5[[#This Row],[Placa]],[1]BIP!A:E,5,FALSE),"")</f>
        <v>45989</v>
      </c>
      <c r="Q1295" s="27">
        <f ca="1">DATEDIF(DadosViagem5[[#This Row],[BIP]],TODAY(),"D")</f>
        <v>1</v>
      </c>
      <c r="R1295" s="28" t="str">
        <f>IFERROR(VLOOKUP(DadosViagem5[[#This Row],[Placa]],[1]DDS!B:C,2,FALSE),"Verificar cadastro")</f>
        <v>Carregado</v>
      </c>
      <c r="S1295" s="36" t="s">
        <v>35</v>
      </c>
      <c r="T1295" s="23"/>
      <c r="U1295" s="30"/>
      <c r="V1295" s="31"/>
      <c r="W1295" s="32" t="s">
        <v>2197</v>
      </c>
      <c r="X1295" s="33"/>
      <c r="Y1295" s="34"/>
      <c r="Z1295" s="42"/>
      <c r="AA1295" s="20" t="s">
        <v>49</v>
      </c>
      <c r="AB1295" s="20" t="s">
        <v>49</v>
      </c>
      <c r="AC1295" s="19" t="s">
        <v>49</v>
      </c>
      <c r="AD1295" s="19" t="str">
        <f ca="1">IFERROR(DATEDIF(DadosViagem5[[#This Row],[Utimo Bip Reserva]],TODAY(),"D"),"")</f>
        <v/>
      </c>
      <c r="AE1295" s="36" t="s">
        <v>49</v>
      </c>
      <c r="AF1295" s="25" t="s">
        <v>49</v>
      </c>
      <c r="AG1295" s="36"/>
      <c r="AH1295" s="25">
        <v>45807</v>
      </c>
      <c r="AI1295" s="36" t="str">
        <f>IF(DadosViagem5[[#This Row],[Dias em manutenção ]]&lt;5,"Dentro do Prazo","Fora do Prazo")</f>
        <v>Fora do Prazo</v>
      </c>
      <c r="AJ1295" s="36" t="e">
        <v>#REF!</v>
      </c>
    </row>
    <row r="1296" spans="1:36">
      <c r="A1296" s="19" t="s">
        <v>2198</v>
      </c>
      <c r="B1296" s="20"/>
      <c r="C1296" s="19" t="s">
        <v>74</v>
      </c>
      <c r="D1296" s="19" t="s">
        <v>52</v>
      </c>
      <c r="E1296" s="19" t="s">
        <v>75</v>
      </c>
      <c r="F1296" s="19" t="s">
        <v>115</v>
      </c>
      <c r="G1296" s="19"/>
      <c r="H1296" s="20">
        <v>2024</v>
      </c>
      <c r="I1296" s="19" t="s">
        <v>41</v>
      </c>
      <c r="J1296" s="19" t="s">
        <v>2174</v>
      </c>
      <c r="K1296" s="21" t="s">
        <v>2175</v>
      </c>
      <c r="L1296" s="152" t="s">
        <v>60</v>
      </c>
      <c r="M1296" s="23" t="s">
        <v>77</v>
      </c>
      <c r="N1296" s="25" t="s">
        <v>2176</v>
      </c>
      <c r="O1296" s="25" t="s">
        <v>1106</v>
      </c>
      <c r="P1296" s="26">
        <f ca="1">IFERROR(VLOOKUP(DadosViagem5[[#This Row],[Placa]],[1]BIP!A:E,5,FALSE),"")</f>
        <v>45981</v>
      </c>
      <c r="Q1296" s="27">
        <f ca="1">DATEDIF(DadosViagem5[[#This Row],[BIP]],TODAY(),"D")</f>
        <v>9</v>
      </c>
      <c r="R1296" s="28" t="str">
        <f>IFERROR(VLOOKUP(DadosViagem5[[#This Row],[Placa]],[1]DDS!B:C,2,FALSE),"Verificar cadastro")</f>
        <v>Falta Motorista</v>
      </c>
      <c r="S1296" s="29" t="s">
        <v>48</v>
      </c>
      <c r="T1296" s="23"/>
      <c r="U1296" s="30"/>
      <c r="V1296" s="31"/>
      <c r="W1296" s="32" t="s">
        <v>2199</v>
      </c>
      <c r="X1296" s="57"/>
      <c r="Y1296" s="86"/>
      <c r="Z1296" s="11"/>
      <c r="AA1296" s="20" t="s">
        <v>49</v>
      </c>
      <c r="AB1296" s="20" t="s">
        <v>49</v>
      </c>
      <c r="AC1296" s="19" t="s">
        <v>49</v>
      </c>
      <c r="AD1296" s="19" t="str">
        <f ca="1">IFERROR(DATEDIF(DadosViagem5[[#This Row],[Utimo Bip Reserva]],TODAY(),"D"),"")</f>
        <v/>
      </c>
      <c r="AE1296" s="36"/>
      <c r="AF1296" s="25"/>
      <c r="AG1296" s="36"/>
      <c r="AH1296" s="25">
        <v>103</v>
      </c>
      <c r="AI1296" s="36" t="str">
        <f>IF(DadosViagem5[[#This Row],[Dias em manutenção ]]&lt;5,"Dentro do Prazo","Fora do Prazo")</f>
        <v>Fora do Prazo</v>
      </c>
      <c r="AJ1296" s="36" t="e">
        <v>#REF!</v>
      </c>
    </row>
    <row r="1297" spans="1:36">
      <c r="A1297" s="19" t="s">
        <v>2200</v>
      </c>
      <c r="B1297" s="20"/>
      <c r="C1297" s="19" t="s">
        <v>88</v>
      </c>
      <c r="D1297" s="19" t="s">
        <v>38</v>
      </c>
      <c r="E1297" s="19" t="s">
        <v>114</v>
      </c>
      <c r="F1297" s="19" t="s">
        <v>115</v>
      </c>
      <c r="G1297" s="19"/>
      <c r="H1297" s="20">
        <v>2021</v>
      </c>
      <c r="I1297" s="19" t="s">
        <v>41</v>
      </c>
      <c r="J1297" s="19" t="s">
        <v>2174</v>
      </c>
      <c r="K1297" s="21" t="s">
        <v>2175</v>
      </c>
      <c r="L1297" s="22" t="s">
        <v>60</v>
      </c>
      <c r="M1297" s="23" t="s">
        <v>290</v>
      </c>
      <c r="N1297" s="25" t="s">
        <v>2176</v>
      </c>
      <c r="O1297" s="25" t="s">
        <v>1106</v>
      </c>
      <c r="P1297" s="26">
        <f ca="1">IFERROR(VLOOKUP(DadosViagem5[[#This Row],[Placa]],[1]BIP!A:E,5,FALSE),"")</f>
        <v>45986</v>
      </c>
      <c r="Q1297" s="27">
        <f ca="1">DATEDIF(DadosViagem5[[#This Row],[BIP]],TODAY(),"D")</f>
        <v>4</v>
      </c>
      <c r="R1297" s="28" t="s">
        <v>1137</v>
      </c>
      <c r="S1297" s="36" t="s">
        <v>35</v>
      </c>
      <c r="T1297" s="23"/>
      <c r="U1297" s="30"/>
      <c r="V1297" s="31"/>
      <c r="W1297" s="116" t="s">
        <v>2201</v>
      </c>
      <c r="X1297" s="33"/>
      <c r="Y1297" s="34"/>
      <c r="Z1297" s="42"/>
      <c r="AA1297" s="20" t="s">
        <v>49</v>
      </c>
      <c r="AB1297" s="20" t="s">
        <v>49</v>
      </c>
      <c r="AC1297" s="19" t="s">
        <v>49</v>
      </c>
      <c r="AD1297" s="19" t="str">
        <f ca="1">IFERROR(DATEDIF(DadosViagem5[[#This Row],[Utimo Bip Reserva]],TODAY(),"D"),"")</f>
        <v/>
      </c>
      <c r="AE1297" s="36" t="s">
        <v>2202</v>
      </c>
      <c r="AF1297" s="25" t="s">
        <v>49</v>
      </c>
      <c r="AG1297" s="36"/>
      <c r="AH1297" s="25">
        <v>45807</v>
      </c>
      <c r="AI1297" s="36" t="str">
        <f>IF(DadosViagem5[[#This Row],[Dias em manutenção ]]&lt;5,"Dentro do Prazo","Fora do Prazo")</f>
        <v>Fora do Prazo</v>
      </c>
      <c r="AJ1297" s="36" t="e">
        <v>#REF!</v>
      </c>
    </row>
    <row r="1298" spans="1:36">
      <c r="A1298" s="19" t="s">
        <v>2203</v>
      </c>
      <c r="B1298" s="20"/>
      <c r="C1298" s="19" t="s">
        <v>88</v>
      </c>
      <c r="D1298" s="19" t="s">
        <v>52</v>
      </c>
      <c r="E1298" s="19" t="s">
        <v>114</v>
      </c>
      <c r="F1298" s="19" t="s">
        <v>115</v>
      </c>
      <c r="G1298" s="19"/>
      <c r="H1298" s="20">
        <v>2022</v>
      </c>
      <c r="I1298" s="19" t="s">
        <v>41</v>
      </c>
      <c r="J1298" s="19" t="s">
        <v>2174</v>
      </c>
      <c r="K1298" s="21" t="s">
        <v>2175</v>
      </c>
      <c r="L1298" s="22" t="s">
        <v>60</v>
      </c>
      <c r="M1298" s="23" t="s">
        <v>290</v>
      </c>
      <c r="N1298" s="25" t="s">
        <v>2176</v>
      </c>
      <c r="O1298" s="25" t="s">
        <v>1106</v>
      </c>
      <c r="P1298" s="26">
        <f ca="1">IFERROR(VLOOKUP(DadosViagem5[[#This Row],[Placa]],[1]BIP!A:E,5,FALSE),"")</f>
        <v>45849</v>
      </c>
      <c r="Q1298" s="27">
        <f ca="1">DATEDIF(DadosViagem5[[#This Row],[BIP]],TODAY(),"D")</f>
        <v>141</v>
      </c>
      <c r="R1298" s="28" t="str">
        <f>IFERROR(VLOOKUP(DadosViagem5[[#This Row],[Placa]],[1]DDS!B:C,2,FALSE),"Verificar cadastro")</f>
        <v>Verificar cadastro</v>
      </c>
      <c r="S1298" s="36" t="s">
        <v>574</v>
      </c>
      <c r="T1298" s="23"/>
      <c r="U1298" s="30"/>
      <c r="V1298" s="31"/>
      <c r="W1298" s="32" t="s">
        <v>2204</v>
      </c>
      <c r="X1298" s="33"/>
      <c r="Y1298" s="34"/>
      <c r="Z1298" s="32"/>
      <c r="AA1298" s="20" t="s">
        <v>49</v>
      </c>
      <c r="AB1298" s="20" t="s">
        <v>49</v>
      </c>
      <c r="AC1298" s="19" t="s">
        <v>49</v>
      </c>
      <c r="AD1298" s="19" t="str">
        <f ca="1">IFERROR(DATEDIF(DadosViagem5[[#This Row],[Utimo Bip Reserva]],TODAY(),"D"),"")</f>
        <v/>
      </c>
      <c r="AE1298" s="36" t="s">
        <v>49</v>
      </c>
      <c r="AF1298" s="25" t="s">
        <v>49</v>
      </c>
      <c r="AG1298" s="36"/>
      <c r="AH1298" s="25">
        <v>45807</v>
      </c>
      <c r="AI1298" s="36" t="str">
        <f>IF(DadosViagem5[[#This Row],[Dias em manutenção ]]&lt;5,"Dentro do Prazo","Fora do Prazo")</f>
        <v>Fora do Prazo</v>
      </c>
      <c r="AJ1298" s="36" t="e">
        <v>#REF!</v>
      </c>
    </row>
    <row r="1299" spans="1:36">
      <c r="A1299" s="19" t="s">
        <v>2205</v>
      </c>
      <c r="B1299" s="20"/>
      <c r="C1299" s="19" t="s">
        <v>88</v>
      </c>
      <c r="D1299" s="19" t="s">
        <v>52</v>
      </c>
      <c r="E1299" s="19" t="s">
        <v>114</v>
      </c>
      <c r="F1299" s="19" t="s">
        <v>115</v>
      </c>
      <c r="G1299" s="19"/>
      <c r="H1299" s="20">
        <v>2021</v>
      </c>
      <c r="I1299" s="19" t="s">
        <v>41</v>
      </c>
      <c r="J1299" s="19" t="s">
        <v>2174</v>
      </c>
      <c r="K1299" s="21" t="s">
        <v>2175</v>
      </c>
      <c r="L1299" s="22" t="s">
        <v>60</v>
      </c>
      <c r="M1299" s="23" t="s">
        <v>290</v>
      </c>
      <c r="N1299" s="25" t="s">
        <v>2176</v>
      </c>
      <c r="O1299" s="25" t="s">
        <v>1106</v>
      </c>
      <c r="P1299" s="26">
        <f ca="1">IFERROR(VLOOKUP(DadosViagem5[[#This Row],[Placa]],[1]BIP!A:E,5,FALSE),"")</f>
        <v>0</v>
      </c>
      <c r="Q1299" s="27">
        <f ca="1">DATEDIF(DadosViagem5[[#This Row],[BIP]],TODAY(),"D")</f>
        <v>45990</v>
      </c>
      <c r="R1299" s="28" t="str">
        <f>IFERROR(VLOOKUP(DadosViagem5[[#This Row],[Placa]],[1]DDS!B:C,2,FALSE),"Verificar cadastro")</f>
        <v>Verificar cadastro</v>
      </c>
      <c r="S1299" s="36" t="s">
        <v>574</v>
      </c>
      <c r="T1299" s="23"/>
      <c r="U1299" s="30"/>
      <c r="V1299" s="31"/>
      <c r="W1299" s="32" t="s">
        <v>2206</v>
      </c>
      <c r="X1299" s="33"/>
      <c r="Y1299" s="34"/>
      <c r="Z1299" s="32"/>
      <c r="AA1299" s="20" t="s">
        <v>49</v>
      </c>
      <c r="AB1299" s="20" t="s">
        <v>49</v>
      </c>
      <c r="AC1299" s="19" t="s">
        <v>49</v>
      </c>
      <c r="AD1299" s="19" t="str">
        <f ca="1">IFERROR(DATEDIF(DadosViagem5[[#This Row],[Utimo Bip Reserva]],TODAY(),"D"),"")</f>
        <v/>
      </c>
      <c r="AE1299" s="36"/>
      <c r="AF1299" s="25" t="s">
        <v>49</v>
      </c>
      <c r="AG1299" s="36"/>
      <c r="AH1299" s="25">
        <v>63</v>
      </c>
      <c r="AI1299" s="36" t="str">
        <f>IF(DadosViagem5[[#This Row],[Dias em manutenção ]]&lt;5,"Dentro do Prazo","Fora do Prazo")</f>
        <v>Fora do Prazo</v>
      </c>
      <c r="AJ1299" s="36" t="e">
        <v>#REF!</v>
      </c>
    </row>
    <row r="1300" spans="1:36">
      <c r="A1300" s="19" t="s">
        <v>2207</v>
      </c>
      <c r="B1300" s="20"/>
      <c r="C1300" s="19" t="s">
        <v>88</v>
      </c>
      <c r="D1300" s="19" t="s">
        <v>52</v>
      </c>
      <c r="E1300" s="19" t="s">
        <v>114</v>
      </c>
      <c r="F1300" s="19" t="s">
        <v>115</v>
      </c>
      <c r="G1300" s="19"/>
      <c r="H1300" s="20">
        <v>2021</v>
      </c>
      <c r="I1300" s="19" t="s">
        <v>41</v>
      </c>
      <c r="J1300" s="19" t="s">
        <v>2174</v>
      </c>
      <c r="K1300" s="21" t="s">
        <v>2175</v>
      </c>
      <c r="L1300" s="22" t="s">
        <v>60</v>
      </c>
      <c r="M1300" s="23" t="s">
        <v>290</v>
      </c>
      <c r="N1300" s="25" t="s">
        <v>2176</v>
      </c>
      <c r="O1300" s="25" t="s">
        <v>1106</v>
      </c>
      <c r="P1300" s="26">
        <f ca="1">IFERROR(VLOOKUP(DadosViagem5[[#This Row],[Placa]],[1]BIP!A:E,5,FALSE),"")</f>
        <v>0</v>
      </c>
      <c r="Q1300" s="27">
        <f ca="1">DATEDIF(DadosViagem5[[#This Row],[BIP]],TODAY(),"D")</f>
        <v>45990</v>
      </c>
      <c r="R1300" s="28" t="str">
        <f>IFERROR(VLOOKUP(DadosViagem5[[#This Row],[Placa]],[1]DDS!B:C,2,FALSE),"Verificar cadastro")</f>
        <v>Verificar cadastro</v>
      </c>
      <c r="S1300" s="36" t="s">
        <v>574</v>
      </c>
      <c r="T1300" s="23"/>
      <c r="U1300" s="30"/>
      <c r="V1300" s="31"/>
      <c r="W1300" s="32" t="s">
        <v>2208</v>
      </c>
      <c r="X1300" s="33"/>
      <c r="Y1300" s="34"/>
      <c r="Z1300" s="32"/>
      <c r="AA1300" s="20" t="s">
        <v>49</v>
      </c>
      <c r="AB1300" s="20" t="s">
        <v>49</v>
      </c>
      <c r="AC1300" s="19" t="s">
        <v>49</v>
      </c>
      <c r="AD1300" s="19" t="str">
        <f ca="1">IFERROR(DATEDIF(DadosViagem5[[#This Row],[Utimo Bip Reserva]],TODAY(),"D"),"")</f>
        <v/>
      </c>
      <c r="AE1300" s="36" t="s">
        <v>49</v>
      </c>
      <c r="AF1300" s="25" t="s">
        <v>49</v>
      </c>
      <c r="AG1300" s="36"/>
      <c r="AH1300" s="25">
        <v>11</v>
      </c>
      <c r="AI1300" s="36" t="str">
        <f>IF(DadosViagem5[[#This Row],[Dias em manutenção ]]&lt;5,"Dentro do Prazo","Fora do Prazo")</f>
        <v>Fora do Prazo</v>
      </c>
      <c r="AJ1300" s="36" t="e">
        <v>#REF!</v>
      </c>
    </row>
    <row r="1301" spans="1:36">
      <c r="A1301" s="19" t="s">
        <v>2209</v>
      </c>
      <c r="B1301" s="20"/>
      <c r="C1301" s="19" t="s">
        <v>88</v>
      </c>
      <c r="D1301" s="19" t="s">
        <v>52</v>
      </c>
      <c r="E1301" s="19" t="s">
        <v>114</v>
      </c>
      <c r="F1301" s="19" t="s">
        <v>115</v>
      </c>
      <c r="G1301" s="19"/>
      <c r="H1301" s="20">
        <v>2020</v>
      </c>
      <c r="I1301" s="19" t="s">
        <v>41</v>
      </c>
      <c r="J1301" s="19" t="s">
        <v>2210</v>
      </c>
      <c r="K1301" s="21" t="s">
        <v>2211</v>
      </c>
      <c r="L1301" s="22" t="s">
        <v>60</v>
      </c>
      <c r="M1301" s="23" t="s">
        <v>61</v>
      </c>
      <c r="N1301" s="36" t="s">
        <v>270</v>
      </c>
      <c r="O1301" s="25" t="s">
        <v>710</v>
      </c>
      <c r="P1301" s="26">
        <f ca="1">IFERROR(VLOOKUP(DadosViagem5[[#This Row],[Placa]],[1]BIP!A:E,5,FALSE),"")</f>
        <v>45957</v>
      </c>
      <c r="Q1301" s="27">
        <f ca="1">DATEDIF(DadosViagem5[[#This Row],[BIP]],TODAY(),"D")</f>
        <v>33</v>
      </c>
      <c r="R1301" s="28" t="str">
        <f>IFERROR(VLOOKUP(DadosViagem5[[#This Row],[Placa]],[1]DDS!B:C,2,FALSE),"Verificar cadastro")</f>
        <v> </v>
      </c>
      <c r="S1301" s="29" t="s">
        <v>48</v>
      </c>
      <c r="T1301" s="23"/>
      <c r="U1301" s="30"/>
      <c r="V1301" s="31"/>
      <c r="W1301" s="32"/>
      <c r="X1301" s="33"/>
      <c r="Y1301" s="34"/>
      <c r="Z1301" s="32"/>
      <c r="AA1301" s="20" t="s">
        <v>49</v>
      </c>
      <c r="AB1301" s="20" t="s">
        <v>49</v>
      </c>
      <c r="AC1301" s="19" t="s">
        <v>49</v>
      </c>
      <c r="AD1301" s="19" t="str">
        <f ca="1">IFERROR(DATEDIF(DadosViagem5[[#This Row],[Utimo Bip Reserva]],TODAY(),"D"),"")</f>
        <v/>
      </c>
      <c r="AE1301" s="36"/>
      <c r="AF1301" s="25" t="s">
        <v>49</v>
      </c>
      <c r="AG1301" s="36"/>
      <c r="AH1301" s="25">
        <v>45807</v>
      </c>
      <c r="AI1301" s="36" t="str">
        <f>IF(DadosViagem5[[#This Row],[Dias em manutenção ]]&lt;5,"Dentro do Prazo","Fora do Prazo")</f>
        <v>Fora do Prazo</v>
      </c>
      <c r="AJ1301" s="36" t="e">
        <v>#REF!</v>
      </c>
    </row>
    <row r="1302" spans="1:36">
      <c r="A1302" s="19" t="s">
        <v>2212</v>
      </c>
      <c r="B1302" s="20">
        <v>553</v>
      </c>
      <c r="C1302" s="19" t="s">
        <v>74</v>
      </c>
      <c r="D1302" s="19" t="s">
        <v>52</v>
      </c>
      <c r="E1302" s="19" t="s">
        <v>75</v>
      </c>
      <c r="F1302" s="19" t="s">
        <v>76</v>
      </c>
      <c r="G1302" s="19"/>
      <c r="H1302" s="20">
        <v>2024</v>
      </c>
      <c r="I1302" s="19" t="s">
        <v>41</v>
      </c>
      <c r="J1302" s="19" t="s">
        <v>2210</v>
      </c>
      <c r="K1302" s="21" t="s">
        <v>2211</v>
      </c>
      <c r="L1302" s="22" t="s">
        <v>60</v>
      </c>
      <c r="M1302" s="23" t="s">
        <v>77</v>
      </c>
      <c r="N1302" s="36" t="s">
        <v>270</v>
      </c>
      <c r="O1302" s="25" t="s">
        <v>710</v>
      </c>
      <c r="P1302" s="26">
        <f ca="1">IFERROR(VLOOKUP(DadosViagem5[[#This Row],[Placa]],[1]BIP!A:E,5,FALSE),"")</f>
        <v>45989</v>
      </c>
      <c r="Q1302" s="27">
        <f ca="1">DATEDIF(DadosViagem5[[#This Row],[BIP]],TODAY(),"D")</f>
        <v>1</v>
      </c>
      <c r="R1302" s="28" t="str">
        <f>IFERROR(VLOOKUP(DadosViagem5[[#This Row],[Placa]],[1]DDS!B:C,2,FALSE),"Verificar cadastro")</f>
        <v>Operando</v>
      </c>
      <c r="S1302" s="29" t="s">
        <v>48</v>
      </c>
      <c r="T1302" s="23"/>
      <c r="U1302" s="30"/>
      <c r="V1302" s="31"/>
      <c r="W1302" t="s">
        <v>1053</v>
      </c>
      <c r="X1302" s="33"/>
      <c r="Y1302" s="34"/>
      <c r="Z1302" s="32"/>
      <c r="AA1302" s="20" t="s">
        <v>49</v>
      </c>
      <c r="AB1302" s="20" t="s">
        <v>49</v>
      </c>
      <c r="AC1302" s="19" t="s">
        <v>49</v>
      </c>
      <c r="AD1302" s="19" t="str">
        <f ca="1">IFERROR(DATEDIF(DadosViagem5[[#This Row],[Utimo Bip Reserva]],TODAY(),"D"),"")</f>
        <v/>
      </c>
      <c r="AE1302" s="16" t="s">
        <v>49</v>
      </c>
      <c r="AF1302" s="16" t="s">
        <v>49</v>
      </c>
      <c r="AG1302" s="36"/>
      <c r="AH1302" s="25">
        <v>45807</v>
      </c>
      <c r="AI1302" s="36" t="str">
        <f>IF(DadosViagem5[[#This Row],[Dias em manutenção ]]&lt;5,"Dentro do Prazo","Fora do Prazo")</f>
        <v>Fora do Prazo</v>
      </c>
      <c r="AJ1302" s="36" t="e">
        <v>#REF!</v>
      </c>
    </row>
    <row r="1303" spans="1:36">
      <c r="A1303" s="19" t="s">
        <v>2213</v>
      </c>
      <c r="B1303" s="20">
        <v>563</v>
      </c>
      <c r="C1303" s="19" t="s">
        <v>74</v>
      </c>
      <c r="D1303" s="19" t="s">
        <v>52</v>
      </c>
      <c r="E1303" s="19" t="s">
        <v>75</v>
      </c>
      <c r="F1303" s="19" t="s">
        <v>76</v>
      </c>
      <c r="G1303" s="19"/>
      <c r="H1303" s="20">
        <v>2024</v>
      </c>
      <c r="I1303" s="19" t="s">
        <v>41</v>
      </c>
      <c r="J1303" s="19" t="s">
        <v>2210</v>
      </c>
      <c r="K1303" s="21" t="s">
        <v>2211</v>
      </c>
      <c r="L1303" s="22" t="s">
        <v>60</v>
      </c>
      <c r="M1303" s="23" t="s">
        <v>77</v>
      </c>
      <c r="N1303" s="36" t="s">
        <v>270</v>
      </c>
      <c r="O1303" s="25" t="s">
        <v>710</v>
      </c>
      <c r="P1303" s="26">
        <f ca="1">IFERROR(VLOOKUP(DadosViagem5[[#This Row],[Placa]],[1]BIP!A:E,5,FALSE),"")</f>
        <v>45985</v>
      </c>
      <c r="Q1303" s="27">
        <f ca="1">DATEDIF(DadosViagem5[[#This Row],[BIP]],TODAY(),"D")</f>
        <v>5</v>
      </c>
      <c r="R1303" s="28" t="str">
        <f>IFERROR(VLOOKUP(DadosViagem5[[#This Row],[Placa]],[1]DDS!B:C,2,FALSE),"Verificar cadastro")</f>
        <v> </v>
      </c>
      <c r="S1303" s="29" t="s">
        <v>48</v>
      </c>
      <c r="T1303" s="23"/>
      <c r="U1303" s="30"/>
      <c r="V1303" s="31"/>
      <c r="W1303" t="s">
        <v>1053</v>
      </c>
      <c r="X1303" s="33"/>
      <c r="Y1303" s="34"/>
      <c r="Z1303" s="32"/>
      <c r="AA1303" s="20" t="s">
        <v>49</v>
      </c>
      <c r="AB1303" s="20" t="s">
        <v>49</v>
      </c>
      <c r="AC1303" s="19" t="s">
        <v>49</v>
      </c>
      <c r="AD1303" s="19" t="str">
        <f ca="1">IFERROR(DATEDIF(DadosViagem5[[#This Row],[Utimo Bip Reserva]],TODAY(),"D"),"")</f>
        <v/>
      </c>
      <c r="AE1303" s="25" t="s">
        <v>49</v>
      </c>
      <c r="AF1303" s="25" t="s">
        <v>49</v>
      </c>
      <c r="AG1303" s="36"/>
      <c r="AH1303" s="25">
        <v>45807</v>
      </c>
      <c r="AI1303" s="36" t="str">
        <f>IF(DadosViagem5[[#This Row],[Dias em manutenção ]]&lt;5,"Dentro do Prazo","Fora do Prazo")</f>
        <v>Fora do Prazo</v>
      </c>
      <c r="AJ1303" s="36" t="e">
        <v>#REF!</v>
      </c>
    </row>
    <row r="1304" spans="1:36">
      <c r="A1304" s="19" t="s">
        <v>2214</v>
      </c>
      <c r="B1304" s="20"/>
      <c r="C1304" s="19" t="s">
        <v>74</v>
      </c>
      <c r="D1304" s="19" t="s">
        <v>52</v>
      </c>
      <c r="E1304" s="19" t="s">
        <v>75</v>
      </c>
      <c r="F1304" s="19" t="s">
        <v>76</v>
      </c>
      <c r="G1304" s="19"/>
      <c r="H1304" s="20">
        <v>2024</v>
      </c>
      <c r="I1304" s="19" t="s">
        <v>41</v>
      </c>
      <c r="J1304" s="19" t="s">
        <v>2210</v>
      </c>
      <c r="K1304" s="21" t="s">
        <v>2211</v>
      </c>
      <c r="L1304" s="22" t="s">
        <v>60</v>
      </c>
      <c r="M1304" s="23" t="s">
        <v>77</v>
      </c>
      <c r="N1304" s="36" t="s">
        <v>270</v>
      </c>
      <c r="O1304" s="25" t="s">
        <v>710</v>
      </c>
      <c r="P1304" s="26">
        <f ca="1">IFERROR(VLOOKUP(DadosViagem5[[#This Row],[Placa]],[1]BIP!A:E,5,FALSE),"")</f>
        <v>45989</v>
      </c>
      <c r="Q1304" s="27">
        <f ca="1">DATEDIF(DadosViagem5[[#This Row],[BIP]],TODAY(),"D")</f>
        <v>1</v>
      </c>
      <c r="R1304" s="28" t="str">
        <f>IFERROR(VLOOKUP(DadosViagem5[[#This Row],[Placa]],[1]DDS!B:C,2,FALSE),"Verificar cadastro")</f>
        <v>Operando</v>
      </c>
      <c r="S1304" s="29" t="s">
        <v>48</v>
      </c>
      <c r="T1304" s="23"/>
      <c r="U1304" s="30"/>
      <c r="V1304" s="31"/>
      <c r="W1304" t="s">
        <v>1053</v>
      </c>
      <c r="X1304" s="33"/>
      <c r="Y1304" s="34"/>
      <c r="Z1304" s="32"/>
      <c r="AA1304" s="20" t="s">
        <v>49</v>
      </c>
      <c r="AB1304" s="20" t="s">
        <v>49</v>
      </c>
      <c r="AC1304" s="20" t="s">
        <v>49</v>
      </c>
      <c r="AD1304" s="20" t="s">
        <v>49</v>
      </c>
      <c r="AE1304" s="36"/>
      <c r="AF1304" s="25"/>
      <c r="AG1304" s="36"/>
      <c r="AH1304" s="25">
        <v>45807</v>
      </c>
      <c r="AI1304" s="36" t="str">
        <f>IF(DadosViagem5[[#This Row],[Dias em manutenção ]]&lt;5,"Dentro do Prazo","Fora do Prazo")</f>
        <v>Fora do Prazo</v>
      </c>
      <c r="AJ1304" s="36" t="e">
        <v>#REF!</v>
      </c>
    </row>
    <row r="1305" spans="1:36">
      <c r="A1305" s="19" t="s">
        <v>2215</v>
      </c>
      <c r="B1305" s="20"/>
      <c r="C1305" s="19" t="s">
        <v>88</v>
      </c>
      <c r="D1305" s="19" t="s">
        <v>52</v>
      </c>
      <c r="E1305" s="19" t="s">
        <v>114</v>
      </c>
      <c r="F1305" s="19" t="s">
        <v>115</v>
      </c>
      <c r="G1305" s="19"/>
      <c r="H1305" s="20">
        <v>2020</v>
      </c>
      <c r="I1305" s="153" t="s">
        <v>41</v>
      </c>
      <c r="J1305" s="19" t="s">
        <v>2210</v>
      </c>
      <c r="K1305" s="21" t="s">
        <v>2211</v>
      </c>
      <c r="L1305" s="22" t="s">
        <v>60</v>
      </c>
      <c r="M1305" s="23" t="s">
        <v>61</v>
      </c>
      <c r="N1305" s="36" t="s">
        <v>270</v>
      </c>
      <c r="O1305" s="25" t="s">
        <v>710</v>
      </c>
      <c r="P1305" s="26">
        <f ca="1">IFERROR(VLOOKUP(DadosViagem5[[#This Row],[Placa]],[1]BIP!A:E,5,FALSE),"")</f>
        <v>45989</v>
      </c>
      <c r="Q1305" s="27">
        <f ca="1">DATEDIF(DadosViagem5[[#This Row],[BIP]],TODAY(),"D")</f>
        <v>1</v>
      </c>
      <c r="R1305" s="28" t="str">
        <f>IFERROR(VLOOKUP(DadosViagem5[[#This Row],[Placa]],[1]DDS!B:C,2,FALSE),"Verificar cadastro")</f>
        <v>Operando</v>
      </c>
      <c r="S1305" s="36" t="s">
        <v>35</v>
      </c>
      <c r="T1305" s="23"/>
      <c r="U1305" s="30"/>
      <c r="V1305" s="31"/>
      <c r="W1305" s="154" t="s">
        <v>2216</v>
      </c>
      <c r="X1305" s="33"/>
      <c r="Y1305" s="86"/>
      <c r="Z1305" s="42"/>
      <c r="AA1305" s="20" t="s">
        <v>49</v>
      </c>
      <c r="AB1305" s="20" t="s">
        <v>49</v>
      </c>
      <c r="AC1305" s="19" t="s">
        <v>49</v>
      </c>
      <c r="AD1305" s="19" t="str">
        <f ca="1">IFERROR(DATEDIF(DadosViagem5[[#This Row],[Utimo Bip Reserva]],TODAY(),"D"),"")</f>
        <v/>
      </c>
      <c r="AE1305" s="36" t="s">
        <v>2217</v>
      </c>
      <c r="AF1305" s="25" t="s">
        <v>49</v>
      </c>
      <c r="AG1305" s="30"/>
      <c r="AH1305" s="25">
        <v>45807</v>
      </c>
      <c r="AI1305" s="36" t="str">
        <f>IF(DadosViagem5[[#This Row],[Dias em manutenção ]]&lt;5,"Dentro do Prazo","Fora do Prazo")</f>
        <v>Fora do Prazo</v>
      </c>
      <c r="AJ1305" s="36" t="e">
        <v>#REF!</v>
      </c>
    </row>
    <row r="1306" spans="1:36">
      <c r="A1306" s="19" t="s">
        <v>2218</v>
      </c>
      <c r="B1306" s="20"/>
      <c r="C1306" s="19" t="s">
        <v>88</v>
      </c>
      <c r="D1306" s="19" t="s">
        <v>52</v>
      </c>
      <c r="E1306" s="19" t="s">
        <v>114</v>
      </c>
      <c r="F1306" s="19" t="s">
        <v>115</v>
      </c>
      <c r="G1306" s="19"/>
      <c r="H1306" s="20">
        <v>2021</v>
      </c>
      <c r="I1306" s="19" t="s">
        <v>41</v>
      </c>
      <c r="J1306" s="19" t="s">
        <v>2210</v>
      </c>
      <c r="K1306" s="21" t="s">
        <v>2211</v>
      </c>
      <c r="L1306" s="22" t="s">
        <v>60</v>
      </c>
      <c r="M1306" s="23" t="s">
        <v>61</v>
      </c>
      <c r="N1306" s="36" t="s">
        <v>270</v>
      </c>
      <c r="O1306" s="25" t="s">
        <v>710</v>
      </c>
      <c r="P1306" s="26">
        <f ca="1">IFERROR(VLOOKUP(DadosViagem5[[#This Row],[Placa]],[1]BIP!A:E,5,FALSE),"")</f>
        <v>45968</v>
      </c>
      <c r="Q1306" s="27">
        <f ca="1">DATEDIF(DadosViagem5[[#This Row],[BIP]],TODAY(),"D")</f>
        <v>22</v>
      </c>
      <c r="R1306" s="28" t="str">
        <f>IFERROR(VLOOKUP(DadosViagem5[[#This Row],[Placa]],[1]DDS!B:C,2,FALSE),"Verificar cadastro")</f>
        <v> </v>
      </c>
      <c r="S1306" s="29" t="s">
        <v>48</v>
      </c>
      <c r="T1306" s="23"/>
      <c r="U1306" s="30"/>
      <c r="V1306" s="31"/>
      <c r="W1306" s="32"/>
      <c r="X1306" s="33"/>
      <c r="Y1306" s="86"/>
      <c r="Z1306" s="42"/>
      <c r="AA1306" s="20" t="s">
        <v>49</v>
      </c>
      <c r="AB1306" s="20" t="s">
        <v>49</v>
      </c>
      <c r="AC1306" s="19" t="s">
        <v>49</v>
      </c>
      <c r="AD1306" s="19" t="str">
        <f ca="1">IFERROR(DATEDIF(DadosViagem5[[#This Row],[Utimo Bip Reserva]],TODAY(),"D"),"")</f>
        <v/>
      </c>
      <c r="AE1306" s="36" t="s">
        <v>2219</v>
      </c>
      <c r="AF1306" s="25" t="s">
        <v>49</v>
      </c>
      <c r="AG1306" s="36"/>
      <c r="AH1306" s="25">
        <v>45807</v>
      </c>
      <c r="AI1306" s="36" t="str">
        <f>IF(DadosViagem5[[#This Row],[Dias em manutenção ]]&lt;5,"Dentro do Prazo","Fora do Prazo")</f>
        <v>Fora do Prazo</v>
      </c>
      <c r="AJ1306" s="36" t="e">
        <v>#REF!</v>
      </c>
    </row>
    <row r="1307" spans="1:36">
      <c r="A1307" s="19" t="s">
        <v>2220</v>
      </c>
      <c r="B1307" s="20">
        <v>549</v>
      </c>
      <c r="C1307" s="19" t="s">
        <v>74</v>
      </c>
      <c r="D1307" s="19" t="s">
        <v>52</v>
      </c>
      <c r="E1307" s="19" t="s">
        <v>75</v>
      </c>
      <c r="F1307" s="19" t="s">
        <v>76</v>
      </c>
      <c r="G1307" s="19"/>
      <c r="H1307" s="20">
        <v>2024</v>
      </c>
      <c r="I1307" s="19" t="s">
        <v>41</v>
      </c>
      <c r="J1307" s="19" t="s">
        <v>2210</v>
      </c>
      <c r="K1307" s="21" t="s">
        <v>2211</v>
      </c>
      <c r="L1307" s="22" t="s">
        <v>60</v>
      </c>
      <c r="M1307" s="23" t="s">
        <v>77</v>
      </c>
      <c r="N1307" s="36" t="s">
        <v>270</v>
      </c>
      <c r="O1307" s="25" t="s">
        <v>710</v>
      </c>
      <c r="P1307" s="26">
        <f ca="1">IFERROR(VLOOKUP(DadosViagem5[[#This Row],[Placa]],[1]BIP!A:E,5,FALSE),"")</f>
        <v>45968</v>
      </c>
      <c r="Q1307" s="27">
        <f ca="1">DATEDIF(DadosViagem5[[#This Row],[BIP]],TODAY(),"D")</f>
        <v>22</v>
      </c>
      <c r="R1307" s="28" t="str">
        <f>IFERROR(VLOOKUP(DadosViagem5[[#This Row],[Placa]],[1]DDS!B:C,2,FALSE),"Verificar cadastro")</f>
        <v>Manutenção</v>
      </c>
      <c r="S1307" s="29" t="s">
        <v>48</v>
      </c>
      <c r="T1307" s="23"/>
      <c r="U1307" s="30"/>
      <c r="V1307" s="31"/>
      <c r="W1307" s="32"/>
      <c r="X1307" s="33"/>
      <c r="Y1307" s="34"/>
      <c r="Z1307" s="32"/>
      <c r="AA1307" s="20" t="s">
        <v>49</v>
      </c>
      <c r="AB1307" s="20" t="s">
        <v>49</v>
      </c>
      <c r="AC1307" s="19" t="s">
        <v>49</v>
      </c>
      <c r="AD1307" s="19" t="str">
        <f ca="1">IFERROR(DATEDIF(DadosViagem5[[#This Row],[Utimo Bip Reserva]],TODAY(),"D"),"")</f>
        <v/>
      </c>
      <c r="AE1307" s="25" t="s">
        <v>49</v>
      </c>
      <c r="AF1307" s="25" t="s">
        <v>49</v>
      </c>
      <c r="AG1307" s="36"/>
      <c r="AH1307" s="25">
        <v>45807</v>
      </c>
      <c r="AI1307" s="36" t="str">
        <f>IF(DadosViagem5[[#This Row],[Dias em manutenção ]]&lt;5,"Dentro do Prazo","Fora do Prazo")</f>
        <v>Fora do Prazo</v>
      </c>
      <c r="AJ1307" s="36" t="e">
        <v>#REF!</v>
      </c>
    </row>
    <row r="1308" spans="1:36">
      <c r="A1308" s="19" t="s">
        <v>2221</v>
      </c>
      <c r="B1308" s="20"/>
      <c r="C1308" s="19" t="s">
        <v>74</v>
      </c>
      <c r="D1308" s="19" t="s">
        <v>52</v>
      </c>
      <c r="E1308" s="19" t="s">
        <v>75</v>
      </c>
      <c r="F1308" s="19" t="s">
        <v>76</v>
      </c>
      <c r="G1308" s="19"/>
      <c r="H1308" s="20">
        <v>2024</v>
      </c>
      <c r="I1308" s="19" t="s">
        <v>41</v>
      </c>
      <c r="J1308" s="19" t="s">
        <v>2210</v>
      </c>
      <c r="K1308" s="21" t="s">
        <v>2211</v>
      </c>
      <c r="L1308" s="22" t="s">
        <v>60</v>
      </c>
      <c r="M1308" s="23" t="s">
        <v>77</v>
      </c>
      <c r="N1308" s="36" t="s">
        <v>270</v>
      </c>
      <c r="O1308" s="25" t="s">
        <v>710</v>
      </c>
      <c r="P1308" s="26">
        <f ca="1">IFERROR(VLOOKUP(DadosViagem5[[#This Row],[Placa]],[1]BIP!A:E,5,FALSE),"")</f>
        <v>45979</v>
      </c>
      <c r="Q1308" s="27">
        <f ca="1">DATEDIF(DadosViagem5[[#This Row],[BIP]],TODAY(),"D")</f>
        <v>11</v>
      </c>
      <c r="R1308" s="28" t="str">
        <f>IFERROR(VLOOKUP(DadosViagem5[[#This Row],[Placa]],[1]DDS!B:C,2,FALSE),"Verificar cadastro")</f>
        <v> </v>
      </c>
      <c r="S1308" s="29" t="s">
        <v>48</v>
      </c>
      <c r="T1308" s="23"/>
      <c r="U1308" s="30"/>
      <c r="V1308" s="31"/>
      <c r="W1308" s="32"/>
      <c r="X1308" s="33"/>
      <c r="Y1308" s="86"/>
      <c r="Z1308" s="42"/>
      <c r="AA1308" s="20" t="s">
        <v>49</v>
      </c>
      <c r="AB1308" s="20" t="s">
        <v>49</v>
      </c>
      <c r="AC1308" s="20" t="s">
        <v>49</v>
      </c>
      <c r="AD1308" s="20" t="s">
        <v>49</v>
      </c>
      <c r="AE1308" s="36"/>
      <c r="AF1308" s="25"/>
      <c r="AG1308" s="36"/>
      <c r="AH1308" s="25">
        <v>45807</v>
      </c>
      <c r="AI1308" s="36" t="str">
        <f>IF(DadosViagem5[[#This Row],[Dias em manutenção ]]&lt;5,"Dentro do Prazo","Fora do Prazo")</f>
        <v>Fora do Prazo</v>
      </c>
      <c r="AJ1308" s="36" t="e">
        <v>#REF!</v>
      </c>
    </row>
    <row r="1309" spans="1:36">
      <c r="A1309" s="19" t="s">
        <v>2222</v>
      </c>
      <c r="B1309" s="20">
        <v>552</v>
      </c>
      <c r="C1309" s="19" t="s">
        <v>74</v>
      </c>
      <c r="D1309" s="19" t="s">
        <v>52</v>
      </c>
      <c r="E1309" s="19" t="s">
        <v>75</v>
      </c>
      <c r="F1309" s="19" t="s">
        <v>76</v>
      </c>
      <c r="G1309" s="19"/>
      <c r="H1309" s="20">
        <v>2024</v>
      </c>
      <c r="I1309" s="19" t="s">
        <v>41</v>
      </c>
      <c r="J1309" s="19" t="s">
        <v>2210</v>
      </c>
      <c r="K1309" s="21" t="s">
        <v>2211</v>
      </c>
      <c r="L1309" s="22" t="s">
        <v>60</v>
      </c>
      <c r="M1309" s="23" t="s">
        <v>77</v>
      </c>
      <c r="N1309" s="36" t="s">
        <v>270</v>
      </c>
      <c r="O1309" s="25" t="s">
        <v>710</v>
      </c>
      <c r="P1309" s="26">
        <f ca="1">IFERROR(VLOOKUP(DadosViagem5[[#This Row],[Placa]],[1]BIP!A:E,5,FALSE),"")</f>
        <v>45989</v>
      </c>
      <c r="Q1309" s="27">
        <f ca="1">DATEDIF(DadosViagem5[[#This Row],[BIP]],TODAY(),"D")</f>
        <v>1</v>
      </c>
      <c r="R1309" s="28" t="str">
        <f>IFERROR(VLOOKUP(DadosViagem5[[#This Row],[Placa]],[1]DDS!B:C,2,FALSE),"Verificar cadastro")</f>
        <v>Operando</v>
      </c>
      <c r="S1309" s="29" t="s">
        <v>48</v>
      </c>
      <c r="T1309" s="23"/>
      <c r="U1309" s="30"/>
      <c r="V1309" s="31"/>
      <c r="W1309" s="32"/>
      <c r="X1309" s="33"/>
      <c r="Y1309" s="34"/>
      <c r="Z1309" s="32"/>
      <c r="AA1309" s="20" t="s">
        <v>49</v>
      </c>
      <c r="AB1309" s="20" t="s">
        <v>49</v>
      </c>
      <c r="AC1309" s="19" t="s">
        <v>49</v>
      </c>
      <c r="AD1309" s="19" t="str">
        <f ca="1">IFERROR(DATEDIF(DadosViagem5[[#This Row],[Utimo Bip Reserva]],TODAY(),"D"),"")</f>
        <v/>
      </c>
      <c r="AE1309" s="25" t="s">
        <v>49</v>
      </c>
      <c r="AF1309" s="25" t="s">
        <v>49</v>
      </c>
      <c r="AG1309" s="36"/>
      <c r="AH1309" s="25">
        <v>45807</v>
      </c>
      <c r="AI1309" s="36" t="str">
        <f>IF(DadosViagem5[[#This Row],[Dias em manutenção ]]&lt;5,"Dentro do Prazo","Fora do Prazo")</f>
        <v>Fora do Prazo</v>
      </c>
      <c r="AJ1309" s="36" t="e">
        <v>#REF!</v>
      </c>
    </row>
    <row r="1310" spans="1:36">
      <c r="A1310" s="19" t="s">
        <v>2223</v>
      </c>
      <c r="B1310" s="20"/>
      <c r="C1310" s="19" t="s">
        <v>74</v>
      </c>
      <c r="D1310" s="19" t="s">
        <v>52</v>
      </c>
      <c r="E1310" s="19" t="s">
        <v>75</v>
      </c>
      <c r="F1310" s="19" t="s">
        <v>76</v>
      </c>
      <c r="G1310" s="19"/>
      <c r="H1310" s="20">
        <v>2024</v>
      </c>
      <c r="I1310" s="19" t="s">
        <v>41</v>
      </c>
      <c r="J1310" s="19" t="s">
        <v>2210</v>
      </c>
      <c r="K1310" s="21" t="s">
        <v>2211</v>
      </c>
      <c r="L1310" s="22" t="s">
        <v>60</v>
      </c>
      <c r="M1310" s="23" t="s">
        <v>77</v>
      </c>
      <c r="N1310" s="36" t="s">
        <v>270</v>
      </c>
      <c r="O1310" s="25" t="s">
        <v>710</v>
      </c>
      <c r="P1310" s="26">
        <f ca="1">IFERROR(VLOOKUP(DadosViagem5[[#This Row],[Placa]],[1]BIP!A:E,5,FALSE),"")</f>
        <v>45989</v>
      </c>
      <c r="Q1310" s="27">
        <f ca="1">DATEDIF(DadosViagem5[[#This Row],[BIP]],TODAY(),"D")</f>
        <v>1</v>
      </c>
      <c r="R1310" s="28" t="str">
        <f>IFERROR(VLOOKUP(DadosViagem5[[#This Row],[Placa]],[1]DDS!B:C,2,FALSE),"Verificar cadastro")</f>
        <v>Operando</v>
      </c>
      <c r="S1310" s="29" t="s">
        <v>48</v>
      </c>
      <c r="T1310" s="23"/>
      <c r="U1310" s="30"/>
      <c r="V1310" s="31"/>
      <c r="W1310" s="32"/>
      <c r="X1310" s="33"/>
      <c r="Y1310" s="34"/>
      <c r="Z1310" s="32"/>
      <c r="AA1310" s="20" t="s">
        <v>49</v>
      </c>
      <c r="AB1310" s="20" t="s">
        <v>49</v>
      </c>
      <c r="AC1310" s="19" t="s">
        <v>49</v>
      </c>
      <c r="AD1310" s="19" t="str">
        <f ca="1">IFERROR(DATEDIF(DadosViagem5[[#This Row],[Utimo Bip Reserva]],TODAY(),"D"),"")</f>
        <v/>
      </c>
      <c r="AE1310" s="25" t="s">
        <v>49</v>
      </c>
      <c r="AF1310" s="25" t="s">
        <v>49</v>
      </c>
      <c r="AG1310" s="36"/>
      <c r="AH1310" s="25">
        <v>45807</v>
      </c>
      <c r="AI1310" s="36" t="str">
        <f>IF(DadosViagem5[[#This Row],[Dias em manutenção ]]&lt;5,"Dentro do Prazo","Fora do Prazo")</f>
        <v>Fora do Prazo</v>
      </c>
      <c r="AJ1310" s="36" t="e">
        <v>#REF!</v>
      </c>
    </row>
    <row r="1311" spans="1:36">
      <c r="A1311" s="19" t="s">
        <v>2224</v>
      </c>
      <c r="B1311" s="20"/>
      <c r="C1311" s="19" t="s">
        <v>74</v>
      </c>
      <c r="D1311" s="19" t="s">
        <v>52</v>
      </c>
      <c r="E1311" s="19" t="s">
        <v>75</v>
      </c>
      <c r="F1311" s="19" t="s">
        <v>76</v>
      </c>
      <c r="G1311" s="19"/>
      <c r="H1311" s="20">
        <v>2023</v>
      </c>
      <c r="I1311" s="19" t="s">
        <v>41</v>
      </c>
      <c r="J1311" s="19" t="s">
        <v>2210</v>
      </c>
      <c r="K1311" s="21" t="s">
        <v>2211</v>
      </c>
      <c r="L1311" s="22" t="s">
        <v>60</v>
      </c>
      <c r="M1311" s="23" t="s">
        <v>77</v>
      </c>
      <c r="N1311" s="36" t="s">
        <v>270</v>
      </c>
      <c r="O1311" s="25" t="s">
        <v>710</v>
      </c>
      <c r="P1311" s="26">
        <f ca="1">IFERROR(VLOOKUP(DadosViagem5[[#This Row],[Placa]],[1]BIP!A:E,5,FALSE),"")</f>
        <v>45989</v>
      </c>
      <c r="Q1311" s="27">
        <f ca="1">DATEDIF(DadosViagem5[[#This Row],[BIP]],TODAY(),"D")</f>
        <v>1</v>
      </c>
      <c r="R1311" s="28" t="str">
        <f>IFERROR(VLOOKUP(DadosViagem5[[#This Row],[Placa]],[1]DDS!B:C,2,FALSE),"Verificar cadastro")</f>
        <v>Operando</v>
      </c>
      <c r="S1311" s="29" t="s">
        <v>48</v>
      </c>
      <c r="T1311" s="23"/>
      <c r="U1311" s="30"/>
      <c r="V1311" s="31"/>
      <c r="W1311" s="32"/>
      <c r="X1311" s="33"/>
      <c r="Y1311" s="34"/>
      <c r="Z1311" s="32"/>
      <c r="AA1311" s="20" t="s">
        <v>49</v>
      </c>
      <c r="AB1311" s="20" t="s">
        <v>49</v>
      </c>
      <c r="AC1311" s="19" t="s">
        <v>49</v>
      </c>
      <c r="AD1311" s="19" t="str">
        <f ca="1">IFERROR(DATEDIF(DadosViagem5[[#This Row],[Utimo Bip Reserva]],TODAY(),"D"),"")</f>
        <v/>
      </c>
      <c r="AE1311" s="36"/>
      <c r="AF1311" s="25"/>
      <c r="AG1311" s="36"/>
      <c r="AH1311" s="25">
        <v>45807</v>
      </c>
      <c r="AI1311" s="36" t="str">
        <f>IF(DadosViagem5[[#This Row],[Dias em manutenção ]]&lt;5,"Dentro do Prazo","Fora do Prazo")</f>
        <v>Fora do Prazo</v>
      </c>
      <c r="AJ1311" s="36" t="e">
        <v>#REF!</v>
      </c>
    </row>
    <row r="1312" spans="1:36">
      <c r="A1312" s="19" t="s">
        <v>2225</v>
      </c>
      <c r="B1312" s="20">
        <v>566</v>
      </c>
      <c r="C1312" s="19" t="s">
        <v>74</v>
      </c>
      <c r="D1312" s="19" t="s">
        <v>52</v>
      </c>
      <c r="E1312" s="19" t="s">
        <v>75</v>
      </c>
      <c r="F1312" s="19" t="s">
        <v>76</v>
      </c>
      <c r="G1312" s="19"/>
      <c r="H1312" s="20">
        <v>2024</v>
      </c>
      <c r="I1312" s="19" t="s">
        <v>41</v>
      </c>
      <c r="J1312" s="19" t="s">
        <v>2210</v>
      </c>
      <c r="K1312" s="64" t="s">
        <v>2211</v>
      </c>
      <c r="L1312" s="22" t="s">
        <v>60</v>
      </c>
      <c r="M1312" s="23" t="s">
        <v>77</v>
      </c>
      <c r="N1312" s="36" t="s">
        <v>270</v>
      </c>
      <c r="O1312" s="25" t="s">
        <v>710</v>
      </c>
      <c r="P1312" s="26">
        <f ca="1">IFERROR(VLOOKUP(DadosViagem5[[#This Row],[Placa]],[1]BIP!A:E,5,FALSE),"")</f>
        <v>45965</v>
      </c>
      <c r="Q1312" s="27">
        <f ca="1">DATEDIF(DadosViagem5[[#This Row],[BIP]],TODAY(),"D")</f>
        <v>25</v>
      </c>
      <c r="R1312" s="28" t="str">
        <f>IFERROR(VLOOKUP(DadosViagem5[[#This Row],[Placa]],[1]DDS!B:C,2,FALSE),"Verificar cadastro")</f>
        <v>Manutenção</v>
      </c>
      <c r="S1312" s="29" t="s">
        <v>48</v>
      </c>
      <c r="T1312" s="23"/>
      <c r="U1312" s="30"/>
      <c r="V1312" s="31"/>
      <c r="W1312" s="32"/>
      <c r="X1312" s="33"/>
      <c r="Y1312" s="34"/>
      <c r="Z1312" s="32"/>
      <c r="AA1312" s="20" t="s">
        <v>49</v>
      </c>
      <c r="AB1312" s="20" t="s">
        <v>49</v>
      </c>
      <c r="AC1312" s="19" t="s">
        <v>49</v>
      </c>
      <c r="AD1312" s="19" t="str">
        <f ca="1">IFERROR(DATEDIF(DadosViagem5[[#This Row],[Utimo Bip Reserva]],TODAY(),"D"),"")</f>
        <v/>
      </c>
      <c r="AE1312" s="155"/>
      <c r="AF1312" s="156"/>
      <c r="AG1312" s="36"/>
      <c r="AH1312" s="25">
        <v>45807</v>
      </c>
      <c r="AI1312" s="36" t="str">
        <f>IF(DadosViagem5[[#This Row],[Dias em manutenção ]]&lt;5,"Dentro do Prazo","Fora do Prazo")</f>
        <v>Fora do Prazo</v>
      </c>
      <c r="AJ1312" s="36" t="e">
        <v>#REF!</v>
      </c>
    </row>
    <row r="1313" spans="1:36">
      <c r="A1313" s="19" t="s">
        <v>683</v>
      </c>
      <c r="B1313" s="20"/>
      <c r="C1313" s="19" t="s">
        <v>88</v>
      </c>
      <c r="D1313" s="19" t="s">
        <v>52</v>
      </c>
      <c r="E1313" s="19" t="s">
        <v>114</v>
      </c>
      <c r="F1313" s="19" t="s">
        <v>115</v>
      </c>
      <c r="G1313" s="19"/>
      <c r="H1313" s="20">
        <v>2021</v>
      </c>
      <c r="I1313" s="19" t="s">
        <v>2226</v>
      </c>
      <c r="J1313" s="19" t="s">
        <v>2227</v>
      </c>
      <c r="K1313" s="21" t="s">
        <v>2228</v>
      </c>
      <c r="L1313" s="22" t="s">
        <v>60</v>
      </c>
      <c r="M1313" s="23" t="s">
        <v>268</v>
      </c>
      <c r="N1313" s="36" t="s">
        <v>2229</v>
      </c>
      <c r="O1313" s="36" t="s">
        <v>142</v>
      </c>
      <c r="P1313" s="26">
        <f ca="1">IFERROR(VLOOKUP(DadosViagem5[[#This Row],[Placa]],[1]BIP!A:E,5,FALSE),"")</f>
        <v>45694</v>
      </c>
      <c r="Q1313" s="27">
        <f ca="1">DATEDIF(DadosViagem5[[#This Row],[BIP]],TODAY(),"D")</f>
        <v>296</v>
      </c>
      <c r="R1313" s="28" t="str">
        <f>IFERROR(VLOOKUP(DadosViagem5[[#This Row],[Placa]],[1]DDS!B:C,2,FALSE),"Verificar cadastro")</f>
        <v>Verificar cadastro</v>
      </c>
      <c r="S1313" s="36" t="s">
        <v>35</v>
      </c>
      <c r="T1313" s="23"/>
      <c r="U1313" s="30"/>
      <c r="V1313" s="31">
        <v>45695</v>
      </c>
      <c r="W1313" s="32" t="s">
        <v>2230</v>
      </c>
      <c r="X1313" s="33" t="s">
        <v>65</v>
      </c>
      <c r="Y1313" s="34" t="s">
        <v>159</v>
      </c>
      <c r="Z1313" s="42" t="s">
        <v>2231</v>
      </c>
      <c r="AA1313" s="20" t="s">
        <v>49</v>
      </c>
      <c r="AB1313" s="20" t="s">
        <v>49</v>
      </c>
      <c r="AC1313" s="19" t="s">
        <v>49</v>
      </c>
      <c r="AD1313" s="19" t="str">
        <f ca="1">IFERROR(DATEDIF(DadosViagem5[[#This Row],[Utimo Bip Reserva]],TODAY(),"D"),"")</f>
        <v/>
      </c>
      <c r="AE1313" s="36" t="s">
        <v>2232</v>
      </c>
      <c r="AF1313" s="25" t="s">
        <v>49</v>
      </c>
      <c r="AG1313" s="36"/>
      <c r="AH1313" s="25">
        <v>112</v>
      </c>
      <c r="AI1313" s="36" t="str">
        <f>IF(DadosViagem5[[#This Row],[Dias em manutenção ]]&lt;5,"Dentro do Prazo","Fora do Prazo")</f>
        <v>Fora do Prazo</v>
      </c>
      <c r="AJ1313" s="36" t="e">
        <v>#REF!</v>
      </c>
    </row>
    <row r="1314" spans="1:36">
      <c r="A1314" s="19" t="s">
        <v>2233</v>
      </c>
      <c r="B1314" s="20"/>
      <c r="C1314" s="19" t="s">
        <v>88</v>
      </c>
      <c r="D1314" s="19" t="s">
        <v>52</v>
      </c>
      <c r="E1314" s="19" t="s">
        <v>114</v>
      </c>
      <c r="F1314" s="19" t="s">
        <v>115</v>
      </c>
      <c r="G1314" s="19"/>
      <c r="H1314" s="20">
        <v>2021</v>
      </c>
      <c r="I1314" s="19" t="s">
        <v>2226</v>
      </c>
      <c r="J1314" s="19" t="s">
        <v>2227</v>
      </c>
      <c r="K1314" s="21" t="s">
        <v>2228</v>
      </c>
      <c r="L1314" s="22" t="s">
        <v>60</v>
      </c>
      <c r="M1314" s="23" t="s">
        <v>268</v>
      </c>
      <c r="N1314" s="36" t="s">
        <v>2229</v>
      </c>
      <c r="O1314" s="36" t="s">
        <v>142</v>
      </c>
      <c r="P1314" s="26">
        <f ca="1">IFERROR(VLOOKUP(DadosViagem5[[#This Row],[Placa]],[1]BIP!A:E,5,FALSE),"")</f>
        <v>45810</v>
      </c>
      <c r="Q1314" s="27">
        <f ca="1">DATEDIF(DadosViagem5[[#This Row],[BIP]],TODAY(),"D")</f>
        <v>180</v>
      </c>
      <c r="R1314" s="28" t="str">
        <f>IFERROR(VLOOKUP(DadosViagem5[[#This Row],[Placa]],[1]DDS!B:C,2,FALSE),"Verificar cadastro")</f>
        <v>Verificar cadastro</v>
      </c>
      <c r="S1314" s="36" t="s">
        <v>574</v>
      </c>
      <c r="T1314" s="23"/>
      <c r="U1314" s="30"/>
      <c r="V1314" s="31">
        <v>45813</v>
      </c>
      <c r="W1314" s="32" t="s">
        <v>2234</v>
      </c>
      <c r="X1314" s="33" t="s">
        <v>65</v>
      </c>
      <c r="Y1314" s="34" t="s">
        <v>159</v>
      </c>
      <c r="Z1314" s="42" t="s">
        <v>2235</v>
      </c>
      <c r="AA1314" s="20" t="s">
        <v>49</v>
      </c>
      <c r="AB1314" s="20" t="s">
        <v>49</v>
      </c>
      <c r="AC1314" s="19" t="s">
        <v>49</v>
      </c>
      <c r="AD1314" s="19" t="str">
        <f ca="1">IFERROR(DATEDIF(DadosViagem5[[#This Row],[Utimo Bip Reserva]],TODAY(),"D"),"")</f>
        <v/>
      </c>
      <c r="AE1314" s="36" t="s">
        <v>2236</v>
      </c>
      <c r="AF1314" s="25" t="s">
        <v>49</v>
      </c>
      <c r="AG1314" s="36"/>
      <c r="AH1314" s="25">
        <v>45807</v>
      </c>
      <c r="AI1314" s="36" t="str">
        <f>IF(DadosViagem5[[#This Row],[Dias em manutenção ]]&lt;5,"Dentro do Prazo","Fora do Prazo")</f>
        <v>Fora do Prazo</v>
      </c>
      <c r="AJ1314" s="36" t="e">
        <v>#REF!</v>
      </c>
    </row>
    <row r="1315" spans="1:36">
      <c r="A1315" s="19" t="s">
        <v>2237</v>
      </c>
      <c r="B1315" s="20"/>
      <c r="C1315" s="19" t="s">
        <v>88</v>
      </c>
      <c r="D1315" s="19" t="s">
        <v>52</v>
      </c>
      <c r="E1315" s="19" t="s">
        <v>114</v>
      </c>
      <c r="F1315" s="19" t="s">
        <v>115</v>
      </c>
      <c r="G1315" s="157"/>
      <c r="H1315" s="158">
        <v>2021</v>
      </c>
      <c r="I1315" s="157" t="s">
        <v>2226</v>
      </c>
      <c r="J1315" s="157" t="s">
        <v>2227</v>
      </c>
      <c r="K1315" s="21" t="s">
        <v>2228</v>
      </c>
      <c r="L1315" s="53" t="s">
        <v>60</v>
      </c>
      <c r="M1315" s="23" t="s">
        <v>268</v>
      </c>
      <c r="N1315" s="36" t="s">
        <v>2229</v>
      </c>
      <c r="O1315" s="36" t="s">
        <v>142</v>
      </c>
      <c r="P1315" s="26">
        <f ca="1">IFERROR(VLOOKUP(DadosViagem5[[#This Row],[Placa]],[1]BIP!A:E,5,FALSE),"")</f>
        <v>45778</v>
      </c>
      <c r="Q1315" s="27">
        <f ca="1">DATEDIF(DadosViagem5[[#This Row],[BIP]],TODAY(),"D")</f>
        <v>212</v>
      </c>
      <c r="R1315" s="28" t="str">
        <f>IFERROR(VLOOKUP(DadosViagem5[[#This Row],[Placa]],[1]DDS!B:C,2,FALSE),"Verificar cadastro")</f>
        <v>Verificar cadastro</v>
      </c>
      <c r="S1315" s="36" t="s">
        <v>35</v>
      </c>
      <c r="T1315" s="23"/>
      <c r="U1315" s="30"/>
      <c r="V1315" s="31">
        <v>45695</v>
      </c>
      <c r="W1315" s="32" t="s">
        <v>2238</v>
      </c>
      <c r="X1315" s="33" t="s">
        <v>65</v>
      </c>
      <c r="Y1315" s="34" t="s">
        <v>159</v>
      </c>
      <c r="Z1315" s="42" t="s">
        <v>2239</v>
      </c>
      <c r="AA1315" s="20" t="s">
        <v>49</v>
      </c>
      <c r="AB1315" s="20" t="s">
        <v>49</v>
      </c>
      <c r="AC1315" s="19" t="s">
        <v>2240</v>
      </c>
      <c r="AD1315" s="19" t="s">
        <v>2241</v>
      </c>
      <c r="AE1315" s="36" t="s">
        <v>2242</v>
      </c>
      <c r="AF1315" s="25"/>
      <c r="AG1315" s="36"/>
      <c r="AH1315" s="25">
        <v>112</v>
      </c>
      <c r="AI1315" s="36" t="str">
        <f>IF(DadosViagem5[[#This Row],[Dias em manutenção ]]&lt;5,"Dentro do Prazo","Fora do Prazo")</f>
        <v>Fora do Prazo</v>
      </c>
      <c r="AJ1315" s="36" t="e">
        <v>#REF!</v>
      </c>
    </row>
    <row r="1316" spans="1:36">
      <c r="A1316" s="19" t="s">
        <v>2243</v>
      </c>
      <c r="B1316" s="20"/>
      <c r="C1316" s="19" t="s">
        <v>88</v>
      </c>
      <c r="D1316" s="19" t="s">
        <v>52</v>
      </c>
      <c r="E1316" s="19" t="s">
        <v>114</v>
      </c>
      <c r="F1316" s="19" t="s">
        <v>115</v>
      </c>
      <c r="G1316" s="19"/>
      <c r="H1316" s="20">
        <v>2021</v>
      </c>
      <c r="I1316" s="19" t="s">
        <v>2226</v>
      </c>
      <c r="J1316" s="19" t="s">
        <v>2227</v>
      </c>
      <c r="K1316" s="21" t="s">
        <v>2228</v>
      </c>
      <c r="L1316" s="22" t="s">
        <v>60</v>
      </c>
      <c r="M1316" s="23" t="s">
        <v>268</v>
      </c>
      <c r="N1316" s="36" t="s">
        <v>2229</v>
      </c>
      <c r="O1316" s="36" t="s">
        <v>142</v>
      </c>
      <c r="P1316" s="26">
        <f ca="1">IFERROR(VLOOKUP(DadosViagem5[[#This Row],[Placa]],[1]BIP!A:E,5,FALSE),"")</f>
        <v>45846</v>
      </c>
      <c r="Q1316" s="27">
        <f ca="1">DATEDIF(DadosViagem5[[#This Row],[BIP]],TODAY(),"D")</f>
        <v>144</v>
      </c>
      <c r="R1316" s="28" t="str">
        <f>IFERROR(VLOOKUP(DadosViagem5[[#This Row],[Placa]],[1]DDS!B:C,2,FALSE),"Verificar cadastro")</f>
        <v>Verificar cadastro</v>
      </c>
      <c r="S1316" s="36" t="s">
        <v>574</v>
      </c>
      <c r="T1316" s="23"/>
      <c r="U1316" s="30"/>
      <c r="V1316" s="31"/>
      <c r="W1316" s="32" t="s">
        <v>2244</v>
      </c>
      <c r="X1316" s="33"/>
      <c r="Y1316" s="34"/>
      <c r="Z1316" s="32"/>
      <c r="AA1316" s="20" t="s">
        <v>49</v>
      </c>
      <c r="AB1316" s="20" t="s">
        <v>49</v>
      </c>
      <c r="AC1316" s="19" t="s">
        <v>49</v>
      </c>
      <c r="AD1316" s="19" t="str">
        <f ca="1">IFERROR(DATEDIF(DadosViagem5[[#This Row],[Utimo Bip Reserva]],TODAY(),"D"),"")</f>
        <v/>
      </c>
      <c r="AE1316" s="36" t="s">
        <v>49</v>
      </c>
      <c r="AF1316" s="25" t="s">
        <v>49</v>
      </c>
      <c r="AG1316" s="36"/>
      <c r="AH1316" s="25">
        <v>45807</v>
      </c>
      <c r="AI1316" s="36" t="str">
        <f>IF(DadosViagem5[[#This Row],[Dias em manutenção ]]&lt;5,"Dentro do Prazo","Fora do Prazo")</f>
        <v>Fora do Prazo</v>
      </c>
      <c r="AJ1316" s="36" t="e">
        <v>#REF!</v>
      </c>
    </row>
    <row r="1317" spans="1:36">
      <c r="A1317" s="19" t="s">
        <v>2245</v>
      </c>
      <c r="B1317" s="20"/>
      <c r="C1317" s="19" t="s">
        <v>88</v>
      </c>
      <c r="D1317" s="19" t="s">
        <v>52</v>
      </c>
      <c r="E1317" s="19" t="s">
        <v>114</v>
      </c>
      <c r="F1317" s="19" t="s">
        <v>115</v>
      </c>
      <c r="G1317" s="19"/>
      <c r="H1317" s="20">
        <v>2022</v>
      </c>
      <c r="I1317" s="19" t="s">
        <v>2226</v>
      </c>
      <c r="J1317" s="19" t="s">
        <v>2227</v>
      </c>
      <c r="K1317" s="21" t="s">
        <v>2228</v>
      </c>
      <c r="L1317" s="22" t="s">
        <v>60</v>
      </c>
      <c r="M1317" s="23" t="s">
        <v>268</v>
      </c>
      <c r="N1317" s="36" t="s">
        <v>2229</v>
      </c>
      <c r="O1317" s="36" t="s">
        <v>142</v>
      </c>
      <c r="P1317" s="26">
        <f ca="1">IFERROR(VLOOKUP(DadosViagem5[[#This Row],[Placa]],[1]BIP!A:E,5,FALSE),"")</f>
        <v>45846</v>
      </c>
      <c r="Q1317" s="27">
        <f ca="1">DATEDIF(DadosViagem5[[#This Row],[BIP]],TODAY(),"D")</f>
        <v>144</v>
      </c>
      <c r="R1317" s="28" t="str">
        <f>IFERROR(VLOOKUP(DadosViagem5[[#This Row],[Placa]],[1]DDS!B:C,2,FALSE),"Verificar cadastro")</f>
        <v> </v>
      </c>
      <c r="S1317" s="36" t="s">
        <v>574</v>
      </c>
      <c r="T1317" s="23"/>
      <c r="U1317" s="30"/>
      <c r="V1317" s="31"/>
      <c r="W1317" s="32" t="s">
        <v>2244</v>
      </c>
      <c r="X1317" s="33"/>
      <c r="Y1317" s="34"/>
      <c r="Z1317" s="32"/>
      <c r="AA1317" s="20" t="s">
        <v>49</v>
      </c>
      <c r="AB1317" s="20" t="s">
        <v>49</v>
      </c>
      <c r="AC1317" s="19" t="s">
        <v>49</v>
      </c>
      <c r="AD1317" s="19" t="str">
        <f ca="1">IFERROR(DATEDIF(DadosViagem5[[#This Row],[Utimo Bip Reserva]],TODAY(),"D"),"")</f>
        <v/>
      </c>
      <c r="AE1317" s="36" t="s">
        <v>2246</v>
      </c>
      <c r="AF1317" s="25" t="s">
        <v>49</v>
      </c>
      <c r="AG1317" s="36" t="s">
        <v>481</v>
      </c>
      <c r="AH1317" s="25">
        <v>45807</v>
      </c>
      <c r="AI1317" s="36" t="str">
        <f>IF(DadosViagem5[[#This Row],[Dias em manutenção ]]&lt;5,"Dentro do Prazo","Fora do Prazo")</f>
        <v>Fora do Prazo</v>
      </c>
      <c r="AJ1317" s="36" t="e">
        <v>#REF!</v>
      </c>
    </row>
    <row r="1318" spans="1:36">
      <c r="A1318" s="19" t="s">
        <v>2247</v>
      </c>
      <c r="B1318" s="20"/>
      <c r="C1318" s="19" t="s">
        <v>1013</v>
      </c>
      <c r="D1318" s="19" t="s">
        <v>1014</v>
      </c>
      <c r="E1318" s="19" t="s">
        <v>114</v>
      </c>
      <c r="F1318" s="19" t="s">
        <v>115</v>
      </c>
      <c r="G1318" s="19"/>
      <c r="H1318" s="20">
        <v>2023</v>
      </c>
      <c r="I1318" s="19" t="s">
        <v>41</v>
      </c>
      <c r="J1318" s="19" t="s">
        <v>2248</v>
      </c>
      <c r="K1318" s="21" t="s">
        <v>2249</v>
      </c>
      <c r="L1318" s="22" t="s">
        <v>60</v>
      </c>
      <c r="M1318" s="23" t="s">
        <v>290</v>
      </c>
      <c r="N1318" s="25" t="s">
        <v>2250</v>
      </c>
      <c r="O1318" s="25" t="s">
        <v>1459</v>
      </c>
      <c r="P1318" s="26">
        <f ca="1">IFERROR(VLOOKUP(DadosViagem5[[#This Row],[Placa]],[1]BIP!A:E,5,FALSE),"")</f>
        <v>45957</v>
      </c>
      <c r="Q1318" s="27">
        <f ca="1">DATEDIF(DadosViagem5[[#This Row],[BIP]],TODAY(),"D")</f>
        <v>33</v>
      </c>
      <c r="R1318" s="28" t="str">
        <f>IFERROR(VLOOKUP(DadosViagem5[[#This Row],[Placa]],[1]DDS!B:C,2,FALSE),"Verificar cadastro")</f>
        <v>Manutenção</v>
      </c>
      <c r="S1318" s="29" t="s">
        <v>2251</v>
      </c>
      <c r="T1318" s="23"/>
      <c r="U1318" s="30"/>
      <c r="V1318" s="31"/>
      <c r="W1318" s="116" t="s">
        <v>1107</v>
      </c>
      <c r="X1318" s="33"/>
      <c r="Y1318" s="34"/>
      <c r="Z1318" s="42"/>
      <c r="AA1318" s="20" t="s">
        <v>49</v>
      </c>
      <c r="AB1318" s="20" t="s">
        <v>49</v>
      </c>
      <c r="AC1318" s="19" t="s">
        <v>49</v>
      </c>
      <c r="AD1318" s="19" t="str">
        <f ca="1">IFERROR(DATEDIF(DadosViagem5[[#This Row],[Utimo Bip Reserva]],TODAY(),"D"),"")</f>
        <v/>
      </c>
      <c r="AE1318" s="36" t="s">
        <v>49</v>
      </c>
      <c r="AF1318" s="25" t="s">
        <v>49</v>
      </c>
      <c r="AG1318" s="36"/>
      <c r="AH1318" s="25">
        <v>45807</v>
      </c>
      <c r="AI1318" s="36" t="str">
        <f>IF(DadosViagem5[[#This Row],[Dias em manutenção ]]&lt;5,"Dentro do Prazo","Fora do Prazo")</f>
        <v>Fora do Prazo</v>
      </c>
      <c r="AJ1318" s="36" t="e">
        <v>#REF!</v>
      </c>
    </row>
    <row r="1319" spans="1:36">
      <c r="A1319" s="19" t="s">
        <v>2252</v>
      </c>
      <c r="B1319" s="20"/>
      <c r="C1319" s="19" t="s">
        <v>671</v>
      </c>
      <c r="D1319" s="19" t="s">
        <v>132</v>
      </c>
      <c r="E1319" s="19" t="s">
        <v>114</v>
      </c>
      <c r="F1319" s="19" t="s">
        <v>115</v>
      </c>
      <c r="G1319" s="19"/>
      <c r="H1319" s="20">
        <v>2022</v>
      </c>
      <c r="I1319" s="19" t="s">
        <v>41</v>
      </c>
      <c r="J1319" s="19" t="s">
        <v>2248</v>
      </c>
      <c r="K1319" s="21" t="s">
        <v>2249</v>
      </c>
      <c r="L1319" s="22" t="s">
        <v>60</v>
      </c>
      <c r="M1319" s="23" t="s">
        <v>290</v>
      </c>
      <c r="N1319" s="25" t="s">
        <v>2250</v>
      </c>
      <c r="O1319" s="25" t="s">
        <v>1459</v>
      </c>
      <c r="P1319" s="26">
        <f ca="1">IFERROR(VLOOKUP(DadosViagem5[[#This Row],[Placa]],[1]BIP!A:E,5,FALSE),"")</f>
        <v>45895</v>
      </c>
      <c r="Q1319" s="27">
        <f ca="1">DATEDIF(DadosViagem5[[#This Row],[BIP]],TODAY(),"D")</f>
        <v>95</v>
      </c>
      <c r="R1319" s="28" t="str">
        <f>IFERROR(VLOOKUP(DadosViagem5[[#This Row],[Placa]],[1]DDS!B:C,2,FALSE),"Verificar cadastro")</f>
        <v>Sem operação</v>
      </c>
      <c r="S1319" s="36" t="s">
        <v>35</v>
      </c>
      <c r="T1319" s="23"/>
      <c r="U1319" s="30"/>
      <c r="V1319" s="31"/>
      <c r="W1319" s="116" t="s">
        <v>2253</v>
      </c>
      <c r="X1319" s="33"/>
      <c r="Y1319" s="34"/>
      <c r="Z1319" s="42"/>
      <c r="AA1319" s="20" t="s">
        <v>49</v>
      </c>
      <c r="AB1319" s="20" t="s">
        <v>49</v>
      </c>
      <c r="AC1319" s="19" t="s">
        <v>49</v>
      </c>
      <c r="AD1319" s="19" t="str">
        <f ca="1">IFERROR(DATEDIF(DadosViagem5[[#This Row],[Utimo Bip Reserva]],TODAY(),"D"),"")</f>
        <v/>
      </c>
      <c r="AE1319" s="36" t="s">
        <v>49</v>
      </c>
      <c r="AF1319" s="25" t="s">
        <v>49</v>
      </c>
      <c r="AG1319" s="36"/>
      <c r="AH1319" s="25">
        <v>45807</v>
      </c>
      <c r="AI1319" s="36" t="str">
        <f>IF(DadosViagem5[[#This Row],[Dias em manutenção ]]&lt;5,"Dentro do Prazo","Fora do Prazo")</f>
        <v>Fora do Prazo</v>
      </c>
      <c r="AJ1319" s="36" t="e">
        <v>#REF!</v>
      </c>
    </row>
    <row r="1320" spans="1:36">
      <c r="A1320" s="19" t="s">
        <v>2254</v>
      </c>
      <c r="B1320" s="20"/>
      <c r="C1320" s="19" t="s">
        <v>88</v>
      </c>
      <c r="D1320" s="19" t="s">
        <v>52</v>
      </c>
      <c r="E1320" s="19" t="s">
        <v>114</v>
      </c>
      <c r="F1320" s="19" t="s">
        <v>115</v>
      </c>
      <c r="G1320" s="19"/>
      <c r="H1320" s="20">
        <v>2022</v>
      </c>
      <c r="I1320" s="19" t="s">
        <v>41</v>
      </c>
      <c r="J1320" s="19" t="s">
        <v>2248</v>
      </c>
      <c r="K1320" s="21" t="s">
        <v>2249</v>
      </c>
      <c r="L1320" s="22" t="s">
        <v>60</v>
      </c>
      <c r="M1320" s="23" t="s">
        <v>290</v>
      </c>
      <c r="N1320" s="25" t="s">
        <v>55</v>
      </c>
      <c r="O1320" s="25" t="s">
        <v>1459</v>
      </c>
      <c r="P1320" s="26">
        <f ca="1">IFERROR(VLOOKUP(DadosViagem5[[#This Row],[Placa]],[1]BIP!A:E,5,FALSE),"")</f>
        <v>45821</v>
      </c>
      <c r="Q1320" s="27">
        <f ca="1">DATEDIF(DadosViagem5[[#This Row],[BIP]],TODAY(),"D")</f>
        <v>169</v>
      </c>
      <c r="R1320" s="28" t="str">
        <f>IFERROR(VLOOKUP(DadosViagem5[[#This Row],[Placa]],[1]DDS!B:C,2,FALSE),"Verificar cadastro")</f>
        <v>Sem operação</v>
      </c>
      <c r="S1320" s="36" t="s">
        <v>35</v>
      </c>
      <c r="T1320" s="23"/>
      <c r="U1320" s="30"/>
      <c r="V1320" s="31"/>
      <c r="W1320" s="116" t="s">
        <v>2255</v>
      </c>
      <c r="X1320" s="33"/>
      <c r="Y1320" s="34"/>
      <c r="Z1320" s="42"/>
      <c r="AA1320" s="20" t="s">
        <v>49</v>
      </c>
      <c r="AB1320" s="20" t="s">
        <v>49</v>
      </c>
      <c r="AC1320" s="19" t="s">
        <v>49</v>
      </c>
      <c r="AD1320" s="19" t="str">
        <f ca="1">IFERROR(DATEDIF(DadosViagem5[[#This Row],[Utimo Bip Reserva]],TODAY(),"D"),"")</f>
        <v/>
      </c>
      <c r="AE1320" s="36" t="s">
        <v>49</v>
      </c>
      <c r="AF1320" s="25" t="s">
        <v>49</v>
      </c>
      <c r="AG1320" s="36"/>
      <c r="AH1320" s="25">
        <v>45807</v>
      </c>
      <c r="AI1320" s="36" t="str">
        <f>IF(DadosViagem5[[#This Row],[Dias em manutenção ]]&lt;5,"Dentro do Prazo","Fora do Prazo")</f>
        <v>Fora do Prazo</v>
      </c>
      <c r="AJ1320" s="36" t="e">
        <v>#REF!</v>
      </c>
    </row>
    <row r="1321" spans="1:36">
      <c r="A1321" s="19" t="s">
        <v>2256</v>
      </c>
      <c r="B1321" s="20"/>
      <c r="C1321" s="19" t="s">
        <v>671</v>
      </c>
      <c r="D1321" s="19" t="s">
        <v>132</v>
      </c>
      <c r="E1321" s="19" t="s">
        <v>114</v>
      </c>
      <c r="F1321" s="19" t="s">
        <v>115</v>
      </c>
      <c r="G1321" s="19"/>
      <c r="H1321" s="20">
        <v>2022</v>
      </c>
      <c r="I1321" s="19" t="s">
        <v>41</v>
      </c>
      <c r="J1321" s="19" t="s">
        <v>2248</v>
      </c>
      <c r="K1321" s="21" t="s">
        <v>2249</v>
      </c>
      <c r="L1321" s="22" t="s">
        <v>60</v>
      </c>
      <c r="M1321" s="23" t="s">
        <v>290</v>
      </c>
      <c r="N1321" s="25" t="s">
        <v>2250</v>
      </c>
      <c r="O1321" s="25" t="s">
        <v>1459</v>
      </c>
      <c r="P1321" s="26">
        <f ca="1">IFERROR(VLOOKUP(DadosViagem5[[#This Row],[Placa]],[1]BIP!A:E,5,FALSE),"")</f>
        <v>45850</v>
      </c>
      <c r="Q1321" s="27">
        <f ca="1">DATEDIF(DadosViagem5[[#This Row],[BIP]],TODAY(),"D")</f>
        <v>140</v>
      </c>
      <c r="R1321" s="28" t="str">
        <f>IFERROR(VLOOKUP(DadosViagem5[[#This Row],[Placa]],[1]DDS!B:C,2,FALSE),"Verificar cadastro")</f>
        <v>Manutenção</v>
      </c>
      <c r="S1321" s="36" t="s">
        <v>35</v>
      </c>
      <c r="T1321" s="23"/>
      <c r="U1321" s="30"/>
      <c r="V1321" s="31"/>
      <c r="W1321" s="116" t="s">
        <v>2257</v>
      </c>
      <c r="X1321" s="33"/>
      <c r="Y1321" s="34"/>
      <c r="Z1321" s="42"/>
      <c r="AA1321" s="20" t="s">
        <v>49</v>
      </c>
      <c r="AB1321" s="20" t="s">
        <v>49</v>
      </c>
      <c r="AC1321" s="19" t="s">
        <v>49</v>
      </c>
      <c r="AD1321" s="19" t="str">
        <f ca="1">IFERROR(DATEDIF(DadosViagem5[[#This Row],[Utimo Bip Reserva]],TODAY(),"D"),"")</f>
        <v/>
      </c>
      <c r="AE1321" s="36" t="s">
        <v>49</v>
      </c>
      <c r="AF1321" s="25" t="s">
        <v>49</v>
      </c>
      <c r="AG1321" s="36" t="s">
        <v>205</v>
      </c>
      <c r="AH1321" s="25">
        <v>45807</v>
      </c>
      <c r="AI1321" s="36" t="str">
        <f>IF(DadosViagem5[[#This Row],[Dias em manutenção ]]&lt;5,"Dentro do Prazo","Fora do Prazo")</f>
        <v>Fora do Prazo</v>
      </c>
      <c r="AJ1321" s="36" t="e">
        <v>#REF!</v>
      </c>
    </row>
    <row r="1322" spans="1:36">
      <c r="A1322" s="19" t="s">
        <v>2258</v>
      </c>
      <c r="B1322" s="20"/>
      <c r="C1322" s="19" t="s">
        <v>1013</v>
      </c>
      <c r="D1322" s="19" t="s">
        <v>1014</v>
      </c>
      <c r="E1322" s="19" t="s">
        <v>114</v>
      </c>
      <c r="F1322" s="19" t="s">
        <v>115</v>
      </c>
      <c r="G1322" s="19"/>
      <c r="H1322" s="20">
        <v>2023</v>
      </c>
      <c r="I1322" s="19" t="s">
        <v>41</v>
      </c>
      <c r="J1322" s="19" t="s">
        <v>2248</v>
      </c>
      <c r="K1322" s="21" t="s">
        <v>2249</v>
      </c>
      <c r="L1322" s="22" t="s">
        <v>60</v>
      </c>
      <c r="M1322" s="23" t="s">
        <v>290</v>
      </c>
      <c r="N1322" s="25" t="s">
        <v>2250</v>
      </c>
      <c r="O1322" s="25" t="s">
        <v>1459</v>
      </c>
      <c r="P1322" s="26">
        <f ca="1">IFERROR(VLOOKUP(DadosViagem5[[#This Row],[Placa]],[1]BIP!A:E,5,FALSE),"")</f>
        <v>45989</v>
      </c>
      <c r="Q1322" s="27">
        <f ca="1">DATEDIF(DadosViagem5[[#This Row],[BIP]],TODAY(),"D")</f>
        <v>1</v>
      </c>
      <c r="R1322" s="28" t="str">
        <f>IFERROR(VLOOKUP(DadosViagem5[[#This Row],[Placa]],[1]DDS!B:C,2,FALSE),"Verificar cadastro")</f>
        <v>Operando</v>
      </c>
      <c r="S1322" s="29" t="s">
        <v>48</v>
      </c>
      <c r="T1322" s="23"/>
      <c r="U1322" s="59"/>
      <c r="V1322" s="31"/>
      <c r="W1322" s="116"/>
      <c r="X1322" s="33"/>
      <c r="Y1322" s="34"/>
      <c r="Z1322" s="32"/>
      <c r="AA1322" s="20" t="s">
        <v>49</v>
      </c>
      <c r="AB1322" s="20" t="s">
        <v>49</v>
      </c>
      <c r="AC1322" s="19" t="s">
        <v>49</v>
      </c>
      <c r="AD1322" s="19" t="str">
        <f ca="1">IFERROR(DATEDIF(DadosViagem5[[#This Row],[Utimo Bip Reserva]],TODAY(),"D"),"")</f>
        <v/>
      </c>
      <c r="AE1322" s="36" t="s">
        <v>49</v>
      </c>
      <c r="AF1322" s="25" t="s">
        <v>49</v>
      </c>
      <c r="AG1322" s="36"/>
      <c r="AH1322" s="25">
        <v>45807</v>
      </c>
      <c r="AI1322" s="36" t="str">
        <f>IF(DadosViagem5[[#This Row],[Dias em manutenção ]]&lt;5,"Dentro do Prazo","Fora do Prazo")</f>
        <v>Fora do Prazo</v>
      </c>
      <c r="AJ1322" s="36" t="e">
        <v>#REF!</v>
      </c>
    </row>
    <row r="1323" spans="1:36" ht="76.5">
      <c r="A1323" s="19" t="s">
        <v>2259</v>
      </c>
      <c r="B1323" s="20"/>
      <c r="C1323" s="19" t="s">
        <v>562</v>
      </c>
      <c r="D1323" s="19" t="s">
        <v>563</v>
      </c>
      <c r="E1323" s="19" t="s">
        <v>114</v>
      </c>
      <c r="F1323" s="19" t="s">
        <v>115</v>
      </c>
      <c r="G1323" s="19"/>
      <c r="H1323" s="20">
        <v>2022</v>
      </c>
      <c r="I1323" s="19" t="s">
        <v>41</v>
      </c>
      <c r="J1323" s="19" t="s">
        <v>2248</v>
      </c>
      <c r="K1323" s="38" t="s">
        <v>2249</v>
      </c>
      <c r="L1323" s="22" t="s">
        <v>60</v>
      </c>
      <c r="M1323" s="23" t="s">
        <v>290</v>
      </c>
      <c r="N1323" s="25" t="s">
        <v>2250</v>
      </c>
      <c r="O1323" s="25" t="s">
        <v>1459</v>
      </c>
      <c r="P1323" s="26">
        <f ca="1">IFERROR(VLOOKUP(DadosViagem5[[#This Row],[Placa]],[1]BIP!A:E,5,FALSE),"")</f>
        <v>0</v>
      </c>
      <c r="Q1323" s="27">
        <f ca="1">DATEDIF(DadosViagem5[[#This Row],[BIP]],TODAY(),"D")</f>
        <v>45990</v>
      </c>
      <c r="R1323" s="28" t="str">
        <f>IFERROR(VLOOKUP(DadosViagem5[[#This Row],[Placa]],[1]DDS!B:C,2,FALSE),"Verificar cadastro")</f>
        <v>Sem operação</v>
      </c>
      <c r="S1323" s="29" t="s">
        <v>48</v>
      </c>
      <c r="T1323" s="23"/>
      <c r="U1323" s="30"/>
      <c r="V1323" s="31"/>
      <c r="W1323" s="159" t="s">
        <v>2260</v>
      </c>
      <c r="X1323" s="33"/>
      <c r="Y1323" s="34"/>
      <c r="Z1323" s="32"/>
      <c r="AA1323" s="20" t="s">
        <v>49</v>
      </c>
      <c r="AB1323" s="20" t="s">
        <v>49</v>
      </c>
      <c r="AC1323" s="19" t="s">
        <v>49</v>
      </c>
      <c r="AD1323" s="19" t="str">
        <f ca="1">IFERROR(DATEDIF(DadosViagem5[[#This Row],[Utimo Bip Reserva]],TODAY(),"D"),"")</f>
        <v/>
      </c>
      <c r="AE1323" s="36" t="s">
        <v>49</v>
      </c>
      <c r="AF1323" s="25" t="s">
        <v>49</v>
      </c>
      <c r="AG1323" s="36"/>
      <c r="AH1323" s="25">
        <v>45807</v>
      </c>
      <c r="AI1323" s="36" t="str">
        <f>IF(DadosViagem5[[#This Row],[Dias em manutenção ]]&lt;5,"Dentro do Prazo","Fora do Prazo")</f>
        <v>Fora do Prazo</v>
      </c>
      <c r="AJ1323" s="36" t="e">
        <v>#REF!</v>
      </c>
    </row>
    <row r="1324" spans="1:36" ht="76.5">
      <c r="A1324" s="19" t="s">
        <v>2261</v>
      </c>
      <c r="B1324" s="20"/>
      <c r="C1324" s="19" t="s">
        <v>562</v>
      </c>
      <c r="D1324" s="19" t="s">
        <v>563</v>
      </c>
      <c r="E1324" s="19" t="s">
        <v>114</v>
      </c>
      <c r="F1324" s="19" t="s">
        <v>115</v>
      </c>
      <c r="G1324" s="19"/>
      <c r="H1324" s="20">
        <v>2021</v>
      </c>
      <c r="I1324" s="19" t="s">
        <v>41</v>
      </c>
      <c r="J1324" s="19" t="s">
        <v>2248</v>
      </c>
      <c r="K1324" s="21" t="s">
        <v>2249</v>
      </c>
      <c r="L1324" s="22" t="s">
        <v>60</v>
      </c>
      <c r="M1324" s="23" t="s">
        <v>290</v>
      </c>
      <c r="N1324" s="25" t="s">
        <v>2250</v>
      </c>
      <c r="O1324" s="25" t="s">
        <v>1459</v>
      </c>
      <c r="P1324" s="26">
        <f ca="1">IFERROR(VLOOKUP(DadosViagem5[[#This Row],[Placa]],[1]BIP!A:E,5,FALSE),"")</f>
        <v>45989</v>
      </c>
      <c r="Q1324" s="27">
        <f ca="1">DATEDIF(DadosViagem5[[#This Row],[BIP]],TODAY(),"D")</f>
        <v>1</v>
      </c>
      <c r="R1324" s="28" t="str">
        <f>IFERROR(VLOOKUP(DadosViagem5[[#This Row],[Placa]],[1]DDS!B:C,2,FALSE),"Verificar cadastro")</f>
        <v>Operando</v>
      </c>
      <c r="S1324" s="29" t="s">
        <v>48</v>
      </c>
      <c r="T1324" s="23"/>
      <c r="U1324" s="30"/>
      <c r="V1324" s="31"/>
      <c r="W1324" s="159" t="s">
        <v>2262</v>
      </c>
      <c r="X1324" s="33"/>
      <c r="Y1324" s="34" t="s">
        <v>49</v>
      </c>
      <c r="Z1324" s="32"/>
      <c r="AA1324" s="20" t="s">
        <v>49</v>
      </c>
      <c r="AB1324" s="20" t="s">
        <v>49</v>
      </c>
      <c r="AC1324" s="19" t="s">
        <v>49</v>
      </c>
      <c r="AD1324" s="19" t="str">
        <f ca="1">IFERROR(DATEDIF(DadosViagem5[[#This Row],[Utimo Bip Reserva]],TODAY(),"D"),"")</f>
        <v/>
      </c>
      <c r="AE1324" s="36" t="s">
        <v>49</v>
      </c>
      <c r="AF1324" s="25" t="s">
        <v>49</v>
      </c>
      <c r="AG1324" s="36"/>
      <c r="AH1324" s="25">
        <v>45807</v>
      </c>
      <c r="AI1324" s="36" t="str">
        <f>IF(DadosViagem5[[#This Row],[Dias em manutenção ]]&lt;5,"Dentro do Prazo","Fora do Prazo")</f>
        <v>Fora do Prazo</v>
      </c>
      <c r="AJ1324" s="36" t="e">
        <v>#REF!</v>
      </c>
    </row>
    <row r="1325" spans="1:36">
      <c r="A1325" s="19" t="s">
        <v>2263</v>
      </c>
      <c r="B1325" s="20"/>
      <c r="C1325" s="19" t="s">
        <v>88</v>
      </c>
      <c r="D1325" s="19" t="s">
        <v>52</v>
      </c>
      <c r="E1325" s="19" t="s">
        <v>114</v>
      </c>
      <c r="F1325" s="19" t="s">
        <v>115</v>
      </c>
      <c r="G1325" s="19"/>
      <c r="H1325" s="20">
        <v>2020</v>
      </c>
      <c r="I1325" s="19" t="s">
        <v>41</v>
      </c>
      <c r="J1325" s="19" t="s">
        <v>2248</v>
      </c>
      <c r="K1325" s="21" t="s">
        <v>2249</v>
      </c>
      <c r="L1325" s="22" t="s">
        <v>60</v>
      </c>
      <c r="M1325" s="23" t="s">
        <v>290</v>
      </c>
      <c r="N1325" s="25" t="s">
        <v>2250</v>
      </c>
      <c r="O1325" s="25" t="s">
        <v>1459</v>
      </c>
      <c r="P1325" s="26">
        <f ca="1">IFERROR(VLOOKUP(DadosViagem5[[#This Row],[Placa]],[1]BIP!A:E,5,FALSE),"")</f>
        <v>45989</v>
      </c>
      <c r="Q1325" s="27">
        <f ca="1">DATEDIF(DadosViagem5[[#This Row],[BIP]],TODAY(),"D")</f>
        <v>1</v>
      </c>
      <c r="R1325" s="28" t="str">
        <f>IFERROR(VLOOKUP(DadosViagem5[[#This Row],[Placa]],[1]DDS!B:C,2,FALSE),"Verificar cadastro")</f>
        <v>Operando</v>
      </c>
      <c r="S1325" s="29" t="s">
        <v>48</v>
      </c>
      <c r="T1325" s="23"/>
      <c r="U1325" s="30"/>
      <c r="V1325" s="31"/>
      <c r="W1325" s="32"/>
      <c r="X1325" s="33"/>
      <c r="Y1325" s="34" t="s">
        <v>49</v>
      </c>
      <c r="Z1325" s="32"/>
      <c r="AA1325" s="20" t="s">
        <v>49</v>
      </c>
      <c r="AB1325" s="20" t="s">
        <v>49</v>
      </c>
      <c r="AC1325" s="19" t="s">
        <v>49</v>
      </c>
      <c r="AD1325" s="19" t="str">
        <f ca="1">IFERROR(DATEDIF(DadosViagem5[[#This Row],[Utimo Bip Reserva]],TODAY(),"D"),"")</f>
        <v/>
      </c>
      <c r="AE1325" s="36" t="s">
        <v>49</v>
      </c>
      <c r="AF1325" s="25" t="s">
        <v>49</v>
      </c>
      <c r="AG1325" s="36"/>
      <c r="AH1325" s="25">
        <v>45807</v>
      </c>
      <c r="AI1325" s="36" t="str">
        <f>IF(DadosViagem5[[#This Row],[Dias em manutenção ]]&lt;5,"Dentro do Prazo","Fora do Prazo")</f>
        <v>Fora do Prazo</v>
      </c>
      <c r="AJ1325" s="36" t="e">
        <v>#REF!</v>
      </c>
    </row>
    <row r="1326" spans="1:36">
      <c r="A1326" s="19" t="s">
        <v>2264</v>
      </c>
      <c r="B1326" s="20"/>
      <c r="C1326" s="19" t="s">
        <v>562</v>
      </c>
      <c r="D1326" s="19" t="s">
        <v>563</v>
      </c>
      <c r="E1326" s="19" t="s">
        <v>114</v>
      </c>
      <c r="F1326" s="19" t="s">
        <v>115</v>
      </c>
      <c r="G1326" s="19"/>
      <c r="H1326" s="20">
        <v>2023</v>
      </c>
      <c r="I1326" s="19" t="s">
        <v>41</v>
      </c>
      <c r="J1326" s="19" t="s">
        <v>2248</v>
      </c>
      <c r="K1326" s="21" t="s">
        <v>2249</v>
      </c>
      <c r="L1326" s="22" t="s">
        <v>60</v>
      </c>
      <c r="M1326" s="23" t="s">
        <v>290</v>
      </c>
      <c r="N1326" s="25" t="s">
        <v>2250</v>
      </c>
      <c r="O1326" s="25" t="s">
        <v>1459</v>
      </c>
      <c r="P1326" s="26">
        <f ca="1">IFERROR(VLOOKUP(DadosViagem5[[#This Row],[Placa]],[1]BIP!A:E,5,FALSE),"")</f>
        <v>45989</v>
      </c>
      <c r="Q1326" s="27">
        <f ca="1">DATEDIF(DadosViagem5[[#This Row],[BIP]],TODAY(),"D")</f>
        <v>1</v>
      </c>
      <c r="R1326" s="28" t="str">
        <f>IFERROR(VLOOKUP(DadosViagem5[[#This Row],[Placa]],[1]DDS!B:C,2,FALSE),"Verificar cadastro")</f>
        <v>Operando</v>
      </c>
      <c r="S1326" s="29" t="s">
        <v>48</v>
      </c>
      <c r="T1326" s="23"/>
      <c r="U1326" s="30"/>
      <c r="V1326" s="31"/>
      <c r="W1326" s="32" t="s">
        <v>2265</v>
      </c>
      <c r="X1326" s="33"/>
      <c r="Y1326" s="34"/>
      <c r="Z1326" s="42"/>
      <c r="AA1326" s="20" t="s">
        <v>49</v>
      </c>
      <c r="AB1326" s="20" t="s">
        <v>49</v>
      </c>
      <c r="AC1326" s="19" t="s">
        <v>49</v>
      </c>
      <c r="AD1326" s="19" t="str">
        <f ca="1">IFERROR(DATEDIF(DadosViagem5[[#This Row],[Utimo Bip Reserva]],TODAY(),"D"),"")</f>
        <v/>
      </c>
      <c r="AE1326" s="36" t="s">
        <v>49</v>
      </c>
      <c r="AF1326" s="25">
        <v>45699</v>
      </c>
      <c r="AG1326" s="36" t="s">
        <v>481</v>
      </c>
      <c r="AH1326" s="25">
        <v>140</v>
      </c>
      <c r="AI1326" s="36" t="str">
        <f>IF(DadosViagem5[[#This Row],[Dias em manutenção ]]&lt;5,"Dentro do Prazo","Fora do Prazo")</f>
        <v>Fora do Prazo</v>
      </c>
      <c r="AJ1326" s="36" t="e">
        <v>#REF!</v>
      </c>
    </row>
    <row r="1327" spans="1:36">
      <c r="A1327" s="19" t="s">
        <v>2266</v>
      </c>
      <c r="B1327" s="20"/>
      <c r="C1327" s="19" t="s">
        <v>88</v>
      </c>
      <c r="D1327" s="19" t="s">
        <v>52</v>
      </c>
      <c r="E1327" s="19" t="s">
        <v>114</v>
      </c>
      <c r="F1327" s="19" t="s">
        <v>115</v>
      </c>
      <c r="G1327" s="19"/>
      <c r="H1327" s="20">
        <v>2023</v>
      </c>
      <c r="I1327" s="19" t="s">
        <v>41</v>
      </c>
      <c r="J1327" s="19" t="s">
        <v>2248</v>
      </c>
      <c r="K1327" s="21" t="s">
        <v>2249</v>
      </c>
      <c r="L1327" s="39" t="s">
        <v>60</v>
      </c>
      <c r="M1327" s="23" t="s">
        <v>290</v>
      </c>
      <c r="N1327" s="25" t="s">
        <v>2250</v>
      </c>
      <c r="O1327" s="25" t="s">
        <v>1459</v>
      </c>
      <c r="P1327" s="26">
        <f ca="1">IFERROR(VLOOKUP(DadosViagem5[[#This Row],[Placa]],[1]BIP!A:E,5,FALSE),"")</f>
        <v>45709</v>
      </c>
      <c r="Q1327" s="27">
        <f ca="1">DATEDIF(DadosViagem5[[#This Row],[BIP]],TODAY(),"D")</f>
        <v>281</v>
      </c>
      <c r="R1327" s="28" t="str">
        <f>IFERROR(VLOOKUP(DadosViagem5[[#This Row],[Placa]],[1]DDS!B:C,2,FALSE),"Verificar cadastro")</f>
        <v>Verificar cadastro</v>
      </c>
      <c r="S1327" s="29" t="s">
        <v>173</v>
      </c>
      <c r="T1327" s="23"/>
      <c r="U1327" s="30"/>
      <c r="V1327" s="31"/>
      <c r="W1327" s="116" t="s">
        <v>1107</v>
      </c>
      <c r="X1327" s="33"/>
      <c r="Y1327" s="86"/>
      <c r="Z1327" s="42"/>
      <c r="AA1327" s="20" t="s">
        <v>49</v>
      </c>
      <c r="AB1327" s="20" t="s">
        <v>49</v>
      </c>
      <c r="AC1327" s="19"/>
      <c r="AD1327" s="19"/>
      <c r="AE1327" s="36"/>
      <c r="AF1327" s="25"/>
      <c r="AG1327" s="36"/>
      <c r="AH1327" s="25"/>
      <c r="AI1327" s="36" t="str">
        <f>IF(DadosViagem5[[#This Row],[Dias em manutenção ]]&lt;5,"Dentro do Prazo","Fora do Prazo")</f>
        <v>Dentro do Prazo</v>
      </c>
      <c r="AJ1327" s="36" t="e">
        <v>#REF!</v>
      </c>
    </row>
    <row r="1328" spans="1:36">
      <c r="A1328" s="19" t="s">
        <v>2267</v>
      </c>
      <c r="B1328" s="20"/>
      <c r="C1328" s="19" t="s">
        <v>88</v>
      </c>
      <c r="D1328" s="19" t="s">
        <v>52</v>
      </c>
      <c r="E1328" s="19" t="s">
        <v>114</v>
      </c>
      <c r="F1328" s="19" t="s">
        <v>115</v>
      </c>
      <c r="G1328" s="19"/>
      <c r="H1328" s="20">
        <v>2023</v>
      </c>
      <c r="I1328" s="19" t="s">
        <v>41</v>
      </c>
      <c r="J1328" s="19" t="s">
        <v>2248</v>
      </c>
      <c r="K1328" s="21" t="s">
        <v>2249</v>
      </c>
      <c r="L1328" s="39" t="s">
        <v>60</v>
      </c>
      <c r="M1328" s="23" t="s">
        <v>290</v>
      </c>
      <c r="N1328" s="25" t="s">
        <v>2250</v>
      </c>
      <c r="O1328" s="25" t="s">
        <v>1459</v>
      </c>
      <c r="P1328" s="26">
        <f ca="1">IFERROR(VLOOKUP(DadosViagem5[[#This Row],[Placa]],[1]BIP!A:E,5,FALSE),"")</f>
        <v>45741</v>
      </c>
      <c r="Q1328" s="27">
        <f ca="1">DATEDIF(DadosViagem5[[#This Row],[BIP]],TODAY(),"D")</f>
        <v>249</v>
      </c>
      <c r="R1328" s="28" t="str">
        <f>IFERROR(VLOOKUP(DadosViagem5[[#This Row],[Placa]],[1]DDS!B:C,2,FALSE),"Verificar cadastro")</f>
        <v>Verificar cadastro</v>
      </c>
      <c r="S1328" s="36" t="s">
        <v>574</v>
      </c>
      <c r="T1328" s="23"/>
      <c r="U1328" s="30"/>
      <c r="V1328" s="31"/>
      <c r="W1328" s="32" t="s">
        <v>2268</v>
      </c>
      <c r="X1328" s="33"/>
      <c r="Y1328" s="86"/>
      <c r="Z1328" s="42"/>
      <c r="AA1328" s="20" t="s">
        <v>49</v>
      </c>
      <c r="AB1328" s="20" t="s">
        <v>49</v>
      </c>
      <c r="AC1328" s="19" t="s">
        <v>49</v>
      </c>
      <c r="AD1328" s="19" t="str">
        <f ca="1">IFERROR(DATEDIF(DadosViagem5[[#This Row],[Utimo Bip Reserva]],TODAY(),"D"),"")</f>
        <v/>
      </c>
      <c r="AE1328" s="36"/>
      <c r="AF1328" s="25" t="s">
        <v>49</v>
      </c>
      <c r="AG1328" s="36"/>
      <c r="AH1328" s="25">
        <v>60</v>
      </c>
      <c r="AI1328" s="36" t="str">
        <f>IF(DadosViagem5[[#This Row],[Dias em manutenção ]]&lt;5,"Dentro do Prazo","Fora do Prazo")</f>
        <v>Fora do Prazo</v>
      </c>
      <c r="AJ1328" s="36" t="e">
        <v>#REF!</v>
      </c>
    </row>
    <row r="1329" spans="1:36">
      <c r="A1329" s="19" t="s">
        <v>2269</v>
      </c>
      <c r="B1329" s="20"/>
      <c r="C1329" s="19" t="s">
        <v>88</v>
      </c>
      <c r="D1329" s="19" t="s">
        <v>52</v>
      </c>
      <c r="E1329" s="19" t="s">
        <v>114</v>
      </c>
      <c r="F1329" s="19" t="s">
        <v>115</v>
      </c>
      <c r="G1329" s="19"/>
      <c r="H1329" s="20">
        <v>2023</v>
      </c>
      <c r="I1329" s="19" t="s">
        <v>41</v>
      </c>
      <c r="J1329" s="19" t="s">
        <v>2248</v>
      </c>
      <c r="K1329" s="21" t="s">
        <v>2249</v>
      </c>
      <c r="L1329" s="39" t="s">
        <v>60</v>
      </c>
      <c r="M1329" s="23" t="s">
        <v>290</v>
      </c>
      <c r="N1329" s="25" t="s">
        <v>2250</v>
      </c>
      <c r="O1329" s="25" t="s">
        <v>1459</v>
      </c>
      <c r="P1329" s="26">
        <f ca="1">IFERROR(VLOOKUP(DadosViagem5[[#This Row],[Placa]],[1]BIP!A:E,5,FALSE),"")</f>
        <v>45900</v>
      </c>
      <c r="Q1329" s="27">
        <f ca="1">DATEDIF(DadosViagem5[[#This Row],[BIP]],TODAY(),"D")</f>
        <v>90</v>
      </c>
      <c r="R1329" s="28" t="str">
        <f>IFERROR(VLOOKUP(DadosViagem5[[#This Row],[Placa]],[1]DDS!B:C,2,FALSE),"Verificar cadastro")</f>
        <v>Sem operação</v>
      </c>
      <c r="S1329" s="29" t="s">
        <v>48</v>
      </c>
      <c r="T1329" s="23"/>
      <c r="U1329" s="30"/>
      <c r="V1329" s="31"/>
      <c r="W1329" s="116" t="s">
        <v>2270</v>
      </c>
      <c r="X1329" s="33"/>
      <c r="Y1329" s="34"/>
      <c r="Z1329" s="42"/>
      <c r="AA1329" s="20" t="s">
        <v>49</v>
      </c>
      <c r="AB1329" s="20" t="s">
        <v>49</v>
      </c>
      <c r="AC1329" s="19" t="s">
        <v>49</v>
      </c>
      <c r="AD1329" s="19" t="str">
        <f ca="1">IFERROR(DATEDIF(DadosViagem5[[#This Row],[Utimo Bip Reserva]],TODAY(),"D"),"")</f>
        <v/>
      </c>
      <c r="AE1329" s="36" t="s">
        <v>49</v>
      </c>
      <c r="AF1329" s="25" t="s">
        <v>49</v>
      </c>
      <c r="AG1329" s="36"/>
      <c r="AH1329" s="25">
        <v>45807</v>
      </c>
      <c r="AI1329" s="36" t="str">
        <f>IF(DadosViagem5[[#This Row],[Dias em manutenção ]]&lt;5,"Dentro do Prazo","Fora do Prazo")</f>
        <v>Fora do Prazo</v>
      </c>
      <c r="AJ1329" s="36" t="e">
        <v>#REF!</v>
      </c>
    </row>
    <row r="1330" spans="1:36">
      <c r="A1330" s="19" t="s">
        <v>2271</v>
      </c>
      <c r="B1330" s="20"/>
      <c r="C1330" s="19" t="s">
        <v>88</v>
      </c>
      <c r="D1330" s="19" t="s">
        <v>52</v>
      </c>
      <c r="E1330" s="19" t="s">
        <v>114</v>
      </c>
      <c r="F1330" s="19" t="s">
        <v>115</v>
      </c>
      <c r="G1330" s="19"/>
      <c r="H1330" s="20">
        <v>2023</v>
      </c>
      <c r="I1330" s="19" t="s">
        <v>41</v>
      </c>
      <c r="J1330" s="19" t="s">
        <v>2248</v>
      </c>
      <c r="K1330" s="21" t="s">
        <v>2249</v>
      </c>
      <c r="L1330" s="39" t="s">
        <v>60</v>
      </c>
      <c r="M1330" s="23" t="s">
        <v>290</v>
      </c>
      <c r="N1330" s="25" t="s">
        <v>2250</v>
      </c>
      <c r="O1330" s="25" t="s">
        <v>1459</v>
      </c>
      <c r="P1330" s="26">
        <f ca="1">IFERROR(VLOOKUP(DadosViagem5[[#This Row],[Placa]],[1]BIP!A:E,5,FALSE),"")</f>
        <v>45989</v>
      </c>
      <c r="Q1330" s="27">
        <f ca="1">DATEDIF(DadosViagem5[[#This Row],[BIP]],TODAY(),"D")</f>
        <v>1</v>
      </c>
      <c r="R1330" s="28" t="str">
        <f>IFERROR(VLOOKUP(DadosViagem5[[#This Row],[Placa]],[1]DDS!B:C,2,FALSE),"Verificar cadastro")</f>
        <v>Operando</v>
      </c>
      <c r="S1330" s="29" t="s">
        <v>173</v>
      </c>
      <c r="T1330" s="23"/>
      <c r="U1330" s="30"/>
      <c r="V1330" s="30"/>
      <c r="W1330" s="116" t="s">
        <v>1107</v>
      </c>
      <c r="X1330" s="33"/>
      <c r="Y1330" s="34"/>
      <c r="Z1330" s="42"/>
      <c r="AA1330" s="20" t="s">
        <v>49</v>
      </c>
      <c r="AB1330" s="20" t="s">
        <v>49</v>
      </c>
      <c r="AC1330" s="19" t="s">
        <v>49</v>
      </c>
      <c r="AD1330" s="19" t="str">
        <f ca="1">IFERROR(DATEDIF(DadosViagem5[[#This Row],[Utimo Bip Reserva]],TODAY(),"D"),"")</f>
        <v/>
      </c>
      <c r="AE1330" s="36" t="s">
        <v>49</v>
      </c>
      <c r="AF1330" s="25"/>
      <c r="AG1330" s="36"/>
      <c r="AH1330" s="25">
        <v>45807</v>
      </c>
      <c r="AI1330" s="36" t="str">
        <f>IF(DadosViagem5[[#This Row],[Dias em manutenção ]]&lt;5,"Dentro do Prazo","Fora do Prazo")</f>
        <v>Fora do Prazo</v>
      </c>
      <c r="AJ1330" s="36" t="e">
        <v>#REF!</v>
      </c>
    </row>
    <row r="1331" spans="1:36">
      <c r="A1331" s="19" t="s">
        <v>2272</v>
      </c>
      <c r="B1331" s="20"/>
      <c r="C1331" s="19" t="s">
        <v>562</v>
      </c>
      <c r="D1331" s="19" t="s">
        <v>563</v>
      </c>
      <c r="E1331" s="19" t="s">
        <v>114</v>
      </c>
      <c r="F1331" s="19" t="s">
        <v>115</v>
      </c>
      <c r="G1331" s="19"/>
      <c r="H1331" s="20">
        <v>2021</v>
      </c>
      <c r="I1331" s="19" t="s">
        <v>41</v>
      </c>
      <c r="J1331" s="19" t="s">
        <v>2248</v>
      </c>
      <c r="K1331" s="21" t="s">
        <v>2249</v>
      </c>
      <c r="L1331" s="39" t="s">
        <v>60</v>
      </c>
      <c r="M1331" s="23" t="s">
        <v>290</v>
      </c>
      <c r="N1331" s="25" t="s">
        <v>2250</v>
      </c>
      <c r="O1331" s="25" t="s">
        <v>1459</v>
      </c>
      <c r="P1331" s="26">
        <f ca="1">IFERROR(VLOOKUP(DadosViagem5[[#This Row],[Placa]],[1]BIP!A:E,5,FALSE),"")</f>
        <v>45989</v>
      </c>
      <c r="Q1331" s="27">
        <f ca="1">DATEDIF(DadosViagem5[[#This Row],[BIP]],TODAY(),"D")</f>
        <v>1</v>
      </c>
      <c r="R1331" s="28" t="str">
        <f>IFERROR(VLOOKUP(DadosViagem5[[#This Row],[Placa]],[1]DDS!B:C,2,FALSE),"Verificar cadastro")</f>
        <v>Operando</v>
      </c>
      <c r="S1331" s="29" t="s">
        <v>48</v>
      </c>
      <c r="T1331" s="160"/>
      <c r="U1331" s="30"/>
      <c r="V1331" s="31"/>
      <c r="W1331" s="116"/>
      <c r="X1331" s="33"/>
      <c r="Y1331" s="34"/>
      <c r="Z1331" s="32"/>
      <c r="AA1331" s="20"/>
      <c r="AB1331" s="20" t="s">
        <v>49</v>
      </c>
      <c r="AC1331" s="19"/>
      <c r="AD1331" s="19">
        <f ca="1">IFERROR(DATEDIF(DadosViagem5[[#This Row],[Utimo Bip Reserva]],TODAY(),"D"),"")</f>
        <v>45990</v>
      </c>
      <c r="AE1331" s="36" t="s">
        <v>49</v>
      </c>
      <c r="AF1331" s="25" t="s">
        <v>49</v>
      </c>
      <c r="AG1331" s="36"/>
      <c r="AH1331" s="25">
        <v>45807</v>
      </c>
      <c r="AI1331" s="36" t="str">
        <f>IF(DadosViagem5[[#This Row],[Dias em manutenção ]]&lt;5,"Dentro do Prazo","Fora do Prazo")</f>
        <v>Fora do Prazo</v>
      </c>
      <c r="AJ1331" s="36" t="e">
        <v>#REF!</v>
      </c>
    </row>
    <row r="1332" spans="1:36">
      <c r="A1332" s="19" t="s">
        <v>2273</v>
      </c>
      <c r="B1332" s="20"/>
      <c r="C1332" s="19" t="s">
        <v>74</v>
      </c>
      <c r="D1332" s="19" t="s">
        <v>38</v>
      </c>
      <c r="E1332" s="19" t="s">
        <v>75</v>
      </c>
      <c r="F1332" s="19" t="s">
        <v>76</v>
      </c>
      <c r="G1332" s="19"/>
      <c r="H1332" s="20">
        <v>2024</v>
      </c>
      <c r="I1332" s="19" t="s">
        <v>41</v>
      </c>
      <c r="J1332" s="19" t="s">
        <v>2248</v>
      </c>
      <c r="K1332" s="21" t="s">
        <v>2249</v>
      </c>
      <c r="L1332" s="22" t="s">
        <v>60</v>
      </c>
      <c r="M1332" s="23" t="s">
        <v>77</v>
      </c>
      <c r="N1332" s="25" t="s">
        <v>2250</v>
      </c>
      <c r="O1332" s="25" t="s">
        <v>1459</v>
      </c>
      <c r="P1332" s="26">
        <f ca="1">IFERROR(VLOOKUP(DadosViagem5[[#This Row],[Placa]],[1]BIP!A:E,5,FALSE),"")</f>
        <v>45884</v>
      </c>
      <c r="Q1332" s="27">
        <f ca="1">DATEDIF(DadosViagem5[[#This Row],[BIP]],TODAY(),"D")</f>
        <v>106</v>
      </c>
      <c r="R1332" s="28" t="str">
        <f>IFERROR(VLOOKUP(DadosViagem5[[#This Row],[Placa]],[1]DDS!B:C,2,FALSE),"Verificar cadastro")</f>
        <v>Sem operação</v>
      </c>
      <c r="S1332" s="36" t="s">
        <v>186</v>
      </c>
      <c r="T1332" s="23"/>
      <c r="U1332" s="30"/>
      <c r="V1332" s="31">
        <v>45884</v>
      </c>
      <c r="W1332" s="116" t="s">
        <v>2274</v>
      </c>
      <c r="X1332" s="57" t="s">
        <v>316</v>
      </c>
      <c r="Y1332" s="34" t="s">
        <v>159</v>
      </c>
      <c r="Z1332" s="11" t="s">
        <v>2275</v>
      </c>
      <c r="AA1332" s="20" t="s">
        <v>49</v>
      </c>
      <c r="AB1332" s="20" t="s">
        <v>49</v>
      </c>
      <c r="AC1332" s="19" t="s">
        <v>49</v>
      </c>
      <c r="AD1332" s="19" t="str">
        <f ca="1">IFERROR(DATEDIF(DadosViagem5[[#This Row],[Utimo Bip Reserva]],TODAY(),"D"),"")</f>
        <v/>
      </c>
      <c r="AE1332" s="36"/>
      <c r="AF1332" s="25"/>
      <c r="AG1332" s="36"/>
      <c r="AH1332" s="25">
        <v>45807</v>
      </c>
      <c r="AI1332" s="36" t="str">
        <f>IF(DadosViagem5[[#This Row],[Dias em manutenção ]]&lt;5,"Dentro do Prazo","Fora do Prazo")</f>
        <v>Fora do Prazo</v>
      </c>
      <c r="AJ1332" s="36" t="e">
        <v>#REF!</v>
      </c>
    </row>
    <row r="1333" spans="1:36">
      <c r="A1333" s="19" t="s">
        <v>2276</v>
      </c>
      <c r="B1333" s="20"/>
      <c r="C1333" s="19" t="s">
        <v>74</v>
      </c>
      <c r="D1333" s="19" t="s">
        <v>52</v>
      </c>
      <c r="E1333" s="19" t="s">
        <v>57</v>
      </c>
      <c r="F1333" s="19" t="s">
        <v>40</v>
      </c>
      <c r="G1333" s="19"/>
      <c r="H1333" s="20">
        <v>2022</v>
      </c>
      <c r="I1333" s="19" t="s">
        <v>41</v>
      </c>
      <c r="J1333" s="19" t="s">
        <v>2248</v>
      </c>
      <c r="K1333" s="21" t="s">
        <v>2249</v>
      </c>
      <c r="L1333" s="22" t="s">
        <v>60</v>
      </c>
      <c r="M1333" s="23" t="s">
        <v>77</v>
      </c>
      <c r="N1333" s="25" t="s">
        <v>2250</v>
      </c>
      <c r="O1333" s="25" t="s">
        <v>1459</v>
      </c>
      <c r="P1333" s="26">
        <f ca="1">IFERROR(VLOOKUP(DadosViagem5[[#This Row],[Placa]],[1]BIP!A:E,5,FALSE),"")</f>
        <v>45989</v>
      </c>
      <c r="Q1333" s="27">
        <f ca="1">DATEDIF(DadosViagem5[[#This Row],[BIP]],TODAY(),"D")</f>
        <v>1</v>
      </c>
      <c r="R1333" s="28" t="str">
        <f>IFERROR(VLOOKUP(DadosViagem5[[#This Row],[Placa]],[1]DDS!B:C,2,FALSE),"Verificar cadastro")</f>
        <v>Operando</v>
      </c>
      <c r="S1333" s="29" t="s">
        <v>48</v>
      </c>
      <c r="T1333" s="23"/>
      <c r="U1333" s="30"/>
      <c r="V1333" s="31"/>
      <c r="W1333" s="32" t="s">
        <v>2265</v>
      </c>
      <c r="X1333" s="33"/>
      <c r="Y1333" s="34"/>
      <c r="Z1333" s="42"/>
      <c r="AA1333" s="20" t="s">
        <v>49</v>
      </c>
      <c r="AB1333" s="20" t="s">
        <v>49</v>
      </c>
      <c r="AC1333" s="19" t="s">
        <v>49</v>
      </c>
      <c r="AD1333" s="19" t="str">
        <f ca="1">IFERROR(DATEDIF(DadosViagem5[[#This Row],[Utimo Bip Reserva]],TODAY(),"D"),"")</f>
        <v/>
      </c>
      <c r="AE1333" s="35"/>
      <c r="AF1333" s="35"/>
      <c r="AG1333" s="36"/>
      <c r="AH1333" s="25">
        <v>45807</v>
      </c>
      <c r="AI1333" s="36" t="str">
        <f>IF(DadosViagem5[[#This Row],[Dias em manutenção ]]&lt;5,"Dentro do Prazo","Fora do Prazo")</f>
        <v>Fora do Prazo</v>
      </c>
      <c r="AJ1333" s="36" t="e">
        <v>#REF!</v>
      </c>
    </row>
    <row r="1334" spans="1:36">
      <c r="A1334" s="19" t="s">
        <v>2277</v>
      </c>
      <c r="B1334" s="20"/>
      <c r="C1334" s="19" t="s">
        <v>74</v>
      </c>
      <c r="D1334" s="19" t="s">
        <v>52</v>
      </c>
      <c r="E1334" s="19" t="s">
        <v>75</v>
      </c>
      <c r="F1334" s="19" t="s">
        <v>76</v>
      </c>
      <c r="G1334" s="19"/>
      <c r="H1334" s="20">
        <v>2024</v>
      </c>
      <c r="I1334" s="19" t="s">
        <v>41</v>
      </c>
      <c r="J1334" s="19" t="s">
        <v>2248</v>
      </c>
      <c r="K1334" s="21" t="s">
        <v>2249</v>
      </c>
      <c r="L1334" s="22" t="s">
        <v>60</v>
      </c>
      <c r="M1334" s="23" t="s">
        <v>77</v>
      </c>
      <c r="N1334" s="25" t="s">
        <v>2250</v>
      </c>
      <c r="O1334" s="25" t="s">
        <v>1459</v>
      </c>
      <c r="P1334" s="26">
        <f ca="1">IFERROR(VLOOKUP(DadosViagem5[[#This Row],[Placa]],[1]BIP!A:E,5,FALSE),"")</f>
        <v>45989</v>
      </c>
      <c r="Q1334" s="27">
        <f ca="1">DATEDIF(DadosViagem5[[#This Row],[BIP]],TODAY(),"D")</f>
        <v>1</v>
      </c>
      <c r="R1334" s="28" t="str">
        <f>IFERROR(VLOOKUP(DadosViagem5[[#This Row],[Placa]],[1]DDS!B:C,2,FALSE),"Verificar cadastro")</f>
        <v>Operando</v>
      </c>
      <c r="S1334" s="29" t="s">
        <v>48</v>
      </c>
      <c r="T1334" s="23"/>
      <c r="U1334" s="30"/>
      <c r="V1334" s="31"/>
      <c r="W1334" s="32"/>
      <c r="X1334" s="33"/>
      <c r="Y1334" s="34"/>
      <c r="Z1334" s="42"/>
      <c r="AA1334" s="20" t="s">
        <v>49</v>
      </c>
      <c r="AB1334" s="20" t="s">
        <v>49</v>
      </c>
      <c r="AC1334" s="19" t="s">
        <v>49</v>
      </c>
      <c r="AD1334" s="19" t="str">
        <f ca="1">IFERROR(DATEDIF(DadosViagem5[[#This Row],[Utimo Bip Reserva]],TODAY(),"D"),"")</f>
        <v/>
      </c>
      <c r="AE1334" s="25" t="s">
        <v>49</v>
      </c>
      <c r="AF1334" s="25" t="s">
        <v>49</v>
      </c>
      <c r="AG1334" s="36"/>
      <c r="AH1334" s="25">
        <v>45807</v>
      </c>
      <c r="AI1334" s="36" t="str">
        <f>IF(DadosViagem5[[#This Row],[Dias em manutenção ]]&lt;5,"Dentro do Prazo","Fora do Prazo")</f>
        <v>Fora do Prazo</v>
      </c>
      <c r="AJ1334" s="36" t="e">
        <v>#REF!</v>
      </c>
    </row>
    <row r="1335" spans="1:36">
      <c r="A1335" s="19" t="s">
        <v>2278</v>
      </c>
      <c r="B1335" s="20"/>
      <c r="C1335" s="19" t="s">
        <v>671</v>
      </c>
      <c r="D1335" s="19" t="s">
        <v>132</v>
      </c>
      <c r="E1335" s="19" t="s">
        <v>114</v>
      </c>
      <c r="F1335" s="19" t="s">
        <v>115</v>
      </c>
      <c r="G1335" s="19"/>
      <c r="H1335" s="20">
        <v>2022</v>
      </c>
      <c r="I1335" s="19" t="s">
        <v>41</v>
      </c>
      <c r="J1335" s="19" t="s">
        <v>2248</v>
      </c>
      <c r="K1335" s="21" t="s">
        <v>2249</v>
      </c>
      <c r="L1335" s="22" t="s">
        <v>60</v>
      </c>
      <c r="M1335" s="23" t="s">
        <v>290</v>
      </c>
      <c r="N1335" s="25" t="s">
        <v>2250</v>
      </c>
      <c r="O1335" s="25" t="s">
        <v>1459</v>
      </c>
      <c r="P1335" s="26">
        <f ca="1">IFERROR(VLOOKUP(DadosViagem5[[#This Row],[Placa]],[1]BIP!A:E,5,FALSE),"")</f>
        <v>45909</v>
      </c>
      <c r="Q1335" s="27">
        <f ca="1">DATEDIF(DadosViagem5[[#This Row],[BIP]],TODAY(),"D")</f>
        <v>81</v>
      </c>
      <c r="R1335" s="28" t="str">
        <f>IFERROR(VLOOKUP(DadosViagem5[[#This Row],[Placa]],[1]DDS!B:C,2,FALSE),"Verificar cadastro")</f>
        <v>Sem operação</v>
      </c>
      <c r="S1335" s="36" t="s">
        <v>35</v>
      </c>
      <c r="T1335" s="23"/>
      <c r="U1335" s="30"/>
      <c r="V1335" s="31"/>
      <c r="W1335" s="116" t="s">
        <v>2279</v>
      </c>
      <c r="X1335" s="33"/>
      <c r="Y1335" s="34"/>
      <c r="Z1335" s="42"/>
      <c r="AA1335" s="20" t="s">
        <v>49</v>
      </c>
      <c r="AB1335" s="20" t="s">
        <v>49</v>
      </c>
      <c r="AC1335" s="19" t="s">
        <v>49</v>
      </c>
      <c r="AD1335" s="19" t="str">
        <f ca="1">IFERROR(DATEDIF(DadosViagem5[[#This Row],[Utimo Bip Reserva]],TODAY(),"D"),"")</f>
        <v/>
      </c>
      <c r="AE1335" s="36" t="s">
        <v>49</v>
      </c>
      <c r="AF1335" s="25" t="s">
        <v>49</v>
      </c>
      <c r="AG1335" s="36"/>
      <c r="AH1335" s="25">
        <v>45807</v>
      </c>
      <c r="AI1335" s="36" t="str">
        <f>IF(DadosViagem5[[#This Row],[Dias em manutenção ]]&lt;5,"Dentro do Prazo","Fora do Prazo")</f>
        <v>Fora do Prazo</v>
      </c>
      <c r="AJ1335" s="36" t="e">
        <v>#REF!</v>
      </c>
    </row>
    <row r="1336" spans="1:36">
      <c r="A1336" s="19" t="s">
        <v>2280</v>
      </c>
      <c r="B1336" s="20"/>
      <c r="C1336" s="19" t="s">
        <v>88</v>
      </c>
      <c r="D1336" s="19" t="s">
        <v>52</v>
      </c>
      <c r="E1336" s="19" t="s">
        <v>114</v>
      </c>
      <c r="F1336" s="19" t="s">
        <v>115</v>
      </c>
      <c r="G1336" s="19"/>
      <c r="H1336" s="20">
        <v>2022</v>
      </c>
      <c r="I1336" s="19" t="s">
        <v>41</v>
      </c>
      <c r="J1336" s="19" t="s">
        <v>2248</v>
      </c>
      <c r="K1336" s="21" t="s">
        <v>2249</v>
      </c>
      <c r="L1336" s="22" t="s">
        <v>60</v>
      </c>
      <c r="M1336" s="23" t="s">
        <v>290</v>
      </c>
      <c r="N1336" s="25" t="s">
        <v>2250</v>
      </c>
      <c r="O1336" s="25" t="s">
        <v>1459</v>
      </c>
      <c r="P1336" s="26">
        <f ca="1">IFERROR(VLOOKUP(DadosViagem5[[#This Row],[Placa]],[1]BIP!A:E,5,FALSE),"")</f>
        <v>45928</v>
      </c>
      <c r="Q1336" s="27">
        <f ca="1">DATEDIF(DadosViagem5[[#This Row],[BIP]],TODAY(),"D")</f>
        <v>62</v>
      </c>
      <c r="R1336" s="28" t="str">
        <f>IFERROR(VLOOKUP(DadosViagem5[[#This Row],[Placa]],[1]DDS!B:C,2,FALSE),"Verificar cadastro")</f>
        <v>Sem operação</v>
      </c>
      <c r="S1336" s="36" t="s">
        <v>35</v>
      </c>
      <c r="T1336" s="23"/>
      <c r="U1336" s="30"/>
      <c r="V1336" s="31"/>
      <c r="W1336" s="116" t="s">
        <v>2281</v>
      </c>
      <c r="X1336" s="33"/>
      <c r="Y1336" s="34"/>
      <c r="Z1336" s="42"/>
      <c r="AA1336" s="20" t="s">
        <v>49</v>
      </c>
      <c r="AB1336" s="20" t="s">
        <v>49</v>
      </c>
      <c r="AC1336" s="19" t="s">
        <v>49</v>
      </c>
      <c r="AD1336" s="19" t="str">
        <f ca="1">IFERROR(DATEDIF(DadosViagem5[[#This Row],[Utimo Bip Reserva]],TODAY(),"D"),"")</f>
        <v/>
      </c>
      <c r="AE1336" s="36" t="s">
        <v>49</v>
      </c>
      <c r="AF1336" s="25" t="s">
        <v>49</v>
      </c>
      <c r="AG1336" s="36"/>
      <c r="AH1336" s="25">
        <v>45807</v>
      </c>
      <c r="AI1336" s="36" t="str">
        <f>IF(DadosViagem5[[#This Row],[Dias em manutenção ]]&lt;5,"Dentro do Prazo","Fora do Prazo")</f>
        <v>Fora do Prazo</v>
      </c>
      <c r="AJ1336" s="36" t="e">
        <v>#REF!</v>
      </c>
    </row>
    <row r="1337" spans="1:36">
      <c r="A1337" s="19" t="s">
        <v>2282</v>
      </c>
      <c r="B1337" s="20"/>
      <c r="C1337" s="19" t="s">
        <v>1013</v>
      </c>
      <c r="D1337" s="19" t="s">
        <v>1014</v>
      </c>
      <c r="E1337" s="19" t="s">
        <v>114</v>
      </c>
      <c r="F1337" s="19" t="s">
        <v>115</v>
      </c>
      <c r="G1337" s="19"/>
      <c r="H1337" s="20">
        <v>2023</v>
      </c>
      <c r="I1337" s="19" t="s">
        <v>41</v>
      </c>
      <c r="J1337" s="19" t="s">
        <v>2248</v>
      </c>
      <c r="K1337" s="21" t="s">
        <v>2249</v>
      </c>
      <c r="L1337" s="22" t="s">
        <v>60</v>
      </c>
      <c r="M1337" s="23" t="s">
        <v>290</v>
      </c>
      <c r="N1337" s="25" t="s">
        <v>2250</v>
      </c>
      <c r="O1337" s="25" t="s">
        <v>1459</v>
      </c>
      <c r="P1337" s="26">
        <f ca="1">IFERROR(VLOOKUP(DadosViagem5[[#This Row],[Placa]],[1]BIP!A:E,5,FALSE),"")</f>
        <v>45989</v>
      </c>
      <c r="Q1337" s="27">
        <f ca="1">DATEDIF(DadosViagem5[[#This Row],[BIP]],TODAY(),"D")</f>
        <v>1</v>
      </c>
      <c r="R1337" s="28" t="str">
        <f>IFERROR(VLOOKUP(DadosViagem5[[#This Row],[Placa]],[1]DDS!B:C,2,FALSE),"Verificar cadastro")</f>
        <v>Operando</v>
      </c>
      <c r="S1337" s="29" t="s">
        <v>48</v>
      </c>
      <c r="T1337" s="23"/>
      <c r="U1337" s="30"/>
      <c r="V1337" s="31"/>
      <c r="W1337" s="32" t="s">
        <v>2283</v>
      </c>
      <c r="X1337" s="33"/>
      <c r="Y1337" s="34"/>
      <c r="Z1337" s="32"/>
      <c r="AA1337" s="20" t="s">
        <v>49</v>
      </c>
      <c r="AB1337" s="20" t="s">
        <v>49</v>
      </c>
      <c r="AC1337" s="19" t="s">
        <v>49</v>
      </c>
      <c r="AD1337" s="19" t="str">
        <f ca="1">IFERROR(DATEDIF(DadosViagem5[[#This Row],[Utimo Bip Reserva]],TODAY(),"D"),"")</f>
        <v/>
      </c>
      <c r="AE1337" s="36" t="s">
        <v>49</v>
      </c>
      <c r="AF1337" s="25" t="s">
        <v>49</v>
      </c>
      <c r="AG1337" s="36"/>
      <c r="AH1337" s="25">
        <v>45807</v>
      </c>
      <c r="AI1337" s="36" t="str">
        <f>IF(DadosViagem5[[#This Row],[Dias em manutenção ]]&lt;5,"Dentro do Prazo","Fora do Prazo")</f>
        <v>Fora do Prazo</v>
      </c>
      <c r="AJ1337" s="36" t="e">
        <v>#REF!</v>
      </c>
    </row>
    <row r="1338" spans="1:36">
      <c r="A1338" s="19" t="s">
        <v>2284</v>
      </c>
      <c r="B1338" s="20"/>
      <c r="C1338" s="19" t="s">
        <v>88</v>
      </c>
      <c r="D1338" s="19" t="s">
        <v>52</v>
      </c>
      <c r="E1338" s="19" t="s">
        <v>114</v>
      </c>
      <c r="F1338" s="19" t="s">
        <v>115</v>
      </c>
      <c r="G1338" s="19"/>
      <c r="H1338" s="20">
        <v>2023</v>
      </c>
      <c r="I1338" s="19" t="s">
        <v>41</v>
      </c>
      <c r="J1338" s="19" t="s">
        <v>2248</v>
      </c>
      <c r="K1338" s="21" t="s">
        <v>2249</v>
      </c>
      <c r="L1338" s="22" t="s">
        <v>60</v>
      </c>
      <c r="M1338" s="23" t="s">
        <v>290</v>
      </c>
      <c r="N1338" s="25" t="s">
        <v>2250</v>
      </c>
      <c r="O1338" s="25" t="s">
        <v>1459</v>
      </c>
      <c r="P1338" s="26">
        <f ca="1">IFERROR(VLOOKUP(DadosViagem5[[#This Row],[Placa]],[1]BIP!A:E,5,FALSE),"")</f>
        <v>45989</v>
      </c>
      <c r="Q1338" s="27">
        <f ca="1">DATEDIF(DadosViagem5[[#This Row],[BIP]],TODAY(),"D")</f>
        <v>1</v>
      </c>
      <c r="R1338" s="28" t="str">
        <f>IFERROR(VLOOKUP(DadosViagem5[[#This Row],[Placa]],[1]DDS!B:C,2,FALSE),"Verificar cadastro")</f>
        <v>Operando</v>
      </c>
      <c r="S1338" s="29" t="s">
        <v>48</v>
      </c>
      <c r="T1338" s="23"/>
      <c r="U1338" s="30"/>
      <c r="V1338" s="31"/>
      <c r="W1338" s="32" t="s">
        <v>2283</v>
      </c>
      <c r="X1338" s="33"/>
      <c r="Y1338" s="34"/>
      <c r="Z1338" s="32"/>
      <c r="AA1338" s="20" t="s">
        <v>49</v>
      </c>
      <c r="AB1338" s="20" t="s">
        <v>49</v>
      </c>
      <c r="AC1338" s="19" t="s">
        <v>49</v>
      </c>
      <c r="AD1338" s="19" t="str">
        <f ca="1">IFERROR(DATEDIF(DadosViagem5[[#This Row],[Utimo Bip Reserva]],TODAY(),"D"),"")</f>
        <v/>
      </c>
      <c r="AE1338" s="36" t="s">
        <v>49</v>
      </c>
      <c r="AF1338" s="25" t="s">
        <v>49</v>
      </c>
      <c r="AG1338" s="36"/>
      <c r="AH1338" s="25">
        <v>45807</v>
      </c>
      <c r="AI1338" s="36" t="str">
        <f>IF(DadosViagem5[[#This Row],[Dias em manutenção ]]&lt;5,"Dentro do Prazo","Fora do Prazo")</f>
        <v>Fora do Prazo</v>
      </c>
      <c r="AJ1338" s="36" t="e">
        <v>#REF!</v>
      </c>
    </row>
    <row r="1339" spans="1:36">
      <c r="A1339" s="19" t="s">
        <v>2285</v>
      </c>
      <c r="B1339" s="20"/>
      <c r="C1339" s="19" t="s">
        <v>37</v>
      </c>
      <c r="D1339" s="19" t="s">
        <v>38</v>
      </c>
      <c r="E1339" s="19" t="s">
        <v>57</v>
      </c>
      <c r="F1339" s="19" t="s">
        <v>40</v>
      </c>
      <c r="G1339" s="19"/>
      <c r="H1339" s="20">
        <v>2020</v>
      </c>
      <c r="I1339" s="19" t="s">
        <v>41</v>
      </c>
      <c r="J1339" s="19" t="s">
        <v>2248</v>
      </c>
      <c r="K1339" s="21" t="s">
        <v>2249</v>
      </c>
      <c r="L1339" s="22" t="s">
        <v>60</v>
      </c>
      <c r="M1339" s="23" t="s">
        <v>290</v>
      </c>
      <c r="N1339" s="25" t="s">
        <v>2250</v>
      </c>
      <c r="O1339" s="25" t="s">
        <v>1459</v>
      </c>
      <c r="P1339" s="26">
        <f ca="1">IFERROR(VLOOKUP(DadosViagem5[[#This Row],[Placa]],[1]BIP!A:E,5,FALSE),"")</f>
        <v>45989</v>
      </c>
      <c r="Q1339" s="27">
        <f ca="1">DATEDIF(DadosViagem5[[#This Row],[BIP]],TODAY(),"D")</f>
        <v>1</v>
      </c>
      <c r="R1339" s="28" t="str">
        <f>IFERROR(VLOOKUP(DadosViagem5[[#This Row],[Placa]],[1]DDS!B:C,2,FALSE),"Verificar cadastro")</f>
        <v>Operando</v>
      </c>
      <c r="S1339" s="29" t="s">
        <v>48</v>
      </c>
      <c r="T1339" s="23"/>
      <c r="U1339" s="30"/>
      <c r="V1339" s="31"/>
      <c r="W1339" s="116" t="s">
        <v>2286</v>
      </c>
      <c r="X1339" s="33"/>
      <c r="Y1339" s="34"/>
      <c r="Z1339" s="42"/>
      <c r="AA1339" s="20" t="s">
        <v>49</v>
      </c>
      <c r="AB1339" s="20" t="s">
        <v>49</v>
      </c>
      <c r="AC1339" s="19" t="s">
        <v>49</v>
      </c>
      <c r="AD1339" s="19" t="str">
        <f ca="1">IFERROR(DATEDIF(DadosViagem5[[#This Row],[Utimo Bip Reserva]],TODAY(),"D"),"")</f>
        <v/>
      </c>
      <c r="AE1339" s="36" t="s">
        <v>2287</v>
      </c>
      <c r="AF1339" s="25" t="s">
        <v>49</v>
      </c>
      <c r="AG1339" s="36"/>
      <c r="AH1339" s="25">
        <v>45807</v>
      </c>
      <c r="AI1339" s="36" t="str">
        <f>IF(DadosViagem5[[#This Row],[Dias em manutenção ]]&lt;5,"Dentro do Prazo","Fora do Prazo")</f>
        <v>Fora do Prazo</v>
      </c>
      <c r="AJ1339" s="36" t="e">
        <v>#REF!</v>
      </c>
    </row>
    <row r="1340" spans="1:36">
      <c r="A1340" s="19" t="s">
        <v>2288</v>
      </c>
      <c r="B1340" s="20"/>
      <c r="C1340" s="19" t="s">
        <v>71</v>
      </c>
      <c r="D1340" s="19" t="s">
        <v>38</v>
      </c>
      <c r="E1340" s="19" t="s">
        <v>114</v>
      </c>
      <c r="F1340" s="19" t="s">
        <v>115</v>
      </c>
      <c r="G1340" s="19"/>
      <c r="H1340" s="20">
        <v>2022</v>
      </c>
      <c r="I1340" s="19" t="s">
        <v>41</v>
      </c>
      <c r="J1340" s="19" t="s">
        <v>2248</v>
      </c>
      <c r="K1340" s="21" t="s">
        <v>2249</v>
      </c>
      <c r="L1340" s="22" t="s">
        <v>60</v>
      </c>
      <c r="M1340" s="23" t="s">
        <v>290</v>
      </c>
      <c r="N1340" s="25" t="s">
        <v>2250</v>
      </c>
      <c r="O1340" s="25" t="s">
        <v>1459</v>
      </c>
      <c r="P1340" s="26">
        <f ca="1">IFERROR(VLOOKUP(DadosViagem5[[#This Row],[Placa]],[1]BIP!A:E,5,FALSE),"")</f>
        <v>45903</v>
      </c>
      <c r="Q1340" s="27">
        <f ca="1">DATEDIF(DadosViagem5[[#This Row],[BIP]],TODAY(),"D")</f>
        <v>87</v>
      </c>
      <c r="R1340" s="28" t="str">
        <f>IFERROR(VLOOKUP(DadosViagem5[[#This Row],[Placa]],[1]DDS!B:C,2,FALSE),"Verificar cadastro")</f>
        <v>Manutenção</v>
      </c>
      <c r="S1340" s="29" t="s">
        <v>173</v>
      </c>
      <c r="T1340" s="23"/>
      <c r="U1340" s="30"/>
      <c r="V1340" s="31"/>
      <c r="W1340" s="116" t="s">
        <v>1107</v>
      </c>
      <c r="X1340" s="33"/>
      <c r="Y1340" s="34"/>
      <c r="Z1340" s="32"/>
      <c r="AA1340" s="20" t="s">
        <v>49</v>
      </c>
      <c r="AB1340" s="20" t="s">
        <v>49</v>
      </c>
      <c r="AC1340" s="19" t="s">
        <v>49</v>
      </c>
      <c r="AD1340" s="19" t="str">
        <f ca="1">IFERROR(DATEDIF(DadosViagem5[[#This Row],[Utimo Bip Reserva]],TODAY(),"D"),"")</f>
        <v/>
      </c>
      <c r="AE1340" s="36" t="s">
        <v>49</v>
      </c>
      <c r="AF1340" s="25" t="s">
        <v>49</v>
      </c>
      <c r="AG1340" s="36"/>
      <c r="AH1340" s="25">
        <v>45807</v>
      </c>
      <c r="AI1340" s="36" t="str">
        <f>IF(DadosViagem5[[#This Row],[Dias em manutenção ]]&lt;5,"Dentro do Prazo","Fora do Prazo")</f>
        <v>Fora do Prazo</v>
      </c>
      <c r="AJ1340" s="36" t="e">
        <v>#REF!</v>
      </c>
    </row>
    <row r="1341" spans="1:36">
      <c r="A1341" s="19" t="s">
        <v>2289</v>
      </c>
      <c r="B1341" s="20"/>
      <c r="C1341" s="19" t="s">
        <v>1013</v>
      </c>
      <c r="D1341" s="19" t="s">
        <v>1014</v>
      </c>
      <c r="E1341" s="19" t="s">
        <v>114</v>
      </c>
      <c r="F1341" s="19" t="s">
        <v>115</v>
      </c>
      <c r="G1341" s="19"/>
      <c r="H1341" s="20">
        <v>2023</v>
      </c>
      <c r="I1341" s="19" t="s">
        <v>41</v>
      </c>
      <c r="J1341" s="19" t="s">
        <v>2248</v>
      </c>
      <c r="K1341" s="21" t="s">
        <v>2249</v>
      </c>
      <c r="L1341" s="22" t="s">
        <v>60</v>
      </c>
      <c r="M1341" s="23" t="s">
        <v>290</v>
      </c>
      <c r="N1341" s="25" t="s">
        <v>2250</v>
      </c>
      <c r="O1341" s="25" t="s">
        <v>1459</v>
      </c>
      <c r="P1341" s="26">
        <f ca="1">IFERROR(VLOOKUP(DadosViagem5[[#This Row],[Placa]],[1]BIP!A:E,5,FALSE),"")</f>
        <v>45989</v>
      </c>
      <c r="Q1341" s="27">
        <f ca="1">DATEDIF(DadosViagem5[[#This Row],[BIP]],TODAY(),"D")</f>
        <v>1</v>
      </c>
      <c r="R1341" s="28"/>
      <c r="S1341" s="29" t="s">
        <v>48</v>
      </c>
      <c r="T1341" s="23"/>
      <c r="U1341" s="30"/>
      <c r="V1341" s="31"/>
      <c r="W1341" s="32"/>
      <c r="X1341" s="33"/>
      <c r="Y1341" s="34"/>
      <c r="Z1341" s="32"/>
      <c r="AA1341" s="20" t="s">
        <v>49</v>
      </c>
      <c r="AB1341" s="20" t="s">
        <v>49</v>
      </c>
      <c r="AC1341" s="19" t="s">
        <v>49</v>
      </c>
      <c r="AD1341" s="19" t="str">
        <f ca="1">IFERROR(DATEDIF(DadosViagem5[[#This Row],[Utimo Bip Reserva]],TODAY(),"D"),"")</f>
        <v/>
      </c>
      <c r="AE1341" s="36" t="s">
        <v>49</v>
      </c>
      <c r="AF1341" s="25" t="s">
        <v>49</v>
      </c>
      <c r="AG1341" s="36"/>
      <c r="AH1341" s="25">
        <v>11</v>
      </c>
      <c r="AI1341" s="36" t="str">
        <f>IF(DadosViagem5[[#This Row],[Dias em manutenção ]]&lt;5,"Dentro do Prazo","Fora do Prazo")</f>
        <v>Fora do Prazo</v>
      </c>
      <c r="AJ1341" s="36" t="e">
        <v>#REF!</v>
      </c>
    </row>
    <row r="1342" spans="1:36">
      <c r="A1342" s="19" t="s">
        <v>2290</v>
      </c>
      <c r="B1342" s="20"/>
      <c r="C1342" s="19" t="s">
        <v>88</v>
      </c>
      <c r="D1342" s="19" t="s">
        <v>52</v>
      </c>
      <c r="E1342" s="19" t="s">
        <v>114</v>
      </c>
      <c r="F1342" s="19" t="s">
        <v>115</v>
      </c>
      <c r="G1342" s="19"/>
      <c r="H1342" s="20">
        <v>2020</v>
      </c>
      <c r="I1342" s="19" t="s">
        <v>41</v>
      </c>
      <c r="J1342" s="19" t="s">
        <v>2248</v>
      </c>
      <c r="K1342" s="38" t="s">
        <v>2249</v>
      </c>
      <c r="L1342" s="22" t="s">
        <v>60</v>
      </c>
      <c r="M1342" s="23" t="s">
        <v>290</v>
      </c>
      <c r="N1342" s="25" t="s">
        <v>2250</v>
      </c>
      <c r="O1342" s="25" t="s">
        <v>1459</v>
      </c>
      <c r="P1342" s="26">
        <f ca="1">IFERROR(VLOOKUP(DadosViagem5[[#This Row],[Placa]],[1]BIP!A:E,5,FALSE),"")</f>
        <v>45679</v>
      </c>
      <c r="Q1342" s="27">
        <f ca="1">DATEDIF(DadosViagem5[[#This Row],[BIP]],TODAY(),"D")</f>
        <v>311</v>
      </c>
      <c r="R1342" s="28" t="str">
        <f>IFERROR(VLOOKUP(DadosViagem5[[#This Row],[Placa]],[1]DDS!B:C,2,FALSE),"Verificar cadastro")</f>
        <v>Verificar cadastro</v>
      </c>
      <c r="S1342" s="36" t="s">
        <v>574</v>
      </c>
      <c r="T1342" s="23" t="s">
        <v>2240</v>
      </c>
      <c r="U1342" s="30" t="s">
        <v>2240</v>
      </c>
      <c r="V1342" s="31" t="s">
        <v>2240</v>
      </c>
      <c r="W1342" s="32" t="s">
        <v>2291</v>
      </c>
      <c r="X1342" s="33"/>
      <c r="Y1342" s="34"/>
      <c r="Z1342" s="32"/>
      <c r="AA1342" s="20" t="s">
        <v>49</v>
      </c>
      <c r="AB1342" s="20" t="s">
        <v>49</v>
      </c>
      <c r="AC1342" s="19" t="s">
        <v>49</v>
      </c>
      <c r="AD1342" s="19" t="str">
        <f ca="1">IFERROR(DATEDIF(DadosViagem5[[#This Row],[Utimo Bip Reserva]],TODAY(),"D"),"")</f>
        <v/>
      </c>
      <c r="AE1342" s="36"/>
      <c r="AF1342" s="25" t="s">
        <v>49</v>
      </c>
      <c r="AG1342" s="30" t="s">
        <v>153</v>
      </c>
      <c r="AH1342" s="25">
        <v>128</v>
      </c>
      <c r="AI1342" s="36" t="str">
        <f>IF(DadosViagem5[[#This Row],[Dias em manutenção ]]&lt;5,"Dentro do Prazo","Fora do Prazo")</f>
        <v>Fora do Prazo</v>
      </c>
      <c r="AJ1342" s="36" t="e">
        <v>#REF!</v>
      </c>
    </row>
    <row r="1343" spans="1:36">
      <c r="A1343" s="19" t="s">
        <v>2292</v>
      </c>
      <c r="B1343" s="20"/>
      <c r="C1343" s="19" t="s">
        <v>88</v>
      </c>
      <c r="D1343" s="19" t="s">
        <v>52</v>
      </c>
      <c r="E1343" s="19" t="s">
        <v>114</v>
      </c>
      <c r="F1343" s="19" t="s">
        <v>115</v>
      </c>
      <c r="G1343" s="19"/>
      <c r="H1343" s="20">
        <v>2023</v>
      </c>
      <c r="I1343" s="19" t="s">
        <v>41</v>
      </c>
      <c r="J1343" s="19" t="s">
        <v>2248</v>
      </c>
      <c r="K1343" s="21" t="s">
        <v>2249</v>
      </c>
      <c r="L1343" s="22" t="s">
        <v>60</v>
      </c>
      <c r="M1343" s="23" t="s">
        <v>290</v>
      </c>
      <c r="N1343" s="25" t="s">
        <v>2250</v>
      </c>
      <c r="O1343" s="25" t="s">
        <v>1459</v>
      </c>
      <c r="P1343" s="26">
        <f ca="1">IFERROR(VLOOKUP(DadosViagem5[[#This Row],[Placa]],[1]BIP!A:E,5,FALSE),"")</f>
        <v>45684</v>
      </c>
      <c r="Q1343" s="27">
        <f ca="1">DATEDIF(DadosViagem5[[#This Row],[BIP]],TODAY(),"D")</f>
        <v>306</v>
      </c>
      <c r="R1343" s="28" t="str">
        <f>IFERROR(VLOOKUP(DadosViagem5[[#This Row],[Placa]],[1]DDS!B:C,2,FALSE),"Verificar cadastro")</f>
        <v>Verificar cadastro</v>
      </c>
      <c r="S1343" s="36" t="s">
        <v>574</v>
      </c>
      <c r="T1343" s="23"/>
      <c r="U1343" s="30"/>
      <c r="V1343" s="31"/>
      <c r="W1343" s="32" t="s">
        <v>2293</v>
      </c>
      <c r="X1343" s="33"/>
      <c r="Y1343" s="34"/>
      <c r="Z1343" s="32"/>
      <c r="AA1343" s="20" t="s">
        <v>49</v>
      </c>
      <c r="AB1343" s="20" t="s">
        <v>49</v>
      </c>
      <c r="AC1343" s="19"/>
      <c r="AD1343" s="19"/>
      <c r="AE1343" s="36"/>
      <c r="AF1343" s="25"/>
      <c r="AG1343" s="36"/>
      <c r="AH1343" s="25">
        <v>81</v>
      </c>
      <c r="AI1343" s="36" t="str">
        <f>IF(DadosViagem5[[#This Row],[Dias em manutenção ]]&lt;5,"Dentro do Prazo","Fora do Prazo")</f>
        <v>Fora do Prazo</v>
      </c>
      <c r="AJ1343" s="36" t="e">
        <v>#REF!</v>
      </c>
    </row>
    <row r="1344" spans="1:36">
      <c r="A1344" s="19" t="s">
        <v>2294</v>
      </c>
      <c r="B1344" s="20"/>
      <c r="C1344" s="19" t="s">
        <v>671</v>
      </c>
      <c r="D1344" s="19" t="s">
        <v>132</v>
      </c>
      <c r="E1344" s="19" t="s">
        <v>114</v>
      </c>
      <c r="F1344" s="19" t="s">
        <v>115</v>
      </c>
      <c r="G1344" s="19"/>
      <c r="H1344" s="20">
        <v>2022</v>
      </c>
      <c r="I1344" s="19" t="s">
        <v>41</v>
      </c>
      <c r="J1344" s="19" t="s">
        <v>2248</v>
      </c>
      <c r="K1344" s="21" t="s">
        <v>2249</v>
      </c>
      <c r="L1344" s="22" t="s">
        <v>60</v>
      </c>
      <c r="M1344" s="23" t="s">
        <v>290</v>
      </c>
      <c r="N1344" s="25" t="s">
        <v>2250</v>
      </c>
      <c r="O1344" s="25" t="s">
        <v>1459</v>
      </c>
      <c r="P1344" s="26">
        <f ca="1">IFERROR(VLOOKUP(DadosViagem5[[#This Row],[Placa]],[1]BIP!A:E,5,FALSE),"")</f>
        <v>45932</v>
      </c>
      <c r="Q1344" s="27">
        <f ca="1">DATEDIF(DadosViagem5[[#This Row],[BIP]],TODAY(),"D")</f>
        <v>58</v>
      </c>
      <c r="R1344" s="28" t="str">
        <f>IFERROR(VLOOKUP(DadosViagem5[[#This Row],[Placa]],[1]DDS!B:C,2,FALSE),"Verificar cadastro")</f>
        <v>Sem operação</v>
      </c>
      <c r="S1344" s="36" t="s">
        <v>35</v>
      </c>
      <c r="T1344" s="23"/>
      <c r="U1344" s="30"/>
      <c r="V1344" s="31"/>
      <c r="W1344" s="32" t="s">
        <v>2295</v>
      </c>
      <c r="X1344" s="33"/>
      <c r="Y1344" s="34"/>
      <c r="Z1344" s="32"/>
      <c r="AA1344" s="20" t="s">
        <v>49</v>
      </c>
      <c r="AB1344" s="20" t="s">
        <v>49</v>
      </c>
      <c r="AC1344" s="19" t="s">
        <v>49</v>
      </c>
      <c r="AD1344" s="19" t="str">
        <f ca="1">IFERROR(DATEDIF(DadosViagem5[[#This Row],[Utimo Bip Reserva]],TODAY(),"D"),"")</f>
        <v/>
      </c>
      <c r="AE1344" s="36" t="s">
        <v>49</v>
      </c>
      <c r="AF1344" s="25" t="s">
        <v>49</v>
      </c>
      <c r="AG1344" s="36"/>
      <c r="AH1344" s="25">
        <v>45807</v>
      </c>
      <c r="AI1344" s="36" t="str">
        <f>IF(DadosViagem5[[#This Row],[Dias em manutenção ]]&lt;5,"Dentro do Prazo","Fora do Prazo")</f>
        <v>Fora do Prazo</v>
      </c>
      <c r="AJ1344" s="36" t="e">
        <v>#REF!</v>
      </c>
    </row>
    <row r="1345" spans="1:36">
      <c r="A1345" s="19" t="s">
        <v>2296</v>
      </c>
      <c r="B1345" s="20"/>
      <c r="C1345" s="19" t="s">
        <v>88</v>
      </c>
      <c r="D1345" s="19" t="s">
        <v>52</v>
      </c>
      <c r="E1345" s="19" t="s">
        <v>114</v>
      </c>
      <c r="F1345" s="19" t="s">
        <v>115</v>
      </c>
      <c r="G1345" s="19"/>
      <c r="H1345" s="20">
        <v>2022</v>
      </c>
      <c r="I1345" s="19" t="s">
        <v>41</v>
      </c>
      <c r="J1345" s="19" t="s">
        <v>2248</v>
      </c>
      <c r="K1345" s="21" t="s">
        <v>2249</v>
      </c>
      <c r="L1345" s="22" t="s">
        <v>60</v>
      </c>
      <c r="M1345" s="23" t="s">
        <v>290</v>
      </c>
      <c r="N1345" s="25" t="s">
        <v>2250</v>
      </c>
      <c r="O1345" s="25" t="s">
        <v>1459</v>
      </c>
      <c r="P1345" s="26">
        <f ca="1">IFERROR(VLOOKUP(DadosViagem5[[#This Row],[Placa]],[1]BIP!A:E,5,FALSE),"")</f>
        <v>0</v>
      </c>
      <c r="Q1345" s="27">
        <f ca="1">DATEDIF(DadosViagem5[[#This Row],[BIP]],TODAY(),"D")</f>
        <v>45990</v>
      </c>
      <c r="R1345" s="28" t="str">
        <f>IFERROR(VLOOKUP(DadosViagem5[[#This Row],[Placa]],[1]DDS!B:C,2,FALSE),"Verificar cadastro")</f>
        <v>Verificar cadastro</v>
      </c>
      <c r="S1345" s="36" t="s">
        <v>574</v>
      </c>
      <c r="T1345" s="23"/>
      <c r="U1345" s="30"/>
      <c r="V1345" s="31"/>
      <c r="W1345" s="32" t="s">
        <v>2297</v>
      </c>
      <c r="X1345" s="33"/>
      <c r="Y1345" s="34"/>
      <c r="Z1345" s="32"/>
      <c r="AA1345" s="20" t="s">
        <v>49</v>
      </c>
      <c r="AB1345" s="20" t="s">
        <v>49</v>
      </c>
      <c r="AC1345" s="19" t="s">
        <v>49</v>
      </c>
      <c r="AD1345" s="19" t="str">
        <f ca="1">IFERROR(DATEDIF(DadosViagem5[[#This Row],[Utimo Bip Reserva]],TODAY(),"D"),"")</f>
        <v/>
      </c>
      <c r="AE1345" s="36" t="s">
        <v>49</v>
      </c>
      <c r="AF1345" s="25">
        <v>45705</v>
      </c>
      <c r="AG1345" s="30" t="s">
        <v>153</v>
      </c>
      <c r="AH1345" s="25">
        <v>144</v>
      </c>
      <c r="AI1345" s="36" t="str">
        <f>IF(DadosViagem5[[#This Row],[Dias em manutenção ]]&lt;5,"Dentro do Prazo","Fora do Prazo")</f>
        <v>Fora do Prazo</v>
      </c>
      <c r="AJ1345" s="36" t="e">
        <v>#REF!</v>
      </c>
    </row>
    <row r="1346" spans="1:36">
      <c r="A1346" s="19" t="s">
        <v>2298</v>
      </c>
      <c r="B1346" s="20"/>
      <c r="C1346" s="19" t="s">
        <v>1013</v>
      </c>
      <c r="D1346" s="19" t="s">
        <v>1014</v>
      </c>
      <c r="E1346" s="19" t="s">
        <v>114</v>
      </c>
      <c r="F1346" s="19" t="s">
        <v>115</v>
      </c>
      <c r="G1346" s="19"/>
      <c r="H1346" s="20">
        <v>2022</v>
      </c>
      <c r="I1346" s="19" t="s">
        <v>41</v>
      </c>
      <c r="J1346" s="19" t="s">
        <v>2248</v>
      </c>
      <c r="K1346" s="21" t="s">
        <v>2249</v>
      </c>
      <c r="L1346" s="22" t="s">
        <v>60</v>
      </c>
      <c r="M1346" s="23" t="s">
        <v>290</v>
      </c>
      <c r="N1346" s="25" t="s">
        <v>2250</v>
      </c>
      <c r="O1346" s="25" t="s">
        <v>1459</v>
      </c>
      <c r="P1346" s="26">
        <f ca="1">IFERROR(VLOOKUP(DadosViagem5[[#This Row],[Placa]],[1]BIP!A:E,5,FALSE),"")</f>
        <v>45989</v>
      </c>
      <c r="Q1346" s="27">
        <f ca="1">DATEDIF(DadosViagem5[[#This Row],[BIP]],TODAY(),"D")</f>
        <v>1</v>
      </c>
      <c r="R1346" s="28" t="str">
        <f>IFERROR(VLOOKUP(DadosViagem5[[#This Row],[Placa]],[1]DDS!B:C,2,FALSE),"Verificar cadastro")</f>
        <v>Operando</v>
      </c>
      <c r="S1346" s="29" t="s">
        <v>48</v>
      </c>
      <c r="T1346" s="23"/>
      <c r="U1346" s="30"/>
      <c r="V1346" s="31"/>
      <c r="W1346" s="32" t="s">
        <v>2283</v>
      </c>
      <c r="X1346" s="33"/>
      <c r="Y1346" s="34"/>
      <c r="Z1346" s="32"/>
      <c r="AA1346" s="20" t="s">
        <v>49</v>
      </c>
      <c r="AB1346" s="20" t="s">
        <v>49</v>
      </c>
      <c r="AC1346" s="19" t="s">
        <v>49</v>
      </c>
      <c r="AD1346" s="19" t="str">
        <f ca="1">IFERROR(DATEDIF(DadosViagem5[[#This Row],[Utimo Bip Reserva]],TODAY(),"D"),"")</f>
        <v/>
      </c>
      <c r="AE1346" s="36" t="s">
        <v>49</v>
      </c>
      <c r="AF1346" s="25" t="s">
        <v>49</v>
      </c>
      <c r="AG1346" s="36"/>
      <c r="AH1346" s="25">
        <v>45807</v>
      </c>
      <c r="AI1346" s="36" t="str">
        <f>IF(DadosViagem5[[#This Row],[Dias em manutenção ]]&lt;5,"Dentro do Prazo","Fora do Prazo")</f>
        <v>Fora do Prazo</v>
      </c>
      <c r="AJ1346" s="36" t="e">
        <v>#REF!</v>
      </c>
    </row>
    <row r="1347" spans="1:36">
      <c r="A1347" s="19" t="s">
        <v>2299</v>
      </c>
      <c r="B1347" s="20"/>
      <c r="C1347" s="19" t="s">
        <v>671</v>
      </c>
      <c r="D1347" s="19" t="s">
        <v>132</v>
      </c>
      <c r="E1347" s="19" t="s">
        <v>114</v>
      </c>
      <c r="F1347" s="19" t="s">
        <v>115</v>
      </c>
      <c r="G1347" s="19"/>
      <c r="H1347" s="20">
        <v>2022</v>
      </c>
      <c r="I1347" s="19" t="s">
        <v>41</v>
      </c>
      <c r="J1347" s="19" t="s">
        <v>2248</v>
      </c>
      <c r="K1347" s="21" t="s">
        <v>2249</v>
      </c>
      <c r="L1347" s="22" t="s">
        <v>60</v>
      </c>
      <c r="M1347" s="23" t="s">
        <v>290</v>
      </c>
      <c r="N1347" s="25" t="s">
        <v>2250</v>
      </c>
      <c r="O1347" s="25" t="s">
        <v>1459</v>
      </c>
      <c r="P1347" s="26">
        <f ca="1">IFERROR(VLOOKUP(DadosViagem5[[#This Row],[Placa]],[1]BIP!A:E,5,FALSE),"")</f>
        <v>45945</v>
      </c>
      <c r="Q1347" s="27">
        <f ca="1">DATEDIF(DadosViagem5[[#This Row],[BIP]],TODAY(),"D")</f>
        <v>45</v>
      </c>
      <c r="R1347" s="28" t="str">
        <f>IFERROR(VLOOKUP(DadosViagem5[[#This Row],[Placa]],[1]DDS!B:C,2,FALSE),"Verificar cadastro")</f>
        <v>Verificar cadastro</v>
      </c>
      <c r="S1347" s="36" t="s">
        <v>574</v>
      </c>
      <c r="T1347" s="23"/>
      <c r="U1347" s="30"/>
      <c r="V1347" s="31"/>
      <c r="W1347" s="32" t="s">
        <v>2300</v>
      </c>
      <c r="X1347" s="33"/>
      <c r="Y1347" s="34"/>
      <c r="Z1347" s="32"/>
      <c r="AA1347" s="20" t="s">
        <v>49</v>
      </c>
      <c r="AB1347" s="20" t="s">
        <v>49</v>
      </c>
      <c r="AC1347" s="19" t="s">
        <v>49</v>
      </c>
      <c r="AD1347" s="19" t="str">
        <f ca="1">IFERROR(DATEDIF(DadosViagem5[[#This Row],[Utimo Bip Reserva]],TODAY(),"D"),"")</f>
        <v/>
      </c>
      <c r="AE1347" s="36" t="s">
        <v>49</v>
      </c>
      <c r="AF1347" s="25" t="s">
        <v>49</v>
      </c>
      <c r="AG1347" s="36" t="s">
        <v>290</v>
      </c>
      <c r="AH1347" s="25">
        <v>45807</v>
      </c>
      <c r="AI1347" s="36" t="str">
        <f>IF(DadosViagem5[[#This Row],[Dias em manutenção ]]&lt;5,"Dentro do Prazo","Fora do Prazo")</f>
        <v>Fora do Prazo</v>
      </c>
      <c r="AJ1347" s="36" t="e">
        <v>#REF!</v>
      </c>
    </row>
    <row r="1348" spans="1:36">
      <c r="A1348" s="19" t="s">
        <v>2301</v>
      </c>
      <c r="B1348" s="20"/>
      <c r="C1348" s="19" t="s">
        <v>1013</v>
      </c>
      <c r="D1348" s="19" t="s">
        <v>1014</v>
      </c>
      <c r="E1348" s="19" t="s">
        <v>114</v>
      </c>
      <c r="F1348" s="19" t="s">
        <v>115</v>
      </c>
      <c r="G1348" s="19"/>
      <c r="H1348" s="20">
        <v>2022</v>
      </c>
      <c r="I1348" s="19" t="s">
        <v>41</v>
      </c>
      <c r="J1348" s="19" t="s">
        <v>2248</v>
      </c>
      <c r="K1348" s="21" t="s">
        <v>2249</v>
      </c>
      <c r="L1348" s="22" t="s">
        <v>60</v>
      </c>
      <c r="M1348" s="23" t="s">
        <v>290</v>
      </c>
      <c r="N1348" s="25" t="s">
        <v>2250</v>
      </c>
      <c r="O1348" s="25" t="s">
        <v>1459</v>
      </c>
      <c r="P1348" s="26">
        <f ca="1">IFERROR(VLOOKUP(DadosViagem5[[#This Row],[Placa]],[1]BIP!A:E,5,FALSE),"")</f>
        <v>45989</v>
      </c>
      <c r="Q1348" s="27">
        <f ca="1">DATEDIF(DadosViagem5[[#This Row],[BIP]],TODAY(),"D")</f>
        <v>1</v>
      </c>
      <c r="R1348" s="28" t="str">
        <f>IFERROR(VLOOKUP(DadosViagem5[[#This Row],[Placa]],[1]DDS!B:C,2,FALSE),"Verificar cadastro")</f>
        <v>Operando</v>
      </c>
      <c r="S1348" s="29" t="s">
        <v>48</v>
      </c>
      <c r="T1348" s="23"/>
      <c r="U1348" s="30"/>
      <c r="V1348" s="31"/>
      <c r="W1348" s="32" t="s">
        <v>2283</v>
      </c>
      <c r="X1348" s="33"/>
      <c r="Y1348" s="34"/>
      <c r="Z1348" s="32"/>
      <c r="AA1348" s="20" t="s">
        <v>49</v>
      </c>
      <c r="AB1348" s="20" t="s">
        <v>49</v>
      </c>
      <c r="AC1348" s="19" t="s">
        <v>49</v>
      </c>
      <c r="AD1348" s="19" t="str">
        <f ca="1">IFERROR(DATEDIF(DadosViagem5[[#This Row],[Utimo Bip Reserva]],TODAY(),"D"),"")</f>
        <v/>
      </c>
      <c r="AE1348" s="36" t="s">
        <v>49</v>
      </c>
      <c r="AF1348" s="25" t="s">
        <v>49</v>
      </c>
      <c r="AG1348" s="36"/>
      <c r="AH1348" s="25">
        <v>45807</v>
      </c>
      <c r="AI1348" s="36" t="str">
        <f>IF(DadosViagem5[[#This Row],[Dias em manutenção ]]&lt;5,"Dentro do Prazo","Fora do Prazo")</f>
        <v>Fora do Prazo</v>
      </c>
      <c r="AJ1348" s="36" t="e">
        <v>#REF!</v>
      </c>
    </row>
    <row r="1349" spans="1:36">
      <c r="A1349" s="19" t="s">
        <v>2302</v>
      </c>
      <c r="B1349" s="20"/>
      <c r="C1349" s="19" t="s">
        <v>88</v>
      </c>
      <c r="D1349" s="19" t="s">
        <v>52</v>
      </c>
      <c r="E1349" s="19" t="s">
        <v>114</v>
      </c>
      <c r="F1349" s="19" t="s">
        <v>115</v>
      </c>
      <c r="G1349" s="19"/>
      <c r="H1349" s="20">
        <v>2021</v>
      </c>
      <c r="I1349" s="19" t="s">
        <v>41</v>
      </c>
      <c r="J1349" s="19" t="s">
        <v>2248</v>
      </c>
      <c r="K1349" s="21" t="s">
        <v>2249</v>
      </c>
      <c r="L1349" s="22" t="s">
        <v>60</v>
      </c>
      <c r="M1349" s="23" t="s">
        <v>290</v>
      </c>
      <c r="N1349" s="25" t="s">
        <v>2250</v>
      </c>
      <c r="O1349" s="25" t="s">
        <v>1459</v>
      </c>
      <c r="P1349" s="26">
        <f ca="1">IFERROR(VLOOKUP(DadosViagem5[[#This Row],[Placa]],[1]BIP!A:E,5,FALSE),"")</f>
        <v>45929</v>
      </c>
      <c r="Q1349" s="27">
        <f ca="1">DATEDIF(DadosViagem5[[#This Row],[BIP]],TODAY(),"D")</f>
        <v>61</v>
      </c>
      <c r="R1349" s="28" t="str">
        <f>IFERROR(VLOOKUP(DadosViagem5[[#This Row],[Placa]],[1]DDS!B:C,2,FALSE),"Verificar cadastro")</f>
        <v>Manutenção</v>
      </c>
      <c r="S1349" s="29" t="s">
        <v>173</v>
      </c>
      <c r="T1349" s="23"/>
      <c r="U1349" s="30"/>
      <c r="V1349" s="31"/>
      <c r="W1349" s="116" t="s">
        <v>1107</v>
      </c>
      <c r="X1349" s="33"/>
      <c r="Y1349" s="34"/>
      <c r="Z1349" s="32"/>
      <c r="AA1349" s="20"/>
      <c r="AB1349" s="20" t="s">
        <v>49</v>
      </c>
      <c r="AC1349" s="19" t="s">
        <v>49</v>
      </c>
      <c r="AD1349" s="19" t="str">
        <f ca="1">IFERROR(DATEDIF(DadosViagem5[[#This Row],[Utimo Bip Reserva]],TODAY(),"D"),"")</f>
        <v/>
      </c>
      <c r="AE1349" s="36" t="s">
        <v>49</v>
      </c>
      <c r="AF1349" s="25" t="s">
        <v>49</v>
      </c>
      <c r="AG1349" s="36"/>
      <c r="AH1349" s="25">
        <v>45807</v>
      </c>
      <c r="AI1349" s="36" t="str">
        <f>IF(DadosViagem5[[#This Row],[Dias em manutenção ]]&lt;5,"Dentro do Prazo","Fora do Prazo")</f>
        <v>Fora do Prazo</v>
      </c>
      <c r="AJ1349" s="36" t="e">
        <v>#REF!</v>
      </c>
    </row>
    <row r="1350" spans="1:36">
      <c r="A1350" s="19" t="s">
        <v>2303</v>
      </c>
      <c r="B1350" s="20"/>
      <c r="C1350" s="19" t="s">
        <v>71</v>
      </c>
      <c r="D1350" s="143" t="s">
        <v>49</v>
      </c>
      <c r="E1350" s="19" t="s">
        <v>114</v>
      </c>
      <c r="F1350" s="19" t="s">
        <v>115</v>
      </c>
      <c r="G1350" s="19"/>
      <c r="H1350" s="20">
        <v>2022</v>
      </c>
      <c r="I1350" s="19" t="s">
        <v>41</v>
      </c>
      <c r="J1350" s="19" t="s">
        <v>2248</v>
      </c>
      <c r="K1350" s="21" t="s">
        <v>2249</v>
      </c>
      <c r="L1350" s="22" t="s">
        <v>60</v>
      </c>
      <c r="M1350" s="23" t="s">
        <v>290</v>
      </c>
      <c r="N1350" s="25" t="s">
        <v>2250</v>
      </c>
      <c r="O1350" s="25" t="s">
        <v>1459</v>
      </c>
      <c r="P1350" s="26">
        <f ca="1">IFERROR(VLOOKUP(DadosViagem5[[#This Row],[Placa]],[1]BIP!A:E,5,FALSE),"")</f>
        <v>45947</v>
      </c>
      <c r="Q1350" s="27">
        <f ca="1">DATEDIF(DadosViagem5[[#This Row],[BIP]],TODAY(),"D")</f>
        <v>43</v>
      </c>
      <c r="R1350" s="28" t="str">
        <f>IFERROR(VLOOKUP(DadosViagem5[[#This Row],[Placa]],[1]DDS!B:C,2,FALSE),"Verificar cadastro")</f>
        <v>Sem operação</v>
      </c>
      <c r="S1350" s="36" t="s">
        <v>35</v>
      </c>
      <c r="T1350" s="23"/>
      <c r="U1350" s="30"/>
      <c r="V1350" s="31"/>
      <c r="W1350" s="32" t="s">
        <v>1957</v>
      </c>
      <c r="X1350" s="33"/>
      <c r="Y1350" s="34"/>
      <c r="Z1350" s="42"/>
      <c r="AA1350" s="20" t="s">
        <v>49</v>
      </c>
      <c r="AB1350" s="20" t="s">
        <v>49</v>
      </c>
      <c r="AC1350" s="19" t="s">
        <v>49</v>
      </c>
      <c r="AD1350" s="19" t="str">
        <f ca="1">IFERROR(DATEDIF(DadosViagem5[[#This Row],[Utimo Bip Reserva]],TODAY(),"D"),"")</f>
        <v/>
      </c>
      <c r="AE1350" s="36"/>
      <c r="AF1350" s="25" t="s">
        <v>49</v>
      </c>
      <c r="AG1350" s="36" t="s">
        <v>290</v>
      </c>
      <c r="AH1350" s="25">
        <v>45807</v>
      </c>
      <c r="AI1350" s="36" t="str">
        <f>IF(DadosViagem5[[#This Row],[Dias em manutenção ]]&lt;5,"Dentro do Prazo","Fora do Prazo")</f>
        <v>Fora do Prazo</v>
      </c>
      <c r="AJ1350" s="36" t="e">
        <v>#REF!</v>
      </c>
    </row>
    <row r="1351" spans="1:36">
      <c r="A1351" s="19" t="s">
        <v>2304</v>
      </c>
      <c r="B1351" s="20"/>
      <c r="C1351" s="19" t="s">
        <v>562</v>
      </c>
      <c r="D1351" s="19" t="s">
        <v>563</v>
      </c>
      <c r="E1351" s="19" t="s">
        <v>114</v>
      </c>
      <c r="F1351" s="19" t="s">
        <v>115</v>
      </c>
      <c r="G1351" s="19"/>
      <c r="H1351" s="20">
        <v>2022</v>
      </c>
      <c r="I1351" s="19" t="s">
        <v>41</v>
      </c>
      <c r="J1351" s="19" t="s">
        <v>2248</v>
      </c>
      <c r="K1351" s="21" t="s">
        <v>2249</v>
      </c>
      <c r="L1351" s="22" t="s">
        <v>60</v>
      </c>
      <c r="M1351" s="23" t="s">
        <v>290</v>
      </c>
      <c r="N1351" s="25" t="s">
        <v>2250</v>
      </c>
      <c r="O1351" s="25" t="s">
        <v>1459</v>
      </c>
      <c r="P1351" s="26">
        <f ca="1">IFERROR(VLOOKUP(DadosViagem5[[#This Row],[Placa]],[1]BIP!A:E,5,FALSE),"")</f>
        <v>45983</v>
      </c>
      <c r="Q1351" s="27">
        <f ca="1">DATEDIF(DadosViagem5[[#This Row],[BIP]],TODAY(),"D")</f>
        <v>7</v>
      </c>
      <c r="R1351" s="28" t="str">
        <f>IFERROR(VLOOKUP(DadosViagem5[[#This Row],[Placa]],[1]DDS!B:C,2,FALSE),"Verificar cadastro")</f>
        <v>Sem operação</v>
      </c>
      <c r="S1351" s="29" t="s">
        <v>48</v>
      </c>
      <c r="T1351" s="23"/>
      <c r="U1351" s="30"/>
      <c r="V1351" s="31"/>
      <c r="W1351" s="32" t="s">
        <v>2265</v>
      </c>
      <c r="X1351" s="33"/>
      <c r="Y1351" s="34"/>
      <c r="Z1351" s="32"/>
      <c r="AA1351" s="20" t="s">
        <v>49</v>
      </c>
      <c r="AB1351" s="20" t="s">
        <v>49</v>
      </c>
      <c r="AC1351" s="19" t="s">
        <v>49</v>
      </c>
      <c r="AD1351" s="19" t="str">
        <f ca="1">IFERROR(DATEDIF(DadosViagem5[[#This Row],[Utimo Bip Reserva]],TODAY(),"D"),"")</f>
        <v/>
      </c>
      <c r="AE1351" s="36" t="s">
        <v>49</v>
      </c>
      <c r="AF1351" s="25">
        <v>45699</v>
      </c>
      <c r="AG1351" s="36" t="s">
        <v>481</v>
      </c>
      <c r="AH1351" s="25">
        <v>45807</v>
      </c>
      <c r="AI1351" s="36" t="str">
        <f>IF(DadosViagem5[[#This Row],[Dias em manutenção ]]&lt;5,"Dentro do Prazo","Fora do Prazo")</f>
        <v>Fora do Prazo</v>
      </c>
      <c r="AJ1351" s="36" t="e">
        <v>#REF!</v>
      </c>
    </row>
    <row r="1352" spans="1:36">
      <c r="A1352" s="19" t="s">
        <v>2305</v>
      </c>
      <c r="B1352" s="20"/>
      <c r="C1352" s="19" t="s">
        <v>74</v>
      </c>
      <c r="D1352" s="19" t="s">
        <v>52</v>
      </c>
      <c r="E1352" s="19" t="s">
        <v>57</v>
      </c>
      <c r="F1352" s="19" t="s">
        <v>40</v>
      </c>
      <c r="G1352" s="19"/>
      <c r="H1352" s="20">
        <v>2022</v>
      </c>
      <c r="I1352" s="19" t="s">
        <v>41</v>
      </c>
      <c r="J1352" s="19" t="s">
        <v>2248</v>
      </c>
      <c r="K1352" s="21" t="s">
        <v>2249</v>
      </c>
      <c r="L1352" s="22" t="s">
        <v>60</v>
      </c>
      <c r="M1352" s="23" t="s">
        <v>77</v>
      </c>
      <c r="N1352" s="25" t="s">
        <v>2250</v>
      </c>
      <c r="O1352" s="25" t="s">
        <v>1459</v>
      </c>
      <c r="P1352" s="26">
        <f ca="1">IFERROR(VLOOKUP(DadosViagem5[[#This Row],[Placa]],[1]BIP!A:E,5,FALSE),"")</f>
        <v>45989</v>
      </c>
      <c r="Q1352" s="27">
        <f ca="1">DATEDIF(DadosViagem5[[#This Row],[BIP]],TODAY(),"D")</f>
        <v>1</v>
      </c>
      <c r="R1352" s="28" t="str">
        <f>IFERROR(VLOOKUP(DadosViagem5[[#This Row],[Placa]],[1]DDS!B:C,2,FALSE),"Verificar cadastro")</f>
        <v>Operando</v>
      </c>
      <c r="S1352" s="29" t="s">
        <v>48</v>
      </c>
      <c r="T1352" s="23"/>
      <c r="U1352" s="30"/>
      <c r="V1352" s="31"/>
      <c r="W1352" s="32" t="s">
        <v>2283</v>
      </c>
      <c r="X1352" s="33"/>
      <c r="Y1352" s="34"/>
      <c r="Z1352" s="32"/>
      <c r="AA1352" s="20" t="s">
        <v>49</v>
      </c>
      <c r="AB1352" s="20" t="s">
        <v>49</v>
      </c>
      <c r="AC1352" s="19" t="s">
        <v>49</v>
      </c>
      <c r="AD1352" s="19" t="str">
        <f ca="1">IFERROR(DATEDIF(DadosViagem5[[#This Row],[Utimo Bip Reserva]],TODAY(),"D"),"")</f>
        <v/>
      </c>
      <c r="AE1352" s="25" t="s">
        <v>49</v>
      </c>
      <c r="AF1352" s="25" t="s">
        <v>49</v>
      </c>
      <c r="AG1352" s="36"/>
      <c r="AH1352" s="25">
        <v>45807</v>
      </c>
      <c r="AI1352" s="36" t="str">
        <f>IF(DadosViagem5[[#This Row],[Dias em manutenção ]]&lt;5,"Dentro do Prazo","Fora do Prazo")</f>
        <v>Fora do Prazo</v>
      </c>
      <c r="AJ1352" s="36" t="e">
        <v>#REF!</v>
      </c>
    </row>
    <row r="1353" spans="1:36">
      <c r="A1353" s="19" t="s">
        <v>2306</v>
      </c>
      <c r="B1353" s="20"/>
      <c r="C1353" s="19" t="s">
        <v>37</v>
      </c>
      <c r="D1353" s="19" t="s">
        <v>38</v>
      </c>
      <c r="E1353" s="19" t="s">
        <v>57</v>
      </c>
      <c r="F1353" s="19" t="s">
        <v>40</v>
      </c>
      <c r="G1353" s="19"/>
      <c r="H1353" s="20">
        <v>2022</v>
      </c>
      <c r="I1353" s="19" t="s">
        <v>41</v>
      </c>
      <c r="J1353" s="19" t="s">
        <v>2248</v>
      </c>
      <c r="K1353" s="21" t="s">
        <v>2249</v>
      </c>
      <c r="L1353" s="22" t="s">
        <v>60</v>
      </c>
      <c r="M1353" s="23" t="s">
        <v>290</v>
      </c>
      <c r="N1353" s="25" t="s">
        <v>2250</v>
      </c>
      <c r="O1353" s="25" t="s">
        <v>1459</v>
      </c>
      <c r="P1353" s="26">
        <f ca="1">IFERROR(VLOOKUP(DadosViagem5[[#This Row],[Placa]],[1]BIP!A:E,5,FALSE),"")</f>
        <v>0</v>
      </c>
      <c r="Q1353" s="27">
        <f ca="1">DATEDIF(DadosViagem5[[#This Row],[BIP]],TODAY(),"D")</f>
        <v>45990</v>
      </c>
      <c r="R1353" s="28" t="str">
        <f>IFERROR(VLOOKUP(DadosViagem5[[#This Row],[Placa]],[1]DDS!B:C,2,FALSE),"Verificar cadastro")</f>
        <v>Sem operação</v>
      </c>
      <c r="S1353" s="29" t="s">
        <v>48</v>
      </c>
      <c r="T1353" s="23"/>
      <c r="U1353" s="30"/>
      <c r="V1353" s="31"/>
      <c r="W1353" s="32"/>
      <c r="X1353" s="33"/>
      <c r="Y1353" s="34"/>
      <c r="Z1353" s="32"/>
      <c r="AA1353" s="20" t="s">
        <v>49</v>
      </c>
      <c r="AB1353" s="20" t="s">
        <v>49</v>
      </c>
      <c r="AC1353" s="19" t="s">
        <v>49</v>
      </c>
      <c r="AD1353" s="19" t="str">
        <f ca="1">IFERROR(DATEDIF(DadosViagem5[[#This Row],[Utimo Bip Reserva]],TODAY(),"D"),"")</f>
        <v/>
      </c>
      <c r="AE1353" s="29" t="s">
        <v>49</v>
      </c>
      <c r="AF1353" s="35" t="s">
        <v>49</v>
      </c>
      <c r="AG1353" s="36"/>
      <c r="AH1353" s="25">
        <v>45807</v>
      </c>
      <c r="AI1353" s="36" t="str">
        <f>IF(DadosViagem5[[#This Row],[Dias em manutenção ]]&lt;5,"Dentro do Prazo","Fora do Prazo")</f>
        <v>Fora do Prazo</v>
      </c>
      <c r="AJ1353" s="36" t="e">
        <v>#REF!</v>
      </c>
    </row>
    <row r="1354" spans="1:36">
      <c r="A1354" s="19" t="s">
        <v>2307</v>
      </c>
      <c r="B1354" s="20"/>
      <c r="C1354" s="19" t="s">
        <v>562</v>
      </c>
      <c r="D1354" s="19" t="s">
        <v>563</v>
      </c>
      <c r="E1354" s="19" t="s">
        <v>114</v>
      </c>
      <c r="F1354" s="19" t="s">
        <v>115</v>
      </c>
      <c r="G1354" s="19"/>
      <c r="H1354" s="20">
        <v>2021</v>
      </c>
      <c r="I1354" s="19" t="s">
        <v>41</v>
      </c>
      <c r="J1354" s="19" t="s">
        <v>2248</v>
      </c>
      <c r="K1354" s="21" t="s">
        <v>2249</v>
      </c>
      <c r="L1354" s="22" t="s">
        <v>60</v>
      </c>
      <c r="M1354" s="23" t="s">
        <v>290</v>
      </c>
      <c r="N1354" s="25" t="s">
        <v>2250</v>
      </c>
      <c r="O1354" s="25" t="s">
        <v>1459</v>
      </c>
      <c r="P1354" s="26">
        <f ca="1">IFERROR(VLOOKUP(DadosViagem5[[#This Row],[Placa]],[1]BIP!A:E,5,FALSE),"")</f>
        <v>45989</v>
      </c>
      <c r="Q1354" s="27">
        <f ca="1">DATEDIF(DadosViagem5[[#This Row],[BIP]],TODAY(),"D")</f>
        <v>1</v>
      </c>
      <c r="R1354" s="28" t="str">
        <f>IFERROR(VLOOKUP(DadosViagem5[[#This Row],[Placa]],[1]DDS!B:C,2,FALSE),"Verificar cadastro")</f>
        <v>Operando</v>
      </c>
      <c r="S1354" s="29" t="s">
        <v>48</v>
      </c>
      <c r="T1354" s="23"/>
      <c r="U1354" s="30"/>
      <c r="V1354" s="31"/>
      <c r="W1354" s="32" t="s">
        <v>2265</v>
      </c>
      <c r="X1354" s="33"/>
      <c r="Y1354" s="34"/>
      <c r="Z1354" s="32"/>
      <c r="AA1354" s="20" t="s">
        <v>49</v>
      </c>
      <c r="AB1354" s="20" t="s">
        <v>49</v>
      </c>
      <c r="AC1354" s="19" t="s">
        <v>49</v>
      </c>
      <c r="AD1354" s="19" t="str">
        <f ca="1">IFERROR(DATEDIF(DadosViagem5[[#This Row],[Utimo Bip Reserva]],TODAY(),"D"),"")</f>
        <v/>
      </c>
      <c r="AE1354" s="36" t="s">
        <v>49</v>
      </c>
      <c r="AF1354" s="25" t="s">
        <v>49</v>
      </c>
      <c r="AG1354" s="36"/>
      <c r="AH1354" s="25">
        <v>45807</v>
      </c>
      <c r="AI1354" s="36" t="str">
        <f>IF(DadosViagem5[[#This Row],[Dias em manutenção ]]&lt;5,"Dentro do Prazo","Fora do Prazo")</f>
        <v>Fora do Prazo</v>
      </c>
      <c r="AJ1354" s="36" t="e">
        <v>#REF!</v>
      </c>
    </row>
    <row r="1355" spans="1:36">
      <c r="A1355" s="19" t="s">
        <v>2308</v>
      </c>
      <c r="B1355" s="20"/>
      <c r="C1355" s="19" t="s">
        <v>71</v>
      </c>
      <c r="D1355" s="19" t="s">
        <v>38</v>
      </c>
      <c r="E1355" s="19" t="s">
        <v>265</v>
      </c>
      <c r="F1355" s="19" t="s">
        <v>115</v>
      </c>
      <c r="G1355" s="19"/>
      <c r="H1355" s="20">
        <v>2023</v>
      </c>
      <c r="I1355" s="19" t="s">
        <v>41</v>
      </c>
      <c r="J1355" s="19" t="s">
        <v>2248</v>
      </c>
      <c r="K1355" s="21" t="s">
        <v>2249</v>
      </c>
      <c r="L1355" s="22" t="s">
        <v>60</v>
      </c>
      <c r="M1355" s="23" t="s">
        <v>290</v>
      </c>
      <c r="N1355" s="25" t="s">
        <v>2250</v>
      </c>
      <c r="O1355" s="25" t="s">
        <v>1459</v>
      </c>
      <c r="P1355" s="26">
        <f ca="1">IFERROR(VLOOKUP(DadosViagem5[[#This Row],[Placa]],[1]BIP!A:E,5,FALSE),"")</f>
        <v>45931</v>
      </c>
      <c r="Q1355" s="27">
        <f ca="1">DATEDIF(DadosViagem5[[#This Row],[BIP]],TODAY(),"D")</f>
        <v>59</v>
      </c>
      <c r="R1355" s="28" t="str">
        <f>IFERROR(VLOOKUP(DadosViagem5[[#This Row],[Placa]],[1]DDS!B:C,2,FALSE),"Verificar cadastro")</f>
        <v>Sem operação</v>
      </c>
      <c r="S1355" s="36" t="s">
        <v>35</v>
      </c>
      <c r="T1355" s="23"/>
      <c r="U1355" s="30"/>
      <c r="V1355" s="31"/>
      <c r="W1355" s="32" t="s">
        <v>2295</v>
      </c>
      <c r="X1355" s="33"/>
      <c r="Y1355" s="34"/>
      <c r="Z1355" s="32"/>
      <c r="AA1355" s="20" t="s">
        <v>49</v>
      </c>
      <c r="AB1355" s="20" t="s">
        <v>49</v>
      </c>
      <c r="AC1355" s="19" t="s">
        <v>49</v>
      </c>
      <c r="AD1355" s="19" t="str">
        <f ca="1">IFERROR(DATEDIF(DadosViagem5[[#This Row],[Utimo Bip Reserva]],TODAY(),"D"),"")</f>
        <v/>
      </c>
      <c r="AE1355" s="36"/>
      <c r="AF1355" s="25"/>
      <c r="AG1355" s="36"/>
      <c r="AH1355" s="25">
        <v>45807</v>
      </c>
      <c r="AI1355" s="36" t="str">
        <f>IF(DadosViagem5[[#This Row],[Dias em manutenção ]]&lt;5,"Dentro do Prazo","Fora do Prazo")</f>
        <v>Fora do Prazo</v>
      </c>
      <c r="AJ1355" s="36" t="e">
        <v>#REF!</v>
      </c>
    </row>
    <row r="1356" spans="1:36">
      <c r="A1356" s="19" t="s">
        <v>2309</v>
      </c>
      <c r="B1356" s="20"/>
      <c r="C1356" s="19" t="s">
        <v>1013</v>
      </c>
      <c r="D1356" s="19" t="s">
        <v>1014</v>
      </c>
      <c r="E1356" s="19" t="s">
        <v>114</v>
      </c>
      <c r="F1356" s="19" t="s">
        <v>115</v>
      </c>
      <c r="G1356" s="19"/>
      <c r="H1356" s="20">
        <v>2022</v>
      </c>
      <c r="I1356" s="19" t="s">
        <v>41</v>
      </c>
      <c r="J1356" s="19" t="s">
        <v>2248</v>
      </c>
      <c r="K1356" s="21" t="s">
        <v>2249</v>
      </c>
      <c r="L1356" s="22" t="s">
        <v>60</v>
      </c>
      <c r="M1356" s="23" t="s">
        <v>290</v>
      </c>
      <c r="N1356" s="25" t="s">
        <v>2250</v>
      </c>
      <c r="O1356" s="25" t="s">
        <v>1459</v>
      </c>
      <c r="P1356" s="26">
        <f ca="1">IFERROR(VLOOKUP(DadosViagem5[[#This Row],[Placa]],[1]BIP!A:E,5,FALSE),"")</f>
        <v>45989</v>
      </c>
      <c r="Q1356" s="27">
        <f ca="1">DATEDIF(DadosViagem5[[#This Row],[BIP]],TODAY(),"D")</f>
        <v>1</v>
      </c>
      <c r="R1356" s="28" t="str">
        <f>IFERROR(VLOOKUP(DadosViagem5[[#This Row],[Placa]],[1]DDS!B:C,2,FALSE),"Verificar cadastro")</f>
        <v>Operando</v>
      </c>
      <c r="S1356" s="29" t="s">
        <v>48</v>
      </c>
      <c r="T1356" s="23"/>
      <c r="U1356" s="30"/>
      <c r="V1356" s="31"/>
      <c r="W1356" s="32" t="s">
        <v>2283</v>
      </c>
      <c r="X1356" s="33"/>
      <c r="Y1356" s="34"/>
      <c r="Z1356" s="32"/>
      <c r="AA1356" s="20" t="s">
        <v>49</v>
      </c>
      <c r="AB1356" s="20" t="s">
        <v>49</v>
      </c>
      <c r="AC1356" s="19" t="s">
        <v>49</v>
      </c>
      <c r="AD1356" s="19" t="str">
        <f ca="1">IFERROR(DATEDIF(DadosViagem5[[#This Row],[Utimo Bip Reserva]],TODAY(),"D"),"")</f>
        <v/>
      </c>
      <c r="AE1356" s="36" t="s">
        <v>49</v>
      </c>
      <c r="AF1356" s="25" t="s">
        <v>49</v>
      </c>
      <c r="AG1356" s="36"/>
      <c r="AH1356" s="25">
        <v>45807</v>
      </c>
      <c r="AI1356" s="36" t="str">
        <f>IF(DadosViagem5[[#This Row],[Dias em manutenção ]]&lt;5,"Dentro do Prazo","Fora do Prazo")</f>
        <v>Fora do Prazo</v>
      </c>
      <c r="AJ1356" s="36" t="e">
        <v>#REF!</v>
      </c>
    </row>
    <row r="1357" spans="1:36">
      <c r="A1357" s="19" t="s">
        <v>2310</v>
      </c>
      <c r="B1357" s="20"/>
      <c r="C1357" s="19" t="s">
        <v>1013</v>
      </c>
      <c r="D1357" s="19" t="s">
        <v>1014</v>
      </c>
      <c r="E1357" s="19" t="s">
        <v>114</v>
      </c>
      <c r="F1357" s="19" t="s">
        <v>115</v>
      </c>
      <c r="G1357" s="19"/>
      <c r="H1357" s="20">
        <v>2022</v>
      </c>
      <c r="I1357" s="19" t="s">
        <v>41</v>
      </c>
      <c r="J1357" s="19" t="s">
        <v>2248</v>
      </c>
      <c r="K1357" s="21" t="s">
        <v>2249</v>
      </c>
      <c r="L1357" s="22" t="s">
        <v>60</v>
      </c>
      <c r="M1357" s="23" t="s">
        <v>290</v>
      </c>
      <c r="N1357" s="25" t="s">
        <v>2250</v>
      </c>
      <c r="O1357" s="25" t="s">
        <v>1459</v>
      </c>
      <c r="P1357" s="26">
        <f ca="1">IFERROR(VLOOKUP(DadosViagem5[[#This Row],[Placa]],[1]BIP!A:E,5,FALSE),"")</f>
        <v>45989</v>
      </c>
      <c r="Q1357" s="27">
        <f ca="1">DATEDIF(DadosViagem5[[#This Row],[BIP]],TODAY(),"D")</f>
        <v>1</v>
      </c>
      <c r="R1357" s="28" t="str">
        <f>IFERROR(VLOOKUP(DadosViagem5[[#This Row],[Placa]],[1]DDS!B:C,2,FALSE),"Verificar cadastro")</f>
        <v>Operando</v>
      </c>
      <c r="S1357" s="36" t="s">
        <v>2311</v>
      </c>
      <c r="T1357" s="23"/>
      <c r="U1357" s="30"/>
      <c r="V1357" s="31"/>
      <c r="W1357" s="116" t="s">
        <v>2270</v>
      </c>
      <c r="X1357" s="33"/>
      <c r="Y1357" s="34"/>
      <c r="Z1357" s="32"/>
      <c r="AA1357" s="20" t="s">
        <v>49</v>
      </c>
      <c r="AB1357" s="20" t="s">
        <v>49</v>
      </c>
      <c r="AC1357" s="19" t="s">
        <v>49</v>
      </c>
      <c r="AD1357" s="19" t="str">
        <f ca="1">IFERROR(DATEDIF(DadosViagem5[[#This Row],[Utimo Bip Reserva]],TODAY(),"D"),"")</f>
        <v/>
      </c>
      <c r="AE1357" s="36" t="s">
        <v>2312</v>
      </c>
      <c r="AF1357" s="25">
        <v>45699</v>
      </c>
      <c r="AG1357" s="36" t="s">
        <v>481</v>
      </c>
      <c r="AH1357" s="25">
        <v>45807</v>
      </c>
      <c r="AI1357" s="36" t="str">
        <f>IF(DadosViagem5[[#This Row],[Dias em manutenção ]]&lt;5,"Dentro do Prazo","Fora do Prazo")</f>
        <v>Fora do Prazo</v>
      </c>
      <c r="AJ1357" s="36" t="e">
        <v>#REF!</v>
      </c>
    </row>
    <row r="1358" spans="1:36">
      <c r="A1358" s="19" t="s">
        <v>2313</v>
      </c>
      <c r="B1358" s="20"/>
      <c r="C1358" s="19" t="s">
        <v>88</v>
      </c>
      <c r="D1358" s="19" t="s">
        <v>52</v>
      </c>
      <c r="E1358" s="19" t="s">
        <v>114</v>
      </c>
      <c r="F1358" s="19" t="s">
        <v>115</v>
      </c>
      <c r="G1358" s="19"/>
      <c r="H1358" s="20">
        <v>2021</v>
      </c>
      <c r="I1358" s="19" t="s">
        <v>41</v>
      </c>
      <c r="J1358" s="19" t="s">
        <v>2248</v>
      </c>
      <c r="K1358" s="21" t="s">
        <v>2249</v>
      </c>
      <c r="L1358" s="22" t="s">
        <v>60</v>
      </c>
      <c r="M1358" s="23" t="s">
        <v>290</v>
      </c>
      <c r="N1358" s="25" t="s">
        <v>2250</v>
      </c>
      <c r="O1358" s="25" t="s">
        <v>1459</v>
      </c>
      <c r="P1358" s="26">
        <f ca="1">IFERROR(VLOOKUP(DadosViagem5[[#This Row],[Placa]],[1]BIP!A:E,5,FALSE),"")</f>
        <v>45989</v>
      </c>
      <c r="Q1358" s="27">
        <f ca="1">DATEDIF(DadosViagem5[[#This Row],[BIP]],TODAY(),"D")</f>
        <v>1</v>
      </c>
      <c r="R1358" s="28" t="str">
        <f>IFERROR(VLOOKUP(DadosViagem5[[#This Row],[Placa]],[1]DDS!B:C,2,FALSE),"Verificar cadastro")</f>
        <v>Operando</v>
      </c>
      <c r="S1358" s="29" t="s">
        <v>48</v>
      </c>
      <c r="T1358" s="23"/>
      <c r="U1358" s="30"/>
      <c r="V1358" s="31"/>
      <c r="W1358" s="32" t="s">
        <v>2283</v>
      </c>
      <c r="X1358" s="33"/>
      <c r="Y1358" s="34"/>
      <c r="Z1358" s="32"/>
      <c r="AA1358" s="20" t="s">
        <v>49</v>
      </c>
      <c r="AB1358" s="20" t="s">
        <v>49</v>
      </c>
      <c r="AC1358" s="19" t="s">
        <v>49</v>
      </c>
      <c r="AD1358" s="19" t="str">
        <f ca="1">IFERROR(DATEDIF(DadosViagem5[[#This Row],[Utimo Bip Reserva]],TODAY(),"D"),"")</f>
        <v/>
      </c>
      <c r="AE1358" s="36" t="s">
        <v>2314</v>
      </c>
      <c r="AF1358" s="25" t="s">
        <v>49</v>
      </c>
      <c r="AG1358" s="36" t="s">
        <v>290</v>
      </c>
      <c r="AH1358" s="25">
        <v>45807</v>
      </c>
      <c r="AI1358" s="36" t="str">
        <f>IF(DadosViagem5[[#This Row],[Dias em manutenção ]]&lt;5,"Dentro do Prazo","Fora do Prazo")</f>
        <v>Fora do Prazo</v>
      </c>
      <c r="AJ1358" s="36" t="e">
        <v>#REF!</v>
      </c>
    </row>
    <row r="1359" spans="1:36">
      <c r="A1359" s="19" t="s">
        <v>2315</v>
      </c>
      <c r="B1359" s="20"/>
      <c r="C1359" s="19" t="s">
        <v>74</v>
      </c>
      <c r="D1359" s="19" t="s">
        <v>52</v>
      </c>
      <c r="E1359" s="19" t="s">
        <v>75</v>
      </c>
      <c r="F1359" s="19" t="s">
        <v>76</v>
      </c>
      <c r="G1359" s="19"/>
      <c r="H1359" s="20">
        <v>2024</v>
      </c>
      <c r="I1359" s="19" t="s">
        <v>41</v>
      </c>
      <c r="J1359" s="19" t="s">
        <v>2248</v>
      </c>
      <c r="K1359" s="21" t="s">
        <v>2249</v>
      </c>
      <c r="L1359" s="22" t="s">
        <v>60</v>
      </c>
      <c r="M1359" s="23" t="s">
        <v>77</v>
      </c>
      <c r="N1359" s="25" t="s">
        <v>2250</v>
      </c>
      <c r="O1359" s="25" t="s">
        <v>1459</v>
      </c>
      <c r="P1359" s="26">
        <f ca="1">IFERROR(VLOOKUP(DadosViagem5[[#This Row],[Placa]],[1]BIP!A:E,5,FALSE),"")</f>
        <v>45989</v>
      </c>
      <c r="Q1359" s="27">
        <f ca="1">DATEDIF(DadosViagem5[[#This Row],[BIP]],TODAY(),"D")</f>
        <v>1</v>
      </c>
      <c r="R1359" s="28" t="str">
        <f>IFERROR(VLOOKUP(DadosViagem5[[#This Row],[Placa]],[1]DDS!B:C,2,FALSE),"Verificar cadastro")</f>
        <v>Operando</v>
      </c>
      <c r="S1359" s="29" t="s">
        <v>48</v>
      </c>
      <c r="T1359" s="23"/>
      <c r="U1359" s="30"/>
      <c r="V1359" s="31"/>
      <c r="W1359" s="32" t="s">
        <v>2265</v>
      </c>
      <c r="X1359" s="33"/>
      <c r="Y1359" s="34"/>
      <c r="Z1359" s="32"/>
      <c r="AA1359" s="20" t="s">
        <v>49</v>
      </c>
      <c r="AB1359" s="20" t="s">
        <v>49</v>
      </c>
      <c r="AC1359" s="19" t="s">
        <v>49</v>
      </c>
      <c r="AD1359" s="19" t="str">
        <f ca="1">IFERROR(DATEDIF(DadosViagem5[[#This Row],[Utimo Bip Reserva]],TODAY(),"D"),"")</f>
        <v/>
      </c>
      <c r="AE1359" s="36" t="s">
        <v>49</v>
      </c>
      <c r="AF1359" s="25" t="s">
        <v>49</v>
      </c>
      <c r="AG1359" s="36"/>
      <c r="AH1359" s="25">
        <v>45807</v>
      </c>
      <c r="AI1359" s="36" t="str">
        <f>IF(DadosViagem5[[#This Row],[Dias em manutenção ]]&lt;5,"Dentro do Prazo","Fora do Prazo")</f>
        <v>Fora do Prazo</v>
      </c>
      <c r="AJ1359" s="36" t="e">
        <v>#REF!</v>
      </c>
    </row>
    <row r="1360" spans="1:36">
      <c r="A1360" s="19" t="s">
        <v>2316</v>
      </c>
      <c r="B1360" s="20"/>
      <c r="C1360" s="19" t="s">
        <v>71</v>
      </c>
      <c r="D1360" s="19" t="s">
        <v>38</v>
      </c>
      <c r="E1360" s="19" t="s">
        <v>114</v>
      </c>
      <c r="F1360" s="19" t="s">
        <v>115</v>
      </c>
      <c r="G1360" s="19"/>
      <c r="H1360" s="20">
        <v>2022</v>
      </c>
      <c r="I1360" s="19" t="s">
        <v>41</v>
      </c>
      <c r="J1360" s="19" t="s">
        <v>2248</v>
      </c>
      <c r="K1360" s="21" t="s">
        <v>2249</v>
      </c>
      <c r="L1360" s="22" t="s">
        <v>60</v>
      </c>
      <c r="M1360" s="23" t="s">
        <v>290</v>
      </c>
      <c r="N1360" s="25" t="s">
        <v>2250</v>
      </c>
      <c r="O1360" s="25" t="s">
        <v>1459</v>
      </c>
      <c r="P1360" s="26">
        <f ca="1">IFERROR(VLOOKUP(DadosViagem5[[#This Row],[Placa]],[1]BIP!A:E,5,FALSE),"")</f>
        <v>45982</v>
      </c>
      <c r="Q1360" s="27">
        <f ca="1">DATEDIF(DadosViagem5[[#This Row],[BIP]],TODAY(),"D")</f>
        <v>8</v>
      </c>
      <c r="R1360" s="28" t="str">
        <f>IFERROR(VLOOKUP(DadosViagem5[[#This Row],[Placa]],[1]DDS!B:C,2,FALSE),"Verificar cadastro")</f>
        <v>Sem operação</v>
      </c>
      <c r="S1360" s="36" t="s">
        <v>35</v>
      </c>
      <c r="T1360" s="23"/>
      <c r="U1360" s="30"/>
      <c r="V1360" s="31"/>
      <c r="W1360" s="32" t="s">
        <v>2317</v>
      </c>
      <c r="X1360" s="33"/>
      <c r="Y1360" s="34"/>
      <c r="Z1360" s="32"/>
      <c r="AA1360" s="20" t="s">
        <v>49</v>
      </c>
      <c r="AB1360" s="20" t="s">
        <v>49</v>
      </c>
      <c r="AC1360" s="19" t="s">
        <v>49</v>
      </c>
      <c r="AD1360" s="19" t="str">
        <f ca="1">IFERROR(DATEDIF(DadosViagem5[[#This Row],[Utimo Bip Reserva]],TODAY(),"D"),"")</f>
        <v/>
      </c>
      <c r="AE1360" s="36" t="s">
        <v>49</v>
      </c>
      <c r="AF1360" s="25" t="s">
        <v>49</v>
      </c>
      <c r="AG1360" s="36"/>
      <c r="AH1360" s="25">
        <v>45807</v>
      </c>
      <c r="AI1360" s="36" t="str">
        <f>IF(DadosViagem5[[#This Row],[Dias em manutenção ]]&lt;5,"Dentro do Prazo","Fora do Prazo")</f>
        <v>Fora do Prazo</v>
      </c>
      <c r="AJ1360" s="36" t="e">
        <v>#REF!</v>
      </c>
    </row>
    <row r="1361" spans="1:36">
      <c r="A1361" s="19" t="s">
        <v>2318</v>
      </c>
      <c r="B1361" s="20"/>
      <c r="C1361" s="19" t="s">
        <v>1013</v>
      </c>
      <c r="D1361" s="19" t="s">
        <v>1014</v>
      </c>
      <c r="E1361" s="19" t="s">
        <v>114</v>
      </c>
      <c r="F1361" s="19" t="s">
        <v>115</v>
      </c>
      <c r="G1361" s="19"/>
      <c r="H1361" s="20">
        <v>2022</v>
      </c>
      <c r="I1361" s="19" t="s">
        <v>41</v>
      </c>
      <c r="J1361" s="19" t="s">
        <v>2248</v>
      </c>
      <c r="K1361" s="21" t="s">
        <v>2249</v>
      </c>
      <c r="L1361" s="22" t="s">
        <v>60</v>
      </c>
      <c r="M1361" s="23" t="s">
        <v>290</v>
      </c>
      <c r="N1361" s="25" t="s">
        <v>2250</v>
      </c>
      <c r="O1361" s="25" t="s">
        <v>1459</v>
      </c>
      <c r="P1361" s="26">
        <f ca="1">IFERROR(VLOOKUP(DadosViagem5[[#This Row],[Placa]],[1]BIP!A:E,5,FALSE),"")</f>
        <v>45989</v>
      </c>
      <c r="Q1361" s="27">
        <f ca="1">DATEDIF(DadosViagem5[[#This Row],[BIP]],TODAY(),"D")</f>
        <v>1</v>
      </c>
      <c r="R1361" s="28" t="str">
        <f>IFERROR(VLOOKUP(DadosViagem5[[#This Row],[Placa]],[1]DDS!B:C,2,FALSE),"Verificar cadastro")</f>
        <v>Operando</v>
      </c>
      <c r="S1361" s="29" t="s">
        <v>48</v>
      </c>
      <c r="T1361" s="23"/>
      <c r="U1361" s="30"/>
      <c r="V1361" s="31"/>
      <c r="W1361" s="32" t="s">
        <v>2283</v>
      </c>
      <c r="X1361" s="33"/>
      <c r="Y1361" s="34"/>
      <c r="Z1361" s="32"/>
      <c r="AA1361" s="20" t="s">
        <v>49</v>
      </c>
      <c r="AB1361" s="20" t="s">
        <v>49</v>
      </c>
      <c r="AC1361" s="19" t="s">
        <v>49</v>
      </c>
      <c r="AD1361" s="19" t="str">
        <f ca="1">IFERROR(DATEDIF(DadosViagem5[[#This Row],[Utimo Bip Reserva]],TODAY(),"D"),"")</f>
        <v/>
      </c>
      <c r="AE1361" s="36" t="s">
        <v>49</v>
      </c>
      <c r="AF1361" s="25" t="s">
        <v>49</v>
      </c>
      <c r="AG1361" s="36"/>
      <c r="AH1361" s="25">
        <v>45807</v>
      </c>
      <c r="AI1361" s="36" t="str">
        <f>IF(DadosViagem5[[#This Row],[Dias em manutenção ]]&lt;5,"Dentro do Prazo","Fora do Prazo")</f>
        <v>Fora do Prazo</v>
      </c>
      <c r="AJ1361" s="36" t="e">
        <v>#REF!</v>
      </c>
    </row>
    <row r="1362" spans="1:36">
      <c r="A1362" s="19" t="s">
        <v>2319</v>
      </c>
      <c r="B1362" s="20"/>
      <c r="C1362" s="19" t="s">
        <v>1013</v>
      </c>
      <c r="D1362" s="19" t="s">
        <v>1014</v>
      </c>
      <c r="E1362" s="19" t="s">
        <v>114</v>
      </c>
      <c r="F1362" s="19" t="s">
        <v>115</v>
      </c>
      <c r="G1362" s="19"/>
      <c r="H1362" s="20">
        <v>2022</v>
      </c>
      <c r="I1362" s="19" t="s">
        <v>41</v>
      </c>
      <c r="J1362" s="19" t="s">
        <v>2248</v>
      </c>
      <c r="K1362" s="21" t="s">
        <v>2249</v>
      </c>
      <c r="L1362" s="22" t="s">
        <v>60</v>
      </c>
      <c r="M1362" s="23" t="s">
        <v>290</v>
      </c>
      <c r="N1362" s="25" t="s">
        <v>2250</v>
      </c>
      <c r="O1362" s="25" t="s">
        <v>1459</v>
      </c>
      <c r="P1362" s="26">
        <f ca="1">IFERROR(VLOOKUP(DadosViagem5[[#This Row],[Placa]],[1]BIP!A:E,5,FALSE),"")</f>
        <v>45975</v>
      </c>
      <c r="Q1362" s="27">
        <f ca="1">DATEDIF(DadosViagem5[[#This Row],[BIP]],TODAY(),"D")</f>
        <v>15</v>
      </c>
      <c r="R1362" s="28" t="str">
        <f>IFERROR(VLOOKUP(DadosViagem5[[#This Row],[Placa]],[1]DDS!B:C,2,FALSE),"Verificar cadastro")</f>
        <v>Sem operação</v>
      </c>
      <c r="S1362" s="29" t="s">
        <v>48</v>
      </c>
      <c r="T1362" s="23"/>
      <c r="U1362" s="30"/>
      <c r="V1362" s="31"/>
      <c r="W1362" s="32" t="s">
        <v>2283</v>
      </c>
      <c r="X1362" s="33"/>
      <c r="Y1362" s="34"/>
      <c r="Z1362" s="32"/>
      <c r="AA1362" s="20" t="s">
        <v>49</v>
      </c>
      <c r="AB1362" s="20" t="s">
        <v>49</v>
      </c>
      <c r="AC1362" s="19" t="s">
        <v>49</v>
      </c>
      <c r="AD1362" s="19" t="str">
        <f ca="1">IFERROR(DATEDIF(DadosViagem5[[#This Row],[Utimo Bip Reserva]],TODAY(),"D"),"")</f>
        <v/>
      </c>
      <c r="AE1362" s="36" t="s">
        <v>49</v>
      </c>
      <c r="AF1362" s="25">
        <v>45699</v>
      </c>
      <c r="AG1362" s="36" t="s">
        <v>481</v>
      </c>
      <c r="AH1362" s="25">
        <v>45807</v>
      </c>
      <c r="AI1362" s="36" t="str">
        <f>IF(DadosViagem5[[#This Row],[Dias em manutenção ]]&lt;5,"Dentro do Prazo","Fora do Prazo")</f>
        <v>Fora do Prazo</v>
      </c>
      <c r="AJ1362" s="36" t="e">
        <v>#REF!</v>
      </c>
    </row>
    <row r="1363" spans="1:36">
      <c r="A1363" s="19" t="s">
        <v>2320</v>
      </c>
      <c r="B1363" s="20"/>
      <c r="C1363" s="19" t="s">
        <v>88</v>
      </c>
      <c r="D1363" s="19" t="s">
        <v>52</v>
      </c>
      <c r="E1363" s="19" t="s">
        <v>114</v>
      </c>
      <c r="F1363" s="19" t="s">
        <v>115</v>
      </c>
      <c r="G1363" s="19"/>
      <c r="H1363" s="20">
        <v>2022</v>
      </c>
      <c r="I1363" s="19" t="s">
        <v>41</v>
      </c>
      <c r="J1363" s="19" t="s">
        <v>2248</v>
      </c>
      <c r="K1363" s="21" t="s">
        <v>2249</v>
      </c>
      <c r="L1363" s="22" t="s">
        <v>60</v>
      </c>
      <c r="M1363" s="23" t="s">
        <v>290</v>
      </c>
      <c r="N1363" s="25" t="s">
        <v>2250</v>
      </c>
      <c r="O1363" s="25" t="s">
        <v>1459</v>
      </c>
      <c r="P1363" s="26">
        <f ca="1">IFERROR(VLOOKUP(DadosViagem5[[#This Row],[Placa]],[1]BIP!A:E,5,FALSE),"")</f>
        <v>45989</v>
      </c>
      <c r="Q1363" s="27">
        <f ca="1">DATEDIF(DadosViagem5[[#This Row],[BIP]],TODAY(),"D")</f>
        <v>1</v>
      </c>
      <c r="R1363" s="28" t="str">
        <f>IFERROR(VLOOKUP(DadosViagem5[[#This Row],[Placa]],[1]DDS!B:C,2,FALSE),"Verificar cadastro")</f>
        <v>Operando</v>
      </c>
      <c r="S1363" s="29" t="s">
        <v>48</v>
      </c>
      <c r="T1363" s="23"/>
      <c r="U1363" s="30"/>
      <c r="V1363" s="31"/>
      <c r="W1363" s="32" t="s">
        <v>2283</v>
      </c>
      <c r="X1363" s="33"/>
      <c r="Y1363" s="34"/>
      <c r="Z1363" s="32"/>
      <c r="AA1363" s="20" t="s">
        <v>49</v>
      </c>
      <c r="AB1363" s="20" t="s">
        <v>49</v>
      </c>
      <c r="AC1363" s="19" t="s">
        <v>49</v>
      </c>
      <c r="AD1363" s="19" t="str">
        <f ca="1">IFERROR(DATEDIF(DadosViagem5[[#This Row],[Utimo Bip Reserva]],TODAY(),"D"),"")</f>
        <v/>
      </c>
      <c r="AE1363" s="36" t="s">
        <v>49</v>
      </c>
      <c r="AF1363" s="25" t="s">
        <v>49</v>
      </c>
      <c r="AG1363" s="36"/>
      <c r="AH1363" s="25">
        <v>45807</v>
      </c>
      <c r="AI1363" s="36" t="str">
        <f>IF(DadosViagem5[[#This Row],[Dias em manutenção ]]&lt;5,"Dentro do Prazo","Fora do Prazo")</f>
        <v>Fora do Prazo</v>
      </c>
      <c r="AJ1363" s="36" t="e">
        <v>#REF!</v>
      </c>
    </row>
    <row r="1364" spans="1:36">
      <c r="A1364" s="19" t="s">
        <v>2321</v>
      </c>
      <c r="B1364" s="20"/>
      <c r="C1364" s="19" t="s">
        <v>74</v>
      </c>
      <c r="D1364" s="19" t="s">
        <v>38</v>
      </c>
      <c r="E1364" s="19" t="s">
        <v>75</v>
      </c>
      <c r="F1364" s="19" t="s">
        <v>76</v>
      </c>
      <c r="G1364" s="19"/>
      <c r="H1364" s="20">
        <v>2024</v>
      </c>
      <c r="I1364" s="19" t="s">
        <v>41</v>
      </c>
      <c r="J1364" s="19" t="s">
        <v>2248</v>
      </c>
      <c r="K1364" s="21" t="s">
        <v>2249</v>
      </c>
      <c r="L1364" s="22" t="s">
        <v>60</v>
      </c>
      <c r="M1364" s="23" t="s">
        <v>77</v>
      </c>
      <c r="N1364" s="25" t="s">
        <v>2250</v>
      </c>
      <c r="O1364" s="25" t="s">
        <v>1459</v>
      </c>
      <c r="P1364" s="26">
        <f ca="1">IFERROR(VLOOKUP(DadosViagem5[[#This Row],[Placa]],[1]BIP!A:E,5,FALSE),"")</f>
        <v>45989</v>
      </c>
      <c r="Q1364" s="27">
        <f ca="1">DATEDIF(DadosViagem5[[#This Row],[BIP]],TODAY(),"D")</f>
        <v>1</v>
      </c>
      <c r="R1364" s="28" t="str">
        <f>IFERROR(VLOOKUP(DadosViagem5[[#This Row],[Placa]],[1]DDS!B:C,2,FALSE),"Verificar cadastro")</f>
        <v>Operando</v>
      </c>
      <c r="S1364" s="29" t="s">
        <v>48</v>
      </c>
      <c r="T1364" s="23"/>
      <c r="U1364" s="30"/>
      <c r="V1364" s="31"/>
      <c r="W1364" s="32" t="s">
        <v>1473</v>
      </c>
      <c r="X1364" s="33"/>
      <c r="Y1364" s="34"/>
      <c r="Z1364" s="32"/>
      <c r="AA1364" s="20" t="s">
        <v>49</v>
      </c>
      <c r="AB1364" s="20" t="s">
        <v>49</v>
      </c>
      <c r="AC1364" s="19" t="s">
        <v>49</v>
      </c>
      <c r="AD1364" s="19" t="str">
        <f ca="1">IFERROR(DATEDIF(DadosViagem5[[#This Row],[Utimo Bip Reserva]],TODAY(),"D"),"")</f>
        <v/>
      </c>
      <c r="AE1364" s="36"/>
      <c r="AF1364" s="25"/>
      <c r="AG1364" s="36"/>
      <c r="AH1364" s="25">
        <v>45807</v>
      </c>
      <c r="AI1364" s="36" t="str">
        <f>IF(DadosViagem5[[#This Row],[Dias em manutenção ]]&lt;5,"Dentro do Prazo","Fora do Prazo")</f>
        <v>Fora do Prazo</v>
      </c>
      <c r="AJ1364" s="36" t="e">
        <v>#REF!</v>
      </c>
    </row>
    <row r="1365" spans="1:36">
      <c r="A1365" s="19" t="s">
        <v>2322</v>
      </c>
      <c r="B1365" s="20"/>
      <c r="C1365" s="19" t="s">
        <v>671</v>
      </c>
      <c r="D1365" s="19" t="s">
        <v>132</v>
      </c>
      <c r="E1365" s="19" t="s">
        <v>114</v>
      </c>
      <c r="F1365" s="19" t="s">
        <v>115</v>
      </c>
      <c r="G1365" s="19"/>
      <c r="H1365" s="20">
        <v>2022</v>
      </c>
      <c r="I1365" s="19" t="s">
        <v>41</v>
      </c>
      <c r="J1365" s="19" t="s">
        <v>2248</v>
      </c>
      <c r="K1365" s="21" t="s">
        <v>2249</v>
      </c>
      <c r="L1365" s="22" t="s">
        <v>60</v>
      </c>
      <c r="M1365" s="23" t="s">
        <v>290</v>
      </c>
      <c r="N1365" s="25" t="s">
        <v>2250</v>
      </c>
      <c r="O1365" s="25" t="s">
        <v>1459</v>
      </c>
      <c r="P1365" s="26">
        <f ca="1">IFERROR(VLOOKUP(DadosViagem5[[#This Row],[Placa]],[1]BIP!A:E,5,FALSE),"")</f>
        <v>45946</v>
      </c>
      <c r="Q1365" s="27">
        <f ca="1">DATEDIF(DadosViagem5[[#This Row],[BIP]],TODAY(),"D")</f>
        <v>44</v>
      </c>
      <c r="R1365" s="28" t="str">
        <f>IFERROR(VLOOKUP(DadosViagem5[[#This Row],[Placa]],[1]DDS!B:C,2,FALSE),"Verificar cadastro")</f>
        <v>Sem operação</v>
      </c>
      <c r="S1365" s="36" t="s">
        <v>35</v>
      </c>
      <c r="T1365" s="23"/>
      <c r="U1365" s="30"/>
      <c r="V1365" s="31"/>
      <c r="W1365" s="32" t="s">
        <v>2295</v>
      </c>
      <c r="X1365" s="33"/>
      <c r="Y1365" s="34"/>
      <c r="Z1365" s="32"/>
      <c r="AA1365" s="20" t="s">
        <v>49</v>
      </c>
      <c r="AB1365" s="20" t="s">
        <v>49</v>
      </c>
      <c r="AC1365" s="19" t="s">
        <v>49</v>
      </c>
      <c r="AD1365" s="19" t="str">
        <f ca="1">IFERROR(DATEDIF(DadosViagem5[[#This Row],[Utimo Bip Reserva]],TODAY(),"D"),"")</f>
        <v/>
      </c>
      <c r="AE1365" s="36" t="s">
        <v>49</v>
      </c>
      <c r="AF1365" s="25" t="s">
        <v>49</v>
      </c>
      <c r="AG1365" s="36" t="s">
        <v>290</v>
      </c>
      <c r="AH1365" s="25">
        <v>45807</v>
      </c>
      <c r="AI1365" s="36" t="str">
        <f>IF(DadosViagem5[[#This Row],[Dias em manutenção ]]&lt;5,"Dentro do Prazo","Fora do Prazo")</f>
        <v>Fora do Prazo</v>
      </c>
      <c r="AJ1365" s="36" t="e">
        <v>#REF!</v>
      </c>
    </row>
    <row r="1366" spans="1:36">
      <c r="A1366" s="19" t="s">
        <v>2323</v>
      </c>
      <c r="B1366" s="20"/>
      <c r="C1366" s="19" t="s">
        <v>671</v>
      </c>
      <c r="D1366" s="19" t="s">
        <v>132</v>
      </c>
      <c r="E1366" s="19" t="s">
        <v>114</v>
      </c>
      <c r="F1366" s="19" t="s">
        <v>115</v>
      </c>
      <c r="G1366" s="19"/>
      <c r="H1366" s="20">
        <v>2022</v>
      </c>
      <c r="I1366" s="19" t="s">
        <v>41</v>
      </c>
      <c r="J1366" s="19" t="s">
        <v>2248</v>
      </c>
      <c r="K1366" s="21" t="s">
        <v>2249</v>
      </c>
      <c r="L1366" s="22" t="s">
        <v>60</v>
      </c>
      <c r="M1366" s="23" t="s">
        <v>290</v>
      </c>
      <c r="N1366" s="25" t="s">
        <v>2250</v>
      </c>
      <c r="O1366" s="25" t="s">
        <v>1459</v>
      </c>
      <c r="P1366" s="26">
        <f ca="1">IFERROR(VLOOKUP(DadosViagem5[[#This Row],[Placa]],[1]BIP!A:E,5,FALSE),"")</f>
        <v>45940</v>
      </c>
      <c r="Q1366" s="27">
        <f ca="1">DATEDIF(DadosViagem5[[#This Row],[BIP]],TODAY(),"D")</f>
        <v>50</v>
      </c>
      <c r="R1366" s="28" t="str">
        <f>IFERROR(VLOOKUP(DadosViagem5[[#This Row],[Placa]],[1]DDS!B:C,2,FALSE),"Verificar cadastro")</f>
        <v>Sem operação</v>
      </c>
      <c r="S1366" s="36" t="s">
        <v>35</v>
      </c>
      <c r="T1366" s="23"/>
      <c r="U1366" s="30"/>
      <c r="V1366" s="31"/>
      <c r="W1366" s="32" t="s">
        <v>2295</v>
      </c>
      <c r="X1366" s="33"/>
      <c r="Y1366" s="34"/>
      <c r="Z1366" s="42"/>
      <c r="AA1366" s="20" t="s">
        <v>49</v>
      </c>
      <c r="AB1366" s="20" t="s">
        <v>49</v>
      </c>
      <c r="AC1366" s="19" t="s">
        <v>49</v>
      </c>
      <c r="AD1366" s="19" t="str">
        <f ca="1">IFERROR(DATEDIF(DadosViagem5[[#This Row],[Utimo Bip Reserva]],TODAY(),"D"),"")</f>
        <v/>
      </c>
      <c r="AE1366" s="36" t="s">
        <v>49</v>
      </c>
      <c r="AF1366" s="25" t="s">
        <v>49</v>
      </c>
      <c r="AG1366" s="36" t="s">
        <v>290</v>
      </c>
      <c r="AH1366" s="25">
        <v>45807</v>
      </c>
      <c r="AI1366" s="36" t="str">
        <f>IF(DadosViagem5[[#This Row],[Dias em manutenção ]]&lt;5,"Dentro do Prazo","Fora do Prazo")</f>
        <v>Fora do Prazo</v>
      </c>
      <c r="AJ1366" s="36" t="e">
        <v>#REF!</v>
      </c>
    </row>
    <row r="1367" spans="1:36">
      <c r="A1367" s="19" t="s">
        <v>2324</v>
      </c>
      <c r="B1367" s="20"/>
      <c r="C1367" s="19" t="s">
        <v>1013</v>
      </c>
      <c r="D1367" s="19" t="s">
        <v>1014</v>
      </c>
      <c r="E1367" s="19" t="s">
        <v>114</v>
      </c>
      <c r="F1367" s="19" t="s">
        <v>115</v>
      </c>
      <c r="G1367" s="19"/>
      <c r="H1367" s="20">
        <v>2023</v>
      </c>
      <c r="I1367" s="19" t="s">
        <v>41</v>
      </c>
      <c r="J1367" s="19" t="s">
        <v>2248</v>
      </c>
      <c r="K1367" s="21" t="s">
        <v>2249</v>
      </c>
      <c r="L1367" s="22" t="s">
        <v>60</v>
      </c>
      <c r="M1367" s="23" t="s">
        <v>290</v>
      </c>
      <c r="N1367" s="25" t="s">
        <v>2250</v>
      </c>
      <c r="O1367" s="25" t="s">
        <v>1459</v>
      </c>
      <c r="P1367" s="26">
        <f ca="1">IFERROR(VLOOKUP(DadosViagem5[[#This Row],[Placa]],[1]BIP!A:E,5,FALSE),"")</f>
        <v>45989</v>
      </c>
      <c r="Q1367" s="27">
        <f ca="1">DATEDIF(DadosViagem5[[#This Row],[BIP]],TODAY(),"D")</f>
        <v>1</v>
      </c>
      <c r="R1367" s="28" t="str">
        <f>IFERROR(VLOOKUP(DadosViagem5[[#This Row],[Placa]],[1]DDS!B:C,2,FALSE),"Verificar cadastro")</f>
        <v>Operando</v>
      </c>
      <c r="S1367" s="29" t="s">
        <v>48</v>
      </c>
      <c r="T1367" s="23"/>
      <c r="U1367" s="30"/>
      <c r="V1367" s="31"/>
      <c r="W1367" s="32" t="s">
        <v>2283</v>
      </c>
      <c r="X1367" s="33"/>
      <c r="Y1367" s="34"/>
      <c r="Z1367" s="32"/>
      <c r="AA1367" s="20" t="s">
        <v>49</v>
      </c>
      <c r="AB1367" s="20" t="s">
        <v>49</v>
      </c>
      <c r="AC1367" s="19" t="s">
        <v>49</v>
      </c>
      <c r="AD1367" s="19" t="str">
        <f ca="1">IFERROR(DATEDIF(DadosViagem5[[#This Row],[Utimo Bip Reserva]],TODAY(),"D"),"")</f>
        <v/>
      </c>
      <c r="AE1367" s="36" t="s">
        <v>2325</v>
      </c>
      <c r="AF1367" s="25" t="s">
        <v>49</v>
      </c>
      <c r="AG1367" s="36" t="s">
        <v>527</v>
      </c>
      <c r="AH1367" s="25">
        <v>45807</v>
      </c>
      <c r="AI1367" s="36" t="str">
        <f>IF(DadosViagem5[[#This Row],[Dias em manutenção ]]&lt;5,"Dentro do Prazo","Fora do Prazo")</f>
        <v>Fora do Prazo</v>
      </c>
      <c r="AJ1367" s="36" t="e">
        <v>#REF!</v>
      </c>
    </row>
    <row r="1368" spans="1:36">
      <c r="A1368" s="19" t="s">
        <v>2326</v>
      </c>
      <c r="B1368" s="20"/>
      <c r="C1368" s="19" t="s">
        <v>1013</v>
      </c>
      <c r="D1368" s="19" t="s">
        <v>1014</v>
      </c>
      <c r="E1368" s="19" t="s">
        <v>114</v>
      </c>
      <c r="F1368" s="19" t="s">
        <v>115</v>
      </c>
      <c r="G1368" s="19"/>
      <c r="H1368" s="20">
        <v>2023</v>
      </c>
      <c r="I1368" s="19" t="s">
        <v>41</v>
      </c>
      <c r="J1368" s="19" t="s">
        <v>2248</v>
      </c>
      <c r="K1368" s="21" t="s">
        <v>2249</v>
      </c>
      <c r="L1368" s="22" t="s">
        <v>60</v>
      </c>
      <c r="M1368" s="23" t="s">
        <v>290</v>
      </c>
      <c r="N1368" s="25" t="s">
        <v>2250</v>
      </c>
      <c r="O1368" s="25" t="s">
        <v>1459</v>
      </c>
      <c r="P1368" s="26">
        <f ca="1">IFERROR(VLOOKUP(DadosViagem5[[#This Row],[Placa]],[1]BIP!A:E,5,FALSE),"")</f>
        <v>45989</v>
      </c>
      <c r="Q1368" s="27">
        <f ca="1">DATEDIF(DadosViagem5[[#This Row],[BIP]],TODAY(),"D")</f>
        <v>1</v>
      </c>
      <c r="R1368" s="28" t="str">
        <f>IFERROR(VLOOKUP(DadosViagem5[[#This Row],[Placa]],[1]DDS!B:C,2,FALSE),"Verificar cadastro")</f>
        <v>Operando</v>
      </c>
      <c r="S1368" s="36" t="s">
        <v>186</v>
      </c>
      <c r="T1368" s="23"/>
      <c r="U1368" s="30"/>
      <c r="V1368" s="31"/>
      <c r="W1368" s="116" t="s">
        <v>1107</v>
      </c>
      <c r="X1368" s="33"/>
      <c r="Y1368" s="34"/>
      <c r="Z1368" s="32"/>
      <c r="AA1368" s="20" t="s">
        <v>49</v>
      </c>
      <c r="AB1368" s="20" t="s">
        <v>49</v>
      </c>
      <c r="AC1368" s="19" t="s">
        <v>49</v>
      </c>
      <c r="AD1368" s="19" t="str">
        <f ca="1">IFERROR(DATEDIF(DadosViagem5[[#This Row],[Utimo Bip Reserva]],TODAY(),"D"),"")</f>
        <v/>
      </c>
      <c r="AE1368" s="36"/>
      <c r="AF1368" s="25" t="s">
        <v>49</v>
      </c>
      <c r="AG1368" s="36" t="s">
        <v>540</v>
      </c>
      <c r="AH1368" s="25">
        <v>45807</v>
      </c>
      <c r="AI1368" s="36" t="str">
        <f>IF(DadosViagem5[[#This Row],[Dias em manutenção ]]&lt;5,"Dentro do Prazo","Fora do Prazo")</f>
        <v>Fora do Prazo</v>
      </c>
      <c r="AJ1368" s="36" t="e">
        <v>#REF!</v>
      </c>
    </row>
    <row r="1369" spans="1:36">
      <c r="A1369" s="19" t="s">
        <v>2327</v>
      </c>
      <c r="B1369" s="20"/>
      <c r="C1369" s="19" t="s">
        <v>1013</v>
      </c>
      <c r="D1369" s="19" t="s">
        <v>1014</v>
      </c>
      <c r="E1369" s="19" t="s">
        <v>114</v>
      </c>
      <c r="F1369" s="19" t="s">
        <v>115</v>
      </c>
      <c r="G1369" s="19"/>
      <c r="H1369" s="20">
        <v>2023</v>
      </c>
      <c r="I1369" s="19" t="s">
        <v>41</v>
      </c>
      <c r="J1369" s="19" t="s">
        <v>2248</v>
      </c>
      <c r="K1369" s="21" t="s">
        <v>2249</v>
      </c>
      <c r="L1369" s="22" t="s">
        <v>60</v>
      </c>
      <c r="M1369" s="23" t="s">
        <v>290</v>
      </c>
      <c r="N1369" s="25" t="s">
        <v>2250</v>
      </c>
      <c r="O1369" s="25" t="s">
        <v>1459</v>
      </c>
      <c r="P1369" s="26">
        <f ca="1">IFERROR(VLOOKUP(DadosViagem5[[#This Row],[Placa]],[1]BIP!A:E,5,FALSE),"")</f>
        <v>45989</v>
      </c>
      <c r="Q1369" s="27">
        <f ca="1">DATEDIF(DadosViagem5[[#This Row],[BIP]],TODAY(),"D")</f>
        <v>1</v>
      </c>
      <c r="R1369" s="28" t="str">
        <f>IFERROR(VLOOKUP(DadosViagem5[[#This Row],[Placa]],[1]DDS!B:C,2,FALSE),"Verificar cadastro")</f>
        <v>Operando</v>
      </c>
      <c r="S1369" s="29" t="s">
        <v>48</v>
      </c>
      <c r="T1369" s="23"/>
      <c r="U1369" s="30"/>
      <c r="V1369" s="31"/>
      <c r="W1369" s="116"/>
      <c r="X1369" s="33"/>
      <c r="Y1369" s="34"/>
      <c r="Z1369" s="32"/>
      <c r="AA1369" s="20" t="s">
        <v>49</v>
      </c>
      <c r="AB1369" s="20" t="s">
        <v>49</v>
      </c>
      <c r="AC1369" s="19" t="s">
        <v>49</v>
      </c>
      <c r="AD1369" s="19" t="str">
        <f ca="1">IFERROR(DATEDIF(DadosViagem5[[#This Row],[Utimo Bip Reserva]],TODAY(),"D"),"")</f>
        <v/>
      </c>
      <c r="AE1369" s="36" t="s">
        <v>49</v>
      </c>
      <c r="AF1369" s="25" t="s">
        <v>49</v>
      </c>
      <c r="AG1369" s="36"/>
      <c r="AH1369" s="25">
        <v>45807</v>
      </c>
      <c r="AI1369" s="36" t="str">
        <f>IF(DadosViagem5[[#This Row],[Dias em manutenção ]]&lt;5,"Dentro do Prazo","Fora do Prazo")</f>
        <v>Fora do Prazo</v>
      </c>
      <c r="AJ1369" s="36" t="e">
        <v>#REF!</v>
      </c>
    </row>
    <row r="1370" spans="1:36">
      <c r="A1370" s="19" t="s">
        <v>2328</v>
      </c>
      <c r="B1370" s="20"/>
      <c r="C1370" s="19" t="s">
        <v>71</v>
      </c>
      <c r="D1370" s="19" t="s">
        <v>38</v>
      </c>
      <c r="E1370" s="19" t="s">
        <v>114</v>
      </c>
      <c r="F1370" s="19" t="s">
        <v>115</v>
      </c>
      <c r="G1370" s="19"/>
      <c r="H1370" s="20">
        <v>2021</v>
      </c>
      <c r="I1370" s="19" t="s">
        <v>41</v>
      </c>
      <c r="J1370" s="19" t="s">
        <v>2248</v>
      </c>
      <c r="K1370" s="21" t="s">
        <v>2249</v>
      </c>
      <c r="L1370" s="22" t="s">
        <v>60</v>
      </c>
      <c r="M1370" s="23" t="s">
        <v>290</v>
      </c>
      <c r="N1370" s="25" t="s">
        <v>2250</v>
      </c>
      <c r="O1370" s="25" t="s">
        <v>1459</v>
      </c>
      <c r="P1370" s="26">
        <f ca="1">IFERROR(VLOOKUP(DadosViagem5[[#This Row],[Placa]],[1]BIP!A:E,5,FALSE),"")</f>
        <v>45989</v>
      </c>
      <c r="Q1370" s="27">
        <f ca="1">DATEDIF(DadosViagem5[[#This Row],[BIP]],TODAY(),"D")</f>
        <v>1</v>
      </c>
      <c r="R1370" s="28" t="str">
        <f>IFERROR(VLOOKUP(DadosViagem5[[#This Row],[Placa]],[1]DDS!B:C,2,FALSE),"Verificar cadastro")</f>
        <v>Operando</v>
      </c>
      <c r="S1370" s="36" t="s">
        <v>35</v>
      </c>
      <c r="T1370" s="23"/>
      <c r="U1370" s="30"/>
      <c r="V1370" s="31"/>
      <c r="W1370" s="32" t="s">
        <v>2329</v>
      </c>
      <c r="X1370" s="33"/>
      <c r="Y1370" s="34"/>
      <c r="Z1370" s="32"/>
      <c r="AA1370" s="20" t="s">
        <v>49</v>
      </c>
      <c r="AB1370" s="20" t="s">
        <v>49</v>
      </c>
      <c r="AC1370" s="19" t="s">
        <v>49</v>
      </c>
      <c r="AD1370" s="19" t="str">
        <f ca="1">IFERROR(DATEDIF(DadosViagem5[[#This Row],[Utimo Bip Reserva]],TODAY(),"D"),"")</f>
        <v/>
      </c>
      <c r="AE1370" s="36" t="s">
        <v>49</v>
      </c>
      <c r="AF1370" s="25" t="s">
        <v>49</v>
      </c>
      <c r="AG1370" s="36"/>
      <c r="AH1370" s="25">
        <v>45807</v>
      </c>
      <c r="AI1370" s="36" t="str">
        <f>IF(DadosViagem5[[#This Row],[Dias em manutenção ]]&lt;5,"Dentro do Prazo","Fora do Prazo")</f>
        <v>Fora do Prazo</v>
      </c>
      <c r="AJ1370" s="36" t="e">
        <v>#REF!</v>
      </c>
    </row>
    <row r="1371" spans="1:36">
      <c r="A1371" s="19" t="s">
        <v>2330</v>
      </c>
      <c r="B1371" s="20"/>
      <c r="C1371" s="19" t="s">
        <v>88</v>
      </c>
      <c r="D1371" s="19" t="s">
        <v>52</v>
      </c>
      <c r="E1371" s="19" t="s">
        <v>114</v>
      </c>
      <c r="F1371" s="19" t="s">
        <v>115</v>
      </c>
      <c r="G1371" s="19"/>
      <c r="H1371" s="20">
        <v>2020</v>
      </c>
      <c r="I1371" s="19" t="s">
        <v>41</v>
      </c>
      <c r="J1371" s="19" t="s">
        <v>2248</v>
      </c>
      <c r="K1371" s="21" t="s">
        <v>2249</v>
      </c>
      <c r="L1371" s="22" t="s">
        <v>60</v>
      </c>
      <c r="M1371" s="23" t="s">
        <v>290</v>
      </c>
      <c r="N1371" s="25" t="s">
        <v>2250</v>
      </c>
      <c r="O1371" s="25" t="s">
        <v>1459</v>
      </c>
      <c r="P1371" s="26">
        <f ca="1">IFERROR(VLOOKUP(DadosViagem5[[#This Row],[Placa]],[1]BIP!A:E,5,FALSE),"")</f>
        <v>45956</v>
      </c>
      <c r="Q1371" s="27">
        <f ca="1">DATEDIF(DadosViagem5[[#This Row],[BIP]],TODAY(),"D")</f>
        <v>34</v>
      </c>
      <c r="R1371" s="28" t="str">
        <f>IFERROR(VLOOKUP(DadosViagem5[[#This Row],[Placa]],[1]DDS!B:C,2,FALSE),"Verificar cadastro")</f>
        <v>Sem operação</v>
      </c>
      <c r="S1371" s="36" t="s">
        <v>35</v>
      </c>
      <c r="T1371" s="23"/>
      <c r="U1371" s="30"/>
      <c r="V1371" s="31"/>
      <c r="W1371" s="32" t="s">
        <v>2331</v>
      </c>
      <c r="X1371" s="33"/>
      <c r="Y1371" s="34"/>
      <c r="Z1371" s="32"/>
      <c r="AA1371" s="20" t="s">
        <v>49</v>
      </c>
      <c r="AB1371" s="20" t="s">
        <v>49</v>
      </c>
      <c r="AC1371" s="19" t="s">
        <v>49</v>
      </c>
      <c r="AD1371" s="19" t="str">
        <f ca="1">IFERROR(DATEDIF(DadosViagem5[[#This Row],[Utimo Bip Reserva]],TODAY(),"D"),"")</f>
        <v/>
      </c>
      <c r="AE1371" s="36" t="s">
        <v>49</v>
      </c>
      <c r="AF1371" s="25" t="s">
        <v>49</v>
      </c>
      <c r="AG1371" s="36"/>
      <c r="AH1371" s="25">
        <v>45807</v>
      </c>
      <c r="AI1371" s="36" t="str">
        <f>IF(DadosViagem5[[#This Row],[Dias em manutenção ]]&lt;5,"Dentro do Prazo","Fora do Prazo")</f>
        <v>Fora do Prazo</v>
      </c>
      <c r="AJ1371" s="36" t="e">
        <v>#REF!</v>
      </c>
    </row>
    <row r="1372" spans="1:36">
      <c r="A1372" s="19" t="s">
        <v>2332</v>
      </c>
      <c r="B1372" s="20"/>
      <c r="C1372" s="19" t="s">
        <v>88</v>
      </c>
      <c r="D1372" s="19" t="s">
        <v>52</v>
      </c>
      <c r="E1372" s="19" t="s">
        <v>114</v>
      </c>
      <c r="F1372" s="19" t="s">
        <v>115</v>
      </c>
      <c r="G1372" s="19"/>
      <c r="H1372" s="20">
        <v>2021</v>
      </c>
      <c r="I1372" s="19" t="s">
        <v>41</v>
      </c>
      <c r="J1372" s="19" t="s">
        <v>2248</v>
      </c>
      <c r="K1372" s="21" t="s">
        <v>2249</v>
      </c>
      <c r="L1372" s="22" t="s">
        <v>60</v>
      </c>
      <c r="M1372" s="23" t="s">
        <v>290</v>
      </c>
      <c r="N1372" s="25" t="s">
        <v>2250</v>
      </c>
      <c r="O1372" s="25" t="s">
        <v>1459</v>
      </c>
      <c r="P1372" s="26">
        <f ca="1">IFERROR(VLOOKUP(DadosViagem5[[#This Row],[Placa]],[1]BIP!A:E,5,FALSE),"")</f>
        <v>45989</v>
      </c>
      <c r="Q1372" s="27">
        <f ca="1">DATEDIF(DadosViagem5[[#This Row],[BIP]],TODAY(),"D")</f>
        <v>1</v>
      </c>
      <c r="R1372" s="28" t="str">
        <f>IFERROR(VLOOKUP(DadosViagem5[[#This Row],[Placa]],[1]DDS!B:C,2,FALSE),"Verificar cadastro")</f>
        <v>Operando</v>
      </c>
      <c r="S1372" s="29" t="s">
        <v>48</v>
      </c>
      <c r="T1372" s="23"/>
      <c r="U1372" s="30"/>
      <c r="V1372" s="31"/>
      <c r="W1372" s="32" t="s">
        <v>2283</v>
      </c>
      <c r="X1372" s="33"/>
      <c r="Y1372" s="34"/>
      <c r="Z1372" s="32"/>
      <c r="AA1372" s="20" t="s">
        <v>49</v>
      </c>
      <c r="AB1372" s="20" t="s">
        <v>49</v>
      </c>
      <c r="AC1372" s="19" t="s">
        <v>49</v>
      </c>
      <c r="AD1372" s="19" t="str">
        <f ca="1">IFERROR(DATEDIF(DadosViagem5[[#This Row],[Utimo Bip Reserva]],TODAY(),"D"),"")</f>
        <v/>
      </c>
      <c r="AE1372" s="36" t="s">
        <v>49</v>
      </c>
      <c r="AF1372" s="25" t="s">
        <v>49</v>
      </c>
      <c r="AG1372" s="36"/>
      <c r="AH1372" s="25">
        <v>45807</v>
      </c>
      <c r="AI1372" s="36" t="str">
        <f>IF(DadosViagem5[[#This Row],[Dias em manutenção ]]&lt;5,"Dentro do Prazo","Fora do Prazo")</f>
        <v>Fora do Prazo</v>
      </c>
      <c r="AJ1372" s="36" t="e">
        <v>#REF!</v>
      </c>
    </row>
    <row r="1373" spans="1:36">
      <c r="A1373" s="19" t="s">
        <v>2333</v>
      </c>
      <c r="B1373" s="20"/>
      <c r="C1373" s="19" t="s">
        <v>88</v>
      </c>
      <c r="D1373" s="19" t="s">
        <v>52</v>
      </c>
      <c r="E1373" s="19" t="s">
        <v>114</v>
      </c>
      <c r="F1373" s="19" t="s">
        <v>115</v>
      </c>
      <c r="G1373" s="19"/>
      <c r="H1373" s="20">
        <v>2021</v>
      </c>
      <c r="I1373" s="19" t="s">
        <v>41</v>
      </c>
      <c r="J1373" s="19" t="s">
        <v>2248</v>
      </c>
      <c r="K1373" s="21" t="s">
        <v>2249</v>
      </c>
      <c r="L1373" s="53" t="s">
        <v>60</v>
      </c>
      <c r="M1373" s="23" t="s">
        <v>290</v>
      </c>
      <c r="N1373" s="25" t="s">
        <v>2250</v>
      </c>
      <c r="O1373" s="25" t="s">
        <v>1459</v>
      </c>
      <c r="P1373" s="26">
        <f ca="1">IFERROR(VLOOKUP(DadosViagem5[[#This Row],[Placa]],[1]BIP!A:E,5,FALSE),"")</f>
        <v>45989</v>
      </c>
      <c r="Q1373" s="27">
        <f ca="1">DATEDIF(DadosViagem5[[#This Row],[BIP]],TODAY(),"D")</f>
        <v>1</v>
      </c>
      <c r="R1373" s="28" t="str">
        <f>IFERROR(VLOOKUP(DadosViagem5[[#This Row],[Placa]],[1]DDS!B:C,2,FALSE),"Verificar cadastro")</f>
        <v>Operando</v>
      </c>
      <c r="S1373" s="29" t="s">
        <v>48</v>
      </c>
      <c r="T1373" s="23"/>
      <c r="U1373" s="30"/>
      <c r="V1373" s="31"/>
      <c r="W1373" s="32" t="s">
        <v>2283</v>
      </c>
      <c r="X1373" s="33"/>
      <c r="Y1373" s="34"/>
      <c r="Z1373" s="32"/>
      <c r="AA1373" s="20" t="s">
        <v>49</v>
      </c>
      <c r="AB1373" s="20" t="s">
        <v>49</v>
      </c>
      <c r="AC1373" s="19" t="s">
        <v>49</v>
      </c>
      <c r="AD1373" s="19" t="str">
        <f ca="1">IFERROR(DATEDIF(DadosViagem5[[#This Row],[Utimo Bip Reserva]],TODAY(),"D"),"")</f>
        <v/>
      </c>
      <c r="AE1373" s="36"/>
      <c r="AF1373" s="25" t="s">
        <v>49</v>
      </c>
      <c r="AG1373" s="36"/>
      <c r="AH1373" s="25">
        <v>45807</v>
      </c>
      <c r="AI1373" s="36" t="str">
        <f>IF(DadosViagem5[[#This Row],[Dias em manutenção ]]&lt;5,"Dentro do Prazo","Fora do Prazo")</f>
        <v>Fora do Prazo</v>
      </c>
      <c r="AJ1373" s="36" t="e">
        <v>#REF!</v>
      </c>
    </row>
    <row r="1374" spans="1:36">
      <c r="A1374" s="19" t="s">
        <v>2334</v>
      </c>
      <c r="B1374" s="20"/>
      <c r="C1374" s="19" t="s">
        <v>88</v>
      </c>
      <c r="D1374" s="19" t="s">
        <v>52</v>
      </c>
      <c r="E1374" s="19" t="s">
        <v>114</v>
      </c>
      <c r="F1374" s="19" t="s">
        <v>115</v>
      </c>
      <c r="G1374" s="19"/>
      <c r="H1374" s="20">
        <v>2023</v>
      </c>
      <c r="I1374" s="19" t="s">
        <v>41</v>
      </c>
      <c r="J1374" s="19" t="s">
        <v>2248</v>
      </c>
      <c r="K1374" s="21" t="s">
        <v>2249</v>
      </c>
      <c r="L1374" s="22" t="s">
        <v>60</v>
      </c>
      <c r="M1374" s="23" t="s">
        <v>290</v>
      </c>
      <c r="N1374" s="25" t="s">
        <v>2250</v>
      </c>
      <c r="O1374" s="25" t="s">
        <v>1459</v>
      </c>
      <c r="P1374" s="26">
        <f ca="1">IFERROR(VLOOKUP(DadosViagem5[[#This Row],[Placa]],[1]BIP!A:E,5,FALSE),"")</f>
        <v>45989</v>
      </c>
      <c r="Q1374" s="27">
        <f ca="1">DATEDIF(DadosViagem5[[#This Row],[BIP]],TODAY(),"D")</f>
        <v>1</v>
      </c>
      <c r="R1374" s="28" t="str">
        <f>IFERROR(VLOOKUP(DadosViagem5[[#This Row],[Placa]],[1]DDS!B:C,2,FALSE),"Verificar cadastro")</f>
        <v>Operando</v>
      </c>
      <c r="S1374" s="29" t="s">
        <v>48</v>
      </c>
      <c r="T1374" s="23"/>
      <c r="U1374" s="30"/>
      <c r="V1374" s="31"/>
      <c r="W1374" s="32"/>
      <c r="X1374" s="33"/>
      <c r="Y1374" s="34"/>
      <c r="Z1374" s="32"/>
      <c r="AA1374" s="20" t="s">
        <v>49</v>
      </c>
      <c r="AB1374" s="20" t="s">
        <v>49</v>
      </c>
      <c r="AC1374" s="19" t="s">
        <v>49</v>
      </c>
      <c r="AD1374" s="19" t="str">
        <f ca="1">IFERROR(DATEDIF(DadosViagem5[[#This Row],[Utimo Bip Reserva]],TODAY(),"D"),"")</f>
        <v/>
      </c>
      <c r="AE1374" s="36" t="s">
        <v>49</v>
      </c>
      <c r="AF1374" s="25" t="s">
        <v>49</v>
      </c>
      <c r="AG1374" s="36"/>
      <c r="AH1374" s="25">
        <v>45807</v>
      </c>
      <c r="AI1374" s="36" t="str">
        <f>IF(DadosViagem5[[#This Row],[Dias em manutenção ]]&lt;5,"Dentro do Prazo","Fora do Prazo")</f>
        <v>Fora do Prazo</v>
      </c>
      <c r="AJ1374" s="36" t="e">
        <v>#REF!</v>
      </c>
    </row>
    <row r="1375" spans="1:36">
      <c r="A1375" s="19" t="s">
        <v>2335</v>
      </c>
      <c r="B1375" s="20"/>
      <c r="C1375" s="19" t="s">
        <v>88</v>
      </c>
      <c r="D1375" s="19" t="s">
        <v>52</v>
      </c>
      <c r="E1375" s="19" t="s">
        <v>114</v>
      </c>
      <c r="F1375" s="19" t="s">
        <v>115</v>
      </c>
      <c r="G1375" s="19"/>
      <c r="H1375" s="20">
        <v>2021</v>
      </c>
      <c r="I1375" s="19" t="s">
        <v>41</v>
      </c>
      <c r="J1375" s="19" t="s">
        <v>2248</v>
      </c>
      <c r="K1375" s="21" t="s">
        <v>2249</v>
      </c>
      <c r="L1375" s="22" t="s">
        <v>60</v>
      </c>
      <c r="M1375" s="23" t="s">
        <v>290</v>
      </c>
      <c r="N1375" s="25" t="s">
        <v>2250</v>
      </c>
      <c r="O1375" s="25" t="s">
        <v>1459</v>
      </c>
      <c r="P1375" s="26">
        <f ca="1">IFERROR(VLOOKUP(DadosViagem5[[#This Row],[Placa]],[1]BIP!A:E,5,FALSE),"")</f>
        <v>45914</v>
      </c>
      <c r="Q1375" s="27">
        <f ca="1">DATEDIF(DadosViagem5[[#This Row],[BIP]],TODAY(),"D")</f>
        <v>76</v>
      </c>
      <c r="R1375" s="28" t="str">
        <f>IFERROR(VLOOKUP(DadosViagem5[[#This Row],[Placa]],[1]DDS!B:C,2,FALSE),"Verificar cadastro")</f>
        <v>Manutenção</v>
      </c>
      <c r="S1375" s="29" t="s">
        <v>173</v>
      </c>
      <c r="T1375" s="23"/>
      <c r="U1375" s="30"/>
      <c r="V1375" s="31"/>
      <c r="W1375" s="116" t="s">
        <v>1107</v>
      </c>
      <c r="X1375" s="33"/>
      <c r="Y1375" s="34"/>
      <c r="Z1375" s="32"/>
      <c r="AA1375" s="20" t="s">
        <v>49</v>
      </c>
      <c r="AB1375" s="20" t="s">
        <v>49</v>
      </c>
      <c r="AC1375" s="20" t="s">
        <v>49</v>
      </c>
      <c r="AD1375" s="20" t="s">
        <v>49</v>
      </c>
      <c r="AE1375" s="36" t="s">
        <v>49</v>
      </c>
      <c r="AF1375" s="25" t="s">
        <v>49</v>
      </c>
      <c r="AG1375" s="36"/>
      <c r="AH1375" s="25">
        <v>45807</v>
      </c>
      <c r="AI1375" s="36" t="str">
        <f>IF(DadosViagem5[[#This Row],[Dias em manutenção ]]&lt;5,"Dentro do Prazo","Fora do Prazo")</f>
        <v>Fora do Prazo</v>
      </c>
      <c r="AJ1375" s="36" t="e">
        <v>#REF!</v>
      </c>
    </row>
    <row r="1376" spans="1:36">
      <c r="A1376" s="19" t="s">
        <v>2336</v>
      </c>
      <c r="B1376" s="20"/>
      <c r="C1376" s="19" t="s">
        <v>88</v>
      </c>
      <c r="D1376" s="19" t="s">
        <v>52</v>
      </c>
      <c r="E1376" s="19" t="s">
        <v>114</v>
      </c>
      <c r="F1376" s="19" t="s">
        <v>115</v>
      </c>
      <c r="G1376" s="19"/>
      <c r="H1376" s="20">
        <v>2021</v>
      </c>
      <c r="I1376" s="19" t="s">
        <v>41</v>
      </c>
      <c r="J1376" s="19" t="s">
        <v>2248</v>
      </c>
      <c r="K1376" s="21" t="s">
        <v>2249</v>
      </c>
      <c r="L1376" s="22" t="s">
        <v>60</v>
      </c>
      <c r="M1376" s="23" t="s">
        <v>290</v>
      </c>
      <c r="N1376" s="25" t="s">
        <v>2250</v>
      </c>
      <c r="O1376" s="25" t="s">
        <v>1459</v>
      </c>
      <c r="P1376" s="26">
        <f ca="1">IFERROR(VLOOKUP(DadosViagem5[[#This Row],[Placa]],[1]BIP!A:E,5,FALSE),"")</f>
        <v>45989</v>
      </c>
      <c r="Q1376" s="27">
        <f ca="1">DATEDIF(DadosViagem5[[#This Row],[BIP]],TODAY(),"D")</f>
        <v>1</v>
      </c>
      <c r="R1376" s="28" t="str">
        <f>IFERROR(VLOOKUP(DadosViagem5[[#This Row],[Placa]],[1]DDS!B:C,2,FALSE),"Verificar cadastro")</f>
        <v>Operando</v>
      </c>
      <c r="S1376" s="29" t="s">
        <v>48</v>
      </c>
      <c r="T1376" s="23"/>
      <c r="U1376" s="30"/>
      <c r="V1376" s="31"/>
      <c r="W1376" s="32" t="s">
        <v>2283</v>
      </c>
      <c r="X1376" s="33"/>
      <c r="Y1376" s="34"/>
      <c r="Z1376" s="32"/>
      <c r="AA1376" s="20" t="s">
        <v>49</v>
      </c>
      <c r="AB1376" s="20" t="s">
        <v>49</v>
      </c>
      <c r="AC1376" s="19" t="s">
        <v>49</v>
      </c>
      <c r="AD1376" s="19" t="str">
        <f ca="1">IFERROR(DATEDIF(DadosViagem5[[#This Row],[Utimo Bip Reserva]],TODAY(),"D"),"")</f>
        <v/>
      </c>
      <c r="AE1376" s="36" t="s">
        <v>49</v>
      </c>
      <c r="AF1376" s="25" t="s">
        <v>49</v>
      </c>
      <c r="AG1376" s="36"/>
      <c r="AH1376" s="25">
        <v>45807</v>
      </c>
      <c r="AI1376" s="36" t="str">
        <f>IF(DadosViagem5[[#This Row],[Dias em manutenção ]]&lt;5,"Dentro do Prazo","Fora do Prazo")</f>
        <v>Fora do Prazo</v>
      </c>
      <c r="AJ1376" s="36" t="e">
        <v>#REF!</v>
      </c>
    </row>
    <row r="1377" spans="1:36">
      <c r="A1377" s="19" t="s">
        <v>2337</v>
      </c>
      <c r="B1377" s="20"/>
      <c r="C1377" s="19" t="s">
        <v>88</v>
      </c>
      <c r="D1377" s="19" t="s">
        <v>52</v>
      </c>
      <c r="E1377" s="19" t="s">
        <v>114</v>
      </c>
      <c r="F1377" s="19" t="s">
        <v>115</v>
      </c>
      <c r="G1377" s="19"/>
      <c r="H1377" s="20">
        <v>2021</v>
      </c>
      <c r="I1377" s="19" t="s">
        <v>41</v>
      </c>
      <c r="J1377" s="19" t="s">
        <v>2248</v>
      </c>
      <c r="K1377" s="21" t="s">
        <v>2249</v>
      </c>
      <c r="L1377" s="22" t="s">
        <v>60</v>
      </c>
      <c r="M1377" s="23" t="s">
        <v>290</v>
      </c>
      <c r="N1377" s="25" t="s">
        <v>2250</v>
      </c>
      <c r="O1377" s="25" t="s">
        <v>1459</v>
      </c>
      <c r="P1377" s="26">
        <f ca="1">IFERROR(VLOOKUP(DadosViagem5[[#This Row],[Placa]],[1]BIP!A:E,5,FALSE),"")</f>
        <v>45989</v>
      </c>
      <c r="Q1377" s="27">
        <f ca="1">DATEDIF(DadosViagem5[[#This Row],[BIP]],TODAY(),"D")</f>
        <v>1</v>
      </c>
      <c r="R1377" s="28" t="str">
        <f>IFERROR(VLOOKUP(DadosViagem5[[#This Row],[Placa]],[1]DDS!B:C,2,FALSE),"Verificar cadastro")</f>
        <v>Operando</v>
      </c>
      <c r="S1377" s="29" t="s">
        <v>48</v>
      </c>
      <c r="T1377" s="23"/>
      <c r="U1377" s="30"/>
      <c r="V1377" s="31"/>
      <c r="W1377" s="32" t="s">
        <v>1473</v>
      </c>
      <c r="X1377" s="33"/>
      <c r="Y1377" s="34"/>
      <c r="Z1377" s="32"/>
      <c r="AA1377" s="161" t="s">
        <v>49</v>
      </c>
      <c r="AB1377" s="161" t="s">
        <v>49</v>
      </c>
      <c r="AC1377" s="162" t="s">
        <v>49</v>
      </c>
      <c r="AD1377" s="162" t="str">
        <f ca="1">IFERROR(DATEDIF(DadosViagem5[[#This Row],[Utimo Bip Reserva]],TODAY(),"D"),"")</f>
        <v/>
      </c>
      <c r="AE1377" s="23" t="s">
        <v>49</v>
      </c>
      <c r="AF1377" s="30" t="s">
        <v>49</v>
      </c>
      <c r="AG1377" s="23"/>
      <c r="AH1377" s="30">
        <v>45807</v>
      </c>
      <c r="AI1377" s="23" t="str">
        <f>IF(DadosViagem5[[#This Row],[Dias em manutenção ]]&lt;5,"Dentro do Prazo","Fora do Prazo")</f>
        <v>Fora do Prazo</v>
      </c>
      <c r="AJ1377" s="23" t="e">
        <v>#REF!</v>
      </c>
    </row>
    <row r="1378" spans="1:36">
      <c r="A1378" s="19" t="s">
        <v>2338</v>
      </c>
      <c r="B1378" s="20">
        <v>348</v>
      </c>
      <c r="C1378" s="19" t="s">
        <v>74</v>
      </c>
      <c r="D1378" s="19" t="s">
        <v>52</v>
      </c>
      <c r="E1378" s="19" t="s">
        <v>75</v>
      </c>
      <c r="F1378" s="19" t="s">
        <v>76</v>
      </c>
      <c r="G1378" s="19"/>
      <c r="H1378" s="20">
        <v>2023</v>
      </c>
      <c r="I1378" s="37" t="s">
        <v>1738</v>
      </c>
      <c r="J1378" s="37" t="s">
        <v>2339</v>
      </c>
      <c r="K1378" s="38" t="s">
        <v>2340</v>
      </c>
      <c r="L1378" s="39" t="s">
        <v>60</v>
      </c>
      <c r="M1378" s="23" t="s">
        <v>77</v>
      </c>
      <c r="N1378" s="24" t="s">
        <v>2341</v>
      </c>
      <c r="O1378" s="24" t="s">
        <v>2342</v>
      </c>
      <c r="P1378" s="26">
        <f ca="1">IFERROR(VLOOKUP(DadosViagem5[[#This Row],[Placa]],[1]BIP!A:E,5,FALSE),"")</f>
        <v>45989</v>
      </c>
      <c r="Q1378" s="27">
        <f ca="1">DATEDIF(DadosViagem5[[#This Row],[BIP]],TODAY(),"D")</f>
        <v>1</v>
      </c>
      <c r="R1378" s="28" t="str">
        <f>IFERROR(VLOOKUP(DadosViagem5[[#This Row],[Placa]],[1]DDS!B:C,2,FALSE),"Verificar cadastro")</f>
        <v>Operando</v>
      </c>
      <c r="S1378" s="29" t="s">
        <v>48</v>
      </c>
      <c r="T1378" s="46"/>
      <c r="U1378" s="163"/>
      <c r="V1378" s="47"/>
      <c r="W1378" s="43" t="s">
        <v>2343</v>
      </c>
      <c r="X1378" s="139"/>
      <c r="Y1378" s="34"/>
      <c r="Z1378" s="32"/>
      <c r="AA1378" s="135" t="s">
        <v>49</v>
      </c>
      <c r="AB1378" s="135" t="s">
        <v>49</v>
      </c>
      <c r="AC1378" s="37" t="s">
        <v>49</v>
      </c>
      <c r="AD1378" s="37" t="str">
        <f ca="1">IFERROR(DATEDIF(DadosViagem5[[#This Row],[Utimo Bip Reserva]],TODAY(),"D"),"")</f>
        <v/>
      </c>
      <c r="AE1378" s="40" t="s">
        <v>49</v>
      </c>
      <c r="AF1378" s="40" t="s">
        <v>49</v>
      </c>
      <c r="AG1378" s="24" t="s">
        <v>997</v>
      </c>
      <c r="AH1378" s="25">
        <v>45807</v>
      </c>
      <c r="AI1378" s="36" t="str">
        <f>IF(DadosViagem5[[#This Row],[Dias em manutenção ]]&lt;5,"Dentro do Prazo","Fora do Prazo")</f>
        <v>Fora do Prazo</v>
      </c>
      <c r="AJ1378" s="68" t="e">
        <v>#REF!</v>
      </c>
    </row>
    <row r="1379" spans="1:36">
      <c r="A1379" s="19" t="s">
        <v>2344</v>
      </c>
      <c r="B1379" s="20"/>
      <c r="C1379" s="19" t="s">
        <v>74</v>
      </c>
      <c r="D1379" s="19" t="s">
        <v>52</v>
      </c>
      <c r="E1379" s="19" t="s">
        <v>75</v>
      </c>
      <c r="F1379" s="19" t="s">
        <v>76</v>
      </c>
      <c r="G1379" s="19"/>
      <c r="H1379" s="20">
        <v>2024</v>
      </c>
      <c r="I1379" s="19" t="s">
        <v>1738</v>
      </c>
      <c r="J1379" s="19" t="s">
        <v>2339</v>
      </c>
      <c r="K1379" s="21" t="s">
        <v>2340</v>
      </c>
      <c r="L1379" s="22" t="s">
        <v>60</v>
      </c>
      <c r="M1379" s="23" t="s">
        <v>77</v>
      </c>
      <c r="N1379" s="36" t="s">
        <v>2341</v>
      </c>
      <c r="O1379" s="36" t="s">
        <v>2342</v>
      </c>
      <c r="P1379" s="26">
        <f ca="1">IFERROR(VLOOKUP(DadosViagem5[[#This Row],[Placa]],[1]BIP!A:E,5,FALSE),"")</f>
        <v>45989</v>
      </c>
      <c r="Q1379" s="27">
        <f ca="1">DATEDIF(DadosViagem5[[#This Row],[BIP]],TODAY(),"D")</f>
        <v>1</v>
      </c>
      <c r="R1379" s="28" t="str">
        <f>IFERROR(VLOOKUP(DadosViagem5[[#This Row],[Placa]],[1]DDS!B:C,2,FALSE),"Verificar cadastro")</f>
        <v>Operando</v>
      </c>
      <c r="S1379" s="29" t="s">
        <v>48</v>
      </c>
      <c r="T1379" s="23"/>
      <c r="U1379" s="30"/>
      <c r="V1379" s="31"/>
      <c r="W1379" s="32"/>
      <c r="X1379" s="33"/>
      <c r="Y1379" s="34"/>
      <c r="Z1379" s="32"/>
      <c r="AA1379" s="20" t="s">
        <v>49</v>
      </c>
      <c r="AB1379" s="20" t="s">
        <v>49</v>
      </c>
      <c r="AC1379" s="19" t="s">
        <v>49</v>
      </c>
      <c r="AD1379" s="19" t="str">
        <f ca="1">IFERROR(DATEDIF(DadosViagem5[[#This Row],[Utimo Bip Reserva]],TODAY(),"D"),"")</f>
        <v/>
      </c>
      <c r="AE1379" s="16"/>
      <c r="AF1379" s="16"/>
      <c r="AG1379" s="36" t="s">
        <v>997</v>
      </c>
      <c r="AH1379" s="25">
        <v>45807</v>
      </c>
      <c r="AI1379" s="36" t="str">
        <f>IF(DadosViagem5[[#This Row],[Dias em manutenção ]]&lt;5,"Dentro do Prazo","Fora do Prazo")</f>
        <v>Fora do Prazo</v>
      </c>
      <c r="AJ1379" s="36" t="e">
        <v>#REF!</v>
      </c>
    </row>
    <row r="1380" spans="1:36">
      <c r="A1380" s="19" t="s">
        <v>2345</v>
      </c>
      <c r="B1380" s="20"/>
      <c r="C1380" s="19" t="s">
        <v>74</v>
      </c>
      <c r="D1380" s="19" t="s">
        <v>52</v>
      </c>
      <c r="E1380" s="19" t="s">
        <v>75</v>
      </c>
      <c r="F1380" s="19" t="s">
        <v>76</v>
      </c>
      <c r="G1380" s="19"/>
      <c r="H1380" s="20">
        <v>2024</v>
      </c>
      <c r="I1380" s="19" t="s">
        <v>1738</v>
      </c>
      <c r="J1380" s="19" t="s">
        <v>2339</v>
      </c>
      <c r="K1380" s="21" t="s">
        <v>2340</v>
      </c>
      <c r="L1380" s="22" t="s">
        <v>60</v>
      </c>
      <c r="M1380" s="23" t="s">
        <v>77</v>
      </c>
      <c r="N1380" s="36" t="s">
        <v>2341</v>
      </c>
      <c r="O1380" s="36" t="s">
        <v>2342</v>
      </c>
      <c r="P1380" s="26">
        <f ca="1">IFERROR(VLOOKUP(DadosViagem5[[#This Row],[Placa]],[1]BIP!A:E,5,FALSE),"")</f>
        <v>45989</v>
      </c>
      <c r="Q1380" s="27">
        <f ca="1">DATEDIF(DadosViagem5[[#This Row],[BIP]],TODAY(),"D")</f>
        <v>1</v>
      </c>
      <c r="R1380" s="28" t="str">
        <f>IFERROR(VLOOKUP(DadosViagem5[[#This Row],[Placa]],[1]DDS!B:C,2,FALSE),"Verificar cadastro")</f>
        <v>Operando</v>
      </c>
      <c r="S1380" s="29" t="s">
        <v>48</v>
      </c>
      <c r="T1380" s="23"/>
      <c r="U1380" s="30"/>
      <c r="V1380" s="31"/>
      <c r="W1380" s="32" t="s">
        <v>2346</v>
      </c>
      <c r="X1380" s="33"/>
      <c r="Y1380" s="34"/>
      <c r="Z1380" s="32"/>
      <c r="AA1380" s="20" t="s">
        <v>49</v>
      </c>
      <c r="AB1380" s="20" t="s">
        <v>49</v>
      </c>
      <c r="AC1380" s="19" t="s">
        <v>49</v>
      </c>
      <c r="AD1380" s="19" t="str">
        <f ca="1">IFERROR(DATEDIF(DadosViagem5[[#This Row],[Utimo Bip Reserva]],TODAY(),"D"),"")</f>
        <v/>
      </c>
      <c r="AE1380" s="36"/>
      <c r="AF1380" s="25"/>
      <c r="AG1380" s="36"/>
      <c r="AH1380" s="25">
        <v>45807</v>
      </c>
      <c r="AI1380" s="36" t="str">
        <f>IF(DadosViagem5[[#This Row],[Dias em manutenção ]]&lt;5,"Dentro do Prazo","Fora do Prazo")</f>
        <v>Fora do Prazo</v>
      </c>
      <c r="AJ1380" s="36" t="e">
        <v>#REF!</v>
      </c>
    </row>
    <row r="1381" spans="1:36">
      <c r="A1381" s="19" t="s">
        <v>2347</v>
      </c>
      <c r="B1381" s="20">
        <v>350</v>
      </c>
      <c r="C1381" s="19" t="s">
        <v>74</v>
      </c>
      <c r="D1381" s="19" t="s">
        <v>52</v>
      </c>
      <c r="E1381" s="19" t="s">
        <v>75</v>
      </c>
      <c r="F1381" s="19" t="s">
        <v>76</v>
      </c>
      <c r="G1381" s="19"/>
      <c r="H1381" s="20">
        <v>2023</v>
      </c>
      <c r="I1381" s="19" t="s">
        <v>1738</v>
      </c>
      <c r="J1381" s="19" t="s">
        <v>2339</v>
      </c>
      <c r="K1381" s="21" t="s">
        <v>2340</v>
      </c>
      <c r="L1381" s="22" t="s">
        <v>60</v>
      </c>
      <c r="M1381" s="23" t="s">
        <v>77</v>
      </c>
      <c r="N1381" s="36" t="s">
        <v>2341</v>
      </c>
      <c r="O1381" s="36" t="s">
        <v>2342</v>
      </c>
      <c r="P1381" s="26">
        <f ca="1">IFERROR(VLOOKUP(DadosViagem5[[#This Row],[Placa]],[1]BIP!A:E,5,FALSE),"")</f>
        <v>45989</v>
      </c>
      <c r="Q1381" s="27">
        <f ca="1">DATEDIF(DadosViagem5[[#This Row],[BIP]],TODAY(),"D")</f>
        <v>1</v>
      </c>
      <c r="R1381" s="28" t="str">
        <f>IFERROR(VLOOKUP(DadosViagem5[[#This Row],[Placa]],[1]DDS!B:C,2,FALSE),"Verificar cadastro")</f>
        <v>Operando</v>
      </c>
      <c r="S1381" s="29" t="s">
        <v>48</v>
      </c>
      <c r="T1381" s="23"/>
      <c r="U1381" s="30"/>
      <c r="V1381" s="31"/>
      <c r="W1381" s="32"/>
      <c r="X1381" s="33"/>
      <c r="Y1381" s="34"/>
      <c r="Z1381" s="32"/>
      <c r="AA1381" s="20" t="s">
        <v>49</v>
      </c>
      <c r="AB1381" s="20" t="s">
        <v>49</v>
      </c>
      <c r="AC1381" s="19" t="s">
        <v>49</v>
      </c>
      <c r="AD1381" s="19" t="str">
        <f ca="1">IFERROR(DATEDIF(DadosViagem5[[#This Row],[Utimo Bip Reserva]],TODAY(),"D"),"")</f>
        <v/>
      </c>
      <c r="AE1381" s="25" t="s">
        <v>49</v>
      </c>
      <c r="AF1381" s="25" t="s">
        <v>49</v>
      </c>
      <c r="AG1381" s="36" t="s">
        <v>997</v>
      </c>
      <c r="AH1381" s="25">
        <v>16</v>
      </c>
      <c r="AI1381" s="36" t="str">
        <f>IF(DadosViagem5[[#This Row],[Dias em manutenção ]]&lt;5,"Dentro do Prazo","Fora do Prazo")</f>
        <v>Fora do Prazo</v>
      </c>
      <c r="AJ1381" s="36" t="e">
        <v>#REF!</v>
      </c>
    </row>
    <row r="1382" spans="1:36">
      <c r="A1382" s="19" t="s">
        <v>2348</v>
      </c>
      <c r="B1382" s="20"/>
      <c r="C1382" s="19" t="s">
        <v>562</v>
      </c>
      <c r="D1382" s="19" t="s">
        <v>563</v>
      </c>
      <c r="E1382" s="19" t="s">
        <v>114</v>
      </c>
      <c r="F1382" s="19" t="s">
        <v>115</v>
      </c>
      <c r="G1382" s="19"/>
      <c r="H1382" s="20">
        <v>2022</v>
      </c>
      <c r="I1382" s="19" t="s">
        <v>41</v>
      </c>
      <c r="J1382" s="19" t="s">
        <v>2349</v>
      </c>
      <c r="K1382" s="66" t="s">
        <v>2350</v>
      </c>
      <c r="L1382" s="22" t="s">
        <v>60</v>
      </c>
      <c r="M1382" s="23" t="s">
        <v>290</v>
      </c>
      <c r="N1382" s="36" t="s">
        <v>2351</v>
      </c>
      <c r="O1382" s="36" t="s">
        <v>270</v>
      </c>
      <c r="P1382" s="26">
        <f ca="1">IFERROR(VLOOKUP(DadosViagem5[[#This Row],[Placa]],[1]BIP!A:E,5,FALSE),"")</f>
        <v>45989</v>
      </c>
      <c r="Q1382" s="27">
        <f ca="1">DATEDIF(DadosViagem5[[#This Row],[BIP]],TODAY(),"D")</f>
        <v>1</v>
      </c>
      <c r="R1382" s="28" t="str">
        <f>IFERROR(VLOOKUP(DadosViagem5[[#This Row],[Placa]],[1]DDS!B:C,2,FALSE),"Verificar cadastro")</f>
        <v>Operando</v>
      </c>
      <c r="S1382" s="36" t="s">
        <v>574</v>
      </c>
      <c r="T1382" s="23"/>
      <c r="U1382" s="30"/>
      <c r="V1382" s="31"/>
      <c r="W1382" s="32" t="s">
        <v>2283</v>
      </c>
      <c r="X1382" s="33"/>
      <c r="Y1382" s="34"/>
      <c r="Z1382" s="32"/>
      <c r="AA1382" s="20" t="s">
        <v>49</v>
      </c>
      <c r="AB1382" s="20" t="s">
        <v>49</v>
      </c>
      <c r="AC1382" s="19" t="s">
        <v>49</v>
      </c>
      <c r="AD1382" s="19" t="str">
        <f ca="1">IFERROR(DATEDIF(DadosViagem5[[#This Row],[Utimo Bip Reserva]],TODAY(),"D"),"")</f>
        <v/>
      </c>
      <c r="AE1382" s="36" t="s">
        <v>49</v>
      </c>
      <c r="AF1382" s="25" t="s">
        <v>49</v>
      </c>
      <c r="AG1382" s="36"/>
      <c r="AH1382" s="25">
        <v>45807</v>
      </c>
      <c r="AI1382" s="36" t="str">
        <f>IF(DadosViagem5[[#This Row],[Dias em manutenção ]]&lt;5,"Dentro do Prazo","Fora do Prazo")</f>
        <v>Fora do Prazo</v>
      </c>
      <c r="AJ1382" s="36" t="e">
        <v>#REF!</v>
      </c>
    </row>
    <row r="1383" spans="1:36">
      <c r="A1383" s="19" t="s">
        <v>2352</v>
      </c>
      <c r="B1383" s="20"/>
      <c r="C1383" s="19" t="s">
        <v>562</v>
      </c>
      <c r="D1383" s="19" t="s">
        <v>563</v>
      </c>
      <c r="E1383" s="19" t="s">
        <v>114</v>
      </c>
      <c r="F1383" s="19" t="s">
        <v>115</v>
      </c>
      <c r="G1383" s="19"/>
      <c r="H1383" s="20">
        <v>2022</v>
      </c>
      <c r="I1383" s="19" t="s">
        <v>41</v>
      </c>
      <c r="J1383" s="19" t="s">
        <v>2349</v>
      </c>
      <c r="K1383" s="66" t="s">
        <v>2350</v>
      </c>
      <c r="L1383" s="22" t="s">
        <v>60</v>
      </c>
      <c r="M1383" s="23" t="s">
        <v>290</v>
      </c>
      <c r="N1383" s="36" t="s">
        <v>2351</v>
      </c>
      <c r="O1383" s="36" t="s">
        <v>270</v>
      </c>
      <c r="P1383" s="26">
        <f ca="1">IFERROR(VLOOKUP(DadosViagem5[[#This Row],[Placa]],[1]BIP!A:E,5,FALSE),"")</f>
        <v>45989</v>
      </c>
      <c r="Q1383" s="27">
        <f ca="1">DATEDIF(DadosViagem5[[#This Row],[BIP]],TODAY(),"D")</f>
        <v>1</v>
      </c>
      <c r="R1383" s="28" t="str">
        <f>IFERROR(VLOOKUP(DadosViagem5[[#This Row],[Placa]],[1]DDS!B:C,2,FALSE),"Verificar cadastro")</f>
        <v>Operando</v>
      </c>
      <c r="S1383" s="29" t="s">
        <v>48</v>
      </c>
      <c r="T1383" s="23"/>
      <c r="U1383" s="30"/>
      <c r="V1383" s="31"/>
      <c r="W1383" s="32" t="s">
        <v>2283</v>
      </c>
      <c r="X1383" s="33"/>
      <c r="Y1383" s="34"/>
      <c r="Z1383" s="42"/>
      <c r="AA1383" s="20" t="s">
        <v>49</v>
      </c>
      <c r="AB1383" s="20" t="s">
        <v>49</v>
      </c>
      <c r="AC1383" s="19" t="s">
        <v>49</v>
      </c>
      <c r="AD1383" s="19" t="str">
        <f ca="1">IFERROR(DATEDIF(DadosViagem5[[#This Row],[Utimo Bip Reserva]],TODAY(),"D"),"")</f>
        <v/>
      </c>
      <c r="AE1383" s="36" t="s">
        <v>49</v>
      </c>
      <c r="AF1383" s="25" t="s">
        <v>49</v>
      </c>
      <c r="AG1383" s="36"/>
      <c r="AH1383" s="25">
        <v>45807</v>
      </c>
      <c r="AI1383" s="36" t="str">
        <f>IF(DadosViagem5[[#This Row],[Dias em manutenção ]]&lt;5,"Dentro do Prazo","Fora do Prazo")</f>
        <v>Fora do Prazo</v>
      </c>
      <c r="AJ1383" s="36" t="e">
        <v>#REF!</v>
      </c>
    </row>
    <row r="1384" spans="1:36">
      <c r="A1384" s="19" t="s">
        <v>2353</v>
      </c>
      <c r="B1384" s="20"/>
      <c r="C1384" s="19" t="s">
        <v>1013</v>
      </c>
      <c r="D1384" s="19" t="s">
        <v>1014</v>
      </c>
      <c r="E1384" s="19" t="s">
        <v>114</v>
      </c>
      <c r="F1384" s="19" t="s">
        <v>115</v>
      </c>
      <c r="G1384" s="19"/>
      <c r="H1384" s="20">
        <v>2023</v>
      </c>
      <c r="I1384" s="19" t="s">
        <v>41</v>
      </c>
      <c r="J1384" s="19" t="s">
        <v>2349</v>
      </c>
      <c r="K1384" s="88" t="s">
        <v>2350</v>
      </c>
      <c r="L1384" s="22" t="s">
        <v>60</v>
      </c>
      <c r="M1384" s="23" t="s">
        <v>290</v>
      </c>
      <c r="N1384" s="36" t="s">
        <v>2351</v>
      </c>
      <c r="O1384" s="36" t="s">
        <v>270</v>
      </c>
      <c r="P1384" s="26">
        <f ca="1">IFERROR(VLOOKUP(DadosViagem5[[#This Row],[Placa]],[1]BIP!A:E,5,FALSE),"")</f>
        <v>45989</v>
      </c>
      <c r="Q1384" s="27">
        <f ca="1">DATEDIF(DadosViagem5[[#This Row],[BIP]],TODAY(),"D")</f>
        <v>1</v>
      </c>
      <c r="R1384" s="28" t="str">
        <f>IFERROR(VLOOKUP(DadosViagem5[[#This Row],[Placa]],[1]DDS!B:C,2,FALSE),"Verificar cadastro")</f>
        <v>Operando</v>
      </c>
      <c r="S1384" s="29" t="s">
        <v>48</v>
      </c>
      <c r="T1384" s="23"/>
      <c r="U1384" s="30"/>
      <c r="V1384" s="31"/>
      <c r="W1384" s="32" t="s">
        <v>2283</v>
      </c>
      <c r="X1384" s="33"/>
      <c r="Y1384" s="34"/>
      <c r="Z1384" s="32"/>
      <c r="AA1384" s="20" t="s">
        <v>49</v>
      </c>
      <c r="AB1384" s="20" t="s">
        <v>49</v>
      </c>
      <c r="AC1384" s="19" t="s">
        <v>49</v>
      </c>
      <c r="AD1384" s="19" t="str">
        <f ca="1">IFERROR(DATEDIF(DadosViagem5[[#This Row],[Utimo Bip Reserva]],TODAY(),"D"),"")</f>
        <v/>
      </c>
      <c r="AE1384" s="36" t="s">
        <v>49</v>
      </c>
      <c r="AF1384" s="25" t="s">
        <v>49</v>
      </c>
      <c r="AG1384" s="36"/>
      <c r="AH1384" s="25">
        <v>45807</v>
      </c>
      <c r="AI1384" s="36" t="str">
        <f>IF(DadosViagem5[[#This Row],[Dias em manutenção ]]&lt;5,"Dentro do Prazo","Fora do Prazo")</f>
        <v>Fora do Prazo</v>
      </c>
      <c r="AJ1384" s="36" t="e">
        <v>#REF!</v>
      </c>
    </row>
    <row r="1385" spans="1:36">
      <c r="A1385" s="19" t="s">
        <v>2354</v>
      </c>
      <c r="B1385" s="20"/>
      <c r="C1385" s="19" t="s">
        <v>1013</v>
      </c>
      <c r="D1385" s="19" t="s">
        <v>1014</v>
      </c>
      <c r="E1385" s="19" t="s">
        <v>114</v>
      </c>
      <c r="F1385" s="19" t="s">
        <v>115</v>
      </c>
      <c r="G1385" s="19"/>
      <c r="H1385" s="20">
        <v>2023</v>
      </c>
      <c r="I1385" s="19" t="s">
        <v>41</v>
      </c>
      <c r="J1385" s="19" t="s">
        <v>2349</v>
      </c>
      <c r="K1385" s="66" t="s">
        <v>2350</v>
      </c>
      <c r="L1385" s="22" t="s">
        <v>60</v>
      </c>
      <c r="M1385" s="23" t="s">
        <v>290</v>
      </c>
      <c r="N1385" s="36" t="s">
        <v>2351</v>
      </c>
      <c r="O1385" s="36" t="s">
        <v>270</v>
      </c>
      <c r="P1385" s="26">
        <f ca="1">IFERROR(VLOOKUP(DadosViagem5[[#This Row],[Placa]],[1]BIP!A:E,5,FALSE),"")</f>
        <v>45964</v>
      </c>
      <c r="Q1385" s="27">
        <f ca="1">DATEDIF(DadosViagem5[[#This Row],[BIP]],TODAY(),"D")</f>
        <v>26</v>
      </c>
      <c r="R1385" s="28" t="str">
        <f>IFERROR(VLOOKUP(DadosViagem5[[#This Row],[Placa]],[1]DDS!B:C,2,FALSE),"Verificar cadastro")</f>
        <v>Manutenção</v>
      </c>
      <c r="S1385" s="29" t="s">
        <v>1955</v>
      </c>
      <c r="T1385" s="23"/>
      <c r="U1385" s="30"/>
      <c r="V1385" s="31"/>
      <c r="W1385" s="116" t="s">
        <v>1107</v>
      </c>
      <c r="X1385" s="33"/>
      <c r="Y1385" s="34"/>
      <c r="Z1385" s="32"/>
      <c r="AA1385" s="20" t="s">
        <v>49</v>
      </c>
      <c r="AB1385" s="20" t="s">
        <v>49</v>
      </c>
      <c r="AC1385" s="19" t="s">
        <v>49</v>
      </c>
      <c r="AD1385" s="19" t="str">
        <f ca="1">IFERROR(DATEDIF(DadosViagem5[[#This Row],[Utimo Bip Reserva]],TODAY(),"D"),"")</f>
        <v/>
      </c>
      <c r="AE1385" s="36"/>
      <c r="AF1385" s="25" t="s">
        <v>49</v>
      </c>
      <c r="AG1385" s="36"/>
      <c r="AH1385" s="25">
        <v>58</v>
      </c>
      <c r="AI1385" s="36" t="str">
        <f>IF(DadosViagem5[[#This Row],[Dias em manutenção ]]&lt;5,"Dentro do Prazo","Fora do Prazo")</f>
        <v>Fora do Prazo</v>
      </c>
      <c r="AJ1385" s="36" t="e">
        <v>#REF!</v>
      </c>
    </row>
    <row r="1386" spans="1:36">
      <c r="A1386" s="19" t="s">
        <v>2355</v>
      </c>
      <c r="B1386" s="20"/>
      <c r="C1386" s="19" t="s">
        <v>562</v>
      </c>
      <c r="D1386" s="19" t="s">
        <v>563</v>
      </c>
      <c r="E1386" s="19" t="s">
        <v>114</v>
      </c>
      <c r="F1386" s="19" t="s">
        <v>115</v>
      </c>
      <c r="G1386" s="19"/>
      <c r="H1386" s="20">
        <v>2022</v>
      </c>
      <c r="I1386" s="19" t="s">
        <v>41</v>
      </c>
      <c r="J1386" s="19" t="s">
        <v>2349</v>
      </c>
      <c r="K1386" s="66" t="s">
        <v>2350</v>
      </c>
      <c r="L1386" s="22" t="s">
        <v>60</v>
      </c>
      <c r="M1386" s="23" t="s">
        <v>290</v>
      </c>
      <c r="N1386" s="36" t="s">
        <v>2351</v>
      </c>
      <c r="O1386" s="36" t="s">
        <v>270</v>
      </c>
      <c r="P1386" s="26">
        <f ca="1">IFERROR(VLOOKUP(DadosViagem5[[#This Row],[Placa]],[1]BIP!A:E,5,FALSE),"")</f>
        <v>45989</v>
      </c>
      <c r="Q1386" s="27">
        <f ca="1">DATEDIF(DadosViagem5[[#This Row],[BIP]],TODAY(),"D")</f>
        <v>1</v>
      </c>
      <c r="R1386" s="28" t="str">
        <f>IFERROR(VLOOKUP(DadosViagem5[[#This Row],[Placa]],[1]DDS!B:C,2,FALSE),"Verificar cadastro")</f>
        <v> </v>
      </c>
      <c r="S1386" s="29" t="s">
        <v>48</v>
      </c>
      <c r="T1386" s="23"/>
      <c r="U1386" s="30"/>
      <c r="V1386" s="31"/>
      <c r="W1386" s="32" t="s">
        <v>2283</v>
      </c>
      <c r="X1386" s="33"/>
      <c r="Y1386" s="34"/>
      <c r="Z1386" s="32"/>
      <c r="AA1386" s="20" t="s">
        <v>49</v>
      </c>
      <c r="AB1386" s="20" t="s">
        <v>49</v>
      </c>
      <c r="AC1386" s="19" t="s">
        <v>49</v>
      </c>
      <c r="AD1386" s="19" t="str">
        <f ca="1">IFERROR(DATEDIF(DadosViagem5[[#This Row],[Utimo Bip Reserva]],TODAY(),"D"),"")</f>
        <v/>
      </c>
      <c r="AE1386" s="36" t="s">
        <v>2356</v>
      </c>
      <c r="AF1386" s="25"/>
      <c r="AG1386" s="36"/>
      <c r="AH1386" s="25">
        <v>45807</v>
      </c>
      <c r="AI1386" s="36" t="str">
        <f>IF(DadosViagem5[[#This Row],[Dias em manutenção ]]&lt;5,"Dentro do Prazo","Fora do Prazo")</f>
        <v>Fora do Prazo</v>
      </c>
      <c r="AJ1386" s="36" t="e">
        <v>#REF!</v>
      </c>
    </row>
    <row r="1387" spans="1:36">
      <c r="A1387" s="19" t="s">
        <v>2357</v>
      </c>
      <c r="B1387" s="20"/>
      <c r="C1387" s="19" t="s">
        <v>562</v>
      </c>
      <c r="D1387" s="19" t="s">
        <v>563</v>
      </c>
      <c r="E1387" s="19" t="s">
        <v>114</v>
      </c>
      <c r="F1387" s="19" t="s">
        <v>115</v>
      </c>
      <c r="G1387" s="19"/>
      <c r="H1387" s="20">
        <v>2022</v>
      </c>
      <c r="I1387" s="19" t="s">
        <v>41</v>
      </c>
      <c r="J1387" s="19" t="s">
        <v>2349</v>
      </c>
      <c r="K1387" s="66" t="s">
        <v>2350</v>
      </c>
      <c r="L1387" s="22" t="s">
        <v>60</v>
      </c>
      <c r="M1387" s="23" t="s">
        <v>290</v>
      </c>
      <c r="N1387" s="36" t="s">
        <v>2351</v>
      </c>
      <c r="O1387" s="36" t="s">
        <v>270</v>
      </c>
      <c r="P1387" s="26">
        <f ca="1">IFERROR(VLOOKUP(DadosViagem5[[#This Row],[Placa]],[1]BIP!A:E,5,FALSE),"")</f>
        <v>45989</v>
      </c>
      <c r="Q1387" s="27">
        <f ca="1">DATEDIF(DadosViagem5[[#This Row],[BIP]],TODAY(),"D")</f>
        <v>1</v>
      </c>
      <c r="R1387" s="28" t="str">
        <f>IFERROR(VLOOKUP(DadosViagem5[[#This Row],[Placa]],[1]DDS!B:C,2,FALSE),"Verificar cadastro")</f>
        <v>Operando</v>
      </c>
      <c r="S1387" s="29" t="s">
        <v>48</v>
      </c>
      <c r="T1387" s="23"/>
      <c r="U1387" s="30"/>
      <c r="V1387" s="31"/>
      <c r="W1387" s="32" t="s">
        <v>2283</v>
      </c>
      <c r="X1387" s="33"/>
      <c r="Y1387" s="34"/>
      <c r="Z1387" s="32"/>
      <c r="AA1387" s="20" t="s">
        <v>49</v>
      </c>
      <c r="AB1387" s="20" t="s">
        <v>49</v>
      </c>
      <c r="AC1387" s="19" t="s">
        <v>49</v>
      </c>
      <c r="AD1387" s="19" t="str">
        <f ca="1">IFERROR(DATEDIF(DadosViagem5[[#This Row],[Utimo Bip Reserva]],TODAY(),"D"),"")</f>
        <v/>
      </c>
      <c r="AE1387" s="36" t="s">
        <v>49</v>
      </c>
      <c r="AF1387" s="25" t="s">
        <v>49</v>
      </c>
      <c r="AG1387" s="36"/>
      <c r="AH1387" s="25">
        <v>45807</v>
      </c>
      <c r="AI1387" s="36" t="str">
        <f>IF(DadosViagem5[[#This Row],[Dias em manutenção ]]&lt;5,"Dentro do Prazo","Fora do Prazo")</f>
        <v>Fora do Prazo</v>
      </c>
      <c r="AJ1387" s="36" t="e">
        <v>#REF!</v>
      </c>
    </row>
    <row r="1388" spans="1:36">
      <c r="A1388" s="19" t="s">
        <v>2358</v>
      </c>
      <c r="B1388" s="20"/>
      <c r="C1388" s="19" t="s">
        <v>562</v>
      </c>
      <c r="D1388" s="19" t="s">
        <v>563</v>
      </c>
      <c r="E1388" s="19" t="s">
        <v>114</v>
      </c>
      <c r="F1388" s="19" t="s">
        <v>115</v>
      </c>
      <c r="G1388" s="19"/>
      <c r="H1388" s="20">
        <v>2022</v>
      </c>
      <c r="I1388" s="19" t="s">
        <v>41</v>
      </c>
      <c r="J1388" s="19" t="s">
        <v>2349</v>
      </c>
      <c r="K1388" s="66" t="s">
        <v>2350</v>
      </c>
      <c r="L1388" s="22" t="s">
        <v>60</v>
      </c>
      <c r="M1388" s="23" t="s">
        <v>290</v>
      </c>
      <c r="N1388" s="36" t="s">
        <v>2351</v>
      </c>
      <c r="O1388" s="36" t="s">
        <v>270</v>
      </c>
      <c r="P1388" s="26">
        <f ca="1">IFERROR(VLOOKUP(DadosViagem5[[#This Row],[Placa]],[1]BIP!A:E,5,FALSE),"")</f>
        <v>45989</v>
      </c>
      <c r="Q1388" s="27">
        <f ca="1">DATEDIF(DadosViagem5[[#This Row],[BIP]],TODAY(),"D")</f>
        <v>1</v>
      </c>
      <c r="R1388" s="28" t="str">
        <f>IFERROR(VLOOKUP(DadosViagem5[[#This Row],[Placa]],[1]DDS!B:C,2,FALSE),"Verificar cadastro")</f>
        <v> </v>
      </c>
      <c r="S1388" s="29" t="s">
        <v>48</v>
      </c>
      <c r="T1388" s="23"/>
      <c r="U1388" s="30"/>
      <c r="V1388" s="31"/>
      <c r="W1388" s="116" t="s">
        <v>1938</v>
      </c>
      <c r="X1388" s="33"/>
      <c r="Y1388" s="34"/>
      <c r="Z1388" s="32"/>
      <c r="AA1388" s="20" t="s">
        <v>49</v>
      </c>
      <c r="AB1388" s="20" t="s">
        <v>49</v>
      </c>
      <c r="AC1388" s="19" t="s">
        <v>49</v>
      </c>
      <c r="AD1388" s="19" t="str">
        <f ca="1">IFERROR(DATEDIF(DadosViagem5[[#This Row],[Utimo Bip Reserva]],TODAY(),"D"),"")</f>
        <v/>
      </c>
      <c r="AE1388" s="36" t="s">
        <v>49</v>
      </c>
      <c r="AF1388" s="25" t="s">
        <v>49</v>
      </c>
      <c r="AG1388" s="36"/>
      <c r="AH1388" s="25">
        <v>45807</v>
      </c>
      <c r="AI1388" s="36" t="str">
        <f>IF(DadosViagem5[[#This Row],[Dias em manutenção ]]&lt;5,"Dentro do Prazo","Fora do Prazo")</f>
        <v>Fora do Prazo</v>
      </c>
      <c r="AJ1388" s="36" t="e">
        <v>#REF!</v>
      </c>
    </row>
    <row r="1389" spans="1:36">
      <c r="A1389" s="19" t="s">
        <v>2359</v>
      </c>
      <c r="B1389" s="20"/>
      <c r="C1389" s="19" t="s">
        <v>562</v>
      </c>
      <c r="D1389" s="19" t="s">
        <v>563</v>
      </c>
      <c r="E1389" s="19" t="s">
        <v>114</v>
      </c>
      <c r="F1389" s="19" t="s">
        <v>115</v>
      </c>
      <c r="G1389" s="19"/>
      <c r="H1389" s="20">
        <v>2022</v>
      </c>
      <c r="I1389" s="19" t="s">
        <v>41</v>
      </c>
      <c r="J1389" s="19" t="s">
        <v>2349</v>
      </c>
      <c r="K1389" s="66" t="s">
        <v>2350</v>
      </c>
      <c r="L1389" s="22" t="s">
        <v>60</v>
      </c>
      <c r="M1389" s="23" t="s">
        <v>290</v>
      </c>
      <c r="N1389" s="36" t="s">
        <v>2351</v>
      </c>
      <c r="O1389" s="36" t="s">
        <v>270</v>
      </c>
      <c r="P1389" s="26">
        <f ca="1">IFERROR(VLOOKUP(DadosViagem5[[#This Row],[Placa]],[1]BIP!A:E,5,FALSE),"")</f>
        <v>45989</v>
      </c>
      <c r="Q1389" s="27">
        <f ca="1">DATEDIF(DadosViagem5[[#This Row],[BIP]],TODAY(),"D")</f>
        <v>1</v>
      </c>
      <c r="R1389" s="28" t="str">
        <f>IFERROR(VLOOKUP(DadosViagem5[[#This Row],[Placa]],[1]DDS!B:C,2,FALSE),"Verificar cadastro")</f>
        <v>Operando</v>
      </c>
      <c r="S1389" s="29" t="s">
        <v>48</v>
      </c>
      <c r="T1389" s="23"/>
      <c r="U1389" s="30"/>
      <c r="V1389" s="31"/>
      <c r="W1389" s="32" t="s">
        <v>2283</v>
      </c>
      <c r="X1389" s="33"/>
      <c r="Y1389" s="34"/>
      <c r="Z1389" s="32"/>
      <c r="AA1389" s="20" t="s">
        <v>49</v>
      </c>
      <c r="AB1389" s="20" t="s">
        <v>49</v>
      </c>
      <c r="AC1389" s="19" t="s">
        <v>49</v>
      </c>
      <c r="AD1389" s="19" t="str">
        <f ca="1">IFERROR(DATEDIF(DadosViagem5[[#This Row],[Utimo Bip Reserva]],TODAY(),"D"),"")</f>
        <v/>
      </c>
      <c r="AE1389" s="36" t="s">
        <v>49</v>
      </c>
      <c r="AF1389" s="25" t="s">
        <v>49</v>
      </c>
      <c r="AG1389" s="36"/>
      <c r="AH1389" s="25">
        <v>45807</v>
      </c>
      <c r="AI1389" s="36" t="str">
        <f>IF(DadosViagem5[[#This Row],[Dias em manutenção ]]&lt;5,"Dentro do Prazo","Fora do Prazo")</f>
        <v>Fora do Prazo</v>
      </c>
      <c r="AJ1389" s="36" t="e">
        <v>#REF!</v>
      </c>
    </row>
    <row r="1390" spans="1:36">
      <c r="A1390" s="19" t="s">
        <v>2360</v>
      </c>
      <c r="B1390" s="20"/>
      <c r="C1390" s="19" t="s">
        <v>74</v>
      </c>
      <c r="D1390" s="19" t="s">
        <v>52</v>
      </c>
      <c r="E1390" s="19" t="s">
        <v>75</v>
      </c>
      <c r="F1390" s="19" t="s">
        <v>76</v>
      </c>
      <c r="G1390" s="19"/>
      <c r="H1390" s="20">
        <v>2023</v>
      </c>
      <c r="I1390" s="19" t="s">
        <v>41</v>
      </c>
      <c r="J1390" s="19" t="s">
        <v>2361</v>
      </c>
      <c r="K1390" s="21" t="s">
        <v>2362</v>
      </c>
      <c r="L1390" s="22" t="s">
        <v>60</v>
      </c>
      <c r="M1390" s="23" t="s">
        <v>77</v>
      </c>
      <c r="N1390" s="36" t="s">
        <v>2363</v>
      </c>
      <c r="O1390" s="36" t="s">
        <v>472</v>
      </c>
      <c r="P1390" s="26">
        <f ca="1">IFERROR(VLOOKUP(DadosViagem5[[#This Row],[Placa]],[1]BIP!A:E,5,FALSE),"")</f>
        <v>0</v>
      </c>
      <c r="Q1390" s="27">
        <f ca="1">DATEDIF(DadosViagem5[[#This Row],[BIP]],TODAY(),"D")</f>
        <v>45990</v>
      </c>
      <c r="R1390" s="28" t="str">
        <f>IFERROR(VLOOKUP(DadosViagem5[[#This Row],[Placa]],[1]DDS!B:C,2,FALSE),"Verificar cadastro")</f>
        <v>Manutenção</v>
      </c>
      <c r="S1390" s="29" t="s">
        <v>173</v>
      </c>
      <c r="T1390" s="23"/>
      <c r="U1390" s="30"/>
      <c r="V1390" s="31">
        <v>45877</v>
      </c>
      <c r="W1390" s="32" t="s">
        <v>2364</v>
      </c>
      <c r="X1390" s="33" t="s">
        <v>65</v>
      </c>
      <c r="Y1390" s="34" t="s">
        <v>1501</v>
      </c>
      <c r="Z1390" s="42" t="s">
        <v>2365</v>
      </c>
      <c r="AA1390" s="20" t="s">
        <v>49</v>
      </c>
      <c r="AB1390" s="20" t="s">
        <v>49</v>
      </c>
      <c r="AC1390" s="19" t="s">
        <v>49</v>
      </c>
      <c r="AD1390" s="19" t="str">
        <f ca="1">IFERROR(DATEDIF(DadosViagem5[[#This Row],[Utimo Bip Reserva]],TODAY(),"D"),"")</f>
        <v/>
      </c>
      <c r="AE1390" s="36"/>
      <c r="AF1390" s="25"/>
      <c r="AG1390" s="36"/>
      <c r="AH1390" s="25">
        <v>45807</v>
      </c>
      <c r="AI1390" s="36" t="str">
        <f>IF(DadosViagem5[[#This Row],[Dias em manutenção ]]&lt;5,"Dentro do Prazo","Fora do Prazo")</f>
        <v>Fora do Prazo</v>
      </c>
      <c r="AJ1390" s="36" t="e">
        <v>#REF!</v>
      </c>
    </row>
    <row r="1391" spans="1:36">
      <c r="A1391" s="19" t="s">
        <v>2366</v>
      </c>
      <c r="B1391" s="20">
        <v>529</v>
      </c>
      <c r="C1391" s="19" t="s">
        <v>74</v>
      </c>
      <c r="D1391" s="19" t="s">
        <v>52</v>
      </c>
      <c r="E1391" s="19" t="s">
        <v>57</v>
      </c>
      <c r="F1391" s="19" t="s">
        <v>396</v>
      </c>
      <c r="G1391" s="19"/>
      <c r="H1391" s="20">
        <v>2022</v>
      </c>
      <c r="I1391" s="19" t="s">
        <v>41</v>
      </c>
      <c r="J1391" s="19" t="s">
        <v>2361</v>
      </c>
      <c r="K1391" s="21" t="s">
        <v>2362</v>
      </c>
      <c r="L1391" s="22" t="s">
        <v>60</v>
      </c>
      <c r="M1391" s="23" t="s">
        <v>77</v>
      </c>
      <c r="N1391" s="36" t="s">
        <v>2363</v>
      </c>
      <c r="O1391" s="36" t="s">
        <v>472</v>
      </c>
      <c r="P1391" s="26">
        <f ca="1">IFERROR(VLOOKUP(DadosViagem5[[#This Row],[Placa]],[1]BIP!A:E,5,FALSE),"")</f>
        <v>0</v>
      </c>
      <c r="Q1391" s="27">
        <f ca="1">DATEDIF(DadosViagem5[[#This Row],[BIP]],TODAY(),"D")</f>
        <v>45990</v>
      </c>
      <c r="R1391" s="28" t="str">
        <f>IFERROR(VLOOKUP(DadosViagem5[[#This Row],[Placa]],[1]DDS!B:C,2,FALSE),"Verificar cadastro")</f>
        <v>Manutenção</v>
      </c>
      <c r="S1391" s="29" t="s">
        <v>173</v>
      </c>
      <c r="T1391" s="23"/>
      <c r="U1391" s="30"/>
      <c r="V1391" s="31">
        <v>45835</v>
      </c>
      <c r="W1391" s="32" t="s">
        <v>2367</v>
      </c>
      <c r="X1391" s="33" t="s">
        <v>65</v>
      </c>
      <c r="Y1391" s="34" t="s">
        <v>66</v>
      </c>
      <c r="Z1391" s="32" t="s">
        <v>2368</v>
      </c>
      <c r="AA1391" s="20" t="s">
        <v>49</v>
      </c>
      <c r="AB1391" s="20" t="s">
        <v>49</v>
      </c>
      <c r="AC1391" s="19" t="s">
        <v>49</v>
      </c>
      <c r="AD1391" s="19" t="str">
        <f ca="1">IFERROR(DATEDIF(DadosViagem5[[#This Row],[Utimo Bip Reserva]],TODAY(),"D"),"")</f>
        <v/>
      </c>
      <c r="AE1391" s="25"/>
      <c r="AF1391" s="16" t="s">
        <v>49</v>
      </c>
      <c r="AG1391" s="36"/>
      <c r="AH1391" s="25">
        <v>45807</v>
      </c>
      <c r="AI1391" s="36" t="str">
        <f>IF(DadosViagem5[[#This Row],[Dias em manutenção ]]&lt;5,"Dentro do Prazo","Fora do Prazo")</f>
        <v>Fora do Prazo</v>
      </c>
      <c r="AJ1391" s="36" t="s">
        <v>55</v>
      </c>
    </row>
    <row r="1392" spans="1:36">
      <c r="A1392" s="19" t="s">
        <v>2369</v>
      </c>
      <c r="B1392" s="20"/>
      <c r="C1392" s="19" t="s">
        <v>37</v>
      </c>
      <c r="D1392" s="19" t="s">
        <v>38</v>
      </c>
      <c r="E1392" s="19" t="s">
        <v>39</v>
      </c>
      <c r="F1392" s="19" t="s">
        <v>106</v>
      </c>
      <c r="G1392" s="19"/>
      <c r="H1392" s="20">
        <v>2022</v>
      </c>
      <c r="I1392" s="19" t="s">
        <v>41</v>
      </c>
      <c r="J1392" s="19" t="s">
        <v>2361</v>
      </c>
      <c r="K1392" s="21" t="s">
        <v>2362</v>
      </c>
      <c r="L1392" s="22" t="s">
        <v>60</v>
      </c>
      <c r="M1392" s="23" t="s">
        <v>470</v>
      </c>
      <c r="N1392" s="36" t="s">
        <v>2363</v>
      </c>
      <c r="O1392" s="36" t="s">
        <v>472</v>
      </c>
      <c r="P1392" s="26">
        <f ca="1">IFERROR(VLOOKUP(DadosViagem5[[#This Row],[Placa]],[1]BIP!A:E,5,FALSE),"")</f>
        <v>45989</v>
      </c>
      <c r="Q1392" s="27">
        <f ca="1">DATEDIF(DadosViagem5[[#This Row],[BIP]],TODAY(),"D")</f>
        <v>1</v>
      </c>
      <c r="R1392" s="28" t="str">
        <f>IFERROR(VLOOKUP(DadosViagem5[[#This Row],[Placa]],[1]DDS!B:C,2,FALSE),"Verificar cadastro")</f>
        <v>Operando</v>
      </c>
      <c r="S1392" s="29" t="s">
        <v>48</v>
      </c>
      <c r="T1392" s="23"/>
      <c r="U1392" s="30"/>
      <c r="V1392" s="31"/>
      <c r="W1392" s="32" t="s">
        <v>2370</v>
      </c>
      <c r="X1392" s="33"/>
      <c r="Y1392" s="34"/>
      <c r="Z1392" s="42"/>
      <c r="AA1392" s="20" t="s">
        <v>49</v>
      </c>
      <c r="AB1392" s="20" t="s">
        <v>49</v>
      </c>
      <c r="AC1392" s="19" t="s">
        <v>49</v>
      </c>
      <c r="AD1392" s="19" t="str">
        <f ca="1">IFERROR(DATEDIF(DadosViagem5[[#This Row],[Utimo Bip Reserva]],TODAY(),"D"),"")</f>
        <v/>
      </c>
      <c r="AE1392" s="25" t="s">
        <v>49</v>
      </c>
      <c r="AF1392" s="25" t="s">
        <v>49</v>
      </c>
      <c r="AG1392" s="36"/>
      <c r="AH1392" s="25">
        <v>45807</v>
      </c>
      <c r="AI1392" s="36" t="str">
        <f>IF(DadosViagem5[[#This Row],[Dias em manutenção ]]&lt;5,"Dentro do Prazo","Fora do Prazo")</f>
        <v>Fora do Prazo</v>
      </c>
      <c r="AJ1392" s="36" t="e">
        <v>#REF!</v>
      </c>
    </row>
    <row r="1393" spans="1:36">
      <c r="A1393" s="19" t="s">
        <v>2371</v>
      </c>
      <c r="B1393" s="20"/>
      <c r="C1393" s="19" t="s">
        <v>71</v>
      </c>
      <c r="D1393" s="19" t="s">
        <v>38</v>
      </c>
      <c r="E1393" s="19" t="s">
        <v>114</v>
      </c>
      <c r="F1393" s="19" t="s">
        <v>115</v>
      </c>
      <c r="G1393" s="19"/>
      <c r="H1393" s="20">
        <v>2021</v>
      </c>
      <c r="I1393" s="19" t="s">
        <v>41</v>
      </c>
      <c r="J1393" s="19" t="s">
        <v>2361</v>
      </c>
      <c r="K1393" s="21" t="s">
        <v>2362</v>
      </c>
      <c r="L1393" s="22" t="s">
        <v>60</v>
      </c>
      <c r="M1393" s="23" t="s">
        <v>470</v>
      </c>
      <c r="N1393" s="36" t="s">
        <v>2363</v>
      </c>
      <c r="O1393" s="36" t="s">
        <v>472</v>
      </c>
      <c r="P1393" s="26">
        <f ca="1">IFERROR(VLOOKUP(DadosViagem5[[#This Row],[Placa]],[1]BIP!A:E,5,FALSE),"")</f>
        <v>45940</v>
      </c>
      <c r="Q1393" s="27">
        <f ca="1">DATEDIF(DadosViagem5[[#This Row],[BIP]],TODAY(),"D")</f>
        <v>50</v>
      </c>
      <c r="R1393" s="28" t="str">
        <f>IFERROR(VLOOKUP(DadosViagem5[[#This Row],[Placa]],[1]DDS!B:C,2,FALSE),"Verificar cadastro")</f>
        <v>Verificar cadastro</v>
      </c>
      <c r="S1393" s="36" t="s">
        <v>574</v>
      </c>
      <c r="T1393" s="23"/>
      <c r="U1393" s="30"/>
      <c r="V1393" s="31"/>
      <c r="W1393" s="32" t="s">
        <v>2372</v>
      </c>
      <c r="X1393" s="33"/>
      <c r="Y1393" s="34"/>
      <c r="Z1393" s="42"/>
      <c r="AA1393" s="20" t="s">
        <v>49</v>
      </c>
      <c r="AB1393" s="20" t="s">
        <v>49</v>
      </c>
      <c r="AC1393" s="20" t="s">
        <v>49</v>
      </c>
      <c r="AD1393" s="20" t="s">
        <v>49</v>
      </c>
      <c r="AE1393" s="36" t="s">
        <v>2373</v>
      </c>
      <c r="AF1393" s="25" t="s">
        <v>49</v>
      </c>
      <c r="AG1393" s="36"/>
      <c r="AH1393" s="25">
        <v>45807</v>
      </c>
      <c r="AI1393" s="36" t="str">
        <f>IF(DadosViagem5[[#This Row],[Dias em manutenção ]]&lt;5,"Dentro do Prazo","Fora do Prazo")</f>
        <v>Fora do Prazo</v>
      </c>
      <c r="AJ1393" s="36" t="e">
        <v>#REF!</v>
      </c>
    </row>
    <row r="1394" spans="1:36">
      <c r="A1394" s="19" t="s">
        <v>2374</v>
      </c>
      <c r="B1394" s="20"/>
      <c r="C1394" s="19" t="s">
        <v>88</v>
      </c>
      <c r="D1394" s="19" t="s">
        <v>52</v>
      </c>
      <c r="E1394" s="19" t="s">
        <v>114</v>
      </c>
      <c r="F1394" s="19" t="s">
        <v>115</v>
      </c>
      <c r="G1394" s="19"/>
      <c r="H1394" s="20">
        <v>2023</v>
      </c>
      <c r="I1394" s="19" t="s">
        <v>41</v>
      </c>
      <c r="J1394" s="19" t="s">
        <v>2361</v>
      </c>
      <c r="K1394" s="21" t="s">
        <v>2362</v>
      </c>
      <c r="L1394" s="22" t="s">
        <v>60</v>
      </c>
      <c r="M1394" s="23" t="s">
        <v>470</v>
      </c>
      <c r="N1394" s="36" t="s">
        <v>2363</v>
      </c>
      <c r="O1394" s="36" t="s">
        <v>472</v>
      </c>
      <c r="P1394" s="26">
        <f ca="1">IFERROR(VLOOKUP(DadosViagem5[[#This Row],[Placa]],[1]BIP!A:E,5,FALSE),"")</f>
        <v>45989</v>
      </c>
      <c r="Q1394" s="27">
        <f ca="1">DATEDIF(DadosViagem5[[#This Row],[BIP]],TODAY(),"D")</f>
        <v>1</v>
      </c>
      <c r="R1394" s="28" t="str">
        <f>IFERROR(VLOOKUP(DadosViagem5[[#This Row],[Placa]],[1]DDS!B:C,2,FALSE),"Verificar cadastro")</f>
        <v>Operando</v>
      </c>
      <c r="S1394" s="29" t="s">
        <v>2375</v>
      </c>
      <c r="T1394" s="23"/>
      <c r="U1394" s="30"/>
      <c r="V1394" s="31"/>
      <c r="W1394" s="32"/>
      <c r="X1394" s="33"/>
      <c r="Y1394" s="34"/>
      <c r="Z1394" s="42"/>
      <c r="AA1394" s="20" t="s">
        <v>49</v>
      </c>
      <c r="AB1394" s="20" t="s">
        <v>49</v>
      </c>
      <c r="AC1394" s="19" t="s">
        <v>49</v>
      </c>
      <c r="AD1394" s="19" t="str">
        <f ca="1">IFERROR(DATEDIF(DadosViagem5[[#This Row],[Utimo Bip Reserva]],TODAY(),"D"),"")</f>
        <v/>
      </c>
      <c r="AE1394" s="36" t="s">
        <v>49</v>
      </c>
      <c r="AF1394" s="25" t="s">
        <v>49</v>
      </c>
      <c r="AG1394" s="36"/>
      <c r="AH1394" s="25">
        <v>45807</v>
      </c>
      <c r="AI1394" s="36" t="str">
        <f>IF(DadosViagem5[[#This Row],[Dias em manutenção ]]&lt;5,"Dentro do Prazo","Fora do Prazo")</f>
        <v>Fora do Prazo</v>
      </c>
      <c r="AJ1394" s="36" t="e">
        <v>#REF!</v>
      </c>
    </row>
    <row r="1395" spans="1:36">
      <c r="A1395" s="19" t="s">
        <v>2376</v>
      </c>
      <c r="B1395" s="20"/>
      <c r="C1395" s="19" t="s">
        <v>88</v>
      </c>
      <c r="D1395" s="19" t="s">
        <v>52</v>
      </c>
      <c r="E1395" s="19" t="s">
        <v>114</v>
      </c>
      <c r="F1395" s="19" t="s">
        <v>115</v>
      </c>
      <c r="G1395" s="19"/>
      <c r="H1395" s="20">
        <v>2021</v>
      </c>
      <c r="I1395" s="19" t="s">
        <v>41</v>
      </c>
      <c r="J1395" s="19" t="s">
        <v>2361</v>
      </c>
      <c r="K1395" s="21" t="s">
        <v>2362</v>
      </c>
      <c r="L1395" s="22" t="s">
        <v>60</v>
      </c>
      <c r="M1395" s="23" t="s">
        <v>470</v>
      </c>
      <c r="N1395" s="36" t="s">
        <v>2363</v>
      </c>
      <c r="O1395" s="36" t="s">
        <v>472</v>
      </c>
      <c r="P1395" s="26">
        <f ca="1">IFERROR(VLOOKUP(DadosViagem5[[#This Row],[Placa]],[1]BIP!A:E,5,FALSE),"")</f>
        <v>45988</v>
      </c>
      <c r="Q1395" s="27">
        <f ca="1">DATEDIF(DadosViagem5[[#This Row],[BIP]],TODAY(),"D")</f>
        <v>2</v>
      </c>
      <c r="R1395" s="28" t="str">
        <f>IFERROR(VLOOKUP(DadosViagem5[[#This Row],[Placa]],[1]DDS!B:C,2,FALSE),"Verificar cadastro")</f>
        <v>Manutenção</v>
      </c>
      <c r="S1395" s="29" t="s">
        <v>48</v>
      </c>
      <c r="T1395" s="23"/>
      <c r="U1395" s="30"/>
      <c r="V1395" s="31"/>
      <c r="W1395" s="32" t="s">
        <v>2043</v>
      </c>
      <c r="X1395" s="33"/>
      <c r="Y1395" s="34"/>
      <c r="Z1395" s="32"/>
      <c r="AA1395" s="20" t="s">
        <v>49</v>
      </c>
      <c r="AB1395" s="20" t="s">
        <v>49</v>
      </c>
      <c r="AC1395" s="19" t="s">
        <v>49</v>
      </c>
      <c r="AD1395" s="19" t="str">
        <f ca="1">IFERROR(DATEDIF(DadosViagem5[[#This Row],[Utimo Bip Reserva]],TODAY(),"D"),"")</f>
        <v/>
      </c>
      <c r="AE1395" s="36" t="s">
        <v>49</v>
      </c>
      <c r="AF1395" s="25" t="s">
        <v>49</v>
      </c>
      <c r="AG1395" s="36"/>
      <c r="AH1395" s="25">
        <v>45807</v>
      </c>
      <c r="AI1395" s="36" t="str">
        <f>IF(DadosViagem5[[#This Row],[Dias em manutenção ]]&lt;5,"Dentro do Prazo","Fora do Prazo")</f>
        <v>Fora do Prazo</v>
      </c>
      <c r="AJ1395" s="36" t="e">
        <v>#REF!</v>
      </c>
    </row>
    <row r="1396" spans="1:36">
      <c r="A1396" s="19" t="s">
        <v>2377</v>
      </c>
      <c r="B1396" s="20">
        <v>402</v>
      </c>
      <c r="C1396" s="19" t="s">
        <v>74</v>
      </c>
      <c r="D1396" s="19" t="s">
        <v>52</v>
      </c>
      <c r="E1396" s="19" t="s">
        <v>57</v>
      </c>
      <c r="F1396" s="19" t="s">
        <v>40</v>
      </c>
      <c r="G1396" s="19"/>
      <c r="H1396" s="20">
        <v>2022</v>
      </c>
      <c r="I1396" s="19" t="s">
        <v>41</v>
      </c>
      <c r="J1396" s="19" t="s">
        <v>2361</v>
      </c>
      <c r="K1396" s="21" t="s">
        <v>2362</v>
      </c>
      <c r="L1396" s="22" t="s">
        <v>60</v>
      </c>
      <c r="M1396" s="23" t="s">
        <v>77</v>
      </c>
      <c r="N1396" s="36" t="s">
        <v>2363</v>
      </c>
      <c r="O1396" s="36" t="s">
        <v>472</v>
      </c>
      <c r="P1396" s="26">
        <f ca="1">IFERROR(VLOOKUP(DadosViagem5[[#This Row],[Placa]],[1]BIP!A:E,5,FALSE),"")</f>
        <v>45973</v>
      </c>
      <c r="Q1396" s="27">
        <f ca="1">DATEDIF(DadosViagem5[[#This Row],[BIP]],TODAY(),"D")</f>
        <v>17</v>
      </c>
      <c r="R1396" s="28" t="str">
        <f>IFERROR(VLOOKUP(DadosViagem5[[#This Row],[Placa]],[1]DDS!B:C,2,FALSE),"Verificar cadastro")</f>
        <v>Manutenção</v>
      </c>
      <c r="S1396" s="29" t="s">
        <v>48</v>
      </c>
      <c r="T1396" s="23"/>
      <c r="U1396" s="30"/>
      <c r="V1396" s="31"/>
      <c r="W1396" s="32" t="s">
        <v>2043</v>
      </c>
      <c r="X1396" s="33"/>
      <c r="Y1396" s="34"/>
      <c r="Z1396" s="32"/>
      <c r="AA1396" s="20" t="s">
        <v>49</v>
      </c>
      <c r="AB1396" s="20" t="s">
        <v>49</v>
      </c>
      <c r="AC1396" s="19" t="s">
        <v>49</v>
      </c>
      <c r="AD1396" s="19" t="str">
        <f ca="1">IFERROR(DATEDIF(DadosViagem5[[#This Row],[Utimo Bip Reserva]],TODAY(),"D"),"")</f>
        <v/>
      </c>
      <c r="AE1396" s="25" t="s">
        <v>49</v>
      </c>
      <c r="AF1396" s="25" t="s">
        <v>49</v>
      </c>
      <c r="AG1396" s="36"/>
      <c r="AH1396" s="25">
        <v>45807</v>
      </c>
      <c r="AI1396" s="36" t="str">
        <f>IF(DadosViagem5[[#This Row],[Dias em manutenção ]]&lt;5,"Dentro do Prazo","Fora do Prazo")</f>
        <v>Fora do Prazo</v>
      </c>
      <c r="AJ1396" s="36" t="e">
        <v>#REF!</v>
      </c>
    </row>
    <row r="1397" spans="1:36">
      <c r="A1397" s="19" t="s">
        <v>2378</v>
      </c>
      <c r="B1397" s="20">
        <v>403</v>
      </c>
      <c r="C1397" s="19" t="s">
        <v>74</v>
      </c>
      <c r="D1397" s="19" t="s">
        <v>52</v>
      </c>
      <c r="E1397" s="19" t="s">
        <v>57</v>
      </c>
      <c r="F1397" s="19" t="s">
        <v>40</v>
      </c>
      <c r="G1397" s="19"/>
      <c r="H1397" s="20">
        <v>2022</v>
      </c>
      <c r="I1397" s="19" t="s">
        <v>41</v>
      </c>
      <c r="J1397" s="19" t="s">
        <v>2361</v>
      </c>
      <c r="K1397" s="21" t="s">
        <v>2362</v>
      </c>
      <c r="L1397" s="22" t="s">
        <v>60</v>
      </c>
      <c r="M1397" s="23" t="s">
        <v>77</v>
      </c>
      <c r="N1397" s="36" t="s">
        <v>2363</v>
      </c>
      <c r="O1397" s="36" t="s">
        <v>472</v>
      </c>
      <c r="P1397" s="26">
        <f ca="1">IFERROR(VLOOKUP(DadosViagem5[[#This Row],[Placa]],[1]BIP!A:E,5,FALSE),"")</f>
        <v>45980</v>
      </c>
      <c r="Q1397" s="27">
        <f ca="1">DATEDIF(DadosViagem5[[#This Row],[BIP]],TODAY(),"D")</f>
        <v>10</v>
      </c>
      <c r="R1397" s="28" t="str">
        <f>IFERROR(VLOOKUP(DadosViagem5[[#This Row],[Placa]],[1]DDS!B:C,2,FALSE),"Verificar cadastro")</f>
        <v>Manutenção</v>
      </c>
      <c r="S1397" s="29" t="s">
        <v>48</v>
      </c>
      <c r="T1397" s="23"/>
      <c r="U1397" s="30"/>
      <c r="V1397" s="31"/>
      <c r="W1397" s="32" t="s">
        <v>2379</v>
      </c>
      <c r="X1397" s="33"/>
      <c r="Y1397" s="34"/>
      <c r="Z1397" s="42"/>
      <c r="AA1397" s="20" t="s">
        <v>49</v>
      </c>
      <c r="AB1397" s="20" t="s">
        <v>49</v>
      </c>
      <c r="AC1397" s="19" t="s">
        <v>49</v>
      </c>
      <c r="AD1397" s="19" t="str">
        <f ca="1">IFERROR(DATEDIF(DadosViagem5[[#This Row],[Utimo Bip Reserva]],TODAY(),"D"),"")</f>
        <v/>
      </c>
      <c r="AE1397" s="25"/>
      <c r="AF1397" s="25"/>
      <c r="AG1397" s="36"/>
      <c r="AH1397" s="25">
        <v>45807</v>
      </c>
      <c r="AI1397" s="36" t="str">
        <f>IF(DadosViagem5[[#This Row],[Dias em manutenção ]]&lt;5,"Dentro do Prazo","Fora do Prazo")</f>
        <v>Fora do Prazo</v>
      </c>
      <c r="AJ1397" s="36" t="e">
        <v>#REF!</v>
      </c>
    </row>
    <row r="1398" spans="1:36">
      <c r="A1398" s="19" t="s">
        <v>2380</v>
      </c>
      <c r="B1398" s="20"/>
      <c r="C1398" s="19" t="s">
        <v>88</v>
      </c>
      <c r="D1398" s="19" t="s">
        <v>52</v>
      </c>
      <c r="E1398" s="19" t="s">
        <v>114</v>
      </c>
      <c r="F1398" s="19" t="s">
        <v>115</v>
      </c>
      <c r="G1398" s="19"/>
      <c r="H1398" s="20">
        <v>2021</v>
      </c>
      <c r="I1398" s="19" t="s">
        <v>41</v>
      </c>
      <c r="J1398" s="19" t="s">
        <v>2361</v>
      </c>
      <c r="K1398" s="21" t="s">
        <v>2362</v>
      </c>
      <c r="L1398" s="22" t="s">
        <v>60</v>
      </c>
      <c r="M1398" s="23" t="s">
        <v>470</v>
      </c>
      <c r="N1398" s="36" t="s">
        <v>2363</v>
      </c>
      <c r="O1398" s="36" t="s">
        <v>472</v>
      </c>
      <c r="P1398" s="26">
        <f ca="1">IFERROR(VLOOKUP(DadosViagem5[[#This Row],[Placa]],[1]BIP!A:E,5,FALSE),"")</f>
        <v>45914</v>
      </c>
      <c r="Q1398" s="27">
        <f ca="1">DATEDIF(DadosViagem5[[#This Row],[BIP]],TODAY(),"D")</f>
        <v>76</v>
      </c>
      <c r="R1398" s="28" t="str">
        <f>IFERROR(VLOOKUP(DadosViagem5[[#This Row],[Placa]],[1]DDS!B:C,2,FALSE),"Verificar cadastro")</f>
        <v>Verificar cadastro</v>
      </c>
      <c r="S1398" s="36" t="s">
        <v>574</v>
      </c>
      <c r="T1398" s="23"/>
      <c r="U1398" s="30"/>
      <c r="V1398" s="31">
        <v>45919</v>
      </c>
      <c r="W1398" s="32" t="s">
        <v>2381</v>
      </c>
      <c r="X1398" s="33" t="s">
        <v>65</v>
      </c>
      <c r="Y1398" s="34" t="s">
        <v>159</v>
      </c>
      <c r="Z1398" s="32" t="s">
        <v>2382</v>
      </c>
      <c r="AA1398" s="20" t="s">
        <v>49</v>
      </c>
      <c r="AB1398" s="20" t="s">
        <v>49</v>
      </c>
      <c r="AC1398" s="19" t="s">
        <v>49</v>
      </c>
      <c r="AD1398" s="19" t="str">
        <f ca="1">IFERROR(DATEDIF(DadosViagem5[[#This Row],[Utimo Bip Reserva]],TODAY(),"D"),"")</f>
        <v/>
      </c>
      <c r="AE1398" s="36" t="s">
        <v>2383</v>
      </c>
      <c r="AF1398" s="25" t="s">
        <v>49</v>
      </c>
      <c r="AG1398" s="36"/>
      <c r="AH1398" s="25">
        <v>4</v>
      </c>
      <c r="AI1398" s="36" t="str">
        <f>IF(DadosViagem5[[#This Row],[Dias em manutenção ]]&lt;5,"Dentro do Prazo","Fora do Prazo")</f>
        <v>Dentro do Prazo</v>
      </c>
      <c r="AJ1398" s="36" t="e">
        <v>#REF!</v>
      </c>
    </row>
    <row r="1399" spans="1:36">
      <c r="A1399" s="19" t="s">
        <v>2384</v>
      </c>
      <c r="B1399" s="20"/>
      <c r="C1399" s="19" t="s">
        <v>88</v>
      </c>
      <c r="D1399" s="19" t="s">
        <v>52</v>
      </c>
      <c r="E1399" s="19" t="s">
        <v>114</v>
      </c>
      <c r="F1399" s="19" t="s">
        <v>115</v>
      </c>
      <c r="G1399" s="19"/>
      <c r="H1399" s="20">
        <v>2021</v>
      </c>
      <c r="I1399" s="19" t="s">
        <v>41</v>
      </c>
      <c r="J1399" s="19" t="s">
        <v>2361</v>
      </c>
      <c r="K1399" s="76" t="s">
        <v>2362</v>
      </c>
      <c r="L1399" s="22" t="s">
        <v>60</v>
      </c>
      <c r="M1399" s="23" t="s">
        <v>470</v>
      </c>
      <c r="N1399" s="36" t="s">
        <v>2363</v>
      </c>
      <c r="O1399" s="36" t="s">
        <v>472</v>
      </c>
      <c r="P1399" s="26">
        <f ca="1">IFERROR(VLOOKUP(DadosViagem5[[#This Row],[Placa]],[1]BIP!A:E,5,FALSE),"")</f>
        <v>45910</v>
      </c>
      <c r="Q1399" s="27">
        <f ca="1">DATEDIF(DadosViagem5[[#This Row],[BIP]],TODAY(),"D")</f>
        <v>80</v>
      </c>
      <c r="R1399" s="28" t="str">
        <f>IFERROR(VLOOKUP(DadosViagem5[[#This Row],[Placa]],[1]DDS!B:C,2,FALSE),"Verificar cadastro")</f>
        <v>Verificar cadastro</v>
      </c>
      <c r="S1399" s="36" t="s">
        <v>574</v>
      </c>
      <c r="T1399" s="23"/>
      <c r="U1399" s="30"/>
      <c r="V1399" s="31"/>
      <c r="W1399" s="32" t="s">
        <v>2385</v>
      </c>
      <c r="X1399" s="33"/>
      <c r="Y1399" s="34"/>
      <c r="Z1399" s="32"/>
      <c r="AA1399" s="20" t="s">
        <v>49</v>
      </c>
      <c r="AB1399" s="20" t="s">
        <v>49</v>
      </c>
      <c r="AC1399" s="19" t="s">
        <v>49</v>
      </c>
      <c r="AD1399" s="19" t="str">
        <f ca="1">IFERROR(DATEDIF(DadosViagem5[[#This Row],[Utimo Bip Reserva]],TODAY(),"D"),"")</f>
        <v/>
      </c>
      <c r="AE1399" s="36" t="s">
        <v>49</v>
      </c>
      <c r="AF1399" s="25" t="s">
        <v>49</v>
      </c>
      <c r="AG1399" s="36" t="s">
        <v>628</v>
      </c>
      <c r="AH1399" s="25">
        <v>45807</v>
      </c>
      <c r="AI1399" s="36" t="str">
        <f>IF(DadosViagem5[[#This Row],[Dias em manutenção ]]&lt;5,"Dentro do Prazo","Fora do Prazo")</f>
        <v>Fora do Prazo</v>
      </c>
      <c r="AJ1399" s="36" t="e">
        <v>#REF!</v>
      </c>
    </row>
    <row r="1400" spans="1:36">
      <c r="A1400" s="19" t="s">
        <v>2386</v>
      </c>
      <c r="B1400" s="20"/>
      <c r="C1400" s="19" t="s">
        <v>88</v>
      </c>
      <c r="D1400" s="19" t="s">
        <v>52</v>
      </c>
      <c r="E1400" s="19" t="s">
        <v>114</v>
      </c>
      <c r="F1400" s="19" t="s">
        <v>115</v>
      </c>
      <c r="G1400" s="19"/>
      <c r="H1400" s="20">
        <v>2021</v>
      </c>
      <c r="I1400" s="19" t="s">
        <v>41</v>
      </c>
      <c r="J1400" s="19" t="s">
        <v>2361</v>
      </c>
      <c r="K1400" s="21" t="s">
        <v>2362</v>
      </c>
      <c r="L1400" s="22" t="s">
        <v>60</v>
      </c>
      <c r="M1400" s="23" t="s">
        <v>470</v>
      </c>
      <c r="N1400" s="36" t="s">
        <v>2363</v>
      </c>
      <c r="O1400" s="36" t="s">
        <v>472</v>
      </c>
      <c r="P1400" s="26">
        <f ca="1">IFERROR(VLOOKUP(DadosViagem5[[#This Row],[Placa]],[1]BIP!A:E,5,FALSE),"")</f>
        <v>45974</v>
      </c>
      <c r="Q1400" s="27">
        <f ca="1">DATEDIF(DadosViagem5[[#This Row],[BIP]],TODAY(),"D")</f>
        <v>16</v>
      </c>
      <c r="R1400" s="28" t="str">
        <f>IFERROR(VLOOKUP(DadosViagem5[[#This Row],[Placa]],[1]DDS!B:C,2,FALSE),"Verificar cadastro")</f>
        <v>Manutenção</v>
      </c>
      <c r="S1400" s="29" t="s">
        <v>48</v>
      </c>
      <c r="T1400" s="23"/>
      <c r="U1400" s="30"/>
      <c r="V1400" s="31"/>
      <c r="W1400" s="32"/>
      <c r="X1400" s="33"/>
      <c r="Y1400" s="34"/>
      <c r="Z1400" s="32"/>
      <c r="AA1400" s="20" t="s">
        <v>49</v>
      </c>
      <c r="AB1400" s="20" t="s">
        <v>49</v>
      </c>
      <c r="AC1400" s="19" t="s">
        <v>49</v>
      </c>
      <c r="AD1400" s="19" t="str">
        <f ca="1">IFERROR(DATEDIF(DadosViagem5[[#This Row],[Utimo Bip Reserva]],TODAY(),"D"),"")</f>
        <v/>
      </c>
      <c r="AE1400" s="36" t="s">
        <v>111</v>
      </c>
      <c r="AF1400" s="25" t="s">
        <v>49</v>
      </c>
      <c r="AG1400" s="36"/>
      <c r="AH1400" s="25">
        <v>45807</v>
      </c>
      <c r="AI1400" s="36" t="str">
        <f>IF(DadosViagem5[[#This Row],[Dias em manutenção ]]&lt;5,"Dentro do Prazo","Fora do Prazo")</f>
        <v>Fora do Prazo</v>
      </c>
      <c r="AJ1400" s="36" t="e">
        <v>#REF!</v>
      </c>
    </row>
    <row r="1401" spans="1:36">
      <c r="A1401" s="19" t="s">
        <v>2387</v>
      </c>
      <c r="B1401" s="20"/>
      <c r="C1401" s="19" t="s">
        <v>37</v>
      </c>
      <c r="D1401" s="19" t="s">
        <v>38</v>
      </c>
      <c r="E1401" s="19" t="s">
        <v>39</v>
      </c>
      <c r="F1401" s="19" t="s">
        <v>106</v>
      </c>
      <c r="G1401" s="19"/>
      <c r="H1401" s="20">
        <v>2023</v>
      </c>
      <c r="I1401" s="19" t="s">
        <v>41</v>
      </c>
      <c r="J1401" s="19" t="s">
        <v>2361</v>
      </c>
      <c r="K1401" s="21" t="s">
        <v>2362</v>
      </c>
      <c r="L1401" s="22" t="s">
        <v>60</v>
      </c>
      <c r="M1401" s="23" t="s">
        <v>470</v>
      </c>
      <c r="N1401" s="36" t="s">
        <v>2363</v>
      </c>
      <c r="O1401" s="36" t="s">
        <v>472</v>
      </c>
      <c r="P1401" s="26">
        <f ca="1">IFERROR(VLOOKUP(DadosViagem5[[#This Row],[Placa]],[1]BIP!A:E,5,FALSE),"")</f>
        <v>0</v>
      </c>
      <c r="Q1401" s="27">
        <f ca="1">DATEDIF(DadosViagem5[[#This Row],[BIP]],TODAY(),"D")</f>
        <v>45990</v>
      </c>
      <c r="R1401" s="28" t="str">
        <f>IFERROR(VLOOKUP(DadosViagem5[[#This Row],[Placa]],[1]DDS!B:C,2,FALSE),"Verificar cadastro")</f>
        <v>Manutenção</v>
      </c>
      <c r="S1401" s="29" t="s">
        <v>173</v>
      </c>
      <c r="T1401" s="23"/>
      <c r="U1401" s="30"/>
      <c r="V1401" s="31"/>
      <c r="W1401" s="32"/>
      <c r="X1401" s="33"/>
      <c r="Y1401" s="34"/>
      <c r="Z1401" s="32"/>
      <c r="AA1401" s="20" t="s">
        <v>49</v>
      </c>
      <c r="AB1401" s="20" t="s">
        <v>49</v>
      </c>
      <c r="AC1401" s="19" t="s">
        <v>49</v>
      </c>
      <c r="AD1401" s="19" t="str">
        <f ca="1">IFERROR(DATEDIF(DadosViagem5[[#This Row],[Utimo Bip Reserva]],TODAY(),"D"),"")</f>
        <v/>
      </c>
      <c r="AE1401" s="25" t="s">
        <v>49</v>
      </c>
      <c r="AF1401" s="25" t="s">
        <v>49</v>
      </c>
      <c r="AG1401" s="36"/>
      <c r="AH1401" s="25">
        <v>10</v>
      </c>
      <c r="AI1401" s="36" t="str">
        <f>IF(DadosViagem5[[#This Row],[Dias em manutenção ]]&lt;5,"Dentro do Prazo","Fora do Prazo")</f>
        <v>Fora do Prazo</v>
      </c>
      <c r="AJ1401" s="36" t="e">
        <v>#REF!</v>
      </c>
    </row>
    <row r="1402" spans="1:36">
      <c r="A1402" s="19" t="s">
        <v>2388</v>
      </c>
      <c r="B1402" s="20">
        <v>532</v>
      </c>
      <c r="C1402" s="19" t="s">
        <v>74</v>
      </c>
      <c r="D1402" s="19" t="s">
        <v>52</v>
      </c>
      <c r="E1402" s="19" t="s">
        <v>75</v>
      </c>
      <c r="F1402" s="19" t="s">
        <v>115</v>
      </c>
      <c r="G1402" s="19"/>
      <c r="H1402" s="20">
        <v>2023</v>
      </c>
      <c r="I1402" s="19" t="s">
        <v>41</v>
      </c>
      <c r="J1402" s="19" t="s">
        <v>2361</v>
      </c>
      <c r="K1402" s="64" t="s">
        <v>2362</v>
      </c>
      <c r="L1402" s="22" t="s">
        <v>60</v>
      </c>
      <c r="M1402" s="23" t="s">
        <v>77</v>
      </c>
      <c r="N1402" s="36" t="s">
        <v>2363</v>
      </c>
      <c r="O1402" s="36" t="s">
        <v>472</v>
      </c>
      <c r="P1402" s="26">
        <f ca="1">IFERROR(VLOOKUP(DadosViagem5[[#This Row],[Placa]],[1]BIP!A:E,5,FALSE),"")</f>
        <v>45989</v>
      </c>
      <c r="Q1402" s="27">
        <f ca="1">DATEDIF(DadosViagem5[[#This Row],[BIP]],TODAY(),"D")</f>
        <v>1</v>
      </c>
      <c r="R1402" s="28" t="str">
        <f>IFERROR(VLOOKUP(DadosViagem5[[#This Row],[Placa]],[1]DDS!B:C,2,FALSE),"Verificar cadastro")</f>
        <v>Operando</v>
      </c>
      <c r="S1402" s="29" t="s">
        <v>48</v>
      </c>
      <c r="T1402" s="23"/>
      <c r="U1402" s="30"/>
      <c r="V1402" s="31"/>
      <c r="W1402" s="32"/>
      <c r="X1402" s="33"/>
      <c r="Y1402" s="34"/>
      <c r="Z1402" s="32"/>
      <c r="AA1402" s="20" t="s">
        <v>49</v>
      </c>
      <c r="AB1402" s="20" t="s">
        <v>49</v>
      </c>
      <c r="AC1402" s="19" t="s">
        <v>49</v>
      </c>
      <c r="AD1402" s="19" t="str">
        <f ca="1">IFERROR(DATEDIF(DadosViagem5[[#This Row],[Utimo Bip Reserva]],TODAY(),"D"),"")</f>
        <v/>
      </c>
      <c r="AE1402" s="25" t="s">
        <v>49</v>
      </c>
      <c r="AF1402" s="25" t="s">
        <v>49</v>
      </c>
      <c r="AG1402" s="36"/>
      <c r="AH1402" s="25">
        <v>45807</v>
      </c>
      <c r="AI1402" s="36" t="str">
        <f>IF(DadosViagem5[[#This Row],[Dias em manutenção ]]&lt;5,"Dentro do Prazo","Fora do Prazo")</f>
        <v>Fora do Prazo</v>
      </c>
      <c r="AJ1402" s="36" t="e">
        <v>#REF!</v>
      </c>
    </row>
    <row r="1403" spans="1:36">
      <c r="A1403" s="19" t="s">
        <v>2389</v>
      </c>
      <c r="B1403" s="20"/>
      <c r="C1403" s="19" t="s">
        <v>88</v>
      </c>
      <c r="D1403" s="19" t="s">
        <v>52</v>
      </c>
      <c r="E1403" s="19" t="s">
        <v>114</v>
      </c>
      <c r="F1403" s="19" t="s">
        <v>115</v>
      </c>
      <c r="G1403" s="19"/>
      <c r="H1403" s="20">
        <v>2021</v>
      </c>
      <c r="I1403" s="19" t="s">
        <v>41</v>
      </c>
      <c r="J1403" s="19" t="s">
        <v>2361</v>
      </c>
      <c r="K1403" s="21" t="s">
        <v>2362</v>
      </c>
      <c r="L1403" s="22" t="s">
        <v>60</v>
      </c>
      <c r="M1403" s="23" t="s">
        <v>470</v>
      </c>
      <c r="N1403" s="36" t="s">
        <v>2363</v>
      </c>
      <c r="O1403" s="36" t="s">
        <v>472</v>
      </c>
      <c r="P1403" s="26">
        <f ca="1">IFERROR(VLOOKUP(DadosViagem5[[#This Row],[Placa]],[1]BIP!A:E,5,FALSE),"")</f>
        <v>45959</v>
      </c>
      <c r="Q1403" s="27">
        <f ca="1">DATEDIF(DadosViagem5[[#This Row],[BIP]],TODAY(),"D")</f>
        <v>31</v>
      </c>
      <c r="R1403" s="28" t="str">
        <f>IFERROR(VLOOKUP(DadosViagem5[[#This Row],[Placa]],[1]DDS!B:C,2,FALSE),"Verificar cadastro")</f>
        <v>Manutenção</v>
      </c>
      <c r="S1403" s="29" t="s">
        <v>2375</v>
      </c>
      <c r="T1403" s="23"/>
      <c r="U1403" s="30"/>
      <c r="V1403" s="31"/>
      <c r="W1403" s="32"/>
      <c r="X1403" s="33"/>
      <c r="Y1403" s="34"/>
      <c r="Z1403" s="32"/>
      <c r="AA1403" s="20" t="s">
        <v>49</v>
      </c>
      <c r="AB1403" s="20" t="s">
        <v>49</v>
      </c>
      <c r="AC1403" s="19" t="s">
        <v>49</v>
      </c>
      <c r="AD1403" s="19" t="str">
        <f ca="1">IFERROR(DATEDIF(DadosViagem5[[#This Row],[Utimo Bip Reserva]],TODAY(),"D"),"")</f>
        <v/>
      </c>
      <c r="AE1403" s="36" t="s">
        <v>2390</v>
      </c>
      <c r="AF1403" s="25" t="s">
        <v>49</v>
      </c>
      <c r="AG1403" s="36"/>
      <c r="AH1403" s="25">
        <v>3</v>
      </c>
      <c r="AI1403" s="36" t="str">
        <f>IF(DadosViagem5[[#This Row],[Dias em manutenção ]]&lt;5,"Dentro do Prazo","Fora do Prazo")</f>
        <v>Dentro do Prazo</v>
      </c>
      <c r="AJ1403" s="36" t="e">
        <v>#REF!</v>
      </c>
    </row>
    <row r="1404" spans="1:36">
      <c r="A1404" s="19" t="s">
        <v>2391</v>
      </c>
      <c r="B1404" s="20"/>
      <c r="C1404" s="19" t="s">
        <v>88</v>
      </c>
      <c r="D1404" s="19" t="s">
        <v>52</v>
      </c>
      <c r="E1404" s="19" t="s">
        <v>114</v>
      </c>
      <c r="F1404" s="19" t="s">
        <v>115</v>
      </c>
      <c r="G1404" s="19"/>
      <c r="H1404" s="20">
        <v>2021</v>
      </c>
      <c r="I1404" s="19" t="s">
        <v>41</v>
      </c>
      <c r="J1404" s="19" t="s">
        <v>2361</v>
      </c>
      <c r="K1404" s="21" t="s">
        <v>2362</v>
      </c>
      <c r="L1404" s="22" t="s">
        <v>60</v>
      </c>
      <c r="M1404" s="23" t="s">
        <v>470</v>
      </c>
      <c r="N1404" s="36" t="s">
        <v>2363</v>
      </c>
      <c r="O1404" s="36" t="s">
        <v>472</v>
      </c>
      <c r="P1404" s="26">
        <f ca="1">IFERROR(VLOOKUP(DadosViagem5[[#This Row],[Placa]],[1]BIP!A:E,5,FALSE),"")</f>
        <v>45923</v>
      </c>
      <c r="Q1404" s="27">
        <f ca="1">DATEDIF(DadosViagem5[[#This Row],[BIP]],TODAY(),"D")</f>
        <v>67</v>
      </c>
      <c r="R1404" s="28" t="str">
        <f>IFERROR(VLOOKUP(DadosViagem5[[#This Row],[Placa]],[1]DDS!B:C,2,FALSE),"Verificar cadastro")</f>
        <v>Verificar cadastro</v>
      </c>
      <c r="S1404" s="36" t="s">
        <v>574</v>
      </c>
      <c r="T1404" s="23"/>
      <c r="U1404" s="30"/>
      <c r="V1404" s="31"/>
      <c r="W1404" s="32" t="s">
        <v>2385</v>
      </c>
      <c r="X1404" s="33"/>
      <c r="Y1404" s="34"/>
      <c r="Z1404" s="32"/>
      <c r="AA1404" s="20" t="s">
        <v>49</v>
      </c>
      <c r="AB1404" s="20" t="s">
        <v>49</v>
      </c>
      <c r="AC1404" s="19" t="s">
        <v>49</v>
      </c>
      <c r="AD1404" s="19" t="str">
        <f ca="1">IFERROR(DATEDIF(DadosViagem5[[#This Row],[Utimo Bip Reserva]],TODAY(),"D"),"")</f>
        <v/>
      </c>
      <c r="AE1404" s="36" t="s">
        <v>49</v>
      </c>
      <c r="AF1404" s="25" t="s">
        <v>49</v>
      </c>
      <c r="AG1404" s="36" t="s">
        <v>628</v>
      </c>
      <c r="AH1404" s="25">
        <v>45807</v>
      </c>
      <c r="AI1404" s="36" t="str">
        <f>IF(DadosViagem5[[#This Row],[Dias em manutenção ]]&lt;5,"Dentro do Prazo","Fora do Prazo")</f>
        <v>Fora do Prazo</v>
      </c>
      <c r="AJ1404" s="36" t="e">
        <v>#REF!</v>
      </c>
    </row>
    <row r="1405" spans="1:36">
      <c r="A1405" s="19" t="s">
        <v>2392</v>
      </c>
      <c r="B1405" s="20"/>
      <c r="C1405" s="19" t="s">
        <v>74</v>
      </c>
      <c r="D1405" s="19" t="s">
        <v>52</v>
      </c>
      <c r="E1405" s="19" t="s">
        <v>114</v>
      </c>
      <c r="F1405" s="19" t="s">
        <v>115</v>
      </c>
      <c r="G1405" s="19"/>
      <c r="H1405" s="20">
        <v>2022</v>
      </c>
      <c r="I1405" s="19" t="s">
        <v>41</v>
      </c>
      <c r="J1405" s="19" t="s">
        <v>2361</v>
      </c>
      <c r="K1405" s="21" t="s">
        <v>2362</v>
      </c>
      <c r="L1405" s="22" t="s">
        <v>60</v>
      </c>
      <c r="M1405" s="23" t="s">
        <v>77</v>
      </c>
      <c r="N1405" s="36" t="s">
        <v>2363</v>
      </c>
      <c r="O1405" s="36" t="s">
        <v>472</v>
      </c>
      <c r="P1405" s="26">
        <f ca="1">IFERROR(VLOOKUP(DadosViagem5[[#This Row],[Placa]],[1]BIP!A:E,5,FALSE),"")</f>
        <v>45810</v>
      </c>
      <c r="Q1405" s="27">
        <f ca="1">DATEDIF(DadosViagem5[[#This Row],[BIP]],TODAY(),"D")</f>
        <v>180</v>
      </c>
      <c r="R1405" s="28" t="str">
        <f>IFERROR(VLOOKUP(DadosViagem5[[#This Row],[Placa]],[1]DDS!B:C,2,FALSE),"Verificar cadastro")</f>
        <v>Verificar cadastro</v>
      </c>
      <c r="S1405" s="36" t="s">
        <v>574</v>
      </c>
      <c r="T1405" s="23"/>
      <c r="U1405" s="30"/>
      <c r="V1405" s="31"/>
      <c r="W1405" s="32" t="s">
        <v>2393</v>
      </c>
      <c r="X1405" s="33"/>
      <c r="Y1405" s="34"/>
      <c r="Z1405" s="32"/>
      <c r="AA1405" s="20" t="s">
        <v>49</v>
      </c>
      <c r="AB1405" s="20" t="s">
        <v>49</v>
      </c>
      <c r="AC1405" s="19" t="s">
        <v>49</v>
      </c>
      <c r="AD1405" s="19" t="str">
        <f ca="1">IFERROR(DATEDIF(DadosViagem5[[#This Row],[Utimo Bip Reserva]],TODAY(),"D"),"")</f>
        <v/>
      </c>
      <c r="AE1405" s="36" t="s">
        <v>49</v>
      </c>
      <c r="AF1405" s="25" t="s">
        <v>49</v>
      </c>
      <c r="AG1405" s="36" t="s">
        <v>540</v>
      </c>
      <c r="AH1405" s="25">
        <v>45807</v>
      </c>
      <c r="AI1405" s="36" t="str">
        <f>IF(DadosViagem5[[#This Row],[Dias em manutenção ]]&lt;5,"Dentro do Prazo","Fora do Prazo")</f>
        <v>Fora do Prazo</v>
      </c>
      <c r="AJ1405" s="36" t="e">
        <v>#REF!</v>
      </c>
    </row>
    <row r="1406" spans="1:36">
      <c r="A1406" s="19" t="s">
        <v>2394</v>
      </c>
      <c r="B1406" s="20"/>
      <c r="C1406" s="19" t="s">
        <v>74</v>
      </c>
      <c r="D1406" s="19" t="s">
        <v>52</v>
      </c>
      <c r="E1406" s="19" t="s">
        <v>75</v>
      </c>
      <c r="F1406" s="19" t="s">
        <v>76</v>
      </c>
      <c r="G1406" s="19"/>
      <c r="H1406" s="20">
        <v>2023</v>
      </c>
      <c r="I1406" s="19" t="s">
        <v>41</v>
      </c>
      <c r="J1406" s="19" t="s">
        <v>2361</v>
      </c>
      <c r="K1406" s="21" t="s">
        <v>2362</v>
      </c>
      <c r="L1406" s="22" t="s">
        <v>60</v>
      </c>
      <c r="M1406" s="23" t="s">
        <v>77</v>
      </c>
      <c r="N1406" s="36" t="s">
        <v>2363</v>
      </c>
      <c r="O1406" s="36" t="s">
        <v>472</v>
      </c>
      <c r="P1406" s="26">
        <f ca="1">IFERROR(VLOOKUP(DadosViagem5[[#This Row],[Placa]],[1]BIP!A:E,5,FALSE),"")</f>
        <v>45989</v>
      </c>
      <c r="Q1406" s="27">
        <f ca="1">DATEDIF(DadosViagem5[[#This Row],[BIP]],TODAY(),"D")</f>
        <v>1</v>
      </c>
      <c r="R1406" s="28" t="str">
        <f>IFERROR(VLOOKUP(DadosViagem5[[#This Row],[Placa]],[1]DDS!B:C,2,FALSE),"Verificar cadastro")</f>
        <v>Operando</v>
      </c>
      <c r="S1406" s="29" t="s">
        <v>48</v>
      </c>
      <c r="T1406" s="23"/>
      <c r="U1406" s="30"/>
      <c r="V1406" s="31"/>
      <c r="W1406" s="32"/>
      <c r="X1406" s="33"/>
      <c r="Y1406" s="34"/>
      <c r="Z1406" s="32"/>
      <c r="AA1406" s="20" t="s">
        <v>49</v>
      </c>
      <c r="AB1406" s="20" t="s">
        <v>49</v>
      </c>
      <c r="AC1406" s="19" t="s">
        <v>49</v>
      </c>
      <c r="AD1406" s="19" t="str">
        <f ca="1">IFERROR(DATEDIF(DadosViagem5[[#This Row],[Utimo Bip Reserva]],TODAY(),"D"),"")</f>
        <v/>
      </c>
      <c r="AE1406" s="25" t="s">
        <v>49</v>
      </c>
      <c r="AF1406" s="25" t="s">
        <v>49</v>
      </c>
      <c r="AG1406" s="36"/>
      <c r="AH1406" s="25">
        <v>45807</v>
      </c>
      <c r="AI1406" s="36" t="str">
        <f>IF(DadosViagem5[[#This Row],[Dias em manutenção ]]&lt;5,"Dentro do Prazo","Fora do Prazo")</f>
        <v>Fora do Prazo</v>
      </c>
      <c r="AJ1406" s="36" t="e">
        <v>#REF!</v>
      </c>
    </row>
    <row r="1407" spans="1:36">
      <c r="A1407" s="19" t="s">
        <v>2395</v>
      </c>
      <c r="B1407" s="20"/>
      <c r="C1407" s="19" t="s">
        <v>74</v>
      </c>
      <c r="D1407" s="19" t="s">
        <v>52</v>
      </c>
      <c r="E1407" s="19" t="s">
        <v>75</v>
      </c>
      <c r="F1407" s="19" t="s">
        <v>76</v>
      </c>
      <c r="G1407" s="19"/>
      <c r="H1407" s="20">
        <v>2024</v>
      </c>
      <c r="I1407" s="19" t="s">
        <v>41</v>
      </c>
      <c r="J1407" s="19" t="s">
        <v>2361</v>
      </c>
      <c r="K1407" s="21" t="s">
        <v>2362</v>
      </c>
      <c r="L1407" s="22" t="s">
        <v>60</v>
      </c>
      <c r="M1407" s="23" t="s">
        <v>77</v>
      </c>
      <c r="N1407" s="36" t="s">
        <v>2363</v>
      </c>
      <c r="O1407" s="36" t="s">
        <v>472</v>
      </c>
      <c r="P1407" s="26">
        <f ca="1">IFERROR(VLOOKUP(DadosViagem5[[#This Row],[Placa]],[1]BIP!A:E,5,FALSE),"")</f>
        <v>45989</v>
      </c>
      <c r="Q1407" s="27">
        <f ca="1">DATEDIF(DadosViagem5[[#This Row],[BIP]],TODAY(),"D")</f>
        <v>1</v>
      </c>
      <c r="R1407" s="28" t="str">
        <f>IFERROR(VLOOKUP(DadosViagem5[[#This Row],[Placa]],[1]DDS!B:C,2,FALSE),"Verificar cadastro")</f>
        <v>Operando</v>
      </c>
      <c r="S1407" s="29" t="s">
        <v>48</v>
      </c>
      <c r="T1407" s="23"/>
      <c r="U1407" s="30"/>
      <c r="V1407" s="31"/>
      <c r="W1407" s="32"/>
      <c r="X1407" s="33"/>
      <c r="Y1407" s="34"/>
      <c r="Z1407" s="32"/>
      <c r="AA1407" s="20" t="s">
        <v>49</v>
      </c>
      <c r="AB1407" s="20" t="s">
        <v>49</v>
      </c>
      <c r="AC1407" s="19" t="s">
        <v>49</v>
      </c>
      <c r="AD1407" s="19" t="str">
        <f ca="1">IFERROR(DATEDIF(DadosViagem5[[#This Row],[Utimo Bip Reserva]],TODAY(),"D"),"")</f>
        <v/>
      </c>
      <c r="AE1407" s="36"/>
      <c r="AF1407" s="25"/>
      <c r="AG1407" s="36"/>
      <c r="AH1407" s="25">
        <v>45807</v>
      </c>
      <c r="AI1407" s="36" t="str">
        <f>IF(DadosViagem5[[#This Row],[Dias em manutenção ]]&lt;5,"Dentro do Prazo","Fora do Prazo")</f>
        <v>Fora do Prazo</v>
      </c>
      <c r="AJ1407" s="36" t="e">
        <v>#REF!</v>
      </c>
    </row>
    <row r="1408" spans="1:36">
      <c r="A1408" s="19" t="s">
        <v>2396</v>
      </c>
      <c r="B1408" s="20"/>
      <c r="C1408" s="19" t="s">
        <v>37</v>
      </c>
      <c r="D1408" s="19" t="s">
        <v>38</v>
      </c>
      <c r="E1408" s="19" t="s">
        <v>39</v>
      </c>
      <c r="F1408" s="19" t="s">
        <v>106</v>
      </c>
      <c r="G1408" s="19"/>
      <c r="H1408" s="20">
        <v>2024</v>
      </c>
      <c r="I1408" s="19" t="s">
        <v>41</v>
      </c>
      <c r="J1408" s="19" t="s">
        <v>2361</v>
      </c>
      <c r="K1408" s="21" t="s">
        <v>2362</v>
      </c>
      <c r="L1408" s="22" t="s">
        <v>60</v>
      </c>
      <c r="M1408" s="23" t="s">
        <v>470</v>
      </c>
      <c r="N1408" s="36" t="s">
        <v>2363</v>
      </c>
      <c r="O1408" s="36" t="s">
        <v>472</v>
      </c>
      <c r="P1408" s="26">
        <f ca="1">IFERROR(VLOOKUP(DadosViagem5[[#This Row],[Placa]],[1]BIP!A:E,5,FALSE),"")</f>
        <v>45989</v>
      </c>
      <c r="Q1408" s="27">
        <f ca="1">DATEDIF(DadosViagem5[[#This Row],[BIP]],TODAY(),"D")</f>
        <v>1</v>
      </c>
      <c r="R1408" s="28" t="str">
        <f>IFERROR(VLOOKUP(DadosViagem5[[#This Row],[Placa]],[1]DDS!B:C,2,FALSE),"Verificar cadastro")</f>
        <v>Operando</v>
      </c>
      <c r="S1408" s="29" t="s">
        <v>48</v>
      </c>
      <c r="T1408" s="23"/>
      <c r="U1408" s="30"/>
      <c r="V1408" s="31"/>
      <c r="W1408" s="32"/>
      <c r="X1408" s="33"/>
      <c r="Y1408" s="34"/>
      <c r="Z1408" s="32"/>
      <c r="AA1408" s="20" t="s">
        <v>49</v>
      </c>
      <c r="AB1408" s="20" t="s">
        <v>49</v>
      </c>
      <c r="AC1408" s="20" t="s">
        <v>49</v>
      </c>
      <c r="AD1408" s="20" t="s">
        <v>49</v>
      </c>
      <c r="AE1408" s="36" t="s">
        <v>2397</v>
      </c>
      <c r="AF1408" s="25"/>
      <c r="AG1408" s="36"/>
      <c r="AH1408" s="25">
        <v>32</v>
      </c>
      <c r="AI1408" s="36" t="str">
        <f>IF(DadosViagem5[[#This Row],[Dias em manutenção ]]&lt;5,"Dentro do Prazo","Fora do Prazo")</f>
        <v>Fora do Prazo</v>
      </c>
      <c r="AJ1408" s="36" t="e">
        <v>#REF!</v>
      </c>
    </row>
    <row r="1409" spans="1:36">
      <c r="A1409" s="19" t="s">
        <v>2398</v>
      </c>
      <c r="B1409" s="20"/>
      <c r="C1409" s="19" t="s">
        <v>408</v>
      </c>
      <c r="D1409" s="19" t="s">
        <v>409</v>
      </c>
      <c r="E1409" s="19" t="s">
        <v>39</v>
      </c>
      <c r="F1409" s="19" t="s">
        <v>106</v>
      </c>
      <c r="G1409" s="19"/>
      <c r="H1409" s="20">
        <v>2024</v>
      </c>
      <c r="I1409" s="19" t="s">
        <v>41</v>
      </c>
      <c r="J1409" s="19" t="s">
        <v>2361</v>
      </c>
      <c r="K1409" s="164" t="s">
        <v>2362</v>
      </c>
      <c r="L1409" s="22" t="s">
        <v>60</v>
      </c>
      <c r="M1409" s="23" t="s">
        <v>470</v>
      </c>
      <c r="N1409" s="36" t="s">
        <v>2363</v>
      </c>
      <c r="O1409" s="36" t="s">
        <v>472</v>
      </c>
      <c r="P1409" s="26">
        <f ca="1">IFERROR(VLOOKUP(DadosViagem5[[#This Row],[Placa]],[1]BIP!A:E,5,FALSE),"")</f>
        <v>45989</v>
      </c>
      <c r="Q1409" s="27">
        <f ca="1">DATEDIF(DadosViagem5[[#This Row],[BIP]],TODAY(),"D")</f>
        <v>1</v>
      </c>
      <c r="R1409" s="28" t="str">
        <f>IFERROR(VLOOKUP(DadosViagem5[[#This Row],[Placa]],[1]DDS!B:C,2,FALSE),"Verificar cadastro")</f>
        <v>Operando</v>
      </c>
      <c r="S1409" s="29" t="s">
        <v>48</v>
      </c>
      <c r="T1409" s="23"/>
      <c r="U1409" s="30"/>
      <c r="V1409" s="31"/>
      <c r="W1409" s="32"/>
      <c r="X1409" s="33"/>
      <c r="Y1409" s="34"/>
      <c r="Z1409" s="32"/>
      <c r="AA1409" s="20" t="s">
        <v>49</v>
      </c>
      <c r="AB1409" s="20" t="s">
        <v>49</v>
      </c>
      <c r="AC1409" s="19" t="s">
        <v>49</v>
      </c>
      <c r="AD1409" s="19" t="str">
        <f ca="1">IFERROR(DATEDIF(DadosViagem5[[#This Row],[Utimo Bip Reserva]],TODAY(),"D"),"")</f>
        <v/>
      </c>
      <c r="AE1409" s="36"/>
      <c r="AF1409" s="25"/>
      <c r="AG1409" s="36" t="s">
        <v>290</v>
      </c>
      <c r="AH1409" s="25">
        <v>32</v>
      </c>
      <c r="AI1409" s="36" t="str">
        <f>IF(DadosViagem5[[#This Row],[Dias em manutenção ]]&lt;5,"Dentro do Prazo","Fora do Prazo")</f>
        <v>Fora do Prazo</v>
      </c>
      <c r="AJ1409" s="36" t="e">
        <v>#REF!</v>
      </c>
    </row>
    <row r="1410" spans="1:36">
      <c r="A1410" s="19" t="s">
        <v>2399</v>
      </c>
      <c r="B1410" s="20"/>
      <c r="C1410" s="19" t="s">
        <v>37</v>
      </c>
      <c r="D1410" s="19" t="s">
        <v>38</v>
      </c>
      <c r="E1410" s="19" t="s">
        <v>39</v>
      </c>
      <c r="F1410" s="19" t="s">
        <v>106</v>
      </c>
      <c r="G1410" s="19"/>
      <c r="H1410" s="20">
        <v>2024</v>
      </c>
      <c r="I1410" s="19" t="s">
        <v>41</v>
      </c>
      <c r="J1410" s="19" t="s">
        <v>2361</v>
      </c>
      <c r="K1410" s="21" t="s">
        <v>2362</v>
      </c>
      <c r="L1410" s="22" t="s">
        <v>60</v>
      </c>
      <c r="M1410" s="23" t="s">
        <v>470</v>
      </c>
      <c r="N1410" s="36" t="s">
        <v>2363</v>
      </c>
      <c r="O1410" s="36" t="s">
        <v>472</v>
      </c>
      <c r="P1410" s="26">
        <f ca="1">IFERROR(VLOOKUP(DadosViagem5[[#This Row],[Placa]],[1]BIP!A:E,5,FALSE),"")</f>
        <v>45989</v>
      </c>
      <c r="Q1410" s="27">
        <f ca="1">DATEDIF(DadosViagem5[[#This Row],[BIP]],TODAY(),"D")</f>
        <v>1</v>
      </c>
      <c r="R1410" s="28" t="str">
        <f>IFERROR(VLOOKUP(DadosViagem5[[#This Row],[Placa]],[1]DDS!B:C,2,FALSE),"Verificar cadastro")</f>
        <v>Operando</v>
      </c>
      <c r="S1410" s="29" t="s">
        <v>48</v>
      </c>
      <c r="T1410" s="23"/>
      <c r="U1410" s="30"/>
      <c r="V1410" s="31"/>
      <c r="W1410" s="32"/>
      <c r="X1410" s="33"/>
      <c r="Y1410" s="34"/>
      <c r="Z1410" s="32"/>
      <c r="AA1410" s="20" t="s">
        <v>49</v>
      </c>
      <c r="AB1410" s="20" t="s">
        <v>49</v>
      </c>
      <c r="AC1410" s="19" t="s">
        <v>49</v>
      </c>
      <c r="AD1410" s="19" t="str">
        <f ca="1">IFERROR(DATEDIF(DadosViagem5[[#This Row],[Utimo Bip Reserva]],TODAY(),"D"),"")</f>
        <v/>
      </c>
      <c r="AE1410" s="36" t="s">
        <v>2397</v>
      </c>
      <c r="AF1410" s="25"/>
      <c r="AG1410" s="36"/>
      <c r="AH1410" s="25">
        <v>25</v>
      </c>
      <c r="AI1410" s="36" t="str">
        <f>IF(DadosViagem5[[#This Row],[Dias em manutenção ]]&lt;5,"Dentro do Prazo","Fora do Prazo")</f>
        <v>Fora do Prazo</v>
      </c>
      <c r="AJ1410" s="36" t="e">
        <v>#REF!</v>
      </c>
    </row>
    <row r="1411" spans="1:36">
      <c r="A1411" s="19" t="s">
        <v>2400</v>
      </c>
      <c r="B1411" s="20"/>
      <c r="C1411" s="19" t="s">
        <v>37</v>
      </c>
      <c r="D1411" s="19" t="s">
        <v>38</v>
      </c>
      <c r="E1411" s="19" t="s">
        <v>39</v>
      </c>
      <c r="F1411" s="19" t="s">
        <v>106</v>
      </c>
      <c r="G1411" s="19"/>
      <c r="H1411" s="20">
        <v>2024</v>
      </c>
      <c r="I1411" s="19" t="s">
        <v>41</v>
      </c>
      <c r="J1411" s="19" t="s">
        <v>2361</v>
      </c>
      <c r="K1411" s="21" t="s">
        <v>2362</v>
      </c>
      <c r="L1411" s="22" t="s">
        <v>60</v>
      </c>
      <c r="M1411" s="23" t="s">
        <v>470</v>
      </c>
      <c r="N1411" s="36" t="s">
        <v>2363</v>
      </c>
      <c r="O1411" s="36" t="s">
        <v>472</v>
      </c>
      <c r="P1411" s="26">
        <f ca="1">IFERROR(VLOOKUP(DadosViagem5[[#This Row],[Placa]],[1]BIP!A:E,5,FALSE),"")</f>
        <v>45989</v>
      </c>
      <c r="Q1411" s="27">
        <f ca="1">DATEDIF(DadosViagem5[[#This Row],[BIP]],TODAY(),"D")</f>
        <v>1</v>
      </c>
      <c r="R1411" s="28" t="str">
        <f>IFERROR(VLOOKUP(DadosViagem5[[#This Row],[Placa]],[1]DDS!B:C,2,FALSE),"Verificar cadastro")</f>
        <v>Operando</v>
      </c>
      <c r="S1411" s="29" t="s">
        <v>48</v>
      </c>
      <c r="T1411" s="23"/>
      <c r="U1411" s="30"/>
      <c r="V1411" s="31"/>
      <c r="W1411" s="32"/>
      <c r="X1411" s="33"/>
      <c r="Y1411" s="34"/>
      <c r="Z1411" s="32"/>
      <c r="AA1411" s="20" t="s">
        <v>49</v>
      </c>
      <c r="AB1411" s="20" t="s">
        <v>49</v>
      </c>
      <c r="AC1411" s="19" t="s">
        <v>49</v>
      </c>
      <c r="AD1411" s="19" t="str">
        <f ca="1">IFERROR(DATEDIF(DadosViagem5[[#This Row],[Utimo Bip Reserva]],TODAY(),"D"),"")</f>
        <v/>
      </c>
      <c r="AE1411" s="36" t="s">
        <v>2397</v>
      </c>
      <c r="AF1411" s="25"/>
      <c r="AG1411" s="36"/>
      <c r="AH1411" s="25">
        <v>45807</v>
      </c>
      <c r="AI1411" s="36" t="str">
        <f>IF(DadosViagem5[[#This Row],[Dias em manutenção ]]&lt;5,"Dentro do Prazo","Fora do Prazo")</f>
        <v>Fora do Prazo</v>
      </c>
      <c r="AJ1411" s="36" t="e">
        <v>#REF!</v>
      </c>
    </row>
    <row r="1412" spans="1:36">
      <c r="A1412" s="19" t="s">
        <v>2401</v>
      </c>
      <c r="B1412" s="20"/>
      <c r="C1412" s="19" t="s">
        <v>88</v>
      </c>
      <c r="D1412" s="19" t="s">
        <v>52</v>
      </c>
      <c r="E1412" s="19" t="s">
        <v>114</v>
      </c>
      <c r="F1412" s="19" t="s">
        <v>115</v>
      </c>
      <c r="G1412" s="19"/>
      <c r="H1412" s="20">
        <v>2021</v>
      </c>
      <c r="I1412" s="19" t="s">
        <v>41</v>
      </c>
      <c r="J1412" s="19" t="s">
        <v>2361</v>
      </c>
      <c r="K1412" s="76" t="s">
        <v>2362</v>
      </c>
      <c r="L1412" s="22" t="s">
        <v>60</v>
      </c>
      <c r="M1412" s="23" t="s">
        <v>470</v>
      </c>
      <c r="N1412" s="36" t="s">
        <v>2363</v>
      </c>
      <c r="O1412" s="36" t="s">
        <v>472</v>
      </c>
      <c r="P1412" s="26">
        <f ca="1">IFERROR(VLOOKUP(DadosViagem5[[#This Row],[Placa]],[1]BIP!A:E,5,FALSE),"")</f>
        <v>45986</v>
      </c>
      <c r="Q1412" s="27">
        <f ca="1">DATEDIF(DadosViagem5[[#This Row],[BIP]],TODAY(),"D")</f>
        <v>4</v>
      </c>
      <c r="R1412" s="28" t="str">
        <f>IFERROR(VLOOKUP(DadosViagem5[[#This Row],[Placa]],[1]DDS!B:C,2,FALSE),"Verificar cadastro")</f>
        <v>Manutenção</v>
      </c>
      <c r="S1412" s="29" t="s">
        <v>48</v>
      </c>
      <c r="T1412" s="23"/>
      <c r="U1412" s="30"/>
      <c r="V1412" s="31"/>
      <c r="W1412" s="32" t="s">
        <v>2379</v>
      </c>
      <c r="X1412" s="33"/>
      <c r="Y1412" s="34"/>
      <c r="Z1412" s="32"/>
      <c r="AA1412" s="20" t="s">
        <v>49</v>
      </c>
      <c r="AB1412" s="20" t="s">
        <v>49</v>
      </c>
      <c r="AC1412" s="19" t="s">
        <v>49</v>
      </c>
      <c r="AD1412" s="19" t="str">
        <f ca="1">IFERROR(DATEDIF(DadosViagem5[[#This Row],[Utimo Bip Reserva]],TODAY(),"D"),"")</f>
        <v/>
      </c>
      <c r="AE1412" s="36" t="s">
        <v>49</v>
      </c>
      <c r="AF1412" s="25" t="s">
        <v>49</v>
      </c>
      <c r="AG1412" s="36"/>
      <c r="AH1412" s="25">
        <v>45807</v>
      </c>
      <c r="AI1412" s="36" t="str">
        <f>IF(DadosViagem5[[#This Row],[Dias em manutenção ]]&lt;5,"Dentro do Prazo","Fora do Prazo")</f>
        <v>Fora do Prazo</v>
      </c>
      <c r="AJ1412" s="36" t="e">
        <v>#REF!</v>
      </c>
    </row>
    <row r="1413" spans="1:36">
      <c r="A1413" s="19" t="s">
        <v>2402</v>
      </c>
      <c r="B1413" s="20"/>
      <c r="C1413" s="19" t="s">
        <v>88</v>
      </c>
      <c r="D1413" s="19" t="s">
        <v>52</v>
      </c>
      <c r="E1413" s="19" t="s">
        <v>114</v>
      </c>
      <c r="F1413" s="19" t="s">
        <v>115</v>
      </c>
      <c r="G1413" s="19"/>
      <c r="H1413" s="20">
        <v>2021</v>
      </c>
      <c r="I1413" s="19" t="s">
        <v>41</v>
      </c>
      <c r="J1413" s="19" t="s">
        <v>2361</v>
      </c>
      <c r="K1413" s="21" t="s">
        <v>2362</v>
      </c>
      <c r="L1413" s="22" t="s">
        <v>60</v>
      </c>
      <c r="M1413" s="23" t="s">
        <v>470</v>
      </c>
      <c r="N1413" s="36" t="s">
        <v>2363</v>
      </c>
      <c r="O1413" s="36" t="s">
        <v>472</v>
      </c>
      <c r="P1413" s="26">
        <f ca="1">IFERROR(VLOOKUP(DadosViagem5[[#This Row],[Placa]],[1]BIP!A:E,5,FALSE),"")</f>
        <v>45868</v>
      </c>
      <c r="Q1413" s="27">
        <f ca="1">DATEDIF(DadosViagem5[[#This Row],[BIP]],TODAY(),"D")</f>
        <v>122</v>
      </c>
      <c r="R1413" s="28" t="str">
        <f>IFERROR(VLOOKUP(DadosViagem5[[#This Row],[Placa]],[1]DDS!B:C,2,FALSE),"Verificar cadastro")</f>
        <v>Manutenção</v>
      </c>
      <c r="S1413" s="36" t="s">
        <v>35</v>
      </c>
      <c r="T1413" s="23"/>
      <c r="U1413" s="30"/>
      <c r="V1413" s="31"/>
      <c r="W1413" s="32" t="s">
        <v>2403</v>
      </c>
      <c r="X1413" s="33"/>
      <c r="Y1413" s="34"/>
      <c r="Z1413" s="42"/>
      <c r="AA1413" s="20" t="s">
        <v>49</v>
      </c>
      <c r="AB1413" s="20" t="s">
        <v>49</v>
      </c>
      <c r="AC1413" s="19" t="s">
        <v>49</v>
      </c>
      <c r="AD1413" s="19" t="str">
        <f ca="1">IFERROR(DATEDIF(DadosViagem5[[#This Row],[Utimo Bip Reserva]],TODAY(),"D"),"")</f>
        <v/>
      </c>
      <c r="AE1413" s="36" t="s">
        <v>2404</v>
      </c>
      <c r="AF1413" s="25" t="s">
        <v>49</v>
      </c>
      <c r="AG1413" s="36"/>
      <c r="AH1413" s="25">
        <v>45807</v>
      </c>
      <c r="AI1413" s="36" t="str">
        <f>IF(DadosViagem5[[#This Row],[Dias em manutenção ]]&lt;5,"Dentro do Prazo","Fora do Prazo")</f>
        <v>Fora do Prazo</v>
      </c>
      <c r="AJ1413" s="36" t="e">
        <v>#REF!</v>
      </c>
    </row>
    <row r="1414" spans="1:36">
      <c r="A1414" s="19" t="s">
        <v>2405</v>
      </c>
      <c r="B1414" s="20"/>
      <c r="C1414" s="19" t="s">
        <v>74</v>
      </c>
      <c r="D1414" s="19" t="s">
        <v>52</v>
      </c>
      <c r="E1414" s="19" t="s">
        <v>75</v>
      </c>
      <c r="F1414" s="19" t="s">
        <v>76</v>
      </c>
      <c r="G1414" s="19"/>
      <c r="H1414" s="20">
        <v>2023</v>
      </c>
      <c r="I1414" s="19" t="s">
        <v>41</v>
      </c>
      <c r="J1414" s="19" t="s">
        <v>2361</v>
      </c>
      <c r="K1414" s="21" t="s">
        <v>2362</v>
      </c>
      <c r="L1414" s="22" t="s">
        <v>60</v>
      </c>
      <c r="M1414" s="23" t="s">
        <v>77</v>
      </c>
      <c r="N1414" s="36" t="s">
        <v>2363</v>
      </c>
      <c r="O1414" s="36" t="s">
        <v>472</v>
      </c>
      <c r="P1414" s="26">
        <f ca="1">IFERROR(VLOOKUP(DadosViagem5[[#This Row],[Placa]],[1]BIP!A:E,5,FALSE),"")</f>
        <v>45989</v>
      </c>
      <c r="Q1414" s="27">
        <f ca="1">DATEDIF(DadosViagem5[[#This Row],[BIP]],TODAY(),"D")</f>
        <v>1</v>
      </c>
      <c r="R1414" s="28" t="str">
        <f>IFERROR(VLOOKUP(DadosViagem5[[#This Row],[Placa]],[1]DDS!B:C,2,FALSE),"Verificar cadastro")</f>
        <v>Operando</v>
      </c>
      <c r="S1414" s="29" t="s">
        <v>48</v>
      </c>
      <c r="T1414" s="23"/>
      <c r="U1414" s="30"/>
      <c r="V1414" s="31"/>
      <c r="W1414" s="32"/>
      <c r="X1414" s="33"/>
      <c r="Y1414" s="34"/>
      <c r="Z1414" s="32"/>
      <c r="AA1414" s="20" t="s">
        <v>49</v>
      </c>
      <c r="AB1414" s="20" t="s">
        <v>49</v>
      </c>
      <c r="AC1414" s="19" t="s">
        <v>49</v>
      </c>
      <c r="AD1414" s="19" t="str">
        <f ca="1">IFERROR(DATEDIF(DadosViagem5[[#This Row],[Utimo Bip Reserva]],TODAY(),"D"),"")</f>
        <v/>
      </c>
      <c r="AE1414" s="36"/>
      <c r="AF1414" s="25"/>
      <c r="AG1414" s="36"/>
      <c r="AH1414" s="25">
        <v>45807</v>
      </c>
      <c r="AI1414" s="36" t="str">
        <f>IF(DadosViagem5[[#This Row],[Dias em manutenção ]]&lt;5,"Dentro do Prazo","Fora do Prazo")</f>
        <v>Fora do Prazo</v>
      </c>
      <c r="AJ1414" s="36" t="e">
        <v>#REF!</v>
      </c>
    </row>
    <row r="1415" spans="1:36">
      <c r="A1415" s="19" t="s">
        <v>2406</v>
      </c>
      <c r="B1415" s="20"/>
      <c r="C1415" s="19" t="s">
        <v>74</v>
      </c>
      <c r="D1415" s="19" t="s">
        <v>52</v>
      </c>
      <c r="E1415" s="19" t="s">
        <v>75</v>
      </c>
      <c r="F1415" s="19" t="s">
        <v>76</v>
      </c>
      <c r="G1415" s="19"/>
      <c r="H1415" s="20">
        <v>2023</v>
      </c>
      <c r="I1415" s="19" t="s">
        <v>41</v>
      </c>
      <c r="J1415" s="19" t="s">
        <v>2361</v>
      </c>
      <c r="K1415" s="21" t="s">
        <v>2362</v>
      </c>
      <c r="L1415" s="22" t="s">
        <v>60</v>
      </c>
      <c r="M1415" s="23" t="s">
        <v>77</v>
      </c>
      <c r="N1415" s="36" t="s">
        <v>2363</v>
      </c>
      <c r="O1415" s="36" t="s">
        <v>472</v>
      </c>
      <c r="P1415" s="26">
        <f ca="1">IFERROR(VLOOKUP(DadosViagem5[[#This Row],[Placa]],[1]BIP!A:E,5,FALSE),"")</f>
        <v>45989</v>
      </c>
      <c r="Q1415" s="27">
        <f ca="1">DATEDIF(DadosViagem5[[#This Row],[BIP]],TODAY(),"D")</f>
        <v>1</v>
      </c>
      <c r="R1415" s="28" t="str">
        <f>IFERROR(VLOOKUP(DadosViagem5[[#This Row],[Placa]],[1]DDS!B:C,2,FALSE),"Verificar cadastro")</f>
        <v>Operando</v>
      </c>
      <c r="S1415" s="29" t="s">
        <v>48</v>
      </c>
      <c r="T1415" s="23"/>
      <c r="U1415" s="30"/>
      <c r="V1415" s="31"/>
      <c r="W1415" s="32">
        <v>282012004</v>
      </c>
      <c r="X1415" s="33"/>
      <c r="Y1415" s="34"/>
      <c r="Z1415" s="32"/>
      <c r="AA1415" s="20" t="s">
        <v>49</v>
      </c>
      <c r="AB1415" s="20" t="s">
        <v>49</v>
      </c>
      <c r="AC1415" s="19" t="s">
        <v>49</v>
      </c>
      <c r="AD1415" s="19" t="str">
        <f ca="1">IFERROR(DATEDIF(DadosViagem5[[#This Row],[Utimo Bip Reserva]],TODAY(),"D"),"")</f>
        <v/>
      </c>
      <c r="AE1415" s="36"/>
      <c r="AF1415" s="25"/>
      <c r="AG1415" s="36"/>
      <c r="AH1415" s="25">
        <v>45807</v>
      </c>
      <c r="AI1415" s="36" t="str">
        <f>IF(DadosViagem5[[#This Row],[Dias em manutenção ]]&lt;5,"Dentro do Prazo","Fora do Prazo")</f>
        <v>Fora do Prazo</v>
      </c>
      <c r="AJ1415" s="36" t="e">
        <v>#REF!</v>
      </c>
    </row>
    <row r="1416" spans="1:36">
      <c r="A1416" s="19" t="s">
        <v>2407</v>
      </c>
      <c r="B1416" s="20"/>
      <c r="C1416" s="19" t="s">
        <v>225</v>
      </c>
      <c r="D1416" s="19" t="s">
        <v>38</v>
      </c>
      <c r="E1416" s="19" t="s">
        <v>39</v>
      </c>
      <c r="F1416" s="19" t="s">
        <v>106</v>
      </c>
      <c r="G1416" s="19"/>
      <c r="H1416" s="20">
        <v>2024</v>
      </c>
      <c r="I1416" s="19" t="s">
        <v>41</v>
      </c>
      <c r="J1416" s="19" t="s">
        <v>2361</v>
      </c>
      <c r="K1416" s="21" t="s">
        <v>2362</v>
      </c>
      <c r="L1416" s="22" t="s">
        <v>60</v>
      </c>
      <c r="M1416" s="23" t="s">
        <v>470</v>
      </c>
      <c r="N1416" s="36" t="s">
        <v>2363</v>
      </c>
      <c r="O1416" s="36" t="s">
        <v>472</v>
      </c>
      <c r="P1416" s="26">
        <f ca="1">IFERROR(VLOOKUP(DadosViagem5[[#This Row],[Placa]],[1]BIP!A:E,5,FALSE),"")</f>
        <v>45989</v>
      </c>
      <c r="Q1416" s="27">
        <f ca="1">DATEDIF(DadosViagem5[[#This Row],[BIP]],TODAY(),"D")</f>
        <v>1</v>
      </c>
      <c r="R1416" s="28" t="str">
        <f>IFERROR(VLOOKUP(DadosViagem5[[#This Row],[Placa]],[1]DDS!B:C,2,FALSE),"Verificar cadastro")</f>
        <v>Operando</v>
      </c>
      <c r="S1416" s="29" t="s">
        <v>48</v>
      </c>
      <c r="T1416" s="23"/>
      <c r="U1416" s="30"/>
      <c r="V1416" s="31"/>
      <c r="W1416" s="32"/>
      <c r="X1416" s="33"/>
      <c r="Y1416" s="34"/>
      <c r="Z1416" s="32"/>
      <c r="AA1416" s="20" t="s">
        <v>49</v>
      </c>
      <c r="AB1416" s="20" t="s">
        <v>49</v>
      </c>
      <c r="AC1416" s="19" t="s">
        <v>49</v>
      </c>
      <c r="AD1416" s="19" t="str">
        <f ca="1">IFERROR(DATEDIF(DadosViagem5[[#This Row],[Utimo Bip Reserva]],TODAY(),"D"),"")</f>
        <v/>
      </c>
      <c r="AE1416" s="25" t="s">
        <v>49</v>
      </c>
      <c r="AF1416" s="25" t="s">
        <v>49</v>
      </c>
      <c r="AG1416" s="36"/>
      <c r="AH1416" s="25">
        <v>45807</v>
      </c>
      <c r="AI1416" s="36" t="str">
        <f>IF(DadosViagem5[[#This Row],[Dias em manutenção ]]&lt;5,"Dentro do Prazo","Fora do Prazo")</f>
        <v>Fora do Prazo</v>
      </c>
      <c r="AJ1416" s="36" t="e">
        <v>#REF!</v>
      </c>
    </row>
    <row r="1417" spans="1:36">
      <c r="A1417" s="19" t="s">
        <v>2408</v>
      </c>
      <c r="B1417" s="20"/>
      <c r="C1417" s="19" t="s">
        <v>71</v>
      </c>
      <c r="D1417" s="19" t="s">
        <v>38</v>
      </c>
      <c r="E1417" s="19" t="s">
        <v>265</v>
      </c>
      <c r="F1417" s="19" t="s">
        <v>396</v>
      </c>
      <c r="G1417" s="19"/>
      <c r="H1417" s="20">
        <v>2023</v>
      </c>
      <c r="I1417" s="19" t="s">
        <v>41</v>
      </c>
      <c r="J1417" s="19" t="s">
        <v>2361</v>
      </c>
      <c r="K1417" s="21" t="s">
        <v>2362</v>
      </c>
      <c r="L1417" s="22" t="s">
        <v>60</v>
      </c>
      <c r="M1417" s="23" t="s">
        <v>470</v>
      </c>
      <c r="N1417" s="24" t="s">
        <v>2363</v>
      </c>
      <c r="O1417" s="24" t="s">
        <v>472</v>
      </c>
      <c r="P1417" s="26">
        <f ca="1">IFERROR(VLOOKUP(DadosViagem5[[#This Row],[Placa]],[1]BIP!A:E,5,FALSE),"")</f>
        <v>45989</v>
      </c>
      <c r="Q1417" s="27">
        <f ca="1">DATEDIF(DadosViagem5[[#This Row],[BIP]],TODAY(),"D")</f>
        <v>1</v>
      </c>
      <c r="R1417" s="28" t="str">
        <f>IFERROR(VLOOKUP(DadosViagem5[[#This Row],[Placa]],[1]DDS!B:C,2,FALSE),"Verificar cadastro")</f>
        <v>Operando</v>
      </c>
      <c r="S1417" s="29" t="s">
        <v>48</v>
      </c>
      <c r="T1417" s="23"/>
      <c r="U1417" s="30"/>
      <c r="V1417" s="31"/>
      <c r="W1417" s="32"/>
      <c r="X1417" s="33"/>
      <c r="Y1417" s="34"/>
      <c r="Z1417" s="32"/>
      <c r="AA1417" s="20" t="s">
        <v>49</v>
      </c>
      <c r="AB1417" s="20" t="s">
        <v>49</v>
      </c>
      <c r="AC1417" s="19" t="s">
        <v>49</v>
      </c>
      <c r="AD1417" s="19" t="str">
        <f ca="1">IFERROR(DATEDIF(DadosViagem5[[#This Row],[Utimo Bip Reserva]],TODAY(),"D"),"")</f>
        <v/>
      </c>
      <c r="AE1417" s="36" t="s">
        <v>49</v>
      </c>
      <c r="AF1417" s="25" t="s">
        <v>49</v>
      </c>
      <c r="AG1417" s="36"/>
      <c r="AH1417" s="25">
        <v>45807</v>
      </c>
      <c r="AI1417" s="36" t="str">
        <f>IF(DadosViagem5[[#This Row],[Dias em manutenção ]]&lt;5,"Dentro do Prazo","Fora do Prazo")</f>
        <v>Fora do Prazo</v>
      </c>
      <c r="AJ1417" s="36" t="e">
        <v>#REF!</v>
      </c>
    </row>
    <row r="1418" spans="1:36">
      <c r="A1418" s="19" t="s">
        <v>2409</v>
      </c>
      <c r="B1418" s="20"/>
      <c r="C1418" s="19" t="s">
        <v>88</v>
      </c>
      <c r="D1418" s="19" t="s">
        <v>52</v>
      </c>
      <c r="E1418" s="19" t="s">
        <v>114</v>
      </c>
      <c r="F1418" s="19" t="s">
        <v>115</v>
      </c>
      <c r="G1418" s="19"/>
      <c r="H1418" s="20">
        <v>2021</v>
      </c>
      <c r="I1418" s="19" t="s">
        <v>41</v>
      </c>
      <c r="J1418" s="19" t="s">
        <v>2361</v>
      </c>
      <c r="K1418" s="21" t="s">
        <v>2362</v>
      </c>
      <c r="L1418" s="22" t="s">
        <v>60</v>
      </c>
      <c r="M1418" s="23" t="s">
        <v>470</v>
      </c>
      <c r="N1418" s="36" t="s">
        <v>2363</v>
      </c>
      <c r="O1418" s="36" t="s">
        <v>472</v>
      </c>
      <c r="P1418" s="26">
        <f ca="1">IFERROR(VLOOKUP(DadosViagem5[[#This Row],[Placa]],[1]BIP!A:E,5,FALSE),"")</f>
        <v>45989</v>
      </c>
      <c r="Q1418" s="27">
        <f ca="1">DATEDIF(DadosViagem5[[#This Row],[BIP]],TODAY(),"D")</f>
        <v>1</v>
      </c>
      <c r="R1418" s="28" t="str">
        <f>IFERROR(VLOOKUP(DadosViagem5[[#This Row],[Placa]],[1]DDS!B:C,2,FALSE),"Verificar cadastro")</f>
        <v>Operando</v>
      </c>
      <c r="S1418" s="29" t="s">
        <v>48</v>
      </c>
      <c r="T1418" s="23"/>
      <c r="U1418" s="30"/>
      <c r="V1418" s="31"/>
      <c r="W1418" s="32"/>
      <c r="X1418" s="33"/>
      <c r="Y1418" s="34"/>
      <c r="Z1418" s="132"/>
      <c r="AA1418" s="20" t="s">
        <v>49</v>
      </c>
      <c r="AB1418" s="20" t="s">
        <v>49</v>
      </c>
      <c r="AC1418" s="19" t="s">
        <v>49</v>
      </c>
      <c r="AD1418" s="19" t="str">
        <f ca="1">IFERROR(DATEDIF(DadosViagem5[[#This Row],[Utimo Bip Reserva]],TODAY(),"D"),"")</f>
        <v/>
      </c>
      <c r="AE1418" s="36" t="s">
        <v>49</v>
      </c>
      <c r="AF1418" s="25" t="s">
        <v>49</v>
      </c>
      <c r="AG1418" s="36"/>
      <c r="AH1418" s="25">
        <v>45807</v>
      </c>
      <c r="AI1418" s="36" t="str">
        <f>IF(DadosViagem5[[#This Row],[Dias em manutenção ]]&lt;5,"Dentro do Prazo","Fora do Prazo")</f>
        <v>Fora do Prazo</v>
      </c>
      <c r="AJ1418" s="36" t="e">
        <v>#REF!</v>
      </c>
    </row>
    <row r="1419" spans="1:36">
      <c r="A1419" s="19" t="s">
        <v>2410</v>
      </c>
      <c r="B1419" s="20">
        <v>437</v>
      </c>
      <c r="C1419" s="19" t="s">
        <v>74</v>
      </c>
      <c r="D1419" s="19" t="s">
        <v>52</v>
      </c>
      <c r="E1419" s="19" t="s">
        <v>75</v>
      </c>
      <c r="F1419" s="19" t="s">
        <v>40</v>
      </c>
      <c r="G1419" s="19"/>
      <c r="H1419" s="20">
        <v>2022</v>
      </c>
      <c r="I1419" s="19" t="s">
        <v>41</v>
      </c>
      <c r="J1419" s="19" t="s">
        <v>2361</v>
      </c>
      <c r="K1419" s="21" t="s">
        <v>2362</v>
      </c>
      <c r="L1419" s="22" t="s">
        <v>60</v>
      </c>
      <c r="M1419" s="23" t="s">
        <v>77</v>
      </c>
      <c r="N1419" s="36" t="s">
        <v>2363</v>
      </c>
      <c r="O1419" s="36" t="s">
        <v>472</v>
      </c>
      <c r="P1419" s="26">
        <f ca="1">IFERROR(VLOOKUP(DadosViagem5[[#This Row],[Placa]],[1]BIP!A:E,5,FALSE),"")</f>
        <v>45989</v>
      </c>
      <c r="Q1419" s="27">
        <f ca="1">DATEDIF(DadosViagem5[[#This Row],[BIP]],TODAY(),"D")</f>
        <v>1</v>
      </c>
      <c r="R1419" s="28" t="str">
        <f>IFERROR(VLOOKUP(DadosViagem5[[#This Row],[Placa]],[1]DDS!B:C,2,FALSE),"Verificar cadastro")</f>
        <v>Operando</v>
      </c>
      <c r="S1419" s="29" t="s">
        <v>48</v>
      </c>
      <c r="T1419" s="23"/>
      <c r="U1419" s="30"/>
      <c r="V1419" s="31"/>
      <c r="W1419" s="32"/>
      <c r="X1419" s="33"/>
      <c r="Y1419" s="34"/>
      <c r="Z1419" s="32"/>
      <c r="AA1419" s="20" t="s">
        <v>49</v>
      </c>
      <c r="AB1419" s="20" t="s">
        <v>49</v>
      </c>
      <c r="AC1419" s="19" t="s">
        <v>49</v>
      </c>
      <c r="AD1419" s="19" t="str">
        <f ca="1">IFERROR(DATEDIF(DadosViagem5[[#This Row],[Utimo Bip Reserva]],TODAY(),"D"),"")</f>
        <v/>
      </c>
      <c r="AE1419" s="36" t="s">
        <v>49</v>
      </c>
      <c r="AF1419" s="25" t="s">
        <v>49</v>
      </c>
      <c r="AG1419" s="36"/>
      <c r="AH1419" s="25">
        <v>45807</v>
      </c>
      <c r="AI1419" s="36" t="str">
        <f>IF(DadosViagem5[[#This Row],[Dias em manutenção ]]&lt;5,"Dentro do Prazo","Fora do Prazo")</f>
        <v>Fora do Prazo</v>
      </c>
      <c r="AJ1419" s="36" t="e">
        <v>#REF!</v>
      </c>
    </row>
    <row r="1420" spans="1:36">
      <c r="A1420" s="19" t="s">
        <v>2411</v>
      </c>
      <c r="B1420" s="20"/>
      <c r="C1420" s="19" t="s">
        <v>74</v>
      </c>
      <c r="D1420" s="19" t="s">
        <v>38</v>
      </c>
      <c r="E1420" s="19" t="s">
        <v>75</v>
      </c>
      <c r="F1420" s="19" t="s">
        <v>76</v>
      </c>
      <c r="G1420" s="19"/>
      <c r="H1420" s="20">
        <v>2024</v>
      </c>
      <c r="I1420" s="19" t="s">
        <v>41</v>
      </c>
      <c r="J1420" s="19" t="s">
        <v>2361</v>
      </c>
      <c r="K1420" s="21" t="s">
        <v>2362</v>
      </c>
      <c r="L1420" s="22" t="s">
        <v>60</v>
      </c>
      <c r="M1420" s="23" t="s">
        <v>77</v>
      </c>
      <c r="N1420" s="36" t="s">
        <v>2363</v>
      </c>
      <c r="O1420" s="36" t="s">
        <v>472</v>
      </c>
      <c r="P1420" s="26">
        <f ca="1">IFERROR(VLOOKUP(DadosViagem5[[#This Row],[Placa]],[1]BIP!A:E,5,FALSE),"")</f>
        <v>45989</v>
      </c>
      <c r="Q1420" s="27">
        <f ca="1">DATEDIF(DadosViagem5[[#This Row],[BIP]],TODAY(),"D")</f>
        <v>1</v>
      </c>
      <c r="R1420" s="28" t="str">
        <f>IFERROR(VLOOKUP(DadosViagem5[[#This Row],[Placa]],[1]DDS!B:C,2,FALSE),"Verificar cadastro")</f>
        <v>Operando</v>
      </c>
      <c r="S1420" s="29" t="s">
        <v>48</v>
      </c>
      <c r="T1420" s="23"/>
      <c r="U1420" s="30"/>
      <c r="V1420" s="31"/>
      <c r="W1420" s="32">
        <v>282015231</v>
      </c>
      <c r="X1420" s="33"/>
      <c r="Y1420" s="34"/>
      <c r="Z1420" s="32"/>
      <c r="AA1420" s="20" t="s">
        <v>49</v>
      </c>
      <c r="AB1420" s="20" t="s">
        <v>49</v>
      </c>
      <c r="AC1420" s="19" t="s">
        <v>49</v>
      </c>
      <c r="AD1420" s="19" t="str">
        <f ca="1">IFERROR(DATEDIF(DadosViagem5[[#This Row],[Utimo Bip Reserva]],TODAY(),"D"),"")</f>
        <v/>
      </c>
      <c r="AE1420" s="36"/>
      <c r="AF1420" s="25"/>
      <c r="AG1420" s="36"/>
      <c r="AH1420" s="25">
        <v>45807</v>
      </c>
      <c r="AI1420" s="36" t="str">
        <f>IF(DadosViagem5[[#This Row],[Dias em manutenção ]]&lt;5,"Dentro do Prazo","Fora do Prazo")</f>
        <v>Fora do Prazo</v>
      </c>
      <c r="AJ1420" s="36" t="e">
        <v>#REF!</v>
      </c>
    </row>
    <row r="1421" spans="1:36">
      <c r="A1421" s="19" t="s">
        <v>2412</v>
      </c>
      <c r="B1421" s="20"/>
      <c r="C1421" s="19" t="s">
        <v>74</v>
      </c>
      <c r="D1421" s="19" t="s">
        <v>38</v>
      </c>
      <c r="E1421" s="19" t="s">
        <v>75</v>
      </c>
      <c r="F1421" s="19" t="s">
        <v>76</v>
      </c>
      <c r="G1421" s="19"/>
      <c r="H1421" s="20">
        <v>2024</v>
      </c>
      <c r="I1421" s="19" t="s">
        <v>41</v>
      </c>
      <c r="J1421" s="37" t="s">
        <v>2361</v>
      </c>
      <c r="K1421" s="38" t="s">
        <v>2362</v>
      </c>
      <c r="L1421" s="22" t="s">
        <v>60</v>
      </c>
      <c r="M1421" s="23" t="s">
        <v>77</v>
      </c>
      <c r="N1421" s="36" t="s">
        <v>2363</v>
      </c>
      <c r="O1421" s="36" t="s">
        <v>472</v>
      </c>
      <c r="P1421" s="26">
        <f ca="1">IFERROR(VLOOKUP(DadosViagem5[[#This Row],[Placa]],[1]BIP!A:E,5,FALSE),"")</f>
        <v>45989</v>
      </c>
      <c r="Q1421" s="27">
        <f ca="1">DATEDIF(DadosViagem5[[#This Row],[BIP]],TODAY(),"D")</f>
        <v>1</v>
      </c>
      <c r="R1421" s="28" t="str">
        <f>IFERROR(VLOOKUP(DadosViagem5[[#This Row],[Placa]],[1]DDS!B:C,2,FALSE),"Verificar cadastro")</f>
        <v>Operando</v>
      </c>
      <c r="S1421" s="29" t="s">
        <v>48</v>
      </c>
      <c r="T1421" s="23"/>
      <c r="U1421" s="30"/>
      <c r="V1421" s="31"/>
      <c r="W1421" s="32" t="s">
        <v>2413</v>
      </c>
      <c r="X1421" s="33"/>
      <c r="Y1421" s="34"/>
      <c r="Z1421" s="32"/>
      <c r="AA1421" s="20" t="s">
        <v>49</v>
      </c>
      <c r="AB1421" s="20" t="s">
        <v>49</v>
      </c>
      <c r="AC1421" s="19" t="s">
        <v>49</v>
      </c>
      <c r="AD1421" s="19" t="str">
        <f ca="1">IFERROR(DATEDIF(DadosViagem5[[#This Row],[Utimo Bip Reserva]],TODAY(),"D"),"")</f>
        <v/>
      </c>
      <c r="AE1421" s="36"/>
      <c r="AF1421" s="25"/>
      <c r="AG1421" s="36"/>
      <c r="AH1421" s="25">
        <v>45807</v>
      </c>
      <c r="AI1421" s="36" t="str">
        <f>IF(DadosViagem5[[#This Row],[Dias em manutenção ]]&lt;5,"Dentro do Prazo","Fora do Prazo")</f>
        <v>Fora do Prazo</v>
      </c>
      <c r="AJ1421" s="36" t="e">
        <v>#REF!</v>
      </c>
    </row>
    <row r="1422" spans="1:36">
      <c r="A1422" s="19" t="s">
        <v>2414</v>
      </c>
      <c r="B1422" s="20"/>
      <c r="C1422" s="19" t="s">
        <v>74</v>
      </c>
      <c r="D1422" s="19" t="s">
        <v>52</v>
      </c>
      <c r="E1422" s="19" t="s">
        <v>75</v>
      </c>
      <c r="F1422" s="19" t="s">
        <v>76</v>
      </c>
      <c r="G1422" s="19"/>
      <c r="H1422" s="20">
        <v>2024</v>
      </c>
      <c r="I1422" s="19" t="s">
        <v>41</v>
      </c>
      <c r="J1422" s="19" t="s">
        <v>2361</v>
      </c>
      <c r="K1422" s="21" t="s">
        <v>2362</v>
      </c>
      <c r="L1422" s="22" t="s">
        <v>60</v>
      </c>
      <c r="M1422" s="23" t="s">
        <v>77</v>
      </c>
      <c r="N1422" s="36" t="s">
        <v>2363</v>
      </c>
      <c r="O1422" s="36" t="s">
        <v>472</v>
      </c>
      <c r="P1422" s="26">
        <f ca="1">IFERROR(VLOOKUP(DadosViagem5[[#This Row],[Placa]],[1]BIP!A:E,5,FALSE),"")</f>
        <v>45989</v>
      </c>
      <c r="Q1422" s="27">
        <f ca="1">DATEDIF(DadosViagem5[[#This Row],[BIP]],TODAY(),"D")</f>
        <v>1</v>
      </c>
      <c r="R1422" s="28" t="str">
        <f>IFERROR(VLOOKUP(DadosViagem5[[#This Row],[Placa]],[1]DDS!B:C,2,FALSE),"Verificar cadastro")</f>
        <v>Operando</v>
      </c>
      <c r="S1422" s="29" t="s">
        <v>48</v>
      </c>
      <c r="T1422" s="23"/>
      <c r="U1422" s="30"/>
      <c r="V1422" s="31"/>
      <c r="W1422" s="32" t="s">
        <v>122</v>
      </c>
      <c r="X1422" s="33"/>
      <c r="Y1422" s="34"/>
      <c r="Z1422" s="32"/>
      <c r="AA1422" s="20" t="s">
        <v>49</v>
      </c>
      <c r="AB1422" s="20" t="s">
        <v>49</v>
      </c>
      <c r="AC1422" s="19" t="s">
        <v>49</v>
      </c>
      <c r="AD1422" s="19" t="str">
        <f ca="1">IFERROR(DATEDIF(DadosViagem5[[#This Row],[Utimo Bip Reserva]],TODAY(),"D"),"")</f>
        <v/>
      </c>
      <c r="AE1422" s="36"/>
      <c r="AF1422" s="25"/>
      <c r="AG1422" s="36"/>
      <c r="AH1422" s="25">
        <v>45807</v>
      </c>
      <c r="AI1422" s="36" t="str">
        <f>IF(DadosViagem5[[#This Row],[Dias em manutenção ]]&lt;5,"Dentro do Prazo","Fora do Prazo")</f>
        <v>Fora do Prazo</v>
      </c>
      <c r="AJ1422" s="36" t="e">
        <v>#REF!</v>
      </c>
    </row>
    <row r="1423" spans="1:36">
      <c r="A1423" s="19" t="s">
        <v>2415</v>
      </c>
      <c r="B1423" s="20"/>
      <c r="C1423" s="19" t="s">
        <v>74</v>
      </c>
      <c r="D1423" s="19" t="s">
        <v>52</v>
      </c>
      <c r="E1423" s="19" t="s">
        <v>75</v>
      </c>
      <c r="F1423" s="19" t="s">
        <v>76</v>
      </c>
      <c r="G1423" s="19"/>
      <c r="H1423" s="20">
        <v>2024</v>
      </c>
      <c r="I1423" s="19" t="s">
        <v>41</v>
      </c>
      <c r="J1423" s="19" t="s">
        <v>2361</v>
      </c>
      <c r="K1423" s="21" t="s">
        <v>2362</v>
      </c>
      <c r="L1423" s="22" t="s">
        <v>60</v>
      </c>
      <c r="M1423" s="23" t="s">
        <v>77</v>
      </c>
      <c r="N1423" s="36" t="s">
        <v>2363</v>
      </c>
      <c r="O1423" s="36" t="s">
        <v>472</v>
      </c>
      <c r="P1423" s="26">
        <f ca="1">IFERROR(VLOOKUP(DadosViagem5[[#This Row],[Placa]],[1]BIP!A:E,5,FALSE),"")</f>
        <v>45989</v>
      </c>
      <c r="Q1423" s="27">
        <f ca="1">DATEDIF(DadosViagem5[[#This Row],[BIP]],TODAY(),"D")</f>
        <v>1</v>
      </c>
      <c r="R1423" s="28" t="str">
        <f>IFERROR(VLOOKUP(DadosViagem5[[#This Row],[Placa]],[1]DDS!B:C,2,FALSE),"Verificar cadastro")</f>
        <v>Operando</v>
      </c>
      <c r="S1423" s="29" t="s">
        <v>48</v>
      </c>
      <c r="T1423" s="23"/>
      <c r="U1423" s="30"/>
      <c r="V1423" s="31"/>
      <c r="W1423" s="32"/>
      <c r="X1423" s="33"/>
      <c r="Y1423" s="34"/>
      <c r="Z1423" s="32"/>
      <c r="AA1423" s="20" t="s">
        <v>49</v>
      </c>
      <c r="AB1423" s="20" t="s">
        <v>49</v>
      </c>
      <c r="AC1423" s="19" t="s">
        <v>49</v>
      </c>
      <c r="AD1423" s="19" t="str">
        <f ca="1">IFERROR(DATEDIF(DadosViagem5[[#This Row],[Utimo Bip Reserva]],TODAY(),"D"),"")</f>
        <v/>
      </c>
      <c r="AE1423" s="36"/>
      <c r="AF1423" s="25"/>
      <c r="AG1423" s="36"/>
      <c r="AH1423" s="25">
        <v>45807</v>
      </c>
      <c r="AI1423" s="36" t="str">
        <f>IF(DadosViagem5[[#This Row],[Dias em manutenção ]]&lt;5,"Dentro do Prazo","Fora do Prazo")</f>
        <v>Fora do Prazo</v>
      </c>
      <c r="AJ1423" s="36" t="e">
        <v>#REF!</v>
      </c>
    </row>
    <row r="1424" spans="1:36">
      <c r="A1424" s="19" t="s">
        <v>2416</v>
      </c>
      <c r="B1424" s="20"/>
      <c r="C1424" s="19" t="s">
        <v>71</v>
      </c>
      <c r="D1424" s="19" t="s">
        <v>38</v>
      </c>
      <c r="E1424" s="19" t="s">
        <v>72</v>
      </c>
      <c r="F1424" s="19" t="s">
        <v>396</v>
      </c>
      <c r="G1424" s="19"/>
      <c r="H1424" s="20">
        <v>2024</v>
      </c>
      <c r="I1424" s="19" t="s">
        <v>41</v>
      </c>
      <c r="J1424" s="19" t="s">
        <v>2361</v>
      </c>
      <c r="K1424" s="21" t="s">
        <v>2362</v>
      </c>
      <c r="L1424" s="22" t="s">
        <v>60</v>
      </c>
      <c r="M1424" s="23" t="s">
        <v>470</v>
      </c>
      <c r="N1424" s="36" t="s">
        <v>2363</v>
      </c>
      <c r="O1424" s="36" t="s">
        <v>472</v>
      </c>
      <c r="P1424" s="26">
        <f ca="1">IFERROR(VLOOKUP(DadosViagem5[[#This Row],[Placa]],[1]BIP!A:E,5,FALSE),"")</f>
        <v>45989</v>
      </c>
      <c r="Q1424" s="27">
        <f ca="1">DATEDIF(DadosViagem5[[#This Row],[BIP]],TODAY(),"D")</f>
        <v>1</v>
      </c>
      <c r="R1424" s="28" t="str">
        <f>IFERROR(VLOOKUP(DadosViagem5[[#This Row],[Placa]],[1]DDS!B:C,2,FALSE),"Verificar cadastro")</f>
        <v>Operando</v>
      </c>
      <c r="S1424" s="29" t="s">
        <v>48</v>
      </c>
      <c r="T1424" s="23"/>
      <c r="U1424" s="30"/>
      <c r="V1424" s="31"/>
      <c r="W1424" s="32" t="s">
        <v>122</v>
      </c>
      <c r="X1424" s="33"/>
      <c r="Y1424" s="34"/>
      <c r="Z1424" s="32"/>
      <c r="AA1424" s="20" t="s">
        <v>49</v>
      </c>
      <c r="AB1424" s="20" t="s">
        <v>49</v>
      </c>
      <c r="AC1424" s="20" t="s">
        <v>49</v>
      </c>
      <c r="AD1424" s="20" t="s">
        <v>49</v>
      </c>
      <c r="AE1424" s="25" t="s">
        <v>49</v>
      </c>
      <c r="AF1424" s="25" t="s">
        <v>49</v>
      </c>
      <c r="AG1424" s="36"/>
      <c r="AH1424" s="25">
        <v>45807</v>
      </c>
      <c r="AI1424" s="36" t="str">
        <f>IF(DadosViagem5[[#This Row],[Dias em manutenção ]]&lt;5,"Dentro do Prazo","Fora do Prazo")</f>
        <v>Fora do Prazo</v>
      </c>
      <c r="AJ1424" s="36" t="e">
        <v>#REF!</v>
      </c>
    </row>
    <row r="1425" spans="1:36">
      <c r="A1425" s="19" t="s">
        <v>2417</v>
      </c>
      <c r="B1425" s="20"/>
      <c r="C1425" s="19" t="s">
        <v>225</v>
      </c>
      <c r="D1425" s="19" t="s">
        <v>38</v>
      </c>
      <c r="E1425" s="19" t="s">
        <v>39</v>
      </c>
      <c r="F1425" s="19" t="s">
        <v>106</v>
      </c>
      <c r="G1425" s="19"/>
      <c r="H1425" s="20">
        <v>2024</v>
      </c>
      <c r="I1425" s="19" t="s">
        <v>41</v>
      </c>
      <c r="J1425" s="19" t="s">
        <v>2361</v>
      </c>
      <c r="K1425" s="21" t="s">
        <v>2362</v>
      </c>
      <c r="L1425" s="22" t="s">
        <v>60</v>
      </c>
      <c r="M1425" s="23" t="s">
        <v>470</v>
      </c>
      <c r="N1425" s="36" t="s">
        <v>2363</v>
      </c>
      <c r="O1425" s="36" t="s">
        <v>472</v>
      </c>
      <c r="P1425" s="26">
        <f ca="1">IFERROR(VLOOKUP(DadosViagem5[[#This Row],[Placa]],[1]BIP!A:E,5,FALSE),"")</f>
        <v>45989</v>
      </c>
      <c r="Q1425" s="27">
        <f ca="1">DATEDIF(DadosViagem5[[#This Row],[BIP]],TODAY(),"D")</f>
        <v>1</v>
      </c>
      <c r="R1425" s="28" t="str">
        <f>IFERROR(VLOOKUP(DadosViagem5[[#This Row],[Placa]],[1]DDS!B:C,2,FALSE),"Verificar cadastro")</f>
        <v>Operando</v>
      </c>
      <c r="S1425" s="29" t="s">
        <v>48</v>
      </c>
      <c r="T1425" s="23"/>
      <c r="U1425" s="30"/>
      <c r="V1425" s="31"/>
      <c r="W1425" s="32"/>
      <c r="X1425" s="33"/>
      <c r="Y1425" s="34"/>
      <c r="Z1425" s="32"/>
      <c r="AA1425" s="20" t="s">
        <v>49</v>
      </c>
      <c r="AB1425" s="20" t="s">
        <v>49</v>
      </c>
      <c r="AC1425" s="19" t="s">
        <v>49</v>
      </c>
      <c r="AD1425" s="19" t="str">
        <f ca="1">IFERROR(DATEDIF(DadosViagem5[[#This Row],[Utimo Bip Reserva]],TODAY(),"D"),"")</f>
        <v/>
      </c>
      <c r="AE1425" s="36"/>
      <c r="AF1425" s="25"/>
      <c r="AG1425" s="36"/>
      <c r="AH1425" s="25">
        <v>45807</v>
      </c>
      <c r="AI1425" s="36" t="str">
        <f>IF(DadosViagem5[[#This Row],[Dias em manutenção ]]&lt;5,"Dentro do Prazo","Fora do Prazo")</f>
        <v>Fora do Prazo</v>
      </c>
      <c r="AJ1425" s="36" t="e">
        <v>#REF!</v>
      </c>
    </row>
    <row r="1426" spans="1:36">
      <c r="A1426" s="19" t="s">
        <v>2418</v>
      </c>
      <c r="B1426" s="20"/>
      <c r="C1426" s="19" t="s">
        <v>225</v>
      </c>
      <c r="D1426" s="19" t="s">
        <v>38</v>
      </c>
      <c r="E1426" s="19" t="s">
        <v>39</v>
      </c>
      <c r="F1426" s="19" t="s">
        <v>106</v>
      </c>
      <c r="G1426" s="19"/>
      <c r="H1426" s="20">
        <v>2024</v>
      </c>
      <c r="I1426" s="19" t="s">
        <v>41</v>
      </c>
      <c r="J1426" s="19" t="s">
        <v>2361</v>
      </c>
      <c r="K1426" s="21" t="s">
        <v>2362</v>
      </c>
      <c r="L1426" s="22" t="s">
        <v>60</v>
      </c>
      <c r="M1426" s="23" t="s">
        <v>470</v>
      </c>
      <c r="N1426" s="36" t="s">
        <v>2363</v>
      </c>
      <c r="O1426" s="36" t="s">
        <v>472</v>
      </c>
      <c r="P1426" s="26">
        <f ca="1">IFERROR(VLOOKUP(DadosViagem5[[#This Row],[Placa]],[1]BIP!A:E,5,FALSE),"")</f>
        <v>45989</v>
      </c>
      <c r="Q1426" s="27">
        <f ca="1">DATEDIF(DadosViagem5[[#This Row],[BIP]],TODAY(),"D")</f>
        <v>1</v>
      </c>
      <c r="R1426" s="28" t="str">
        <f>IFERROR(VLOOKUP(DadosViagem5[[#This Row],[Placa]],[1]DDS!B:C,2,FALSE),"Verificar cadastro")</f>
        <v>Operando</v>
      </c>
      <c r="S1426" s="29" t="s">
        <v>48</v>
      </c>
      <c r="T1426" s="23"/>
      <c r="U1426" s="30"/>
      <c r="V1426" s="31"/>
      <c r="W1426" s="32"/>
      <c r="X1426" s="33"/>
      <c r="Y1426" s="34"/>
      <c r="Z1426" s="32"/>
      <c r="AA1426" s="20" t="s">
        <v>49</v>
      </c>
      <c r="AB1426" s="20" t="s">
        <v>49</v>
      </c>
      <c r="AC1426" s="19" t="s">
        <v>49</v>
      </c>
      <c r="AD1426" s="19" t="str">
        <f ca="1">IFERROR(DATEDIF(DadosViagem5[[#This Row],[Utimo Bip Reserva]],TODAY(),"D"),"")</f>
        <v/>
      </c>
      <c r="AE1426" s="25" t="s">
        <v>49</v>
      </c>
      <c r="AF1426" s="25" t="s">
        <v>49</v>
      </c>
      <c r="AG1426" s="36"/>
      <c r="AH1426" s="25">
        <v>45807</v>
      </c>
      <c r="AI1426" s="36" t="str">
        <f>IF(DadosViagem5[[#This Row],[Dias em manutenção ]]&lt;5,"Dentro do Prazo","Fora do Prazo")</f>
        <v>Fora do Prazo</v>
      </c>
      <c r="AJ1426" s="36" t="e">
        <v>#REF!</v>
      </c>
    </row>
    <row r="1427" spans="1:36">
      <c r="A1427" s="19" t="s">
        <v>2419</v>
      </c>
      <c r="B1427" s="20"/>
      <c r="C1427" s="19" t="s">
        <v>37</v>
      </c>
      <c r="D1427" s="19" t="s">
        <v>38</v>
      </c>
      <c r="E1427" s="19" t="s">
        <v>39</v>
      </c>
      <c r="F1427" s="19" t="s">
        <v>106</v>
      </c>
      <c r="G1427" s="19"/>
      <c r="H1427" s="20">
        <v>2023</v>
      </c>
      <c r="I1427" s="19" t="s">
        <v>41</v>
      </c>
      <c r="J1427" s="19" t="s">
        <v>2361</v>
      </c>
      <c r="K1427" s="21" t="s">
        <v>2362</v>
      </c>
      <c r="L1427" s="39" t="s">
        <v>60</v>
      </c>
      <c r="M1427" s="23" t="s">
        <v>470</v>
      </c>
      <c r="N1427" s="36" t="s">
        <v>2363</v>
      </c>
      <c r="O1427" s="36" t="s">
        <v>472</v>
      </c>
      <c r="P1427" s="26">
        <f ca="1">IFERROR(VLOOKUP(DadosViagem5[[#This Row],[Placa]],[1]BIP!A:E,5,FALSE),"")</f>
        <v>45989</v>
      </c>
      <c r="Q1427" s="27">
        <f ca="1">DATEDIF(DadosViagem5[[#This Row],[BIP]],TODAY(),"D")</f>
        <v>1</v>
      </c>
      <c r="R1427" s="28" t="str">
        <f>IFERROR(VLOOKUP(DadosViagem5[[#This Row],[Placa]],[1]DDS!B:C,2,FALSE),"Verificar cadastro")</f>
        <v>Operando</v>
      </c>
      <c r="S1427" s="29" t="s">
        <v>48</v>
      </c>
      <c r="T1427" s="23"/>
      <c r="U1427" s="30"/>
      <c r="V1427" s="31"/>
      <c r="W1427" s="32"/>
      <c r="X1427" s="33"/>
      <c r="Y1427" s="34"/>
      <c r="Z1427" s="43"/>
      <c r="AA1427" s="20"/>
      <c r="AB1427" s="20" t="s">
        <v>49</v>
      </c>
      <c r="AC1427" s="19" t="s">
        <v>49</v>
      </c>
      <c r="AD1427" s="19" t="str">
        <f ca="1">IFERROR(DATEDIF(DadosViagem5[[#This Row],[Utimo Bip Reserva]],TODAY(),"D"),"")</f>
        <v/>
      </c>
      <c r="AE1427" s="25" t="s">
        <v>49</v>
      </c>
      <c r="AF1427" s="25" t="s">
        <v>49</v>
      </c>
      <c r="AG1427" s="36"/>
      <c r="AH1427" s="25">
        <v>45807</v>
      </c>
      <c r="AI1427" s="36" t="str">
        <f>IF(DadosViagem5[[#This Row],[Dias em manutenção ]]&lt;5,"Dentro do Prazo","Fora do Prazo")</f>
        <v>Fora do Prazo</v>
      </c>
      <c r="AJ1427" s="36" t="e">
        <v>#REF!</v>
      </c>
    </row>
    <row r="1428" spans="1:36">
      <c r="A1428" s="19" t="s">
        <v>2420</v>
      </c>
      <c r="B1428" s="20"/>
      <c r="C1428" s="19" t="s">
        <v>74</v>
      </c>
      <c r="D1428" s="19" t="s">
        <v>52</v>
      </c>
      <c r="E1428" s="19" t="s">
        <v>75</v>
      </c>
      <c r="F1428" s="19" t="s">
        <v>76</v>
      </c>
      <c r="G1428" s="19"/>
      <c r="H1428" s="20">
        <v>2024</v>
      </c>
      <c r="I1428" s="19" t="s">
        <v>41</v>
      </c>
      <c r="J1428" s="19" t="s">
        <v>2361</v>
      </c>
      <c r="K1428" s="38" t="s">
        <v>2362</v>
      </c>
      <c r="L1428" s="39" t="s">
        <v>60</v>
      </c>
      <c r="M1428" s="23" t="s">
        <v>77</v>
      </c>
      <c r="N1428" s="36" t="s">
        <v>2363</v>
      </c>
      <c r="O1428" s="36" t="s">
        <v>472</v>
      </c>
      <c r="P1428" s="26">
        <f ca="1">IFERROR(VLOOKUP(DadosViagem5[[#This Row],[Placa]],[1]BIP!A:E,5,FALSE),"")</f>
        <v>45988</v>
      </c>
      <c r="Q1428" s="27">
        <f ca="1">DATEDIF(DadosViagem5[[#This Row],[BIP]],TODAY(),"D")</f>
        <v>2</v>
      </c>
      <c r="R1428" s="28"/>
      <c r="S1428" s="29" t="s">
        <v>48</v>
      </c>
      <c r="T1428" s="23"/>
      <c r="U1428" s="30"/>
      <c r="V1428" s="31"/>
      <c r="W1428" s="32"/>
      <c r="X1428" s="33"/>
      <c r="Y1428" s="34"/>
      <c r="Z1428" s="32"/>
      <c r="AA1428" s="20" t="s">
        <v>49</v>
      </c>
      <c r="AB1428" s="20" t="s">
        <v>49</v>
      </c>
      <c r="AC1428" s="19" t="s">
        <v>49</v>
      </c>
      <c r="AD1428" s="19" t="str">
        <f ca="1">IFERROR(DATEDIF(DadosViagem5[[#This Row],[Utimo Bip Reserva]],TODAY(),"D"),"")</f>
        <v/>
      </c>
      <c r="AE1428" s="25" t="s">
        <v>49</v>
      </c>
      <c r="AF1428" s="25" t="s">
        <v>49</v>
      </c>
      <c r="AG1428" s="36"/>
      <c r="AH1428" s="25">
        <v>45807</v>
      </c>
      <c r="AI1428" s="36" t="str">
        <f>IF(DadosViagem5[[#This Row],[Dias em manutenção ]]&lt;5,"Dentro do Prazo","Fora do Prazo")</f>
        <v>Fora do Prazo</v>
      </c>
      <c r="AJ1428" s="36" t="e">
        <v>#REF!</v>
      </c>
    </row>
    <row r="1429" spans="1:36">
      <c r="A1429" s="19" t="s">
        <v>2421</v>
      </c>
      <c r="B1429" s="20"/>
      <c r="C1429" s="19" t="s">
        <v>74</v>
      </c>
      <c r="D1429" s="19" t="s">
        <v>52</v>
      </c>
      <c r="E1429" s="19" t="s">
        <v>75</v>
      </c>
      <c r="F1429" s="19" t="s">
        <v>76</v>
      </c>
      <c r="G1429" s="19"/>
      <c r="H1429" s="20">
        <v>2024</v>
      </c>
      <c r="I1429" s="19" t="s">
        <v>41</v>
      </c>
      <c r="J1429" s="19" t="s">
        <v>2361</v>
      </c>
      <c r="K1429" s="21" t="s">
        <v>2362</v>
      </c>
      <c r="L1429" s="22" t="s">
        <v>60</v>
      </c>
      <c r="M1429" s="23" t="s">
        <v>77</v>
      </c>
      <c r="N1429" s="36" t="s">
        <v>2363</v>
      </c>
      <c r="O1429" s="36" t="s">
        <v>472</v>
      </c>
      <c r="P1429" s="26">
        <f ca="1">IFERROR(VLOOKUP(DadosViagem5[[#This Row],[Placa]],[1]BIP!A:E,5,FALSE),"")</f>
        <v>45989</v>
      </c>
      <c r="Q1429" s="27">
        <f ca="1">DATEDIF(DadosViagem5[[#This Row],[BIP]],TODAY(),"D")</f>
        <v>1</v>
      </c>
      <c r="R1429" s="28" t="str">
        <f>IFERROR(VLOOKUP(DadosViagem5[[#This Row],[Placa]],[1]DDS!B:C,2,FALSE),"Verificar cadastro")</f>
        <v>Operando</v>
      </c>
      <c r="S1429" s="29" t="s">
        <v>48</v>
      </c>
      <c r="T1429" s="23"/>
      <c r="U1429" s="30"/>
      <c r="V1429" s="31"/>
      <c r="W1429" s="32"/>
      <c r="X1429" s="33"/>
      <c r="Y1429" s="34"/>
      <c r="Z1429" s="32"/>
      <c r="AA1429" s="20" t="s">
        <v>49</v>
      </c>
      <c r="AB1429" s="20" t="s">
        <v>49</v>
      </c>
      <c r="AC1429" s="19" t="s">
        <v>49</v>
      </c>
      <c r="AD1429" s="19" t="str">
        <f ca="1">IFERROR(DATEDIF(DadosViagem5[[#This Row],[Utimo Bip Reserva]],TODAY(),"D"),"")</f>
        <v/>
      </c>
      <c r="AE1429" s="25" t="s">
        <v>49</v>
      </c>
      <c r="AF1429" s="25" t="s">
        <v>49</v>
      </c>
      <c r="AG1429" s="36"/>
      <c r="AH1429" s="25">
        <v>45807</v>
      </c>
      <c r="AI1429" s="36" t="str">
        <f>IF(DadosViagem5[[#This Row],[Dias em manutenção ]]&lt;5,"Dentro do Prazo","Fora do Prazo")</f>
        <v>Fora do Prazo</v>
      </c>
      <c r="AJ1429" s="36" t="e">
        <v>#REF!</v>
      </c>
    </row>
    <row r="1430" spans="1:36">
      <c r="A1430" s="19" t="s">
        <v>2422</v>
      </c>
      <c r="B1430" s="20"/>
      <c r="C1430" s="19" t="s">
        <v>74</v>
      </c>
      <c r="D1430" s="19" t="s">
        <v>52</v>
      </c>
      <c r="E1430" s="19" t="s">
        <v>75</v>
      </c>
      <c r="F1430" s="19" t="s">
        <v>76</v>
      </c>
      <c r="G1430" s="19"/>
      <c r="H1430" s="20">
        <v>2024</v>
      </c>
      <c r="I1430" s="19" t="s">
        <v>41</v>
      </c>
      <c r="J1430" s="19" t="s">
        <v>2361</v>
      </c>
      <c r="K1430" s="71" t="s">
        <v>2362</v>
      </c>
      <c r="L1430" s="22" t="s">
        <v>60</v>
      </c>
      <c r="M1430" s="23" t="s">
        <v>77</v>
      </c>
      <c r="N1430" s="36" t="s">
        <v>2363</v>
      </c>
      <c r="O1430" s="36" t="s">
        <v>472</v>
      </c>
      <c r="P1430" s="26">
        <f ca="1">IFERROR(VLOOKUP(DadosViagem5[[#This Row],[Placa]],[1]BIP!A:E,5,FALSE),"")</f>
        <v>45989</v>
      </c>
      <c r="Q1430" s="27">
        <f ca="1">DATEDIF(DadosViagem5[[#This Row],[BIP]],TODAY(),"D")</f>
        <v>1</v>
      </c>
      <c r="R1430" s="28" t="str">
        <f>IFERROR(VLOOKUP(DadosViagem5[[#This Row],[Placa]],[1]DDS!B:C,2,FALSE),"Verificar cadastro")</f>
        <v>Operando</v>
      </c>
      <c r="S1430" s="29" t="s">
        <v>48</v>
      </c>
      <c r="T1430" s="23"/>
      <c r="U1430" s="30"/>
      <c r="V1430" s="31"/>
      <c r="W1430" s="32" t="s">
        <v>2423</v>
      </c>
      <c r="X1430" s="33"/>
      <c r="Y1430" s="34"/>
      <c r="Z1430" s="32"/>
      <c r="AA1430" s="20" t="s">
        <v>49</v>
      </c>
      <c r="AB1430" s="20" t="s">
        <v>49</v>
      </c>
      <c r="AC1430" s="19" t="s">
        <v>49</v>
      </c>
      <c r="AD1430" s="19" t="str">
        <f ca="1">IFERROR(DATEDIF(DadosViagem5[[#This Row],[Utimo Bip Reserva]],TODAY(),"D"),"")</f>
        <v/>
      </c>
      <c r="AE1430" s="25" t="s">
        <v>49</v>
      </c>
      <c r="AF1430" s="25" t="s">
        <v>49</v>
      </c>
      <c r="AG1430" s="36"/>
      <c r="AH1430" s="25">
        <v>45807</v>
      </c>
      <c r="AI1430" s="36" t="str">
        <f>IF(DadosViagem5[[#This Row],[Dias em manutenção ]]&lt;5,"Dentro do Prazo","Fora do Prazo")</f>
        <v>Fora do Prazo</v>
      </c>
      <c r="AJ1430" s="36" t="e">
        <v>#REF!</v>
      </c>
    </row>
    <row r="1431" spans="1:36">
      <c r="A1431" s="19" t="s">
        <v>2424</v>
      </c>
      <c r="B1431" s="20">
        <v>400</v>
      </c>
      <c r="C1431" s="19" t="s">
        <v>74</v>
      </c>
      <c r="D1431" s="19" t="s">
        <v>52</v>
      </c>
      <c r="E1431" s="19" t="s">
        <v>57</v>
      </c>
      <c r="F1431" s="19" t="s">
        <v>40</v>
      </c>
      <c r="G1431" s="19"/>
      <c r="H1431" s="20">
        <v>2022</v>
      </c>
      <c r="I1431" s="19" t="s">
        <v>41</v>
      </c>
      <c r="J1431" s="19" t="s">
        <v>2361</v>
      </c>
      <c r="K1431" s="21" t="s">
        <v>2362</v>
      </c>
      <c r="L1431" s="22" t="s">
        <v>60</v>
      </c>
      <c r="M1431" s="23" t="s">
        <v>77</v>
      </c>
      <c r="N1431" s="36" t="s">
        <v>2363</v>
      </c>
      <c r="O1431" s="36" t="s">
        <v>472</v>
      </c>
      <c r="P1431" s="26">
        <f ca="1">IFERROR(VLOOKUP(DadosViagem5[[#This Row],[Placa]],[1]BIP!A:E,5,FALSE),"")</f>
        <v>45989</v>
      </c>
      <c r="Q1431" s="27">
        <f ca="1">DATEDIF(DadosViagem5[[#This Row],[BIP]],TODAY(),"D")</f>
        <v>1</v>
      </c>
      <c r="R1431" s="28" t="str">
        <f>IFERROR(VLOOKUP(DadosViagem5[[#This Row],[Placa]],[1]DDS!B:C,2,FALSE),"Verificar cadastro")</f>
        <v>Operando</v>
      </c>
      <c r="S1431" s="29" t="s">
        <v>48</v>
      </c>
      <c r="T1431" s="23"/>
      <c r="U1431" s="30"/>
      <c r="V1431" s="31"/>
      <c r="W1431" s="32"/>
      <c r="X1431" s="33"/>
      <c r="Y1431" s="34"/>
      <c r="Z1431" s="32"/>
      <c r="AA1431" s="20" t="s">
        <v>49</v>
      </c>
      <c r="AB1431" s="20" t="s">
        <v>49</v>
      </c>
      <c r="AC1431" s="19" t="s">
        <v>49</v>
      </c>
      <c r="AD1431" s="19" t="str">
        <f ca="1">IFERROR(DATEDIF(DadosViagem5[[#This Row],[Utimo Bip Reserva]],TODAY(),"D"),"")</f>
        <v/>
      </c>
      <c r="AE1431" s="36"/>
      <c r="AF1431" s="25"/>
      <c r="AG1431" s="36"/>
      <c r="AH1431" s="25">
        <v>45807</v>
      </c>
      <c r="AI1431" s="36" t="str">
        <f>IF(DadosViagem5[[#This Row],[Dias em manutenção ]]&lt;5,"Dentro do Prazo","Fora do Prazo")</f>
        <v>Fora do Prazo</v>
      </c>
      <c r="AJ1431" s="36" t="e">
        <v>#REF!</v>
      </c>
    </row>
    <row r="1432" spans="1:36">
      <c r="A1432" s="19" t="s">
        <v>2425</v>
      </c>
      <c r="B1432" s="20"/>
      <c r="C1432" s="19" t="s">
        <v>225</v>
      </c>
      <c r="D1432" s="19" t="s">
        <v>38</v>
      </c>
      <c r="E1432" s="19" t="s">
        <v>39</v>
      </c>
      <c r="F1432" s="19" t="s">
        <v>106</v>
      </c>
      <c r="G1432" s="19"/>
      <c r="H1432" s="20">
        <v>2024</v>
      </c>
      <c r="I1432" s="19" t="s">
        <v>41</v>
      </c>
      <c r="J1432" s="19" t="s">
        <v>2361</v>
      </c>
      <c r="K1432" s="21" t="s">
        <v>2362</v>
      </c>
      <c r="L1432" s="22" t="s">
        <v>60</v>
      </c>
      <c r="M1432" s="23" t="s">
        <v>470</v>
      </c>
      <c r="N1432" s="36" t="s">
        <v>2363</v>
      </c>
      <c r="O1432" s="36" t="s">
        <v>472</v>
      </c>
      <c r="P1432" s="26">
        <f ca="1">IFERROR(VLOOKUP(DadosViagem5[[#This Row],[Placa]],[1]BIP!A:E,5,FALSE),"")</f>
        <v>45989</v>
      </c>
      <c r="Q1432" s="27">
        <f ca="1">DATEDIF(DadosViagem5[[#This Row],[BIP]],TODAY(),"D")</f>
        <v>1</v>
      </c>
      <c r="R1432" s="28" t="str">
        <f>IFERROR(VLOOKUP(DadosViagem5[[#This Row],[Placa]],[1]DDS!B:C,2,FALSE),"Verificar cadastro")</f>
        <v>Operando</v>
      </c>
      <c r="S1432" s="29" t="s">
        <v>48</v>
      </c>
      <c r="T1432" s="23"/>
      <c r="U1432" s="30"/>
      <c r="V1432" s="31"/>
      <c r="W1432" s="32"/>
      <c r="X1432" s="33"/>
      <c r="Y1432" s="34"/>
      <c r="Z1432" s="32"/>
      <c r="AA1432" s="20" t="s">
        <v>49</v>
      </c>
      <c r="AB1432" s="20" t="s">
        <v>49</v>
      </c>
      <c r="AC1432" s="19" t="s">
        <v>49</v>
      </c>
      <c r="AD1432" s="19" t="str">
        <f ca="1">IFERROR(DATEDIF(DadosViagem5[[#This Row],[Utimo Bip Reserva]],TODAY(),"D"),"")</f>
        <v/>
      </c>
      <c r="AE1432" s="109"/>
      <c r="AF1432" s="25"/>
      <c r="AG1432" s="36"/>
      <c r="AH1432" s="25">
        <v>45807</v>
      </c>
      <c r="AI1432" s="36" t="str">
        <f>IF(DadosViagem5[[#This Row],[Dias em manutenção ]]&lt;5,"Dentro do Prazo","Fora do Prazo")</f>
        <v>Fora do Prazo</v>
      </c>
      <c r="AJ1432" s="36" t="e">
        <v>#REF!</v>
      </c>
    </row>
    <row r="1433" spans="1:36">
      <c r="A1433" s="19" t="s">
        <v>2426</v>
      </c>
      <c r="B1433" s="20"/>
      <c r="C1433" s="19" t="s">
        <v>88</v>
      </c>
      <c r="D1433" s="19" t="s">
        <v>52</v>
      </c>
      <c r="E1433" s="19" t="s">
        <v>114</v>
      </c>
      <c r="F1433" s="19" t="s">
        <v>115</v>
      </c>
      <c r="G1433" s="19"/>
      <c r="H1433" s="20">
        <v>2021</v>
      </c>
      <c r="I1433" s="19" t="s">
        <v>41</v>
      </c>
      <c r="J1433" s="19" t="s">
        <v>2361</v>
      </c>
      <c r="K1433" s="21" t="s">
        <v>2362</v>
      </c>
      <c r="L1433" s="22" t="s">
        <v>60</v>
      </c>
      <c r="M1433" s="23" t="s">
        <v>470</v>
      </c>
      <c r="N1433" s="36" t="s">
        <v>2363</v>
      </c>
      <c r="O1433" s="36" t="s">
        <v>472</v>
      </c>
      <c r="P1433" s="26">
        <f ca="1">IFERROR(VLOOKUP(DadosViagem5[[#This Row],[Placa]],[1]BIP!A:E,5,FALSE),"")</f>
        <v>45989</v>
      </c>
      <c r="Q1433" s="27">
        <f ca="1">DATEDIF(DadosViagem5[[#This Row],[BIP]],TODAY(),"D")</f>
        <v>1</v>
      </c>
      <c r="R1433" s="28" t="str">
        <f>IFERROR(VLOOKUP(DadosViagem5[[#This Row],[Placa]],[1]DDS!B:C,2,FALSE),"Verificar cadastro")</f>
        <v>Manutenção</v>
      </c>
      <c r="S1433" s="29" t="s">
        <v>48</v>
      </c>
      <c r="T1433" s="23"/>
      <c r="U1433" s="30"/>
      <c r="V1433" s="31"/>
      <c r="W1433" s="32" t="s">
        <v>2379</v>
      </c>
      <c r="X1433" s="33"/>
      <c r="Y1433" s="34"/>
      <c r="Z1433" s="32"/>
      <c r="AA1433" s="20" t="s">
        <v>49</v>
      </c>
      <c r="AB1433" s="20" t="s">
        <v>49</v>
      </c>
      <c r="AC1433" s="19" t="s">
        <v>49</v>
      </c>
      <c r="AD1433" s="19" t="str">
        <f ca="1">IFERROR(DATEDIF(DadosViagem5[[#This Row],[Utimo Bip Reserva]],TODAY(),"D"),"")</f>
        <v/>
      </c>
      <c r="AE1433" s="36" t="s">
        <v>2390</v>
      </c>
      <c r="AF1433" s="25" t="s">
        <v>49</v>
      </c>
      <c r="AG1433" s="36"/>
      <c r="AH1433" s="25">
        <v>45807</v>
      </c>
      <c r="AI1433" s="36" t="str">
        <f>IF(DadosViagem5[[#This Row],[Dias em manutenção ]]&lt;5,"Dentro do Prazo","Fora do Prazo")</f>
        <v>Fora do Prazo</v>
      </c>
      <c r="AJ1433" s="36" t="e">
        <v>#REF!</v>
      </c>
    </row>
    <row r="1434" spans="1:36">
      <c r="A1434" s="19" t="s">
        <v>2427</v>
      </c>
      <c r="B1434" s="20"/>
      <c r="C1434" s="19" t="s">
        <v>88</v>
      </c>
      <c r="D1434" s="19" t="s">
        <v>52</v>
      </c>
      <c r="E1434" s="19" t="s">
        <v>114</v>
      </c>
      <c r="F1434" s="19" t="s">
        <v>115</v>
      </c>
      <c r="G1434" s="19"/>
      <c r="H1434" s="20">
        <v>2021</v>
      </c>
      <c r="I1434" s="19" t="s">
        <v>41</v>
      </c>
      <c r="J1434" s="19" t="s">
        <v>2361</v>
      </c>
      <c r="K1434" s="21" t="s">
        <v>2362</v>
      </c>
      <c r="L1434" s="22" t="s">
        <v>60</v>
      </c>
      <c r="M1434" s="23" t="s">
        <v>470</v>
      </c>
      <c r="N1434" s="36" t="s">
        <v>2363</v>
      </c>
      <c r="O1434" s="36" t="s">
        <v>472</v>
      </c>
      <c r="P1434" s="26">
        <f ca="1">IFERROR(VLOOKUP(DadosViagem5[[#This Row],[Placa]],[1]BIP!A:E,5,FALSE),"")</f>
        <v>45984</v>
      </c>
      <c r="Q1434" s="27">
        <f ca="1">DATEDIF(DadosViagem5[[#This Row],[BIP]],TODAY(),"D")</f>
        <v>6</v>
      </c>
      <c r="R1434" s="28" t="str">
        <f>IFERROR(VLOOKUP(DadosViagem5[[#This Row],[Placa]],[1]DDS!B:C,2,FALSE),"Verificar cadastro")</f>
        <v>Manutenção</v>
      </c>
      <c r="S1434" s="29" t="s">
        <v>48</v>
      </c>
      <c r="T1434" s="23"/>
      <c r="U1434" s="30"/>
      <c r="V1434" s="31"/>
      <c r="W1434" s="32"/>
      <c r="X1434" s="33"/>
      <c r="Y1434" s="34"/>
      <c r="Z1434" s="32"/>
      <c r="AA1434" s="20" t="s">
        <v>49</v>
      </c>
      <c r="AB1434" s="20" t="s">
        <v>49</v>
      </c>
      <c r="AC1434" s="19" t="s">
        <v>49</v>
      </c>
      <c r="AD1434" s="19" t="str">
        <f ca="1">IFERROR(DATEDIF(DadosViagem5[[#This Row],[Utimo Bip Reserva]],TODAY(),"D"),"")</f>
        <v/>
      </c>
      <c r="AE1434" s="36" t="s">
        <v>49</v>
      </c>
      <c r="AF1434" s="25" t="s">
        <v>49</v>
      </c>
      <c r="AG1434" s="36"/>
      <c r="AH1434" s="25">
        <v>45807</v>
      </c>
      <c r="AI1434" s="36" t="str">
        <f>IF(DadosViagem5[[#This Row],[Dias em manutenção ]]&lt;5,"Dentro do Prazo","Fora do Prazo")</f>
        <v>Fora do Prazo</v>
      </c>
      <c r="AJ1434" s="36" t="e">
        <v>#REF!</v>
      </c>
    </row>
    <row r="1435" spans="1:36">
      <c r="A1435" s="19" t="s">
        <v>2428</v>
      </c>
      <c r="B1435" s="20"/>
      <c r="C1435" s="19" t="s">
        <v>74</v>
      </c>
      <c r="D1435" s="19" t="s">
        <v>52</v>
      </c>
      <c r="E1435" s="19" t="s">
        <v>75</v>
      </c>
      <c r="F1435" s="19" t="s">
        <v>76</v>
      </c>
      <c r="G1435" s="19"/>
      <c r="H1435" s="20">
        <v>2023</v>
      </c>
      <c r="I1435" s="19" t="s">
        <v>41</v>
      </c>
      <c r="J1435" s="19" t="s">
        <v>2361</v>
      </c>
      <c r="K1435" s="21" t="s">
        <v>2362</v>
      </c>
      <c r="L1435" s="22" t="s">
        <v>60</v>
      </c>
      <c r="M1435" s="23" t="s">
        <v>77</v>
      </c>
      <c r="N1435" s="36" t="s">
        <v>2363</v>
      </c>
      <c r="O1435" s="36" t="s">
        <v>472</v>
      </c>
      <c r="P1435" s="26">
        <f ca="1">IFERROR(VLOOKUP(DadosViagem5[[#This Row],[Placa]],[1]BIP!A:E,5,FALSE),"")</f>
        <v>45989</v>
      </c>
      <c r="Q1435" s="27">
        <f ca="1">DATEDIF(DadosViagem5[[#This Row],[BIP]],TODAY(),"D")</f>
        <v>1</v>
      </c>
      <c r="R1435" s="28" t="str">
        <f>IFERROR(VLOOKUP(DadosViagem5[[#This Row],[Placa]],[1]DDS!B:C,2,FALSE),"Verificar cadastro")</f>
        <v>Operando</v>
      </c>
      <c r="S1435" s="29" t="s">
        <v>48</v>
      </c>
      <c r="T1435" s="23"/>
      <c r="U1435" s="30"/>
      <c r="V1435" s="31"/>
      <c r="W1435" s="32"/>
      <c r="X1435" s="33"/>
      <c r="Y1435" s="34"/>
      <c r="Z1435" s="32"/>
      <c r="AA1435" s="20" t="s">
        <v>49</v>
      </c>
      <c r="AB1435" s="20" t="s">
        <v>49</v>
      </c>
      <c r="AC1435" s="19" t="s">
        <v>49</v>
      </c>
      <c r="AD1435" s="19" t="str">
        <f ca="1">IFERROR(DATEDIF(DadosViagem5[[#This Row],[Utimo Bip Reserva]],TODAY(),"D"),"")</f>
        <v/>
      </c>
      <c r="AE1435" s="36"/>
      <c r="AF1435" s="25"/>
      <c r="AG1435" s="36"/>
      <c r="AH1435" s="25">
        <v>45807</v>
      </c>
      <c r="AI1435" s="36" t="str">
        <f>IF(DadosViagem5[[#This Row],[Dias em manutenção ]]&lt;5,"Dentro do Prazo","Fora do Prazo")</f>
        <v>Fora do Prazo</v>
      </c>
      <c r="AJ1435" s="36" t="e">
        <v>#REF!</v>
      </c>
    </row>
    <row r="1436" spans="1:36">
      <c r="A1436" s="19" t="s">
        <v>2429</v>
      </c>
      <c r="B1436" s="20"/>
      <c r="C1436" s="19" t="s">
        <v>131</v>
      </c>
      <c r="D1436" s="19" t="s">
        <v>132</v>
      </c>
      <c r="E1436" s="19" t="s">
        <v>114</v>
      </c>
      <c r="F1436" s="19" t="s">
        <v>115</v>
      </c>
      <c r="G1436" s="19"/>
      <c r="H1436" s="20">
        <v>2022</v>
      </c>
      <c r="I1436" s="19" t="s">
        <v>41</v>
      </c>
      <c r="J1436" s="19" t="s">
        <v>2430</v>
      </c>
      <c r="K1436" s="21" t="s">
        <v>2431</v>
      </c>
      <c r="L1436" s="22" t="s">
        <v>60</v>
      </c>
      <c r="M1436" s="23" t="s">
        <v>61</v>
      </c>
      <c r="N1436" s="36" t="s">
        <v>578</v>
      </c>
      <c r="O1436" s="36" t="s">
        <v>63</v>
      </c>
      <c r="P1436" s="26">
        <f ca="1">IFERROR(VLOOKUP(DadosViagem5[[#This Row],[Placa]],[1]BIP!A:E,5,FALSE),"")</f>
        <v>45981</v>
      </c>
      <c r="Q1436" s="27">
        <f ca="1">DATEDIF(DadosViagem5[[#This Row],[BIP]],TODAY(),"D")</f>
        <v>9</v>
      </c>
      <c r="R1436" s="28" t="str">
        <f>IFERROR(VLOOKUP(DadosViagem5[[#This Row],[Placa]],[1]DDS!B:C,2,FALSE),"Verificar cadastro")</f>
        <v>Verificar cadastro</v>
      </c>
      <c r="S1436" s="36" t="s">
        <v>35</v>
      </c>
      <c r="T1436" s="23"/>
      <c r="U1436" s="30"/>
      <c r="V1436" s="31"/>
      <c r="W1436" s="32" t="s">
        <v>2432</v>
      </c>
      <c r="X1436" s="57"/>
      <c r="Y1436" s="34"/>
      <c r="Z1436" s="11"/>
      <c r="AA1436" s="20" t="s">
        <v>49</v>
      </c>
      <c r="AB1436" s="20" t="s">
        <v>49</v>
      </c>
      <c r="AC1436" s="19" t="s">
        <v>49</v>
      </c>
      <c r="AD1436" s="19" t="str">
        <f ca="1">IFERROR(DATEDIF(DadosViagem5[[#This Row],[Utimo Bip Reserva]],TODAY(),"D"),"")</f>
        <v/>
      </c>
      <c r="AE1436" s="36" t="s">
        <v>2433</v>
      </c>
      <c r="AF1436" s="25" t="s">
        <v>49</v>
      </c>
      <c r="AG1436" s="36"/>
      <c r="AH1436" s="25">
        <v>55</v>
      </c>
      <c r="AI1436" s="36" t="str">
        <f>IF(DadosViagem5[[#This Row],[Dias em manutenção ]]&lt;5,"Dentro do Prazo","Fora do Prazo")</f>
        <v>Fora do Prazo</v>
      </c>
      <c r="AJ1436" s="36" t="e">
        <v>#REF!</v>
      </c>
    </row>
    <row r="1437" spans="1:36">
      <c r="A1437" s="19" t="s">
        <v>2434</v>
      </c>
      <c r="B1437" s="20"/>
      <c r="C1437" s="19" t="s">
        <v>74</v>
      </c>
      <c r="D1437" s="19" t="s">
        <v>52</v>
      </c>
      <c r="E1437" s="19" t="s">
        <v>75</v>
      </c>
      <c r="F1437" s="19" t="s">
        <v>76</v>
      </c>
      <c r="G1437" s="19"/>
      <c r="H1437" s="20">
        <v>2024</v>
      </c>
      <c r="I1437" s="19" t="s">
        <v>41</v>
      </c>
      <c r="J1437" s="19" t="s">
        <v>2430</v>
      </c>
      <c r="K1437" s="21" t="s">
        <v>2431</v>
      </c>
      <c r="L1437" s="22" t="s">
        <v>60</v>
      </c>
      <c r="M1437" s="23" t="s">
        <v>77</v>
      </c>
      <c r="N1437" s="36" t="s">
        <v>578</v>
      </c>
      <c r="O1437" s="36" t="s">
        <v>63</v>
      </c>
      <c r="P1437" s="26">
        <f ca="1">IFERROR(VLOOKUP(DadosViagem5[[#This Row],[Placa]],[1]BIP!A:E,5,FALSE),"")</f>
        <v>45708</v>
      </c>
      <c r="Q1437" s="27">
        <f ca="1">DATEDIF(DadosViagem5[[#This Row],[BIP]],TODAY(),"D")</f>
        <v>282</v>
      </c>
      <c r="R1437" s="28" t="str">
        <f>IFERROR(VLOOKUP(DadosViagem5[[#This Row],[Placa]],[1]DDS!B:C,2,FALSE),"Verificar cadastro")</f>
        <v>Verificar cadastro</v>
      </c>
      <c r="S1437" s="36" t="s">
        <v>186</v>
      </c>
      <c r="T1437" s="23"/>
      <c r="U1437" s="30"/>
      <c r="V1437" s="31">
        <v>45708</v>
      </c>
      <c r="W1437" s="32" t="s">
        <v>2435</v>
      </c>
      <c r="X1437" s="57" t="s">
        <v>188</v>
      </c>
      <c r="Y1437" s="57">
        <v>45925</v>
      </c>
      <c r="Z1437" s="58" t="s">
        <v>189</v>
      </c>
      <c r="AA1437" s="20" t="s">
        <v>49</v>
      </c>
      <c r="AB1437" s="20" t="s">
        <v>49</v>
      </c>
      <c r="AC1437" s="19" t="s">
        <v>49</v>
      </c>
      <c r="AD1437" s="19" t="str">
        <f ca="1">IFERROR(DATEDIF(DadosViagem5[[#This Row],[Utimo Bip Reserva]],TODAY(),"D"),"")</f>
        <v/>
      </c>
      <c r="AE1437" s="36"/>
      <c r="AF1437" s="25"/>
      <c r="AG1437" s="36"/>
      <c r="AH1437" s="25">
        <v>99</v>
      </c>
      <c r="AI1437" s="36" t="str">
        <f>IF(DadosViagem5[[#This Row],[Dias em manutenção ]]&lt;5,"Dentro do Prazo","Fora do Prazo")</f>
        <v>Fora do Prazo</v>
      </c>
      <c r="AJ1437" s="36" t="e">
        <v>#REF!</v>
      </c>
    </row>
    <row r="1438" spans="1:36">
      <c r="A1438" s="97" t="s">
        <v>2436</v>
      </c>
      <c r="B1438" s="98"/>
      <c r="C1438" s="97" t="s">
        <v>51</v>
      </c>
      <c r="D1438" s="97" t="s">
        <v>52</v>
      </c>
      <c r="E1438" s="97" t="s">
        <v>57</v>
      </c>
      <c r="F1438" s="97" t="s">
        <v>40</v>
      </c>
      <c r="G1438" s="97"/>
      <c r="H1438" s="98">
        <v>2018</v>
      </c>
      <c r="I1438" s="97" t="s">
        <v>41</v>
      </c>
      <c r="J1438" s="97" t="s">
        <v>2430</v>
      </c>
      <c r="K1438" s="99" t="s">
        <v>2431</v>
      </c>
      <c r="L1438" s="100" t="s">
        <v>60</v>
      </c>
      <c r="M1438" s="23" t="s">
        <v>61</v>
      </c>
      <c r="N1438" s="36" t="s">
        <v>578</v>
      </c>
      <c r="O1438" s="36" t="s">
        <v>63</v>
      </c>
      <c r="P1438" s="26">
        <f ca="1">IFERROR(VLOOKUP(DadosViagem5[[#This Row],[Placa]],[1]BIP!A:E,5,FALSE),"")</f>
        <v>0</v>
      </c>
      <c r="Q1438" s="27">
        <f ca="1">DATEDIF(DadosViagem5[[#This Row],[BIP]],TODAY(),"D")</f>
        <v>45990</v>
      </c>
      <c r="R1438" s="28" t="str">
        <f>IFERROR(VLOOKUP(DadosViagem5[[#This Row],[Placa]],[1]DDS!B:C,2,FALSE),"Verificar cadastro")</f>
        <v> </v>
      </c>
      <c r="S1438" s="29" t="s">
        <v>48</v>
      </c>
      <c r="T1438" s="23"/>
      <c r="U1438" s="30"/>
      <c r="V1438" s="31"/>
      <c r="W1438" s="32"/>
      <c r="X1438" s="33"/>
      <c r="Y1438" s="34"/>
      <c r="Z1438" s="42"/>
      <c r="AA1438" s="20" t="s">
        <v>49</v>
      </c>
      <c r="AB1438" s="20" t="s">
        <v>49</v>
      </c>
      <c r="AC1438" s="20" t="s">
        <v>49</v>
      </c>
      <c r="AD1438" s="20" t="s">
        <v>49</v>
      </c>
      <c r="AE1438" s="35" t="s">
        <v>49</v>
      </c>
      <c r="AF1438" s="35" t="s">
        <v>49</v>
      </c>
      <c r="AG1438" s="36"/>
      <c r="AH1438" s="25">
        <v>45807</v>
      </c>
      <c r="AI1438" s="36" t="str">
        <f>IF(DadosViagem5[[#This Row],[Dias em manutenção ]]&lt;5,"Dentro do Prazo","Fora do Prazo")</f>
        <v>Fora do Prazo</v>
      </c>
      <c r="AJ1438" s="36" t="e">
        <v>#REF!</v>
      </c>
    </row>
    <row r="1439" spans="1:36">
      <c r="A1439" s="19" t="s">
        <v>2437</v>
      </c>
      <c r="B1439" s="20"/>
      <c r="C1439" s="19" t="s">
        <v>671</v>
      </c>
      <c r="D1439" s="19" t="s">
        <v>132</v>
      </c>
      <c r="E1439" s="19" t="s">
        <v>114</v>
      </c>
      <c r="F1439" s="19" t="s">
        <v>115</v>
      </c>
      <c r="G1439" s="19"/>
      <c r="H1439" s="20">
        <v>2022</v>
      </c>
      <c r="I1439" s="19" t="s">
        <v>41</v>
      </c>
      <c r="J1439" s="19" t="s">
        <v>2430</v>
      </c>
      <c r="K1439" s="21" t="s">
        <v>2431</v>
      </c>
      <c r="L1439" s="22" t="s">
        <v>60</v>
      </c>
      <c r="M1439" s="23" t="s">
        <v>61</v>
      </c>
      <c r="N1439" s="36" t="s">
        <v>578</v>
      </c>
      <c r="O1439" s="36" t="s">
        <v>63</v>
      </c>
      <c r="P1439" s="26">
        <f ca="1">IFERROR(VLOOKUP(DadosViagem5[[#This Row],[Placa]],[1]BIP!A:E,5,FALSE),"")</f>
        <v>45862</v>
      </c>
      <c r="Q1439" s="27">
        <f ca="1">DATEDIF(DadosViagem5[[#This Row],[BIP]],TODAY(),"D")</f>
        <v>128</v>
      </c>
      <c r="R1439" s="28" t="str">
        <f>IFERROR(VLOOKUP(DadosViagem5[[#This Row],[Placa]],[1]DDS!B:C,2,FALSE),"Verificar cadastro")</f>
        <v>Verificar cadastro</v>
      </c>
      <c r="S1439" s="36" t="s">
        <v>574</v>
      </c>
      <c r="T1439" s="23"/>
      <c r="U1439" s="30"/>
      <c r="V1439" s="31"/>
      <c r="W1439" s="32" t="s">
        <v>2438</v>
      </c>
      <c r="X1439" s="36"/>
      <c r="Y1439" s="34"/>
      <c r="Z1439" s="42"/>
      <c r="AA1439" s="20" t="s">
        <v>49</v>
      </c>
      <c r="AB1439" s="20" t="s">
        <v>49</v>
      </c>
      <c r="AC1439" s="19" t="s">
        <v>49</v>
      </c>
      <c r="AD1439" s="19" t="str">
        <f ca="1">IFERROR(DATEDIF(DadosViagem5[[#This Row],[Utimo Bip Reserva]],TODAY(),"D"),"")</f>
        <v/>
      </c>
      <c r="AE1439" s="36" t="s">
        <v>49</v>
      </c>
      <c r="AF1439" s="25" t="s">
        <v>49</v>
      </c>
      <c r="AG1439" s="36"/>
      <c r="AH1439" s="25">
        <v>45807</v>
      </c>
      <c r="AI1439" s="36" t="str">
        <f>IF(DadosViagem5[[#This Row],[Dias em manutenção ]]&lt;5,"Dentro do Prazo","Fora do Prazo")</f>
        <v>Fora do Prazo</v>
      </c>
      <c r="AJ1439" s="36" t="e">
        <v>#REF!</v>
      </c>
    </row>
    <row r="1440" spans="1:36">
      <c r="A1440" s="19" t="s">
        <v>2439</v>
      </c>
      <c r="B1440" s="20"/>
      <c r="C1440" s="19" t="s">
        <v>74</v>
      </c>
      <c r="D1440" s="19" t="s">
        <v>52</v>
      </c>
      <c r="E1440" s="19" t="s">
        <v>75</v>
      </c>
      <c r="F1440" s="19" t="s">
        <v>76</v>
      </c>
      <c r="G1440" s="19"/>
      <c r="H1440" s="20">
        <v>2023</v>
      </c>
      <c r="I1440" s="19" t="s">
        <v>41</v>
      </c>
      <c r="J1440" s="19" t="s">
        <v>2430</v>
      </c>
      <c r="K1440" s="21" t="s">
        <v>2431</v>
      </c>
      <c r="L1440" s="22" t="s">
        <v>60</v>
      </c>
      <c r="M1440" s="23" t="s">
        <v>77</v>
      </c>
      <c r="N1440" s="36" t="s">
        <v>578</v>
      </c>
      <c r="O1440" s="36" t="s">
        <v>63</v>
      </c>
      <c r="P1440" s="26">
        <f ca="1">IFERROR(VLOOKUP(DadosViagem5[[#This Row],[Placa]],[1]BIP!A:E,5,FALSE),"")</f>
        <v>0</v>
      </c>
      <c r="Q1440" s="27">
        <f ca="1">DATEDIF(DadosViagem5[[#This Row],[BIP]],TODAY(),"D")</f>
        <v>45990</v>
      </c>
      <c r="R1440" s="28" t="str">
        <f>IFERROR(VLOOKUP(DadosViagem5[[#This Row],[Placa]],[1]DDS!B:C,2,FALSE),"Verificar cadastro")</f>
        <v> </v>
      </c>
      <c r="S1440" s="29" t="s">
        <v>48</v>
      </c>
      <c r="T1440" s="23"/>
      <c r="U1440" s="30"/>
      <c r="V1440" s="31"/>
      <c r="W1440" s="136" t="s">
        <v>2440</v>
      </c>
      <c r="X1440" s="57"/>
      <c r="Y1440" s="86"/>
      <c r="Z1440" s="58"/>
      <c r="AA1440" s="20" t="s">
        <v>49</v>
      </c>
      <c r="AB1440" s="20" t="s">
        <v>49</v>
      </c>
      <c r="AC1440" s="19" t="s">
        <v>49</v>
      </c>
      <c r="AD1440" s="19" t="str">
        <f ca="1">IFERROR(DATEDIF(DadosViagem5[[#This Row],[Utimo Bip Reserva]],TODAY(),"D"),"")</f>
        <v/>
      </c>
      <c r="AE1440" s="25" t="s">
        <v>49</v>
      </c>
      <c r="AF1440" s="25" t="s">
        <v>49</v>
      </c>
      <c r="AG1440" s="36"/>
      <c r="AH1440" s="25">
        <v>68</v>
      </c>
      <c r="AI1440" s="36" t="str">
        <f>IF(DadosViagem5[[#This Row],[Dias em manutenção ]]&lt;5,"Dentro do Prazo","Fora do Prazo")</f>
        <v>Fora do Prazo</v>
      </c>
      <c r="AJ1440" s="36" t="e">
        <v>#REF!</v>
      </c>
    </row>
    <row r="1441" spans="1:36">
      <c r="A1441" s="19" t="s">
        <v>2441</v>
      </c>
      <c r="B1441" s="20"/>
      <c r="C1441" s="19" t="s">
        <v>131</v>
      </c>
      <c r="D1441" s="19" t="s">
        <v>132</v>
      </c>
      <c r="E1441" s="19" t="s">
        <v>114</v>
      </c>
      <c r="F1441" s="19" t="s">
        <v>115</v>
      </c>
      <c r="G1441" s="19"/>
      <c r="H1441" s="20">
        <v>2022</v>
      </c>
      <c r="I1441" s="19" t="s">
        <v>41</v>
      </c>
      <c r="J1441" s="19" t="s">
        <v>2430</v>
      </c>
      <c r="K1441" s="21" t="s">
        <v>2431</v>
      </c>
      <c r="L1441" s="22" t="s">
        <v>60</v>
      </c>
      <c r="M1441" s="23" t="s">
        <v>61</v>
      </c>
      <c r="N1441" s="36" t="s">
        <v>578</v>
      </c>
      <c r="O1441" s="36" t="s">
        <v>63</v>
      </c>
      <c r="P1441" s="26">
        <f ca="1">IFERROR(VLOOKUP(DadosViagem5[[#This Row],[Placa]],[1]BIP!A:E,5,FALSE),"")</f>
        <v>45911</v>
      </c>
      <c r="Q1441" s="27">
        <f ca="1">DATEDIF(DadosViagem5[[#This Row],[BIP]],TODAY(),"D")</f>
        <v>79</v>
      </c>
      <c r="R1441" s="28" t="str">
        <f>IFERROR(VLOOKUP(DadosViagem5[[#This Row],[Placa]],[1]DDS!B:C,2,FALSE),"Verificar cadastro")</f>
        <v>Verificar cadastro</v>
      </c>
      <c r="S1441" s="36" t="s">
        <v>574</v>
      </c>
      <c r="T1441" s="23"/>
      <c r="U1441" s="30"/>
      <c r="V1441" s="31"/>
      <c r="W1441" s="32" t="s">
        <v>2442</v>
      </c>
      <c r="X1441" s="33"/>
      <c r="Y1441" s="34"/>
      <c r="Z1441" s="42"/>
      <c r="AA1441" s="20" t="s">
        <v>49</v>
      </c>
      <c r="AB1441" s="20" t="s">
        <v>49</v>
      </c>
      <c r="AC1441" s="19" t="s">
        <v>49</v>
      </c>
      <c r="AD1441" s="19" t="str">
        <f ca="1">IFERROR(DATEDIF(DadosViagem5[[#This Row],[Utimo Bip Reserva]],TODAY(),"D"),"")</f>
        <v/>
      </c>
      <c r="AE1441" s="36" t="s">
        <v>49</v>
      </c>
      <c r="AF1441" s="25" t="s">
        <v>49</v>
      </c>
      <c r="AG1441" s="36"/>
      <c r="AH1441" s="25">
        <v>45807</v>
      </c>
      <c r="AI1441" s="36" t="str">
        <f>IF(DadosViagem5[[#This Row],[Dias em manutenção ]]&lt;5,"Dentro do Prazo","Fora do Prazo")</f>
        <v>Fora do Prazo</v>
      </c>
      <c r="AJ1441" s="36" t="e">
        <v>#REF!</v>
      </c>
    </row>
    <row r="1442" spans="1:36">
      <c r="A1442" s="19" t="s">
        <v>2443</v>
      </c>
      <c r="B1442" s="20"/>
      <c r="C1442" s="19" t="s">
        <v>88</v>
      </c>
      <c r="D1442" s="19" t="s">
        <v>52</v>
      </c>
      <c r="E1442" s="19" t="s">
        <v>114</v>
      </c>
      <c r="F1442" s="19" t="s">
        <v>115</v>
      </c>
      <c r="G1442" s="19"/>
      <c r="H1442" s="20">
        <v>2023</v>
      </c>
      <c r="I1442" s="19" t="s">
        <v>41</v>
      </c>
      <c r="J1442" s="19" t="s">
        <v>2430</v>
      </c>
      <c r="K1442" s="38" t="s">
        <v>2431</v>
      </c>
      <c r="L1442" s="22" t="s">
        <v>60</v>
      </c>
      <c r="M1442" s="23" t="s">
        <v>61</v>
      </c>
      <c r="N1442" s="36" t="s">
        <v>578</v>
      </c>
      <c r="O1442" s="36" t="s">
        <v>63</v>
      </c>
      <c r="P1442" s="26">
        <f ca="1">IFERROR(VLOOKUP(DadosViagem5[[#This Row],[Placa]],[1]BIP!A:E,5,FALSE),"")</f>
        <v>45861</v>
      </c>
      <c r="Q1442" s="27">
        <f ca="1">DATEDIF(DadosViagem5[[#This Row],[BIP]],TODAY(),"D")</f>
        <v>129</v>
      </c>
      <c r="R1442" s="28" t="str">
        <f>IFERROR(VLOOKUP(DadosViagem5[[#This Row],[Placa]],[1]DDS!B:C,2,FALSE),"Verificar cadastro")</f>
        <v>Verificar cadastro</v>
      </c>
      <c r="S1442" s="36" t="s">
        <v>574</v>
      </c>
      <c r="T1442" s="23"/>
      <c r="U1442" s="30"/>
      <c r="V1442" s="31"/>
      <c r="W1442" s="32" t="s">
        <v>2444</v>
      </c>
      <c r="X1442" s="33"/>
      <c r="Y1442" s="34"/>
      <c r="Z1442" s="32"/>
      <c r="AA1442" s="20" t="s">
        <v>49</v>
      </c>
      <c r="AB1442" s="20" t="s">
        <v>49</v>
      </c>
      <c r="AC1442" s="19" t="s">
        <v>49</v>
      </c>
      <c r="AD1442" s="19" t="str">
        <f ca="1">IFERROR(DATEDIF(DadosViagem5[[#This Row],[Utimo Bip Reserva]],TODAY(),"D"),"")</f>
        <v/>
      </c>
      <c r="AE1442" s="36" t="s">
        <v>2445</v>
      </c>
      <c r="AF1442" s="25" t="s">
        <v>49</v>
      </c>
      <c r="AG1442" s="36"/>
      <c r="AH1442" s="25">
        <v>45807</v>
      </c>
      <c r="AI1442" s="36" t="str">
        <f>IF(DadosViagem5[[#This Row],[Dias em manutenção ]]&lt;5,"Dentro do Prazo","Fora do Prazo")</f>
        <v>Fora do Prazo</v>
      </c>
      <c r="AJ1442" s="36" t="e">
        <v>#REF!</v>
      </c>
    </row>
    <row r="1443" spans="1:36">
      <c r="A1443" s="19" t="s">
        <v>2446</v>
      </c>
      <c r="B1443" s="20"/>
      <c r="C1443" s="19" t="s">
        <v>88</v>
      </c>
      <c r="D1443" s="19" t="s">
        <v>52</v>
      </c>
      <c r="E1443" s="19" t="s">
        <v>114</v>
      </c>
      <c r="F1443" s="19" t="s">
        <v>115</v>
      </c>
      <c r="G1443" s="37"/>
      <c r="H1443" s="135">
        <v>2024</v>
      </c>
      <c r="I1443" s="19" t="s">
        <v>41</v>
      </c>
      <c r="J1443" s="19" t="s">
        <v>2430</v>
      </c>
      <c r="K1443" s="38" t="s">
        <v>2431</v>
      </c>
      <c r="L1443" s="39" t="s">
        <v>60</v>
      </c>
      <c r="M1443" s="23" t="s">
        <v>61</v>
      </c>
      <c r="N1443" s="36" t="s">
        <v>578</v>
      </c>
      <c r="O1443" s="36" t="s">
        <v>63</v>
      </c>
      <c r="P1443" s="26">
        <f ca="1">IFERROR(VLOOKUP(DadosViagem5[[#This Row],[Placa]],[1]BIP!A:E,5,FALSE),"")</f>
        <v>45848</v>
      </c>
      <c r="Q1443" s="27">
        <f ca="1">DATEDIF(DadosViagem5[[#This Row],[BIP]],TODAY(),"D")</f>
        <v>142</v>
      </c>
      <c r="R1443" s="28" t="str">
        <f>IFERROR(VLOOKUP(DadosViagem5[[#This Row],[Placa]],[1]DDS!B:C,2,FALSE),"Verificar cadastro")</f>
        <v>Verificar cadastro</v>
      </c>
      <c r="S1443" s="36" t="s">
        <v>574</v>
      </c>
      <c r="T1443" s="23"/>
      <c r="U1443" s="30"/>
      <c r="V1443" s="31"/>
      <c r="W1443" s="32" t="s">
        <v>2447</v>
      </c>
      <c r="X1443" s="33"/>
      <c r="Y1443" s="34"/>
      <c r="Z1443" s="32"/>
      <c r="AA1443" s="135" t="s">
        <v>49</v>
      </c>
      <c r="AB1443" s="135" t="s">
        <v>49</v>
      </c>
      <c r="AC1443" s="37" t="s">
        <v>49</v>
      </c>
      <c r="AD1443" s="37" t="str">
        <f ca="1">IFERROR(DATEDIF(DadosViagem5[[#This Row],[Utimo Bip Reserva]],TODAY(),"D"),"")</f>
        <v/>
      </c>
      <c r="AE1443" s="24" t="s">
        <v>49</v>
      </c>
      <c r="AF1443" s="40" t="s">
        <v>49</v>
      </c>
      <c r="AG1443" s="68"/>
      <c r="AH1443" s="25">
        <v>45807</v>
      </c>
      <c r="AI1443" s="36" t="str">
        <f>IF(DadosViagem5[[#This Row],[Dias em manutenção ]]&lt;5,"Dentro do Prazo","Fora do Prazo")</f>
        <v>Fora do Prazo</v>
      </c>
      <c r="AJ1443" s="36" t="e">
        <v>#REF!</v>
      </c>
    </row>
    <row r="1444" spans="1:36">
      <c r="A1444" s="19" t="s">
        <v>2448</v>
      </c>
      <c r="B1444" s="20"/>
      <c r="C1444" s="19" t="s">
        <v>88</v>
      </c>
      <c r="D1444" s="19" t="s">
        <v>52</v>
      </c>
      <c r="E1444" s="19" t="s">
        <v>114</v>
      </c>
      <c r="F1444" s="19" t="s">
        <v>115</v>
      </c>
      <c r="G1444" s="37"/>
      <c r="H1444" s="135">
        <v>2021</v>
      </c>
      <c r="I1444" s="19" t="s">
        <v>41</v>
      </c>
      <c r="J1444" s="19" t="s">
        <v>2430</v>
      </c>
      <c r="K1444" s="38" t="s">
        <v>2431</v>
      </c>
      <c r="L1444" s="39" t="s">
        <v>60</v>
      </c>
      <c r="M1444" s="23" t="s">
        <v>61</v>
      </c>
      <c r="N1444" s="36" t="s">
        <v>578</v>
      </c>
      <c r="O1444" s="36" t="s">
        <v>63</v>
      </c>
      <c r="P1444" s="26">
        <f ca="1">IFERROR(VLOOKUP(DadosViagem5[[#This Row],[Placa]],[1]BIP!A:E,5,FALSE),"")</f>
        <v>45906</v>
      </c>
      <c r="Q1444" s="27">
        <f ca="1">DATEDIF(DadosViagem5[[#This Row],[BIP]],TODAY(),"D")</f>
        <v>84</v>
      </c>
      <c r="R1444" s="28" t="str">
        <f>IFERROR(VLOOKUP(DadosViagem5[[#This Row],[Placa]],[1]DDS!B:C,2,FALSE),"Verificar cadastro")</f>
        <v>Verificar cadastro</v>
      </c>
      <c r="S1444" s="36" t="s">
        <v>574</v>
      </c>
      <c r="T1444" s="23"/>
      <c r="U1444" s="30"/>
      <c r="V1444" s="31"/>
      <c r="W1444" s="32" t="s">
        <v>2449</v>
      </c>
      <c r="X1444" s="33"/>
      <c r="Y1444" s="34"/>
      <c r="Z1444" s="32"/>
      <c r="AA1444" s="20" t="s">
        <v>49</v>
      </c>
      <c r="AB1444" s="20" t="s">
        <v>49</v>
      </c>
      <c r="AC1444" s="19" t="s">
        <v>49</v>
      </c>
      <c r="AD1444" s="19" t="str">
        <f ca="1">IFERROR(DATEDIF(DadosViagem5[[#This Row],[Utimo Bip Reserva]],TODAY(),"D"),"")</f>
        <v/>
      </c>
      <c r="AE1444" s="36" t="s">
        <v>2450</v>
      </c>
      <c r="AF1444" s="25" t="s">
        <v>49</v>
      </c>
      <c r="AG1444" s="36" t="s">
        <v>290</v>
      </c>
      <c r="AH1444" s="25">
        <v>45807</v>
      </c>
      <c r="AI1444" s="36" t="str">
        <f>IF(DadosViagem5[[#This Row],[Dias em manutenção ]]&lt;5,"Dentro do Prazo","Fora do Prazo")</f>
        <v>Fora do Prazo</v>
      </c>
      <c r="AJ1444" s="36" t="e">
        <v>#REF!</v>
      </c>
    </row>
    <row r="1445" spans="1:36">
      <c r="A1445" s="19" t="s">
        <v>2451</v>
      </c>
      <c r="B1445" s="20"/>
      <c r="C1445" s="19" t="s">
        <v>88</v>
      </c>
      <c r="D1445" s="19" t="s">
        <v>52</v>
      </c>
      <c r="E1445" s="19" t="s">
        <v>114</v>
      </c>
      <c r="F1445" s="19" t="s">
        <v>115</v>
      </c>
      <c r="G1445" s="37"/>
      <c r="H1445" s="135">
        <v>2023</v>
      </c>
      <c r="I1445" s="19" t="s">
        <v>41</v>
      </c>
      <c r="J1445" s="19" t="s">
        <v>2430</v>
      </c>
      <c r="K1445" s="38" t="s">
        <v>2431</v>
      </c>
      <c r="L1445" s="39" t="s">
        <v>60</v>
      </c>
      <c r="M1445" s="23" t="s">
        <v>61</v>
      </c>
      <c r="N1445" s="36" t="s">
        <v>578</v>
      </c>
      <c r="O1445" s="36" t="s">
        <v>63</v>
      </c>
      <c r="P1445" s="26">
        <f ca="1">IFERROR(VLOOKUP(DadosViagem5[[#This Row],[Placa]],[1]BIP!A:E,5,FALSE),"")</f>
        <v>45989</v>
      </c>
      <c r="Q1445" s="27">
        <f ca="1">DATEDIF(DadosViagem5[[#This Row],[BIP]],TODAY(),"D")</f>
        <v>1</v>
      </c>
      <c r="R1445" s="28" t="str">
        <f>IFERROR(VLOOKUP(DadosViagem5[[#This Row],[Placa]],[1]DDS!B:C,2,FALSE),"Verificar cadastro")</f>
        <v>Operando</v>
      </c>
      <c r="S1445" s="29" t="s">
        <v>48</v>
      </c>
      <c r="T1445" s="23"/>
      <c r="U1445" s="30"/>
      <c r="V1445" s="31"/>
      <c r="W1445" s="32"/>
      <c r="X1445" s="33"/>
      <c r="Y1445" s="34"/>
      <c r="Z1445" s="32"/>
      <c r="AA1445" s="20" t="s">
        <v>49</v>
      </c>
      <c r="AB1445" s="20" t="s">
        <v>49</v>
      </c>
      <c r="AC1445" s="19" t="s">
        <v>49</v>
      </c>
      <c r="AD1445" s="19" t="str">
        <f ca="1">IFERROR(DATEDIF(DadosViagem5[[#This Row],[Utimo Bip Reserva]],TODAY(),"D"),"")</f>
        <v/>
      </c>
      <c r="AE1445" s="36" t="s">
        <v>49</v>
      </c>
      <c r="AF1445" s="25" t="s">
        <v>49</v>
      </c>
      <c r="AG1445" s="30"/>
      <c r="AH1445" s="25">
        <v>45807</v>
      </c>
      <c r="AI1445" s="36" t="str">
        <f>IF(DadosViagem5[[#This Row],[Dias em manutenção ]]&lt;5,"Dentro do Prazo","Fora do Prazo")</f>
        <v>Fora do Prazo</v>
      </c>
      <c r="AJ1445" s="36" t="e">
        <v>#REF!</v>
      </c>
    </row>
    <row r="1446" spans="1:36">
      <c r="A1446" s="19" t="s">
        <v>2452</v>
      </c>
      <c r="B1446" s="20"/>
      <c r="C1446" s="19" t="s">
        <v>88</v>
      </c>
      <c r="D1446" s="19" t="s">
        <v>52</v>
      </c>
      <c r="E1446" s="19" t="s">
        <v>114</v>
      </c>
      <c r="F1446" s="19" t="s">
        <v>115</v>
      </c>
      <c r="G1446" s="37"/>
      <c r="H1446" s="135">
        <v>2022</v>
      </c>
      <c r="I1446" s="19" t="s">
        <v>41</v>
      </c>
      <c r="J1446" s="19" t="s">
        <v>2430</v>
      </c>
      <c r="K1446" s="38" t="s">
        <v>2431</v>
      </c>
      <c r="L1446" s="39" t="s">
        <v>60</v>
      </c>
      <c r="M1446" s="23" t="s">
        <v>61</v>
      </c>
      <c r="N1446" s="36" t="s">
        <v>578</v>
      </c>
      <c r="O1446" s="36" t="s">
        <v>63</v>
      </c>
      <c r="P1446" s="26">
        <f ca="1">IFERROR(VLOOKUP(DadosViagem5[[#This Row],[Placa]],[1]BIP!A:E,5,FALSE),"")</f>
        <v>45974</v>
      </c>
      <c r="Q1446" s="27">
        <f ca="1">DATEDIF(DadosViagem5[[#This Row],[BIP]],TODAY(),"D")</f>
        <v>16</v>
      </c>
      <c r="R1446" s="28" t="str">
        <f>IFERROR(VLOOKUP(DadosViagem5[[#This Row],[Placa]],[1]DDS!B:C,2,FALSE),"Verificar cadastro")</f>
        <v>Manutenção</v>
      </c>
      <c r="S1446" s="29" t="s">
        <v>35</v>
      </c>
      <c r="T1446" s="23"/>
      <c r="U1446" s="30"/>
      <c r="V1446" s="31"/>
      <c r="W1446" s="92" t="s">
        <v>2453</v>
      </c>
      <c r="X1446" s="33"/>
      <c r="Y1446" s="34"/>
      <c r="Z1446" s="32"/>
      <c r="AA1446" s="20" t="s">
        <v>49</v>
      </c>
      <c r="AB1446" s="20" t="s">
        <v>49</v>
      </c>
      <c r="AC1446" s="19" t="s">
        <v>49</v>
      </c>
      <c r="AD1446" s="19" t="str">
        <f ca="1">IFERROR(DATEDIF(DadosViagem5[[#This Row],[Utimo Bip Reserva]],TODAY(),"D"),"")</f>
        <v/>
      </c>
      <c r="AE1446" s="36" t="s">
        <v>2454</v>
      </c>
      <c r="AF1446" s="25">
        <v>45705</v>
      </c>
      <c r="AG1446" s="36" t="s">
        <v>540</v>
      </c>
      <c r="AH1446" s="25">
        <v>45807</v>
      </c>
      <c r="AI1446" s="36" t="str">
        <f>IF(DadosViagem5[[#This Row],[Dias em manutenção ]]&lt;5,"Dentro do Prazo","Fora do Prazo")</f>
        <v>Fora do Prazo</v>
      </c>
      <c r="AJ1446" s="36" t="e">
        <v>#REF!</v>
      </c>
    </row>
    <row r="1447" spans="1:36">
      <c r="A1447" s="19" t="s">
        <v>2455</v>
      </c>
      <c r="B1447" s="20"/>
      <c r="C1447" s="19" t="s">
        <v>131</v>
      </c>
      <c r="D1447" s="19" t="s">
        <v>132</v>
      </c>
      <c r="E1447" s="19" t="s">
        <v>114</v>
      </c>
      <c r="F1447" s="19" t="s">
        <v>115</v>
      </c>
      <c r="G1447" s="37"/>
      <c r="H1447" s="135">
        <v>2022</v>
      </c>
      <c r="I1447" s="19" t="s">
        <v>41</v>
      </c>
      <c r="J1447" s="19" t="s">
        <v>2430</v>
      </c>
      <c r="K1447" s="38" t="s">
        <v>2431</v>
      </c>
      <c r="L1447" s="39" t="s">
        <v>60</v>
      </c>
      <c r="M1447" s="23" t="s">
        <v>61</v>
      </c>
      <c r="N1447" s="36" t="s">
        <v>578</v>
      </c>
      <c r="O1447" s="36" t="s">
        <v>63</v>
      </c>
      <c r="P1447" s="26">
        <f ca="1">IFERROR(VLOOKUP(DadosViagem5[[#This Row],[Placa]],[1]BIP!A:E,5,FALSE),"")</f>
        <v>45595</v>
      </c>
      <c r="Q1447" s="27">
        <f ca="1">DATEDIF(DadosViagem5[[#This Row],[BIP]],TODAY(),"D")</f>
        <v>395</v>
      </c>
      <c r="R1447" s="28" t="str">
        <f>IFERROR(VLOOKUP(DadosViagem5[[#This Row],[Placa]],[1]DDS!B:C,2,FALSE),"Verificar cadastro")</f>
        <v>Verificar cadastro</v>
      </c>
      <c r="S1447" s="36" t="s">
        <v>574</v>
      </c>
      <c r="T1447" s="23"/>
      <c r="U1447" s="30"/>
      <c r="V1447" s="31"/>
      <c r="W1447" s="32" t="s">
        <v>2456</v>
      </c>
      <c r="X1447" s="33"/>
      <c r="Y1447" s="34"/>
      <c r="Z1447" s="32"/>
      <c r="AA1447" s="20" t="s">
        <v>49</v>
      </c>
      <c r="AB1447" s="20" t="s">
        <v>49</v>
      </c>
      <c r="AC1447" s="19" t="s">
        <v>49</v>
      </c>
      <c r="AD1447" s="19" t="str">
        <f ca="1">IFERROR(DATEDIF(DadosViagem5[[#This Row],[Utimo Bip Reserva]],TODAY(),"D"),"")</f>
        <v/>
      </c>
      <c r="AE1447" s="36" t="s">
        <v>2457</v>
      </c>
      <c r="AF1447" s="25" t="s">
        <v>49</v>
      </c>
      <c r="AG1447" s="36" t="s">
        <v>91</v>
      </c>
      <c r="AH1447" s="25">
        <v>211</v>
      </c>
      <c r="AI1447" s="36" t="str">
        <f>IF(DadosViagem5[[#This Row],[Dias em manutenção ]]&lt;5,"Dentro do Prazo","Fora do Prazo")</f>
        <v>Fora do Prazo</v>
      </c>
      <c r="AJ1447" s="36" t="e">
        <v>#REF!</v>
      </c>
    </row>
    <row r="1448" spans="1:36">
      <c r="A1448" s="19" t="s">
        <v>2458</v>
      </c>
      <c r="B1448" s="20"/>
      <c r="C1448" s="19" t="s">
        <v>88</v>
      </c>
      <c r="D1448" s="19" t="s">
        <v>52</v>
      </c>
      <c r="E1448" s="19" t="s">
        <v>57</v>
      </c>
      <c r="F1448" s="19" t="s">
        <v>396</v>
      </c>
      <c r="G1448" s="19"/>
      <c r="H1448" s="20">
        <v>2018</v>
      </c>
      <c r="I1448" s="19" t="s">
        <v>41</v>
      </c>
      <c r="J1448" s="19" t="s">
        <v>2430</v>
      </c>
      <c r="K1448" s="21" t="s">
        <v>2431</v>
      </c>
      <c r="L1448" s="39" t="s">
        <v>60</v>
      </c>
      <c r="M1448" s="23" t="s">
        <v>61</v>
      </c>
      <c r="N1448" s="36" t="s">
        <v>578</v>
      </c>
      <c r="O1448" s="36" t="s">
        <v>63</v>
      </c>
      <c r="P1448" s="26">
        <f ca="1">IFERROR(VLOOKUP(DadosViagem5[[#This Row],[Placa]],[1]BIP!A:E,5,FALSE),"")</f>
        <v>0</v>
      </c>
      <c r="Q1448" s="27">
        <f ca="1">DATEDIF(DadosViagem5[[#This Row],[BIP]],TODAY(),"D")</f>
        <v>45990</v>
      </c>
      <c r="R1448" s="28" t="str">
        <f>IFERROR(VLOOKUP(DadosViagem5[[#This Row],[Placa]],[1]DDS!B:C,2,FALSE),"Verificar cadastro")</f>
        <v>Manutenção</v>
      </c>
      <c r="S1448" s="29" t="s">
        <v>48</v>
      </c>
      <c r="T1448" s="23"/>
      <c r="U1448" s="30"/>
      <c r="V1448" s="31"/>
      <c r="W1448" s="32"/>
      <c r="X1448" s="33"/>
      <c r="Y1448" s="34"/>
      <c r="Z1448" s="32"/>
      <c r="AA1448" s="20" t="s">
        <v>49</v>
      </c>
      <c r="AB1448" s="20" t="s">
        <v>49</v>
      </c>
      <c r="AC1448" s="19" t="s">
        <v>49</v>
      </c>
      <c r="AD1448" s="19" t="str">
        <f ca="1">IFERROR(DATEDIF(DadosViagem5[[#This Row],[Utimo Bip Reserva]],TODAY(),"D"),"")</f>
        <v/>
      </c>
      <c r="AE1448" s="36" t="s">
        <v>49</v>
      </c>
      <c r="AF1448" s="25" t="s">
        <v>49</v>
      </c>
      <c r="AG1448" s="36"/>
      <c r="AH1448" s="25">
        <v>45807</v>
      </c>
      <c r="AI1448" s="36" t="str">
        <f>IF(DadosViagem5[[#This Row],[Dias em manutenção ]]&lt;5,"Dentro do Prazo","Fora do Prazo")</f>
        <v>Fora do Prazo</v>
      </c>
      <c r="AJ1448" s="36" t="e">
        <v>#REF!</v>
      </c>
    </row>
    <row r="1449" spans="1:36">
      <c r="A1449" s="19" t="s">
        <v>2459</v>
      </c>
      <c r="B1449" s="20"/>
      <c r="C1449" s="19" t="s">
        <v>74</v>
      </c>
      <c r="D1449" s="19" t="s">
        <v>52</v>
      </c>
      <c r="E1449" s="19" t="s">
        <v>75</v>
      </c>
      <c r="F1449" s="19" t="s">
        <v>76</v>
      </c>
      <c r="G1449" s="19"/>
      <c r="H1449" s="20">
        <v>2024</v>
      </c>
      <c r="I1449" s="19" t="s">
        <v>41</v>
      </c>
      <c r="J1449" s="19" t="s">
        <v>2430</v>
      </c>
      <c r="K1449" s="21" t="s">
        <v>2431</v>
      </c>
      <c r="L1449" s="39" t="s">
        <v>60</v>
      </c>
      <c r="M1449" s="23" t="s">
        <v>77</v>
      </c>
      <c r="N1449" s="36" t="s">
        <v>578</v>
      </c>
      <c r="O1449" s="36" t="s">
        <v>63</v>
      </c>
      <c r="P1449" s="26">
        <f ca="1">IFERROR(VLOOKUP(DadosViagem5[[#This Row],[Placa]],[1]BIP!A:E,5,FALSE),"")</f>
        <v>45989</v>
      </c>
      <c r="Q1449" s="27">
        <f ca="1">DATEDIF(DadosViagem5[[#This Row],[BIP]],TODAY(),"D")</f>
        <v>1</v>
      </c>
      <c r="R1449" s="28" t="str">
        <f>IFERROR(VLOOKUP(DadosViagem5[[#This Row],[Placa]],[1]DDS!B:C,2,FALSE),"Verificar cadastro")</f>
        <v>Operando</v>
      </c>
      <c r="S1449" s="29" t="s">
        <v>48</v>
      </c>
      <c r="T1449" s="23"/>
      <c r="U1449" s="30"/>
      <c r="V1449" s="31"/>
      <c r="W1449" s="32"/>
      <c r="X1449" s="33"/>
      <c r="Y1449" s="34"/>
      <c r="Z1449" s="32"/>
      <c r="AA1449" s="20" t="s">
        <v>49</v>
      </c>
      <c r="AB1449" s="20" t="s">
        <v>49</v>
      </c>
      <c r="AC1449" s="19" t="s">
        <v>49</v>
      </c>
      <c r="AD1449" s="19" t="str">
        <f ca="1">IFERROR(DATEDIF(DadosViagem5[[#This Row],[Utimo Bip Reserva]],TODAY(),"D"),"")</f>
        <v/>
      </c>
      <c r="AE1449" s="36"/>
      <c r="AF1449" s="25"/>
      <c r="AG1449" s="36"/>
      <c r="AH1449" s="25">
        <v>45807</v>
      </c>
      <c r="AI1449" s="36" t="str">
        <f>IF(DadosViagem5[[#This Row],[Dias em manutenção ]]&lt;5,"Dentro do Prazo","Fora do Prazo")</f>
        <v>Fora do Prazo</v>
      </c>
      <c r="AJ1449" s="36" t="e">
        <v>#REF!</v>
      </c>
    </row>
    <row r="1450" spans="1:36">
      <c r="A1450" s="19" t="s">
        <v>2460</v>
      </c>
      <c r="B1450" s="20"/>
      <c r="C1450" s="19" t="s">
        <v>74</v>
      </c>
      <c r="D1450" s="19" t="s">
        <v>52</v>
      </c>
      <c r="E1450" s="19" t="s">
        <v>75</v>
      </c>
      <c r="F1450" s="19" t="s">
        <v>76</v>
      </c>
      <c r="G1450" s="19"/>
      <c r="H1450" s="20">
        <v>2024</v>
      </c>
      <c r="I1450" s="19" t="s">
        <v>41</v>
      </c>
      <c r="J1450" s="19" t="s">
        <v>2430</v>
      </c>
      <c r="K1450" s="21" t="s">
        <v>2431</v>
      </c>
      <c r="L1450" s="39" t="s">
        <v>60</v>
      </c>
      <c r="M1450" s="23" t="s">
        <v>77</v>
      </c>
      <c r="N1450" s="36" t="s">
        <v>578</v>
      </c>
      <c r="O1450" s="36" t="s">
        <v>63</v>
      </c>
      <c r="P1450" s="26">
        <f ca="1">IFERROR(VLOOKUP(DadosViagem5[[#This Row],[Placa]],[1]BIP!A:E,5,FALSE),"")</f>
        <v>45989</v>
      </c>
      <c r="Q1450" s="27">
        <f ca="1">DATEDIF(DadosViagem5[[#This Row],[BIP]],TODAY(),"D")</f>
        <v>1</v>
      </c>
      <c r="R1450" s="28" t="str">
        <f>IFERROR(VLOOKUP(DadosViagem5[[#This Row],[Placa]],[1]DDS!B:C,2,FALSE),"Verificar cadastro")</f>
        <v>Operando</v>
      </c>
      <c r="S1450" s="29" t="s">
        <v>48</v>
      </c>
      <c r="T1450" s="23"/>
      <c r="U1450" s="30"/>
      <c r="V1450" s="31"/>
      <c r="W1450" s="32"/>
      <c r="X1450" s="33"/>
      <c r="Y1450" s="34"/>
      <c r="Z1450" s="32"/>
      <c r="AA1450" s="20" t="s">
        <v>49</v>
      </c>
      <c r="AB1450" s="20" t="s">
        <v>49</v>
      </c>
      <c r="AC1450" s="19" t="s">
        <v>49</v>
      </c>
      <c r="AD1450" s="19" t="str">
        <f ca="1">IFERROR(DATEDIF(DadosViagem5[[#This Row],[Utimo Bip Reserva]],TODAY(),"D"),"")</f>
        <v/>
      </c>
      <c r="AE1450" s="36"/>
      <c r="AF1450" s="25"/>
      <c r="AG1450" s="36"/>
      <c r="AH1450" s="25">
        <v>45807</v>
      </c>
      <c r="AI1450" s="36" t="str">
        <f>IF(DadosViagem5[[#This Row],[Dias em manutenção ]]&lt;5,"Dentro do Prazo","Fora do Prazo")</f>
        <v>Fora do Prazo</v>
      </c>
      <c r="AJ1450" s="36" t="e">
        <v>#REF!</v>
      </c>
    </row>
    <row r="1451" spans="1:36">
      <c r="A1451" s="19" t="s">
        <v>2461</v>
      </c>
      <c r="B1451" s="20"/>
      <c r="C1451" s="19" t="s">
        <v>74</v>
      </c>
      <c r="D1451" s="19" t="s">
        <v>52</v>
      </c>
      <c r="E1451" s="19" t="s">
        <v>75</v>
      </c>
      <c r="F1451" s="19" t="s">
        <v>76</v>
      </c>
      <c r="G1451" s="37"/>
      <c r="H1451" s="135">
        <v>2024</v>
      </c>
      <c r="I1451" s="19" t="s">
        <v>41</v>
      </c>
      <c r="J1451" s="19" t="s">
        <v>2430</v>
      </c>
      <c r="K1451" s="38" t="s">
        <v>2431</v>
      </c>
      <c r="L1451" s="39" t="s">
        <v>60</v>
      </c>
      <c r="M1451" s="23" t="s">
        <v>77</v>
      </c>
      <c r="N1451" s="36" t="s">
        <v>578</v>
      </c>
      <c r="O1451" s="36" t="s">
        <v>63</v>
      </c>
      <c r="P1451" s="26">
        <f ca="1">IFERROR(VLOOKUP(DadosViagem5[[#This Row],[Placa]],[1]BIP!A:E,5,FALSE),"")</f>
        <v>45989</v>
      </c>
      <c r="Q1451" s="27">
        <f ca="1">DATEDIF(DadosViagem5[[#This Row],[BIP]],TODAY(),"D")</f>
        <v>1</v>
      </c>
      <c r="R1451" s="28" t="str">
        <f>IFERROR(VLOOKUP(DadosViagem5[[#This Row],[Placa]],[1]DDS!B:C,2,FALSE),"Verificar cadastro")</f>
        <v> </v>
      </c>
      <c r="S1451" s="29" t="s">
        <v>48</v>
      </c>
      <c r="T1451" s="23"/>
      <c r="U1451" s="30"/>
      <c r="V1451" s="31"/>
      <c r="W1451" s="32"/>
      <c r="X1451" s="33"/>
      <c r="Y1451" s="34"/>
      <c r="Z1451" s="32"/>
      <c r="AA1451" s="20" t="s">
        <v>49</v>
      </c>
      <c r="AB1451" s="20" t="s">
        <v>49</v>
      </c>
      <c r="AC1451" s="19" t="s">
        <v>49</v>
      </c>
      <c r="AD1451" s="19" t="str">
        <f ca="1">IFERROR(DATEDIF(DadosViagem5[[#This Row],[Utimo Bip Reserva]],TODAY(),"D"),"")</f>
        <v/>
      </c>
      <c r="AE1451" s="36"/>
      <c r="AF1451" s="25"/>
      <c r="AG1451" s="36"/>
      <c r="AH1451" s="25">
        <v>45807</v>
      </c>
      <c r="AI1451" s="36" t="str">
        <f>IF(DadosViagem5[[#This Row],[Dias em manutenção ]]&lt;5,"Dentro do Prazo","Fora do Prazo")</f>
        <v>Fora do Prazo</v>
      </c>
      <c r="AJ1451" s="36" t="e">
        <v>#REF!</v>
      </c>
    </row>
    <row r="1452" spans="1:36">
      <c r="A1452" s="19" t="s">
        <v>2462</v>
      </c>
      <c r="B1452" s="20"/>
      <c r="C1452" s="19" t="s">
        <v>74</v>
      </c>
      <c r="D1452" s="19" t="s">
        <v>52</v>
      </c>
      <c r="E1452" s="19" t="s">
        <v>75</v>
      </c>
      <c r="F1452" s="19" t="s">
        <v>76</v>
      </c>
      <c r="G1452" s="37"/>
      <c r="H1452" s="135">
        <v>2024</v>
      </c>
      <c r="I1452" s="19" t="s">
        <v>41</v>
      </c>
      <c r="J1452" s="19" t="s">
        <v>2430</v>
      </c>
      <c r="K1452" s="38" t="s">
        <v>2431</v>
      </c>
      <c r="L1452" s="39" t="s">
        <v>60</v>
      </c>
      <c r="M1452" s="23" t="s">
        <v>77</v>
      </c>
      <c r="N1452" s="36" t="s">
        <v>578</v>
      </c>
      <c r="O1452" s="36" t="s">
        <v>63</v>
      </c>
      <c r="P1452" s="26">
        <f ca="1">IFERROR(VLOOKUP(DadosViagem5[[#This Row],[Placa]],[1]BIP!A:E,5,FALSE),"")</f>
        <v>45966</v>
      </c>
      <c r="Q1452" s="27">
        <f ca="1">DATEDIF(DadosViagem5[[#This Row],[BIP]],TODAY(),"D")</f>
        <v>24</v>
      </c>
      <c r="R1452" s="28" t="str">
        <f>IFERROR(VLOOKUP(DadosViagem5[[#This Row],[Placa]],[1]DDS!B:C,2,FALSE),"Verificar cadastro")</f>
        <v> </v>
      </c>
      <c r="S1452" s="29" t="s">
        <v>48</v>
      </c>
      <c r="T1452" s="23"/>
      <c r="U1452" s="30"/>
      <c r="V1452" s="31"/>
      <c r="W1452" s="32"/>
      <c r="X1452" s="33"/>
      <c r="Y1452" s="34"/>
      <c r="Z1452" s="32"/>
      <c r="AA1452" s="20" t="s">
        <v>49</v>
      </c>
      <c r="AB1452" s="20" t="s">
        <v>49</v>
      </c>
      <c r="AC1452" s="19" t="s">
        <v>49</v>
      </c>
      <c r="AD1452" s="19" t="str">
        <f ca="1">IFERROR(DATEDIF(DadosViagem5[[#This Row],[Utimo Bip Reserva]],TODAY(),"D"),"")</f>
        <v/>
      </c>
      <c r="AE1452" s="36"/>
      <c r="AF1452" s="25"/>
      <c r="AG1452" s="36"/>
      <c r="AH1452" s="25">
        <v>45807</v>
      </c>
      <c r="AI1452" s="36" t="str">
        <f>IF(DadosViagem5[[#This Row],[Dias em manutenção ]]&lt;5,"Dentro do Prazo","Fora do Prazo")</f>
        <v>Fora do Prazo</v>
      </c>
      <c r="AJ1452" s="36" t="e">
        <v>#REF!</v>
      </c>
    </row>
    <row r="1453" spans="1:36">
      <c r="A1453" s="19" t="s">
        <v>2463</v>
      </c>
      <c r="B1453" s="20"/>
      <c r="C1453" s="19" t="s">
        <v>131</v>
      </c>
      <c r="D1453" s="19" t="s">
        <v>132</v>
      </c>
      <c r="E1453" s="19" t="s">
        <v>114</v>
      </c>
      <c r="F1453" s="19" t="s">
        <v>115</v>
      </c>
      <c r="G1453" s="19"/>
      <c r="H1453" s="20">
        <v>2022</v>
      </c>
      <c r="I1453" s="19" t="s">
        <v>41</v>
      </c>
      <c r="J1453" s="19" t="s">
        <v>2430</v>
      </c>
      <c r="K1453" s="21" t="s">
        <v>2431</v>
      </c>
      <c r="L1453" s="39" t="s">
        <v>60</v>
      </c>
      <c r="M1453" s="23" t="s">
        <v>61</v>
      </c>
      <c r="N1453" s="36" t="s">
        <v>578</v>
      </c>
      <c r="O1453" s="36" t="s">
        <v>63</v>
      </c>
      <c r="P1453" s="26">
        <f ca="1">IFERROR(VLOOKUP(DadosViagem5[[#This Row],[Placa]],[1]BIP!A:E,5,FALSE),"")</f>
        <v>45983</v>
      </c>
      <c r="Q1453" s="27">
        <f ca="1">DATEDIF(DadosViagem5[[#This Row],[BIP]],TODAY(),"D")</f>
        <v>7</v>
      </c>
      <c r="R1453" s="28" t="str">
        <f>IFERROR(VLOOKUP(DadosViagem5[[#This Row],[Placa]],[1]DDS!B:C,2,FALSE),"Verificar cadastro")</f>
        <v> </v>
      </c>
      <c r="S1453" s="29" t="s">
        <v>48</v>
      </c>
      <c r="T1453" s="23"/>
      <c r="U1453" s="30"/>
      <c r="V1453" s="31"/>
      <c r="W1453" s="32"/>
      <c r="X1453" s="33"/>
      <c r="Y1453" s="34"/>
      <c r="Z1453" s="32"/>
      <c r="AA1453" s="20" t="s">
        <v>49</v>
      </c>
      <c r="AB1453" s="20" t="s">
        <v>49</v>
      </c>
      <c r="AC1453" s="19" t="s">
        <v>49</v>
      </c>
      <c r="AD1453" s="19" t="str">
        <f ca="1">IFERROR(DATEDIF(DadosViagem5[[#This Row],[Utimo Bip Reserva]],TODAY(),"D"),"")</f>
        <v/>
      </c>
      <c r="AE1453" s="36" t="s">
        <v>49</v>
      </c>
      <c r="AF1453" s="25" t="s">
        <v>49</v>
      </c>
      <c r="AG1453" s="36"/>
      <c r="AH1453" s="25">
        <v>45807</v>
      </c>
      <c r="AI1453" s="36" t="str">
        <f>IF(DadosViagem5[[#This Row],[Dias em manutenção ]]&lt;5,"Dentro do Prazo","Fora do Prazo")</f>
        <v>Fora do Prazo</v>
      </c>
      <c r="AJ1453" s="36" t="e">
        <v>#REF!</v>
      </c>
    </row>
    <row r="1454" spans="1:36">
      <c r="A1454" s="19" t="s">
        <v>2464</v>
      </c>
      <c r="B1454" s="20"/>
      <c r="C1454" s="19" t="s">
        <v>131</v>
      </c>
      <c r="D1454" s="19" t="s">
        <v>132</v>
      </c>
      <c r="E1454" s="19" t="s">
        <v>114</v>
      </c>
      <c r="F1454" s="19" t="s">
        <v>115</v>
      </c>
      <c r="G1454" s="19"/>
      <c r="H1454" s="20">
        <v>2022</v>
      </c>
      <c r="I1454" s="19" t="s">
        <v>41</v>
      </c>
      <c r="J1454" s="19" t="s">
        <v>2430</v>
      </c>
      <c r="K1454" s="21" t="s">
        <v>2431</v>
      </c>
      <c r="L1454" s="39" t="s">
        <v>60</v>
      </c>
      <c r="M1454" s="23" t="s">
        <v>61</v>
      </c>
      <c r="N1454" s="36" t="s">
        <v>578</v>
      </c>
      <c r="O1454" s="36" t="s">
        <v>63</v>
      </c>
      <c r="P1454" s="26">
        <f ca="1">IFERROR(VLOOKUP(DadosViagem5[[#This Row],[Placa]],[1]BIP!A:E,5,FALSE),"")</f>
        <v>45944</v>
      </c>
      <c r="Q1454" s="27">
        <f ca="1">DATEDIF(DadosViagem5[[#This Row],[BIP]],TODAY(),"D")</f>
        <v>46</v>
      </c>
      <c r="R1454" s="28" t="str">
        <f>IFERROR(VLOOKUP(DadosViagem5[[#This Row],[Placa]],[1]DDS!B:C,2,FALSE),"Verificar cadastro")</f>
        <v>Verificar cadastro</v>
      </c>
      <c r="S1454" s="36" t="s">
        <v>574</v>
      </c>
      <c r="T1454" s="23"/>
      <c r="U1454" s="30"/>
      <c r="V1454" s="31"/>
      <c r="W1454" s="32" t="s">
        <v>2465</v>
      </c>
      <c r="X1454" s="33"/>
      <c r="Y1454" s="34"/>
      <c r="Z1454" s="32"/>
      <c r="AA1454" s="20" t="s">
        <v>49</v>
      </c>
      <c r="AB1454" s="20" t="s">
        <v>49</v>
      </c>
      <c r="AC1454" s="19" t="s">
        <v>49</v>
      </c>
      <c r="AD1454" s="19" t="str">
        <f ca="1">IFERROR(DATEDIF(DadosViagem5[[#This Row],[Utimo Bip Reserva]],TODAY(),"D"),"")</f>
        <v/>
      </c>
      <c r="AE1454" s="36" t="s">
        <v>49</v>
      </c>
      <c r="AF1454" s="25" t="s">
        <v>49</v>
      </c>
      <c r="AG1454" s="36"/>
      <c r="AH1454" s="25">
        <v>45807</v>
      </c>
      <c r="AI1454" s="36" t="str">
        <f>IF(DadosViagem5[[#This Row],[Dias em manutenção ]]&lt;5,"Dentro do Prazo","Fora do Prazo")</f>
        <v>Fora do Prazo</v>
      </c>
      <c r="AJ1454" s="36" t="e">
        <v>#REF!</v>
      </c>
    </row>
    <row r="1455" spans="1:36">
      <c r="A1455" s="19" t="s">
        <v>2466</v>
      </c>
      <c r="B1455" s="20"/>
      <c r="C1455" s="19" t="s">
        <v>71</v>
      </c>
      <c r="D1455" s="19" t="s">
        <v>38</v>
      </c>
      <c r="E1455" s="19" t="s">
        <v>699</v>
      </c>
      <c r="F1455" s="19" t="s">
        <v>115</v>
      </c>
      <c r="G1455" s="37"/>
      <c r="H1455" s="135">
        <v>2022</v>
      </c>
      <c r="I1455" s="19" t="s">
        <v>41</v>
      </c>
      <c r="J1455" s="19" t="s">
        <v>2430</v>
      </c>
      <c r="K1455" s="38" t="s">
        <v>2431</v>
      </c>
      <c r="L1455" s="39" t="s">
        <v>60</v>
      </c>
      <c r="M1455" s="23" t="s">
        <v>61</v>
      </c>
      <c r="N1455" s="36" t="s">
        <v>578</v>
      </c>
      <c r="O1455" s="36" t="s">
        <v>63</v>
      </c>
      <c r="P1455" s="26">
        <f ca="1">IFERROR(VLOOKUP(DadosViagem5[[#This Row],[Placa]],[1]BIP!A:E,5,FALSE),"")</f>
        <v>45989</v>
      </c>
      <c r="Q1455" s="27">
        <f ca="1">DATEDIF(DadosViagem5[[#This Row],[BIP]],TODAY(),"D")</f>
        <v>1</v>
      </c>
      <c r="R1455" s="28" t="str">
        <f>IFERROR(VLOOKUP(DadosViagem5[[#This Row],[Placa]],[1]DDS!B:C,2,FALSE),"Verificar cadastro")</f>
        <v>Operando</v>
      </c>
      <c r="S1455" s="29" t="s">
        <v>48</v>
      </c>
      <c r="T1455" s="23"/>
      <c r="U1455" s="30"/>
      <c r="V1455" s="31"/>
      <c r="W1455" s="32"/>
      <c r="X1455" s="33"/>
      <c r="Y1455" s="34"/>
      <c r="Z1455" s="32"/>
      <c r="AA1455" s="20" t="s">
        <v>49</v>
      </c>
      <c r="AB1455" s="20" t="s">
        <v>49</v>
      </c>
      <c r="AC1455" s="19" t="s">
        <v>49</v>
      </c>
      <c r="AD1455" s="19" t="str">
        <f ca="1">IFERROR(DATEDIF(DadosViagem5[[#This Row],[Utimo Bip Reserva]],TODAY(),"D"),"")</f>
        <v/>
      </c>
      <c r="AE1455" s="25" t="s">
        <v>49</v>
      </c>
      <c r="AF1455" s="25" t="s">
        <v>49</v>
      </c>
      <c r="AG1455" s="36"/>
      <c r="AH1455" s="25">
        <v>45807</v>
      </c>
      <c r="AI1455" s="36" t="str">
        <f>IF(DadosViagem5[[#This Row],[Dias em manutenção ]]&lt;5,"Dentro do Prazo","Fora do Prazo")</f>
        <v>Fora do Prazo</v>
      </c>
      <c r="AJ1455" s="36" t="e">
        <v>#REF!</v>
      </c>
    </row>
    <row r="1456" spans="1:36">
      <c r="A1456" s="19" t="s">
        <v>2467</v>
      </c>
      <c r="B1456" s="20"/>
      <c r="C1456" s="19" t="s">
        <v>71</v>
      </c>
      <c r="D1456" s="19" t="s">
        <v>38</v>
      </c>
      <c r="E1456" s="19" t="s">
        <v>699</v>
      </c>
      <c r="F1456" s="19" t="s">
        <v>115</v>
      </c>
      <c r="G1456" s="19"/>
      <c r="H1456" s="20">
        <v>2022</v>
      </c>
      <c r="I1456" s="19" t="s">
        <v>41</v>
      </c>
      <c r="J1456" s="19" t="s">
        <v>2430</v>
      </c>
      <c r="K1456" s="21" t="s">
        <v>2431</v>
      </c>
      <c r="L1456" s="39" t="s">
        <v>60</v>
      </c>
      <c r="M1456" s="23" t="s">
        <v>61</v>
      </c>
      <c r="N1456" s="36" t="s">
        <v>578</v>
      </c>
      <c r="O1456" s="25" t="s">
        <v>63</v>
      </c>
      <c r="P1456" s="26" t="str">
        <f>IFERROR(VLOOKUP(DadosViagem5[[#This Row],[Placa]],[1]BIP!A:E,5,FALSE),"")</f>
        <v/>
      </c>
      <c r="Q1456" s="27" t="e">
        <f ca="1">DATEDIF(DadosViagem5[[#This Row],[BIP]],TODAY(),"D")</f>
        <v>#VALUE!</v>
      </c>
      <c r="R1456" s="28" t="str">
        <f>IFERROR(VLOOKUP(DadosViagem5[[#This Row],[Placa]],[1]DDS!B:C,2,FALSE),"Verificar cadastro")</f>
        <v>Carregado</v>
      </c>
      <c r="S1456" s="29" t="s">
        <v>48</v>
      </c>
      <c r="T1456" s="23"/>
      <c r="U1456" s="30"/>
      <c r="V1456" s="47"/>
      <c r="W1456" s="32"/>
      <c r="X1456" s="33"/>
      <c r="Y1456" s="34"/>
      <c r="Z1456" s="32"/>
      <c r="AA1456" s="20" t="s">
        <v>49</v>
      </c>
      <c r="AB1456" s="20" t="s">
        <v>49</v>
      </c>
      <c r="AC1456" s="19" t="s">
        <v>49</v>
      </c>
      <c r="AD1456" s="19" t="str">
        <f ca="1">IFERROR(DATEDIF(DadosViagem5[[#This Row],[Utimo Bip Reserva]],TODAY(),"D"),"")</f>
        <v/>
      </c>
      <c r="AE1456" s="25" t="s">
        <v>49</v>
      </c>
      <c r="AF1456" s="25" t="s">
        <v>49</v>
      </c>
      <c r="AG1456" s="36"/>
      <c r="AH1456" s="25">
        <v>45807</v>
      </c>
      <c r="AI1456" s="36" t="str">
        <f>IF(DadosViagem5[[#This Row],[Dias em manutenção ]]&lt;5,"Dentro do Prazo","Fora do Prazo")</f>
        <v>Fora do Prazo</v>
      </c>
      <c r="AJ1456" s="36" t="e">
        <v>#REF!</v>
      </c>
    </row>
    <row r="1457" spans="1:36">
      <c r="A1457" s="19" t="s">
        <v>2468</v>
      </c>
      <c r="B1457" s="20"/>
      <c r="C1457" s="19" t="s">
        <v>71</v>
      </c>
      <c r="D1457" s="19" t="s">
        <v>38</v>
      </c>
      <c r="E1457" s="19" t="s">
        <v>699</v>
      </c>
      <c r="F1457" s="19" t="s">
        <v>115</v>
      </c>
      <c r="G1457" s="37"/>
      <c r="H1457" s="135">
        <v>2023</v>
      </c>
      <c r="I1457" s="19" t="s">
        <v>41</v>
      </c>
      <c r="J1457" s="19" t="s">
        <v>2430</v>
      </c>
      <c r="K1457" s="38" t="s">
        <v>2431</v>
      </c>
      <c r="L1457" s="39" t="s">
        <v>60</v>
      </c>
      <c r="M1457" s="23" t="s">
        <v>61</v>
      </c>
      <c r="N1457" s="36" t="s">
        <v>578</v>
      </c>
      <c r="O1457" s="36" t="s">
        <v>63</v>
      </c>
      <c r="P1457" s="26">
        <f ca="1">IFERROR(VLOOKUP(DadosViagem5[[#This Row],[Placa]],[1]BIP!A:E,5,FALSE),"")</f>
        <v>45989</v>
      </c>
      <c r="Q1457" s="27">
        <f ca="1">DATEDIF(DadosViagem5[[#This Row],[BIP]],TODAY(),"D")</f>
        <v>1</v>
      </c>
      <c r="R1457" s="28" t="str">
        <f>IFERROR(VLOOKUP(DadosViagem5[[#This Row],[Placa]],[1]DDS!B:C,2,FALSE),"Verificar cadastro")</f>
        <v>Operando</v>
      </c>
      <c r="S1457" s="29" t="s">
        <v>48</v>
      </c>
      <c r="T1457" s="23"/>
      <c r="U1457" s="30"/>
      <c r="V1457" s="31"/>
      <c r="W1457" s="32"/>
      <c r="X1457" s="33"/>
      <c r="Y1457" s="34"/>
      <c r="Z1457" s="32"/>
      <c r="AA1457" s="20" t="s">
        <v>49</v>
      </c>
      <c r="AB1457" s="20" t="s">
        <v>49</v>
      </c>
      <c r="AC1457" s="19" t="s">
        <v>49</v>
      </c>
      <c r="AD1457" s="19" t="str">
        <f ca="1">IFERROR(DATEDIF(DadosViagem5[[#This Row],[Utimo Bip Reserva]],TODAY(),"D"),"")</f>
        <v/>
      </c>
      <c r="AE1457" s="25" t="s">
        <v>49</v>
      </c>
      <c r="AF1457" s="25" t="s">
        <v>49</v>
      </c>
      <c r="AG1457" s="36"/>
      <c r="AH1457" s="25">
        <v>45807</v>
      </c>
      <c r="AI1457" s="36" t="str">
        <f>IF(DadosViagem5[[#This Row],[Dias em manutenção ]]&lt;5,"Dentro do Prazo","Fora do Prazo")</f>
        <v>Fora do Prazo</v>
      </c>
      <c r="AJ1457" s="36" t="e">
        <v>#REF!</v>
      </c>
    </row>
    <row r="1458" spans="1:36">
      <c r="A1458" s="19" t="s">
        <v>2469</v>
      </c>
      <c r="B1458" s="20"/>
      <c r="C1458" s="19" t="s">
        <v>74</v>
      </c>
      <c r="D1458" s="19" t="s">
        <v>52</v>
      </c>
      <c r="E1458" s="19" t="s">
        <v>75</v>
      </c>
      <c r="F1458" s="19" t="s">
        <v>76</v>
      </c>
      <c r="G1458" s="37"/>
      <c r="H1458" s="135">
        <v>2023</v>
      </c>
      <c r="I1458" s="19" t="s">
        <v>41</v>
      </c>
      <c r="J1458" s="19" t="s">
        <v>2430</v>
      </c>
      <c r="K1458" s="38" t="s">
        <v>2431</v>
      </c>
      <c r="L1458" s="39" t="s">
        <v>60</v>
      </c>
      <c r="M1458" s="23" t="s">
        <v>77</v>
      </c>
      <c r="N1458" s="36" t="s">
        <v>578</v>
      </c>
      <c r="O1458" s="36" t="s">
        <v>63</v>
      </c>
      <c r="P1458" s="26">
        <f ca="1">IFERROR(VLOOKUP(DadosViagem5[[#This Row],[Placa]],[1]BIP!A:E,5,FALSE),"")</f>
        <v>45989</v>
      </c>
      <c r="Q1458" s="27">
        <f ca="1">DATEDIF(DadosViagem5[[#This Row],[BIP]],TODAY(),"D")</f>
        <v>1</v>
      </c>
      <c r="R1458" s="28" t="str">
        <f>IFERROR(VLOOKUP(DadosViagem5[[#This Row],[Placa]],[1]DDS!B:C,2,FALSE),"Verificar cadastro")</f>
        <v>Operando</v>
      </c>
      <c r="S1458" s="29" t="s">
        <v>48</v>
      </c>
      <c r="T1458" s="23"/>
      <c r="U1458" s="30"/>
      <c r="V1458" s="31"/>
      <c r="W1458" s="32"/>
      <c r="X1458" s="33"/>
      <c r="Y1458" s="34"/>
      <c r="Z1458" s="32"/>
      <c r="AA1458" s="20" t="s">
        <v>49</v>
      </c>
      <c r="AB1458" s="20" t="s">
        <v>49</v>
      </c>
      <c r="AC1458" s="19" t="s">
        <v>49</v>
      </c>
      <c r="AD1458" s="19" t="str">
        <f ca="1">IFERROR(DATEDIF(DadosViagem5[[#This Row],[Utimo Bip Reserva]],TODAY(),"D"),"")</f>
        <v/>
      </c>
      <c r="AE1458" s="25" t="s">
        <v>49</v>
      </c>
      <c r="AF1458" s="25" t="s">
        <v>49</v>
      </c>
      <c r="AG1458" s="36" t="s">
        <v>540</v>
      </c>
      <c r="AH1458" s="25">
        <v>45807</v>
      </c>
      <c r="AI1458" s="36" t="str">
        <f>IF(DadosViagem5[[#This Row],[Dias em manutenção ]]&lt;5,"Dentro do Prazo","Fora do Prazo")</f>
        <v>Fora do Prazo</v>
      </c>
      <c r="AJ1458" s="36" t="e">
        <v>#REF!</v>
      </c>
    </row>
    <row r="1459" spans="1:36">
      <c r="A1459" s="19" t="s">
        <v>2470</v>
      </c>
      <c r="B1459" s="20">
        <v>499</v>
      </c>
      <c r="C1459" s="19" t="s">
        <v>74</v>
      </c>
      <c r="D1459" s="19" t="s">
        <v>52</v>
      </c>
      <c r="E1459" s="19" t="s">
        <v>75</v>
      </c>
      <c r="F1459" s="19" t="s">
        <v>76</v>
      </c>
      <c r="G1459" s="37"/>
      <c r="H1459" s="135">
        <v>2023</v>
      </c>
      <c r="I1459" s="19" t="s">
        <v>41</v>
      </c>
      <c r="J1459" s="19" t="s">
        <v>2430</v>
      </c>
      <c r="K1459" s="38" t="s">
        <v>2431</v>
      </c>
      <c r="L1459" s="39" t="s">
        <v>60</v>
      </c>
      <c r="M1459" s="23" t="s">
        <v>77</v>
      </c>
      <c r="N1459" s="36" t="s">
        <v>578</v>
      </c>
      <c r="O1459" s="36" t="s">
        <v>63</v>
      </c>
      <c r="P1459" s="26">
        <f ca="1">IFERROR(VLOOKUP(DadosViagem5[[#This Row],[Placa]],[1]BIP!A:E,5,FALSE),"")</f>
        <v>45974</v>
      </c>
      <c r="Q1459" s="27">
        <f ca="1">DATEDIF(DadosViagem5[[#This Row],[BIP]],TODAY(),"D")</f>
        <v>16</v>
      </c>
      <c r="R1459" s="28" t="str">
        <f>IFERROR(VLOOKUP(DadosViagem5[[#This Row],[Placa]],[1]DDS!B:C,2,FALSE),"Verificar cadastro")</f>
        <v> </v>
      </c>
      <c r="S1459" s="29" t="s">
        <v>48</v>
      </c>
      <c r="T1459" s="23"/>
      <c r="U1459" s="30"/>
      <c r="V1459" s="31"/>
      <c r="W1459" s="32" t="s">
        <v>2471</v>
      </c>
      <c r="X1459" s="33"/>
      <c r="Y1459" s="34"/>
      <c r="Z1459" s="32"/>
      <c r="AA1459" s="20" t="s">
        <v>49</v>
      </c>
      <c r="AB1459" s="20" t="s">
        <v>49</v>
      </c>
      <c r="AC1459" s="19" t="s">
        <v>49</v>
      </c>
      <c r="AD1459" s="19" t="str">
        <f ca="1">IFERROR(DATEDIF(DadosViagem5[[#This Row],[Utimo Bip Reserva]],TODAY(),"D"),"")</f>
        <v/>
      </c>
      <c r="AE1459" s="25" t="s">
        <v>49</v>
      </c>
      <c r="AF1459" s="25" t="s">
        <v>49</v>
      </c>
      <c r="AG1459" s="36"/>
      <c r="AH1459" s="25">
        <v>45807</v>
      </c>
      <c r="AI1459" s="36" t="str">
        <f>IF(DadosViagem5[[#This Row],[Dias em manutenção ]]&lt;5,"Dentro do Prazo","Fora do Prazo")</f>
        <v>Fora do Prazo</v>
      </c>
      <c r="AJ1459" s="36" t="e">
        <v>#REF!</v>
      </c>
    </row>
    <row r="1460" spans="1:36">
      <c r="A1460" s="19" t="s">
        <v>2472</v>
      </c>
      <c r="B1460" s="20"/>
      <c r="C1460" s="19" t="s">
        <v>88</v>
      </c>
      <c r="D1460" s="19" t="s">
        <v>52</v>
      </c>
      <c r="E1460" s="19" t="s">
        <v>114</v>
      </c>
      <c r="F1460" s="19" t="s">
        <v>115</v>
      </c>
      <c r="G1460" s="37"/>
      <c r="H1460" s="135">
        <v>2021</v>
      </c>
      <c r="I1460" s="19" t="s">
        <v>41</v>
      </c>
      <c r="J1460" s="19" t="s">
        <v>2430</v>
      </c>
      <c r="K1460" s="38" t="s">
        <v>2431</v>
      </c>
      <c r="L1460" s="39" t="s">
        <v>60</v>
      </c>
      <c r="M1460" s="23" t="s">
        <v>61</v>
      </c>
      <c r="N1460" s="36" t="s">
        <v>578</v>
      </c>
      <c r="O1460" s="36" t="s">
        <v>63</v>
      </c>
      <c r="P1460" s="26">
        <f ca="1">IFERROR(VLOOKUP(DadosViagem5[[#This Row],[Placa]],[1]BIP!A:E,5,FALSE),"")</f>
        <v>45987</v>
      </c>
      <c r="Q1460" s="27">
        <f ca="1">DATEDIF(DadosViagem5[[#This Row],[BIP]],TODAY(),"D")</f>
        <v>3</v>
      </c>
      <c r="R1460" s="28" t="str">
        <f>IFERROR(VLOOKUP(DadosViagem5[[#This Row],[Placa]],[1]DDS!B:C,2,FALSE),"Verificar cadastro")</f>
        <v> </v>
      </c>
      <c r="S1460" s="29" t="s">
        <v>48</v>
      </c>
      <c r="T1460" s="23"/>
      <c r="U1460" s="30"/>
      <c r="V1460" s="31"/>
      <c r="W1460" s="32"/>
      <c r="X1460" s="33"/>
      <c r="Y1460" s="34"/>
      <c r="Z1460" s="32"/>
      <c r="AA1460" s="20" t="s">
        <v>49</v>
      </c>
      <c r="AB1460" s="20" t="s">
        <v>49</v>
      </c>
      <c r="AC1460" s="20" t="s">
        <v>49</v>
      </c>
      <c r="AD1460" s="20" t="s">
        <v>49</v>
      </c>
      <c r="AE1460" s="36" t="s">
        <v>49</v>
      </c>
      <c r="AF1460" s="25" t="s">
        <v>49</v>
      </c>
      <c r="AG1460" s="36"/>
      <c r="AH1460" s="25">
        <v>45807</v>
      </c>
      <c r="AI1460" s="36" t="str">
        <f>IF(DadosViagem5[[#This Row],[Dias em manutenção ]]&lt;5,"Dentro do Prazo","Fora do Prazo")</f>
        <v>Fora do Prazo</v>
      </c>
      <c r="AJ1460" s="36" t="e">
        <v>#REF!</v>
      </c>
    </row>
    <row r="1461" spans="1:36">
      <c r="A1461" s="19" t="s">
        <v>2473</v>
      </c>
      <c r="B1461" s="20"/>
      <c r="C1461" s="19" t="s">
        <v>131</v>
      </c>
      <c r="D1461" s="19" t="s">
        <v>132</v>
      </c>
      <c r="E1461" s="19" t="s">
        <v>114</v>
      </c>
      <c r="F1461" s="19" t="s">
        <v>115</v>
      </c>
      <c r="G1461" s="37"/>
      <c r="H1461" s="135">
        <v>2022</v>
      </c>
      <c r="I1461" s="19" t="s">
        <v>41</v>
      </c>
      <c r="J1461" s="19" t="s">
        <v>2430</v>
      </c>
      <c r="K1461" s="38" t="s">
        <v>2431</v>
      </c>
      <c r="L1461" s="39" t="s">
        <v>60</v>
      </c>
      <c r="M1461" s="23" t="s">
        <v>61</v>
      </c>
      <c r="N1461" s="36" t="s">
        <v>578</v>
      </c>
      <c r="O1461" s="36" t="s">
        <v>63</v>
      </c>
      <c r="P1461" s="26">
        <f ca="1">IFERROR(VLOOKUP(DadosViagem5[[#This Row],[Placa]],[1]BIP!A:E,5,FALSE),"")</f>
        <v>45987</v>
      </c>
      <c r="Q1461" s="27">
        <f ca="1">DATEDIF(DadosViagem5[[#This Row],[BIP]],TODAY(),"D")</f>
        <v>3</v>
      </c>
      <c r="R1461" s="28" t="str">
        <f>IFERROR(VLOOKUP(DadosViagem5[[#This Row],[Placa]],[1]DDS!B:C,2,FALSE),"Verificar cadastro")</f>
        <v> </v>
      </c>
      <c r="S1461" s="29" t="s">
        <v>48</v>
      </c>
      <c r="T1461" s="23"/>
      <c r="U1461" s="30"/>
      <c r="V1461" s="31"/>
      <c r="W1461" s="32"/>
      <c r="X1461" s="33"/>
      <c r="Y1461" s="34"/>
      <c r="Z1461" s="32"/>
      <c r="AA1461" s="20" t="s">
        <v>49</v>
      </c>
      <c r="AB1461" s="20" t="s">
        <v>49</v>
      </c>
      <c r="AC1461" s="19" t="s">
        <v>49</v>
      </c>
      <c r="AD1461" s="19" t="str">
        <f ca="1">IFERROR(DATEDIF(DadosViagem5[[#This Row],[Utimo Bip Reserva]],TODAY(),"D"),"")</f>
        <v/>
      </c>
      <c r="AE1461" s="36" t="s">
        <v>49</v>
      </c>
      <c r="AF1461" s="25" t="s">
        <v>49</v>
      </c>
      <c r="AG1461" s="36"/>
      <c r="AH1461" s="25">
        <v>45807</v>
      </c>
      <c r="AI1461" s="36" t="str">
        <f>IF(DadosViagem5[[#This Row],[Dias em manutenção ]]&lt;5,"Dentro do Prazo","Fora do Prazo")</f>
        <v>Fora do Prazo</v>
      </c>
      <c r="AJ1461" s="36" t="e">
        <v>#REF!</v>
      </c>
    </row>
    <row r="1462" spans="1:36">
      <c r="A1462" s="19" t="s">
        <v>2474</v>
      </c>
      <c r="B1462" s="20">
        <v>295</v>
      </c>
      <c r="C1462" s="19" t="s">
        <v>74</v>
      </c>
      <c r="D1462" s="19" t="s">
        <v>52</v>
      </c>
      <c r="E1462" s="19" t="s">
        <v>75</v>
      </c>
      <c r="F1462" s="19" t="s">
        <v>115</v>
      </c>
      <c r="G1462" s="37"/>
      <c r="H1462" s="135">
        <v>2023</v>
      </c>
      <c r="I1462" s="19" t="s">
        <v>1738</v>
      </c>
      <c r="J1462" s="19" t="s">
        <v>1565</v>
      </c>
      <c r="K1462" s="38" t="s">
        <v>2475</v>
      </c>
      <c r="L1462" s="39" t="s">
        <v>60</v>
      </c>
      <c r="M1462" s="23" t="s">
        <v>77</v>
      </c>
      <c r="N1462" s="36" t="s">
        <v>2476</v>
      </c>
      <c r="O1462" s="25" t="s">
        <v>1756</v>
      </c>
      <c r="P1462" s="26">
        <f ca="1">IFERROR(VLOOKUP(DadosViagem5[[#This Row],[Placa]],[1]BIP!A:E,5,FALSE),"")</f>
        <v>45989</v>
      </c>
      <c r="Q1462" s="27">
        <f ca="1">DATEDIF(DadosViagem5[[#This Row],[BIP]],TODAY(),"D")</f>
        <v>1</v>
      </c>
      <c r="R1462" s="28" t="str">
        <f>IFERROR(VLOOKUP(DadosViagem5[[#This Row],[Placa]],[1]DDS!B:C,2,FALSE),"Verificar cadastro")</f>
        <v>Operando</v>
      </c>
      <c r="S1462" s="29" t="s">
        <v>173</v>
      </c>
      <c r="T1462" s="23"/>
      <c r="U1462" s="30"/>
      <c r="V1462" s="31"/>
      <c r="W1462" s="32"/>
      <c r="X1462" s="33"/>
      <c r="Y1462" s="34"/>
      <c r="Z1462" s="42"/>
      <c r="AA1462" s="20" t="s">
        <v>49</v>
      </c>
      <c r="AB1462" s="20" t="s">
        <v>49</v>
      </c>
      <c r="AC1462" s="19" t="s">
        <v>49</v>
      </c>
      <c r="AD1462" s="19" t="str">
        <f ca="1">IFERROR(DATEDIF(DadosViagem5[[#This Row],[Utimo Bip Reserva]],TODAY(),"D"),"")</f>
        <v/>
      </c>
      <c r="AE1462" s="25" t="s">
        <v>49</v>
      </c>
      <c r="AF1462" s="25" t="s">
        <v>49</v>
      </c>
      <c r="AG1462" s="36"/>
      <c r="AH1462" s="25">
        <v>45807</v>
      </c>
      <c r="AI1462" s="36" t="str">
        <f>IF(DadosViagem5[[#This Row],[Dias em manutenção ]]&lt;5,"Dentro do Prazo","Fora do Prazo")</f>
        <v>Fora do Prazo</v>
      </c>
      <c r="AJ1462" s="36" t="e">
        <v>#REF!</v>
      </c>
    </row>
    <row r="1463" spans="1:36">
      <c r="A1463" s="19" t="s">
        <v>2477</v>
      </c>
      <c r="B1463" s="20">
        <v>354</v>
      </c>
      <c r="C1463" s="19" t="s">
        <v>74</v>
      </c>
      <c r="D1463" s="19" t="s">
        <v>52</v>
      </c>
      <c r="E1463" s="19" t="s">
        <v>75</v>
      </c>
      <c r="F1463" s="19" t="s">
        <v>115</v>
      </c>
      <c r="G1463" s="37"/>
      <c r="H1463" s="135">
        <v>2023</v>
      </c>
      <c r="I1463" s="19" t="s">
        <v>1738</v>
      </c>
      <c r="J1463" s="19" t="s">
        <v>1565</v>
      </c>
      <c r="K1463" s="38" t="s">
        <v>2475</v>
      </c>
      <c r="L1463" s="39" t="s">
        <v>60</v>
      </c>
      <c r="M1463" s="23" t="s">
        <v>77</v>
      </c>
      <c r="N1463" s="36" t="s">
        <v>2476</v>
      </c>
      <c r="O1463" s="25" t="s">
        <v>1756</v>
      </c>
      <c r="P1463" s="26">
        <f ca="1">IFERROR(VLOOKUP(DadosViagem5[[#This Row],[Placa]],[1]BIP!A:E,5,FALSE),"")</f>
        <v>45730</v>
      </c>
      <c r="Q1463" s="27">
        <f ca="1">DATEDIF(DadosViagem5[[#This Row],[BIP]],TODAY(),"D")</f>
        <v>260</v>
      </c>
      <c r="R1463" s="28" t="str">
        <f>IFERROR(VLOOKUP(DadosViagem5[[#This Row],[Placa]],[1]DDS!B:C,2,FALSE),"Verificar cadastro")</f>
        <v>Verificar cadastro</v>
      </c>
      <c r="S1463" s="36" t="s">
        <v>186</v>
      </c>
      <c r="T1463" s="23"/>
      <c r="U1463" s="30"/>
      <c r="V1463" s="31">
        <v>45730</v>
      </c>
      <c r="W1463" s="32" t="s">
        <v>2478</v>
      </c>
      <c r="X1463" s="57" t="s">
        <v>188</v>
      </c>
      <c r="Y1463" s="86" t="s">
        <v>1501</v>
      </c>
      <c r="Z1463" s="42" t="s">
        <v>1234</v>
      </c>
      <c r="AA1463" s="20" t="s">
        <v>49</v>
      </c>
      <c r="AB1463" s="20" t="s">
        <v>49</v>
      </c>
      <c r="AC1463" s="19" t="s">
        <v>49</v>
      </c>
      <c r="AD1463" s="19"/>
      <c r="AE1463" s="25" t="s">
        <v>49</v>
      </c>
      <c r="AF1463" s="25" t="s">
        <v>49</v>
      </c>
      <c r="AG1463" s="36"/>
      <c r="AH1463" s="25">
        <v>77</v>
      </c>
      <c r="AI1463" s="36" t="str">
        <f>IF(DadosViagem5[[#This Row],[Dias em manutenção ]]&lt;5,"Dentro do Prazo","Fora do Prazo")</f>
        <v>Fora do Prazo</v>
      </c>
      <c r="AJ1463" s="36" t="e">
        <v>#REF!</v>
      </c>
    </row>
    <row r="1464" spans="1:36">
      <c r="A1464" s="19" t="s">
        <v>2479</v>
      </c>
      <c r="B1464" s="20"/>
      <c r="C1464" s="19" t="s">
        <v>74</v>
      </c>
      <c r="D1464" s="19" t="s">
        <v>52</v>
      </c>
      <c r="E1464" s="19" t="s">
        <v>75</v>
      </c>
      <c r="F1464" s="19" t="s">
        <v>76</v>
      </c>
      <c r="G1464" s="37"/>
      <c r="H1464" s="135">
        <v>2023</v>
      </c>
      <c r="I1464" s="19" t="s">
        <v>1738</v>
      </c>
      <c r="J1464" s="19" t="s">
        <v>1565</v>
      </c>
      <c r="K1464" s="38" t="s">
        <v>2475</v>
      </c>
      <c r="L1464" s="39" t="s">
        <v>60</v>
      </c>
      <c r="M1464" s="23" t="s">
        <v>77</v>
      </c>
      <c r="N1464" s="36" t="s">
        <v>2476</v>
      </c>
      <c r="O1464" s="25" t="s">
        <v>1756</v>
      </c>
      <c r="P1464" s="26">
        <f ca="1">IFERROR(VLOOKUP(DadosViagem5[[#This Row],[Placa]],[1]BIP!A:E,5,FALSE),"")</f>
        <v>45989</v>
      </c>
      <c r="Q1464" s="27">
        <f ca="1">DATEDIF(DadosViagem5[[#This Row],[BIP]],TODAY(),"D")</f>
        <v>1</v>
      </c>
      <c r="R1464" s="28" t="str">
        <f>IFERROR(VLOOKUP(DadosViagem5[[#This Row],[Placa]],[1]DDS!B:C,2,FALSE),"Verificar cadastro")</f>
        <v>Operando</v>
      </c>
      <c r="S1464" s="29" t="s">
        <v>48</v>
      </c>
      <c r="T1464" s="23"/>
      <c r="U1464" s="30"/>
      <c r="V1464" s="31"/>
      <c r="W1464" s="32" t="s">
        <v>2480</v>
      </c>
      <c r="X1464" s="33"/>
      <c r="Y1464" s="34"/>
      <c r="Z1464" s="32"/>
      <c r="AA1464" s="20" t="s">
        <v>49</v>
      </c>
      <c r="AB1464" s="20" t="s">
        <v>49</v>
      </c>
      <c r="AC1464" s="19" t="s">
        <v>49</v>
      </c>
      <c r="AD1464" s="19" t="str">
        <f ca="1">IFERROR(DATEDIF(DadosViagem5[[#This Row],[Utimo Bip Reserva]],TODAY(),"D"),"")</f>
        <v/>
      </c>
      <c r="AE1464" s="36" t="s">
        <v>49</v>
      </c>
      <c r="AF1464" s="25" t="s">
        <v>49</v>
      </c>
      <c r="AG1464" s="36" t="s">
        <v>1056</v>
      </c>
      <c r="AH1464" s="25">
        <v>45807</v>
      </c>
      <c r="AI1464" s="36" t="str">
        <f>IF(DadosViagem5[[#This Row],[Dias em manutenção ]]&lt;5,"Dentro do Prazo","Fora do Prazo")</f>
        <v>Fora do Prazo</v>
      </c>
      <c r="AJ1464" s="36" t="e">
        <v>#REF!</v>
      </c>
    </row>
    <row r="1465" spans="1:36">
      <c r="A1465" s="19" t="s">
        <v>2481</v>
      </c>
      <c r="B1465" s="20">
        <v>297</v>
      </c>
      <c r="C1465" s="19" t="s">
        <v>74</v>
      </c>
      <c r="D1465" s="19" t="s">
        <v>52</v>
      </c>
      <c r="E1465" s="19" t="s">
        <v>75</v>
      </c>
      <c r="F1465" s="19" t="s">
        <v>115</v>
      </c>
      <c r="G1465" s="37"/>
      <c r="H1465" s="135">
        <v>2023</v>
      </c>
      <c r="I1465" s="19" t="s">
        <v>1738</v>
      </c>
      <c r="J1465" s="19" t="s">
        <v>1565</v>
      </c>
      <c r="K1465" s="38" t="s">
        <v>2475</v>
      </c>
      <c r="L1465" s="39" t="s">
        <v>60</v>
      </c>
      <c r="M1465" s="23" t="s">
        <v>77</v>
      </c>
      <c r="N1465" s="36" t="s">
        <v>2476</v>
      </c>
      <c r="O1465" s="25" t="s">
        <v>1756</v>
      </c>
      <c r="P1465" s="26">
        <f ca="1">IFERROR(VLOOKUP(DadosViagem5[[#This Row],[Placa]],[1]BIP!A:E,5,FALSE),"")</f>
        <v>45989</v>
      </c>
      <c r="Q1465" s="27">
        <f ca="1">DATEDIF(DadosViagem5[[#This Row],[BIP]],TODAY(),"D")</f>
        <v>1</v>
      </c>
      <c r="R1465" s="28" t="str">
        <f>IFERROR(VLOOKUP(DadosViagem5[[#This Row],[Placa]],[1]DDS!B:C,2,FALSE),"Verificar cadastro")</f>
        <v>Operando</v>
      </c>
      <c r="S1465" s="29" t="s">
        <v>48</v>
      </c>
      <c r="T1465" s="23"/>
      <c r="U1465" s="30"/>
      <c r="V1465" s="31"/>
      <c r="W1465" s="32" t="s">
        <v>1053</v>
      </c>
      <c r="X1465" s="33"/>
      <c r="Y1465" s="34"/>
      <c r="Z1465" s="32"/>
      <c r="AA1465" s="20" t="s">
        <v>49</v>
      </c>
      <c r="AB1465" s="20" t="s">
        <v>49</v>
      </c>
      <c r="AC1465" s="19" t="s">
        <v>49</v>
      </c>
      <c r="AD1465" s="19" t="str">
        <f ca="1">IFERROR(DATEDIF(DadosViagem5[[#This Row],[Utimo Bip Reserva]],TODAY(),"D"),"")</f>
        <v/>
      </c>
      <c r="AE1465" s="25" t="s">
        <v>49</v>
      </c>
      <c r="AF1465" s="25" t="s">
        <v>49</v>
      </c>
      <c r="AG1465" s="36"/>
      <c r="AH1465" s="25">
        <v>45807</v>
      </c>
      <c r="AI1465" s="36" t="str">
        <f>IF(DadosViagem5[[#This Row],[Dias em manutenção ]]&lt;5,"Dentro do Prazo","Fora do Prazo")</f>
        <v>Fora do Prazo</v>
      </c>
      <c r="AJ1465" s="36" t="e">
        <v>#REF!</v>
      </c>
    </row>
    <row r="1466" spans="1:36">
      <c r="A1466" s="19" t="s">
        <v>2482</v>
      </c>
      <c r="B1466" s="20">
        <v>414</v>
      </c>
      <c r="C1466" s="19" t="s">
        <v>74</v>
      </c>
      <c r="D1466" s="19" t="s">
        <v>52</v>
      </c>
      <c r="E1466" s="19" t="s">
        <v>75</v>
      </c>
      <c r="F1466" s="19" t="s">
        <v>115</v>
      </c>
      <c r="G1466" s="19"/>
      <c r="H1466" s="20">
        <v>2023</v>
      </c>
      <c r="I1466" s="19" t="s">
        <v>1738</v>
      </c>
      <c r="J1466" s="19" t="s">
        <v>1565</v>
      </c>
      <c r="K1466" s="21" t="s">
        <v>2475</v>
      </c>
      <c r="L1466" s="39" t="s">
        <v>60</v>
      </c>
      <c r="M1466" s="23" t="s">
        <v>77</v>
      </c>
      <c r="N1466" s="36" t="s">
        <v>2476</v>
      </c>
      <c r="O1466" s="25" t="s">
        <v>1756</v>
      </c>
      <c r="P1466" s="26">
        <f ca="1">IFERROR(VLOOKUP(DadosViagem5[[#This Row],[Placa]],[1]BIP!A:E,5,FALSE),"")</f>
        <v>45989</v>
      </c>
      <c r="Q1466" s="27">
        <f ca="1">DATEDIF(DadosViagem5[[#This Row],[BIP]],TODAY(),"D")</f>
        <v>1</v>
      </c>
      <c r="R1466" s="28" t="str">
        <f>IFERROR(VLOOKUP(DadosViagem5[[#This Row],[Placa]],[1]DDS!B:C,2,FALSE),"Verificar cadastro")</f>
        <v>Operando</v>
      </c>
      <c r="S1466" s="29" t="s">
        <v>48</v>
      </c>
      <c r="T1466" s="23"/>
      <c r="U1466" s="30"/>
      <c r="V1466" s="31"/>
      <c r="W1466" s="32"/>
      <c r="X1466" s="33"/>
      <c r="Y1466" s="34"/>
      <c r="Z1466" s="32"/>
      <c r="AA1466" s="20" t="s">
        <v>49</v>
      </c>
      <c r="AB1466" s="20" t="s">
        <v>49</v>
      </c>
      <c r="AC1466" s="19" t="s">
        <v>49</v>
      </c>
      <c r="AD1466" s="19" t="str">
        <f ca="1">IFERROR(DATEDIF(DadosViagem5[[#This Row],[Utimo Bip Reserva]],TODAY(),"D"),"")</f>
        <v/>
      </c>
      <c r="AE1466" s="36" t="s">
        <v>49</v>
      </c>
      <c r="AF1466" s="25" t="s">
        <v>49</v>
      </c>
      <c r="AG1466" s="36"/>
      <c r="AH1466" s="25">
        <v>45807</v>
      </c>
      <c r="AI1466" s="36" t="str">
        <f>IF(DadosViagem5[[#This Row],[Dias em manutenção ]]&lt;5,"Dentro do Prazo","Fora do Prazo")</f>
        <v>Fora do Prazo</v>
      </c>
      <c r="AJ1466" s="36" t="e">
        <v>#REF!</v>
      </c>
    </row>
    <row r="1467" spans="1:36">
      <c r="A1467" s="19" t="s">
        <v>2483</v>
      </c>
      <c r="B1467" s="20">
        <v>335</v>
      </c>
      <c r="C1467" s="19" t="s">
        <v>74</v>
      </c>
      <c r="D1467" s="19" t="s">
        <v>52</v>
      </c>
      <c r="E1467" s="19" t="s">
        <v>75</v>
      </c>
      <c r="F1467" s="19" t="s">
        <v>115</v>
      </c>
      <c r="G1467" s="37"/>
      <c r="H1467" s="135">
        <v>2023</v>
      </c>
      <c r="I1467" s="19" t="s">
        <v>1738</v>
      </c>
      <c r="J1467" s="19" t="s">
        <v>1565</v>
      </c>
      <c r="K1467" s="38" t="s">
        <v>2475</v>
      </c>
      <c r="L1467" s="39" t="s">
        <v>60</v>
      </c>
      <c r="M1467" s="23" t="s">
        <v>77</v>
      </c>
      <c r="N1467" s="36" t="s">
        <v>2476</v>
      </c>
      <c r="O1467" s="25" t="s">
        <v>1756</v>
      </c>
      <c r="P1467" s="26">
        <f ca="1">IFERROR(VLOOKUP(DadosViagem5[[#This Row],[Placa]],[1]BIP!A:E,5,FALSE),"")</f>
        <v>45989</v>
      </c>
      <c r="Q1467" s="27">
        <f ca="1">DATEDIF(DadosViagem5[[#This Row],[BIP]],TODAY(),"D")</f>
        <v>1</v>
      </c>
      <c r="R1467" s="28" t="str">
        <f>IFERROR(VLOOKUP(DadosViagem5[[#This Row],[Placa]],[1]DDS!B:C,2,FALSE),"Verificar cadastro")</f>
        <v>Operando</v>
      </c>
      <c r="S1467" s="29" t="s">
        <v>173</v>
      </c>
      <c r="T1467" s="23"/>
      <c r="U1467" s="30"/>
      <c r="V1467" s="31">
        <v>45908</v>
      </c>
      <c r="W1467" s="32" t="s">
        <v>2484</v>
      </c>
      <c r="X1467" s="33" t="s">
        <v>65</v>
      </c>
      <c r="Y1467" s="34" t="s">
        <v>159</v>
      </c>
      <c r="Z1467" s="32" t="s">
        <v>2485</v>
      </c>
      <c r="AA1467" s="20" t="s">
        <v>49</v>
      </c>
      <c r="AB1467" s="20" t="s">
        <v>49</v>
      </c>
      <c r="AC1467" s="19" t="s">
        <v>49</v>
      </c>
      <c r="AD1467" s="19" t="str">
        <f ca="1">IFERROR(DATEDIF(DadosViagem5[[#This Row],[Utimo Bip Reserva]],TODAY(),"D"),"")</f>
        <v/>
      </c>
      <c r="AE1467" s="35" t="s">
        <v>49</v>
      </c>
      <c r="AF1467" s="35" t="s">
        <v>49</v>
      </c>
      <c r="AG1467" s="36"/>
      <c r="AH1467" s="25">
        <v>6</v>
      </c>
      <c r="AI1467" s="36" t="str">
        <f>IF(DadosViagem5[[#This Row],[Dias em manutenção ]]&lt;5,"Dentro do Prazo","Fora do Prazo")</f>
        <v>Fora do Prazo</v>
      </c>
      <c r="AJ1467" s="36" t="e">
        <v>#REF!</v>
      </c>
    </row>
    <row r="1468" spans="1:36">
      <c r="A1468" s="19" t="s">
        <v>2486</v>
      </c>
      <c r="B1468" s="20"/>
      <c r="C1468" s="19" t="s">
        <v>671</v>
      </c>
      <c r="D1468" s="19" t="s">
        <v>132</v>
      </c>
      <c r="E1468" s="19" t="s">
        <v>114</v>
      </c>
      <c r="F1468" s="19" t="s">
        <v>115</v>
      </c>
      <c r="G1468" s="37"/>
      <c r="H1468" s="135">
        <v>2022</v>
      </c>
      <c r="I1468" s="19" t="s">
        <v>1738</v>
      </c>
      <c r="J1468" s="19" t="s">
        <v>1565</v>
      </c>
      <c r="K1468" s="71" t="s">
        <v>2475</v>
      </c>
      <c r="L1468" s="39" t="s">
        <v>60</v>
      </c>
      <c r="M1468" s="23" t="s">
        <v>140</v>
      </c>
      <c r="N1468" s="36" t="s">
        <v>2476</v>
      </c>
      <c r="O1468" s="25" t="s">
        <v>1756</v>
      </c>
      <c r="P1468" s="26">
        <f ca="1">IFERROR(VLOOKUP(DadosViagem5[[#This Row],[Placa]],[1]BIP!A:E,5,FALSE),"")</f>
        <v>45852</v>
      </c>
      <c r="Q1468" s="27">
        <f ca="1">DATEDIF(DadosViagem5[[#This Row],[BIP]],TODAY(),"D")</f>
        <v>138</v>
      </c>
      <c r="R1468" s="28" t="str">
        <f>IFERROR(VLOOKUP(DadosViagem5[[#This Row],[Placa]],[1]DDS!B:C,2,FALSE),"Verificar cadastro")</f>
        <v>Manutenção</v>
      </c>
      <c r="S1468" s="29" t="s">
        <v>173</v>
      </c>
      <c r="T1468" s="23"/>
      <c r="U1468" s="30"/>
      <c r="V1468" s="31">
        <v>45854</v>
      </c>
      <c r="W1468" s="32" t="s">
        <v>153</v>
      </c>
      <c r="X1468" s="33" t="s">
        <v>65</v>
      </c>
      <c r="Y1468" s="34" t="s">
        <v>159</v>
      </c>
      <c r="Z1468" s="42" t="s">
        <v>1234</v>
      </c>
      <c r="AA1468" s="20" t="s">
        <v>49</v>
      </c>
      <c r="AB1468" s="20" t="s">
        <v>49</v>
      </c>
      <c r="AC1468" s="19" t="s">
        <v>49</v>
      </c>
      <c r="AD1468" s="19" t="str">
        <f ca="1">IFERROR(DATEDIF(DadosViagem5[[#This Row],[Utimo Bip Reserva]],TODAY(),"D"),"")</f>
        <v/>
      </c>
      <c r="AE1468" s="36" t="s">
        <v>49</v>
      </c>
      <c r="AF1468" s="25" t="s">
        <v>49</v>
      </c>
      <c r="AG1468" s="36"/>
      <c r="AH1468" s="25">
        <v>45807</v>
      </c>
      <c r="AI1468" s="36" t="str">
        <f>IF(DadosViagem5[[#This Row],[Dias em manutenção ]]&lt;5,"Dentro do Prazo","Fora do Prazo")</f>
        <v>Fora do Prazo</v>
      </c>
      <c r="AJ1468" s="36" t="e">
        <v>#REF!</v>
      </c>
    </row>
    <row r="1469" spans="1:36">
      <c r="A1469" s="19" t="s">
        <v>2487</v>
      </c>
      <c r="B1469" s="20"/>
      <c r="C1469" s="19" t="s">
        <v>88</v>
      </c>
      <c r="D1469" s="19" t="s">
        <v>38</v>
      </c>
      <c r="E1469" s="19" t="s">
        <v>114</v>
      </c>
      <c r="F1469" s="19" t="s">
        <v>115</v>
      </c>
      <c r="G1469" s="37"/>
      <c r="H1469" s="135">
        <v>2021</v>
      </c>
      <c r="I1469" s="19" t="s">
        <v>1738</v>
      </c>
      <c r="J1469" s="19" t="s">
        <v>1565</v>
      </c>
      <c r="K1469" s="38" t="s">
        <v>2475</v>
      </c>
      <c r="L1469" s="39" t="s">
        <v>60</v>
      </c>
      <c r="M1469" s="23" t="s">
        <v>140</v>
      </c>
      <c r="N1469" s="36" t="s">
        <v>2476</v>
      </c>
      <c r="O1469" s="25" t="s">
        <v>1756</v>
      </c>
      <c r="P1469" s="26">
        <f ca="1">IFERROR(VLOOKUP(DadosViagem5[[#This Row],[Placa]],[1]BIP!A:E,5,FALSE),"")</f>
        <v>45636</v>
      </c>
      <c r="Q1469" s="27">
        <f ca="1">DATEDIF(DadosViagem5[[#This Row],[BIP]],TODAY(),"D")</f>
        <v>354</v>
      </c>
      <c r="R1469" s="28"/>
      <c r="S1469" s="29" t="s">
        <v>186</v>
      </c>
      <c r="T1469" s="23"/>
      <c r="U1469" s="30"/>
      <c r="V1469" s="31">
        <v>45637</v>
      </c>
      <c r="W1469" s="32" t="s">
        <v>2488</v>
      </c>
      <c r="X1469" s="33" t="s">
        <v>65</v>
      </c>
      <c r="Y1469" s="34">
        <v>45988</v>
      </c>
      <c r="Z1469" s="42" t="s">
        <v>1234</v>
      </c>
      <c r="AA1469" s="20" t="s">
        <v>49</v>
      </c>
      <c r="AB1469" s="20"/>
      <c r="AC1469" s="19" t="s">
        <v>49</v>
      </c>
      <c r="AD1469" s="19" t="str">
        <f ca="1">IFERROR(DATEDIF(DadosViagem5[[#This Row],[Utimo Bip Reserva]],TODAY(),"D"),"")</f>
        <v/>
      </c>
      <c r="AE1469" s="36" t="s">
        <v>2489</v>
      </c>
      <c r="AF1469" s="25" t="s">
        <v>49</v>
      </c>
      <c r="AG1469" s="30" t="s">
        <v>153</v>
      </c>
      <c r="AH1469" s="25">
        <v>170</v>
      </c>
      <c r="AI1469" s="36" t="str">
        <f>IF(DadosViagem5[[#This Row],[Dias em manutenção ]]&lt;5,"Dentro do Prazo","Fora do Prazo")</f>
        <v>Fora do Prazo</v>
      </c>
      <c r="AJ1469" s="36" t="e">
        <v>#REF!</v>
      </c>
    </row>
    <row r="1470" spans="1:36">
      <c r="A1470" s="19" t="s">
        <v>2490</v>
      </c>
      <c r="B1470" s="20"/>
      <c r="C1470" s="19" t="s">
        <v>88</v>
      </c>
      <c r="D1470" s="19" t="s">
        <v>52</v>
      </c>
      <c r="E1470" s="19" t="s">
        <v>114</v>
      </c>
      <c r="F1470" s="19" t="s">
        <v>115</v>
      </c>
      <c r="G1470" s="19"/>
      <c r="H1470" s="20">
        <v>2021</v>
      </c>
      <c r="I1470" s="19" t="s">
        <v>1738</v>
      </c>
      <c r="J1470" s="19" t="s">
        <v>1565</v>
      </c>
      <c r="K1470" s="21" t="s">
        <v>2475</v>
      </c>
      <c r="L1470" s="39" t="s">
        <v>60</v>
      </c>
      <c r="M1470" s="23" t="s">
        <v>140</v>
      </c>
      <c r="N1470" s="36" t="s">
        <v>2476</v>
      </c>
      <c r="O1470" s="25" t="s">
        <v>1756</v>
      </c>
      <c r="P1470" s="26">
        <f ca="1">IFERROR(VLOOKUP(DadosViagem5[[#This Row],[Placa]],[1]BIP!A:E,5,FALSE),"")</f>
        <v>45818</v>
      </c>
      <c r="Q1470" s="27">
        <f ca="1">DATEDIF(DadosViagem5[[#This Row],[BIP]],TODAY(),"D")</f>
        <v>172</v>
      </c>
      <c r="R1470" s="28" t="str">
        <f>IFERROR(VLOOKUP(DadosViagem5[[#This Row],[Placa]],[1]DDS!B:C,2,FALSE),"Verificar cadastro")</f>
        <v>Manutenção</v>
      </c>
      <c r="S1470" s="29" t="s">
        <v>173</v>
      </c>
      <c r="T1470" s="23"/>
      <c r="U1470" s="30"/>
      <c r="V1470" s="31">
        <v>45825</v>
      </c>
      <c r="W1470" s="32" t="s">
        <v>2491</v>
      </c>
      <c r="X1470" s="33" t="s">
        <v>65</v>
      </c>
      <c r="Y1470" s="34" t="s">
        <v>159</v>
      </c>
      <c r="Z1470" s="42" t="s">
        <v>1234</v>
      </c>
      <c r="AA1470" s="20" t="s">
        <v>49</v>
      </c>
      <c r="AB1470" s="20" t="s">
        <v>49</v>
      </c>
      <c r="AC1470" s="19" t="s">
        <v>49</v>
      </c>
      <c r="AD1470" s="19" t="str">
        <f ca="1">IFERROR(DATEDIF(DadosViagem5[[#This Row],[Utimo Bip Reserva]],TODAY(),"D"),"")</f>
        <v/>
      </c>
      <c r="AE1470" s="36" t="s">
        <v>1744</v>
      </c>
      <c r="AF1470" s="25" t="s">
        <v>49</v>
      </c>
      <c r="AG1470" s="36" t="s">
        <v>1056</v>
      </c>
      <c r="AH1470" s="25">
        <v>45807</v>
      </c>
      <c r="AI1470" s="36" t="str">
        <f>IF(DadosViagem5[[#This Row],[Dias em manutenção ]]&lt;5,"Dentro do Prazo","Fora do Prazo")</f>
        <v>Fora do Prazo</v>
      </c>
      <c r="AJ1470" s="36" t="e">
        <v>#REF!</v>
      </c>
    </row>
    <row r="1471" spans="1:36">
      <c r="A1471" s="19" t="s">
        <v>2492</v>
      </c>
      <c r="B1471" s="20">
        <v>324</v>
      </c>
      <c r="C1471" s="19" t="s">
        <v>74</v>
      </c>
      <c r="D1471" s="19" t="s">
        <v>52</v>
      </c>
      <c r="E1471" s="19" t="s">
        <v>57</v>
      </c>
      <c r="F1471" s="19" t="s">
        <v>115</v>
      </c>
      <c r="G1471" s="37"/>
      <c r="H1471" s="135">
        <v>2022</v>
      </c>
      <c r="I1471" s="19" t="s">
        <v>1738</v>
      </c>
      <c r="J1471" s="19" t="s">
        <v>1565</v>
      </c>
      <c r="K1471" s="38" t="s">
        <v>2475</v>
      </c>
      <c r="L1471" s="39" t="s">
        <v>60</v>
      </c>
      <c r="M1471" s="23" t="s">
        <v>77</v>
      </c>
      <c r="N1471" s="36" t="s">
        <v>2476</v>
      </c>
      <c r="O1471" s="25" t="s">
        <v>1756</v>
      </c>
      <c r="P1471" s="26">
        <f ca="1">IFERROR(VLOOKUP(DadosViagem5[[#This Row],[Placa]],[1]BIP!A:E,5,FALSE),"")</f>
        <v>45989</v>
      </c>
      <c r="Q1471" s="27">
        <f ca="1">DATEDIF(DadosViagem5[[#This Row],[BIP]],TODAY(),"D")</f>
        <v>1</v>
      </c>
      <c r="R1471" s="28" t="str">
        <f>IFERROR(VLOOKUP(DadosViagem5[[#This Row],[Placa]],[1]DDS!B:C,2,FALSE),"Verificar cadastro")</f>
        <v>Operando</v>
      </c>
      <c r="S1471" s="29" t="s">
        <v>48</v>
      </c>
      <c r="T1471" s="23"/>
      <c r="U1471" s="30"/>
      <c r="V1471" s="31"/>
      <c r="W1471" s="32" t="s">
        <v>2043</v>
      </c>
      <c r="X1471" s="33"/>
      <c r="Y1471" s="34"/>
      <c r="Z1471" s="42"/>
      <c r="AA1471" s="20" t="s">
        <v>49</v>
      </c>
      <c r="AB1471" s="20" t="s">
        <v>49</v>
      </c>
      <c r="AC1471" s="19" t="s">
        <v>49</v>
      </c>
      <c r="AD1471" s="19" t="str">
        <f ca="1">IFERROR(DATEDIF(DadosViagem5[[#This Row],[Utimo Bip Reserva]],TODAY(),"D"),"")</f>
        <v/>
      </c>
      <c r="AE1471" s="36" t="s">
        <v>49</v>
      </c>
      <c r="AF1471" s="25" t="s">
        <v>49</v>
      </c>
      <c r="AG1471" s="36"/>
      <c r="AH1471" s="25">
        <v>21</v>
      </c>
      <c r="AI1471" s="36" t="str">
        <f>IF(DadosViagem5[[#This Row],[Dias em manutenção ]]&lt;5,"Dentro do Prazo","Fora do Prazo")</f>
        <v>Fora do Prazo</v>
      </c>
      <c r="AJ1471" s="36" t="e">
        <v>#REF!</v>
      </c>
    </row>
    <row r="1472" spans="1:36">
      <c r="A1472" s="19" t="s">
        <v>2493</v>
      </c>
      <c r="B1472" s="20">
        <v>711</v>
      </c>
      <c r="C1472" s="19" t="s">
        <v>74</v>
      </c>
      <c r="D1472" s="19" t="s">
        <v>52</v>
      </c>
      <c r="E1472" s="19" t="s">
        <v>75</v>
      </c>
      <c r="F1472" s="19" t="s">
        <v>115</v>
      </c>
      <c r="G1472" s="37"/>
      <c r="H1472" s="135">
        <v>2024</v>
      </c>
      <c r="I1472" s="19" t="s">
        <v>1738</v>
      </c>
      <c r="J1472" s="19" t="s">
        <v>1565</v>
      </c>
      <c r="K1472" s="38" t="s">
        <v>2475</v>
      </c>
      <c r="L1472" s="39" t="s">
        <v>60</v>
      </c>
      <c r="M1472" s="23" t="s">
        <v>77</v>
      </c>
      <c r="N1472" s="36" t="s">
        <v>2476</v>
      </c>
      <c r="O1472" s="25" t="s">
        <v>1756</v>
      </c>
      <c r="P1472" s="26">
        <f ca="1">IFERROR(VLOOKUP(DadosViagem5[[#This Row],[Placa]],[1]BIP!A:E,5,FALSE),"")</f>
        <v>45989</v>
      </c>
      <c r="Q1472" s="27">
        <f ca="1">DATEDIF(DadosViagem5[[#This Row],[BIP]],TODAY(),"D")</f>
        <v>1</v>
      </c>
      <c r="R1472" s="28" t="str">
        <f>IFERROR(VLOOKUP(DadosViagem5[[#This Row],[Placa]],[1]DDS!B:C,2,FALSE),"Verificar cadastro")</f>
        <v>Operando</v>
      </c>
      <c r="S1472" s="29" t="s">
        <v>48</v>
      </c>
      <c r="T1472" s="23"/>
      <c r="U1472" s="30"/>
      <c r="V1472" s="31"/>
      <c r="W1472" s="32"/>
      <c r="X1472" s="33"/>
      <c r="Y1472" s="34"/>
      <c r="Z1472" s="32"/>
      <c r="AA1472" s="20" t="s">
        <v>49</v>
      </c>
      <c r="AB1472" s="20" t="s">
        <v>49</v>
      </c>
      <c r="AC1472" s="19" t="s">
        <v>49</v>
      </c>
      <c r="AD1472" s="19" t="str">
        <f ca="1">IFERROR(DATEDIF(DadosViagem5[[#This Row],[Utimo Bip Reserva]],TODAY(),"D"),"")</f>
        <v/>
      </c>
      <c r="AE1472" s="36"/>
      <c r="AF1472" s="25"/>
      <c r="AG1472" s="36"/>
      <c r="AH1472" s="25">
        <v>45807</v>
      </c>
      <c r="AI1472" s="36" t="str">
        <f>IF(DadosViagem5[[#This Row],[Dias em manutenção ]]&lt;5,"Dentro do Prazo","Fora do Prazo")</f>
        <v>Fora do Prazo</v>
      </c>
      <c r="AJ1472" s="36" t="e">
        <v>#REF!</v>
      </c>
    </row>
    <row r="1473" spans="1:36">
      <c r="A1473" s="19" t="s">
        <v>2494</v>
      </c>
      <c r="B1473" s="20">
        <v>518</v>
      </c>
      <c r="C1473" s="19" t="s">
        <v>74</v>
      </c>
      <c r="D1473" s="19" t="s">
        <v>52</v>
      </c>
      <c r="E1473" s="19" t="s">
        <v>75</v>
      </c>
      <c r="F1473" s="19" t="s">
        <v>76</v>
      </c>
      <c r="G1473" s="37"/>
      <c r="H1473" s="135">
        <v>2024</v>
      </c>
      <c r="I1473" s="19" t="s">
        <v>1738</v>
      </c>
      <c r="J1473" s="19" t="s">
        <v>1565</v>
      </c>
      <c r="K1473" s="38" t="s">
        <v>2475</v>
      </c>
      <c r="L1473" s="39" t="s">
        <v>60</v>
      </c>
      <c r="M1473" s="23" t="s">
        <v>77</v>
      </c>
      <c r="N1473" s="36" t="s">
        <v>2476</v>
      </c>
      <c r="O1473" s="25" t="s">
        <v>1756</v>
      </c>
      <c r="P1473" s="26">
        <f ca="1">IFERROR(VLOOKUP(DadosViagem5[[#This Row],[Placa]],[1]BIP!A:E,5,FALSE),"")</f>
        <v>45989</v>
      </c>
      <c r="Q1473" s="27">
        <f ca="1">DATEDIF(DadosViagem5[[#This Row],[BIP]],TODAY(),"D")</f>
        <v>1</v>
      </c>
      <c r="R1473" s="28" t="str">
        <f>IFERROR(VLOOKUP(DadosViagem5[[#This Row],[Placa]],[1]DDS!B:C,2,FALSE),"Verificar cadastro")</f>
        <v>Carregado</v>
      </c>
      <c r="S1473" s="29" t="s">
        <v>48</v>
      </c>
      <c r="T1473" s="23"/>
      <c r="U1473" s="30"/>
      <c r="V1473" s="31"/>
      <c r="W1473" s="32"/>
      <c r="X1473" s="57"/>
      <c r="Y1473" s="57"/>
      <c r="Z1473" s="58"/>
      <c r="AA1473" s="20" t="s">
        <v>49</v>
      </c>
      <c r="AB1473" s="20" t="s">
        <v>49</v>
      </c>
      <c r="AC1473" s="19" t="s">
        <v>49</v>
      </c>
      <c r="AD1473" s="19" t="str">
        <f ca="1">IFERROR(DATEDIF(DadosViagem5[[#This Row],[Utimo Bip Reserva]],TODAY(),"D"),"")</f>
        <v/>
      </c>
      <c r="AE1473" s="25" t="s">
        <v>2495</v>
      </c>
      <c r="AF1473" s="25" t="s">
        <v>49</v>
      </c>
      <c r="AG1473" s="36" t="s">
        <v>997</v>
      </c>
      <c r="AH1473" s="25">
        <v>45807</v>
      </c>
      <c r="AI1473" s="36" t="str">
        <f>IF(DadosViagem5[[#This Row],[Dias em manutenção ]]&lt;5,"Dentro do Prazo","Fora do Prazo")</f>
        <v>Fora do Prazo</v>
      </c>
      <c r="AJ1473" s="36" t="e">
        <v>#REF!</v>
      </c>
    </row>
    <row r="1474" spans="1:36">
      <c r="A1474" s="19" t="s">
        <v>2496</v>
      </c>
      <c r="B1474" s="20"/>
      <c r="C1474" s="19" t="s">
        <v>88</v>
      </c>
      <c r="D1474" s="19" t="s">
        <v>38</v>
      </c>
      <c r="E1474" s="19" t="s">
        <v>114</v>
      </c>
      <c r="F1474" s="19" t="s">
        <v>115</v>
      </c>
      <c r="G1474" s="19"/>
      <c r="H1474" s="20">
        <v>2021</v>
      </c>
      <c r="I1474" s="19" t="s">
        <v>1738</v>
      </c>
      <c r="J1474" s="19" t="s">
        <v>1565</v>
      </c>
      <c r="K1474" s="21" t="s">
        <v>2475</v>
      </c>
      <c r="L1474" s="39" t="s">
        <v>60</v>
      </c>
      <c r="M1474" s="23" t="s">
        <v>140</v>
      </c>
      <c r="N1474" s="36" t="s">
        <v>2476</v>
      </c>
      <c r="O1474" s="25" t="s">
        <v>1756</v>
      </c>
      <c r="P1474" s="26">
        <f ca="1">IFERROR(VLOOKUP(DadosViagem5[[#This Row],[Placa]],[1]BIP!A:E,5,FALSE),"")</f>
        <v>45989</v>
      </c>
      <c r="Q1474" s="27">
        <f ca="1">DATEDIF(DadosViagem5[[#This Row],[BIP]],TODAY(),"D")</f>
        <v>1</v>
      </c>
      <c r="R1474" s="28" t="str">
        <f>IFERROR(VLOOKUP(DadosViagem5[[#This Row],[Placa]],[1]DDS!B:C,2,FALSE),"Verificar cadastro")</f>
        <v>Carregado</v>
      </c>
      <c r="S1474" s="29" t="s">
        <v>48</v>
      </c>
      <c r="T1474" s="23"/>
      <c r="U1474" s="30"/>
      <c r="V1474" s="31"/>
      <c r="W1474" s="32"/>
      <c r="X1474" s="33"/>
      <c r="Y1474" s="34"/>
      <c r="Z1474" s="42"/>
      <c r="AA1474" s="20" t="s">
        <v>49</v>
      </c>
      <c r="AB1474" s="20" t="s">
        <v>49</v>
      </c>
      <c r="AC1474" s="19" t="s">
        <v>49</v>
      </c>
      <c r="AD1474" s="19" t="str">
        <f ca="1">IFERROR(DATEDIF(DadosViagem5[[#This Row],[Utimo Bip Reserva]],TODAY(),"D"),"")</f>
        <v/>
      </c>
      <c r="AE1474" s="36" t="s">
        <v>49</v>
      </c>
      <c r="AF1474" s="25" t="s">
        <v>49</v>
      </c>
      <c r="AG1474" s="36"/>
      <c r="AH1474" s="25">
        <v>45807</v>
      </c>
      <c r="AI1474" s="36" t="str">
        <f>IF(DadosViagem5[[#This Row],[Dias em manutenção ]]&lt;5,"Dentro do Prazo","Fora do Prazo")</f>
        <v>Fora do Prazo</v>
      </c>
      <c r="AJ1474" s="36" t="e">
        <v>#REF!</v>
      </c>
    </row>
    <row r="1475" spans="1:36">
      <c r="A1475" s="19" t="s">
        <v>2497</v>
      </c>
      <c r="B1475" s="20">
        <v>316</v>
      </c>
      <c r="C1475" s="19" t="s">
        <v>74</v>
      </c>
      <c r="D1475" s="19" t="s">
        <v>52</v>
      </c>
      <c r="E1475" s="19" t="s">
        <v>75</v>
      </c>
      <c r="F1475" s="19" t="s">
        <v>115</v>
      </c>
      <c r="G1475" s="19"/>
      <c r="H1475" s="20">
        <v>2023</v>
      </c>
      <c r="I1475" s="19" t="s">
        <v>1738</v>
      </c>
      <c r="J1475" s="165" t="s">
        <v>1565</v>
      </c>
      <c r="K1475" s="21" t="s">
        <v>2475</v>
      </c>
      <c r="L1475" s="39" t="s">
        <v>60</v>
      </c>
      <c r="M1475" s="23" t="s">
        <v>77</v>
      </c>
      <c r="N1475" s="36" t="s">
        <v>2476</v>
      </c>
      <c r="O1475" s="25" t="s">
        <v>1756</v>
      </c>
      <c r="P1475" s="26">
        <f ca="1">IFERROR(VLOOKUP(DadosViagem5[[#This Row],[Placa]],[1]BIP!A:E,5,FALSE),"")</f>
        <v>45989</v>
      </c>
      <c r="Q1475" s="27">
        <f ca="1">DATEDIF(DadosViagem5[[#This Row],[BIP]],TODAY(),"D")</f>
        <v>1</v>
      </c>
      <c r="R1475" s="28" t="str">
        <f>IFERROR(VLOOKUP(DadosViagem5[[#This Row],[Placa]],[1]DDS!B:C,2,FALSE),"Verificar cadastro")</f>
        <v>Manutenção</v>
      </c>
      <c r="S1475" s="29" t="s">
        <v>48</v>
      </c>
      <c r="T1475" s="23"/>
      <c r="U1475" s="30"/>
      <c r="V1475" s="31"/>
      <c r="W1475" s="32"/>
      <c r="X1475" s="33"/>
      <c r="Y1475" s="34"/>
      <c r="Z1475" s="42"/>
      <c r="AA1475" s="20" t="s">
        <v>49</v>
      </c>
      <c r="AB1475" s="20" t="s">
        <v>49</v>
      </c>
      <c r="AC1475" s="19" t="s">
        <v>49</v>
      </c>
      <c r="AD1475" s="19" t="str">
        <f ca="1">IFERROR(DATEDIF(DadosViagem5[[#This Row],[Utimo Bip Reserva]],TODAY(),"D"),"")</f>
        <v/>
      </c>
      <c r="AE1475" s="29"/>
      <c r="AF1475" s="35"/>
      <c r="AG1475" s="36"/>
      <c r="AH1475" s="25">
        <v>45807</v>
      </c>
      <c r="AI1475" s="36" t="str">
        <f>IF(DadosViagem5[[#This Row],[Dias em manutenção ]]&lt;5,"Dentro do Prazo","Fora do Prazo")</f>
        <v>Fora do Prazo</v>
      </c>
      <c r="AJ1475" s="36" t="e">
        <v>#REF!</v>
      </c>
    </row>
    <row r="1476" spans="1:36">
      <c r="A1476" s="19" t="s">
        <v>2498</v>
      </c>
      <c r="B1476" s="20">
        <v>535</v>
      </c>
      <c r="C1476" s="19" t="s">
        <v>74</v>
      </c>
      <c r="D1476" s="19" t="s">
        <v>52</v>
      </c>
      <c r="E1476" s="19" t="s">
        <v>75</v>
      </c>
      <c r="F1476" s="19" t="s">
        <v>76</v>
      </c>
      <c r="G1476" s="19"/>
      <c r="H1476" s="20">
        <v>2023</v>
      </c>
      <c r="I1476" s="19" t="s">
        <v>1738</v>
      </c>
      <c r="J1476" s="19" t="s">
        <v>1565</v>
      </c>
      <c r="K1476" s="21" t="s">
        <v>2475</v>
      </c>
      <c r="L1476" s="39" t="s">
        <v>60</v>
      </c>
      <c r="M1476" s="23" t="s">
        <v>77</v>
      </c>
      <c r="N1476" s="36" t="s">
        <v>2476</v>
      </c>
      <c r="O1476" s="25" t="s">
        <v>1756</v>
      </c>
      <c r="P1476" s="26">
        <f ca="1">IFERROR(VLOOKUP(DadosViagem5[[#This Row],[Placa]],[1]BIP!A:E,5,FALSE),"")</f>
        <v>45989</v>
      </c>
      <c r="Q1476" s="27">
        <f ca="1">DATEDIF(DadosViagem5[[#This Row],[BIP]],TODAY(),"D")</f>
        <v>1</v>
      </c>
      <c r="R1476" s="28" t="str">
        <f>IFERROR(VLOOKUP(DadosViagem5[[#This Row],[Placa]],[1]DDS!B:C,2,FALSE),"Verificar cadastro")</f>
        <v>Operando</v>
      </c>
      <c r="S1476" s="29" t="s">
        <v>48</v>
      </c>
      <c r="T1476" s="23"/>
      <c r="U1476" s="30"/>
      <c r="V1476" s="31"/>
      <c r="W1476" s="32"/>
      <c r="X1476" s="33"/>
      <c r="Y1476" s="34"/>
      <c r="Z1476" s="32"/>
      <c r="AA1476" s="20" t="s">
        <v>49</v>
      </c>
      <c r="AB1476" s="20" t="s">
        <v>49</v>
      </c>
      <c r="AC1476" s="19" t="s">
        <v>49</v>
      </c>
      <c r="AD1476" s="19" t="str">
        <f ca="1">IFERROR(DATEDIF(DadosViagem5[[#This Row],[Utimo Bip Reserva]],TODAY(),"D"),"")</f>
        <v/>
      </c>
      <c r="AE1476" s="25" t="s">
        <v>49</v>
      </c>
      <c r="AF1476" s="25" t="s">
        <v>49</v>
      </c>
      <c r="AG1476" s="36"/>
      <c r="AH1476" s="25">
        <v>9</v>
      </c>
      <c r="AI1476" s="36" t="str">
        <f>IF(DadosViagem5[[#This Row],[Dias em manutenção ]]&lt;5,"Dentro do Prazo","Fora do Prazo")</f>
        <v>Fora do Prazo</v>
      </c>
      <c r="AJ1476" s="36" t="e">
        <v>#REF!</v>
      </c>
    </row>
    <row r="1477" spans="1:36">
      <c r="A1477" s="19" t="s">
        <v>2499</v>
      </c>
      <c r="B1477" s="20">
        <v>320</v>
      </c>
      <c r="C1477" s="19" t="s">
        <v>74</v>
      </c>
      <c r="D1477" s="19" t="s">
        <v>52</v>
      </c>
      <c r="E1477" s="19" t="s">
        <v>75</v>
      </c>
      <c r="F1477" s="19" t="s">
        <v>115</v>
      </c>
      <c r="G1477" s="19"/>
      <c r="H1477" s="20">
        <v>2023</v>
      </c>
      <c r="I1477" s="19" t="s">
        <v>1738</v>
      </c>
      <c r="J1477" s="19" t="s">
        <v>1565</v>
      </c>
      <c r="K1477" s="21" t="s">
        <v>2475</v>
      </c>
      <c r="L1477" s="39" t="s">
        <v>60</v>
      </c>
      <c r="M1477" s="23" t="s">
        <v>77</v>
      </c>
      <c r="N1477" s="36" t="s">
        <v>2476</v>
      </c>
      <c r="O1477" s="25" t="s">
        <v>1756</v>
      </c>
      <c r="P1477" s="26">
        <f ca="1">IFERROR(VLOOKUP(DadosViagem5[[#This Row],[Placa]],[1]BIP!A:E,5,FALSE),"")</f>
        <v>45979</v>
      </c>
      <c r="Q1477" s="27">
        <f ca="1">DATEDIF(DadosViagem5[[#This Row],[BIP]],TODAY(),"D")</f>
        <v>11</v>
      </c>
      <c r="R1477" s="28" t="str">
        <f>IFERROR(VLOOKUP(DadosViagem5[[#This Row],[Placa]],[1]DDS!B:C,2,FALSE),"Verificar cadastro")</f>
        <v>Manutenção</v>
      </c>
      <c r="S1477" s="29" t="s">
        <v>48</v>
      </c>
      <c r="T1477" s="23"/>
      <c r="U1477" s="30"/>
      <c r="V1477" s="31"/>
      <c r="W1477" s="32"/>
      <c r="X1477" s="33"/>
      <c r="Y1477" s="34"/>
      <c r="Z1477" s="32"/>
      <c r="AA1477" s="20" t="s">
        <v>49</v>
      </c>
      <c r="AB1477" s="20" t="s">
        <v>49</v>
      </c>
      <c r="AC1477" s="19" t="s">
        <v>49</v>
      </c>
      <c r="AD1477" s="19" t="str">
        <f ca="1">IFERROR(DATEDIF(DadosViagem5[[#This Row],[Utimo Bip Reserva]],TODAY(),"D"),"")</f>
        <v/>
      </c>
      <c r="AE1477" s="29"/>
      <c r="AF1477" s="35" t="s">
        <v>49</v>
      </c>
      <c r="AG1477" s="36"/>
      <c r="AH1477" s="25">
        <v>45807</v>
      </c>
      <c r="AI1477" s="36" t="str">
        <f>IF(DadosViagem5[[#This Row],[Dias em manutenção ]]&lt;5,"Dentro do Prazo","Fora do Prazo")</f>
        <v>Fora do Prazo</v>
      </c>
      <c r="AJ1477" s="36" t="e">
        <v>#REF!</v>
      </c>
    </row>
    <row r="1478" spans="1:36">
      <c r="A1478" s="19" t="s">
        <v>2500</v>
      </c>
      <c r="B1478" s="20"/>
      <c r="C1478" s="19" t="s">
        <v>131</v>
      </c>
      <c r="D1478" s="19" t="s">
        <v>132</v>
      </c>
      <c r="E1478" s="19" t="s">
        <v>57</v>
      </c>
      <c r="F1478" s="19" t="s">
        <v>40</v>
      </c>
      <c r="G1478" s="19"/>
      <c r="H1478" s="20">
        <v>2021</v>
      </c>
      <c r="I1478" s="19" t="s">
        <v>1738</v>
      </c>
      <c r="J1478" s="19" t="s">
        <v>1565</v>
      </c>
      <c r="K1478" s="21" t="s">
        <v>2475</v>
      </c>
      <c r="L1478" s="39" t="s">
        <v>60</v>
      </c>
      <c r="M1478" s="23" t="s">
        <v>140</v>
      </c>
      <c r="N1478" s="36" t="s">
        <v>2476</v>
      </c>
      <c r="O1478" s="25" t="s">
        <v>1756</v>
      </c>
      <c r="P1478" s="26">
        <f ca="1">IFERROR(VLOOKUP(DadosViagem5[[#This Row],[Placa]],[1]BIP!A:E,5,FALSE),"")</f>
        <v>45989</v>
      </c>
      <c r="Q1478" s="27">
        <f ca="1">DATEDIF(DadosViagem5[[#This Row],[BIP]],TODAY(),"D")</f>
        <v>1</v>
      </c>
      <c r="R1478" s="28"/>
      <c r="S1478" s="29" t="s">
        <v>48</v>
      </c>
      <c r="T1478" s="23"/>
      <c r="U1478" s="30"/>
      <c r="V1478" s="31"/>
      <c r="W1478" s="32"/>
      <c r="X1478" s="33"/>
      <c r="Y1478" s="34"/>
      <c r="Z1478" s="42"/>
      <c r="AA1478" s="20" t="s">
        <v>49</v>
      </c>
      <c r="AB1478" s="20" t="s">
        <v>49</v>
      </c>
      <c r="AC1478" s="19" t="s">
        <v>49</v>
      </c>
      <c r="AD1478" s="19" t="str">
        <f ca="1">IFERROR(DATEDIF(DadosViagem5[[#This Row],[Utimo Bip Reserva]],TODAY(),"D"),"")</f>
        <v/>
      </c>
      <c r="AE1478" s="36" t="s">
        <v>49</v>
      </c>
      <c r="AF1478" s="25" t="s">
        <v>49</v>
      </c>
      <c r="AG1478" s="36" t="s">
        <v>1056</v>
      </c>
      <c r="AH1478" s="25">
        <v>45807</v>
      </c>
      <c r="AI1478" s="36" t="str">
        <f>IF(DadosViagem5[[#This Row],[Dias em manutenção ]]&lt;5,"Dentro do Prazo","Fora do Prazo")</f>
        <v>Fora do Prazo</v>
      </c>
      <c r="AJ1478" s="36" t="e">
        <v>#REF!</v>
      </c>
    </row>
    <row r="1479" spans="1:36">
      <c r="A1479" s="19" t="s">
        <v>2501</v>
      </c>
      <c r="B1479" s="20"/>
      <c r="C1479" s="19" t="s">
        <v>88</v>
      </c>
      <c r="D1479" s="19" t="s">
        <v>52</v>
      </c>
      <c r="E1479" s="19" t="s">
        <v>114</v>
      </c>
      <c r="F1479" s="19" t="s">
        <v>115</v>
      </c>
      <c r="G1479" s="19"/>
      <c r="H1479" s="20">
        <v>2021</v>
      </c>
      <c r="I1479" s="19" t="s">
        <v>1738</v>
      </c>
      <c r="J1479" s="19" t="s">
        <v>1565</v>
      </c>
      <c r="K1479" s="21" t="s">
        <v>2475</v>
      </c>
      <c r="L1479" s="39" t="s">
        <v>60</v>
      </c>
      <c r="M1479" s="23" t="s">
        <v>140</v>
      </c>
      <c r="N1479" s="36" t="s">
        <v>2476</v>
      </c>
      <c r="O1479" s="25" t="s">
        <v>1756</v>
      </c>
      <c r="P1479" s="26">
        <f ca="1">IFERROR(VLOOKUP(DadosViagem5[[#This Row],[Placa]],[1]BIP!A:E,5,FALSE),"")</f>
        <v>45988</v>
      </c>
      <c r="Q1479" s="27">
        <f ca="1">DATEDIF(DadosViagem5[[#This Row],[BIP]],TODAY(),"D")</f>
        <v>2</v>
      </c>
      <c r="R1479" s="28" t="str">
        <f>IFERROR(VLOOKUP(DadosViagem5[[#This Row],[Placa]],[1]DDS!B:C,2,FALSE),"Verificar cadastro")</f>
        <v>Manutenção</v>
      </c>
      <c r="S1479" s="29" t="s">
        <v>48</v>
      </c>
      <c r="T1479" s="23"/>
      <c r="U1479" s="30"/>
      <c r="V1479" s="31"/>
      <c r="W1479" s="32"/>
      <c r="X1479" s="33"/>
      <c r="Y1479" s="34"/>
      <c r="Z1479" s="32"/>
      <c r="AA1479" s="20" t="s">
        <v>49</v>
      </c>
      <c r="AB1479" s="20" t="s">
        <v>49</v>
      </c>
      <c r="AC1479" s="19" t="s">
        <v>49</v>
      </c>
      <c r="AD1479" s="19" t="str">
        <f ca="1">IFERROR(DATEDIF(DadosViagem5[[#This Row],[Utimo Bip Reserva]],TODAY(),"D"),"")</f>
        <v/>
      </c>
      <c r="AE1479" s="36" t="s">
        <v>1744</v>
      </c>
      <c r="AF1479" s="25" t="s">
        <v>49</v>
      </c>
      <c r="AG1479" s="36"/>
      <c r="AH1479" s="25">
        <v>45807</v>
      </c>
      <c r="AI1479" s="36" t="str">
        <f>IF(DadosViagem5[[#This Row],[Dias em manutenção ]]&lt;5,"Dentro do Prazo","Fora do Prazo")</f>
        <v>Fora do Prazo</v>
      </c>
      <c r="AJ1479" s="36" t="e">
        <v>#REF!</v>
      </c>
    </row>
    <row r="1480" spans="1:36">
      <c r="A1480" s="19" t="s">
        <v>2502</v>
      </c>
      <c r="B1480" s="20"/>
      <c r="C1480" s="19" t="s">
        <v>74</v>
      </c>
      <c r="D1480" s="19" t="s">
        <v>52</v>
      </c>
      <c r="E1480" s="19" t="s">
        <v>75</v>
      </c>
      <c r="F1480" s="19" t="s">
        <v>76</v>
      </c>
      <c r="G1480" s="19"/>
      <c r="H1480" s="20">
        <v>2024</v>
      </c>
      <c r="I1480" s="19" t="s">
        <v>1738</v>
      </c>
      <c r="J1480" s="19" t="s">
        <v>1565</v>
      </c>
      <c r="K1480" s="21" t="s">
        <v>2475</v>
      </c>
      <c r="L1480" s="21" t="s">
        <v>60</v>
      </c>
      <c r="M1480" s="23" t="s">
        <v>77</v>
      </c>
      <c r="N1480" s="36" t="s">
        <v>2476</v>
      </c>
      <c r="O1480" s="25" t="s">
        <v>1756</v>
      </c>
      <c r="P1480" s="26">
        <f ca="1">IFERROR(VLOOKUP(DadosViagem5[[#This Row],[Placa]],[1]BIP!A:E,5,FALSE),"")</f>
        <v>45989</v>
      </c>
      <c r="Q1480" s="27">
        <f ca="1">DATEDIF(DadosViagem5[[#This Row],[BIP]],TODAY(),"D")</f>
        <v>1</v>
      </c>
      <c r="R1480" s="28" t="str">
        <f>IFERROR(VLOOKUP(DadosViagem5[[#This Row],[Placa]],[1]DDS!B:C,2,FALSE),"Verificar cadastro")</f>
        <v>Operando</v>
      </c>
      <c r="S1480" s="29" t="s">
        <v>48</v>
      </c>
      <c r="T1480" s="23"/>
      <c r="U1480" s="30"/>
      <c r="V1480" s="31"/>
      <c r="W1480" s="32"/>
      <c r="X1480" s="33"/>
      <c r="Y1480" s="34"/>
      <c r="Z1480" s="93"/>
      <c r="AA1480" s="20" t="s">
        <v>49</v>
      </c>
      <c r="AB1480" s="20" t="s">
        <v>49</v>
      </c>
      <c r="AC1480" s="19" t="s">
        <v>49</v>
      </c>
      <c r="AD1480" s="19" t="str">
        <f ca="1">IFERROR(DATEDIF(DadosViagem5[[#This Row],[Utimo Bip Reserva]],TODAY(),"D"),"")</f>
        <v/>
      </c>
      <c r="AE1480" s="36" t="s">
        <v>49</v>
      </c>
      <c r="AF1480" s="25">
        <v>45699</v>
      </c>
      <c r="AG1480" s="36" t="s">
        <v>540</v>
      </c>
      <c r="AH1480" s="25">
        <v>45807</v>
      </c>
      <c r="AI1480" s="36" t="str">
        <f>IF(DadosViagem5[[#This Row],[Dias em manutenção ]]&lt;5,"Dentro do Prazo","Fora do Prazo")</f>
        <v>Fora do Prazo</v>
      </c>
      <c r="AJ1480" s="36" t="e">
        <v>#REF!</v>
      </c>
    </row>
    <row r="1481" spans="1:36">
      <c r="A1481" s="19" t="s">
        <v>2503</v>
      </c>
      <c r="B1481" s="20">
        <v>538</v>
      </c>
      <c r="C1481" s="19" t="s">
        <v>74</v>
      </c>
      <c r="D1481" s="19" t="s">
        <v>52</v>
      </c>
      <c r="E1481" s="19" t="s">
        <v>75</v>
      </c>
      <c r="F1481" s="19" t="s">
        <v>76</v>
      </c>
      <c r="G1481" s="19"/>
      <c r="H1481" s="20">
        <v>2023</v>
      </c>
      <c r="I1481" s="19" t="s">
        <v>1738</v>
      </c>
      <c r="J1481" s="19" t="s">
        <v>1565</v>
      </c>
      <c r="K1481" s="21" t="s">
        <v>2475</v>
      </c>
      <c r="L1481" s="39" t="s">
        <v>60</v>
      </c>
      <c r="M1481" s="23" t="s">
        <v>77</v>
      </c>
      <c r="N1481" s="36" t="s">
        <v>2476</v>
      </c>
      <c r="O1481" s="25" t="s">
        <v>1756</v>
      </c>
      <c r="P1481" s="26">
        <f ca="1">IFERROR(VLOOKUP(DadosViagem5[[#This Row],[Placa]],[1]BIP!A:E,5,FALSE),"")</f>
        <v>45989</v>
      </c>
      <c r="Q1481" s="27">
        <f ca="1">DATEDIF(DadosViagem5[[#This Row],[BIP]],TODAY(),"D")</f>
        <v>1</v>
      </c>
      <c r="R1481" s="28" t="str">
        <f>IFERROR(VLOOKUP(DadosViagem5[[#This Row],[Placa]],[1]DDS!B:C,2,FALSE),"Verificar cadastro")</f>
        <v>Operando</v>
      </c>
      <c r="S1481" s="29" t="s">
        <v>48</v>
      </c>
      <c r="T1481" s="23"/>
      <c r="U1481" s="30"/>
      <c r="V1481" s="31"/>
      <c r="W1481" s="32"/>
      <c r="X1481" s="33"/>
      <c r="Y1481" s="34"/>
      <c r="Z1481" s="32"/>
      <c r="AA1481" s="20" t="s">
        <v>49</v>
      </c>
      <c r="AB1481" s="20" t="s">
        <v>49</v>
      </c>
      <c r="AC1481" s="19" t="s">
        <v>49</v>
      </c>
      <c r="AD1481" s="19" t="str">
        <f ca="1">IFERROR(DATEDIF(DadosViagem5[[#This Row],[Utimo Bip Reserva]],TODAY(),"D"),"")</f>
        <v/>
      </c>
      <c r="AE1481" s="29" t="s">
        <v>49</v>
      </c>
      <c r="AF1481" s="35" t="s">
        <v>49</v>
      </c>
      <c r="AG1481" s="36"/>
      <c r="AH1481" s="25">
        <v>19</v>
      </c>
      <c r="AI1481" s="36" t="str">
        <f>IF(DadosViagem5[[#This Row],[Dias em manutenção ]]&lt;5,"Dentro do Prazo","Fora do Prazo")</f>
        <v>Fora do Prazo</v>
      </c>
      <c r="AJ1481" s="36" t="e">
        <v>#REF!</v>
      </c>
    </row>
    <row r="1482" spans="1:36">
      <c r="A1482" s="19" t="s">
        <v>2504</v>
      </c>
      <c r="B1482" s="20">
        <v>292</v>
      </c>
      <c r="C1482" s="19" t="s">
        <v>74</v>
      </c>
      <c r="D1482" s="19" t="s">
        <v>52</v>
      </c>
      <c r="E1482" s="19" t="s">
        <v>75</v>
      </c>
      <c r="F1482" s="19" t="s">
        <v>115</v>
      </c>
      <c r="G1482" s="19"/>
      <c r="H1482" s="20">
        <v>2023</v>
      </c>
      <c r="I1482" s="19" t="s">
        <v>1738</v>
      </c>
      <c r="J1482" s="19" t="s">
        <v>1565</v>
      </c>
      <c r="K1482" s="21" t="s">
        <v>2475</v>
      </c>
      <c r="L1482" s="39" t="s">
        <v>60</v>
      </c>
      <c r="M1482" s="23" t="s">
        <v>77</v>
      </c>
      <c r="N1482" s="36" t="s">
        <v>2476</v>
      </c>
      <c r="O1482" s="25" t="s">
        <v>1756</v>
      </c>
      <c r="P1482" s="26">
        <f ca="1">IFERROR(VLOOKUP(DadosViagem5[[#This Row],[Placa]],[1]BIP!A:E,5,FALSE),"")</f>
        <v>45989</v>
      </c>
      <c r="Q1482" s="27">
        <f ca="1">DATEDIF(DadosViagem5[[#This Row],[BIP]],TODAY(),"D")</f>
        <v>1</v>
      </c>
      <c r="R1482" s="28" t="str">
        <f>IFERROR(VLOOKUP(DadosViagem5[[#This Row],[Placa]],[1]DDS!B:C,2,FALSE),"Verificar cadastro")</f>
        <v>Carregado</v>
      </c>
      <c r="S1482" s="29" t="s">
        <v>48</v>
      </c>
      <c r="T1482" s="23"/>
      <c r="U1482" s="30"/>
      <c r="V1482" s="31"/>
      <c r="W1482" s="32"/>
      <c r="X1482" s="33"/>
      <c r="Y1482" s="34"/>
      <c r="Z1482" s="32"/>
      <c r="AA1482" s="20" t="s">
        <v>49</v>
      </c>
      <c r="AB1482" s="20" t="s">
        <v>49</v>
      </c>
      <c r="AC1482" s="19" t="s">
        <v>49</v>
      </c>
      <c r="AD1482" s="19" t="str">
        <f ca="1">IFERROR(DATEDIF(DadosViagem5[[#This Row],[Utimo Bip Reserva]],TODAY(),"D"),"")</f>
        <v/>
      </c>
      <c r="AE1482" s="35" t="s">
        <v>49</v>
      </c>
      <c r="AF1482" s="35" t="s">
        <v>49</v>
      </c>
      <c r="AG1482" s="36"/>
      <c r="AH1482" s="25">
        <v>45807</v>
      </c>
      <c r="AI1482" s="36" t="str">
        <f>IF(DadosViagem5[[#This Row],[Dias em manutenção ]]&lt;5,"Dentro do Prazo","Fora do Prazo")</f>
        <v>Fora do Prazo</v>
      </c>
      <c r="AJ1482" s="36" t="e">
        <v>#REF!</v>
      </c>
    </row>
    <row r="1483" spans="1:36">
      <c r="A1483" s="19" t="s">
        <v>2505</v>
      </c>
      <c r="B1483" s="20">
        <v>370</v>
      </c>
      <c r="C1483" s="19" t="s">
        <v>74</v>
      </c>
      <c r="D1483" s="19" t="s">
        <v>52</v>
      </c>
      <c r="E1483" s="19" t="s">
        <v>75</v>
      </c>
      <c r="F1483" s="19" t="s">
        <v>115</v>
      </c>
      <c r="G1483" s="19"/>
      <c r="H1483" s="20">
        <v>2023</v>
      </c>
      <c r="I1483" s="19" t="s">
        <v>1738</v>
      </c>
      <c r="J1483" s="19" t="s">
        <v>1565</v>
      </c>
      <c r="K1483" s="21" t="s">
        <v>2475</v>
      </c>
      <c r="L1483" s="39" t="s">
        <v>60</v>
      </c>
      <c r="M1483" s="23" t="s">
        <v>77</v>
      </c>
      <c r="N1483" s="36" t="s">
        <v>2476</v>
      </c>
      <c r="O1483" s="25" t="s">
        <v>1756</v>
      </c>
      <c r="P1483" s="26">
        <f ca="1">IFERROR(VLOOKUP(DadosViagem5[[#This Row],[Placa]],[1]BIP!A:E,5,FALSE),"")</f>
        <v>45989</v>
      </c>
      <c r="Q1483" s="27">
        <f ca="1">DATEDIF(DadosViagem5[[#This Row],[BIP]],TODAY(),"D")</f>
        <v>1</v>
      </c>
      <c r="R1483" s="28" t="str">
        <f>IFERROR(VLOOKUP(DadosViagem5[[#This Row],[Placa]],[1]DDS!B:C,2,FALSE),"Verificar cadastro")</f>
        <v>Operando</v>
      </c>
      <c r="S1483" s="29" t="s">
        <v>48</v>
      </c>
      <c r="T1483" s="23"/>
      <c r="U1483" s="30"/>
      <c r="V1483" s="31"/>
      <c r="W1483" s="32"/>
      <c r="X1483" s="33"/>
      <c r="Y1483" s="34"/>
      <c r="Z1483" s="32"/>
      <c r="AA1483" s="20" t="s">
        <v>49</v>
      </c>
      <c r="AB1483" s="20" t="s">
        <v>49</v>
      </c>
      <c r="AC1483" s="19" t="s">
        <v>49</v>
      </c>
      <c r="AD1483" s="19" t="str">
        <f ca="1">IFERROR(DATEDIF(DadosViagem5[[#This Row],[Utimo Bip Reserva]],TODAY(),"D"),"")</f>
        <v/>
      </c>
      <c r="AE1483" s="25" t="s">
        <v>49</v>
      </c>
      <c r="AF1483" s="25" t="s">
        <v>49</v>
      </c>
      <c r="AG1483" s="36"/>
      <c r="AH1483" s="25">
        <v>1</v>
      </c>
      <c r="AI1483" s="36" t="str">
        <f>IF(DadosViagem5[[#This Row],[Dias em manutenção ]]&lt;5,"Dentro do Prazo","Fora do Prazo")</f>
        <v>Dentro do Prazo</v>
      </c>
      <c r="AJ1483" s="36" t="e">
        <v>#REF!</v>
      </c>
    </row>
    <row r="1484" spans="1:36">
      <c r="A1484" s="19" t="s">
        <v>2506</v>
      </c>
      <c r="B1484" s="20">
        <v>303</v>
      </c>
      <c r="C1484" s="19" t="s">
        <v>74</v>
      </c>
      <c r="D1484" s="19" t="s">
        <v>52</v>
      </c>
      <c r="E1484" s="19" t="s">
        <v>75</v>
      </c>
      <c r="F1484" s="19" t="s">
        <v>115</v>
      </c>
      <c r="G1484" s="19"/>
      <c r="H1484" s="20">
        <v>2023</v>
      </c>
      <c r="I1484" s="19" t="s">
        <v>1738</v>
      </c>
      <c r="J1484" s="19" t="s">
        <v>1565</v>
      </c>
      <c r="K1484" s="21" t="s">
        <v>2475</v>
      </c>
      <c r="L1484" s="39" t="s">
        <v>60</v>
      </c>
      <c r="M1484" s="23" t="s">
        <v>77</v>
      </c>
      <c r="N1484" s="36" t="s">
        <v>2476</v>
      </c>
      <c r="O1484" s="25" t="s">
        <v>1756</v>
      </c>
      <c r="P1484" s="26">
        <f ca="1">IFERROR(VLOOKUP(DadosViagem5[[#This Row],[Placa]],[1]BIP!A:E,5,FALSE),"")</f>
        <v>45982</v>
      </c>
      <c r="Q1484" s="27">
        <f ca="1">DATEDIF(DadosViagem5[[#This Row],[BIP]],TODAY(),"D")</f>
        <v>8</v>
      </c>
      <c r="R1484" s="28" t="str">
        <f>IFERROR(VLOOKUP(DadosViagem5[[#This Row],[Placa]],[1]DDS!B:C,2,FALSE),"Verificar cadastro")</f>
        <v>Manutenção</v>
      </c>
      <c r="S1484" s="29" t="s">
        <v>48</v>
      </c>
      <c r="T1484" s="23"/>
      <c r="U1484" s="30"/>
      <c r="V1484" s="31"/>
      <c r="W1484" s="32"/>
      <c r="X1484" s="33"/>
      <c r="Y1484" s="34"/>
      <c r="Z1484" s="32"/>
      <c r="AA1484" s="20" t="s">
        <v>49</v>
      </c>
      <c r="AB1484" s="20" t="s">
        <v>49</v>
      </c>
      <c r="AC1484" s="19" t="s">
        <v>49</v>
      </c>
      <c r="AD1484" s="19" t="str">
        <f ca="1">IFERROR(DATEDIF(DadosViagem5[[#This Row],[Utimo Bip Reserva]],TODAY(),"D"),"")</f>
        <v/>
      </c>
      <c r="AE1484" s="103"/>
      <c r="AF1484" s="35"/>
      <c r="AG1484" s="36"/>
      <c r="AH1484" s="25">
        <v>9</v>
      </c>
      <c r="AI1484" s="36" t="str">
        <f>IF(DadosViagem5[[#This Row],[Dias em manutenção ]]&lt;5,"Dentro do Prazo","Fora do Prazo")</f>
        <v>Fora do Prazo</v>
      </c>
      <c r="AJ1484" s="36" t="e">
        <v>#REF!</v>
      </c>
    </row>
    <row r="1485" spans="1:36">
      <c r="A1485" s="19" t="s">
        <v>2507</v>
      </c>
      <c r="B1485" s="20">
        <v>382</v>
      </c>
      <c r="C1485" s="19" t="s">
        <v>74</v>
      </c>
      <c r="D1485" s="19" t="s">
        <v>52</v>
      </c>
      <c r="E1485" s="19" t="s">
        <v>75</v>
      </c>
      <c r="F1485" s="19" t="s">
        <v>115</v>
      </c>
      <c r="G1485" s="19"/>
      <c r="H1485" s="20">
        <v>2023</v>
      </c>
      <c r="I1485" s="19" t="s">
        <v>1738</v>
      </c>
      <c r="J1485" s="19" t="s">
        <v>1565</v>
      </c>
      <c r="K1485" s="21" t="s">
        <v>2475</v>
      </c>
      <c r="L1485" s="39" t="s">
        <v>60</v>
      </c>
      <c r="M1485" s="23" t="s">
        <v>77</v>
      </c>
      <c r="N1485" s="36" t="s">
        <v>2476</v>
      </c>
      <c r="O1485" s="25" t="s">
        <v>1756</v>
      </c>
      <c r="P1485" s="26">
        <f ca="1">IFERROR(VLOOKUP(DadosViagem5[[#This Row],[Placa]],[1]BIP!A:E,5,FALSE),"")</f>
        <v>45981</v>
      </c>
      <c r="Q1485" s="27">
        <f ca="1">DATEDIF(DadosViagem5[[#This Row],[BIP]],TODAY(),"D")</f>
        <v>9</v>
      </c>
      <c r="R1485" s="28" t="str">
        <f>IFERROR(VLOOKUP(DadosViagem5[[#This Row],[Placa]],[1]DDS!B:C,2,FALSE),"Verificar cadastro")</f>
        <v>Manutenção</v>
      </c>
      <c r="S1485" s="29" t="s">
        <v>48</v>
      </c>
      <c r="T1485" s="23"/>
      <c r="U1485" s="30"/>
      <c r="V1485" s="31"/>
      <c r="W1485" s="32"/>
      <c r="X1485" s="33"/>
      <c r="Y1485" s="34"/>
      <c r="Z1485" s="32"/>
      <c r="AA1485" s="20" t="s">
        <v>49</v>
      </c>
      <c r="AB1485" s="20" t="s">
        <v>49</v>
      </c>
      <c r="AC1485" s="19" t="s">
        <v>49</v>
      </c>
      <c r="AD1485" s="19" t="str">
        <f ca="1">IFERROR(DATEDIF(DadosViagem5[[#This Row],[Utimo Bip Reserva]],TODAY(),"D"),"")</f>
        <v/>
      </c>
      <c r="AE1485" s="25" t="s">
        <v>49</v>
      </c>
      <c r="AF1485" s="25" t="s">
        <v>49</v>
      </c>
      <c r="AG1485" s="36"/>
      <c r="AH1485" s="25">
        <v>22</v>
      </c>
      <c r="AI1485" s="36" t="str">
        <f>IF(DadosViagem5[[#This Row],[Dias em manutenção ]]&lt;5,"Dentro do Prazo","Fora do Prazo")</f>
        <v>Fora do Prazo</v>
      </c>
      <c r="AJ1485" s="36" t="e">
        <v>#REF!</v>
      </c>
    </row>
    <row r="1486" spans="1:36">
      <c r="A1486" s="19" t="s">
        <v>2508</v>
      </c>
      <c r="B1486" s="20"/>
      <c r="C1486" s="19" t="s">
        <v>74</v>
      </c>
      <c r="D1486" s="19" t="s">
        <v>52</v>
      </c>
      <c r="E1486" s="19" t="s">
        <v>75</v>
      </c>
      <c r="F1486" s="19" t="s">
        <v>76</v>
      </c>
      <c r="G1486" s="19"/>
      <c r="H1486" s="20">
        <v>2024</v>
      </c>
      <c r="I1486" s="19" t="s">
        <v>1738</v>
      </c>
      <c r="J1486" s="19" t="s">
        <v>1565</v>
      </c>
      <c r="K1486" s="21" t="s">
        <v>2475</v>
      </c>
      <c r="L1486" s="21" t="s">
        <v>60</v>
      </c>
      <c r="M1486" s="23" t="s">
        <v>77</v>
      </c>
      <c r="N1486" s="36" t="s">
        <v>2476</v>
      </c>
      <c r="O1486" s="25" t="s">
        <v>1756</v>
      </c>
      <c r="P1486" s="26">
        <f ca="1">IFERROR(VLOOKUP(DadosViagem5[[#This Row],[Placa]],[1]BIP!A:E,5,FALSE),"")</f>
        <v>45989</v>
      </c>
      <c r="Q1486" s="27">
        <f ca="1">DATEDIF(DadosViagem5[[#This Row],[BIP]],TODAY(),"D")</f>
        <v>1</v>
      </c>
      <c r="R1486" s="28" t="str">
        <f>IFERROR(VLOOKUP(DadosViagem5[[#This Row],[Placa]],[1]DDS!B:C,2,FALSE),"Verificar cadastro")</f>
        <v>Operando</v>
      </c>
      <c r="S1486" s="29" t="s">
        <v>48</v>
      </c>
      <c r="T1486" s="23"/>
      <c r="U1486" s="30"/>
      <c r="V1486" s="31"/>
      <c r="W1486" s="32"/>
      <c r="X1486" s="33"/>
      <c r="Y1486" s="34"/>
      <c r="Z1486" s="93"/>
      <c r="AA1486" s="20" t="s">
        <v>49</v>
      </c>
      <c r="AB1486" s="20" t="s">
        <v>49</v>
      </c>
      <c r="AC1486" s="20" t="s">
        <v>49</v>
      </c>
      <c r="AD1486" s="20" t="s">
        <v>49</v>
      </c>
      <c r="AE1486" s="36"/>
      <c r="AF1486" s="25"/>
      <c r="AG1486" s="36"/>
      <c r="AH1486" s="25">
        <v>45807</v>
      </c>
      <c r="AI1486" s="36" t="str">
        <f>IF(DadosViagem5[[#This Row],[Dias em manutenção ]]&lt;5,"Dentro do Prazo","Fora do Prazo")</f>
        <v>Fora do Prazo</v>
      </c>
      <c r="AJ1486" s="36" t="e">
        <v>#REF!</v>
      </c>
    </row>
    <row r="1487" spans="1:36">
      <c r="A1487" s="19" t="s">
        <v>2509</v>
      </c>
      <c r="B1487" s="20">
        <v>317</v>
      </c>
      <c r="C1487" s="19" t="s">
        <v>74</v>
      </c>
      <c r="D1487" s="19" t="s">
        <v>52</v>
      </c>
      <c r="E1487" s="19" t="s">
        <v>75</v>
      </c>
      <c r="F1487" s="19" t="s">
        <v>76</v>
      </c>
      <c r="G1487" s="19"/>
      <c r="H1487" s="20">
        <v>2023</v>
      </c>
      <c r="I1487" s="19" t="s">
        <v>1738</v>
      </c>
      <c r="J1487" s="19" t="s">
        <v>1565</v>
      </c>
      <c r="K1487" s="21" t="s">
        <v>2475</v>
      </c>
      <c r="L1487" s="22" t="s">
        <v>60</v>
      </c>
      <c r="M1487" s="23" t="s">
        <v>77</v>
      </c>
      <c r="N1487" s="36" t="s">
        <v>2476</v>
      </c>
      <c r="O1487" s="25" t="s">
        <v>1756</v>
      </c>
      <c r="P1487" s="26">
        <f ca="1">IFERROR(VLOOKUP(DadosViagem5[[#This Row],[Placa]],[1]BIP!A:E,5,FALSE),"")</f>
        <v>45966</v>
      </c>
      <c r="Q1487" s="27">
        <f ca="1">DATEDIF(DadosViagem5[[#This Row],[BIP]],TODAY(),"D")</f>
        <v>24</v>
      </c>
      <c r="R1487" s="28" t="str">
        <f>IFERROR(VLOOKUP(DadosViagem5[[#This Row],[Placa]],[1]DDS!B:C,2,FALSE),"Verificar cadastro")</f>
        <v>Manutenção</v>
      </c>
      <c r="S1487" s="29" t="s">
        <v>48</v>
      </c>
      <c r="T1487" s="23"/>
      <c r="U1487" s="30"/>
      <c r="V1487" s="31"/>
      <c r="W1487" s="32" t="s">
        <v>2510</v>
      </c>
      <c r="X1487" s="33"/>
      <c r="Y1487" s="34"/>
      <c r="Z1487" s="32"/>
      <c r="AA1487" s="20" t="s">
        <v>49</v>
      </c>
      <c r="AB1487" s="20" t="s">
        <v>49</v>
      </c>
      <c r="AC1487" s="19" t="s">
        <v>49</v>
      </c>
      <c r="AD1487" s="19" t="str">
        <f ca="1">IFERROR(DATEDIF(DadosViagem5[[#This Row],[Utimo Bip Reserva]],TODAY(),"D"),"")</f>
        <v/>
      </c>
      <c r="AE1487" s="29"/>
      <c r="AF1487" s="25" t="s">
        <v>49</v>
      </c>
      <c r="AG1487" s="36"/>
      <c r="AH1487" s="25">
        <v>45807</v>
      </c>
      <c r="AI1487" s="36" t="str">
        <f>IF(DadosViagem5[[#This Row],[Dias em manutenção ]]&lt;5,"Dentro do Prazo","Fora do Prazo")</f>
        <v>Fora do Prazo</v>
      </c>
      <c r="AJ1487" s="36" t="e">
        <v>#REF!</v>
      </c>
    </row>
    <row r="1488" spans="1:36">
      <c r="A1488" s="19" t="s">
        <v>2511</v>
      </c>
      <c r="B1488" s="20">
        <v>299</v>
      </c>
      <c r="C1488" s="19" t="s">
        <v>74</v>
      </c>
      <c r="D1488" s="19" t="s">
        <v>52</v>
      </c>
      <c r="E1488" s="19" t="s">
        <v>75</v>
      </c>
      <c r="F1488" s="19" t="s">
        <v>115</v>
      </c>
      <c r="G1488" s="19"/>
      <c r="H1488" s="20">
        <v>2023</v>
      </c>
      <c r="I1488" s="19" t="s">
        <v>1738</v>
      </c>
      <c r="J1488" s="19" t="s">
        <v>1565</v>
      </c>
      <c r="K1488" s="21" t="s">
        <v>2475</v>
      </c>
      <c r="L1488" s="22" t="s">
        <v>60</v>
      </c>
      <c r="M1488" s="23" t="s">
        <v>77</v>
      </c>
      <c r="N1488" s="36" t="s">
        <v>2476</v>
      </c>
      <c r="O1488" s="25" t="s">
        <v>1756</v>
      </c>
      <c r="P1488" s="26">
        <f ca="1">IFERROR(VLOOKUP(DadosViagem5[[#This Row],[Placa]],[1]BIP!A:E,5,FALSE),"")</f>
        <v>0</v>
      </c>
      <c r="Q1488" s="27">
        <f ca="1">DATEDIF(DadosViagem5[[#This Row],[BIP]],TODAY(),"D")</f>
        <v>45990</v>
      </c>
      <c r="R1488" s="28" t="str">
        <f>IFERROR(VLOOKUP(DadosViagem5[[#This Row],[Placa]],[1]DDS!B:C,2,FALSE),"Verificar cadastro")</f>
        <v>Sem operação</v>
      </c>
      <c r="S1488" s="29" t="s">
        <v>48</v>
      </c>
      <c r="T1488" s="23"/>
      <c r="U1488" s="30"/>
      <c r="V1488" s="31"/>
      <c r="W1488" s="32"/>
      <c r="X1488" s="33"/>
      <c r="Y1488" s="34"/>
      <c r="Z1488" s="32"/>
      <c r="AA1488" s="20" t="s">
        <v>49</v>
      </c>
      <c r="AB1488" s="20" t="s">
        <v>49</v>
      </c>
      <c r="AC1488" s="19" t="s">
        <v>49</v>
      </c>
      <c r="AD1488" s="19" t="str">
        <f ca="1">IFERROR(DATEDIF(DadosViagem5[[#This Row],[Utimo Bip Reserva]],TODAY(),"D"),"")</f>
        <v/>
      </c>
      <c r="AE1488" s="36"/>
      <c r="AF1488" s="25"/>
      <c r="AG1488" s="36"/>
      <c r="AH1488" s="25">
        <v>45807</v>
      </c>
      <c r="AI1488" s="36" t="str">
        <f>IF(DadosViagem5[[#This Row],[Dias em manutenção ]]&lt;5,"Dentro do Prazo","Fora do Prazo")</f>
        <v>Fora do Prazo</v>
      </c>
      <c r="AJ1488" s="36" t="e">
        <v>#REF!</v>
      </c>
    </row>
    <row r="1489" spans="1:36">
      <c r="A1489" s="19" t="s">
        <v>2512</v>
      </c>
      <c r="B1489" s="20"/>
      <c r="C1489" s="19" t="s">
        <v>131</v>
      </c>
      <c r="D1489" s="19" t="s">
        <v>132</v>
      </c>
      <c r="E1489" s="19" t="s">
        <v>114</v>
      </c>
      <c r="F1489" s="19" t="s">
        <v>115</v>
      </c>
      <c r="G1489" s="19"/>
      <c r="H1489" s="20">
        <v>2022</v>
      </c>
      <c r="I1489" s="19" t="s">
        <v>1738</v>
      </c>
      <c r="J1489" s="19" t="s">
        <v>1565</v>
      </c>
      <c r="K1489" s="21" t="s">
        <v>2475</v>
      </c>
      <c r="L1489" s="39" t="s">
        <v>60</v>
      </c>
      <c r="M1489" s="23" t="s">
        <v>140</v>
      </c>
      <c r="N1489" s="36" t="s">
        <v>2476</v>
      </c>
      <c r="O1489" s="25" t="s">
        <v>1756</v>
      </c>
      <c r="P1489" s="26">
        <f ca="1">IFERROR(VLOOKUP(DadosViagem5[[#This Row],[Placa]],[1]BIP!A:E,5,FALSE),"")</f>
        <v>45964</v>
      </c>
      <c r="Q1489" s="27">
        <f ca="1">DATEDIF(DadosViagem5[[#This Row],[BIP]],TODAY(),"D")</f>
        <v>26</v>
      </c>
      <c r="R1489" s="28" t="str">
        <f>IFERROR(VLOOKUP(DadosViagem5[[#This Row],[Placa]],[1]DDS!B:C,2,FALSE),"Verificar cadastro")</f>
        <v>Manutenção</v>
      </c>
      <c r="S1489" s="29" t="s">
        <v>48</v>
      </c>
      <c r="T1489" s="23"/>
      <c r="U1489" s="30"/>
      <c r="V1489" s="31"/>
      <c r="W1489" s="32"/>
      <c r="X1489" s="33"/>
      <c r="Y1489" s="34"/>
      <c r="Z1489" s="32"/>
      <c r="AA1489" s="20" t="s">
        <v>49</v>
      </c>
      <c r="AB1489" s="20" t="s">
        <v>49</v>
      </c>
      <c r="AC1489" s="19" t="s">
        <v>49</v>
      </c>
      <c r="AD1489" s="19" t="str">
        <f ca="1">IFERROR(DATEDIF(DadosViagem5[[#This Row],[Utimo Bip Reserva]],TODAY(),"D"),"")</f>
        <v/>
      </c>
      <c r="AE1489" s="36" t="s">
        <v>1744</v>
      </c>
      <c r="AF1489" s="25" t="s">
        <v>49</v>
      </c>
      <c r="AG1489" s="36"/>
      <c r="AH1489" s="25">
        <v>45807</v>
      </c>
      <c r="AI1489" s="36" t="str">
        <f>IF(DadosViagem5[[#This Row],[Dias em manutenção ]]&lt;5,"Dentro do Prazo","Fora do Prazo")</f>
        <v>Fora do Prazo</v>
      </c>
      <c r="AJ1489" s="36" t="e">
        <v>#REF!</v>
      </c>
    </row>
    <row r="1490" spans="1:36">
      <c r="A1490" s="19" t="s">
        <v>2513</v>
      </c>
      <c r="B1490" s="20">
        <v>408</v>
      </c>
      <c r="C1490" s="19" t="s">
        <v>74</v>
      </c>
      <c r="D1490" s="19" t="s">
        <v>52</v>
      </c>
      <c r="E1490" s="19" t="s">
        <v>75</v>
      </c>
      <c r="F1490" s="19" t="s">
        <v>115</v>
      </c>
      <c r="G1490" s="19"/>
      <c r="H1490" s="20">
        <v>2023</v>
      </c>
      <c r="I1490" s="19" t="s">
        <v>1738</v>
      </c>
      <c r="J1490" s="19" t="s">
        <v>1565</v>
      </c>
      <c r="K1490" s="21" t="s">
        <v>2475</v>
      </c>
      <c r="L1490" s="22" t="s">
        <v>60</v>
      </c>
      <c r="M1490" s="23" t="s">
        <v>77</v>
      </c>
      <c r="N1490" s="36" t="s">
        <v>2476</v>
      </c>
      <c r="O1490" s="25" t="s">
        <v>1756</v>
      </c>
      <c r="P1490" s="26">
        <f ca="1">IFERROR(VLOOKUP(DadosViagem5[[#This Row],[Placa]],[1]BIP!A:E,5,FALSE),"")</f>
        <v>45989</v>
      </c>
      <c r="Q1490" s="27">
        <f ca="1">DATEDIF(DadosViagem5[[#This Row],[BIP]],TODAY(),"D")</f>
        <v>1</v>
      </c>
      <c r="R1490" s="28" t="str">
        <f>IFERROR(VLOOKUP(DadosViagem5[[#This Row],[Placa]],[1]DDS!B:C,2,FALSE),"Verificar cadastro")</f>
        <v>Operando</v>
      </c>
      <c r="S1490" s="29" t="s">
        <v>48</v>
      </c>
      <c r="T1490" s="23"/>
      <c r="U1490" s="30"/>
      <c r="V1490" s="31"/>
      <c r="W1490" s="32"/>
      <c r="X1490" s="33"/>
      <c r="Y1490" s="34"/>
      <c r="Z1490" s="32"/>
      <c r="AA1490" s="20" t="s">
        <v>49</v>
      </c>
      <c r="AB1490" s="20" t="s">
        <v>49</v>
      </c>
      <c r="AC1490" s="19" t="s">
        <v>49</v>
      </c>
      <c r="AD1490" s="19" t="str">
        <f ca="1">IFERROR(DATEDIF(DadosViagem5[[#This Row],[Utimo Bip Reserva]],TODAY(),"D"),"")</f>
        <v/>
      </c>
      <c r="AE1490" s="25" t="s">
        <v>49</v>
      </c>
      <c r="AF1490" s="25" t="s">
        <v>49</v>
      </c>
      <c r="AG1490" s="36"/>
      <c r="AH1490" s="25">
        <v>19</v>
      </c>
      <c r="AI1490" s="36" t="str">
        <f>IF(DadosViagem5[[#This Row],[Dias em manutenção ]]&lt;5,"Dentro do Prazo","Fora do Prazo")</f>
        <v>Fora do Prazo</v>
      </c>
      <c r="AJ1490" s="36" t="e">
        <v>#REF!</v>
      </c>
    </row>
    <row r="1491" spans="1:36">
      <c r="A1491" s="19" t="s">
        <v>2514</v>
      </c>
      <c r="B1491" s="20"/>
      <c r="C1491" s="19" t="s">
        <v>131</v>
      </c>
      <c r="D1491" s="19" t="s">
        <v>132</v>
      </c>
      <c r="E1491" s="19" t="s">
        <v>57</v>
      </c>
      <c r="F1491" s="19" t="s">
        <v>40</v>
      </c>
      <c r="G1491" s="19"/>
      <c r="H1491" s="20">
        <v>2021</v>
      </c>
      <c r="I1491" s="19" t="s">
        <v>1738</v>
      </c>
      <c r="J1491" s="19" t="s">
        <v>1565</v>
      </c>
      <c r="K1491" s="21" t="s">
        <v>2475</v>
      </c>
      <c r="L1491" s="39" t="s">
        <v>60</v>
      </c>
      <c r="M1491" s="23" t="s">
        <v>140</v>
      </c>
      <c r="N1491" s="36" t="s">
        <v>2476</v>
      </c>
      <c r="O1491" s="25" t="s">
        <v>1756</v>
      </c>
      <c r="P1491" s="26">
        <f ca="1">IFERROR(VLOOKUP(DadosViagem5[[#This Row],[Placa]],[1]BIP!A:E,5,FALSE),"")</f>
        <v>0</v>
      </c>
      <c r="Q1491" s="27">
        <f ca="1">DATEDIF(DadosViagem5[[#This Row],[BIP]],TODAY(),"D")</f>
        <v>45990</v>
      </c>
      <c r="R1491" s="28" t="str">
        <f>IFERROR(VLOOKUP(DadosViagem5[[#This Row],[Placa]],[1]DDS!B:C,2,FALSE),"Verificar cadastro")</f>
        <v>Manutenção</v>
      </c>
      <c r="S1491" s="29" t="s">
        <v>48</v>
      </c>
      <c r="T1491" s="23"/>
      <c r="U1491" s="30"/>
      <c r="V1491" s="31"/>
      <c r="W1491" s="32" t="s">
        <v>2515</v>
      </c>
      <c r="X1491" s="33"/>
      <c r="Y1491" s="34"/>
      <c r="Z1491" s="32"/>
      <c r="AA1491" s="20" t="s">
        <v>49</v>
      </c>
      <c r="AB1491" s="20" t="s">
        <v>49</v>
      </c>
      <c r="AC1491" s="19" t="s">
        <v>49</v>
      </c>
      <c r="AD1491" s="19" t="str">
        <f ca="1">IFERROR(DATEDIF(DadosViagem5[[#This Row],[Utimo Bip Reserva]],TODAY(),"D"),"")</f>
        <v/>
      </c>
      <c r="AE1491" s="36" t="s">
        <v>49</v>
      </c>
      <c r="AF1491" s="25" t="s">
        <v>49</v>
      </c>
      <c r="AG1491" s="36"/>
      <c r="AH1491" s="25">
        <v>11</v>
      </c>
      <c r="AI1491" s="36" t="str">
        <f>IF(DadosViagem5[[#This Row],[Dias em manutenção ]]&lt;5,"Dentro do Prazo","Fora do Prazo")</f>
        <v>Fora do Prazo</v>
      </c>
      <c r="AJ1491" s="36" t="e">
        <v>#REF!</v>
      </c>
    </row>
    <row r="1492" spans="1:36">
      <c r="A1492" s="19" t="s">
        <v>2516</v>
      </c>
      <c r="B1492" s="20">
        <v>719</v>
      </c>
      <c r="C1492" s="19" t="s">
        <v>74</v>
      </c>
      <c r="D1492" s="19" t="s">
        <v>52</v>
      </c>
      <c r="E1492" s="19" t="s">
        <v>75</v>
      </c>
      <c r="F1492" s="19" t="s">
        <v>115</v>
      </c>
      <c r="G1492" s="19"/>
      <c r="H1492" s="20">
        <v>2024</v>
      </c>
      <c r="I1492" s="19" t="s">
        <v>1738</v>
      </c>
      <c r="J1492" s="19" t="s">
        <v>1565</v>
      </c>
      <c r="K1492" s="21" t="s">
        <v>2475</v>
      </c>
      <c r="L1492" s="22" t="s">
        <v>60</v>
      </c>
      <c r="M1492" s="23" t="s">
        <v>77</v>
      </c>
      <c r="N1492" s="36" t="s">
        <v>2476</v>
      </c>
      <c r="O1492" s="25" t="s">
        <v>1756</v>
      </c>
      <c r="P1492" s="26">
        <f ca="1">IFERROR(VLOOKUP(DadosViagem5[[#This Row],[Placa]],[1]BIP!A:E,5,FALSE),"")</f>
        <v>45989</v>
      </c>
      <c r="Q1492" s="27">
        <f ca="1">DATEDIF(DadosViagem5[[#This Row],[BIP]],TODAY(),"D")</f>
        <v>1</v>
      </c>
      <c r="R1492" s="28" t="str">
        <f>IFERROR(VLOOKUP(DadosViagem5[[#This Row],[Placa]],[1]DDS!B:C,2,FALSE),"Verificar cadastro")</f>
        <v>Operando</v>
      </c>
      <c r="S1492" s="29" t="s">
        <v>48</v>
      </c>
      <c r="T1492" s="23"/>
      <c r="U1492" s="30"/>
      <c r="V1492" s="31"/>
      <c r="W1492" s="32"/>
      <c r="X1492" s="33"/>
      <c r="Y1492" s="34"/>
      <c r="Z1492" s="32"/>
      <c r="AA1492" s="20" t="s">
        <v>49</v>
      </c>
      <c r="AB1492" s="20" t="s">
        <v>49</v>
      </c>
      <c r="AC1492" s="19" t="s">
        <v>49</v>
      </c>
      <c r="AD1492" s="19" t="str">
        <f ca="1">IFERROR(DATEDIF(DadosViagem5[[#This Row],[Utimo Bip Reserva]],TODAY(),"D"),"")</f>
        <v/>
      </c>
      <c r="AE1492" s="36"/>
      <c r="AF1492" s="25"/>
      <c r="AG1492" s="36"/>
      <c r="AH1492" s="25">
        <v>10</v>
      </c>
      <c r="AI1492" s="36" t="str">
        <f>IF(DadosViagem5[[#This Row],[Dias em manutenção ]]&lt;5,"Dentro do Prazo","Fora do Prazo")</f>
        <v>Fora do Prazo</v>
      </c>
      <c r="AJ1492" s="36" t="e">
        <v>#REF!</v>
      </c>
    </row>
    <row r="1493" spans="1:36">
      <c r="A1493" s="19" t="s">
        <v>2517</v>
      </c>
      <c r="B1493" s="20">
        <v>342</v>
      </c>
      <c r="C1493" s="19" t="s">
        <v>74</v>
      </c>
      <c r="D1493" s="19" t="s">
        <v>52</v>
      </c>
      <c r="E1493" s="19" t="s">
        <v>75</v>
      </c>
      <c r="F1493" s="19" t="s">
        <v>115</v>
      </c>
      <c r="G1493" s="19"/>
      <c r="H1493" s="20">
        <v>2023</v>
      </c>
      <c r="I1493" s="19" t="s">
        <v>1738</v>
      </c>
      <c r="J1493" s="19" t="s">
        <v>1565</v>
      </c>
      <c r="K1493" s="21" t="s">
        <v>2475</v>
      </c>
      <c r="L1493" s="22" t="s">
        <v>60</v>
      </c>
      <c r="M1493" s="23" t="s">
        <v>77</v>
      </c>
      <c r="N1493" s="36" t="s">
        <v>2476</v>
      </c>
      <c r="O1493" s="25" t="s">
        <v>1756</v>
      </c>
      <c r="P1493" s="26">
        <f ca="1">IFERROR(VLOOKUP(DadosViagem5[[#This Row],[Placa]],[1]BIP!A:E,5,FALSE),"")</f>
        <v>45986</v>
      </c>
      <c r="Q1493" s="27">
        <f ca="1">DATEDIF(DadosViagem5[[#This Row],[BIP]],TODAY(),"D")</f>
        <v>4</v>
      </c>
      <c r="R1493" s="28" t="str">
        <f>IFERROR(VLOOKUP(DadosViagem5[[#This Row],[Placa]],[1]DDS!B:C,2,FALSE),"Verificar cadastro")</f>
        <v>Manutenção</v>
      </c>
      <c r="S1493" s="29" t="s">
        <v>48</v>
      </c>
      <c r="T1493" s="23"/>
      <c r="U1493" s="30"/>
      <c r="V1493" s="31"/>
      <c r="W1493" s="32"/>
      <c r="X1493" s="33"/>
      <c r="Y1493" s="34"/>
      <c r="Z1493" s="42"/>
      <c r="AA1493" s="20" t="s">
        <v>49</v>
      </c>
      <c r="AB1493" s="20" t="s">
        <v>49</v>
      </c>
      <c r="AC1493" s="19" t="s">
        <v>49</v>
      </c>
      <c r="AD1493" s="19" t="str">
        <f ca="1">IFERROR(DATEDIF(DadosViagem5[[#This Row],[Utimo Bip Reserva]],TODAY(),"D"),"")</f>
        <v/>
      </c>
      <c r="AE1493" s="25" t="s">
        <v>49</v>
      </c>
      <c r="AF1493" s="25" t="s">
        <v>49</v>
      </c>
      <c r="AG1493" s="36"/>
      <c r="AH1493" s="25">
        <v>8</v>
      </c>
      <c r="AI1493" s="36" t="str">
        <f>IF(DadosViagem5[[#This Row],[Dias em manutenção ]]&lt;5,"Dentro do Prazo","Fora do Prazo")</f>
        <v>Fora do Prazo</v>
      </c>
      <c r="AJ1493" s="36" t="e">
        <v>#REF!</v>
      </c>
    </row>
    <row r="1494" spans="1:36">
      <c r="A1494" s="19" t="s">
        <v>2518</v>
      </c>
      <c r="B1494" s="20">
        <v>377</v>
      </c>
      <c r="C1494" s="19" t="s">
        <v>74</v>
      </c>
      <c r="D1494" s="19" t="s">
        <v>52</v>
      </c>
      <c r="E1494" s="19" t="s">
        <v>75</v>
      </c>
      <c r="F1494" s="19" t="s">
        <v>115</v>
      </c>
      <c r="G1494" s="19"/>
      <c r="H1494" s="20">
        <v>2023</v>
      </c>
      <c r="I1494" s="19" t="s">
        <v>1738</v>
      </c>
      <c r="J1494" s="19" t="s">
        <v>1565</v>
      </c>
      <c r="K1494" s="21" t="s">
        <v>2475</v>
      </c>
      <c r="L1494" s="22" t="s">
        <v>60</v>
      </c>
      <c r="M1494" s="23" t="s">
        <v>77</v>
      </c>
      <c r="N1494" s="36" t="s">
        <v>2476</v>
      </c>
      <c r="O1494" s="25" t="s">
        <v>1756</v>
      </c>
      <c r="P1494" s="26">
        <f ca="1">IFERROR(VLOOKUP(DadosViagem5[[#This Row],[Placa]],[1]BIP!A:E,5,FALSE),"")</f>
        <v>45989</v>
      </c>
      <c r="Q1494" s="27">
        <f ca="1">DATEDIF(DadosViagem5[[#This Row],[BIP]],TODAY(),"D")</f>
        <v>1</v>
      </c>
      <c r="R1494" s="28" t="str">
        <f>IFERROR(VLOOKUP(DadosViagem5[[#This Row],[Placa]],[1]DDS!B:C,2,FALSE),"Verificar cadastro")</f>
        <v>Operando</v>
      </c>
      <c r="S1494" s="29" t="s">
        <v>48</v>
      </c>
      <c r="T1494" s="23"/>
      <c r="U1494" s="30"/>
      <c r="V1494" s="31"/>
      <c r="W1494" s="32"/>
      <c r="X1494" s="33"/>
      <c r="Y1494" s="34"/>
      <c r="Z1494" s="32"/>
      <c r="AA1494" s="20" t="s">
        <v>49</v>
      </c>
      <c r="AB1494" s="20" t="s">
        <v>49</v>
      </c>
      <c r="AC1494" s="19" t="s">
        <v>49</v>
      </c>
      <c r="AD1494" s="19" t="str">
        <f ca="1">IFERROR(DATEDIF(DadosViagem5[[#This Row],[Utimo Bip Reserva]],TODAY(),"D"),"")</f>
        <v/>
      </c>
      <c r="AE1494" s="25" t="s">
        <v>49</v>
      </c>
      <c r="AF1494" s="25" t="s">
        <v>49</v>
      </c>
      <c r="AG1494" s="36"/>
      <c r="AH1494" s="25">
        <v>8</v>
      </c>
      <c r="AI1494" s="36" t="str">
        <f>IF(DadosViagem5[[#This Row],[Dias em manutenção ]]&lt;5,"Dentro do Prazo","Fora do Prazo")</f>
        <v>Fora do Prazo</v>
      </c>
      <c r="AJ1494" s="36" t="e">
        <v>#REF!</v>
      </c>
    </row>
    <row r="1495" spans="1:36">
      <c r="A1495" s="19" t="s">
        <v>2519</v>
      </c>
      <c r="B1495" s="20">
        <v>338</v>
      </c>
      <c r="C1495" s="19" t="s">
        <v>74</v>
      </c>
      <c r="D1495" s="19" t="s">
        <v>52</v>
      </c>
      <c r="E1495" s="19" t="s">
        <v>75</v>
      </c>
      <c r="F1495" s="19" t="s">
        <v>115</v>
      </c>
      <c r="G1495" s="19"/>
      <c r="H1495" s="20">
        <v>2023</v>
      </c>
      <c r="I1495" s="143" t="s">
        <v>1738</v>
      </c>
      <c r="J1495" s="143" t="s">
        <v>1565</v>
      </c>
      <c r="K1495" s="21" t="s">
        <v>2475</v>
      </c>
      <c r="L1495" s="39" t="s">
        <v>60</v>
      </c>
      <c r="M1495" s="23" t="s">
        <v>77</v>
      </c>
      <c r="N1495" s="36" t="s">
        <v>2476</v>
      </c>
      <c r="O1495" s="25" t="s">
        <v>1756</v>
      </c>
      <c r="P1495" s="26">
        <f ca="1">IFERROR(VLOOKUP(DadosViagem5[[#This Row],[Placa]],[1]BIP!A:E,5,FALSE),"")</f>
        <v>45978</v>
      </c>
      <c r="Q1495" s="27">
        <f ca="1">DATEDIF(DadosViagem5[[#This Row],[BIP]],TODAY(),"D")</f>
        <v>12</v>
      </c>
      <c r="R1495" s="28" t="str">
        <f>IFERROR(VLOOKUP(DadosViagem5[[#This Row],[Placa]],[1]DDS!B:C,2,FALSE),"Verificar cadastro")</f>
        <v>Manutenção</v>
      </c>
      <c r="S1495" s="29" t="s">
        <v>48</v>
      </c>
      <c r="T1495" s="23"/>
      <c r="U1495" s="30"/>
      <c r="V1495" s="31"/>
      <c r="W1495" s="32"/>
      <c r="X1495" s="33"/>
      <c r="Y1495" s="34"/>
      <c r="Z1495" s="32"/>
      <c r="AA1495" s="20" t="s">
        <v>49</v>
      </c>
      <c r="AB1495" s="20" t="s">
        <v>49</v>
      </c>
      <c r="AC1495" s="19" t="s">
        <v>49</v>
      </c>
      <c r="AD1495" s="19" t="str">
        <f ca="1">IFERROR(DATEDIF(DadosViagem5[[#This Row],[Utimo Bip Reserva]],TODAY(),"D"),"")</f>
        <v/>
      </c>
      <c r="AE1495" s="29"/>
      <c r="AF1495" s="35" t="s">
        <v>49</v>
      </c>
      <c r="AG1495" s="36"/>
      <c r="AH1495" s="25">
        <v>3</v>
      </c>
      <c r="AI1495" s="36" t="str">
        <f>IF(DadosViagem5[[#This Row],[Dias em manutenção ]]&lt;5,"Dentro do Prazo","Fora do Prazo")</f>
        <v>Dentro do Prazo</v>
      </c>
      <c r="AJ1495" s="36" t="e">
        <v>#REF!</v>
      </c>
    </row>
    <row r="1496" spans="1:36">
      <c r="A1496" s="19" t="s">
        <v>2520</v>
      </c>
      <c r="B1496" s="20">
        <v>340</v>
      </c>
      <c r="C1496" s="19" t="s">
        <v>74</v>
      </c>
      <c r="D1496" s="19" t="s">
        <v>52</v>
      </c>
      <c r="E1496" s="19" t="s">
        <v>75</v>
      </c>
      <c r="F1496" s="19" t="s">
        <v>115</v>
      </c>
      <c r="G1496" s="19"/>
      <c r="H1496" s="20">
        <v>2023</v>
      </c>
      <c r="I1496" s="19" t="s">
        <v>1738</v>
      </c>
      <c r="J1496" s="19" t="s">
        <v>1565</v>
      </c>
      <c r="K1496" s="21" t="s">
        <v>2475</v>
      </c>
      <c r="L1496" s="22" t="s">
        <v>60</v>
      </c>
      <c r="M1496" s="23" t="s">
        <v>77</v>
      </c>
      <c r="N1496" s="36" t="s">
        <v>2476</v>
      </c>
      <c r="O1496" s="25" t="s">
        <v>1756</v>
      </c>
      <c r="P1496" s="26">
        <f ca="1">IFERROR(VLOOKUP(DadosViagem5[[#This Row],[Placa]],[1]BIP!A:E,5,FALSE),"")</f>
        <v>45989</v>
      </c>
      <c r="Q1496" s="27">
        <f ca="1">DATEDIF(DadosViagem5[[#This Row],[BIP]],TODAY(),"D")</f>
        <v>1</v>
      </c>
      <c r="R1496" s="28" t="str">
        <f>IFERROR(VLOOKUP(DadosViagem5[[#This Row],[Placa]],[1]DDS!B:C,2,FALSE),"Verificar cadastro")</f>
        <v>Operando</v>
      </c>
      <c r="S1496" s="29" t="s">
        <v>48</v>
      </c>
      <c r="T1496" s="23"/>
      <c r="U1496" s="30"/>
      <c r="V1496" s="31"/>
      <c r="W1496" s="32"/>
      <c r="X1496" s="33"/>
      <c r="Y1496" s="34"/>
      <c r="Z1496" s="32"/>
      <c r="AA1496" s="20" t="s">
        <v>49</v>
      </c>
      <c r="AB1496" s="20" t="s">
        <v>49</v>
      </c>
      <c r="AC1496" s="19" t="s">
        <v>49</v>
      </c>
      <c r="AD1496" s="19" t="str">
        <f ca="1">IFERROR(DATEDIF(DadosViagem5[[#This Row],[Utimo Bip Reserva]],TODAY(),"D"),"")</f>
        <v/>
      </c>
      <c r="AE1496" s="25" t="s">
        <v>49</v>
      </c>
      <c r="AF1496" s="25" t="s">
        <v>49</v>
      </c>
      <c r="AG1496" s="36" t="s">
        <v>997</v>
      </c>
      <c r="AH1496" s="25">
        <v>19</v>
      </c>
      <c r="AI1496" s="36" t="str">
        <f>IF(DadosViagem5[[#This Row],[Dias em manutenção ]]&lt;5,"Dentro do Prazo","Fora do Prazo")</f>
        <v>Fora do Prazo</v>
      </c>
      <c r="AJ1496" s="36" t="e">
        <v>#REF!</v>
      </c>
    </row>
    <row r="1497" spans="1:36">
      <c r="A1497" s="19" t="s">
        <v>2521</v>
      </c>
      <c r="B1497" s="20">
        <v>395</v>
      </c>
      <c r="C1497" s="19" t="s">
        <v>74</v>
      </c>
      <c r="D1497" s="19" t="s">
        <v>52</v>
      </c>
      <c r="E1497" s="19" t="s">
        <v>75</v>
      </c>
      <c r="F1497" s="19" t="s">
        <v>115</v>
      </c>
      <c r="G1497" s="19"/>
      <c r="H1497" s="20">
        <v>2023</v>
      </c>
      <c r="I1497" s="19" t="s">
        <v>1738</v>
      </c>
      <c r="J1497" s="19" t="s">
        <v>1565</v>
      </c>
      <c r="K1497" s="21" t="s">
        <v>2475</v>
      </c>
      <c r="L1497" s="22" t="s">
        <v>60</v>
      </c>
      <c r="M1497" s="23" t="s">
        <v>77</v>
      </c>
      <c r="N1497" s="36" t="s">
        <v>2476</v>
      </c>
      <c r="O1497" s="25" t="s">
        <v>1756</v>
      </c>
      <c r="P1497" s="26">
        <f ca="1">IFERROR(VLOOKUP(DadosViagem5[[#This Row],[Placa]],[1]BIP!A:E,5,FALSE),"")</f>
        <v>45989</v>
      </c>
      <c r="Q1497" s="27">
        <f ca="1">DATEDIF(DadosViagem5[[#This Row],[BIP]],TODAY(),"D")</f>
        <v>1</v>
      </c>
      <c r="R1497" s="28" t="str">
        <f>IFERROR(VLOOKUP(DadosViagem5[[#This Row],[Placa]],[1]DDS!B:C,2,FALSE),"Verificar cadastro")</f>
        <v>Operando</v>
      </c>
      <c r="S1497" s="29" t="s">
        <v>48</v>
      </c>
      <c r="T1497" s="23"/>
      <c r="U1497" s="30"/>
      <c r="V1497" s="31"/>
      <c r="W1497" s="32" t="s">
        <v>2129</v>
      </c>
      <c r="X1497" s="33"/>
      <c r="Y1497" s="34"/>
      <c r="Z1497" s="42"/>
      <c r="AA1497" s="20" t="s">
        <v>49</v>
      </c>
      <c r="AB1497" s="20" t="s">
        <v>49</v>
      </c>
      <c r="AC1497" s="19" t="s">
        <v>49</v>
      </c>
      <c r="AD1497" s="19" t="str">
        <f ca="1">IFERROR(DATEDIF(DadosViagem5[[#This Row],[Utimo Bip Reserva]],TODAY(),"D"),"")</f>
        <v/>
      </c>
      <c r="AE1497" s="29"/>
      <c r="AF1497" s="35"/>
      <c r="AG1497" s="36"/>
      <c r="AH1497" s="25">
        <v>45807</v>
      </c>
      <c r="AI1497" s="36" t="str">
        <f>IF(DadosViagem5[[#This Row],[Dias em manutenção ]]&lt;5,"Dentro do Prazo","Fora do Prazo")</f>
        <v>Fora do Prazo</v>
      </c>
      <c r="AJ1497" s="36" t="e">
        <v>#REF!</v>
      </c>
    </row>
    <row r="1498" spans="1:36">
      <c r="A1498" s="19" t="s">
        <v>2522</v>
      </c>
      <c r="B1498" s="20"/>
      <c r="C1498" s="19" t="s">
        <v>74</v>
      </c>
      <c r="D1498" s="19" t="s">
        <v>52</v>
      </c>
      <c r="E1498" s="19" t="s">
        <v>75</v>
      </c>
      <c r="F1498" s="19" t="s">
        <v>115</v>
      </c>
      <c r="G1498" s="19"/>
      <c r="H1498" s="20">
        <v>2024</v>
      </c>
      <c r="I1498" s="19" t="s">
        <v>1738</v>
      </c>
      <c r="J1498" s="19" t="s">
        <v>1565</v>
      </c>
      <c r="K1498" s="21" t="s">
        <v>2475</v>
      </c>
      <c r="L1498" s="22" t="s">
        <v>60</v>
      </c>
      <c r="M1498" s="23" t="s">
        <v>77</v>
      </c>
      <c r="N1498" s="36" t="s">
        <v>2476</v>
      </c>
      <c r="O1498" s="25" t="s">
        <v>1756</v>
      </c>
      <c r="P1498" s="26">
        <f ca="1">IFERROR(VLOOKUP(DadosViagem5[[#This Row],[Placa]],[1]BIP!A:E,5,FALSE),"")</f>
        <v>45989</v>
      </c>
      <c r="Q1498" s="27">
        <f ca="1">DATEDIF(DadosViagem5[[#This Row],[BIP]],TODAY(),"D")</f>
        <v>1</v>
      </c>
      <c r="R1498" s="28"/>
      <c r="S1498" s="29" t="s">
        <v>48</v>
      </c>
      <c r="T1498" s="23"/>
      <c r="U1498" s="30"/>
      <c r="V1498" s="31"/>
      <c r="W1498" s="32"/>
      <c r="X1498" s="33"/>
      <c r="Y1498" s="34"/>
      <c r="Z1498" s="32"/>
      <c r="AA1498" s="20" t="s">
        <v>49</v>
      </c>
      <c r="AB1498" s="20" t="s">
        <v>49</v>
      </c>
      <c r="AC1498" s="19" t="s">
        <v>49</v>
      </c>
      <c r="AD1498" s="19" t="str">
        <f ca="1">IFERROR(DATEDIF(DadosViagem5[[#This Row],[Utimo Bip Reserva]],TODAY(),"D"),"")</f>
        <v/>
      </c>
      <c r="AE1498" s="36"/>
      <c r="AF1498" s="25"/>
      <c r="AG1498" s="36"/>
      <c r="AH1498" s="25">
        <v>45807</v>
      </c>
      <c r="AI1498" s="36" t="str">
        <f>IF(DadosViagem5[[#This Row],[Dias em manutenção ]]&lt;5,"Dentro do Prazo","Fora do Prazo")</f>
        <v>Fora do Prazo</v>
      </c>
      <c r="AJ1498" s="36" t="e">
        <v>#REF!</v>
      </c>
    </row>
    <row r="1499" spans="1:36">
      <c r="A1499" s="19" t="s">
        <v>2523</v>
      </c>
      <c r="B1499" s="20"/>
      <c r="C1499" s="19" t="s">
        <v>131</v>
      </c>
      <c r="D1499" s="19" t="s">
        <v>132</v>
      </c>
      <c r="E1499" s="19" t="s">
        <v>57</v>
      </c>
      <c r="F1499" s="19" t="s">
        <v>40</v>
      </c>
      <c r="G1499" s="19"/>
      <c r="H1499" s="20">
        <v>2021</v>
      </c>
      <c r="I1499" s="19" t="s">
        <v>1738</v>
      </c>
      <c r="J1499" s="19" t="s">
        <v>1565</v>
      </c>
      <c r="K1499" s="21" t="s">
        <v>2475</v>
      </c>
      <c r="L1499" s="22" t="s">
        <v>60</v>
      </c>
      <c r="M1499" s="23" t="s">
        <v>140</v>
      </c>
      <c r="N1499" s="36" t="s">
        <v>2476</v>
      </c>
      <c r="O1499" s="25" t="s">
        <v>1756</v>
      </c>
      <c r="P1499" s="26">
        <f ca="1">IFERROR(VLOOKUP(DadosViagem5[[#This Row],[Placa]],[1]BIP!A:E,5,FALSE),"")</f>
        <v>0</v>
      </c>
      <c r="Q1499" s="27">
        <f ca="1">DATEDIF(DadosViagem5[[#This Row],[BIP]],TODAY(),"D")</f>
        <v>45990</v>
      </c>
      <c r="R1499" s="28"/>
      <c r="S1499" s="29" t="s">
        <v>48</v>
      </c>
      <c r="T1499" s="23"/>
      <c r="U1499" s="30"/>
      <c r="V1499" s="31"/>
      <c r="W1499" s="95"/>
      <c r="X1499" s="33"/>
      <c r="Y1499" s="34"/>
      <c r="Z1499" s="32"/>
      <c r="AA1499" s="20" t="s">
        <v>49</v>
      </c>
      <c r="AB1499" s="20" t="s">
        <v>49</v>
      </c>
      <c r="AC1499" s="19" t="s">
        <v>49</v>
      </c>
      <c r="AD1499" s="19" t="str">
        <f ca="1">IFERROR(DATEDIF(DadosViagem5[[#This Row],[Utimo Bip Reserva]],TODAY(),"D"),"")</f>
        <v/>
      </c>
      <c r="AE1499" s="36" t="s">
        <v>49</v>
      </c>
      <c r="AF1499" s="25" t="s">
        <v>49</v>
      </c>
      <c r="AG1499" s="36" t="s">
        <v>540</v>
      </c>
      <c r="AH1499" s="25">
        <v>45807</v>
      </c>
      <c r="AI1499" s="36" t="str">
        <f>IF(DadosViagem5[[#This Row],[Dias em manutenção ]]&lt;5,"Dentro do Prazo","Fora do Prazo")</f>
        <v>Fora do Prazo</v>
      </c>
      <c r="AJ1499" s="36" t="e">
        <v>#REF!</v>
      </c>
    </row>
    <row r="1500" spans="1:36">
      <c r="A1500" s="19" t="s">
        <v>2524</v>
      </c>
      <c r="B1500" s="20"/>
      <c r="C1500" s="19" t="s">
        <v>88</v>
      </c>
      <c r="D1500" s="19" t="s">
        <v>52</v>
      </c>
      <c r="E1500" s="19" t="s">
        <v>114</v>
      </c>
      <c r="F1500" s="19" t="s">
        <v>115</v>
      </c>
      <c r="G1500" s="19"/>
      <c r="H1500" s="20">
        <v>2021</v>
      </c>
      <c r="I1500" s="19" t="s">
        <v>1738</v>
      </c>
      <c r="J1500" s="19" t="s">
        <v>1565</v>
      </c>
      <c r="K1500" s="21" t="s">
        <v>2475</v>
      </c>
      <c r="L1500" s="22" t="s">
        <v>60</v>
      </c>
      <c r="M1500" s="23" t="s">
        <v>140</v>
      </c>
      <c r="N1500" s="36" t="s">
        <v>2476</v>
      </c>
      <c r="O1500" s="25" t="s">
        <v>1756</v>
      </c>
      <c r="P1500" s="26">
        <f ca="1">IFERROR(VLOOKUP(DadosViagem5[[#This Row],[Placa]],[1]BIP!A:E,5,FALSE),"")</f>
        <v>45988</v>
      </c>
      <c r="Q1500" s="27">
        <f ca="1">DATEDIF(DadosViagem5[[#This Row],[BIP]],TODAY(),"D")</f>
        <v>2</v>
      </c>
      <c r="R1500" s="28" t="str">
        <f>IFERROR(VLOOKUP(DadosViagem5[[#This Row],[Placa]],[1]DDS!B:C,2,FALSE),"Verificar cadastro")</f>
        <v>Sem operação</v>
      </c>
      <c r="S1500" s="29" t="s">
        <v>48</v>
      </c>
      <c r="T1500" s="23"/>
      <c r="U1500" s="30"/>
      <c r="V1500" s="31"/>
      <c r="W1500" s="32"/>
      <c r="X1500" s="33"/>
      <c r="Y1500" s="34"/>
      <c r="Z1500" s="32"/>
      <c r="AA1500" s="20" t="s">
        <v>49</v>
      </c>
      <c r="AB1500" s="20" t="s">
        <v>49</v>
      </c>
      <c r="AC1500" s="19" t="s">
        <v>49</v>
      </c>
      <c r="AD1500" s="19" t="str">
        <f ca="1">IFERROR(DATEDIF(DadosViagem5[[#This Row],[Utimo Bip Reserva]],TODAY(),"D"),"")</f>
        <v/>
      </c>
      <c r="AE1500" s="36" t="s">
        <v>1744</v>
      </c>
      <c r="AF1500" s="25" t="s">
        <v>49</v>
      </c>
      <c r="AG1500" s="36"/>
      <c r="AH1500" s="25">
        <v>45807</v>
      </c>
      <c r="AI1500" s="36" t="str">
        <f>IF(DadosViagem5[[#This Row],[Dias em manutenção ]]&lt;5,"Dentro do Prazo","Fora do Prazo")</f>
        <v>Fora do Prazo</v>
      </c>
      <c r="AJ1500" s="36" t="e">
        <v>#REF!</v>
      </c>
    </row>
    <row r="1501" spans="1:36">
      <c r="A1501" s="19" t="s">
        <v>2525</v>
      </c>
      <c r="B1501" s="20">
        <v>369</v>
      </c>
      <c r="C1501" s="19" t="s">
        <v>74</v>
      </c>
      <c r="D1501" s="19" t="s">
        <v>52</v>
      </c>
      <c r="E1501" s="19" t="s">
        <v>75</v>
      </c>
      <c r="F1501" s="19" t="s">
        <v>115</v>
      </c>
      <c r="G1501" s="19"/>
      <c r="H1501" s="20">
        <v>2023</v>
      </c>
      <c r="I1501" s="19" t="s">
        <v>1738</v>
      </c>
      <c r="J1501" s="19" t="s">
        <v>1565</v>
      </c>
      <c r="K1501" s="21" t="s">
        <v>2475</v>
      </c>
      <c r="L1501" s="22" t="s">
        <v>60</v>
      </c>
      <c r="M1501" s="23" t="s">
        <v>77</v>
      </c>
      <c r="N1501" s="36" t="s">
        <v>2476</v>
      </c>
      <c r="O1501" s="25" t="s">
        <v>1756</v>
      </c>
      <c r="P1501" s="26">
        <f ca="1">IFERROR(VLOOKUP(DadosViagem5[[#This Row],[Placa]],[1]BIP!A:E,5,FALSE),"")</f>
        <v>45989</v>
      </c>
      <c r="Q1501" s="27">
        <f ca="1">DATEDIF(DadosViagem5[[#This Row],[BIP]],TODAY(),"D")</f>
        <v>1</v>
      </c>
      <c r="R1501" s="28" t="str">
        <f>IFERROR(VLOOKUP(DadosViagem5[[#This Row],[Placa]],[1]DDS!B:C,2,FALSE),"Verificar cadastro")</f>
        <v>Operando</v>
      </c>
      <c r="S1501" s="29" t="s">
        <v>48</v>
      </c>
      <c r="T1501" s="23"/>
      <c r="U1501" s="30"/>
      <c r="V1501" s="31"/>
      <c r="W1501" s="32"/>
      <c r="X1501" s="33"/>
      <c r="Y1501" s="34"/>
      <c r="Z1501" s="32"/>
      <c r="AA1501" s="20" t="s">
        <v>49</v>
      </c>
      <c r="AB1501" s="20" t="s">
        <v>49</v>
      </c>
      <c r="AC1501" s="19" t="s">
        <v>49</v>
      </c>
      <c r="AD1501" s="19" t="str">
        <f ca="1">IFERROR(DATEDIF(DadosViagem5[[#This Row],[Utimo Bip Reserva]],TODAY(),"D"),"")</f>
        <v/>
      </c>
      <c r="AE1501" s="25" t="s">
        <v>49</v>
      </c>
      <c r="AF1501" s="25" t="s">
        <v>49</v>
      </c>
      <c r="AG1501" s="36"/>
      <c r="AH1501" s="25">
        <v>45807</v>
      </c>
      <c r="AI1501" s="36" t="str">
        <f>IF(DadosViagem5[[#This Row],[Dias em manutenção ]]&lt;5,"Dentro do Prazo","Fora do Prazo")</f>
        <v>Fora do Prazo</v>
      </c>
      <c r="AJ1501" s="36" t="e">
        <v>#REF!</v>
      </c>
    </row>
    <row r="1502" spans="1:36">
      <c r="A1502" s="19" t="s">
        <v>2526</v>
      </c>
      <c r="B1502" s="20">
        <v>384</v>
      </c>
      <c r="C1502" s="19" t="s">
        <v>74</v>
      </c>
      <c r="D1502" s="19" t="s">
        <v>52</v>
      </c>
      <c r="E1502" s="19" t="s">
        <v>75</v>
      </c>
      <c r="F1502" s="19" t="s">
        <v>115</v>
      </c>
      <c r="G1502" s="19"/>
      <c r="H1502" s="20">
        <v>2023</v>
      </c>
      <c r="I1502" s="19" t="s">
        <v>1738</v>
      </c>
      <c r="J1502" s="19" t="s">
        <v>1565</v>
      </c>
      <c r="K1502" s="21" t="s">
        <v>2475</v>
      </c>
      <c r="L1502" s="22" t="s">
        <v>60</v>
      </c>
      <c r="M1502" s="23" t="s">
        <v>77</v>
      </c>
      <c r="N1502" s="36" t="s">
        <v>2476</v>
      </c>
      <c r="O1502" s="25" t="s">
        <v>1756</v>
      </c>
      <c r="P1502" s="26">
        <f ca="1">IFERROR(VLOOKUP(DadosViagem5[[#This Row],[Placa]],[1]BIP!A:E,5,FALSE),"")</f>
        <v>45989</v>
      </c>
      <c r="Q1502" s="27">
        <f ca="1">DATEDIF(DadosViagem5[[#This Row],[BIP]],TODAY(),"D")</f>
        <v>1</v>
      </c>
      <c r="R1502" s="28" t="str">
        <f>IFERROR(VLOOKUP(DadosViagem5[[#This Row],[Placa]],[1]DDS!B:C,2,FALSE),"Verificar cadastro")</f>
        <v>Operando</v>
      </c>
      <c r="S1502" s="29" t="s">
        <v>48</v>
      </c>
      <c r="T1502" s="23"/>
      <c r="U1502" s="30"/>
      <c r="V1502" s="31"/>
      <c r="W1502" s="32"/>
      <c r="X1502" s="33"/>
      <c r="Y1502" s="34"/>
      <c r="Z1502" s="32"/>
      <c r="AA1502" s="20" t="s">
        <v>49</v>
      </c>
      <c r="AB1502" s="20" t="s">
        <v>49</v>
      </c>
      <c r="AC1502" s="20" t="s">
        <v>49</v>
      </c>
      <c r="AD1502" s="20" t="s">
        <v>49</v>
      </c>
      <c r="AE1502" s="25" t="s">
        <v>49</v>
      </c>
      <c r="AF1502" s="25" t="s">
        <v>49</v>
      </c>
      <c r="AG1502" s="36"/>
      <c r="AH1502" s="25">
        <v>45807</v>
      </c>
      <c r="AI1502" s="36" t="str">
        <f>IF(DadosViagem5[[#This Row],[Dias em manutenção ]]&lt;5,"Dentro do Prazo","Fora do Prazo")</f>
        <v>Fora do Prazo</v>
      </c>
      <c r="AJ1502" s="36" t="e">
        <v>#REF!</v>
      </c>
    </row>
    <row r="1503" spans="1:36">
      <c r="A1503" s="19" t="s">
        <v>2527</v>
      </c>
      <c r="B1503" s="20">
        <v>344</v>
      </c>
      <c r="C1503" s="19" t="s">
        <v>74</v>
      </c>
      <c r="D1503" s="19" t="s">
        <v>52</v>
      </c>
      <c r="E1503" s="19" t="s">
        <v>75</v>
      </c>
      <c r="F1503" s="19" t="s">
        <v>115</v>
      </c>
      <c r="G1503" s="19"/>
      <c r="H1503" s="20">
        <v>2023</v>
      </c>
      <c r="I1503" s="19" t="s">
        <v>1738</v>
      </c>
      <c r="J1503" s="19" t="s">
        <v>1565</v>
      </c>
      <c r="K1503" s="21" t="s">
        <v>2475</v>
      </c>
      <c r="L1503" s="22" t="s">
        <v>60</v>
      </c>
      <c r="M1503" s="23" t="s">
        <v>77</v>
      </c>
      <c r="N1503" s="36" t="s">
        <v>2476</v>
      </c>
      <c r="O1503" s="25" t="s">
        <v>1756</v>
      </c>
      <c r="P1503" s="26">
        <f ca="1">IFERROR(VLOOKUP(DadosViagem5[[#This Row],[Placa]],[1]BIP!A:E,5,FALSE),"")</f>
        <v>45989</v>
      </c>
      <c r="Q1503" s="27">
        <f ca="1">DATEDIF(DadosViagem5[[#This Row],[BIP]],TODAY(),"D")</f>
        <v>1</v>
      </c>
      <c r="R1503" s="28"/>
      <c r="S1503" s="29" t="s">
        <v>48</v>
      </c>
      <c r="T1503" s="23"/>
      <c r="U1503" s="30"/>
      <c r="V1503" s="31"/>
      <c r="W1503" s="32"/>
      <c r="X1503" s="33"/>
      <c r="Y1503" s="34"/>
      <c r="Z1503" s="32"/>
      <c r="AA1503" s="20" t="s">
        <v>49</v>
      </c>
      <c r="AB1503" s="20" t="s">
        <v>49</v>
      </c>
      <c r="AC1503" s="19" t="s">
        <v>49</v>
      </c>
      <c r="AD1503" s="19" t="str">
        <f ca="1">IFERROR(DATEDIF(DadosViagem5[[#This Row],[Utimo Bip Reserva]],TODAY(),"D"),"")</f>
        <v/>
      </c>
      <c r="AE1503" s="25" t="s">
        <v>49</v>
      </c>
      <c r="AF1503" s="25" t="s">
        <v>49</v>
      </c>
      <c r="AG1503" s="36"/>
      <c r="AH1503" s="25">
        <v>45807</v>
      </c>
      <c r="AI1503" s="36" t="str">
        <f>IF(DadosViagem5[[#This Row],[Dias em manutenção ]]&lt;5,"Dentro do Prazo","Fora do Prazo")</f>
        <v>Fora do Prazo</v>
      </c>
      <c r="AJ1503" s="36" t="e">
        <v>#REF!</v>
      </c>
    </row>
    <row r="1504" spans="1:36">
      <c r="A1504" s="19" t="s">
        <v>2528</v>
      </c>
      <c r="B1504" s="20">
        <v>456</v>
      </c>
      <c r="C1504" s="19" t="s">
        <v>74</v>
      </c>
      <c r="D1504" s="19" t="s">
        <v>52</v>
      </c>
      <c r="E1504" s="19" t="s">
        <v>75</v>
      </c>
      <c r="F1504" s="19" t="s">
        <v>76</v>
      </c>
      <c r="G1504" s="19"/>
      <c r="H1504" s="20">
        <v>2024</v>
      </c>
      <c r="I1504" s="19" t="s">
        <v>1738</v>
      </c>
      <c r="J1504" s="19" t="s">
        <v>1565</v>
      </c>
      <c r="K1504" s="21" t="s">
        <v>2475</v>
      </c>
      <c r="L1504" s="22" t="s">
        <v>60</v>
      </c>
      <c r="M1504" s="23" t="s">
        <v>77</v>
      </c>
      <c r="N1504" s="36" t="s">
        <v>2476</v>
      </c>
      <c r="O1504" s="25" t="s">
        <v>1756</v>
      </c>
      <c r="P1504" s="26">
        <f ca="1">IFERROR(VLOOKUP(DadosViagem5[[#This Row],[Placa]],[1]BIP!A:E,5,FALSE),"")</f>
        <v>45989</v>
      </c>
      <c r="Q1504" s="27">
        <f ca="1">DATEDIF(DadosViagem5[[#This Row],[BIP]],TODAY(),"D")</f>
        <v>1</v>
      </c>
      <c r="R1504" s="28" t="str">
        <f>IFERROR(VLOOKUP(DadosViagem5[[#This Row],[Placa]],[1]DDS!B:C,2,FALSE),"Verificar cadastro")</f>
        <v>Operando</v>
      </c>
      <c r="S1504" s="29" t="s">
        <v>173</v>
      </c>
      <c r="T1504" s="23"/>
      <c r="U1504" s="30"/>
      <c r="V1504" s="31"/>
      <c r="W1504" s="32"/>
      <c r="X1504" s="33"/>
      <c r="Y1504" s="34"/>
      <c r="Z1504" s="32"/>
      <c r="AA1504" s="20" t="s">
        <v>49</v>
      </c>
      <c r="AB1504" s="20" t="s">
        <v>49</v>
      </c>
      <c r="AC1504" s="19" t="s">
        <v>49</v>
      </c>
      <c r="AD1504" s="19" t="str">
        <f ca="1">IFERROR(DATEDIF(DadosViagem5[[#This Row],[Utimo Bip Reserva]],TODAY(),"D"),"")</f>
        <v/>
      </c>
      <c r="AE1504" s="59"/>
      <c r="AF1504" s="35"/>
      <c r="AG1504" s="36" t="s">
        <v>997</v>
      </c>
      <c r="AH1504" s="25">
        <v>45807</v>
      </c>
      <c r="AI1504" s="36" t="str">
        <f>IF(DadosViagem5[[#This Row],[Dias em manutenção ]]&lt;5,"Dentro do Prazo","Fora do Prazo")</f>
        <v>Fora do Prazo</v>
      </c>
      <c r="AJ1504" s="36" t="e">
        <v>#REF!</v>
      </c>
    </row>
    <row r="1505" spans="1:36">
      <c r="A1505" s="19" t="s">
        <v>2529</v>
      </c>
      <c r="B1505" s="20">
        <v>390</v>
      </c>
      <c r="C1505" s="19" t="s">
        <v>74</v>
      </c>
      <c r="D1505" s="19" t="s">
        <v>52</v>
      </c>
      <c r="E1505" s="19" t="s">
        <v>75</v>
      </c>
      <c r="F1505" s="19" t="s">
        <v>115</v>
      </c>
      <c r="G1505" s="19"/>
      <c r="H1505" s="20">
        <v>2023</v>
      </c>
      <c r="I1505" s="19" t="s">
        <v>1738</v>
      </c>
      <c r="J1505" s="19" t="s">
        <v>1565</v>
      </c>
      <c r="K1505" s="21" t="s">
        <v>2475</v>
      </c>
      <c r="L1505" s="22" t="s">
        <v>60</v>
      </c>
      <c r="M1505" s="23" t="s">
        <v>77</v>
      </c>
      <c r="N1505" s="36" t="s">
        <v>2476</v>
      </c>
      <c r="O1505" s="25" t="s">
        <v>1756</v>
      </c>
      <c r="P1505" s="26">
        <f ca="1">IFERROR(VLOOKUP(DadosViagem5[[#This Row],[Placa]],[1]BIP!A:E,5,FALSE),"")</f>
        <v>45989</v>
      </c>
      <c r="Q1505" s="27">
        <f ca="1">DATEDIF(DadosViagem5[[#This Row],[BIP]],TODAY(),"D")</f>
        <v>1</v>
      </c>
      <c r="R1505" s="28" t="str">
        <f>IFERROR(VLOOKUP(DadosViagem5[[#This Row],[Placa]],[1]DDS!B:C,2,FALSE),"Verificar cadastro")</f>
        <v>Operando</v>
      </c>
      <c r="S1505" s="29" t="s">
        <v>48</v>
      </c>
      <c r="T1505" s="23"/>
      <c r="U1505" s="30"/>
      <c r="V1505" s="31"/>
      <c r="W1505" s="32"/>
      <c r="X1505" s="33"/>
      <c r="Y1505" s="34"/>
      <c r="Z1505" s="32"/>
      <c r="AA1505" s="20" t="s">
        <v>49</v>
      </c>
      <c r="AB1505" s="20" t="s">
        <v>49</v>
      </c>
      <c r="AC1505" s="19" t="s">
        <v>49</v>
      </c>
      <c r="AD1505" s="19" t="str">
        <f ca="1">IFERROR(DATEDIF(DadosViagem5[[#This Row],[Utimo Bip Reserva]],TODAY(),"D"),"")</f>
        <v/>
      </c>
      <c r="AE1505" s="35" t="s">
        <v>49</v>
      </c>
      <c r="AF1505" s="35" t="s">
        <v>49</v>
      </c>
      <c r="AG1505" s="36"/>
      <c r="AH1505" s="25">
        <v>45807</v>
      </c>
      <c r="AI1505" s="36" t="str">
        <f>IF(DadosViagem5[[#This Row],[Dias em manutenção ]]&lt;5,"Dentro do Prazo","Fora do Prazo")</f>
        <v>Fora do Prazo</v>
      </c>
      <c r="AJ1505" s="36" t="e">
        <v>#REF!</v>
      </c>
    </row>
    <row r="1506" spans="1:36">
      <c r="A1506" s="19" t="s">
        <v>2530</v>
      </c>
      <c r="B1506" s="20">
        <v>339</v>
      </c>
      <c r="C1506" s="19" t="s">
        <v>74</v>
      </c>
      <c r="D1506" s="19" t="s">
        <v>52</v>
      </c>
      <c r="E1506" s="19" t="s">
        <v>75</v>
      </c>
      <c r="F1506" s="19" t="s">
        <v>115</v>
      </c>
      <c r="G1506" s="19"/>
      <c r="H1506" s="20">
        <v>2023</v>
      </c>
      <c r="I1506" s="19" t="s">
        <v>1738</v>
      </c>
      <c r="J1506" s="19" t="s">
        <v>1565</v>
      </c>
      <c r="K1506" s="21" t="s">
        <v>2475</v>
      </c>
      <c r="L1506" s="22" t="s">
        <v>60</v>
      </c>
      <c r="M1506" s="23" t="s">
        <v>77</v>
      </c>
      <c r="N1506" s="36" t="s">
        <v>2476</v>
      </c>
      <c r="O1506" s="25" t="s">
        <v>1756</v>
      </c>
      <c r="P1506" s="26">
        <f ca="1">IFERROR(VLOOKUP(DadosViagem5[[#This Row],[Placa]],[1]BIP!A:E,5,FALSE),"")</f>
        <v>45989</v>
      </c>
      <c r="Q1506" s="27">
        <f ca="1">DATEDIF(DadosViagem5[[#This Row],[BIP]],TODAY(),"D")</f>
        <v>1</v>
      </c>
      <c r="R1506" s="28" t="str">
        <f>IFERROR(VLOOKUP(DadosViagem5[[#This Row],[Placa]],[1]DDS!B:C,2,FALSE),"Verificar cadastro")</f>
        <v>Operando</v>
      </c>
      <c r="S1506" s="29" t="s">
        <v>48</v>
      </c>
      <c r="T1506" s="23"/>
      <c r="U1506" s="30"/>
      <c r="V1506" s="31"/>
      <c r="W1506" s="32"/>
      <c r="X1506" s="33"/>
      <c r="Y1506" s="34"/>
      <c r="Z1506" s="32"/>
      <c r="AA1506" s="20" t="s">
        <v>49</v>
      </c>
      <c r="AB1506" s="20" t="s">
        <v>49</v>
      </c>
      <c r="AC1506" s="19" t="s">
        <v>49</v>
      </c>
      <c r="AD1506" s="19" t="str">
        <f ca="1">IFERROR(DATEDIF(DadosViagem5[[#This Row],[Utimo Bip Reserva]],TODAY(),"D"),"")</f>
        <v/>
      </c>
      <c r="AE1506" s="29" t="s">
        <v>49</v>
      </c>
      <c r="AF1506" s="35" t="s">
        <v>49</v>
      </c>
      <c r="AG1506" s="36"/>
      <c r="AH1506" s="25">
        <v>45807</v>
      </c>
      <c r="AI1506" s="36" t="str">
        <f>IF(DadosViagem5[[#This Row],[Dias em manutenção ]]&lt;5,"Dentro do Prazo","Fora do Prazo")</f>
        <v>Fora do Prazo</v>
      </c>
      <c r="AJ1506" s="36" t="e">
        <v>#REF!</v>
      </c>
    </row>
    <row r="1507" spans="1:36">
      <c r="A1507" s="19" t="s">
        <v>2531</v>
      </c>
      <c r="B1507" s="20">
        <v>391</v>
      </c>
      <c r="C1507" s="19" t="s">
        <v>74</v>
      </c>
      <c r="D1507" s="19" t="s">
        <v>52</v>
      </c>
      <c r="E1507" s="19" t="s">
        <v>75</v>
      </c>
      <c r="F1507" s="19" t="s">
        <v>115</v>
      </c>
      <c r="G1507" s="19"/>
      <c r="H1507" s="20">
        <v>2023</v>
      </c>
      <c r="I1507" s="19" t="s">
        <v>1738</v>
      </c>
      <c r="J1507" s="19" t="s">
        <v>1565</v>
      </c>
      <c r="K1507" s="21" t="s">
        <v>2475</v>
      </c>
      <c r="L1507" s="22" t="s">
        <v>60</v>
      </c>
      <c r="M1507" s="23" t="s">
        <v>77</v>
      </c>
      <c r="N1507" s="36" t="s">
        <v>2476</v>
      </c>
      <c r="O1507" s="25" t="s">
        <v>1756</v>
      </c>
      <c r="P1507" s="26">
        <f ca="1">IFERROR(VLOOKUP(DadosViagem5[[#This Row],[Placa]],[1]BIP!A:E,5,FALSE),"")</f>
        <v>45941</v>
      </c>
      <c r="Q1507" s="27">
        <f ca="1">DATEDIF(DadosViagem5[[#This Row],[BIP]],TODAY(),"D")</f>
        <v>49</v>
      </c>
      <c r="R1507" s="28" t="str">
        <f>IFERROR(VLOOKUP(DadosViagem5[[#This Row],[Placa]],[1]DDS!B:C,2,FALSE),"Verificar cadastro")</f>
        <v>Manutenção</v>
      </c>
      <c r="S1507" s="29" t="s">
        <v>48</v>
      </c>
      <c r="T1507" s="23"/>
      <c r="U1507" s="30"/>
      <c r="V1507" s="31"/>
      <c r="W1507" s="32"/>
      <c r="X1507" s="33"/>
      <c r="Y1507" s="34"/>
      <c r="Z1507" s="32"/>
      <c r="AA1507" s="20" t="s">
        <v>49</v>
      </c>
      <c r="AB1507" s="20" t="s">
        <v>49</v>
      </c>
      <c r="AC1507" s="19" t="s">
        <v>49</v>
      </c>
      <c r="AD1507" s="19" t="str">
        <f ca="1">IFERROR(DATEDIF(DadosViagem5[[#This Row],[Utimo Bip Reserva]],TODAY(),"D"),"")</f>
        <v/>
      </c>
      <c r="AE1507" s="25" t="s">
        <v>49</v>
      </c>
      <c r="AF1507" s="25" t="s">
        <v>49</v>
      </c>
      <c r="AG1507" s="36"/>
      <c r="AH1507" s="25">
        <v>45807</v>
      </c>
      <c r="AI1507" s="36" t="str">
        <f>IF(DadosViagem5[[#This Row],[Dias em manutenção ]]&lt;5,"Dentro do Prazo","Fora do Prazo")</f>
        <v>Fora do Prazo</v>
      </c>
      <c r="AJ1507" s="36" t="e">
        <v>#REF!</v>
      </c>
    </row>
    <row r="1508" spans="1:36">
      <c r="A1508" s="19" t="s">
        <v>2532</v>
      </c>
      <c r="B1508" s="20">
        <v>346</v>
      </c>
      <c r="C1508" s="19" t="s">
        <v>74</v>
      </c>
      <c r="D1508" s="19" t="s">
        <v>52</v>
      </c>
      <c r="E1508" s="19" t="s">
        <v>75</v>
      </c>
      <c r="F1508" s="19" t="s">
        <v>115</v>
      </c>
      <c r="G1508" s="19"/>
      <c r="H1508" s="20">
        <v>2023</v>
      </c>
      <c r="I1508" s="19" t="s">
        <v>1738</v>
      </c>
      <c r="J1508" s="19" t="s">
        <v>1565</v>
      </c>
      <c r="K1508" s="21" t="s">
        <v>2475</v>
      </c>
      <c r="L1508" s="22" t="s">
        <v>60</v>
      </c>
      <c r="M1508" s="23" t="s">
        <v>77</v>
      </c>
      <c r="N1508" s="36" t="s">
        <v>2476</v>
      </c>
      <c r="O1508" s="25" t="s">
        <v>1756</v>
      </c>
      <c r="P1508" s="26">
        <f ca="1">IFERROR(VLOOKUP(DadosViagem5[[#This Row],[Placa]],[1]BIP!A:E,5,FALSE),"")</f>
        <v>45989</v>
      </c>
      <c r="Q1508" s="27">
        <f ca="1">DATEDIF(DadosViagem5[[#This Row],[BIP]],TODAY(),"D")</f>
        <v>1</v>
      </c>
      <c r="R1508" s="28" t="str">
        <f>IFERROR(VLOOKUP(DadosViagem5[[#This Row],[Placa]],[1]DDS!B:C,2,FALSE),"Verificar cadastro")</f>
        <v>Operando</v>
      </c>
      <c r="S1508" s="29" t="s">
        <v>48</v>
      </c>
      <c r="T1508" s="23"/>
      <c r="U1508" s="30"/>
      <c r="V1508" s="31"/>
      <c r="W1508" s="32"/>
      <c r="X1508" s="33"/>
      <c r="Y1508" s="34"/>
      <c r="Z1508" s="32"/>
      <c r="AA1508" s="20" t="s">
        <v>49</v>
      </c>
      <c r="AB1508" s="20" t="s">
        <v>49</v>
      </c>
      <c r="AC1508" s="19" t="s">
        <v>49</v>
      </c>
      <c r="AD1508" s="19" t="str">
        <f ca="1">IFERROR(DATEDIF(DadosViagem5[[#This Row],[Utimo Bip Reserva]],TODAY(),"D"),"")</f>
        <v/>
      </c>
      <c r="AE1508" s="25" t="s">
        <v>49</v>
      </c>
      <c r="AF1508" s="25" t="s">
        <v>49</v>
      </c>
      <c r="AG1508" s="36"/>
      <c r="AH1508" s="25">
        <v>45807</v>
      </c>
      <c r="AI1508" s="36" t="str">
        <f>IF(DadosViagem5[[#This Row],[Dias em manutenção ]]&lt;5,"Dentro do Prazo","Fora do Prazo")</f>
        <v>Fora do Prazo</v>
      </c>
      <c r="AJ1508" s="36" t="e">
        <v>#REF!</v>
      </c>
    </row>
    <row r="1509" spans="1:36">
      <c r="A1509" s="19" t="s">
        <v>2533</v>
      </c>
      <c r="B1509" s="20"/>
      <c r="C1509" s="19" t="s">
        <v>74</v>
      </c>
      <c r="D1509" s="19" t="s">
        <v>52</v>
      </c>
      <c r="E1509" s="19" t="s">
        <v>75</v>
      </c>
      <c r="F1509" s="19" t="s">
        <v>115</v>
      </c>
      <c r="G1509" s="19"/>
      <c r="H1509" s="20">
        <v>2024</v>
      </c>
      <c r="I1509" s="19" t="s">
        <v>1738</v>
      </c>
      <c r="J1509" s="19" t="s">
        <v>1565</v>
      </c>
      <c r="K1509" s="21" t="s">
        <v>2475</v>
      </c>
      <c r="L1509" s="22" t="s">
        <v>60</v>
      </c>
      <c r="M1509" s="23" t="s">
        <v>77</v>
      </c>
      <c r="N1509" s="36" t="s">
        <v>2476</v>
      </c>
      <c r="O1509" s="25" t="s">
        <v>1756</v>
      </c>
      <c r="P1509" s="26">
        <f ca="1">IFERROR(VLOOKUP(DadosViagem5[[#This Row],[Placa]],[1]BIP!A:E,5,FALSE),"")</f>
        <v>45989</v>
      </c>
      <c r="Q1509" s="27">
        <f ca="1">DATEDIF(DadosViagem5[[#This Row],[BIP]],TODAY(),"D")</f>
        <v>1</v>
      </c>
      <c r="R1509" s="28" t="str">
        <f>IFERROR(VLOOKUP(DadosViagem5[[#This Row],[Placa]],[1]DDS!B:C,2,FALSE),"Verificar cadastro")</f>
        <v>Operando</v>
      </c>
      <c r="S1509" s="29" t="s">
        <v>48</v>
      </c>
      <c r="T1509" s="23"/>
      <c r="U1509" s="30"/>
      <c r="V1509" s="31"/>
      <c r="W1509" s="32"/>
      <c r="X1509" s="33"/>
      <c r="Y1509" s="34"/>
      <c r="Z1509" s="32"/>
      <c r="AA1509" s="20" t="s">
        <v>49</v>
      </c>
      <c r="AB1509" s="20" t="s">
        <v>49</v>
      </c>
      <c r="AC1509" s="19" t="s">
        <v>49</v>
      </c>
      <c r="AD1509" s="19" t="str">
        <f ca="1">IFERROR(DATEDIF(DadosViagem5[[#This Row],[Utimo Bip Reserva]],TODAY(),"D"),"")</f>
        <v/>
      </c>
      <c r="AE1509" s="36"/>
      <c r="AF1509" s="25"/>
      <c r="AG1509" s="36"/>
      <c r="AH1509" s="25">
        <v>45807</v>
      </c>
      <c r="AI1509" s="36" t="str">
        <f>IF(DadosViagem5[[#This Row],[Dias em manutenção ]]&lt;5,"Dentro do Prazo","Fora do Prazo")</f>
        <v>Fora do Prazo</v>
      </c>
      <c r="AJ1509" s="36" t="e">
        <v>#REF!</v>
      </c>
    </row>
    <row r="1510" spans="1:36">
      <c r="A1510" s="19" t="s">
        <v>2534</v>
      </c>
      <c r="B1510" s="20"/>
      <c r="C1510" s="19" t="s">
        <v>88</v>
      </c>
      <c r="D1510" s="19" t="s">
        <v>52</v>
      </c>
      <c r="E1510" s="19" t="s">
        <v>114</v>
      </c>
      <c r="F1510" s="19" t="s">
        <v>115</v>
      </c>
      <c r="G1510" s="19"/>
      <c r="H1510" s="20">
        <v>2021</v>
      </c>
      <c r="I1510" s="19" t="s">
        <v>1738</v>
      </c>
      <c r="J1510" s="19" t="s">
        <v>1565</v>
      </c>
      <c r="K1510" s="21" t="s">
        <v>2475</v>
      </c>
      <c r="L1510" s="22" t="s">
        <v>60</v>
      </c>
      <c r="M1510" s="23" t="s">
        <v>140</v>
      </c>
      <c r="N1510" s="36" t="s">
        <v>2476</v>
      </c>
      <c r="O1510" s="25" t="s">
        <v>1756</v>
      </c>
      <c r="P1510" s="26">
        <f ca="1">IFERROR(VLOOKUP(DadosViagem5[[#This Row],[Placa]],[1]BIP!A:E,5,FALSE),"")</f>
        <v>45987</v>
      </c>
      <c r="Q1510" s="27">
        <f ca="1">DATEDIF(DadosViagem5[[#This Row],[BIP]],TODAY(),"D")</f>
        <v>3</v>
      </c>
      <c r="R1510" s="28" t="str">
        <f>IFERROR(VLOOKUP(DadosViagem5[[#This Row],[Placa]],[1]DDS!B:C,2,FALSE),"Verificar cadastro")</f>
        <v>Sem operação</v>
      </c>
      <c r="S1510" s="29" t="s">
        <v>48</v>
      </c>
      <c r="T1510" s="23"/>
      <c r="U1510" s="30"/>
      <c r="V1510" s="31"/>
      <c r="W1510" s="32"/>
      <c r="X1510" s="33"/>
      <c r="Y1510" s="34"/>
      <c r="Z1510" s="32"/>
      <c r="AA1510" s="20" t="s">
        <v>49</v>
      </c>
      <c r="AB1510" s="20" t="s">
        <v>49</v>
      </c>
      <c r="AC1510" s="19" t="s">
        <v>49</v>
      </c>
      <c r="AD1510" s="19" t="str">
        <f ca="1">IFERROR(DATEDIF(DadosViagem5[[#This Row],[Utimo Bip Reserva]],TODAY(),"D"),"")</f>
        <v/>
      </c>
      <c r="AE1510" s="36" t="s">
        <v>49</v>
      </c>
      <c r="AF1510" s="25" t="s">
        <v>49</v>
      </c>
      <c r="AG1510" s="36"/>
      <c r="AH1510" s="25">
        <v>45807</v>
      </c>
      <c r="AI1510" s="36" t="str">
        <f>IF(DadosViagem5[[#This Row],[Dias em manutenção ]]&lt;5,"Dentro do Prazo","Fora do Prazo")</f>
        <v>Fora do Prazo</v>
      </c>
      <c r="AJ1510" s="36" t="e">
        <v>#REF!</v>
      </c>
    </row>
    <row r="1511" spans="1:36">
      <c r="A1511" s="19" t="s">
        <v>2535</v>
      </c>
      <c r="B1511" s="20"/>
      <c r="C1511" s="19" t="s">
        <v>74</v>
      </c>
      <c r="D1511" s="19" t="s">
        <v>52</v>
      </c>
      <c r="E1511" s="19" t="s">
        <v>75</v>
      </c>
      <c r="F1511" s="19" t="s">
        <v>115</v>
      </c>
      <c r="G1511" s="19"/>
      <c r="H1511" s="20">
        <v>2023</v>
      </c>
      <c r="I1511" s="19" t="s">
        <v>1738</v>
      </c>
      <c r="J1511" s="19" t="s">
        <v>1565</v>
      </c>
      <c r="K1511" s="21" t="s">
        <v>2475</v>
      </c>
      <c r="L1511" s="22" t="s">
        <v>60</v>
      </c>
      <c r="M1511" s="23" t="s">
        <v>77</v>
      </c>
      <c r="N1511" s="36" t="s">
        <v>2476</v>
      </c>
      <c r="O1511" s="25" t="s">
        <v>1756</v>
      </c>
      <c r="P1511" s="26">
        <f ca="1">IFERROR(VLOOKUP(DadosViagem5[[#This Row],[Placa]],[1]BIP!A:E,5,FALSE),"")</f>
        <v>45989</v>
      </c>
      <c r="Q1511" s="27">
        <f ca="1">DATEDIF(DadosViagem5[[#This Row],[BIP]],TODAY(),"D")</f>
        <v>1</v>
      </c>
      <c r="R1511" s="28" t="str">
        <f>IFERROR(VLOOKUP(DadosViagem5[[#This Row],[Placa]],[1]DDS!B:C,2,FALSE),"Verificar cadastro")</f>
        <v>Carregado</v>
      </c>
      <c r="S1511" s="29" t="s">
        <v>48</v>
      </c>
      <c r="T1511" s="23"/>
      <c r="U1511" s="30"/>
      <c r="V1511" s="31"/>
      <c r="W1511" s="32"/>
      <c r="X1511" s="33"/>
      <c r="Y1511" s="34"/>
      <c r="Z1511" s="32"/>
      <c r="AA1511" s="20" t="s">
        <v>49</v>
      </c>
      <c r="AB1511" s="20" t="s">
        <v>49</v>
      </c>
      <c r="AC1511" s="19" t="s">
        <v>49</v>
      </c>
      <c r="AD1511" s="19" t="str">
        <f ca="1">IFERROR(DATEDIF(DadosViagem5[[#This Row],[Utimo Bip Reserva]],TODAY(),"D"),"")</f>
        <v/>
      </c>
      <c r="AE1511" s="25" t="s">
        <v>49</v>
      </c>
      <c r="AF1511" s="25" t="s">
        <v>49</v>
      </c>
      <c r="AG1511" s="36"/>
      <c r="AH1511" s="25">
        <v>45807</v>
      </c>
      <c r="AI1511" s="36" t="str">
        <f>IF(DadosViagem5[[#This Row],[Dias em manutenção ]]&lt;5,"Dentro do Prazo","Fora do Prazo")</f>
        <v>Fora do Prazo</v>
      </c>
      <c r="AJ1511" s="36" t="e">
        <v>#REF!</v>
      </c>
    </row>
    <row r="1512" spans="1:36">
      <c r="A1512" s="19" t="s">
        <v>2536</v>
      </c>
      <c r="B1512" s="20">
        <v>379</v>
      </c>
      <c r="C1512" s="19" t="s">
        <v>74</v>
      </c>
      <c r="D1512" s="19" t="s">
        <v>52</v>
      </c>
      <c r="E1512" s="19" t="s">
        <v>75</v>
      </c>
      <c r="F1512" s="19" t="s">
        <v>115</v>
      </c>
      <c r="G1512" s="19"/>
      <c r="H1512" s="20">
        <v>2023</v>
      </c>
      <c r="I1512" s="19" t="s">
        <v>1738</v>
      </c>
      <c r="J1512" s="19" t="s">
        <v>1565</v>
      </c>
      <c r="K1512" s="21" t="s">
        <v>2475</v>
      </c>
      <c r="L1512" s="22" t="s">
        <v>60</v>
      </c>
      <c r="M1512" s="23" t="s">
        <v>77</v>
      </c>
      <c r="N1512" s="36" t="s">
        <v>2476</v>
      </c>
      <c r="O1512" s="25" t="s">
        <v>1756</v>
      </c>
      <c r="P1512" s="26">
        <f ca="1">IFERROR(VLOOKUP(DadosViagem5[[#This Row],[Placa]],[1]BIP!A:E,5,FALSE),"")</f>
        <v>45989</v>
      </c>
      <c r="Q1512" s="27">
        <f ca="1">DATEDIF(DadosViagem5[[#This Row],[BIP]],TODAY(),"D")</f>
        <v>1</v>
      </c>
      <c r="R1512" s="28" t="str">
        <f>IFERROR(VLOOKUP(DadosViagem5[[#This Row],[Placa]],[1]DDS!B:C,2,FALSE),"Verificar cadastro")</f>
        <v>Operando</v>
      </c>
      <c r="S1512" s="29" t="s">
        <v>173</v>
      </c>
      <c r="T1512" s="23"/>
      <c r="U1512" s="30"/>
      <c r="V1512" s="31"/>
      <c r="W1512" s="32"/>
      <c r="X1512" s="33"/>
      <c r="Y1512" s="34"/>
      <c r="Z1512" s="32"/>
      <c r="AA1512" s="20" t="s">
        <v>49</v>
      </c>
      <c r="AB1512" s="20" t="s">
        <v>49</v>
      </c>
      <c r="AC1512" s="19" t="s">
        <v>49</v>
      </c>
      <c r="AD1512" s="19" t="str">
        <f ca="1">IFERROR(DATEDIF(DadosViagem5[[#This Row],[Utimo Bip Reserva]],TODAY(),"D"),"")</f>
        <v/>
      </c>
      <c r="AE1512" s="35" t="s">
        <v>49</v>
      </c>
      <c r="AF1512" s="35" t="s">
        <v>49</v>
      </c>
      <c r="AG1512" s="36"/>
      <c r="AH1512" s="25">
        <v>45807</v>
      </c>
      <c r="AI1512" s="36" t="str">
        <f>IF(DadosViagem5[[#This Row],[Dias em manutenção ]]&lt;5,"Dentro do Prazo","Fora do Prazo")</f>
        <v>Fora do Prazo</v>
      </c>
      <c r="AJ1512" s="36" t="e">
        <v>#REF!</v>
      </c>
    </row>
    <row r="1513" spans="1:36">
      <c r="A1513" s="19" t="s">
        <v>2537</v>
      </c>
      <c r="B1513" s="20">
        <v>411</v>
      </c>
      <c r="C1513" s="19" t="s">
        <v>74</v>
      </c>
      <c r="D1513" s="19" t="s">
        <v>52</v>
      </c>
      <c r="E1513" s="19" t="s">
        <v>75</v>
      </c>
      <c r="F1513" s="19" t="s">
        <v>115</v>
      </c>
      <c r="G1513" s="19"/>
      <c r="H1513" s="20">
        <v>2023</v>
      </c>
      <c r="I1513" s="19" t="s">
        <v>1738</v>
      </c>
      <c r="J1513" s="19" t="s">
        <v>1565</v>
      </c>
      <c r="K1513" s="21" t="s">
        <v>2475</v>
      </c>
      <c r="L1513" s="22" t="s">
        <v>60</v>
      </c>
      <c r="M1513" s="23" t="s">
        <v>77</v>
      </c>
      <c r="N1513" s="36" t="s">
        <v>2476</v>
      </c>
      <c r="O1513" s="25" t="s">
        <v>1756</v>
      </c>
      <c r="P1513" s="26">
        <f ca="1">IFERROR(VLOOKUP(DadosViagem5[[#This Row],[Placa]],[1]BIP!A:E,5,FALSE),"")</f>
        <v>45989</v>
      </c>
      <c r="Q1513" s="27">
        <f ca="1">DATEDIF(DadosViagem5[[#This Row],[BIP]],TODAY(),"D")</f>
        <v>1</v>
      </c>
      <c r="R1513" s="28" t="str">
        <f>IFERROR(VLOOKUP(DadosViagem5[[#This Row],[Placa]],[1]DDS!B:C,2,FALSE),"Verificar cadastro")</f>
        <v>Operando</v>
      </c>
      <c r="S1513" s="29" t="s">
        <v>48</v>
      </c>
      <c r="T1513" s="23"/>
      <c r="U1513" s="30"/>
      <c r="V1513" s="31"/>
      <c r="W1513" s="32"/>
      <c r="X1513" s="33"/>
      <c r="Y1513" s="34"/>
      <c r="Z1513" s="32"/>
      <c r="AA1513" s="20" t="s">
        <v>49</v>
      </c>
      <c r="AB1513" s="20" t="s">
        <v>49</v>
      </c>
      <c r="AC1513" s="19" t="s">
        <v>49</v>
      </c>
      <c r="AD1513" s="19" t="str">
        <f ca="1">IFERROR(DATEDIF(DadosViagem5[[#This Row],[Utimo Bip Reserva]],TODAY(),"D"),"")</f>
        <v/>
      </c>
      <c r="AE1513" s="59"/>
      <c r="AF1513" s="16"/>
      <c r="AG1513" s="36"/>
      <c r="AH1513" s="25">
        <v>45807</v>
      </c>
      <c r="AI1513" s="36" t="str">
        <f>IF(DadosViagem5[[#This Row],[Dias em manutenção ]]&lt;5,"Dentro do Prazo","Fora do Prazo")</f>
        <v>Fora do Prazo</v>
      </c>
      <c r="AJ1513" s="36" t="e">
        <v>#REF!</v>
      </c>
    </row>
    <row r="1514" spans="1:36">
      <c r="A1514" s="19" t="s">
        <v>2538</v>
      </c>
      <c r="B1514" s="20">
        <v>429</v>
      </c>
      <c r="C1514" s="19" t="s">
        <v>74</v>
      </c>
      <c r="D1514" s="19" t="s">
        <v>52</v>
      </c>
      <c r="E1514" s="19" t="s">
        <v>75</v>
      </c>
      <c r="F1514" s="19" t="s">
        <v>76</v>
      </c>
      <c r="G1514" s="19"/>
      <c r="H1514" s="20">
        <v>2024</v>
      </c>
      <c r="I1514" s="19" t="s">
        <v>1738</v>
      </c>
      <c r="J1514" s="19" t="s">
        <v>1565</v>
      </c>
      <c r="K1514" s="21" t="s">
        <v>2475</v>
      </c>
      <c r="L1514" s="22" t="s">
        <v>60</v>
      </c>
      <c r="M1514" s="23" t="s">
        <v>77</v>
      </c>
      <c r="N1514" s="36" t="s">
        <v>2476</v>
      </c>
      <c r="O1514" s="25" t="s">
        <v>1756</v>
      </c>
      <c r="P1514" s="26">
        <f ca="1">IFERROR(VLOOKUP(DadosViagem5[[#This Row],[Placa]],[1]BIP!A:E,5,FALSE),"")</f>
        <v>45989</v>
      </c>
      <c r="Q1514" s="27">
        <f ca="1">DATEDIF(DadosViagem5[[#This Row],[BIP]],TODAY(),"D")</f>
        <v>1</v>
      </c>
      <c r="R1514" s="28" t="str">
        <f>IFERROR(VLOOKUP(DadosViagem5[[#This Row],[Placa]],[1]DDS!B:C,2,FALSE),"Verificar cadastro")</f>
        <v>Operando</v>
      </c>
      <c r="S1514" s="29" t="s">
        <v>48</v>
      </c>
      <c r="T1514" s="23"/>
      <c r="U1514" s="30"/>
      <c r="V1514" s="31"/>
      <c r="W1514" s="32"/>
      <c r="X1514" s="33"/>
      <c r="Y1514" s="34"/>
      <c r="Z1514" s="32"/>
      <c r="AA1514" s="20" t="s">
        <v>49</v>
      </c>
      <c r="AB1514" s="20" t="s">
        <v>49</v>
      </c>
      <c r="AC1514" s="19" t="s">
        <v>49</v>
      </c>
      <c r="AD1514" s="19" t="str">
        <f ca="1">IFERROR(DATEDIF(DadosViagem5[[#This Row],[Utimo Bip Reserva]],TODAY(),"D"),"")</f>
        <v/>
      </c>
      <c r="AE1514" s="25" t="s">
        <v>49</v>
      </c>
      <c r="AF1514" s="25" t="s">
        <v>49</v>
      </c>
      <c r="AG1514" s="36"/>
      <c r="AH1514" s="25">
        <v>45807</v>
      </c>
      <c r="AI1514" s="36" t="str">
        <f>IF(DadosViagem5[[#This Row],[Dias em manutenção ]]&lt;5,"Dentro do Prazo","Fora do Prazo")</f>
        <v>Fora do Prazo</v>
      </c>
      <c r="AJ1514" s="36" t="e">
        <v>#REF!</v>
      </c>
    </row>
    <row r="1515" spans="1:36">
      <c r="A1515" s="19" t="s">
        <v>2539</v>
      </c>
      <c r="B1515" s="20">
        <v>392</v>
      </c>
      <c r="C1515" s="19" t="s">
        <v>74</v>
      </c>
      <c r="D1515" s="19" t="s">
        <v>52</v>
      </c>
      <c r="E1515" s="19" t="s">
        <v>75</v>
      </c>
      <c r="F1515" s="19" t="s">
        <v>115</v>
      </c>
      <c r="G1515" s="19"/>
      <c r="H1515" s="20">
        <v>2023</v>
      </c>
      <c r="I1515" s="19" t="s">
        <v>1738</v>
      </c>
      <c r="J1515" s="19" t="s">
        <v>1565</v>
      </c>
      <c r="K1515" s="21" t="s">
        <v>2475</v>
      </c>
      <c r="L1515" s="22" t="s">
        <v>60</v>
      </c>
      <c r="M1515" s="23" t="s">
        <v>77</v>
      </c>
      <c r="N1515" s="36" t="s">
        <v>2476</v>
      </c>
      <c r="O1515" s="25" t="s">
        <v>1756</v>
      </c>
      <c r="P1515" s="26">
        <f ca="1">IFERROR(VLOOKUP(DadosViagem5[[#This Row],[Placa]],[1]BIP!A:E,5,FALSE),"")</f>
        <v>45989</v>
      </c>
      <c r="Q1515" s="27">
        <f ca="1">DATEDIF(DadosViagem5[[#This Row],[BIP]],TODAY(),"D")</f>
        <v>1</v>
      </c>
      <c r="R1515" s="28" t="str">
        <f>IFERROR(VLOOKUP(DadosViagem5[[#This Row],[Placa]],[1]DDS!B:C,2,FALSE),"Verificar cadastro")</f>
        <v>Operando</v>
      </c>
      <c r="S1515" s="29" t="s">
        <v>48</v>
      </c>
      <c r="T1515" s="23"/>
      <c r="U1515" s="30"/>
      <c r="V1515" s="31"/>
      <c r="W1515" s="32"/>
      <c r="X1515" s="33"/>
      <c r="Y1515" s="34"/>
      <c r="Z1515" s="32"/>
      <c r="AA1515" s="20" t="s">
        <v>49</v>
      </c>
      <c r="AB1515" s="20" t="s">
        <v>49</v>
      </c>
      <c r="AC1515" s="19" t="s">
        <v>49</v>
      </c>
      <c r="AD1515" s="19" t="str">
        <f ca="1">IFERROR(DATEDIF(DadosViagem5[[#This Row],[Utimo Bip Reserva]],TODAY(),"D"),"")</f>
        <v/>
      </c>
      <c r="AE1515" s="59"/>
      <c r="AF1515" s="35"/>
      <c r="AG1515" s="36" t="s">
        <v>997</v>
      </c>
      <c r="AH1515" s="25">
        <v>45807</v>
      </c>
      <c r="AI1515" s="36" t="str">
        <f>IF(DadosViagem5[[#This Row],[Dias em manutenção ]]&lt;5,"Dentro do Prazo","Fora do Prazo")</f>
        <v>Fora do Prazo</v>
      </c>
      <c r="AJ1515" s="36" t="e">
        <v>#REF!</v>
      </c>
    </row>
    <row r="1516" spans="1:36">
      <c r="A1516" s="19" t="s">
        <v>2540</v>
      </c>
      <c r="B1516" s="20"/>
      <c r="C1516" s="19" t="s">
        <v>74</v>
      </c>
      <c r="D1516" s="19" t="s">
        <v>52</v>
      </c>
      <c r="E1516" s="19" t="s">
        <v>75</v>
      </c>
      <c r="F1516" s="19" t="s">
        <v>115</v>
      </c>
      <c r="G1516" s="19"/>
      <c r="H1516" s="20">
        <v>2024</v>
      </c>
      <c r="I1516" s="19" t="s">
        <v>1738</v>
      </c>
      <c r="J1516" s="19" t="s">
        <v>1565</v>
      </c>
      <c r="K1516" s="21" t="s">
        <v>2475</v>
      </c>
      <c r="L1516" s="22" t="s">
        <v>60</v>
      </c>
      <c r="M1516" s="23" t="s">
        <v>77</v>
      </c>
      <c r="N1516" s="36" t="s">
        <v>2476</v>
      </c>
      <c r="O1516" s="25" t="s">
        <v>1756</v>
      </c>
      <c r="P1516" s="26">
        <f ca="1">IFERROR(VLOOKUP(DadosViagem5[[#This Row],[Placa]],[1]BIP!A:E,5,FALSE),"")</f>
        <v>45989</v>
      </c>
      <c r="Q1516" s="27">
        <f ca="1">DATEDIF(DadosViagem5[[#This Row],[BIP]],TODAY(),"D")</f>
        <v>1</v>
      </c>
      <c r="R1516" s="28" t="str">
        <f>IFERROR(VLOOKUP(DadosViagem5[[#This Row],[Placa]],[1]DDS!B:C,2,FALSE),"Verificar cadastro")</f>
        <v>Carregado</v>
      </c>
      <c r="S1516" s="29" t="s">
        <v>48</v>
      </c>
      <c r="T1516" s="23"/>
      <c r="U1516" s="30"/>
      <c r="V1516" s="31"/>
      <c r="W1516" s="32"/>
      <c r="X1516" s="33"/>
      <c r="Y1516" s="34"/>
      <c r="Z1516" s="32"/>
      <c r="AA1516" s="20" t="s">
        <v>49</v>
      </c>
      <c r="AB1516" s="20" t="s">
        <v>49</v>
      </c>
      <c r="AC1516" s="19" t="s">
        <v>49</v>
      </c>
      <c r="AD1516" s="19" t="str">
        <f ca="1">IFERROR(DATEDIF(DadosViagem5[[#This Row],[Utimo Bip Reserva]],TODAY(),"D"),"")</f>
        <v/>
      </c>
      <c r="AE1516" s="25" t="s">
        <v>49</v>
      </c>
      <c r="AF1516" s="25" t="s">
        <v>49</v>
      </c>
      <c r="AG1516" s="36" t="s">
        <v>997</v>
      </c>
      <c r="AH1516" s="25">
        <v>45807</v>
      </c>
      <c r="AI1516" s="36" t="str">
        <f>IF(DadosViagem5[[#This Row],[Dias em manutenção ]]&lt;5,"Dentro do Prazo","Fora do Prazo")</f>
        <v>Fora do Prazo</v>
      </c>
      <c r="AJ1516" s="36" t="e">
        <v>#REF!</v>
      </c>
    </row>
    <row r="1517" spans="1:36">
      <c r="A1517" s="19" t="s">
        <v>2541</v>
      </c>
      <c r="B1517" s="20">
        <v>426</v>
      </c>
      <c r="C1517" s="19" t="s">
        <v>74</v>
      </c>
      <c r="D1517" s="19" t="s">
        <v>52</v>
      </c>
      <c r="E1517" s="19" t="s">
        <v>75</v>
      </c>
      <c r="F1517" s="19" t="s">
        <v>76</v>
      </c>
      <c r="G1517" s="19"/>
      <c r="H1517" s="20">
        <v>2024</v>
      </c>
      <c r="I1517" s="19" t="s">
        <v>1738</v>
      </c>
      <c r="J1517" s="19" t="s">
        <v>1565</v>
      </c>
      <c r="K1517" s="21" t="s">
        <v>2475</v>
      </c>
      <c r="L1517" s="22" t="s">
        <v>60</v>
      </c>
      <c r="M1517" s="23" t="s">
        <v>77</v>
      </c>
      <c r="N1517" s="36" t="s">
        <v>2476</v>
      </c>
      <c r="O1517" s="25" t="s">
        <v>1756</v>
      </c>
      <c r="P1517" s="26">
        <f ca="1">IFERROR(VLOOKUP(DadosViagem5[[#This Row],[Placa]],[1]BIP!A:E,5,FALSE),"")</f>
        <v>45989</v>
      </c>
      <c r="Q1517" s="27">
        <f ca="1">DATEDIF(DadosViagem5[[#This Row],[BIP]],TODAY(),"D")</f>
        <v>1</v>
      </c>
      <c r="R1517" s="28" t="str">
        <f>IFERROR(VLOOKUP(DadosViagem5[[#This Row],[Placa]],[1]DDS!B:C,2,FALSE),"Verificar cadastro")</f>
        <v>Operando</v>
      </c>
      <c r="S1517" s="29" t="s">
        <v>48</v>
      </c>
      <c r="T1517" s="23"/>
      <c r="U1517" s="30"/>
      <c r="V1517" s="31"/>
      <c r="W1517" s="32"/>
      <c r="X1517" s="33"/>
      <c r="Y1517" s="34"/>
      <c r="Z1517" s="32"/>
      <c r="AA1517" s="20" t="s">
        <v>49</v>
      </c>
      <c r="AB1517" s="20" t="s">
        <v>49</v>
      </c>
      <c r="AC1517" s="19" t="s">
        <v>49</v>
      </c>
      <c r="AD1517" s="19" t="str">
        <f ca="1">IFERROR(DATEDIF(DadosViagem5[[#This Row],[Utimo Bip Reserva]],TODAY(),"D"),"")</f>
        <v/>
      </c>
      <c r="AE1517" s="25" t="s">
        <v>49</v>
      </c>
      <c r="AF1517" s="25" t="s">
        <v>49</v>
      </c>
      <c r="AG1517" s="36" t="s">
        <v>997</v>
      </c>
      <c r="AH1517" s="25">
        <v>45807</v>
      </c>
      <c r="AI1517" s="36" t="str">
        <f>IF(DadosViagem5[[#This Row],[Dias em manutenção ]]&lt;5,"Dentro do Prazo","Fora do Prazo")</f>
        <v>Fora do Prazo</v>
      </c>
      <c r="AJ1517" s="36" t="e">
        <v>#REF!</v>
      </c>
    </row>
    <row r="1518" spans="1:36">
      <c r="A1518" s="19" t="s">
        <v>2542</v>
      </c>
      <c r="B1518" s="20">
        <v>383</v>
      </c>
      <c r="C1518" s="19" t="s">
        <v>74</v>
      </c>
      <c r="D1518" s="19" t="s">
        <v>52</v>
      </c>
      <c r="E1518" s="19" t="s">
        <v>75</v>
      </c>
      <c r="F1518" s="19" t="s">
        <v>115</v>
      </c>
      <c r="G1518" s="19"/>
      <c r="H1518" s="20">
        <v>2023</v>
      </c>
      <c r="I1518" s="19" t="s">
        <v>1738</v>
      </c>
      <c r="J1518" s="19" t="s">
        <v>1565</v>
      </c>
      <c r="K1518" s="21" t="s">
        <v>2475</v>
      </c>
      <c r="L1518" s="22" t="s">
        <v>60</v>
      </c>
      <c r="M1518" s="23" t="s">
        <v>77</v>
      </c>
      <c r="N1518" s="36" t="s">
        <v>2476</v>
      </c>
      <c r="O1518" s="25" t="s">
        <v>1756</v>
      </c>
      <c r="P1518" s="26">
        <f ca="1">IFERROR(VLOOKUP(DadosViagem5[[#This Row],[Placa]],[1]BIP!A:E,5,FALSE),"")</f>
        <v>0</v>
      </c>
      <c r="Q1518" s="27">
        <f ca="1">DATEDIF(DadosViagem5[[#This Row],[BIP]],TODAY(),"D")</f>
        <v>45990</v>
      </c>
      <c r="R1518" s="28" t="str">
        <f>IFERROR(VLOOKUP(DadosViagem5[[#This Row],[Placa]],[1]DDS!B:C,2,FALSE),"Verificar cadastro")</f>
        <v>Manutenção</v>
      </c>
      <c r="S1518" s="29" t="s">
        <v>48</v>
      </c>
      <c r="T1518" s="23"/>
      <c r="U1518" s="30"/>
      <c r="V1518" s="31"/>
      <c r="W1518" s="32"/>
      <c r="X1518" s="33"/>
      <c r="Y1518" s="34"/>
      <c r="Z1518" s="32"/>
      <c r="AA1518" s="20" t="s">
        <v>49</v>
      </c>
      <c r="AB1518" s="20" t="s">
        <v>49</v>
      </c>
      <c r="AC1518" s="19" t="s">
        <v>49</v>
      </c>
      <c r="AD1518" s="19" t="str">
        <f ca="1">IFERROR(DATEDIF(DadosViagem5[[#This Row],[Utimo Bip Reserva]],TODAY(),"D"),"")</f>
        <v/>
      </c>
      <c r="AE1518" s="29" t="s">
        <v>49</v>
      </c>
      <c r="AF1518" s="35" t="s">
        <v>49</v>
      </c>
      <c r="AG1518" s="36"/>
      <c r="AH1518" s="25">
        <v>45807</v>
      </c>
      <c r="AI1518" s="36" t="str">
        <f>IF(DadosViagem5[[#This Row],[Dias em manutenção ]]&lt;5,"Dentro do Prazo","Fora do Prazo")</f>
        <v>Fora do Prazo</v>
      </c>
      <c r="AJ1518" s="36" t="e">
        <v>#REF!</v>
      </c>
    </row>
    <row r="1519" spans="1:36">
      <c r="A1519" s="19" t="s">
        <v>2543</v>
      </c>
      <c r="B1519" s="20">
        <v>378</v>
      </c>
      <c r="C1519" s="19" t="s">
        <v>74</v>
      </c>
      <c r="D1519" s="19" t="s">
        <v>52</v>
      </c>
      <c r="E1519" s="19" t="s">
        <v>75</v>
      </c>
      <c r="F1519" s="19" t="s">
        <v>115</v>
      </c>
      <c r="G1519" s="19"/>
      <c r="H1519" s="20">
        <v>2023</v>
      </c>
      <c r="I1519" s="19" t="s">
        <v>1738</v>
      </c>
      <c r="J1519" s="19" t="s">
        <v>1565</v>
      </c>
      <c r="K1519" s="21" t="s">
        <v>2475</v>
      </c>
      <c r="L1519" s="22" t="s">
        <v>60</v>
      </c>
      <c r="M1519" s="23" t="s">
        <v>77</v>
      </c>
      <c r="N1519" s="36" t="s">
        <v>2476</v>
      </c>
      <c r="O1519" s="25" t="s">
        <v>1756</v>
      </c>
      <c r="P1519" s="26">
        <f ca="1">IFERROR(VLOOKUP(DadosViagem5[[#This Row],[Placa]],[1]BIP!A:E,5,FALSE),"")</f>
        <v>45989</v>
      </c>
      <c r="Q1519" s="27">
        <f ca="1">DATEDIF(DadosViagem5[[#This Row],[BIP]],TODAY(),"D")</f>
        <v>1</v>
      </c>
      <c r="R1519" s="28" t="str">
        <f>IFERROR(VLOOKUP(DadosViagem5[[#This Row],[Placa]],[1]DDS!B:C,2,FALSE),"Verificar cadastro")</f>
        <v>Operando</v>
      </c>
      <c r="S1519" s="29" t="s">
        <v>48</v>
      </c>
      <c r="T1519" s="23"/>
      <c r="U1519" s="30"/>
      <c r="V1519" s="31"/>
      <c r="W1519" s="32"/>
      <c r="X1519" s="33"/>
      <c r="Y1519" s="34"/>
      <c r="Z1519" s="32"/>
      <c r="AA1519" s="20" t="s">
        <v>49</v>
      </c>
      <c r="AB1519" s="20" t="s">
        <v>49</v>
      </c>
      <c r="AC1519" s="19" t="s">
        <v>49</v>
      </c>
      <c r="AD1519" s="19" t="str">
        <f ca="1">IFERROR(DATEDIF(DadosViagem5[[#This Row],[Utimo Bip Reserva]],TODAY(),"D"),"")</f>
        <v/>
      </c>
      <c r="AE1519" s="36"/>
      <c r="AF1519" s="25"/>
      <c r="AG1519" s="36"/>
      <c r="AH1519" s="25">
        <v>45807</v>
      </c>
      <c r="AI1519" s="36" t="str">
        <f>IF(DadosViagem5[[#This Row],[Dias em manutenção ]]&lt;5,"Dentro do Prazo","Fora do Prazo")</f>
        <v>Fora do Prazo</v>
      </c>
      <c r="AJ1519" s="36" t="e">
        <v>#REF!</v>
      </c>
    </row>
    <row r="1520" spans="1:36">
      <c r="A1520" s="19" t="s">
        <v>2544</v>
      </c>
      <c r="B1520" s="20">
        <v>505</v>
      </c>
      <c r="C1520" s="19" t="s">
        <v>74</v>
      </c>
      <c r="D1520" s="19" t="s">
        <v>52</v>
      </c>
      <c r="E1520" s="19" t="s">
        <v>75</v>
      </c>
      <c r="F1520" s="19" t="s">
        <v>76</v>
      </c>
      <c r="G1520" s="19"/>
      <c r="H1520" s="20">
        <v>2024</v>
      </c>
      <c r="I1520" s="19" t="s">
        <v>1738</v>
      </c>
      <c r="J1520" s="19" t="s">
        <v>1565</v>
      </c>
      <c r="K1520" s="21" t="s">
        <v>2475</v>
      </c>
      <c r="L1520" s="22" t="s">
        <v>60</v>
      </c>
      <c r="M1520" s="23" t="s">
        <v>77</v>
      </c>
      <c r="N1520" s="36" t="s">
        <v>2476</v>
      </c>
      <c r="O1520" s="25" t="s">
        <v>1756</v>
      </c>
      <c r="P1520" s="26">
        <f ca="1">IFERROR(VLOOKUP(DadosViagem5[[#This Row],[Placa]],[1]BIP!A:E,5,FALSE),"")</f>
        <v>45989</v>
      </c>
      <c r="Q1520" s="27">
        <f ca="1">DATEDIF(DadosViagem5[[#This Row],[BIP]],TODAY(),"D")</f>
        <v>1</v>
      </c>
      <c r="R1520" s="28" t="str">
        <f>IFERROR(VLOOKUP(DadosViagem5[[#This Row],[Placa]],[1]DDS!B:C,2,FALSE),"Verificar cadastro")</f>
        <v>Operando</v>
      </c>
      <c r="S1520" s="29" t="s">
        <v>48</v>
      </c>
      <c r="T1520" s="23"/>
      <c r="U1520" s="30"/>
      <c r="V1520" s="31"/>
      <c r="W1520" s="32" t="s">
        <v>608</v>
      </c>
      <c r="X1520" s="33"/>
      <c r="Y1520" s="34"/>
      <c r="Z1520" s="32"/>
      <c r="AA1520" s="20" t="s">
        <v>49</v>
      </c>
      <c r="AB1520" s="20" t="s">
        <v>49</v>
      </c>
      <c r="AC1520" s="19" t="s">
        <v>49</v>
      </c>
      <c r="AD1520" s="19" t="str">
        <f ca="1">IFERROR(DATEDIF(DadosViagem5[[#This Row],[Utimo Bip Reserva]],TODAY(),"D"),"")</f>
        <v/>
      </c>
      <c r="AE1520" s="35"/>
      <c r="AF1520" s="35"/>
      <c r="AG1520" s="36"/>
      <c r="AH1520" s="25">
        <v>45807</v>
      </c>
      <c r="AI1520" s="36" t="str">
        <f>IF(DadosViagem5[[#This Row],[Dias em manutenção ]]&lt;5,"Dentro do Prazo","Fora do Prazo")</f>
        <v>Fora do Prazo</v>
      </c>
      <c r="AJ1520" s="36" t="e">
        <v>#REF!</v>
      </c>
    </row>
    <row r="1521" spans="1:36">
      <c r="A1521" s="19" t="s">
        <v>2545</v>
      </c>
      <c r="B1521" s="20"/>
      <c r="C1521" s="19" t="s">
        <v>131</v>
      </c>
      <c r="D1521" s="19" t="s">
        <v>132</v>
      </c>
      <c r="E1521" s="19" t="s">
        <v>57</v>
      </c>
      <c r="F1521" s="19" t="s">
        <v>40</v>
      </c>
      <c r="G1521" s="19"/>
      <c r="H1521" s="20">
        <v>2020</v>
      </c>
      <c r="I1521" s="19" t="s">
        <v>1738</v>
      </c>
      <c r="J1521" s="19" t="s">
        <v>2052</v>
      </c>
      <c r="K1521" s="21" t="s">
        <v>2475</v>
      </c>
      <c r="L1521" s="22" t="s">
        <v>60</v>
      </c>
      <c r="M1521" s="23" t="s">
        <v>140</v>
      </c>
      <c r="N1521" s="36" t="s">
        <v>2476</v>
      </c>
      <c r="O1521" s="25" t="s">
        <v>1756</v>
      </c>
      <c r="P1521" s="26">
        <f ca="1">IFERROR(VLOOKUP(DadosViagem5[[#This Row],[Placa]],[1]BIP!A:E,5,FALSE),"")</f>
        <v>0</v>
      </c>
      <c r="Q1521" s="27">
        <f ca="1">DATEDIF(DadosViagem5[[#This Row],[BIP]],TODAY(),"D")</f>
        <v>45990</v>
      </c>
      <c r="R1521" s="28" t="str">
        <f>IFERROR(VLOOKUP(DadosViagem5[[#This Row],[Placa]],[1]DDS!B:C,2,FALSE),"Verificar cadastro")</f>
        <v>Sem operação</v>
      </c>
      <c r="S1521" s="29" t="s">
        <v>48</v>
      </c>
      <c r="T1521" s="23"/>
      <c r="U1521" s="30"/>
      <c r="V1521" s="31"/>
      <c r="W1521" s="95" t="s">
        <v>1394</v>
      </c>
      <c r="X1521" s="33"/>
      <c r="Y1521" s="34"/>
      <c r="Z1521" s="32"/>
      <c r="AA1521" s="20" t="s">
        <v>49</v>
      </c>
      <c r="AB1521" s="20" t="s">
        <v>49</v>
      </c>
      <c r="AC1521" s="20" t="s">
        <v>49</v>
      </c>
      <c r="AD1521" s="20" t="s">
        <v>49</v>
      </c>
      <c r="AE1521" s="36" t="s">
        <v>49</v>
      </c>
      <c r="AF1521" s="25" t="s">
        <v>49</v>
      </c>
      <c r="AG1521" s="36"/>
      <c r="AH1521" s="25">
        <v>45807</v>
      </c>
      <c r="AI1521" s="36" t="str">
        <f>IF(DadosViagem5[[#This Row],[Dias em manutenção ]]&lt;5,"Dentro do Prazo","Fora do Prazo")</f>
        <v>Fora do Prazo</v>
      </c>
      <c r="AJ1521" s="36" t="e">
        <v>#REF!</v>
      </c>
    </row>
    <row r="1522" spans="1:36">
      <c r="A1522" s="19" t="s">
        <v>2546</v>
      </c>
      <c r="B1522" s="20"/>
      <c r="C1522" s="19" t="s">
        <v>74</v>
      </c>
      <c r="D1522" s="19" t="s">
        <v>52</v>
      </c>
      <c r="E1522" s="19" t="s">
        <v>75</v>
      </c>
      <c r="F1522" s="19" t="s">
        <v>115</v>
      </c>
      <c r="G1522" s="19"/>
      <c r="H1522" s="20">
        <v>2024</v>
      </c>
      <c r="I1522" s="19" t="s">
        <v>1738</v>
      </c>
      <c r="J1522" s="19" t="s">
        <v>1565</v>
      </c>
      <c r="K1522" s="21" t="s">
        <v>2475</v>
      </c>
      <c r="L1522" s="22" t="s">
        <v>60</v>
      </c>
      <c r="M1522" s="23" t="s">
        <v>77</v>
      </c>
      <c r="N1522" s="36" t="s">
        <v>2476</v>
      </c>
      <c r="O1522" s="25" t="s">
        <v>1756</v>
      </c>
      <c r="P1522" s="26">
        <f ca="1">IFERROR(VLOOKUP(DadosViagem5[[#This Row],[Placa]],[1]BIP!A:E,5,FALSE),"")</f>
        <v>45989</v>
      </c>
      <c r="Q1522" s="27">
        <f ca="1">DATEDIF(DadosViagem5[[#This Row],[BIP]],TODAY(),"D")</f>
        <v>1</v>
      </c>
      <c r="R1522" s="28" t="str">
        <f>IFERROR(VLOOKUP(DadosViagem5[[#This Row],[Placa]],[1]DDS!B:C,2,FALSE),"Verificar cadastro")</f>
        <v>Operando</v>
      </c>
      <c r="S1522" s="29" t="s">
        <v>48</v>
      </c>
      <c r="T1522" s="23"/>
      <c r="U1522" s="30"/>
      <c r="V1522" s="31"/>
      <c r="W1522" s="32"/>
      <c r="X1522" s="33"/>
      <c r="Y1522" s="34"/>
      <c r="Z1522" s="32"/>
      <c r="AA1522" s="20" t="s">
        <v>49</v>
      </c>
      <c r="AB1522" s="20" t="s">
        <v>49</v>
      </c>
      <c r="AC1522" s="19" t="s">
        <v>49</v>
      </c>
      <c r="AD1522" s="19" t="str">
        <f ca="1">IFERROR(DATEDIF(DadosViagem5[[#This Row],[Utimo Bip Reserva]],TODAY(),"D"),"")</f>
        <v/>
      </c>
      <c r="AE1522" s="36"/>
      <c r="AF1522" s="25"/>
      <c r="AG1522" s="36"/>
      <c r="AH1522" s="25">
        <v>45807</v>
      </c>
      <c r="AI1522" s="36" t="str">
        <f>IF(DadosViagem5[[#This Row],[Dias em manutenção ]]&lt;5,"Dentro do Prazo","Fora do Prazo")</f>
        <v>Fora do Prazo</v>
      </c>
      <c r="AJ1522" s="36" t="e">
        <v>#REF!</v>
      </c>
    </row>
    <row r="1523" spans="1:36">
      <c r="A1523" s="19" t="s">
        <v>2547</v>
      </c>
      <c r="B1523" s="20">
        <v>418</v>
      </c>
      <c r="C1523" s="19" t="s">
        <v>74</v>
      </c>
      <c r="D1523" s="19" t="s">
        <v>52</v>
      </c>
      <c r="E1523" s="19" t="s">
        <v>75</v>
      </c>
      <c r="F1523" s="19" t="s">
        <v>115</v>
      </c>
      <c r="G1523" s="19"/>
      <c r="H1523" s="20">
        <v>2023</v>
      </c>
      <c r="I1523" s="19" t="s">
        <v>1738</v>
      </c>
      <c r="J1523" s="19" t="s">
        <v>1565</v>
      </c>
      <c r="K1523" s="21" t="s">
        <v>2475</v>
      </c>
      <c r="L1523" s="22" t="s">
        <v>60</v>
      </c>
      <c r="M1523" s="23" t="s">
        <v>77</v>
      </c>
      <c r="N1523" s="36" t="s">
        <v>2476</v>
      </c>
      <c r="O1523" s="25" t="s">
        <v>1756</v>
      </c>
      <c r="P1523" s="26">
        <f ca="1">IFERROR(VLOOKUP(DadosViagem5[[#This Row],[Placa]],[1]BIP!A:E,5,FALSE),"")</f>
        <v>45989</v>
      </c>
      <c r="Q1523" s="27">
        <f ca="1">DATEDIF(DadosViagem5[[#This Row],[BIP]],TODAY(),"D")</f>
        <v>1</v>
      </c>
      <c r="R1523" s="28" t="str">
        <f>IFERROR(VLOOKUP(DadosViagem5[[#This Row],[Placa]],[1]DDS!B:C,2,FALSE),"Verificar cadastro")</f>
        <v>Operando</v>
      </c>
      <c r="S1523" s="29" t="s">
        <v>48</v>
      </c>
      <c r="T1523" s="23"/>
      <c r="U1523" s="30"/>
      <c r="V1523" s="31"/>
      <c r="W1523" s="32"/>
      <c r="X1523" s="33"/>
      <c r="Y1523" s="34"/>
      <c r="Z1523" s="32"/>
      <c r="AA1523" s="20" t="s">
        <v>49</v>
      </c>
      <c r="AB1523" s="20" t="s">
        <v>49</v>
      </c>
      <c r="AC1523" s="19" t="s">
        <v>49</v>
      </c>
      <c r="AD1523" s="19" t="str">
        <f ca="1">IFERROR(DATEDIF(DadosViagem5[[#This Row],[Utimo Bip Reserva]],TODAY(),"D"),"")</f>
        <v/>
      </c>
      <c r="AE1523" s="25" t="s">
        <v>49</v>
      </c>
      <c r="AF1523" s="25" t="s">
        <v>49</v>
      </c>
      <c r="AG1523" s="36" t="s">
        <v>290</v>
      </c>
      <c r="AH1523" s="25">
        <v>45807</v>
      </c>
      <c r="AI1523" s="36" t="str">
        <f>IF(DadosViagem5[[#This Row],[Dias em manutenção ]]&lt;5,"Dentro do Prazo","Fora do Prazo")</f>
        <v>Fora do Prazo</v>
      </c>
      <c r="AJ1523" s="36" t="e">
        <v>#REF!</v>
      </c>
    </row>
    <row r="1524" spans="1:36">
      <c r="A1524" s="19" t="s">
        <v>2548</v>
      </c>
      <c r="B1524" s="20">
        <v>301</v>
      </c>
      <c r="C1524" s="19" t="s">
        <v>74</v>
      </c>
      <c r="D1524" s="19" t="s">
        <v>52</v>
      </c>
      <c r="E1524" s="19" t="s">
        <v>75</v>
      </c>
      <c r="F1524" s="19" t="s">
        <v>115</v>
      </c>
      <c r="G1524" s="19"/>
      <c r="H1524" s="20">
        <v>2023</v>
      </c>
      <c r="I1524" s="19" t="s">
        <v>1738</v>
      </c>
      <c r="J1524" s="19" t="s">
        <v>1565</v>
      </c>
      <c r="K1524" s="21" t="s">
        <v>2475</v>
      </c>
      <c r="L1524" s="22" t="s">
        <v>60</v>
      </c>
      <c r="M1524" s="23" t="s">
        <v>77</v>
      </c>
      <c r="N1524" s="36" t="s">
        <v>2476</v>
      </c>
      <c r="O1524" s="25" t="s">
        <v>1756</v>
      </c>
      <c r="P1524" s="26">
        <f ca="1">IFERROR(VLOOKUP(DadosViagem5[[#This Row],[Placa]],[1]BIP!A:E,5,FALSE),"")</f>
        <v>45989</v>
      </c>
      <c r="Q1524" s="27">
        <f ca="1">DATEDIF(DadosViagem5[[#This Row],[BIP]],TODAY(),"D")</f>
        <v>1</v>
      </c>
      <c r="R1524" s="28" t="str">
        <f>IFERROR(VLOOKUP(DadosViagem5[[#This Row],[Placa]],[1]DDS!B:C,2,FALSE),"Verificar cadastro")</f>
        <v>Operando</v>
      </c>
      <c r="S1524" s="29" t="s">
        <v>48</v>
      </c>
      <c r="T1524" s="23"/>
      <c r="U1524" s="30"/>
      <c r="V1524" s="31"/>
      <c r="W1524" s="32"/>
      <c r="X1524" s="33"/>
      <c r="Y1524" s="34"/>
      <c r="Z1524" s="42"/>
      <c r="AA1524" s="20" t="s">
        <v>49</v>
      </c>
      <c r="AB1524" s="20" t="s">
        <v>49</v>
      </c>
      <c r="AC1524" s="19" t="s">
        <v>49</v>
      </c>
      <c r="AD1524" s="19" t="str">
        <f ca="1">IFERROR(DATEDIF(DadosViagem5[[#This Row],[Utimo Bip Reserva]],TODAY(),"D"),"")</f>
        <v/>
      </c>
      <c r="AE1524" s="35"/>
      <c r="AF1524" s="35" t="s">
        <v>49</v>
      </c>
      <c r="AG1524" s="36"/>
      <c r="AH1524" s="25">
        <v>45807</v>
      </c>
      <c r="AI1524" s="36" t="str">
        <f>IF(DadosViagem5[[#This Row],[Dias em manutenção ]]&lt;5,"Dentro do Prazo","Fora do Prazo")</f>
        <v>Fora do Prazo</v>
      </c>
      <c r="AJ1524" s="36" t="e">
        <v>#REF!</v>
      </c>
    </row>
    <row r="1525" spans="1:36">
      <c r="A1525" s="19" t="s">
        <v>2549</v>
      </c>
      <c r="B1525" s="20">
        <v>293</v>
      </c>
      <c r="C1525" s="19" t="s">
        <v>74</v>
      </c>
      <c r="D1525" s="19" t="s">
        <v>52</v>
      </c>
      <c r="E1525" s="19" t="s">
        <v>75</v>
      </c>
      <c r="F1525" s="19" t="s">
        <v>115</v>
      </c>
      <c r="G1525" s="19"/>
      <c r="H1525" s="20">
        <v>2023</v>
      </c>
      <c r="I1525" s="19" t="s">
        <v>1738</v>
      </c>
      <c r="J1525" s="19" t="s">
        <v>1565</v>
      </c>
      <c r="K1525" s="21" t="s">
        <v>2475</v>
      </c>
      <c r="L1525" s="22" t="s">
        <v>60</v>
      </c>
      <c r="M1525" s="23" t="s">
        <v>77</v>
      </c>
      <c r="N1525" s="36" t="s">
        <v>2476</v>
      </c>
      <c r="O1525" s="25" t="s">
        <v>1756</v>
      </c>
      <c r="P1525" s="26">
        <f ca="1">IFERROR(VLOOKUP(DadosViagem5[[#This Row],[Placa]],[1]BIP!A:E,5,FALSE),"")</f>
        <v>45989</v>
      </c>
      <c r="Q1525" s="27">
        <f ca="1">DATEDIF(DadosViagem5[[#This Row],[BIP]],TODAY(),"D")</f>
        <v>1</v>
      </c>
      <c r="R1525" s="28"/>
      <c r="S1525" s="29" t="s">
        <v>48</v>
      </c>
      <c r="T1525" s="23"/>
      <c r="U1525" s="30"/>
      <c r="V1525" s="47"/>
      <c r="W1525" s="32"/>
      <c r="X1525" s="33"/>
      <c r="Y1525" s="34"/>
      <c r="Z1525" s="32"/>
      <c r="AA1525" s="20" t="s">
        <v>49</v>
      </c>
      <c r="AB1525" s="20" t="s">
        <v>49</v>
      </c>
      <c r="AC1525" s="19" t="s">
        <v>49</v>
      </c>
      <c r="AD1525" s="19" t="str">
        <f ca="1">IFERROR(DATEDIF(DadosViagem5[[#This Row],[Utimo Bip Reserva]],TODAY(),"D"),"")</f>
        <v/>
      </c>
      <c r="AE1525" s="36"/>
      <c r="AF1525" s="25"/>
      <c r="AG1525" s="36"/>
      <c r="AH1525" s="25">
        <v>45807</v>
      </c>
      <c r="AI1525" s="36" t="str">
        <f>IF(DadosViagem5[[#This Row],[Dias em manutenção ]]&lt;5,"Dentro do Prazo","Fora do Prazo")</f>
        <v>Fora do Prazo</v>
      </c>
      <c r="AJ1525" s="36" t="e">
        <v>#REF!</v>
      </c>
    </row>
    <row r="1526" spans="1:36">
      <c r="A1526" s="19" t="s">
        <v>2550</v>
      </c>
      <c r="B1526" s="20"/>
      <c r="C1526" s="19" t="s">
        <v>131</v>
      </c>
      <c r="D1526" s="19" t="s">
        <v>132</v>
      </c>
      <c r="E1526" s="19" t="s">
        <v>114</v>
      </c>
      <c r="F1526" s="19"/>
      <c r="G1526" s="19"/>
      <c r="H1526" s="135">
        <v>2022</v>
      </c>
      <c r="I1526" s="19" t="s">
        <v>41</v>
      </c>
      <c r="J1526" s="19" t="s">
        <v>2551</v>
      </c>
      <c r="K1526" s="38" t="s">
        <v>2552</v>
      </c>
      <c r="L1526" s="22" t="s">
        <v>60</v>
      </c>
      <c r="M1526" s="23" t="s">
        <v>290</v>
      </c>
      <c r="N1526" s="25" t="s">
        <v>2553</v>
      </c>
      <c r="O1526" s="25" t="s">
        <v>1459</v>
      </c>
      <c r="P1526" s="26">
        <f ca="1">IFERROR(VLOOKUP(DadosViagem5[[#This Row],[Placa]],[1]BIP!A:E,5,FALSE),"")</f>
        <v>45989</v>
      </c>
      <c r="Q1526" s="27">
        <f ca="1">DATEDIF(DadosViagem5[[#This Row],[BIP]],TODAY(),"D")</f>
        <v>1</v>
      </c>
      <c r="R1526" s="28" t="str">
        <f>IFERROR(VLOOKUP(DadosViagem5[[#This Row],[Placa]],[1]DDS!B:C,2,FALSE),"Verificar cadastro")</f>
        <v>Operando</v>
      </c>
      <c r="S1526" s="36" t="s">
        <v>35</v>
      </c>
      <c r="T1526" s="23"/>
      <c r="U1526" s="30"/>
      <c r="V1526" s="31"/>
      <c r="W1526" s="32" t="s">
        <v>2554</v>
      </c>
      <c r="X1526" s="33"/>
      <c r="Y1526" s="34"/>
      <c r="Z1526" s="32"/>
      <c r="AA1526" s="20" t="s">
        <v>49</v>
      </c>
      <c r="AB1526" s="20" t="s">
        <v>49</v>
      </c>
      <c r="AC1526" s="19" t="s">
        <v>49</v>
      </c>
      <c r="AD1526" s="19" t="str">
        <f ca="1">IFERROR(DATEDIF(DadosViagem5[[#This Row],[Utimo Bip Reserva]],TODAY(),"D"),"")</f>
        <v/>
      </c>
      <c r="AE1526" s="36" t="s">
        <v>2555</v>
      </c>
      <c r="AF1526" s="25" t="s">
        <v>49</v>
      </c>
      <c r="AG1526" s="36" t="s">
        <v>290</v>
      </c>
      <c r="AH1526" s="25">
        <v>45807</v>
      </c>
      <c r="AI1526" s="36" t="str">
        <f>IF(DadosViagem5[[#This Row],[Dias em manutenção ]]&lt;5,"Dentro do Prazo","Fora do Prazo")</f>
        <v>Fora do Prazo</v>
      </c>
      <c r="AJ1526" s="36" t="e">
        <v>#REF!</v>
      </c>
    </row>
    <row r="1527" spans="1:36">
      <c r="A1527" s="19" t="s">
        <v>2556</v>
      </c>
      <c r="B1527" s="20"/>
      <c r="C1527" s="19" t="s">
        <v>562</v>
      </c>
      <c r="D1527" s="19" t="s">
        <v>563</v>
      </c>
      <c r="E1527" s="19" t="s">
        <v>114</v>
      </c>
      <c r="F1527" s="19" t="s">
        <v>115</v>
      </c>
      <c r="G1527" s="19"/>
      <c r="H1527" s="135">
        <v>2023</v>
      </c>
      <c r="I1527" s="19" t="s">
        <v>41</v>
      </c>
      <c r="J1527" s="19" t="s">
        <v>2551</v>
      </c>
      <c r="K1527" s="21" t="s">
        <v>2552</v>
      </c>
      <c r="L1527" s="22" t="s">
        <v>60</v>
      </c>
      <c r="M1527" s="23" t="s">
        <v>290</v>
      </c>
      <c r="N1527" s="25" t="s">
        <v>2553</v>
      </c>
      <c r="O1527" s="25" t="s">
        <v>1459</v>
      </c>
      <c r="P1527" s="26">
        <f ca="1">IFERROR(VLOOKUP(DadosViagem5[[#This Row],[Placa]],[1]BIP!A:E,5,FALSE),"")</f>
        <v>45989</v>
      </c>
      <c r="Q1527" s="27">
        <f ca="1">DATEDIF(DadosViagem5[[#This Row],[BIP]],TODAY(),"D")</f>
        <v>1</v>
      </c>
      <c r="R1527" s="28" t="str">
        <f>IFERROR(VLOOKUP(DadosViagem5[[#This Row],[Placa]],[1]DDS!B:C,2,FALSE),"Verificar cadastro")</f>
        <v>Operando</v>
      </c>
      <c r="S1527" s="29" t="s">
        <v>48</v>
      </c>
      <c r="T1527" s="23"/>
      <c r="U1527" s="30"/>
      <c r="V1527" s="31"/>
      <c r="W1527" s="32"/>
      <c r="X1527" s="33"/>
      <c r="Y1527" s="34" t="s">
        <v>49</v>
      </c>
      <c r="Z1527" s="32"/>
      <c r="AA1527" s="20" t="s">
        <v>49</v>
      </c>
      <c r="AB1527" s="20" t="s">
        <v>49</v>
      </c>
      <c r="AC1527" s="19" t="s">
        <v>49</v>
      </c>
      <c r="AD1527" s="19" t="str">
        <f ca="1">IFERROR(DATEDIF(DadosViagem5[[#This Row],[Utimo Bip Reserva]],TODAY(),"D"),"")</f>
        <v/>
      </c>
      <c r="AE1527" s="36" t="s">
        <v>49</v>
      </c>
      <c r="AF1527" s="25" t="s">
        <v>49</v>
      </c>
      <c r="AG1527" s="36" t="s">
        <v>290</v>
      </c>
      <c r="AH1527" s="25">
        <v>45807</v>
      </c>
      <c r="AI1527" s="36" t="str">
        <f>IF(DadosViagem5[[#This Row],[Dias em manutenção ]]&lt;5,"Dentro do Prazo","Fora do Prazo")</f>
        <v>Fora do Prazo</v>
      </c>
      <c r="AJ1527" s="36" t="e">
        <v>#REF!</v>
      </c>
    </row>
    <row r="1528" spans="1:36">
      <c r="A1528" s="19" t="s">
        <v>2557</v>
      </c>
      <c r="B1528" s="20"/>
      <c r="C1528" s="19" t="s">
        <v>562</v>
      </c>
      <c r="D1528" s="19" t="s">
        <v>563</v>
      </c>
      <c r="E1528" s="19" t="s">
        <v>114</v>
      </c>
      <c r="F1528" s="19" t="s">
        <v>115</v>
      </c>
      <c r="G1528" s="19"/>
      <c r="H1528" s="20">
        <v>2023</v>
      </c>
      <c r="I1528" s="19" t="s">
        <v>41</v>
      </c>
      <c r="J1528" s="19" t="s">
        <v>2551</v>
      </c>
      <c r="K1528" s="21" t="s">
        <v>2552</v>
      </c>
      <c r="L1528" s="22" t="s">
        <v>60</v>
      </c>
      <c r="M1528" s="23" t="s">
        <v>290</v>
      </c>
      <c r="N1528" s="25" t="s">
        <v>2553</v>
      </c>
      <c r="O1528" s="25" t="s">
        <v>1459</v>
      </c>
      <c r="P1528" s="26">
        <f ca="1">IFERROR(VLOOKUP(DadosViagem5[[#This Row],[Placa]],[1]BIP!A:E,5,FALSE),"")</f>
        <v>45982</v>
      </c>
      <c r="Q1528" s="27">
        <f ca="1">DATEDIF(DadosViagem5[[#This Row],[BIP]],TODAY(),"D")</f>
        <v>8</v>
      </c>
      <c r="R1528" s="28" t="str">
        <f>IFERROR(VLOOKUP(DadosViagem5[[#This Row],[Placa]],[1]DDS!B:C,2,FALSE),"Verificar cadastro")</f>
        <v>Manutenção</v>
      </c>
      <c r="S1528" s="29" t="s">
        <v>48</v>
      </c>
      <c r="T1528" s="23"/>
      <c r="U1528" s="31"/>
      <c r="V1528" s="31"/>
      <c r="W1528" s="166" t="s">
        <v>2558</v>
      </c>
      <c r="X1528" s="33"/>
      <c r="Y1528" s="34"/>
      <c r="Z1528" s="32"/>
      <c r="AA1528" s="20" t="s">
        <v>49</v>
      </c>
      <c r="AB1528" s="20" t="s">
        <v>49</v>
      </c>
      <c r="AC1528" s="19" t="s">
        <v>49</v>
      </c>
      <c r="AD1528" s="19" t="str">
        <f ca="1">IFERROR(DATEDIF(DadosViagem5[[#This Row],[Utimo Bip Reserva]],TODAY(),"D"),"")</f>
        <v/>
      </c>
      <c r="AE1528" s="36" t="s">
        <v>49</v>
      </c>
      <c r="AF1528" s="25" t="s">
        <v>49</v>
      </c>
      <c r="AG1528" s="36" t="s">
        <v>290</v>
      </c>
      <c r="AH1528" s="25">
        <v>45807</v>
      </c>
      <c r="AI1528" s="36" t="str">
        <f>IF(DadosViagem5[[#This Row],[Dias em manutenção ]]&lt;5,"Dentro do Prazo","Fora do Prazo")</f>
        <v>Fora do Prazo</v>
      </c>
      <c r="AJ1528" s="36" t="e">
        <v>#REF!</v>
      </c>
    </row>
    <row r="1529" spans="1:36">
      <c r="A1529" s="19" t="s">
        <v>2559</v>
      </c>
      <c r="B1529" s="20"/>
      <c r="C1529" s="19" t="s">
        <v>562</v>
      </c>
      <c r="D1529" s="19" t="s">
        <v>563</v>
      </c>
      <c r="E1529" s="19" t="s">
        <v>114</v>
      </c>
      <c r="F1529" s="19" t="s">
        <v>115</v>
      </c>
      <c r="G1529" s="19"/>
      <c r="H1529" s="20">
        <v>2022</v>
      </c>
      <c r="I1529" s="19" t="s">
        <v>41</v>
      </c>
      <c r="J1529" s="19" t="s">
        <v>2551</v>
      </c>
      <c r="K1529" s="21" t="s">
        <v>2552</v>
      </c>
      <c r="L1529" s="22" t="s">
        <v>60</v>
      </c>
      <c r="M1529" s="23" t="s">
        <v>290</v>
      </c>
      <c r="N1529" s="25" t="s">
        <v>2553</v>
      </c>
      <c r="O1529" s="25" t="s">
        <v>1459</v>
      </c>
      <c r="P1529" s="26">
        <f ca="1">IFERROR(VLOOKUP(DadosViagem5[[#This Row],[Placa]],[1]BIP!A:E,5,FALSE),"")</f>
        <v>45967</v>
      </c>
      <c r="Q1529" s="27">
        <f ca="1">DATEDIF(DadosViagem5[[#This Row],[BIP]],TODAY(),"D")</f>
        <v>23</v>
      </c>
      <c r="R1529" s="28" t="str">
        <f>IFERROR(VLOOKUP(DadosViagem5[[#This Row],[Placa]],[1]DDS!B:C,2,FALSE),"Verificar cadastro")</f>
        <v>Manutenção</v>
      </c>
      <c r="S1529" s="29" t="s">
        <v>1927</v>
      </c>
      <c r="T1529" s="23"/>
      <c r="U1529" s="30"/>
      <c r="V1529" s="31"/>
      <c r="W1529" s="116" t="s">
        <v>1107</v>
      </c>
      <c r="X1529" s="33"/>
      <c r="Y1529" s="34"/>
      <c r="Z1529" s="32"/>
      <c r="AA1529" s="20" t="s">
        <v>49</v>
      </c>
      <c r="AB1529" s="20" t="s">
        <v>49</v>
      </c>
      <c r="AC1529" s="19" t="s">
        <v>49</v>
      </c>
      <c r="AD1529" s="19" t="str">
        <f ca="1">IFERROR(DATEDIF(DadosViagem5[[#This Row],[Utimo Bip Reserva]],TODAY(),"D"),"")</f>
        <v/>
      </c>
      <c r="AE1529" s="36" t="s">
        <v>49</v>
      </c>
      <c r="AF1529" s="25" t="s">
        <v>49</v>
      </c>
      <c r="AG1529" s="36" t="s">
        <v>290</v>
      </c>
      <c r="AH1529" s="25">
        <v>9</v>
      </c>
      <c r="AI1529" s="36" t="str">
        <f>IF(DadosViagem5[[#This Row],[Dias em manutenção ]]&lt;5,"Dentro do Prazo","Fora do Prazo")</f>
        <v>Fora do Prazo</v>
      </c>
      <c r="AJ1529" s="36" t="e">
        <v>#REF!</v>
      </c>
    </row>
    <row r="1530" spans="1:36">
      <c r="A1530" s="19" t="s">
        <v>2560</v>
      </c>
      <c r="B1530" s="20"/>
      <c r="C1530" s="19" t="s">
        <v>562</v>
      </c>
      <c r="D1530" s="19" t="s">
        <v>563</v>
      </c>
      <c r="E1530" s="19" t="s">
        <v>114</v>
      </c>
      <c r="F1530" s="19" t="s">
        <v>115</v>
      </c>
      <c r="G1530" s="19"/>
      <c r="H1530" s="20">
        <v>2022</v>
      </c>
      <c r="I1530" s="19" t="s">
        <v>41</v>
      </c>
      <c r="J1530" s="19" t="s">
        <v>2551</v>
      </c>
      <c r="K1530" s="21" t="s">
        <v>2552</v>
      </c>
      <c r="L1530" s="22" t="s">
        <v>60</v>
      </c>
      <c r="M1530" s="23" t="s">
        <v>290</v>
      </c>
      <c r="N1530" s="25" t="s">
        <v>2553</v>
      </c>
      <c r="O1530" s="25" t="s">
        <v>1459</v>
      </c>
      <c r="P1530" s="26">
        <f ca="1">IFERROR(VLOOKUP(DadosViagem5[[#This Row],[Placa]],[1]BIP!A:E,5,FALSE),"")</f>
        <v>45989</v>
      </c>
      <c r="Q1530" s="27">
        <f ca="1">DATEDIF(DadosViagem5[[#This Row],[BIP]],TODAY(),"D")</f>
        <v>1</v>
      </c>
      <c r="R1530" s="28" t="str">
        <f>IFERROR(VLOOKUP(DadosViagem5[[#This Row],[Placa]],[1]DDS!B:C,2,FALSE),"Verificar cadastro")</f>
        <v>Operando</v>
      </c>
      <c r="S1530" s="29" t="s">
        <v>48</v>
      </c>
      <c r="T1530" s="23"/>
      <c r="U1530" s="30"/>
      <c r="V1530" s="31"/>
      <c r="W1530" s="32"/>
      <c r="X1530" s="33"/>
      <c r="Y1530" s="34"/>
      <c r="Z1530" s="32"/>
      <c r="AA1530" s="20" t="s">
        <v>2561</v>
      </c>
      <c r="AB1530" s="20" t="s">
        <v>49</v>
      </c>
      <c r="AC1530" s="19" t="s">
        <v>49</v>
      </c>
      <c r="AD1530" s="19" t="str">
        <f ca="1">IFERROR(DATEDIF(DadosViagem5[[#This Row],[Utimo Bip Reserva]],TODAY(),"D"),"")</f>
        <v/>
      </c>
      <c r="AE1530" s="36" t="s">
        <v>49</v>
      </c>
      <c r="AF1530" s="25" t="s">
        <v>49</v>
      </c>
      <c r="AG1530" s="36" t="s">
        <v>290</v>
      </c>
      <c r="AH1530" s="25">
        <v>35</v>
      </c>
      <c r="AI1530" s="36" t="str">
        <f>IF(DadosViagem5[[#This Row],[Dias em manutenção ]]&lt;5,"Dentro do Prazo","Fora do Prazo")</f>
        <v>Fora do Prazo</v>
      </c>
      <c r="AJ1530" s="36" t="e">
        <v>#REF!</v>
      </c>
    </row>
    <row r="1531" spans="1:36">
      <c r="A1531" s="19" t="s">
        <v>2562</v>
      </c>
      <c r="B1531" s="20"/>
      <c r="C1531" s="19" t="s">
        <v>562</v>
      </c>
      <c r="D1531" s="19" t="s">
        <v>563</v>
      </c>
      <c r="E1531" s="19" t="s">
        <v>114</v>
      </c>
      <c r="F1531" s="19" t="s">
        <v>115</v>
      </c>
      <c r="G1531" s="19"/>
      <c r="H1531" s="20">
        <v>2023</v>
      </c>
      <c r="I1531" s="19" t="s">
        <v>41</v>
      </c>
      <c r="J1531" s="19" t="s">
        <v>2551</v>
      </c>
      <c r="K1531" s="21" t="s">
        <v>2552</v>
      </c>
      <c r="L1531" s="22" t="s">
        <v>60</v>
      </c>
      <c r="M1531" s="23" t="s">
        <v>290</v>
      </c>
      <c r="N1531" s="25" t="s">
        <v>2553</v>
      </c>
      <c r="O1531" s="25" t="s">
        <v>1459</v>
      </c>
      <c r="P1531" s="26">
        <f ca="1">IFERROR(VLOOKUP(DadosViagem5[[#This Row],[Placa]],[1]BIP!A:E,5,FALSE),"")</f>
        <v>45751</v>
      </c>
      <c r="Q1531" s="27">
        <f ca="1">DATEDIF(DadosViagem5[[#This Row],[BIP]],TODAY(),"D")</f>
        <v>239</v>
      </c>
      <c r="R1531" s="28" t="str">
        <f>IFERROR(VLOOKUP(DadosViagem5[[#This Row],[Placa]],[1]DDS!B:C,2,FALSE),"Verificar cadastro")</f>
        <v>Verificar cadastro</v>
      </c>
      <c r="S1531" s="36" t="s">
        <v>1574</v>
      </c>
      <c r="T1531" s="23"/>
      <c r="U1531" s="30"/>
      <c r="V1531" s="31"/>
      <c r="W1531" s="116"/>
      <c r="X1531" s="33"/>
      <c r="Y1531" s="34"/>
      <c r="Z1531" s="42"/>
      <c r="AA1531" s="20" t="s">
        <v>2563</v>
      </c>
      <c r="AB1531" s="20" t="s">
        <v>49</v>
      </c>
      <c r="AC1531" s="19" t="s">
        <v>49</v>
      </c>
      <c r="AD1531" s="19" t="str">
        <f ca="1">IFERROR(DATEDIF(DadosViagem5[[#This Row],[Utimo Bip Reserva]],TODAY(),"D"),"")</f>
        <v/>
      </c>
      <c r="AE1531" s="36" t="s">
        <v>49</v>
      </c>
      <c r="AF1531" s="25" t="s">
        <v>49</v>
      </c>
      <c r="AG1531" s="36" t="s">
        <v>290</v>
      </c>
      <c r="AH1531" s="25">
        <v>54</v>
      </c>
      <c r="AI1531" s="36" t="str">
        <f>IF(DadosViagem5[[#This Row],[Dias em manutenção ]]&lt;5,"Dentro do Prazo","Fora do Prazo")</f>
        <v>Fora do Prazo</v>
      </c>
      <c r="AJ1531" s="36" t="e">
        <v>#REF!</v>
      </c>
    </row>
    <row r="1532" spans="1:36">
      <c r="A1532" s="19" t="s">
        <v>2564</v>
      </c>
      <c r="B1532" s="20"/>
      <c r="C1532" s="19" t="s">
        <v>562</v>
      </c>
      <c r="D1532" s="19" t="s">
        <v>563</v>
      </c>
      <c r="E1532" s="19" t="s">
        <v>114</v>
      </c>
      <c r="F1532" s="19" t="s">
        <v>115</v>
      </c>
      <c r="G1532" s="19"/>
      <c r="H1532" s="20">
        <v>2023</v>
      </c>
      <c r="I1532" s="19" t="s">
        <v>41</v>
      </c>
      <c r="J1532" s="19" t="s">
        <v>2551</v>
      </c>
      <c r="K1532" s="21" t="s">
        <v>2552</v>
      </c>
      <c r="L1532" s="22" t="s">
        <v>60</v>
      </c>
      <c r="M1532" s="23" t="s">
        <v>290</v>
      </c>
      <c r="N1532" s="25" t="s">
        <v>2553</v>
      </c>
      <c r="O1532" s="25" t="s">
        <v>1459</v>
      </c>
      <c r="P1532" s="26">
        <f ca="1">IFERROR(VLOOKUP(DadosViagem5[[#This Row],[Placa]],[1]BIP!A:E,5,FALSE),"")</f>
        <v>45982</v>
      </c>
      <c r="Q1532" s="27">
        <f ca="1">DATEDIF(DadosViagem5[[#This Row],[BIP]],TODAY(),"D")</f>
        <v>8</v>
      </c>
      <c r="R1532" s="28" t="str">
        <f>IFERROR(VLOOKUP(DadosViagem5[[#This Row],[Placa]],[1]DDS!B:C,2,FALSE),"Verificar cadastro")</f>
        <v>Manutenção</v>
      </c>
      <c r="S1532" s="29" t="s">
        <v>48</v>
      </c>
      <c r="T1532" s="23"/>
      <c r="U1532" s="30"/>
      <c r="V1532" s="31"/>
      <c r="W1532" s="32"/>
      <c r="X1532" s="33"/>
      <c r="Y1532" s="34"/>
      <c r="Z1532" s="167"/>
      <c r="AA1532" s="20" t="s">
        <v>49</v>
      </c>
      <c r="AB1532" s="20" t="s">
        <v>49</v>
      </c>
      <c r="AC1532" s="19" t="s">
        <v>49</v>
      </c>
      <c r="AD1532" s="19" t="str">
        <f ca="1">IFERROR(DATEDIF(DadosViagem5[[#This Row],[Utimo Bip Reserva]],TODAY(),"D"),"")</f>
        <v/>
      </c>
      <c r="AE1532" s="36" t="s">
        <v>49</v>
      </c>
      <c r="AF1532" s="25" t="s">
        <v>49</v>
      </c>
      <c r="AG1532" s="36" t="s">
        <v>290</v>
      </c>
      <c r="AH1532" s="25">
        <v>45807</v>
      </c>
      <c r="AI1532" s="36" t="str">
        <f>IF(DadosViagem5[[#This Row],[Dias em manutenção ]]&lt;5,"Dentro do Prazo","Fora do Prazo")</f>
        <v>Fora do Prazo</v>
      </c>
      <c r="AJ1532" s="36" t="e">
        <v>#REF!</v>
      </c>
    </row>
    <row r="1533" spans="1:36">
      <c r="A1533" s="97" t="s">
        <v>2565</v>
      </c>
      <c r="B1533" s="98"/>
      <c r="C1533" s="97" t="s">
        <v>51</v>
      </c>
      <c r="D1533" s="97" t="s">
        <v>52</v>
      </c>
      <c r="E1533" s="97" t="s">
        <v>57</v>
      </c>
      <c r="F1533" s="97" t="s">
        <v>40</v>
      </c>
      <c r="G1533" s="97"/>
      <c r="H1533" s="98">
        <v>2018</v>
      </c>
      <c r="I1533" s="97" t="s">
        <v>41</v>
      </c>
      <c r="J1533" s="97" t="s">
        <v>2551</v>
      </c>
      <c r="K1533" s="99" t="s">
        <v>2552</v>
      </c>
      <c r="L1533" s="100" t="s">
        <v>60</v>
      </c>
      <c r="M1533" s="168" t="s">
        <v>290</v>
      </c>
      <c r="N1533" s="25" t="s">
        <v>2553</v>
      </c>
      <c r="O1533" s="25" t="s">
        <v>1459</v>
      </c>
      <c r="P1533" s="26">
        <f ca="1">IFERROR(VLOOKUP(DadosViagem5[[#This Row],[Placa]],[1]BIP!A:E,5,FALSE),"")</f>
        <v>0</v>
      </c>
      <c r="Q1533" s="27">
        <f ca="1">DATEDIF(DadosViagem5[[#This Row],[BIP]],TODAY(),"D")</f>
        <v>45990</v>
      </c>
      <c r="R1533" s="28" t="str">
        <f>IFERROR(VLOOKUP(DadosViagem5[[#This Row],[Placa]],[1]DDS!B:C,2,FALSE),"Verificar cadastro")</f>
        <v> </v>
      </c>
      <c r="S1533" s="29" t="s">
        <v>48</v>
      </c>
      <c r="T1533" s="23"/>
      <c r="U1533" s="30"/>
      <c r="V1533" s="30"/>
      <c r="W1533" s="32" t="s">
        <v>1473</v>
      </c>
      <c r="X1533" s="33"/>
      <c r="Y1533" s="34"/>
      <c r="Z1533" s="42"/>
      <c r="AA1533" s="20" t="s">
        <v>49</v>
      </c>
      <c r="AB1533" s="20" t="s">
        <v>49</v>
      </c>
      <c r="AC1533" s="19" t="s">
        <v>49</v>
      </c>
      <c r="AD1533" s="19" t="str">
        <f ca="1">IFERROR(DATEDIF(DadosViagem5[[#This Row],[Utimo Bip Reserva]],TODAY(),"D"),"")</f>
        <v/>
      </c>
      <c r="AE1533" s="36" t="s">
        <v>49</v>
      </c>
      <c r="AF1533" s="25" t="s">
        <v>49</v>
      </c>
      <c r="AG1533" s="36" t="s">
        <v>290</v>
      </c>
      <c r="AH1533" s="25">
        <v>45807</v>
      </c>
      <c r="AI1533" s="36" t="str">
        <f>IF(DadosViagem5[[#This Row],[Dias em manutenção ]]&lt;5,"Dentro do Prazo","Fora do Prazo")</f>
        <v>Fora do Prazo</v>
      </c>
      <c r="AJ1533" s="36" t="e">
        <v>#REF!</v>
      </c>
    </row>
    <row r="1534" spans="1:36">
      <c r="A1534" s="19" t="s">
        <v>2566</v>
      </c>
      <c r="B1534" s="20"/>
      <c r="C1534" s="19" t="s">
        <v>562</v>
      </c>
      <c r="D1534" s="19" t="s">
        <v>563</v>
      </c>
      <c r="E1534" s="19" t="s">
        <v>114</v>
      </c>
      <c r="F1534" s="19" t="s">
        <v>115</v>
      </c>
      <c r="G1534" s="19"/>
      <c r="H1534" s="20">
        <v>2023</v>
      </c>
      <c r="I1534" s="19" t="s">
        <v>41</v>
      </c>
      <c r="J1534" s="19" t="s">
        <v>2551</v>
      </c>
      <c r="K1534" s="21" t="s">
        <v>2552</v>
      </c>
      <c r="L1534" s="72" t="s">
        <v>60</v>
      </c>
      <c r="M1534" s="23" t="s">
        <v>290</v>
      </c>
      <c r="N1534" s="25" t="s">
        <v>2553</v>
      </c>
      <c r="O1534" s="25" t="s">
        <v>1459</v>
      </c>
      <c r="P1534" s="26">
        <f ca="1">IFERROR(VLOOKUP(DadosViagem5[[#This Row],[Placa]],[1]BIP!A:E,5,FALSE),"")</f>
        <v>45989</v>
      </c>
      <c r="Q1534" s="27">
        <f ca="1">DATEDIF(DadosViagem5[[#This Row],[BIP]],TODAY(),"D")</f>
        <v>1</v>
      </c>
      <c r="R1534" s="28" t="s">
        <v>1137</v>
      </c>
      <c r="S1534" s="36" t="s">
        <v>1955</v>
      </c>
      <c r="T1534" s="23"/>
      <c r="U1534" s="30"/>
      <c r="V1534" s="31"/>
      <c r="W1534" s="32"/>
      <c r="X1534" s="33"/>
      <c r="Y1534" s="34"/>
      <c r="Z1534" s="42"/>
      <c r="AA1534" s="20" t="s">
        <v>49</v>
      </c>
      <c r="AB1534" s="20" t="s">
        <v>49</v>
      </c>
      <c r="AC1534" s="19" t="s">
        <v>49</v>
      </c>
      <c r="AD1534" s="19" t="str">
        <f ca="1">IFERROR(DATEDIF(DadosViagem5[[#This Row],[Utimo Bip Reserva]],TODAY(),"D"),"")</f>
        <v/>
      </c>
      <c r="AE1534" s="36" t="s">
        <v>49</v>
      </c>
      <c r="AF1534" s="25" t="s">
        <v>49</v>
      </c>
      <c r="AG1534" s="36" t="s">
        <v>290</v>
      </c>
      <c r="AH1534" s="25">
        <v>35</v>
      </c>
      <c r="AI1534" s="36" t="str">
        <f>IF(DadosViagem5[[#This Row],[Dias em manutenção ]]&lt;5,"Dentro do Prazo","Fora do Prazo")</f>
        <v>Fora do Prazo</v>
      </c>
      <c r="AJ1534" s="36" t="e">
        <v>#REF!</v>
      </c>
    </row>
    <row r="1535" spans="1:36">
      <c r="A1535" s="19" t="s">
        <v>2567</v>
      </c>
      <c r="B1535" s="20"/>
      <c r="C1535" s="19" t="s">
        <v>88</v>
      </c>
      <c r="D1535" s="19" t="s">
        <v>52</v>
      </c>
      <c r="E1535" s="19" t="s">
        <v>114</v>
      </c>
      <c r="F1535" s="19" t="s">
        <v>115</v>
      </c>
      <c r="G1535" s="19"/>
      <c r="H1535" s="20">
        <v>2023</v>
      </c>
      <c r="I1535" s="19" t="s">
        <v>41</v>
      </c>
      <c r="J1535" s="19" t="s">
        <v>2551</v>
      </c>
      <c r="K1535" s="21" t="s">
        <v>2568</v>
      </c>
      <c r="L1535" s="72" t="s">
        <v>60</v>
      </c>
      <c r="M1535" s="23" t="s">
        <v>61</v>
      </c>
      <c r="N1535" s="40" t="s">
        <v>709</v>
      </c>
      <c r="O1535" s="40" t="s">
        <v>710</v>
      </c>
      <c r="P1535" s="26">
        <f ca="1">IFERROR(VLOOKUP(DadosViagem5[[#This Row],[Placa]],[1]BIP!A:E,5,FALSE),"")</f>
        <v>45989</v>
      </c>
      <c r="Q1535" s="27">
        <f ca="1">DATEDIF(DadosViagem5[[#This Row],[BIP]],TODAY(),"D")</f>
        <v>1</v>
      </c>
      <c r="R1535" s="28" t="str">
        <f>IFERROR(VLOOKUP(DadosViagem5[[#This Row],[Placa]],[1]DDS!B:C,2,FALSE),"Verificar cadastro")</f>
        <v>Operando</v>
      </c>
      <c r="S1535" s="36" t="s">
        <v>35</v>
      </c>
      <c r="T1535" s="23"/>
      <c r="U1535" s="30"/>
      <c r="V1535" s="31"/>
      <c r="W1535" s="32" t="s">
        <v>2569</v>
      </c>
      <c r="X1535" s="33"/>
      <c r="Y1535" s="34"/>
      <c r="Z1535" s="32"/>
      <c r="AA1535" s="20" t="s">
        <v>49</v>
      </c>
      <c r="AB1535" s="20" t="s">
        <v>49</v>
      </c>
      <c r="AC1535" s="19" t="s">
        <v>49</v>
      </c>
      <c r="AD1535" s="19" t="str">
        <f ca="1">IFERROR(DATEDIF(DadosViagem5[[#This Row],[Utimo Bip Reserva]],TODAY(),"D"),"")</f>
        <v/>
      </c>
      <c r="AE1535" s="36" t="s">
        <v>49</v>
      </c>
      <c r="AF1535" s="25" t="s">
        <v>49</v>
      </c>
      <c r="AG1535" s="36" t="s">
        <v>290</v>
      </c>
      <c r="AH1535" s="25">
        <v>45807</v>
      </c>
      <c r="AI1535" s="36" t="str">
        <f>IF(DadosViagem5[[#This Row],[Dias em manutenção ]]&lt;5,"Dentro do Prazo","Fora do Prazo")</f>
        <v>Fora do Prazo</v>
      </c>
      <c r="AJ1535" s="36" t="e">
        <v>#REF!</v>
      </c>
    </row>
    <row r="1536" spans="1:36">
      <c r="A1536" s="19" t="s">
        <v>2570</v>
      </c>
      <c r="B1536" s="20"/>
      <c r="C1536" s="19" t="s">
        <v>562</v>
      </c>
      <c r="D1536" s="19" t="s">
        <v>563</v>
      </c>
      <c r="E1536" s="19" t="s">
        <v>114</v>
      </c>
      <c r="F1536" s="19" t="s">
        <v>115</v>
      </c>
      <c r="G1536" s="19"/>
      <c r="H1536" s="20">
        <v>2022</v>
      </c>
      <c r="I1536" s="19" t="s">
        <v>41</v>
      </c>
      <c r="J1536" s="19" t="s">
        <v>2551</v>
      </c>
      <c r="K1536" s="21" t="s">
        <v>2552</v>
      </c>
      <c r="L1536" s="22" t="s">
        <v>60</v>
      </c>
      <c r="M1536" s="23" t="s">
        <v>290</v>
      </c>
      <c r="N1536" s="25" t="s">
        <v>2553</v>
      </c>
      <c r="O1536" s="25" t="s">
        <v>1459</v>
      </c>
      <c r="P1536" s="26">
        <f ca="1">IFERROR(VLOOKUP(DadosViagem5[[#This Row],[Placa]],[1]BIP!A:E,5,FALSE),"")</f>
        <v>45989</v>
      </c>
      <c r="Q1536" s="27">
        <f ca="1">DATEDIF(DadosViagem5[[#This Row],[BIP]],TODAY(),"D")</f>
        <v>1</v>
      </c>
      <c r="R1536" s="28" t="str">
        <f>IFERROR(VLOOKUP(DadosViagem5[[#This Row],[Placa]],[1]DDS!B:C,2,FALSE),"Verificar cadastro")</f>
        <v>Operando</v>
      </c>
      <c r="S1536" s="29" t="s">
        <v>48</v>
      </c>
      <c r="T1536" s="23"/>
      <c r="U1536" s="30"/>
      <c r="V1536" s="31"/>
      <c r="W1536" s="32"/>
      <c r="X1536" s="33"/>
      <c r="Y1536" s="34"/>
      <c r="Z1536" s="32" t="s">
        <v>55</v>
      </c>
      <c r="AA1536" s="20" t="s">
        <v>49</v>
      </c>
      <c r="AB1536" s="20" t="s">
        <v>49</v>
      </c>
      <c r="AC1536" s="19" t="s">
        <v>49</v>
      </c>
      <c r="AD1536" s="19" t="str">
        <f ca="1">IFERROR(DATEDIF(DadosViagem5[[#This Row],[Utimo Bip Reserva]],TODAY(),"D"),"")</f>
        <v/>
      </c>
      <c r="AE1536" s="36" t="s">
        <v>2571</v>
      </c>
      <c r="AF1536" s="25" t="s">
        <v>49</v>
      </c>
      <c r="AG1536" s="36" t="s">
        <v>290</v>
      </c>
      <c r="AH1536" s="25">
        <v>63</v>
      </c>
      <c r="AI1536" s="36" t="str">
        <f>IF(DadosViagem5[[#This Row],[Dias em manutenção ]]&lt;5,"Dentro do Prazo","Fora do Prazo")</f>
        <v>Fora do Prazo</v>
      </c>
      <c r="AJ1536" s="36" t="e">
        <v>#REF!</v>
      </c>
    </row>
    <row r="1537" spans="1:36">
      <c r="A1537" s="19" t="s">
        <v>2572</v>
      </c>
      <c r="B1537" s="161"/>
      <c r="C1537" s="19" t="s">
        <v>562</v>
      </c>
      <c r="D1537" s="19" t="s">
        <v>563</v>
      </c>
      <c r="E1537" s="19" t="s">
        <v>114</v>
      </c>
      <c r="F1537" s="19" t="s">
        <v>115</v>
      </c>
      <c r="G1537" s="19"/>
      <c r="H1537" s="20">
        <v>2022</v>
      </c>
      <c r="I1537" s="19" t="s">
        <v>41</v>
      </c>
      <c r="J1537" s="19" t="s">
        <v>2551</v>
      </c>
      <c r="K1537" s="21" t="s">
        <v>2552</v>
      </c>
      <c r="L1537" s="22" t="s">
        <v>60</v>
      </c>
      <c r="M1537" s="23" t="s">
        <v>290</v>
      </c>
      <c r="N1537" s="25" t="s">
        <v>2553</v>
      </c>
      <c r="O1537" s="25" t="s">
        <v>1459</v>
      </c>
      <c r="P1537" s="26">
        <f ca="1">IFERROR(VLOOKUP(DadosViagem5[[#This Row],[Placa]],[1]BIP!A:E,5,FALSE),"")</f>
        <v>45980</v>
      </c>
      <c r="Q1537" s="27">
        <f ca="1">DATEDIF(DadosViagem5[[#This Row],[BIP]],TODAY(),"D")</f>
        <v>10</v>
      </c>
      <c r="R1537" s="28" t="str">
        <f>IFERROR(VLOOKUP(DadosViagem5[[#This Row],[Placa]],[1]DDS!B:C,2,FALSE),"Verificar cadastro")</f>
        <v>Manutenção</v>
      </c>
      <c r="S1537" s="29" t="s">
        <v>2573</v>
      </c>
      <c r="T1537" s="23"/>
      <c r="U1537" s="30"/>
      <c r="V1537" s="31"/>
      <c r="W1537" s="32" t="s">
        <v>2574</v>
      </c>
      <c r="X1537" s="33"/>
      <c r="Y1537" s="34"/>
      <c r="Z1537" s="169"/>
      <c r="AA1537" s="161" t="s">
        <v>49</v>
      </c>
      <c r="AB1537" s="161" t="s">
        <v>49</v>
      </c>
      <c r="AC1537" s="162" t="s">
        <v>49</v>
      </c>
      <c r="AD1537" s="162" t="str">
        <f ca="1">IFERROR(DATEDIF(DadosViagem5[[#This Row],[Utimo Bip Reserva]],TODAY(),"D"),"")</f>
        <v/>
      </c>
      <c r="AE1537" s="23" t="s">
        <v>49</v>
      </c>
      <c r="AF1537" s="30" t="s">
        <v>49</v>
      </c>
      <c r="AG1537" s="23" t="s">
        <v>290</v>
      </c>
      <c r="AH1537" s="30">
        <v>45807</v>
      </c>
      <c r="AI1537" s="23" t="str">
        <f>IF(DadosViagem5[[#This Row],[Dias em manutenção ]]&lt;5,"Dentro do Prazo","Fora do Prazo")</f>
        <v>Fora do Prazo</v>
      </c>
      <c r="AJ1537" s="23" t="e">
        <v>#REF!</v>
      </c>
    </row>
    <row r="1538" spans="1:36">
      <c r="A1538" s="19" t="s">
        <v>2575</v>
      </c>
      <c r="B1538" s="20"/>
      <c r="C1538" s="19" t="s">
        <v>131</v>
      </c>
      <c r="D1538" s="19" t="s">
        <v>132</v>
      </c>
      <c r="E1538" s="19" t="s">
        <v>114</v>
      </c>
      <c r="F1538" s="19" t="s">
        <v>115</v>
      </c>
      <c r="G1538" s="19"/>
      <c r="H1538" s="20">
        <v>2024</v>
      </c>
      <c r="I1538" s="19" t="s">
        <v>41</v>
      </c>
      <c r="J1538" s="19" t="s">
        <v>2551</v>
      </c>
      <c r="K1538" s="21" t="s">
        <v>2552</v>
      </c>
      <c r="L1538" s="22" t="s">
        <v>60</v>
      </c>
      <c r="M1538" s="23" t="s">
        <v>290</v>
      </c>
      <c r="N1538" s="25" t="s">
        <v>2553</v>
      </c>
      <c r="O1538" s="25" t="s">
        <v>1459</v>
      </c>
      <c r="P1538" s="26">
        <f ca="1">IFERROR(VLOOKUP(DadosViagem5[[#This Row],[Placa]],[1]BIP!A:E,5,FALSE),"")</f>
        <v>45989</v>
      </c>
      <c r="Q1538" s="27">
        <f ca="1">DATEDIF(DadosViagem5[[#This Row],[BIP]],TODAY(),"D")</f>
        <v>1</v>
      </c>
      <c r="R1538" s="28" t="str">
        <f>IFERROR(VLOOKUP(DadosViagem5[[#This Row],[Placa]],[1]DDS!B:C,2,FALSE),"Verificar cadastro")</f>
        <v>Operando</v>
      </c>
      <c r="S1538" s="36" t="s">
        <v>35</v>
      </c>
      <c r="T1538" s="23"/>
      <c r="U1538" s="30"/>
      <c r="V1538" s="31"/>
      <c r="W1538" s="32" t="s">
        <v>2554</v>
      </c>
      <c r="X1538" s="33"/>
      <c r="Y1538" s="34"/>
      <c r="Z1538" s="32"/>
      <c r="AA1538" s="20" t="s">
        <v>49</v>
      </c>
      <c r="AB1538" s="20" t="s">
        <v>49</v>
      </c>
      <c r="AC1538" s="19" t="s">
        <v>49</v>
      </c>
      <c r="AD1538" s="19" t="str">
        <f ca="1">IFERROR(DATEDIF(DadosViagem5[[#This Row],[Utimo Bip Reserva]],TODAY(),"D"),"")</f>
        <v/>
      </c>
      <c r="AE1538" s="36" t="s">
        <v>49</v>
      </c>
      <c r="AF1538" s="25" t="s">
        <v>49</v>
      </c>
      <c r="AG1538" s="36" t="s">
        <v>290</v>
      </c>
      <c r="AH1538" s="25">
        <v>45807</v>
      </c>
      <c r="AI1538" s="36" t="str">
        <f>IF(DadosViagem5[[#This Row],[Dias em manutenção ]]&lt;5,"Dentro do Prazo","Fora do Prazo")</f>
        <v>Fora do Prazo</v>
      </c>
      <c r="AJ1538" s="36" t="e">
        <v>#REF!</v>
      </c>
    </row>
    <row r="1539" spans="1:36">
      <c r="A1539" s="19" t="s">
        <v>2576</v>
      </c>
      <c r="B1539" s="20"/>
      <c r="C1539" s="19" t="s">
        <v>1436</v>
      </c>
      <c r="D1539" s="19" t="s">
        <v>563</v>
      </c>
      <c r="E1539" s="19" t="s">
        <v>114</v>
      </c>
      <c r="F1539" s="19" t="s">
        <v>115</v>
      </c>
      <c r="G1539" s="19"/>
      <c r="H1539" s="20">
        <v>2023</v>
      </c>
      <c r="I1539" s="19" t="s">
        <v>41</v>
      </c>
      <c r="J1539" s="19" t="s">
        <v>2551</v>
      </c>
      <c r="K1539" s="21" t="s">
        <v>2552</v>
      </c>
      <c r="L1539" s="22" t="s">
        <v>60</v>
      </c>
      <c r="M1539" s="23" t="s">
        <v>290</v>
      </c>
      <c r="N1539" s="25" t="s">
        <v>2553</v>
      </c>
      <c r="O1539" s="25" t="s">
        <v>1459</v>
      </c>
      <c r="P1539" s="26">
        <f ca="1">IFERROR(VLOOKUP(DadosViagem5[[#This Row],[Placa]],[1]BIP!A:E,5,FALSE),"")</f>
        <v>45982</v>
      </c>
      <c r="Q1539" s="27">
        <f ca="1">DATEDIF(DadosViagem5[[#This Row],[BIP]],TODAY(),"D")</f>
        <v>8</v>
      </c>
      <c r="R1539" s="28" t="str">
        <f>IFERROR(VLOOKUP(DadosViagem5[[#This Row],[Placa]],[1]DDS!B:C,2,FALSE),"Verificar cadastro")</f>
        <v>Manutenção</v>
      </c>
      <c r="S1539" s="29" t="s">
        <v>48</v>
      </c>
      <c r="T1539" s="23"/>
      <c r="U1539" s="30"/>
      <c r="V1539" s="31"/>
      <c r="W1539" s="32" t="s">
        <v>1473</v>
      </c>
      <c r="X1539" s="33"/>
      <c r="Y1539" s="34"/>
      <c r="Z1539" s="32"/>
      <c r="AA1539" s="20" t="s">
        <v>49</v>
      </c>
      <c r="AB1539" s="20" t="s">
        <v>49</v>
      </c>
      <c r="AC1539" s="19" t="s">
        <v>49</v>
      </c>
      <c r="AD1539" s="19" t="str">
        <f ca="1">IFERROR(DATEDIF(DadosViagem5[[#This Row],[Utimo Bip Reserva]],TODAY(),"D"),"")</f>
        <v/>
      </c>
      <c r="AE1539" s="36" t="s">
        <v>49</v>
      </c>
      <c r="AF1539" s="25" t="s">
        <v>49</v>
      </c>
      <c r="AG1539" s="36" t="s">
        <v>290</v>
      </c>
      <c r="AH1539" s="25">
        <v>45807</v>
      </c>
      <c r="AI1539" s="36" t="str">
        <f>IF(DadosViagem5[[#This Row],[Dias em manutenção ]]&lt;5,"Dentro do Prazo","Fora do Prazo")</f>
        <v>Fora do Prazo</v>
      </c>
      <c r="AJ1539" s="36" t="e">
        <v>#REF!</v>
      </c>
    </row>
    <row r="1540" spans="1:36">
      <c r="A1540" s="19" t="s">
        <v>2577</v>
      </c>
      <c r="B1540" s="20"/>
      <c r="C1540" s="19" t="s">
        <v>562</v>
      </c>
      <c r="D1540" s="19" t="s">
        <v>563</v>
      </c>
      <c r="E1540" s="19" t="s">
        <v>114</v>
      </c>
      <c r="F1540" s="19" t="s">
        <v>115</v>
      </c>
      <c r="G1540" s="19"/>
      <c r="H1540" s="20">
        <v>2023</v>
      </c>
      <c r="I1540" s="19" t="s">
        <v>41</v>
      </c>
      <c r="J1540" s="19" t="s">
        <v>2551</v>
      </c>
      <c r="K1540" s="21" t="s">
        <v>2552</v>
      </c>
      <c r="L1540" s="22" t="s">
        <v>60</v>
      </c>
      <c r="M1540" s="23" t="s">
        <v>290</v>
      </c>
      <c r="N1540" s="25" t="s">
        <v>2553</v>
      </c>
      <c r="O1540" s="25" t="s">
        <v>1459</v>
      </c>
      <c r="P1540" s="26">
        <f ca="1">IFERROR(VLOOKUP(DadosViagem5[[#This Row],[Placa]],[1]BIP!A:E,5,FALSE),"")</f>
        <v>45989</v>
      </c>
      <c r="Q1540" s="27">
        <f ca="1">DATEDIF(DadosViagem5[[#This Row],[BIP]],TODAY(),"D")</f>
        <v>1</v>
      </c>
      <c r="R1540" s="28" t="str">
        <f>IFERROR(VLOOKUP(DadosViagem5[[#This Row],[Placa]],[1]DDS!B:C,2,FALSE),"Verificar cadastro")</f>
        <v>Operando</v>
      </c>
      <c r="S1540" s="29" t="s">
        <v>48</v>
      </c>
      <c r="T1540" s="23"/>
      <c r="U1540" s="30"/>
      <c r="V1540" s="31"/>
      <c r="W1540" s="32" t="s">
        <v>1473</v>
      </c>
      <c r="X1540" s="33"/>
      <c r="Y1540" s="34"/>
      <c r="Z1540" s="32"/>
      <c r="AA1540" s="20" t="s">
        <v>49</v>
      </c>
      <c r="AB1540" s="20" t="s">
        <v>49</v>
      </c>
      <c r="AC1540" s="19" t="s">
        <v>49</v>
      </c>
      <c r="AD1540" s="19" t="str">
        <f ca="1">IFERROR(DATEDIF(DadosViagem5[[#This Row],[Utimo Bip Reserva]],TODAY(),"D"),"")</f>
        <v/>
      </c>
      <c r="AE1540" s="36"/>
      <c r="AF1540" s="25" t="s">
        <v>49</v>
      </c>
      <c r="AG1540" s="36" t="s">
        <v>290</v>
      </c>
      <c r="AH1540" s="25">
        <v>45807</v>
      </c>
      <c r="AI1540" s="36" t="str">
        <f>IF(DadosViagem5[[#This Row],[Dias em manutenção ]]&lt;5,"Dentro do Prazo","Fora do Prazo")</f>
        <v>Fora do Prazo</v>
      </c>
      <c r="AJ1540" s="36" t="e">
        <v>#REF!</v>
      </c>
    </row>
    <row r="1541" spans="1:36">
      <c r="A1541" s="19" t="s">
        <v>2578</v>
      </c>
      <c r="B1541" s="20"/>
      <c r="C1541" s="19" t="s">
        <v>74</v>
      </c>
      <c r="D1541" s="19" t="s">
        <v>52</v>
      </c>
      <c r="E1541" s="19" t="s">
        <v>57</v>
      </c>
      <c r="F1541" s="19" t="s">
        <v>115</v>
      </c>
      <c r="G1541" s="19"/>
      <c r="H1541" s="20">
        <v>2023</v>
      </c>
      <c r="I1541" s="19" t="s">
        <v>41</v>
      </c>
      <c r="J1541" s="19" t="s">
        <v>2551</v>
      </c>
      <c r="K1541" s="21" t="s">
        <v>2552</v>
      </c>
      <c r="L1541" s="22" t="s">
        <v>60</v>
      </c>
      <c r="M1541" s="23" t="s">
        <v>77</v>
      </c>
      <c r="N1541" s="25" t="s">
        <v>2553</v>
      </c>
      <c r="O1541" s="25" t="s">
        <v>1459</v>
      </c>
      <c r="P1541" s="26">
        <f ca="1">IFERROR(VLOOKUP(DadosViagem5[[#This Row],[Placa]],[1]BIP!A:E,5,FALSE),"")</f>
        <v>45989</v>
      </c>
      <c r="Q1541" s="27">
        <f ca="1">DATEDIF(DadosViagem5[[#This Row],[BIP]],TODAY(),"D")</f>
        <v>1</v>
      </c>
      <c r="R1541" s="28" t="str">
        <f>IFERROR(VLOOKUP(DadosViagem5[[#This Row],[Placa]],[1]DDS!B:C,2,FALSE),"Verificar cadastro")</f>
        <v>Sem operação</v>
      </c>
      <c r="S1541" s="29" t="s">
        <v>48</v>
      </c>
      <c r="T1541" s="23"/>
      <c r="U1541" s="30"/>
      <c r="V1541" s="31"/>
      <c r="W1541" s="32" t="s">
        <v>1473</v>
      </c>
      <c r="X1541" s="33"/>
      <c r="Y1541" s="34"/>
      <c r="Z1541" s="32"/>
      <c r="AA1541" s="20" t="s">
        <v>49</v>
      </c>
      <c r="AB1541" s="20" t="s">
        <v>49</v>
      </c>
      <c r="AC1541" s="19" t="s">
        <v>49</v>
      </c>
      <c r="AD1541" s="19" t="str">
        <f ca="1">IFERROR(DATEDIF(DadosViagem5[[#This Row],[Utimo Bip Reserva]],TODAY(),"D"),"")</f>
        <v/>
      </c>
      <c r="AE1541" s="35" t="s">
        <v>49</v>
      </c>
      <c r="AF1541" s="35" t="s">
        <v>49</v>
      </c>
      <c r="AG1541" s="36" t="s">
        <v>290</v>
      </c>
      <c r="AH1541" s="25">
        <v>45807</v>
      </c>
      <c r="AI1541" s="36" t="str">
        <f>IF(DadosViagem5[[#This Row],[Dias em manutenção ]]&lt;5,"Dentro do Prazo","Fora do Prazo")</f>
        <v>Fora do Prazo</v>
      </c>
      <c r="AJ1541" s="36" t="e">
        <v>#REF!</v>
      </c>
    </row>
    <row r="1542" spans="1:36">
      <c r="A1542" s="19" t="s">
        <v>2579</v>
      </c>
      <c r="B1542" s="20"/>
      <c r="C1542" s="19" t="s">
        <v>1013</v>
      </c>
      <c r="D1542" s="19" t="s">
        <v>1014</v>
      </c>
      <c r="E1542" s="19" t="s">
        <v>114</v>
      </c>
      <c r="F1542" s="19" t="s">
        <v>115</v>
      </c>
      <c r="G1542" s="19"/>
      <c r="H1542" s="20">
        <v>2022</v>
      </c>
      <c r="I1542" s="19" t="s">
        <v>41</v>
      </c>
      <c r="J1542" s="19" t="s">
        <v>468</v>
      </c>
      <c r="K1542" s="66" t="s">
        <v>469</v>
      </c>
      <c r="L1542" s="22" t="s">
        <v>60</v>
      </c>
      <c r="M1542" s="23" t="s">
        <v>470</v>
      </c>
      <c r="N1542" s="36" t="s">
        <v>471</v>
      </c>
      <c r="O1542" s="36" t="s">
        <v>472</v>
      </c>
      <c r="P1542" s="26">
        <f ca="1">IFERROR(VLOOKUP(DadosViagem5[[#This Row],[Placa]],[1]BIP!A:E,5,FALSE),"")</f>
        <v>45989</v>
      </c>
      <c r="Q1542" s="27">
        <f ca="1">DATEDIF(DadosViagem5[[#This Row],[BIP]],TODAY(),"D")</f>
        <v>1</v>
      </c>
      <c r="R1542" s="28" t="str">
        <f>IFERROR(VLOOKUP(DadosViagem5[[#This Row],[Placa]],[1]DDS!B:C,2,FALSE),"Verificar cadastro")</f>
        <v>Operando</v>
      </c>
      <c r="S1542" s="29" t="s">
        <v>48</v>
      </c>
      <c r="T1542" s="23"/>
      <c r="U1542" s="30"/>
      <c r="V1542" s="31"/>
      <c r="W1542" s="32"/>
      <c r="X1542" s="33"/>
      <c r="Y1542" s="34" t="s">
        <v>49</v>
      </c>
      <c r="Z1542" s="32"/>
      <c r="AA1542" s="20" t="s">
        <v>49</v>
      </c>
      <c r="AB1542" s="20" t="s">
        <v>49</v>
      </c>
      <c r="AC1542" s="19" t="s">
        <v>49</v>
      </c>
      <c r="AD1542" s="19" t="str">
        <f ca="1">IFERROR(DATEDIF(DadosViagem5[[#This Row],[Utimo Bip Reserva]],TODAY(),"D"),"")</f>
        <v/>
      </c>
      <c r="AE1542" s="36" t="s">
        <v>49</v>
      </c>
      <c r="AF1542" s="25" t="s">
        <v>49</v>
      </c>
      <c r="AG1542" s="36"/>
      <c r="AH1542" s="25">
        <v>45807</v>
      </c>
      <c r="AI1542" s="36" t="str">
        <f>IF(DadosViagem5[[#This Row],[Dias em manutenção ]]&lt;5,"Dentro do Prazo","Fora do Prazo")</f>
        <v>Fora do Prazo</v>
      </c>
      <c r="AJ1542" s="36" t="e">
        <v>#REF!</v>
      </c>
    </row>
    <row r="1543" spans="1:36">
      <c r="A1543" s="19" t="s">
        <v>2580</v>
      </c>
      <c r="B1543" s="20"/>
      <c r="C1543" s="19" t="s">
        <v>131</v>
      </c>
      <c r="D1543" s="19" t="s">
        <v>132</v>
      </c>
      <c r="E1543" s="19" t="s">
        <v>114</v>
      </c>
      <c r="F1543" s="19" t="s">
        <v>115</v>
      </c>
      <c r="G1543" s="19"/>
      <c r="H1543" s="20">
        <v>2023</v>
      </c>
      <c r="I1543" s="19" t="s">
        <v>41</v>
      </c>
      <c r="J1543" s="19" t="s">
        <v>468</v>
      </c>
      <c r="K1543" s="66" t="s">
        <v>469</v>
      </c>
      <c r="L1543" s="22" t="s">
        <v>60</v>
      </c>
      <c r="M1543" s="23" t="s">
        <v>470</v>
      </c>
      <c r="N1543" s="36" t="s">
        <v>471</v>
      </c>
      <c r="O1543" s="36" t="s">
        <v>472</v>
      </c>
      <c r="P1543" s="26">
        <f ca="1">IFERROR(VLOOKUP(DadosViagem5[[#This Row],[Placa]],[1]BIP!A:E,5,FALSE),"")</f>
        <v>45904</v>
      </c>
      <c r="Q1543" s="27">
        <f ca="1">DATEDIF(DadosViagem5[[#This Row],[BIP]],TODAY(),"D")</f>
        <v>86</v>
      </c>
      <c r="R1543" s="28" t="str">
        <f>IFERROR(VLOOKUP(DadosViagem5[[#This Row],[Placa]],[1]DDS!B:C,2,FALSE),"Verificar cadastro")</f>
        <v>Verificar cadastro</v>
      </c>
      <c r="S1543" s="36" t="s">
        <v>574</v>
      </c>
      <c r="T1543" s="23"/>
      <c r="U1543" s="30"/>
      <c r="V1543" s="31"/>
      <c r="W1543" s="32" t="s">
        <v>2581</v>
      </c>
      <c r="X1543" s="33"/>
      <c r="Y1543" s="34"/>
      <c r="Z1543" s="32"/>
      <c r="AA1543" s="20" t="s">
        <v>49</v>
      </c>
      <c r="AB1543" s="20" t="s">
        <v>49</v>
      </c>
      <c r="AC1543" s="19" t="s">
        <v>49</v>
      </c>
      <c r="AD1543" s="19" t="str">
        <f ca="1">IFERROR(DATEDIF(DadosViagem5[[#This Row],[Utimo Bip Reserva]],TODAY(),"D"),"")</f>
        <v/>
      </c>
      <c r="AE1543" s="36" t="s">
        <v>49</v>
      </c>
      <c r="AF1543" s="25" t="s">
        <v>49</v>
      </c>
      <c r="AG1543" s="36"/>
      <c r="AH1543" s="25">
        <v>45807</v>
      </c>
      <c r="AI1543" s="36" t="str">
        <f>IF(DadosViagem5[[#This Row],[Dias em manutenção ]]&lt;5,"Dentro do Prazo","Fora do Prazo")</f>
        <v>Fora do Prazo</v>
      </c>
      <c r="AJ1543" s="36" t="e">
        <v>#REF!</v>
      </c>
    </row>
    <row r="1544" spans="1:36">
      <c r="A1544" s="19" t="s">
        <v>2582</v>
      </c>
      <c r="B1544" s="20"/>
      <c r="C1544" s="19" t="s">
        <v>131</v>
      </c>
      <c r="D1544" s="19" t="s">
        <v>132</v>
      </c>
      <c r="E1544" s="19" t="s">
        <v>114</v>
      </c>
      <c r="F1544" s="19" t="s">
        <v>115</v>
      </c>
      <c r="G1544" s="19"/>
      <c r="H1544" s="20">
        <v>2023</v>
      </c>
      <c r="I1544" s="19" t="s">
        <v>41</v>
      </c>
      <c r="J1544" s="19" t="s">
        <v>468</v>
      </c>
      <c r="K1544" s="66" t="s">
        <v>469</v>
      </c>
      <c r="L1544" s="72" t="s">
        <v>60</v>
      </c>
      <c r="M1544" s="23" t="s">
        <v>470</v>
      </c>
      <c r="N1544" s="36" t="s">
        <v>471</v>
      </c>
      <c r="O1544" s="36" t="s">
        <v>472</v>
      </c>
      <c r="P1544" s="26">
        <f ca="1">IFERROR(VLOOKUP(DadosViagem5[[#This Row],[Placa]],[1]BIP!A:E,5,FALSE),"")</f>
        <v>45854</v>
      </c>
      <c r="Q1544" s="27">
        <f ca="1">DATEDIF(DadosViagem5[[#This Row],[BIP]],TODAY(),"D")</f>
        <v>136</v>
      </c>
      <c r="R1544" s="28" t="str">
        <f>IFERROR(VLOOKUP(DadosViagem5[[#This Row],[Placa]],[1]DDS!B:C,2,FALSE),"Verificar cadastro")</f>
        <v>Verificar cadastro</v>
      </c>
      <c r="S1544" s="36" t="s">
        <v>574</v>
      </c>
      <c r="T1544" s="23"/>
      <c r="U1544" s="30"/>
      <c r="V1544" s="31"/>
      <c r="W1544" s="32" t="s">
        <v>2583</v>
      </c>
      <c r="X1544" s="33"/>
      <c r="Y1544" s="34"/>
      <c r="Z1544" s="42"/>
      <c r="AA1544" s="20" t="s">
        <v>49</v>
      </c>
      <c r="AB1544" s="20" t="s">
        <v>49</v>
      </c>
      <c r="AC1544" s="19" t="s">
        <v>49</v>
      </c>
      <c r="AD1544" s="19" t="str">
        <f ca="1">IFERROR(DATEDIF(DadosViagem5[[#This Row],[Utimo Bip Reserva]],TODAY(),"D"),"")</f>
        <v/>
      </c>
      <c r="AE1544" s="36" t="s">
        <v>49</v>
      </c>
      <c r="AF1544" s="25" t="s">
        <v>49</v>
      </c>
      <c r="AG1544" s="36"/>
      <c r="AH1544" s="25">
        <v>45807</v>
      </c>
      <c r="AI1544" s="36" t="str">
        <f>IF(DadosViagem5[[#This Row],[Dias em manutenção ]]&lt;5,"Dentro do Prazo","Fora do Prazo")</f>
        <v>Fora do Prazo</v>
      </c>
      <c r="AJ1544" s="36" t="e">
        <v>#REF!</v>
      </c>
    </row>
    <row r="1545" spans="1:36">
      <c r="A1545" s="19" t="s">
        <v>2584</v>
      </c>
      <c r="B1545" s="20"/>
      <c r="C1545" s="19" t="s">
        <v>1013</v>
      </c>
      <c r="D1545" s="19" t="s">
        <v>1014</v>
      </c>
      <c r="E1545" s="19" t="s">
        <v>114</v>
      </c>
      <c r="F1545" s="19" t="s">
        <v>115</v>
      </c>
      <c r="G1545" s="19"/>
      <c r="H1545" s="20">
        <v>2022</v>
      </c>
      <c r="I1545" s="19" t="s">
        <v>41</v>
      </c>
      <c r="J1545" s="19" t="s">
        <v>468</v>
      </c>
      <c r="K1545" s="66" t="s">
        <v>469</v>
      </c>
      <c r="L1545" s="22" t="s">
        <v>60</v>
      </c>
      <c r="M1545" s="23" t="s">
        <v>470</v>
      </c>
      <c r="N1545" s="36" t="s">
        <v>471</v>
      </c>
      <c r="O1545" s="36" t="s">
        <v>472</v>
      </c>
      <c r="P1545" s="26">
        <f ca="1">IFERROR(VLOOKUP(DadosViagem5[[#This Row],[Placa]],[1]BIP!A:E,5,FALSE),"")</f>
        <v>45989</v>
      </c>
      <c r="Q1545" s="27">
        <f ca="1">DATEDIF(DadosViagem5[[#This Row],[BIP]],TODAY(),"D")</f>
        <v>1</v>
      </c>
      <c r="R1545" s="28" t="str">
        <f>IFERROR(VLOOKUP(DadosViagem5[[#This Row],[Placa]],[1]DDS!B:C,2,FALSE),"Verificar cadastro")</f>
        <v>Operando</v>
      </c>
      <c r="S1545" s="29" t="s">
        <v>48</v>
      </c>
      <c r="T1545" s="23">
        <v>6720645</v>
      </c>
      <c r="U1545" s="30">
        <v>45849</v>
      </c>
      <c r="V1545" s="31">
        <v>45860</v>
      </c>
      <c r="W1545" s="32" t="s">
        <v>2585</v>
      </c>
      <c r="X1545" s="33" t="s">
        <v>65</v>
      </c>
      <c r="Y1545" s="34">
        <v>45930</v>
      </c>
      <c r="Z1545" s="42" t="s">
        <v>2586</v>
      </c>
      <c r="AA1545" s="20" t="s">
        <v>2587</v>
      </c>
      <c r="AB1545" s="20" t="s">
        <v>49</v>
      </c>
      <c r="AC1545" s="19" t="s">
        <v>49</v>
      </c>
      <c r="AD1545" s="19" t="str">
        <f ca="1">IFERROR(DATEDIF(DadosViagem5[[#This Row],[Utimo Bip Reserva]],TODAY(),"D"),"")</f>
        <v/>
      </c>
      <c r="AE1545" s="36" t="s">
        <v>49</v>
      </c>
      <c r="AF1545" s="25" t="s">
        <v>49</v>
      </c>
      <c r="AG1545" s="36"/>
      <c r="AH1545" s="25">
        <v>45807</v>
      </c>
      <c r="AI1545" s="36" t="str">
        <f>IF(DadosViagem5[[#This Row],[Dias em manutenção ]]&lt;5,"Dentro do Prazo","Fora do Prazo")</f>
        <v>Fora do Prazo</v>
      </c>
      <c r="AJ1545" s="36" t="e">
        <v>#REF!</v>
      </c>
    </row>
    <row r="1546" spans="1:36">
      <c r="A1546" s="19" t="s">
        <v>2588</v>
      </c>
      <c r="B1546" s="20"/>
      <c r="C1546" s="19" t="s">
        <v>562</v>
      </c>
      <c r="D1546" s="19" t="s">
        <v>563</v>
      </c>
      <c r="E1546" s="19" t="s">
        <v>114</v>
      </c>
      <c r="F1546" s="19" t="s">
        <v>115</v>
      </c>
      <c r="G1546" s="19"/>
      <c r="H1546" s="20">
        <v>2022</v>
      </c>
      <c r="I1546" s="19" t="s">
        <v>41</v>
      </c>
      <c r="J1546" s="19" t="s">
        <v>468</v>
      </c>
      <c r="K1546" s="66" t="s">
        <v>469</v>
      </c>
      <c r="L1546" s="22" t="s">
        <v>60</v>
      </c>
      <c r="M1546" s="23" t="s">
        <v>470</v>
      </c>
      <c r="N1546" s="36" t="s">
        <v>471</v>
      </c>
      <c r="O1546" s="36" t="s">
        <v>472</v>
      </c>
      <c r="P1546" s="26">
        <f ca="1">IFERROR(VLOOKUP(DadosViagem5[[#This Row],[Placa]],[1]BIP!A:E,5,FALSE),"")</f>
        <v>45989</v>
      </c>
      <c r="Q1546" s="27">
        <f ca="1">DATEDIF(DadosViagem5[[#This Row],[BIP]],TODAY(),"D")</f>
        <v>1</v>
      </c>
      <c r="R1546" s="28" t="str">
        <f>IFERROR(VLOOKUP(DadosViagem5[[#This Row],[Placa]],[1]DDS!B:C,2,FALSE),"Verificar cadastro")</f>
        <v>Operando</v>
      </c>
      <c r="S1546" s="36" t="s">
        <v>1574</v>
      </c>
      <c r="T1546" s="23">
        <v>6776265</v>
      </c>
      <c r="U1546" s="30">
        <v>45910</v>
      </c>
      <c r="V1546" s="31">
        <v>45910</v>
      </c>
      <c r="W1546" s="32" t="s">
        <v>2589</v>
      </c>
      <c r="X1546" s="33" t="s">
        <v>65</v>
      </c>
      <c r="Y1546" s="34">
        <v>45930</v>
      </c>
      <c r="Z1546" s="42" t="s">
        <v>2590</v>
      </c>
      <c r="AA1546" s="20" t="s">
        <v>2591</v>
      </c>
      <c r="AB1546" s="20" t="s">
        <v>2592</v>
      </c>
      <c r="AC1546" s="19" t="s">
        <v>49</v>
      </c>
      <c r="AD1546" s="19" t="str">
        <f ca="1">IFERROR(DATEDIF(DadosViagem5[[#This Row],[Utimo Bip Reserva]],TODAY(),"D"),"")</f>
        <v/>
      </c>
      <c r="AE1546" s="36"/>
      <c r="AF1546" s="25" t="s">
        <v>2593</v>
      </c>
      <c r="AG1546" s="36"/>
      <c r="AH1546" s="25">
        <v>205</v>
      </c>
      <c r="AI1546" s="36" t="str">
        <f>IF(DadosViagem5[[#This Row],[Dias em manutenção ]]&lt;5,"Dentro do Prazo","Fora do Prazo")</f>
        <v>Fora do Prazo</v>
      </c>
      <c r="AJ1546" s="36" t="e">
        <v>#REF!</v>
      </c>
    </row>
    <row r="1547" spans="1:36">
      <c r="A1547" s="19" t="s">
        <v>2594</v>
      </c>
      <c r="B1547" s="20"/>
      <c r="C1547" s="19" t="s">
        <v>1310</v>
      </c>
      <c r="D1547" s="19" t="s">
        <v>52</v>
      </c>
      <c r="E1547" s="19" t="s">
        <v>114</v>
      </c>
      <c r="F1547" s="19" t="s">
        <v>115</v>
      </c>
      <c r="G1547" s="19"/>
      <c r="H1547" s="20">
        <v>2022</v>
      </c>
      <c r="I1547" s="19" t="s">
        <v>41</v>
      </c>
      <c r="J1547" s="19" t="s">
        <v>468</v>
      </c>
      <c r="K1547" s="66" t="s">
        <v>469</v>
      </c>
      <c r="L1547" s="22" t="s">
        <v>60</v>
      </c>
      <c r="M1547" s="23" t="s">
        <v>470</v>
      </c>
      <c r="N1547" s="36" t="s">
        <v>471</v>
      </c>
      <c r="O1547" s="36" t="s">
        <v>472</v>
      </c>
      <c r="P1547" s="26">
        <f ca="1">IFERROR(VLOOKUP(DadosViagem5[[#This Row],[Placa]],[1]BIP!A:E,5,FALSE),"")</f>
        <v>45989</v>
      </c>
      <c r="Q1547" s="27">
        <f ca="1">DATEDIF(DadosViagem5[[#This Row],[BIP]],TODAY(),"D")</f>
        <v>1</v>
      </c>
      <c r="R1547" s="28" t="str">
        <f>IFERROR(VLOOKUP(DadosViagem5[[#This Row],[Placa]],[1]DDS!B:C,2,FALSE),"Verificar cadastro")</f>
        <v>Operando</v>
      </c>
      <c r="S1547" s="29" t="s">
        <v>48</v>
      </c>
      <c r="T1547" s="23"/>
      <c r="U1547" s="30"/>
      <c r="V1547" s="31"/>
      <c r="W1547" s="32" t="s">
        <v>2595</v>
      </c>
      <c r="X1547" s="33"/>
      <c r="Y1547" s="34"/>
      <c r="Z1547" s="42"/>
      <c r="AA1547" s="20" t="s">
        <v>2596</v>
      </c>
      <c r="AB1547" s="20" t="s">
        <v>49</v>
      </c>
      <c r="AC1547" s="19" t="s">
        <v>49</v>
      </c>
      <c r="AD1547" s="19" t="str">
        <f ca="1">IFERROR(DATEDIF(DadosViagem5[[#This Row],[Utimo Bip Reserva]],TODAY(),"D"),"")</f>
        <v/>
      </c>
      <c r="AE1547" s="36" t="s">
        <v>2597</v>
      </c>
      <c r="AF1547" s="25"/>
      <c r="AG1547" s="36" t="s">
        <v>481</v>
      </c>
      <c r="AH1547" s="25">
        <v>147</v>
      </c>
      <c r="AI1547" s="36" t="str">
        <f>IF(DadosViagem5[[#This Row],[Dias em manutenção ]]&lt;5,"Dentro do Prazo","Fora do Prazo")</f>
        <v>Fora do Prazo</v>
      </c>
      <c r="AJ1547" s="36" t="e">
        <v>#REF!</v>
      </c>
    </row>
    <row r="1548" spans="1:36">
      <c r="A1548" s="19" t="s">
        <v>2598</v>
      </c>
      <c r="B1548" s="20"/>
      <c r="C1548" s="19" t="s">
        <v>131</v>
      </c>
      <c r="D1548" s="19" t="s">
        <v>132</v>
      </c>
      <c r="E1548" s="19" t="s">
        <v>57</v>
      </c>
      <c r="F1548" s="19" t="s">
        <v>40</v>
      </c>
      <c r="G1548" s="19"/>
      <c r="H1548" s="20">
        <v>2011</v>
      </c>
      <c r="I1548" s="19" t="s">
        <v>41</v>
      </c>
      <c r="J1548" s="19" t="s">
        <v>468</v>
      </c>
      <c r="K1548" s="66" t="s">
        <v>469</v>
      </c>
      <c r="L1548" s="53" t="s">
        <v>558</v>
      </c>
      <c r="M1548" s="23" t="s">
        <v>470</v>
      </c>
      <c r="N1548" s="36" t="s">
        <v>471</v>
      </c>
      <c r="O1548" s="36" t="s">
        <v>472</v>
      </c>
      <c r="P1548" s="26" t="str">
        <f>IFERROR(VLOOKUP(DadosViagem5[[#This Row],[Placa]],[1]BIP!A:E,5,FALSE),"")</f>
        <v/>
      </c>
      <c r="Q1548" s="27" t="e">
        <f ca="1">DATEDIF(DadosViagem5[[#This Row],[BIP]],TODAY(),"D")</f>
        <v>#VALUE!</v>
      </c>
      <c r="R1548" s="28" t="str">
        <f>IFERROR(VLOOKUP(DadosViagem5[[#This Row],[Placa]],[1]DDS!B:C,2,FALSE),"Verificar cadastro")</f>
        <v>Verificar cadastro</v>
      </c>
      <c r="S1548" s="29" t="s">
        <v>173</v>
      </c>
      <c r="T1548" s="23"/>
      <c r="U1548" s="30"/>
      <c r="V1548" s="31">
        <v>45910</v>
      </c>
      <c r="W1548" s="32" t="s">
        <v>2599</v>
      </c>
      <c r="X1548" s="33" t="s">
        <v>65</v>
      </c>
      <c r="Y1548" s="34" t="s">
        <v>159</v>
      </c>
      <c r="Z1548" s="32" t="s">
        <v>2600</v>
      </c>
      <c r="AA1548" s="20" t="s">
        <v>49</v>
      </c>
      <c r="AB1548" s="20" t="s">
        <v>49</v>
      </c>
      <c r="AC1548" s="19" t="s">
        <v>49</v>
      </c>
      <c r="AD1548" s="19" t="str">
        <f ca="1">IFERROR(DATEDIF(DadosViagem5[[#This Row],[Utimo Bip Reserva]],TODAY(),"D"),"")</f>
        <v/>
      </c>
      <c r="AE1548" s="35" t="s">
        <v>49</v>
      </c>
      <c r="AF1548" s="35" t="s">
        <v>49</v>
      </c>
      <c r="AG1548" s="36" t="s">
        <v>540</v>
      </c>
      <c r="AH1548" s="25">
        <v>4</v>
      </c>
      <c r="AI1548" s="36" t="str">
        <f>IF(DadosViagem5[[#This Row],[Dias em manutenção ]]&lt;5,"Dentro do Prazo","Fora do Prazo")</f>
        <v>Dentro do Prazo</v>
      </c>
      <c r="AJ1548" s="36" t="e">
        <v>#REF!</v>
      </c>
    </row>
    <row r="1549" spans="1:36">
      <c r="A1549" s="19" t="s">
        <v>2601</v>
      </c>
      <c r="B1549" s="20"/>
      <c r="C1549" s="19" t="s">
        <v>88</v>
      </c>
      <c r="D1549" s="19" t="s">
        <v>52</v>
      </c>
      <c r="E1549" s="19" t="s">
        <v>114</v>
      </c>
      <c r="F1549" s="19" t="s">
        <v>115</v>
      </c>
      <c r="G1549" s="19"/>
      <c r="H1549" s="20">
        <v>2021</v>
      </c>
      <c r="I1549" s="19" t="s">
        <v>41</v>
      </c>
      <c r="J1549" s="19" t="s">
        <v>468</v>
      </c>
      <c r="K1549" s="66" t="s">
        <v>469</v>
      </c>
      <c r="L1549" s="22" t="s">
        <v>60</v>
      </c>
      <c r="M1549" s="23" t="s">
        <v>470</v>
      </c>
      <c r="N1549" s="36" t="s">
        <v>471</v>
      </c>
      <c r="O1549" s="36" t="s">
        <v>472</v>
      </c>
      <c r="P1549" s="26">
        <f ca="1">IFERROR(VLOOKUP(DadosViagem5[[#This Row],[Placa]],[1]BIP!A:E,5,FALSE),"")</f>
        <v>45752</v>
      </c>
      <c r="Q1549" s="27">
        <f ca="1">DATEDIF(DadosViagem5[[#This Row],[BIP]],TODAY(),"D")</f>
        <v>238</v>
      </c>
      <c r="R1549" s="28" t="str">
        <f>IFERROR(VLOOKUP(DadosViagem5[[#This Row],[Placa]],[1]DDS!B:C,2,FALSE),"Verificar cadastro")</f>
        <v>Verificar cadastro</v>
      </c>
      <c r="S1549" s="36" t="s">
        <v>574</v>
      </c>
      <c r="T1549" s="23"/>
      <c r="U1549" s="30"/>
      <c r="V1549" s="31">
        <v>45799</v>
      </c>
      <c r="W1549" s="32" t="s">
        <v>2602</v>
      </c>
      <c r="X1549" s="33" t="s">
        <v>65</v>
      </c>
      <c r="Y1549" s="34" t="s">
        <v>159</v>
      </c>
      <c r="Z1549" s="42" t="s">
        <v>597</v>
      </c>
      <c r="AA1549" s="20" t="s">
        <v>49</v>
      </c>
      <c r="AB1549" s="20" t="s">
        <v>49</v>
      </c>
      <c r="AC1549" s="19" t="s">
        <v>49</v>
      </c>
      <c r="AD1549" s="19" t="str">
        <f ca="1">IFERROR(DATEDIF(DadosViagem5[[#This Row],[Utimo Bip Reserva]],TODAY(),"D"),"")</f>
        <v/>
      </c>
      <c r="AE1549" s="36" t="s">
        <v>2603</v>
      </c>
      <c r="AF1549" s="25" t="s">
        <v>49</v>
      </c>
      <c r="AG1549" s="30" t="s">
        <v>153</v>
      </c>
      <c r="AH1549" s="25">
        <v>8</v>
      </c>
      <c r="AI1549" s="36" t="str">
        <f>IF(DadosViagem5[[#This Row],[Dias em manutenção ]]&lt;5,"Dentro do Prazo","Fora do Prazo")</f>
        <v>Fora do Prazo</v>
      </c>
      <c r="AJ1549" s="36" t="e">
        <v>#REF!</v>
      </c>
    </row>
    <row r="1550" spans="1:36">
      <c r="A1550" s="19" t="s">
        <v>2604</v>
      </c>
      <c r="B1550" s="20">
        <v>442</v>
      </c>
      <c r="C1550" s="19" t="s">
        <v>74</v>
      </c>
      <c r="D1550" s="19" t="s">
        <v>52</v>
      </c>
      <c r="E1550" s="19" t="s">
        <v>75</v>
      </c>
      <c r="F1550" s="19" t="s">
        <v>76</v>
      </c>
      <c r="G1550" s="19"/>
      <c r="H1550" s="20">
        <v>2023</v>
      </c>
      <c r="I1550" s="19" t="s">
        <v>41</v>
      </c>
      <c r="J1550" s="19" t="s">
        <v>468</v>
      </c>
      <c r="K1550" s="66" t="s">
        <v>469</v>
      </c>
      <c r="L1550" s="72" t="s">
        <v>60</v>
      </c>
      <c r="M1550" s="23" t="s">
        <v>77</v>
      </c>
      <c r="N1550" s="36" t="s">
        <v>471</v>
      </c>
      <c r="O1550" s="36" t="s">
        <v>472</v>
      </c>
      <c r="P1550" s="26">
        <f ca="1">IFERROR(VLOOKUP(DadosViagem5[[#This Row],[Placa]],[1]BIP!A:E,5,FALSE),"")</f>
        <v>45989</v>
      </c>
      <c r="Q1550" s="27">
        <f ca="1">DATEDIF(DadosViagem5[[#This Row],[BIP]],TODAY(),"D")</f>
        <v>1</v>
      </c>
      <c r="R1550" s="28" t="str">
        <f>IFERROR(VLOOKUP(DadosViagem5[[#This Row],[Placa]],[1]DDS!B:C,2,FALSE),"Verificar cadastro")</f>
        <v>Operando</v>
      </c>
      <c r="S1550" s="29"/>
      <c r="T1550" s="23"/>
      <c r="U1550" s="30"/>
      <c r="V1550" s="31"/>
      <c r="W1550" s="32"/>
      <c r="X1550" s="33"/>
      <c r="Y1550" s="86"/>
      <c r="Z1550" s="42"/>
      <c r="AA1550" s="20" t="s">
        <v>49</v>
      </c>
      <c r="AB1550" s="20" t="s">
        <v>49</v>
      </c>
      <c r="AC1550" s="19" t="s">
        <v>49</v>
      </c>
      <c r="AD1550" s="19" t="str">
        <f ca="1">IFERROR(DATEDIF(DadosViagem5[[#This Row],[Utimo Bip Reserva]],TODAY(),"D"),"")</f>
        <v/>
      </c>
      <c r="AE1550" s="35" t="s">
        <v>49</v>
      </c>
      <c r="AF1550" s="35" t="s">
        <v>49</v>
      </c>
      <c r="AG1550" s="36"/>
      <c r="AH1550" s="25">
        <v>45807</v>
      </c>
      <c r="AI1550" s="36" t="str">
        <f>IF(DadosViagem5[[#This Row],[Dias em manutenção ]]&lt;5,"Dentro do Prazo","Fora do Prazo")</f>
        <v>Fora do Prazo</v>
      </c>
      <c r="AJ1550" s="36" t="e">
        <v>#REF!</v>
      </c>
    </row>
    <row r="1551" spans="1:36">
      <c r="A1551" s="19" t="s">
        <v>2605</v>
      </c>
      <c r="B1551" s="20"/>
      <c r="C1551" s="19" t="s">
        <v>88</v>
      </c>
      <c r="D1551" s="19" t="s">
        <v>52</v>
      </c>
      <c r="E1551" s="19" t="s">
        <v>114</v>
      </c>
      <c r="F1551" s="19" t="s">
        <v>115</v>
      </c>
      <c r="G1551" s="19"/>
      <c r="H1551" s="20">
        <v>2021</v>
      </c>
      <c r="I1551" s="19" t="s">
        <v>41</v>
      </c>
      <c r="J1551" s="19" t="s">
        <v>468</v>
      </c>
      <c r="K1551" s="66" t="s">
        <v>469</v>
      </c>
      <c r="L1551" s="22" t="s">
        <v>60</v>
      </c>
      <c r="M1551" s="23" t="s">
        <v>470</v>
      </c>
      <c r="N1551" s="36" t="s">
        <v>471</v>
      </c>
      <c r="O1551" s="36" t="s">
        <v>472</v>
      </c>
      <c r="P1551" s="26">
        <f ca="1">IFERROR(VLOOKUP(DadosViagem5[[#This Row],[Placa]],[1]BIP!A:E,5,FALSE),"")</f>
        <v>45735</v>
      </c>
      <c r="Q1551" s="27">
        <f ca="1">DATEDIF(DadosViagem5[[#This Row],[BIP]],TODAY(),"D")</f>
        <v>255</v>
      </c>
      <c r="R1551" s="28" t="str">
        <f>IFERROR(VLOOKUP(DadosViagem5[[#This Row],[Placa]],[1]DDS!B:C,2,FALSE),"Verificar cadastro")</f>
        <v>Verificar cadastro</v>
      </c>
      <c r="S1551" s="36" t="s">
        <v>574</v>
      </c>
      <c r="T1551" s="23"/>
      <c r="U1551" s="30"/>
      <c r="V1551" s="31"/>
      <c r="W1551" s="32" t="s">
        <v>2606</v>
      </c>
      <c r="X1551" s="33"/>
      <c r="Y1551" s="86"/>
      <c r="Z1551" s="42"/>
      <c r="AA1551" s="20" t="s">
        <v>49</v>
      </c>
      <c r="AB1551" s="20" t="s">
        <v>49</v>
      </c>
      <c r="AC1551" s="19" t="s">
        <v>49</v>
      </c>
      <c r="AD1551" s="19" t="str">
        <f ca="1">IFERROR(DATEDIF(DadosViagem5[[#This Row],[Utimo Bip Reserva]],TODAY(),"D"),"")</f>
        <v/>
      </c>
      <c r="AE1551" s="36" t="s">
        <v>2607</v>
      </c>
      <c r="AF1551" s="25" t="s">
        <v>49</v>
      </c>
      <c r="AG1551" s="36"/>
      <c r="AH1551" s="25">
        <v>72</v>
      </c>
      <c r="AI1551" s="36" t="str">
        <f>IF(DadosViagem5[[#This Row],[Dias em manutenção ]]&lt;5,"Dentro do Prazo","Fora do Prazo")</f>
        <v>Fora do Prazo</v>
      </c>
      <c r="AJ1551" s="36" t="e">
        <v>#REF!</v>
      </c>
    </row>
    <row r="1552" spans="1:36">
      <c r="A1552" s="19" t="s">
        <v>2608</v>
      </c>
      <c r="B1552" s="20"/>
      <c r="C1552" s="19" t="s">
        <v>562</v>
      </c>
      <c r="D1552" s="19" t="s">
        <v>563</v>
      </c>
      <c r="E1552" s="19" t="s">
        <v>114</v>
      </c>
      <c r="F1552" s="19" t="s">
        <v>115</v>
      </c>
      <c r="G1552" s="19"/>
      <c r="H1552" s="20">
        <v>2023</v>
      </c>
      <c r="I1552" s="19" t="s">
        <v>41</v>
      </c>
      <c r="J1552" s="19" t="s">
        <v>468</v>
      </c>
      <c r="K1552" s="66" t="s">
        <v>469</v>
      </c>
      <c r="L1552" s="22" t="s">
        <v>60</v>
      </c>
      <c r="M1552" s="23" t="s">
        <v>470</v>
      </c>
      <c r="N1552" s="36" t="s">
        <v>471</v>
      </c>
      <c r="O1552" s="36" t="s">
        <v>472</v>
      </c>
      <c r="P1552" s="26">
        <f ca="1">IFERROR(VLOOKUP(DadosViagem5[[#This Row],[Placa]],[1]BIP!A:E,5,FALSE),"")</f>
        <v>45989</v>
      </c>
      <c r="Q1552" s="27">
        <f ca="1">DATEDIF(DadosViagem5[[#This Row],[BIP]],TODAY(),"D")</f>
        <v>1</v>
      </c>
      <c r="R1552" s="28" t="str">
        <f>IFERROR(VLOOKUP(DadosViagem5[[#This Row],[Placa]],[1]DDS!B:C,2,FALSE),"Verificar cadastro")</f>
        <v>Operando</v>
      </c>
      <c r="S1552" s="29" t="s">
        <v>48</v>
      </c>
      <c r="T1552" s="23"/>
      <c r="U1552" s="30"/>
      <c r="V1552" s="31"/>
      <c r="W1552" s="32"/>
      <c r="X1552" s="33"/>
      <c r="Y1552" s="34"/>
      <c r="Z1552" s="32"/>
      <c r="AA1552" s="20" t="s">
        <v>49</v>
      </c>
      <c r="AB1552" s="20" t="s">
        <v>49</v>
      </c>
      <c r="AC1552" s="19" t="s">
        <v>49</v>
      </c>
      <c r="AD1552" s="19" t="str">
        <f ca="1">IFERROR(DATEDIF(DadosViagem5[[#This Row],[Utimo Bip Reserva]],TODAY(),"D"),"")</f>
        <v/>
      </c>
      <c r="AE1552" s="36" t="s">
        <v>49</v>
      </c>
      <c r="AF1552" s="25">
        <v>45699</v>
      </c>
      <c r="AG1552" s="36" t="s">
        <v>481</v>
      </c>
      <c r="AH1552" s="25">
        <v>45807</v>
      </c>
      <c r="AI1552" s="36" t="str">
        <f>IF(DadosViagem5[[#This Row],[Dias em manutenção ]]&lt;5,"Dentro do Prazo","Fora do Prazo")</f>
        <v>Fora do Prazo</v>
      </c>
      <c r="AJ1552" s="36" t="e">
        <v>#REF!</v>
      </c>
    </row>
    <row r="1553" spans="1:36">
      <c r="A1553" s="19" t="s">
        <v>2609</v>
      </c>
      <c r="B1553" s="20"/>
      <c r="C1553" s="19" t="s">
        <v>1013</v>
      </c>
      <c r="D1553" s="19" t="s">
        <v>1014</v>
      </c>
      <c r="E1553" s="19" t="s">
        <v>114</v>
      </c>
      <c r="F1553" s="19" t="s">
        <v>115</v>
      </c>
      <c r="G1553" s="19"/>
      <c r="H1553" s="20">
        <v>2022</v>
      </c>
      <c r="I1553" s="19" t="s">
        <v>41</v>
      </c>
      <c r="J1553" s="19" t="s">
        <v>468</v>
      </c>
      <c r="K1553" s="66" t="s">
        <v>469</v>
      </c>
      <c r="L1553" s="22" t="s">
        <v>60</v>
      </c>
      <c r="M1553" s="23" t="s">
        <v>470</v>
      </c>
      <c r="N1553" s="36" t="s">
        <v>471</v>
      </c>
      <c r="O1553" s="36" t="s">
        <v>472</v>
      </c>
      <c r="P1553" s="26">
        <f ca="1">IFERROR(VLOOKUP(DadosViagem5[[#This Row],[Placa]],[1]BIP!A:E,5,FALSE),"")</f>
        <v>45989</v>
      </c>
      <c r="Q1553" s="27">
        <f ca="1">DATEDIF(DadosViagem5[[#This Row],[BIP]],TODAY(),"D")</f>
        <v>1</v>
      </c>
      <c r="R1553" s="28" t="str">
        <f>IFERROR(VLOOKUP(DadosViagem5[[#This Row],[Placa]],[1]DDS!B:C,2,FALSE),"Verificar cadastro")</f>
        <v>Manutenção</v>
      </c>
      <c r="S1553" s="29" t="s">
        <v>2085</v>
      </c>
      <c r="T1553" s="23"/>
      <c r="U1553" s="30"/>
      <c r="V1553" s="31"/>
      <c r="W1553" s="32"/>
      <c r="X1553" s="33"/>
      <c r="Y1553" s="34"/>
      <c r="Z1553" s="42"/>
      <c r="AA1553" s="20" t="s">
        <v>49</v>
      </c>
      <c r="AB1553" s="20" t="s">
        <v>49</v>
      </c>
      <c r="AC1553" s="19" t="s">
        <v>49</v>
      </c>
      <c r="AD1553" s="19" t="str">
        <f ca="1">IFERROR(DATEDIF(DadosViagem5[[#This Row],[Utimo Bip Reserva]],TODAY(),"D"),"")</f>
        <v/>
      </c>
      <c r="AE1553" s="36" t="s">
        <v>49</v>
      </c>
      <c r="AF1553" s="25" t="s">
        <v>49</v>
      </c>
      <c r="AG1553" s="36"/>
      <c r="AH1553" s="25">
        <v>45807</v>
      </c>
      <c r="AI1553" s="36" t="str">
        <f>IF(DadosViagem5[[#This Row],[Dias em manutenção ]]&lt;5,"Dentro do Prazo","Fora do Prazo")</f>
        <v>Fora do Prazo</v>
      </c>
      <c r="AJ1553" s="36" t="e">
        <v>#REF!</v>
      </c>
    </row>
    <row r="1554" spans="1:36">
      <c r="A1554" s="19" t="s">
        <v>2610</v>
      </c>
      <c r="B1554" s="20"/>
      <c r="C1554" s="19" t="s">
        <v>131</v>
      </c>
      <c r="D1554" s="19" t="s">
        <v>132</v>
      </c>
      <c r="E1554" s="19" t="s">
        <v>114</v>
      </c>
      <c r="F1554" s="19" t="s">
        <v>115</v>
      </c>
      <c r="G1554" s="19"/>
      <c r="H1554" s="20">
        <v>2022</v>
      </c>
      <c r="I1554" s="19" t="s">
        <v>41</v>
      </c>
      <c r="J1554" s="19" t="s">
        <v>468</v>
      </c>
      <c r="K1554" s="66" t="s">
        <v>469</v>
      </c>
      <c r="L1554" s="22" t="s">
        <v>60</v>
      </c>
      <c r="M1554" s="23" t="s">
        <v>470</v>
      </c>
      <c r="N1554" s="36" t="s">
        <v>471</v>
      </c>
      <c r="O1554" s="36" t="s">
        <v>472</v>
      </c>
      <c r="P1554" s="26">
        <f ca="1">IFERROR(VLOOKUP(DadosViagem5[[#This Row],[Placa]],[1]BIP!A:E,5,FALSE),"")</f>
        <v>45989</v>
      </c>
      <c r="Q1554" s="27">
        <f ca="1">DATEDIF(DadosViagem5[[#This Row],[BIP]],TODAY(),"D")</f>
        <v>1</v>
      </c>
      <c r="R1554" s="28" t="str">
        <f>IFERROR(VLOOKUP(DadosViagem5[[#This Row],[Placa]],[1]DDS!B:C,2,FALSE),"Verificar cadastro")</f>
        <v>Operando</v>
      </c>
      <c r="S1554" s="29" t="s">
        <v>48</v>
      </c>
      <c r="T1554" s="23"/>
      <c r="U1554" s="30"/>
      <c r="V1554" s="31"/>
      <c r="W1554" s="32" t="s">
        <v>608</v>
      </c>
      <c r="X1554" s="33"/>
      <c r="Y1554" s="34"/>
      <c r="Z1554" s="32"/>
      <c r="AA1554" s="20" t="s">
        <v>49</v>
      </c>
      <c r="AB1554" s="20" t="s">
        <v>49</v>
      </c>
      <c r="AC1554" s="19" t="s">
        <v>49</v>
      </c>
      <c r="AD1554" s="19" t="str">
        <f ca="1">IFERROR(DATEDIF(DadosViagem5[[#This Row],[Utimo Bip Reserva]],TODAY(),"D"),"")</f>
        <v/>
      </c>
      <c r="AE1554" s="36" t="s">
        <v>49</v>
      </c>
      <c r="AF1554" s="25" t="s">
        <v>49</v>
      </c>
      <c r="AG1554" s="30" t="s">
        <v>153</v>
      </c>
      <c r="AH1554" s="25">
        <v>11</v>
      </c>
      <c r="AI1554" s="36" t="str">
        <f>IF(DadosViagem5[[#This Row],[Dias em manutenção ]]&lt;5,"Dentro do Prazo","Fora do Prazo")</f>
        <v>Fora do Prazo</v>
      </c>
      <c r="AJ1554" s="36" t="e">
        <v>#REF!</v>
      </c>
    </row>
    <row r="1555" spans="1:36">
      <c r="A1555" s="19" t="s">
        <v>2611</v>
      </c>
      <c r="B1555" s="20"/>
      <c r="C1555" s="19" t="s">
        <v>88</v>
      </c>
      <c r="D1555" s="19" t="s">
        <v>52</v>
      </c>
      <c r="E1555" s="19" t="s">
        <v>114</v>
      </c>
      <c r="F1555" s="19" t="s">
        <v>115</v>
      </c>
      <c r="G1555" s="19"/>
      <c r="H1555" s="20">
        <v>2021</v>
      </c>
      <c r="I1555" s="19" t="s">
        <v>41</v>
      </c>
      <c r="J1555" s="19" t="s">
        <v>468</v>
      </c>
      <c r="K1555" s="66" t="s">
        <v>469</v>
      </c>
      <c r="L1555" s="72" t="s">
        <v>60</v>
      </c>
      <c r="M1555" s="23" t="s">
        <v>470</v>
      </c>
      <c r="N1555" s="36" t="s">
        <v>471</v>
      </c>
      <c r="O1555" s="36" t="s">
        <v>472</v>
      </c>
      <c r="P1555" s="26">
        <f ca="1">IFERROR(VLOOKUP(DadosViagem5[[#This Row],[Placa]],[1]BIP!A:E,5,FALSE),"")</f>
        <v>45989</v>
      </c>
      <c r="Q1555" s="27">
        <f ca="1">DATEDIF(DadosViagem5[[#This Row],[BIP]],TODAY(),"D")</f>
        <v>1</v>
      </c>
      <c r="R1555" s="28" t="str">
        <f>IFERROR(VLOOKUP(DadosViagem5[[#This Row],[Placa]],[1]DDS!B:C,2,FALSE),"Verificar cadastro")</f>
        <v>Operando</v>
      </c>
      <c r="S1555" s="29" t="s">
        <v>48</v>
      </c>
      <c r="T1555" s="23"/>
      <c r="U1555" s="30"/>
      <c r="V1555" s="31"/>
      <c r="W1555" s="32" t="s">
        <v>2612</v>
      </c>
      <c r="X1555" s="33"/>
      <c r="Y1555" s="34"/>
      <c r="Z1555" s="32"/>
      <c r="AA1555" s="20" t="s">
        <v>49</v>
      </c>
      <c r="AB1555" s="20" t="s">
        <v>49</v>
      </c>
      <c r="AC1555" s="19" t="s">
        <v>49</v>
      </c>
      <c r="AD1555" s="19" t="str">
        <f ca="1">IFERROR(DATEDIF(DadosViagem5[[#This Row],[Utimo Bip Reserva]],TODAY(),"D"),"")</f>
        <v/>
      </c>
      <c r="AE1555" s="36" t="s">
        <v>49</v>
      </c>
      <c r="AF1555" s="25" t="s">
        <v>49</v>
      </c>
      <c r="AG1555" s="36"/>
      <c r="AH1555" s="25">
        <v>45807</v>
      </c>
      <c r="AI1555" s="36" t="str">
        <f>IF(DadosViagem5[[#This Row],[Dias em manutenção ]]&lt;5,"Dentro do Prazo","Fora do Prazo")</f>
        <v>Fora do Prazo</v>
      </c>
      <c r="AJ1555" s="36" t="e">
        <v>#REF!</v>
      </c>
    </row>
    <row r="1556" spans="1:36">
      <c r="A1556" s="19" t="s">
        <v>2613</v>
      </c>
      <c r="B1556" s="20"/>
      <c r="C1556" s="19" t="s">
        <v>88</v>
      </c>
      <c r="D1556" s="19" t="s">
        <v>52</v>
      </c>
      <c r="E1556" s="19" t="s">
        <v>114</v>
      </c>
      <c r="F1556" s="19" t="s">
        <v>115</v>
      </c>
      <c r="G1556" s="19"/>
      <c r="H1556" s="20">
        <v>2020</v>
      </c>
      <c r="I1556" s="19" t="s">
        <v>41</v>
      </c>
      <c r="J1556" s="19" t="s">
        <v>468</v>
      </c>
      <c r="K1556" s="66" t="s">
        <v>469</v>
      </c>
      <c r="L1556" s="22" t="s">
        <v>60</v>
      </c>
      <c r="M1556" s="23" t="s">
        <v>470</v>
      </c>
      <c r="N1556" s="36" t="s">
        <v>471</v>
      </c>
      <c r="O1556" s="36" t="s">
        <v>472</v>
      </c>
      <c r="P1556" s="26">
        <f ca="1">IFERROR(VLOOKUP(DadosViagem5[[#This Row],[Placa]],[1]BIP!A:E,5,FALSE),"")</f>
        <v>45989</v>
      </c>
      <c r="Q1556" s="27">
        <f ca="1">DATEDIF(DadosViagem5[[#This Row],[BIP]],TODAY(),"D")</f>
        <v>1</v>
      </c>
      <c r="R1556" s="28" t="str">
        <f>IFERROR(VLOOKUP(DadosViagem5[[#This Row],[Placa]],[1]DDS!B:C,2,FALSE),"Verificar cadastro")</f>
        <v>Operando</v>
      </c>
      <c r="S1556" s="29" t="s">
        <v>48</v>
      </c>
      <c r="T1556" s="23"/>
      <c r="U1556" s="30"/>
      <c r="V1556" s="31"/>
      <c r="W1556" s="32"/>
      <c r="X1556" s="33"/>
      <c r="Y1556" s="34"/>
      <c r="Z1556" s="32"/>
      <c r="AA1556" s="20" t="s">
        <v>49</v>
      </c>
      <c r="AB1556" s="20" t="s">
        <v>49</v>
      </c>
      <c r="AC1556" s="19" t="s">
        <v>49</v>
      </c>
      <c r="AD1556" s="19" t="str">
        <f ca="1">IFERROR(DATEDIF(DadosViagem5[[#This Row],[Utimo Bip Reserva]],TODAY(),"D"),"")</f>
        <v/>
      </c>
      <c r="AE1556" s="36" t="s">
        <v>49</v>
      </c>
      <c r="AF1556" s="25" t="s">
        <v>49</v>
      </c>
      <c r="AG1556" s="36" t="e">
        <f>_xlfn.TEXTBEFORE(DadosViagem5[[#This Row],[Focal ]], " ", 1)</f>
        <v>#N/A</v>
      </c>
      <c r="AH1556" s="25">
        <v>45807</v>
      </c>
      <c r="AI1556" s="36" t="str">
        <f>IF(DadosViagem5[[#This Row],[Dias em manutenção ]]&lt;5,"Dentro do Prazo","Fora do Prazo")</f>
        <v>Fora do Prazo</v>
      </c>
      <c r="AJ1556" s="36" t="e">
        <v>#REF!</v>
      </c>
    </row>
    <row r="1557" spans="1:36">
      <c r="A1557" s="19" t="s">
        <v>2614</v>
      </c>
      <c r="B1557" s="20"/>
      <c r="C1557" s="19" t="s">
        <v>88</v>
      </c>
      <c r="D1557" s="19" t="s">
        <v>52</v>
      </c>
      <c r="E1557" s="19" t="s">
        <v>114</v>
      </c>
      <c r="F1557" s="19" t="s">
        <v>115</v>
      </c>
      <c r="G1557" s="19"/>
      <c r="H1557" s="20">
        <v>2022</v>
      </c>
      <c r="I1557" s="19" t="s">
        <v>41</v>
      </c>
      <c r="J1557" s="19" t="s">
        <v>468</v>
      </c>
      <c r="K1557" s="66" t="s">
        <v>469</v>
      </c>
      <c r="L1557" s="22" t="s">
        <v>60</v>
      </c>
      <c r="M1557" s="23" t="s">
        <v>470</v>
      </c>
      <c r="N1557" s="36" t="s">
        <v>471</v>
      </c>
      <c r="O1557" s="36" t="s">
        <v>472</v>
      </c>
      <c r="P1557" s="26">
        <f ca="1">IFERROR(VLOOKUP(DadosViagem5[[#This Row],[Placa]],[1]BIP!A:E,5,FALSE),"")</f>
        <v>45989</v>
      </c>
      <c r="Q1557" s="27">
        <f ca="1">DATEDIF(DadosViagem5[[#This Row],[BIP]],TODAY(),"D")</f>
        <v>1</v>
      </c>
      <c r="R1557" s="28" t="str">
        <f>IFERROR(VLOOKUP(DadosViagem5[[#This Row],[Placa]],[1]DDS!B:C,2,FALSE),"Verificar cadastro")</f>
        <v>Manutenção</v>
      </c>
      <c r="S1557" s="29" t="s">
        <v>48</v>
      </c>
      <c r="T1557" s="23"/>
      <c r="U1557" s="30"/>
      <c r="V1557" s="31"/>
      <c r="W1557" s="32"/>
      <c r="X1557" s="33"/>
      <c r="Y1557" s="34"/>
      <c r="Z1557" s="32"/>
      <c r="AA1557" s="20" t="s">
        <v>49</v>
      </c>
      <c r="AB1557" s="20" t="s">
        <v>49</v>
      </c>
      <c r="AC1557" s="19" t="s">
        <v>49</v>
      </c>
      <c r="AD1557" s="19" t="str">
        <f ca="1">IFERROR(DATEDIF(DadosViagem5[[#This Row],[Utimo Bip Reserva]],TODAY(),"D"),"")</f>
        <v/>
      </c>
      <c r="AE1557" s="36" t="s">
        <v>49</v>
      </c>
      <c r="AF1557" s="25" t="s">
        <v>49</v>
      </c>
      <c r="AG1557" s="36"/>
      <c r="AH1557" s="25">
        <v>45807</v>
      </c>
      <c r="AI1557" s="36" t="str">
        <f>IF(DadosViagem5[[#This Row],[Dias em manutenção ]]&lt;5,"Dentro do Prazo","Fora do Prazo")</f>
        <v>Fora do Prazo</v>
      </c>
      <c r="AJ1557" s="36" t="e">
        <v>#REF!</v>
      </c>
    </row>
    <row r="1558" spans="1:36">
      <c r="A1558" s="19" t="s">
        <v>2615</v>
      </c>
      <c r="B1558" s="20"/>
      <c r="C1558" s="19" t="s">
        <v>74</v>
      </c>
      <c r="D1558" s="19" t="s">
        <v>52</v>
      </c>
      <c r="E1558" s="19" t="s">
        <v>114</v>
      </c>
      <c r="F1558" s="19" t="s">
        <v>115</v>
      </c>
      <c r="G1558" s="19"/>
      <c r="H1558" s="20">
        <v>2022</v>
      </c>
      <c r="I1558" s="19" t="s">
        <v>41</v>
      </c>
      <c r="J1558" s="19" t="s">
        <v>468</v>
      </c>
      <c r="K1558" s="66" t="s">
        <v>469</v>
      </c>
      <c r="L1558" s="22" t="s">
        <v>60</v>
      </c>
      <c r="M1558" s="23" t="s">
        <v>77</v>
      </c>
      <c r="N1558" s="36" t="s">
        <v>471</v>
      </c>
      <c r="O1558" s="36" t="s">
        <v>472</v>
      </c>
      <c r="P1558" s="26">
        <f ca="1">IFERROR(VLOOKUP(DadosViagem5[[#This Row],[Placa]],[1]BIP!A:E,5,FALSE),"")</f>
        <v>45810</v>
      </c>
      <c r="Q1558" s="27">
        <f ca="1">DATEDIF(DadosViagem5[[#This Row],[BIP]],TODAY(),"D")</f>
        <v>180</v>
      </c>
      <c r="R1558" s="28" t="str">
        <f>IFERROR(VLOOKUP(DadosViagem5[[#This Row],[Placa]],[1]DDS!B:C,2,FALSE),"Verificar cadastro")</f>
        <v>Verificar cadastro</v>
      </c>
      <c r="S1558" s="36" t="s">
        <v>574</v>
      </c>
      <c r="T1558" s="23"/>
      <c r="U1558" s="30"/>
      <c r="V1558" s="31"/>
      <c r="W1558" s="32" t="s">
        <v>2616</v>
      </c>
      <c r="X1558" s="33"/>
      <c r="Y1558" s="34"/>
      <c r="Z1558" s="32"/>
      <c r="AA1558" s="20" t="s">
        <v>49</v>
      </c>
      <c r="AB1558" s="20" t="s">
        <v>49</v>
      </c>
      <c r="AC1558" s="19" t="s">
        <v>49</v>
      </c>
      <c r="AD1558" s="19" t="str">
        <f ca="1">IFERROR(DATEDIF(DadosViagem5[[#This Row],[Utimo Bip Reserva]],TODAY(),"D"),"")</f>
        <v/>
      </c>
      <c r="AE1558" s="36" t="s">
        <v>49</v>
      </c>
      <c r="AF1558" s="25" t="s">
        <v>49</v>
      </c>
      <c r="AG1558" s="36"/>
      <c r="AH1558" s="25">
        <v>45807</v>
      </c>
      <c r="AI1558" s="36" t="str">
        <f>IF(DadosViagem5[[#This Row],[Dias em manutenção ]]&lt;5,"Dentro do Prazo","Fora do Prazo")</f>
        <v>Fora do Prazo</v>
      </c>
      <c r="AJ1558" s="36" t="e">
        <v>#REF!</v>
      </c>
    </row>
    <row r="1559" spans="1:36">
      <c r="A1559" s="19" t="s">
        <v>2617</v>
      </c>
      <c r="B1559" s="20"/>
      <c r="C1559" s="19" t="s">
        <v>1310</v>
      </c>
      <c r="D1559" s="19" t="s">
        <v>563</v>
      </c>
      <c r="E1559" s="19" t="s">
        <v>114</v>
      </c>
      <c r="F1559" s="19" t="s">
        <v>115</v>
      </c>
      <c r="G1559" s="19"/>
      <c r="H1559" s="20">
        <v>2022</v>
      </c>
      <c r="I1559" s="19" t="s">
        <v>41</v>
      </c>
      <c r="J1559" s="19" t="s">
        <v>468</v>
      </c>
      <c r="K1559" s="66" t="s">
        <v>469</v>
      </c>
      <c r="L1559" s="22" t="s">
        <v>60</v>
      </c>
      <c r="M1559" s="23" t="s">
        <v>470</v>
      </c>
      <c r="N1559" s="36" t="s">
        <v>471</v>
      </c>
      <c r="O1559" s="36" t="s">
        <v>472</v>
      </c>
      <c r="P1559" s="26">
        <f ca="1">IFERROR(VLOOKUP(DadosViagem5[[#This Row],[Placa]],[1]BIP!A:E,5,FALSE),"")</f>
        <v>45989</v>
      </c>
      <c r="Q1559" s="27">
        <f ca="1">DATEDIF(DadosViagem5[[#This Row],[BIP]],TODAY(),"D")</f>
        <v>1</v>
      </c>
      <c r="R1559" s="28" t="str">
        <f>IFERROR(VLOOKUP(DadosViagem5[[#This Row],[Placa]],[1]DDS!B:C,2,FALSE),"Verificar cadastro")</f>
        <v>Operando</v>
      </c>
      <c r="S1559" s="29" t="s">
        <v>48</v>
      </c>
      <c r="T1559" s="23"/>
      <c r="U1559" s="30"/>
      <c r="V1559" s="31"/>
      <c r="W1559" s="32"/>
      <c r="X1559" s="33"/>
      <c r="Y1559" s="34"/>
      <c r="Z1559" s="32"/>
      <c r="AA1559" s="20" t="s">
        <v>49</v>
      </c>
      <c r="AB1559" s="20" t="s">
        <v>49</v>
      </c>
      <c r="AC1559" s="19" t="s">
        <v>49</v>
      </c>
      <c r="AD1559" s="19" t="str">
        <f ca="1">IFERROR(DATEDIF(DadosViagem5[[#This Row],[Utimo Bip Reserva]],TODAY(),"D"),"")</f>
        <v/>
      </c>
      <c r="AE1559" s="36" t="s">
        <v>2618</v>
      </c>
      <c r="AF1559" s="25"/>
      <c r="AG1559" s="36"/>
      <c r="AH1559" s="25">
        <v>28</v>
      </c>
      <c r="AI1559" s="36" t="str">
        <f>IF(DadosViagem5[[#This Row],[Dias em manutenção ]]&lt;5,"Dentro do Prazo","Fora do Prazo")</f>
        <v>Fora do Prazo</v>
      </c>
      <c r="AJ1559" s="36" t="e">
        <v>#REF!</v>
      </c>
    </row>
    <row r="1560" spans="1:36">
      <c r="A1560" s="19" t="s">
        <v>2619</v>
      </c>
      <c r="B1560" s="20"/>
      <c r="C1560" s="19" t="s">
        <v>562</v>
      </c>
      <c r="D1560" s="19" t="s">
        <v>563</v>
      </c>
      <c r="E1560" s="19" t="s">
        <v>114</v>
      </c>
      <c r="F1560" s="19" t="s">
        <v>115</v>
      </c>
      <c r="G1560" s="19"/>
      <c r="H1560" s="20">
        <v>2022</v>
      </c>
      <c r="I1560" s="19" t="s">
        <v>41</v>
      </c>
      <c r="J1560" s="19" t="s">
        <v>468</v>
      </c>
      <c r="K1560" s="66" t="s">
        <v>469</v>
      </c>
      <c r="L1560" s="22" t="s">
        <v>60</v>
      </c>
      <c r="M1560" s="23" t="s">
        <v>470</v>
      </c>
      <c r="N1560" s="36" t="s">
        <v>471</v>
      </c>
      <c r="O1560" s="36" t="s">
        <v>472</v>
      </c>
      <c r="P1560" s="26">
        <f ca="1">IFERROR(VLOOKUP(DadosViagem5[[#This Row],[Placa]],[1]BIP!A:E,5,FALSE),"")</f>
        <v>0</v>
      </c>
      <c r="Q1560" s="27">
        <f ca="1">DATEDIF(DadosViagem5[[#This Row],[BIP]],TODAY(),"D")</f>
        <v>45990</v>
      </c>
      <c r="R1560" s="28" t="str">
        <f>IFERROR(VLOOKUP(DadosViagem5[[#This Row],[Placa]],[1]DDS!B:C,2,FALSE),"Verificar cadastro")</f>
        <v>Manutenção</v>
      </c>
      <c r="S1560" s="29" t="s">
        <v>48</v>
      </c>
      <c r="T1560" s="23"/>
      <c r="U1560" s="30"/>
      <c r="V1560" s="31"/>
      <c r="W1560" s="32"/>
      <c r="X1560" s="33"/>
      <c r="Y1560" s="34"/>
      <c r="Z1560" s="32"/>
      <c r="AA1560" s="20" t="s">
        <v>49</v>
      </c>
      <c r="AB1560" s="20" t="s">
        <v>49</v>
      </c>
      <c r="AC1560" s="19" t="s">
        <v>49</v>
      </c>
      <c r="AD1560" s="19" t="str">
        <f ca="1">IFERROR(DATEDIF(DadosViagem5[[#This Row],[Utimo Bip Reserva]],TODAY(),"D"),"")</f>
        <v/>
      </c>
      <c r="AE1560" s="36" t="s">
        <v>49</v>
      </c>
      <c r="AF1560" s="25" t="s">
        <v>49</v>
      </c>
      <c r="AG1560" s="36"/>
      <c r="AH1560" s="25">
        <v>45807</v>
      </c>
      <c r="AI1560" s="36" t="str">
        <f>IF(DadosViagem5[[#This Row],[Dias em manutenção ]]&lt;5,"Dentro do Prazo","Fora do Prazo")</f>
        <v>Fora do Prazo</v>
      </c>
      <c r="AJ1560" s="36" t="e">
        <v>#REF!</v>
      </c>
    </row>
    <row r="1561" spans="1:36">
      <c r="A1561" s="19" t="s">
        <v>2620</v>
      </c>
      <c r="B1561" s="20"/>
      <c r="C1561" s="19" t="s">
        <v>88</v>
      </c>
      <c r="D1561" s="19" t="s">
        <v>52</v>
      </c>
      <c r="E1561" s="19" t="s">
        <v>114</v>
      </c>
      <c r="F1561" s="19" t="s">
        <v>115</v>
      </c>
      <c r="G1561" s="19"/>
      <c r="H1561" s="20">
        <v>2022</v>
      </c>
      <c r="I1561" s="19" t="s">
        <v>41</v>
      </c>
      <c r="J1561" s="19" t="s">
        <v>468</v>
      </c>
      <c r="K1561" s="66" t="s">
        <v>469</v>
      </c>
      <c r="L1561" s="22" t="s">
        <v>60</v>
      </c>
      <c r="M1561" s="23" t="s">
        <v>470</v>
      </c>
      <c r="N1561" s="36" t="s">
        <v>471</v>
      </c>
      <c r="O1561" s="36" t="s">
        <v>472</v>
      </c>
      <c r="P1561" s="26">
        <f ca="1">IFERROR(VLOOKUP(DadosViagem5[[#This Row],[Placa]],[1]BIP!A:E,5,FALSE),"")</f>
        <v>45989</v>
      </c>
      <c r="Q1561" s="27">
        <f ca="1">DATEDIF(DadosViagem5[[#This Row],[BIP]],TODAY(),"D")</f>
        <v>1</v>
      </c>
      <c r="R1561" s="28" t="str">
        <f>IFERROR(VLOOKUP(DadosViagem5[[#This Row],[Placa]],[1]DDS!B:C,2,FALSE),"Verificar cadastro")</f>
        <v>Operando</v>
      </c>
      <c r="S1561" s="29" t="s">
        <v>48</v>
      </c>
      <c r="T1561" s="23"/>
      <c r="U1561" s="30"/>
      <c r="V1561" s="31"/>
      <c r="W1561" s="32" t="s">
        <v>1498</v>
      </c>
      <c r="X1561" s="33"/>
      <c r="Y1561" s="34"/>
      <c r="Z1561" s="42"/>
      <c r="AA1561" s="20" t="s">
        <v>49</v>
      </c>
      <c r="AB1561" s="20" t="s">
        <v>49</v>
      </c>
      <c r="AC1561" s="19" t="s">
        <v>49</v>
      </c>
      <c r="AD1561" s="19" t="str">
        <f ca="1">IFERROR(DATEDIF(DadosViagem5[[#This Row],[Utimo Bip Reserva]],TODAY(),"D"),"")</f>
        <v/>
      </c>
      <c r="AE1561" s="36" t="s">
        <v>49</v>
      </c>
      <c r="AF1561" s="25" t="s">
        <v>49</v>
      </c>
      <c r="AG1561" s="36"/>
      <c r="AH1561" s="25">
        <v>45807</v>
      </c>
      <c r="AI1561" s="36" t="str">
        <f>IF(DadosViagem5[[#This Row],[Dias em manutenção ]]&lt;5,"Dentro do Prazo","Fora do Prazo")</f>
        <v>Fora do Prazo</v>
      </c>
      <c r="AJ1561" s="36" t="e">
        <v>#REF!</v>
      </c>
    </row>
    <row r="1562" spans="1:36">
      <c r="A1562" s="19" t="s">
        <v>2621</v>
      </c>
      <c r="B1562" s="20">
        <v>461</v>
      </c>
      <c r="C1562" s="19" t="s">
        <v>74</v>
      </c>
      <c r="D1562" s="19" t="s">
        <v>52</v>
      </c>
      <c r="E1562" s="19" t="s">
        <v>75</v>
      </c>
      <c r="F1562" s="19" t="s">
        <v>76</v>
      </c>
      <c r="G1562" s="19"/>
      <c r="H1562" s="20">
        <v>2023</v>
      </c>
      <c r="I1562" s="19" t="s">
        <v>41</v>
      </c>
      <c r="J1562" s="19" t="s">
        <v>468</v>
      </c>
      <c r="K1562" s="66" t="s">
        <v>469</v>
      </c>
      <c r="L1562" s="22" t="s">
        <v>60</v>
      </c>
      <c r="M1562" s="23" t="s">
        <v>77</v>
      </c>
      <c r="N1562" s="36" t="s">
        <v>471</v>
      </c>
      <c r="O1562" s="36" t="s">
        <v>472</v>
      </c>
      <c r="P1562" s="26">
        <f ca="1">IFERROR(VLOOKUP(DadosViagem5[[#This Row],[Placa]],[1]BIP!A:E,5,FALSE),"")</f>
        <v>45989</v>
      </c>
      <c r="Q1562" s="27">
        <f ca="1">DATEDIF(DadosViagem5[[#This Row],[BIP]],TODAY(),"D")</f>
        <v>1</v>
      </c>
      <c r="R1562" s="28" t="str">
        <f>IFERROR(VLOOKUP(DadosViagem5[[#This Row],[Placa]],[1]DDS!B:C,2,FALSE),"Verificar cadastro")</f>
        <v>Operando</v>
      </c>
      <c r="S1562" s="29" t="s">
        <v>48</v>
      </c>
      <c r="T1562" s="23"/>
      <c r="U1562" s="30"/>
      <c r="V1562" s="31"/>
      <c r="W1562" s="32"/>
      <c r="X1562" s="33"/>
      <c r="Y1562" s="34"/>
      <c r="Z1562" s="32"/>
      <c r="AA1562" s="20" t="s">
        <v>49</v>
      </c>
      <c r="AB1562" s="20" t="s">
        <v>49</v>
      </c>
      <c r="AC1562" s="19" t="s">
        <v>49</v>
      </c>
      <c r="AD1562" s="19" t="str">
        <f ca="1">IFERROR(DATEDIF(DadosViagem5[[#This Row],[Utimo Bip Reserva]],TODAY(),"D"),"")</f>
        <v/>
      </c>
      <c r="AE1562" s="25" t="s">
        <v>49</v>
      </c>
      <c r="AF1562" s="25" t="s">
        <v>49</v>
      </c>
      <c r="AG1562" s="36"/>
      <c r="AH1562" s="25">
        <v>45807</v>
      </c>
      <c r="AI1562" s="36" t="str">
        <f>IF(DadosViagem5[[#This Row],[Dias em manutenção ]]&lt;5,"Dentro do Prazo","Fora do Prazo")</f>
        <v>Fora do Prazo</v>
      </c>
      <c r="AJ1562" s="36" t="e">
        <v>#REF!</v>
      </c>
    </row>
    <row r="1563" spans="1:36">
      <c r="A1563" s="19" t="s">
        <v>2622</v>
      </c>
      <c r="B1563" s="20"/>
      <c r="C1563" s="19" t="s">
        <v>88</v>
      </c>
      <c r="D1563" s="19" t="s">
        <v>52</v>
      </c>
      <c r="E1563" s="19" t="s">
        <v>114</v>
      </c>
      <c r="F1563" s="19" t="s">
        <v>115</v>
      </c>
      <c r="G1563" s="19"/>
      <c r="H1563" s="20">
        <v>2021</v>
      </c>
      <c r="I1563" s="19" t="s">
        <v>41</v>
      </c>
      <c r="J1563" s="19" t="s">
        <v>468</v>
      </c>
      <c r="K1563" s="66" t="s">
        <v>469</v>
      </c>
      <c r="L1563" s="72" t="s">
        <v>60</v>
      </c>
      <c r="M1563" s="23" t="s">
        <v>470</v>
      </c>
      <c r="N1563" s="36" t="s">
        <v>471</v>
      </c>
      <c r="O1563" s="36" t="s">
        <v>472</v>
      </c>
      <c r="P1563" s="26">
        <f ca="1">IFERROR(VLOOKUP(DadosViagem5[[#This Row],[Placa]],[1]BIP!A:E,5,FALSE),"")</f>
        <v>45981</v>
      </c>
      <c r="Q1563" s="27">
        <f ca="1">DATEDIF(DadosViagem5[[#This Row],[BIP]],TODAY(),"D")</f>
        <v>9</v>
      </c>
      <c r="R1563" s="28" t="str">
        <f>IFERROR(VLOOKUP(DadosViagem5[[#This Row],[Placa]],[1]DDS!B:C,2,FALSE),"Verificar cadastro")</f>
        <v>Manutenção</v>
      </c>
      <c r="S1563" s="29" t="s">
        <v>48</v>
      </c>
      <c r="T1563" s="23"/>
      <c r="U1563" s="30"/>
      <c r="V1563" s="31"/>
      <c r="W1563" s="32"/>
      <c r="X1563" s="33"/>
      <c r="Y1563" s="34"/>
      <c r="Z1563" s="32"/>
      <c r="AA1563" s="20" t="s">
        <v>49</v>
      </c>
      <c r="AB1563" s="20" t="s">
        <v>49</v>
      </c>
      <c r="AC1563" s="19" t="s">
        <v>49</v>
      </c>
      <c r="AD1563" s="19" t="str">
        <f ca="1">IFERROR(DATEDIF(DadosViagem5[[#This Row],[Utimo Bip Reserva]],TODAY(),"D"),"")</f>
        <v/>
      </c>
      <c r="AE1563" s="36"/>
      <c r="AF1563" s="25" t="s">
        <v>49</v>
      </c>
      <c r="AG1563" s="30"/>
      <c r="AH1563" s="25">
        <v>45807</v>
      </c>
      <c r="AI1563" s="36" t="str">
        <f>IF(DadosViagem5[[#This Row],[Dias em manutenção ]]&lt;5,"Dentro do Prazo","Fora do Prazo")</f>
        <v>Fora do Prazo</v>
      </c>
      <c r="AJ1563" s="36" t="e">
        <v>#REF!</v>
      </c>
    </row>
    <row r="1564" spans="1:36">
      <c r="A1564" s="19" t="s">
        <v>2623</v>
      </c>
      <c r="B1564" s="20"/>
      <c r="C1564" s="19" t="s">
        <v>88</v>
      </c>
      <c r="D1564" s="19" t="s">
        <v>52</v>
      </c>
      <c r="E1564" s="19" t="s">
        <v>114</v>
      </c>
      <c r="F1564" s="19" t="s">
        <v>115</v>
      </c>
      <c r="G1564" s="19"/>
      <c r="H1564" s="20">
        <v>2021</v>
      </c>
      <c r="I1564" s="19" t="s">
        <v>41</v>
      </c>
      <c r="J1564" s="19" t="s">
        <v>468</v>
      </c>
      <c r="K1564" s="66" t="s">
        <v>469</v>
      </c>
      <c r="L1564" s="22" t="s">
        <v>60</v>
      </c>
      <c r="M1564" s="23" t="s">
        <v>470</v>
      </c>
      <c r="N1564" s="36" t="s">
        <v>471</v>
      </c>
      <c r="O1564" s="36" t="s">
        <v>472</v>
      </c>
      <c r="P1564" s="26">
        <f ca="1">IFERROR(VLOOKUP(DadosViagem5[[#This Row],[Placa]],[1]BIP!A:E,5,FALSE),"")</f>
        <v>45981</v>
      </c>
      <c r="Q1564" s="27">
        <f ca="1">DATEDIF(DadosViagem5[[#This Row],[BIP]],TODAY(),"D")</f>
        <v>9</v>
      </c>
      <c r="R1564" s="28" t="str">
        <f>IFERROR(VLOOKUP(DadosViagem5[[#This Row],[Placa]],[1]DDS!B:C,2,FALSE),"Verificar cadastro")</f>
        <v>Manutenção</v>
      </c>
      <c r="S1564" s="29" t="s">
        <v>48</v>
      </c>
      <c r="T1564" s="23"/>
      <c r="U1564" s="30"/>
      <c r="V1564" s="31"/>
      <c r="W1564" s="32"/>
      <c r="X1564" s="33"/>
      <c r="Y1564" s="34"/>
      <c r="Z1564" s="42"/>
      <c r="AA1564" s="20" t="s">
        <v>49</v>
      </c>
      <c r="AB1564" s="20" t="s">
        <v>49</v>
      </c>
      <c r="AC1564" s="19" t="s">
        <v>49</v>
      </c>
      <c r="AD1564" s="19" t="str">
        <f ca="1">IFERROR(DATEDIF(DadosViagem5[[#This Row],[Utimo Bip Reserva]],TODAY(),"D"),"")</f>
        <v/>
      </c>
      <c r="AE1564" s="36" t="s">
        <v>49</v>
      </c>
      <c r="AF1564" s="25" t="s">
        <v>49</v>
      </c>
      <c r="AG1564" s="30"/>
      <c r="AH1564" s="25">
        <v>45807</v>
      </c>
      <c r="AI1564" s="36" t="str">
        <f>IF(DadosViagem5[[#This Row],[Dias em manutenção ]]&lt;5,"Dentro do Prazo","Fora do Prazo")</f>
        <v>Fora do Prazo</v>
      </c>
      <c r="AJ1564" s="36" t="e">
        <v>#REF!</v>
      </c>
    </row>
    <row r="1565" spans="1:36">
      <c r="A1565" s="19" t="s">
        <v>2624</v>
      </c>
      <c r="B1565" s="20"/>
      <c r="C1565" s="19" t="s">
        <v>88</v>
      </c>
      <c r="D1565" s="19" t="s">
        <v>52</v>
      </c>
      <c r="E1565" s="19" t="s">
        <v>114</v>
      </c>
      <c r="F1565" s="19" t="s">
        <v>115</v>
      </c>
      <c r="G1565" s="19"/>
      <c r="H1565" s="20">
        <v>2021</v>
      </c>
      <c r="I1565" s="19" t="s">
        <v>41</v>
      </c>
      <c r="J1565" s="19" t="s">
        <v>468</v>
      </c>
      <c r="K1565" s="66" t="s">
        <v>469</v>
      </c>
      <c r="L1565" s="22" t="s">
        <v>60</v>
      </c>
      <c r="M1565" s="23" t="s">
        <v>470</v>
      </c>
      <c r="N1565" s="36" t="s">
        <v>471</v>
      </c>
      <c r="O1565" s="36" t="s">
        <v>472</v>
      </c>
      <c r="P1565" s="26">
        <f ca="1">IFERROR(VLOOKUP(DadosViagem5[[#This Row],[Placa]],[1]BIP!A:E,5,FALSE),"")</f>
        <v>45989</v>
      </c>
      <c r="Q1565" s="27">
        <f ca="1">DATEDIF(DadosViagem5[[#This Row],[BIP]],TODAY(),"D")</f>
        <v>1</v>
      </c>
      <c r="R1565" s="28" t="str">
        <f>IFERROR(VLOOKUP(DadosViagem5[[#This Row],[Placa]],[1]DDS!B:C,2,FALSE),"Verificar cadastro")</f>
        <v>Operando</v>
      </c>
      <c r="S1565" s="29" t="s">
        <v>48</v>
      </c>
      <c r="T1565" s="23"/>
      <c r="U1565" s="30"/>
      <c r="V1565" s="31"/>
      <c r="W1565" s="32" t="s">
        <v>1498</v>
      </c>
      <c r="X1565" s="33"/>
      <c r="Y1565" s="34"/>
      <c r="Z1565" s="32"/>
      <c r="AA1565" s="20" t="s">
        <v>49</v>
      </c>
      <c r="AB1565" s="20" t="s">
        <v>49</v>
      </c>
      <c r="AC1565" s="19" t="s">
        <v>49</v>
      </c>
      <c r="AD1565" s="19" t="str">
        <f ca="1">IFERROR(DATEDIF(DadosViagem5[[#This Row],[Utimo Bip Reserva]],TODAY(),"D"),"")</f>
        <v/>
      </c>
      <c r="AE1565" s="36" t="s">
        <v>49</v>
      </c>
      <c r="AF1565" s="25" t="s">
        <v>49</v>
      </c>
      <c r="AG1565" s="36"/>
      <c r="AH1565" s="25">
        <v>45807</v>
      </c>
      <c r="AI1565" s="36" t="str">
        <f>IF(DadosViagem5[[#This Row],[Dias em manutenção ]]&lt;5,"Dentro do Prazo","Fora do Prazo")</f>
        <v>Fora do Prazo</v>
      </c>
      <c r="AJ1565" s="36" t="e">
        <v>#REF!</v>
      </c>
    </row>
    <row r="1566" spans="1:36">
      <c r="A1566" s="19" t="s">
        <v>2625</v>
      </c>
      <c r="B1566" s="20"/>
      <c r="C1566" s="19" t="s">
        <v>1013</v>
      </c>
      <c r="D1566" s="19" t="s">
        <v>1014</v>
      </c>
      <c r="E1566" s="19" t="s">
        <v>114</v>
      </c>
      <c r="F1566" s="19" t="s">
        <v>115</v>
      </c>
      <c r="G1566" s="19"/>
      <c r="H1566" s="20">
        <v>2022</v>
      </c>
      <c r="I1566" s="19" t="s">
        <v>41</v>
      </c>
      <c r="J1566" s="19" t="s">
        <v>468</v>
      </c>
      <c r="K1566" s="66" t="s">
        <v>469</v>
      </c>
      <c r="L1566" s="22" t="s">
        <v>60</v>
      </c>
      <c r="M1566" s="23" t="s">
        <v>470</v>
      </c>
      <c r="N1566" s="36" t="s">
        <v>471</v>
      </c>
      <c r="O1566" s="36" t="s">
        <v>472</v>
      </c>
      <c r="P1566" s="26">
        <f ca="1">IFERROR(VLOOKUP(DadosViagem5[[#This Row],[Placa]],[1]BIP!A:E,5,FALSE),"")</f>
        <v>45989</v>
      </c>
      <c r="Q1566" s="27">
        <f ca="1">DATEDIF(DadosViagem5[[#This Row],[BIP]],TODAY(),"D")</f>
        <v>1</v>
      </c>
      <c r="R1566" s="28" t="str">
        <f>IFERROR(VLOOKUP(DadosViagem5[[#This Row],[Placa]],[1]DDS!B:C,2,FALSE),"Verificar cadastro")</f>
        <v>Operando</v>
      </c>
      <c r="S1566" s="29" t="s">
        <v>48</v>
      </c>
      <c r="T1566" s="23"/>
      <c r="U1566" s="30"/>
      <c r="V1566" s="31"/>
      <c r="W1566" s="32"/>
      <c r="X1566" s="33"/>
      <c r="Y1566" s="34"/>
      <c r="Z1566" s="32"/>
      <c r="AA1566" s="20" t="s">
        <v>49</v>
      </c>
      <c r="AB1566" s="20" t="s">
        <v>49</v>
      </c>
      <c r="AC1566" s="19" t="s">
        <v>49</v>
      </c>
      <c r="AD1566" s="19" t="str">
        <f ca="1">IFERROR(DATEDIF(DadosViagem5[[#This Row],[Utimo Bip Reserva]],TODAY(),"D"),"")</f>
        <v/>
      </c>
      <c r="AE1566" s="36" t="s">
        <v>49</v>
      </c>
      <c r="AF1566" s="25" t="s">
        <v>49</v>
      </c>
      <c r="AG1566" s="36"/>
      <c r="AH1566" s="25">
        <v>45807</v>
      </c>
      <c r="AI1566" s="36" t="str">
        <f>IF(DadosViagem5[[#This Row],[Dias em manutenção ]]&lt;5,"Dentro do Prazo","Fora do Prazo")</f>
        <v>Fora do Prazo</v>
      </c>
      <c r="AJ1566" s="36" t="e">
        <v>#REF!</v>
      </c>
    </row>
    <row r="1567" spans="1:36">
      <c r="A1567" s="19" t="s">
        <v>2626</v>
      </c>
      <c r="B1567" s="20"/>
      <c r="C1567" s="19" t="s">
        <v>71</v>
      </c>
      <c r="D1567" s="19" t="s">
        <v>38</v>
      </c>
      <c r="E1567" s="19" t="s">
        <v>699</v>
      </c>
      <c r="F1567" s="19" t="s">
        <v>115</v>
      </c>
      <c r="G1567" s="19"/>
      <c r="H1567" s="20">
        <v>2023</v>
      </c>
      <c r="I1567" s="19" t="s">
        <v>41</v>
      </c>
      <c r="J1567" s="19" t="s">
        <v>468</v>
      </c>
      <c r="K1567" s="66" t="s">
        <v>469</v>
      </c>
      <c r="L1567" s="72" t="s">
        <v>60</v>
      </c>
      <c r="M1567" s="23" t="s">
        <v>470</v>
      </c>
      <c r="N1567" s="36" t="s">
        <v>471</v>
      </c>
      <c r="O1567" s="36" t="s">
        <v>472</v>
      </c>
      <c r="P1567" s="26">
        <f ca="1">IFERROR(VLOOKUP(DadosViagem5[[#This Row],[Placa]],[1]BIP!A:E,5,FALSE),"")</f>
        <v>45989</v>
      </c>
      <c r="Q1567" s="27">
        <f ca="1">DATEDIF(DadosViagem5[[#This Row],[BIP]],TODAY(),"D")</f>
        <v>1</v>
      </c>
      <c r="R1567" s="28" t="str">
        <f>IFERROR(VLOOKUP(DadosViagem5[[#This Row],[Placa]],[1]DDS!B:C,2,FALSE),"Verificar cadastro")</f>
        <v>Operando</v>
      </c>
      <c r="S1567" s="29" t="s">
        <v>48</v>
      </c>
      <c r="T1567" s="23"/>
      <c r="U1567" s="30"/>
      <c r="V1567" s="31"/>
      <c r="W1567" s="32"/>
      <c r="X1567" s="33"/>
      <c r="Y1567" s="34"/>
      <c r="Z1567" s="32"/>
      <c r="AA1567" s="20" t="s">
        <v>49</v>
      </c>
      <c r="AB1567" s="20" t="s">
        <v>49</v>
      </c>
      <c r="AC1567" s="19" t="s">
        <v>49</v>
      </c>
      <c r="AD1567" s="19" t="str">
        <f ca="1">IFERROR(DATEDIF(DadosViagem5[[#This Row],[Utimo Bip Reserva]],TODAY(),"D"),"")</f>
        <v/>
      </c>
      <c r="AE1567" s="35" t="s">
        <v>49</v>
      </c>
      <c r="AF1567" s="35" t="s">
        <v>49</v>
      </c>
      <c r="AG1567" s="36"/>
      <c r="AH1567" s="25">
        <v>45807</v>
      </c>
      <c r="AI1567" s="36" t="str">
        <f>IF(DadosViagem5[[#This Row],[Dias em manutenção ]]&lt;5,"Dentro do Prazo","Fora do Prazo")</f>
        <v>Fora do Prazo</v>
      </c>
      <c r="AJ1567" s="36" t="e">
        <v>#REF!</v>
      </c>
    </row>
    <row r="1568" spans="1:36">
      <c r="A1568" s="19" t="s">
        <v>2627</v>
      </c>
      <c r="B1568" s="20"/>
      <c r="C1568" s="19" t="s">
        <v>88</v>
      </c>
      <c r="D1568" s="19" t="s">
        <v>52</v>
      </c>
      <c r="E1568" s="19" t="s">
        <v>114</v>
      </c>
      <c r="F1568" s="19" t="s">
        <v>115</v>
      </c>
      <c r="G1568" s="19"/>
      <c r="H1568" s="20">
        <v>2021</v>
      </c>
      <c r="I1568" s="19" t="s">
        <v>41</v>
      </c>
      <c r="J1568" s="19" t="s">
        <v>468</v>
      </c>
      <c r="K1568" s="66" t="s">
        <v>469</v>
      </c>
      <c r="L1568" s="22" t="s">
        <v>60</v>
      </c>
      <c r="M1568" s="23" t="s">
        <v>470</v>
      </c>
      <c r="N1568" s="36" t="s">
        <v>471</v>
      </c>
      <c r="O1568" s="36" t="s">
        <v>472</v>
      </c>
      <c r="P1568" s="26">
        <f ca="1">IFERROR(VLOOKUP(DadosViagem5[[#This Row],[Placa]],[1]BIP!A:E,5,FALSE),"")</f>
        <v>45989</v>
      </c>
      <c r="Q1568" s="27">
        <f ca="1">DATEDIF(DadosViagem5[[#This Row],[BIP]],TODAY(),"D")</f>
        <v>1</v>
      </c>
      <c r="R1568" s="28" t="str">
        <f>IFERROR(VLOOKUP(DadosViagem5[[#This Row],[Placa]],[1]DDS!B:C,2,FALSE),"Verificar cadastro")</f>
        <v>Operando</v>
      </c>
      <c r="S1568" s="29" t="s">
        <v>48</v>
      </c>
      <c r="T1568" s="23"/>
      <c r="U1568" s="30"/>
      <c r="V1568" s="31"/>
      <c r="W1568" s="32" t="s">
        <v>1431</v>
      </c>
      <c r="X1568" s="33"/>
      <c r="Y1568" s="34"/>
      <c r="Z1568" s="32" t="s">
        <v>2600</v>
      </c>
      <c r="AA1568" s="20" t="s">
        <v>49</v>
      </c>
      <c r="AB1568" s="20" t="s">
        <v>49</v>
      </c>
      <c r="AC1568" s="19" t="s">
        <v>49</v>
      </c>
      <c r="AD1568" s="19" t="str">
        <f ca="1">IFERROR(DATEDIF(DadosViagem5[[#This Row],[Utimo Bip Reserva]],TODAY(),"D"),"")</f>
        <v/>
      </c>
      <c r="AE1568" s="36" t="s">
        <v>49</v>
      </c>
      <c r="AF1568" s="25" t="s">
        <v>49</v>
      </c>
      <c r="AG1568" s="36"/>
      <c r="AH1568" s="25">
        <v>45807</v>
      </c>
      <c r="AI1568" s="36" t="str">
        <f>IF(DadosViagem5[[#This Row],[Dias em manutenção ]]&lt;5,"Dentro do Prazo","Fora do Prazo")</f>
        <v>Fora do Prazo</v>
      </c>
      <c r="AJ1568" s="36" t="e">
        <v>#REF!</v>
      </c>
    </row>
    <row r="1569" spans="1:36">
      <c r="A1569" s="19" t="s">
        <v>2628</v>
      </c>
      <c r="B1569" s="20"/>
      <c r="C1569" s="19" t="s">
        <v>131</v>
      </c>
      <c r="D1569" s="19" t="s">
        <v>132</v>
      </c>
      <c r="E1569" s="19" t="s">
        <v>114</v>
      </c>
      <c r="F1569" s="19" t="s">
        <v>115</v>
      </c>
      <c r="G1569" s="19"/>
      <c r="H1569" s="20">
        <v>2022</v>
      </c>
      <c r="I1569" s="19" t="s">
        <v>41</v>
      </c>
      <c r="J1569" s="19" t="s">
        <v>468</v>
      </c>
      <c r="K1569" s="66" t="s">
        <v>469</v>
      </c>
      <c r="L1569" s="22" t="s">
        <v>60</v>
      </c>
      <c r="M1569" s="23" t="s">
        <v>470</v>
      </c>
      <c r="N1569" s="36" t="s">
        <v>471</v>
      </c>
      <c r="O1569" s="36" t="s">
        <v>472</v>
      </c>
      <c r="P1569" s="26">
        <f ca="1">IFERROR(VLOOKUP(DadosViagem5[[#This Row],[Placa]],[1]BIP!A:E,5,FALSE),"")</f>
        <v>45936</v>
      </c>
      <c r="Q1569" s="27">
        <f ca="1">DATEDIF(DadosViagem5[[#This Row],[BIP]],TODAY(),"D")</f>
        <v>54</v>
      </c>
      <c r="R1569" s="28" t="str">
        <f>IFERROR(VLOOKUP(DadosViagem5[[#This Row],[Placa]],[1]DDS!B:C,2,FALSE),"Verificar cadastro")</f>
        <v>Manutenção</v>
      </c>
      <c r="S1569" s="36" t="s">
        <v>35</v>
      </c>
      <c r="T1569" s="23"/>
      <c r="U1569" s="30"/>
      <c r="V1569" s="31"/>
      <c r="W1569" s="32" t="s">
        <v>2629</v>
      </c>
      <c r="X1569" s="33"/>
      <c r="Y1569" s="34"/>
      <c r="Z1569" s="32" t="s">
        <v>2630</v>
      </c>
      <c r="AA1569" s="20" t="s">
        <v>49</v>
      </c>
      <c r="AB1569" s="20" t="s">
        <v>49</v>
      </c>
      <c r="AC1569" s="19" t="s">
        <v>49</v>
      </c>
      <c r="AD1569" s="19" t="str">
        <f ca="1">IFERROR(DATEDIF(DadosViagem5[[#This Row],[Utimo Bip Reserva]],TODAY(),"D"),"")</f>
        <v/>
      </c>
      <c r="AE1569" s="36" t="s">
        <v>49</v>
      </c>
      <c r="AF1569" s="25" t="s">
        <v>49</v>
      </c>
      <c r="AG1569" s="36"/>
      <c r="AH1569" s="25">
        <v>45807</v>
      </c>
      <c r="AI1569" s="36" t="str">
        <f>IF(DadosViagem5[[#This Row],[Dias em manutenção ]]&lt;5,"Dentro do Prazo","Fora do Prazo")</f>
        <v>Fora do Prazo</v>
      </c>
      <c r="AJ1569" s="36" t="e">
        <v>#REF!</v>
      </c>
    </row>
    <row r="1570" spans="1:36">
      <c r="A1570" s="19" t="s">
        <v>2631</v>
      </c>
      <c r="B1570" s="20"/>
      <c r="C1570" s="19" t="s">
        <v>131</v>
      </c>
      <c r="D1570" s="19" t="s">
        <v>132</v>
      </c>
      <c r="E1570" s="19" t="s">
        <v>114</v>
      </c>
      <c r="F1570" s="19" t="s">
        <v>115</v>
      </c>
      <c r="G1570" s="19"/>
      <c r="H1570" s="20">
        <v>2022</v>
      </c>
      <c r="I1570" s="19" t="s">
        <v>41</v>
      </c>
      <c r="J1570" s="19" t="s">
        <v>468</v>
      </c>
      <c r="K1570" s="66" t="s">
        <v>469</v>
      </c>
      <c r="L1570" s="22" t="s">
        <v>60</v>
      </c>
      <c r="M1570" s="23" t="s">
        <v>470</v>
      </c>
      <c r="N1570" s="36" t="s">
        <v>471</v>
      </c>
      <c r="O1570" s="36" t="s">
        <v>472</v>
      </c>
      <c r="P1570" s="26">
        <f ca="1">IFERROR(VLOOKUP(DadosViagem5[[#This Row],[Placa]],[1]BIP!A:E,5,FALSE),"")</f>
        <v>45987</v>
      </c>
      <c r="Q1570" s="27">
        <f ca="1">DATEDIF(DadosViagem5[[#This Row],[BIP]],TODAY(),"D")</f>
        <v>3</v>
      </c>
      <c r="R1570" s="28" t="str">
        <f>IFERROR(VLOOKUP(DadosViagem5[[#This Row],[Placa]],[1]DDS!B:C,2,FALSE),"Verificar cadastro")</f>
        <v>Manutenção</v>
      </c>
      <c r="S1570" s="29" t="s">
        <v>173</v>
      </c>
      <c r="T1570" s="23"/>
      <c r="U1570" s="30"/>
      <c r="V1570" s="31"/>
      <c r="W1570" s="43"/>
      <c r="X1570" s="33"/>
      <c r="Y1570" s="34"/>
      <c r="Z1570" s="32"/>
      <c r="AA1570" s="20" t="s">
        <v>49</v>
      </c>
      <c r="AB1570" s="20" t="s">
        <v>49</v>
      </c>
      <c r="AC1570" s="19" t="s">
        <v>49</v>
      </c>
      <c r="AD1570" s="19" t="str">
        <f ca="1">IFERROR(DATEDIF(DadosViagem5[[#This Row],[Utimo Bip Reserva]],TODAY(),"D"),"")</f>
        <v/>
      </c>
      <c r="AE1570" s="36" t="s">
        <v>49</v>
      </c>
      <c r="AF1570" s="25" t="s">
        <v>49</v>
      </c>
      <c r="AG1570" s="36"/>
      <c r="AH1570" s="25">
        <v>45807</v>
      </c>
      <c r="AI1570" s="36" t="str">
        <f>IF(DadosViagem5[[#This Row],[Dias em manutenção ]]&lt;5,"Dentro do Prazo","Fora do Prazo")</f>
        <v>Fora do Prazo</v>
      </c>
      <c r="AJ1570" s="36" t="e">
        <v>#REF!</v>
      </c>
    </row>
    <row r="1571" spans="1:36">
      <c r="A1571" s="19" t="s">
        <v>2632</v>
      </c>
      <c r="B1571" s="20"/>
      <c r="C1571" s="19" t="s">
        <v>1013</v>
      </c>
      <c r="D1571" s="19" t="s">
        <v>1014</v>
      </c>
      <c r="E1571" s="19" t="s">
        <v>114</v>
      </c>
      <c r="F1571" s="19" t="s">
        <v>115</v>
      </c>
      <c r="G1571" s="19"/>
      <c r="H1571" s="20">
        <v>2022</v>
      </c>
      <c r="I1571" s="19" t="s">
        <v>41</v>
      </c>
      <c r="J1571" s="19" t="s">
        <v>468</v>
      </c>
      <c r="K1571" s="66" t="s">
        <v>469</v>
      </c>
      <c r="L1571" s="22" t="s">
        <v>60</v>
      </c>
      <c r="M1571" s="23" t="s">
        <v>470</v>
      </c>
      <c r="N1571" s="36" t="s">
        <v>471</v>
      </c>
      <c r="O1571" s="36" t="s">
        <v>472</v>
      </c>
      <c r="P1571" s="26">
        <f ca="1">IFERROR(VLOOKUP(DadosViagem5[[#This Row],[Placa]],[1]BIP!A:E,5,FALSE),"")</f>
        <v>45989</v>
      </c>
      <c r="Q1571" s="27">
        <f ca="1">DATEDIF(DadosViagem5[[#This Row],[BIP]],TODAY(),"D")</f>
        <v>1</v>
      </c>
      <c r="R1571" s="28" t="str">
        <f>IFERROR(VLOOKUP(DadosViagem5[[#This Row],[Placa]],[1]DDS!B:C,2,FALSE),"Verificar cadastro")</f>
        <v>Operando</v>
      </c>
      <c r="S1571" s="29" t="s">
        <v>48</v>
      </c>
      <c r="T1571" s="23"/>
      <c r="U1571" s="30"/>
      <c r="V1571" s="31"/>
      <c r="W1571" s="32"/>
      <c r="X1571" s="33"/>
      <c r="Y1571" s="34"/>
      <c r="Z1571" s="32"/>
      <c r="AA1571" s="20" t="s">
        <v>49</v>
      </c>
      <c r="AB1571" s="20" t="s">
        <v>49</v>
      </c>
      <c r="AC1571" s="19" t="s">
        <v>49</v>
      </c>
      <c r="AD1571" s="19" t="str">
        <f ca="1">IFERROR(DATEDIF(DadosViagem5[[#This Row],[Utimo Bip Reserva]],TODAY(),"D"),"")</f>
        <v/>
      </c>
      <c r="AE1571" s="36" t="s">
        <v>49</v>
      </c>
      <c r="AF1571" s="25" t="s">
        <v>49</v>
      </c>
      <c r="AG1571" s="36"/>
      <c r="AH1571" s="25">
        <v>45807</v>
      </c>
      <c r="AI1571" s="36" t="str">
        <f>IF(DadosViagem5[[#This Row],[Dias em manutenção ]]&lt;5,"Dentro do Prazo","Fora do Prazo")</f>
        <v>Fora do Prazo</v>
      </c>
      <c r="AJ1571" s="36" t="e">
        <v>#REF!</v>
      </c>
    </row>
    <row r="1572" spans="1:36">
      <c r="A1572" s="19" t="s">
        <v>2633</v>
      </c>
      <c r="B1572" s="20">
        <v>443</v>
      </c>
      <c r="C1572" s="19" t="s">
        <v>74</v>
      </c>
      <c r="D1572" s="19" t="s">
        <v>52</v>
      </c>
      <c r="E1572" s="19" t="s">
        <v>75</v>
      </c>
      <c r="F1572" s="19" t="s">
        <v>115</v>
      </c>
      <c r="G1572" s="19"/>
      <c r="H1572" s="20">
        <v>2023</v>
      </c>
      <c r="I1572" s="19" t="s">
        <v>41</v>
      </c>
      <c r="J1572" s="19" t="s">
        <v>468</v>
      </c>
      <c r="K1572" s="66" t="s">
        <v>469</v>
      </c>
      <c r="L1572" s="22" t="s">
        <v>60</v>
      </c>
      <c r="M1572" s="23" t="s">
        <v>77</v>
      </c>
      <c r="N1572" s="36" t="s">
        <v>471</v>
      </c>
      <c r="O1572" s="36" t="s">
        <v>472</v>
      </c>
      <c r="P1572" s="26">
        <f ca="1">IFERROR(VLOOKUP(DadosViagem5[[#This Row],[Placa]],[1]BIP!A:E,5,FALSE),"")</f>
        <v>45989</v>
      </c>
      <c r="Q1572" s="27">
        <f ca="1">DATEDIF(DadosViagem5[[#This Row],[BIP]],TODAY(),"D")</f>
        <v>1</v>
      </c>
      <c r="R1572" s="28" t="str">
        <f>IFERROR(VLOOKUP(DadosViagem5[[#This Row],[Placa]],[1]DDS!B:C,2,FALSE),"Verificar cadastro")</f>
        <v>Operando</v>
      </c>
      <c r="S1572" s="29" t="s">
        <v>48</v>
      </c>
      <c r="T1572" s="23"/>
      <c r="U1572" s="30"/>
      <c r="V1572" s="31"/>
      <c r="W1572" s="32"/>
      <c r="X1572" s="33"/>
      <c r="Y1572" s="34"/>
      <c r="Z1572" s="32"/>
      <c r="AA1572" s="20" t="s">
        <v>49</v>
      </c>
      <c r="AB1572" s="20" t="s">
        <v>49</v>
      </c>
      <c r="AC1572" s="19" t="s">
        <v>49</v>
      </c>
      <c r="AD1572" s="19" t="str">
        <f ca="1">IFERROR(DATEDIF(DadosViagem5[[#This Row],[Utimo Bip Reserva]],TODAY(),"D"),"")</f>
        <v/>
      </c>
      <c r="AE1572" s="103"/>
      <c r="AF1572" s="25" t="s">
        <v>49</v>
      </c>
      <c r="AG1572" s="36"/>
      <c r="AH1572" s="25">
        <v>45807</v>
      </c>
      <c r="AI1572" s="36" t="str">
        <f>IF(DadosViagem5[[#This Row],[Dias em manutenção ]]&lt;5,"Dentro do Prazo","Fora do Prazo")</f>
        <v>Fora do Prazo</v>
      </c>
      <c r="AJ1572" s="36" t="e">
        <v>#REF!</v>
      </c>
    </row>
    <row r="1573" spans="1:36">
      <c r="A1573" s="19" t="s">
        <v>2634</v>
      </c>
      <c r="B1573" s="20"/>
      <c r="C1573" s="19" t="s">
        <v>131</v>
      </c>
      <c r="D1573" s="19" t="s">
        <v>132</v>
      </c>
      <c r="E1573" s="19" t="s">
        <v>114</v>
      </c>
      <c r="F1573" s="19" t="s">
        <v>115</v>
      </c>
      <c r="G1573" s="19"/>
      <c r="H1573" s="20">
        <v>2022</v>
      </c>
      <c r="I1573" s="19" t="s">
        <v>41</v>
      </c>
      <c r="J1573" s="19" t="s">
        <v>468</v>
      </c>
      <c r="K1573" s="66" t="s">
        <v>469</v>
      </c>
      <c r="L1573" s="22" t="s">
        <v>60</v>
      </c>
      <c r="M1573" s="23" t="s">
        <v>470</v>
      </c>
      <c r="N1573" s="36" t="s">
        <v>471</v>
      </c>
      <c r="O1573" s="36" t="s">
        <v>472</v>
      </c>
      <c r="P1573" s="26">
        <f ca="1">IFERROR(VLOOKUP(DadosViagem5[[#This Row],[Placa]],[1]BIP!A:E,5,FALSE),"")</f>
        <v>45989</v>
      </c>
      <c r="Q1573" s="27">
        <f ca="1">DATEDIF(DadosViagem5[[#This Row],[BIP]],TODAY(),"D")</f>
        <v>1</v>
      </c>
      <c r="R1573" s="28" t="str">
        <f>IFERROR(VLOOKUP(DadosViagem5[[#This Row],[Placa]],[1]DDS!B:C,2,FALSE),"Verificar cadastro")</f>
        <v>Operando</v>
      </c>
      <c r="S1573" s="29" t="s">
        <v>2635</v>
      </c>
      <c r="T1573" s="23"/>
      <c r="U1573" s="30"/>
      <c r="V1573" s="31"/>
      <c r="W1573" s="32"/>
      <c r="X1573" s="33"/>
      <c r="Y1573" s="34"/>
      <c r="Z1573" s="32"/>
      <c r="AA1573" s="20" t="s">
        <v>49</v>
      </c>
      <c r="AB1573" s="20" t="s">
        <v>49</v>
      </c>
      <c r="AC1573" s="19" t="s">
        <v>49</v>
      </c>
      <c r="AD1573" s="19" t="str">
        <f ca="1">IFERROR(DATEDIF(DadosViagem5[[#This Row],[Utimo Bip Reserva]],TODAY(),"D"),"")</f>
        <v/>
      </c>
      <c r="AE1573" s="36" t="s">
        <v>49</v>
      </c>
      <c r="AF1573" s="25" t="s">
        <v>49</v>
      </c>
      <c r="AG1573" s="36"/>
      <c r="AH1573" s="25">
        <v>45807</v>
      </c>
      <c r="AI1573" s="36" t="str">
        <f>IF(DadosViagem5[[#This Row],[Dias em manutenção ]]&lt;5,"Dentro do Prazo","Fora do Prazo")</f>
        <v>Fora do Prazo</v>
      </c>
      <c r="AJ1573" s="36" t="e">
        <v>#REF!</v>
      </c>
    </row>
    <row r="1574" spans="1:36">
      <c r="A1574" s="19" t="s">
        <v>2636</v>
      </c>
      <c r="B1574" s="20"/>
      <c r="C1574" s="19" t="s">
        <v>88</v>
      </c>
      <c r="D1574" s="19" t="s">
        <v>52</v>
      </c>
      <c r="E1574" s="19" t="s">
        <v>114</v>
      </c>
      <c r="F1574" s="19" t="s">
        <v>115</v>
      </c>
      <c r="G1574" s="19"/>
      <c r="H1574" s="20">
        <v>2021</v>
      </c>
      <c r="I1574" s="19" t="s">
        <v>41</v>
      </c>
      <c r="J1574" s="19" t="s">
        <v>468</v>
      </c>
      <c r="K1574" s="66" t="s">
        <v>469</v>
      </c>
      <c r="L1574" s="22" t="s">
        <v>60</v>
      </c>
      <c r="M1574" s="23" t="s">
        <v>470</v>
      </c>
      <c r="N1574" s="36" t="s">
        <v>471</v>
      </c>
      <c r="O1574" s="36" t="s">
        <v>472</v>
      </c>
      <c r="P1574" s="26">
        <f ca="1">IFERROR(VLOOKUP(DadosViagem5[[#This Row],[Placa]],[1]BIP!A:E,5,FALSE),"")</f>
        <v>45989</v>
      </c>
      <c r="Q1574" s="27">
        <f ca="1">DATEDIF(DadosViagem5[[#This Row],[BIP]],TODAY(),"D")</f>
        <v>1</v>
      </c>
      <c r="R1574" s="28" t="str">
        <f>IFERROR(VLOOKUP(DadosViagem5[[#This Row],[Placa]],[1]DDS!B:C,2,FALSE),"Verificar cadastro")</f>
        <v>Operando</v>
      </c>
      <c r="S1574" s="29" t="s">
        <v>48</v>
      </c>
      <c r="T1574" s="23"/>
      <c r="U1574" s="30"/>
      <c r="V1574" s="31"/>
      <c r="W1574" s="32" t="s">
        <v>2637</v>
      </c>
      <c r="X1574" s="33"/>
      <c r="Y1574" s="34"/>
      <c r="Z1574" s="32"/>
      <c r="AA1574" s="20" t="s">
        <v>49</v>
      </c>
      <c r="AB1574" s="20" t="s">
        <v>49</v>
      </c>
      <c r="AC1574" s="19" t="s">
        <v>49</v>
      </c>
      <c r="AD1574" s="19" t="str">
        <f ca="1">IFERROR(DATEDIF(DadosViagem5[[#This Row],[Utimo Bip Reserva]],TODAY(),"D"),"")</f>
        <v/>
      </c>
      <c r="AE1574" s="36" t="s">
        <v>49</v>
      </c>
      <c r="AF1574" s="25" t="s">
        <v>49</v>
      </c>
      <c r="AG1574" s="36" t="e">
        <f>_xlfn.TEXTBEFORE(DadosViagem5[[#This Row],[Focal ]], " ", 1)</f>
        <v>#N/A</v>
      </c>
      <c r="AH1574" s="25">
        <v>45807</v>
      </c>
      <c r="AI1574" s="36" t="str">
        <f>IF(DadosViagem5[[#This Row],[Dias em manutenção ]]&lt;5,"Dentro do Prazo","Fora do Prazo")</f>
        <v>Fora do Prazo</v>
      </c>
      <c r="AJ1574" s="36" t="e">
        <v>#REF!</v>
      </c>
    </row>
    <row r="1575" spans="1:36">
      <c r="A1575" s="19" t="s">
        <v>2638</v>
      </c>
      <c r="B1575" s="20"/>
      <c r="C1575" s="19" t="s">
        <v>131</v>
      </c>
      <c r="D1575" s="19" t="s">
        <v>132</v>
      </c>
      <c r="E1575" s="19" t="s">
        <v>114</v>
      </c>
      <c r="F1575" s="19" t="s">
        <v>115</v>
      </c>
      <c r="G1575" s="19"/>
      <c r="H1575" s="20">
        <v>2022</v>
      </c>
      <c r="I1575" s="19" t="s">
        <v>41</v>
      </c>
      <c r="J1575" s="19" t="s">
        <v>468</v>
      </c>
      <c r="K1575" s="66" t="s">
        <v>469</v>
      </c>
      <c r="L1575" s="22" t="s">
        <v>60</v>
      </c>
      <c r="M1575" s="23" t="s">
        <v>470</v>
      </c>
      <c r="N1575" s="36" t="s">
        <v>471</v>
      </c>
      <c r="O1575" s="36" t="s">
        <v>472</v>
      </c>
      <c r="P1575" s="26">
        <f ca="1">IFERROR(VLOOKUP(DadosViagem5[[#This Row],[Placa]],[1]BIP!A:E,5,FALSE),"")</f>
        <v>45989</v>
      </c>
      <c r="Q1575" s="27">
        <f ca="1">DATEDIF(DadosViagem5[[#This Row],[BIP]],TODAY(),"D")</f>
        <v>1</v>
      </c>
      <c r="R1575" s="28" t="str">
        <f>IFERROR(VLOOKUP(DadosViagem5[[#This Row],[Placa]],[1]DDS!B:C,2,FALSE),"Verificar cadastro")</f>
        <v>Operando</v>
      </c>
      <c r="S1575" s="29" t="s">
        <v>48</v>
      </c>
      <c r="T1575" s="23"/>
      <c r="U1575" s="30"/>
      <c r="V1575" s="31"/>
      <c r="W1575" s="32"/>
      <c r="X1575" s="33"/>
      <c r="Y1575" s="34"/>
      <c r="Z1575" s="32"/>
      <c r="AA1575" s="20" t="s">
        <v>49</v>
      </c>
      <c r="AB1575" s="20" t="s">
        <v>49</v>
      </c>
      <c r="AC1575" s="19" t="s">
        <v>49</v>
      </c>
      <c r="AD1575" s="19" t="str">
        <f ca="1">IFERROR(DATEDIF(DadosViagem5[[#This Row],[Utimo Bip Reserva]],TODAY(),"D"),"")</f>
        <v/>
      </c>
      <c r="AE1575" s="36" t="s">
        <v>49</v>
      </c>
      <c r="AF1575" s="25" t="s">
        <v>49</v>
      </c>
      <c r="AG1575" s="36"/>
      <c r="AH1575" s="25">
        <v>45807</v>
      </c>
      <c r="AI1575" s="36" t="str">
        <f>IF(DadosViagem5[[#This Row],[Dias em manutenção ]]&lt;5,"Dentro do Prazo","Fora do Prazo")</f>
        <v>Fora do Prazo</v>
      </c>
      <c r="AJ1575" s="36" t="e">
        <v>#REF!</v>
      </c>
    </row>
    <row r="1576" spans="1:36">
      <c r="A1576" s="19" t="s">
        <v>2639</v>
      </c>
      <c r="B1576" s="20"/>
      <c r="C1576" s="19" t="s">
        <v>131</v>
      </c>
      <c r="D1576" s="19" t="s">
        <v>132</v>
      </c>
      <c r="E1576" s="19" t="s">
        <v>114</v>
      </c>
      <c r="F1576" s="19" t="s">
        <v>115</v>
      </c>
      <c r="G1576" s="19"/>
      <c r="H1576" s="20">
        <v>2020</v>
      </c>
      <c r="I1576" s="19" t="s">
        <v>41</v>
      </c>
      <c r="J1576" s="19" t="s">
        <v>468</v>
      </c>
      <c r="K1576" s="66" t="s">
        <v>469</v>
      </c>
      <c r="L1576" s="22" t="s">
        <v>60</v>
      </c>
      <c r="M1576" s="23" t="s">
        <v>470</v>
      </c>
      <c r="N1576" s="36" t="s">
        <v>471</v>
      </c>
      <c r="O1576" s="36" t="s">
        <v>472</v>
      </c>
      <c r="P1576" s="26">
        <f ca="1">IFERROR(VLOOKUP(DadosViagem5[[#This Row],[Placa]],[1]BIP!A:E,5,FALSE),"")</f>
        <v>45989</v>
      </c>
      <c r="Q1576" s="27">
        <f ca="1">DATEDIF(DadosViagem5[[#This Row],[BIP]],TODAY(),"D")</f>
        <v>1</v>
      </c>
      <c r="R1576" s="28" t="str">
        <f>IFERROR(VLOOKUP(DadosViagem5[[#This Row],[Placa]],[1]DDS!B:C,2,FALSE),"Verificar cadastro")</f>
        <v>Carregado</v>
      </c>
      <c r="S1576" s="36" t="s">
        <v>35</v>
      </c>
      <c r="T1576" s="23"/>
      <c r="U1576" s="30"/>
      <c r="V1576" s="31"/>
      <c r="W1576" s="32" t="s">
        <v>2640</v>
      </c>
      <c r="X1576" s="33"/>
      <c r="Y1576" s="34"/>
      <c r="Z1576" s="32" t="s">
        <v>2630</v>
      </c>
      <c r="AA1576" s="20" t="s">
        <v>49</v>
      </c>
      <c r="AB1576" s="20" t="s">
        <v>49</v>
      </c>
      <c r="AC1576" s="19" t="s">
        <v>49</v>
      </c>
      <c r="AD1576" s="19" t="str">
        <f ca="1">IFERROR(DATEDIF(DadosViagem5[[#This Row],[Utimo Bip Reserva]],TODAY(),"D"),"")</f>
        <v/>
      </c>
      <c r="AE1576" s="36" t="s">
        <v>49</v>
      </c>
      <c r="AF1576" s="25" t="s">
        <v>49</v>
      </c>
      <c r="AG1576" s="36"/>
      <c r="AH1576" s="25">
        <v>45807</v>
      </c>
      <c r="AI1576" s="36" t="str">
        <f>IF(DadosViagem5[[#This Row],[Dias em manutenção ]]&lt;5,"Dentro do Prazo","Fora do Prazo")</f>
        <v>Fora do Prazo</v>
      </c>
      <c r="AJ1576" s="36" t="e">
        <v>#REF!</v>
      </c>
    </row>
    <row r="1577" spans="1:36">
      <c r="A1577" s="19" t="s">
        <v>2641</v>
      </c>
      <c r="B1577" s="20"/>
      <c r="C1577" s="19" t="s">
        <v>131</v>
      </c>
      <c r="D1577" s="19" t="s">
        <v>132</v>
      </c>
      <c r="E1577" s="19" t="s">
        <v>114</v>
      </c>
      <c r="F1577" s="19">
        <v>0</v>
      </c>
      <c r="G1577" s="19"/>
      <c r="H1577" s="20">
        <v>2022</v>
      </c>
      <c r="I1577" s="19" t="s">
        <v>41</v>
      </c>
      <c r="J1577" s="19" t="s">
        <v>468</v>
      </c>
      <c r="K1577" s="66" t="s">
        <v>469</v>
      </c>
      <c r="L1577" s="22" t="s">
        <v>60</v>
      </c>
      <c r="M1577" s="23" t="s">
        <v>470</v>
      </c>
      <c r="N1577" s="36" t="s">
        <v>471</v>
      </c>
      <c r="O1577" s="36" t="s">
        <v>472</v>
      </c>
      <c r="P1577" s="26">
        <f ca="1">IFERROR(VLOOKUP(DadosViagem5[[#This Row],[Placa]],[1]BIP!A:E,5,FALSE),"")</f>
        <v>45928</v>
      </c>
      <c r="Q1577" s="27">
        <f ca="1">DATEDIF(DadosViagem5[[#This Row],[BIP]],TODAY(),"D")</f>
        <v>62</v>
      </c>
      <c r="R1577" s="28" t="str">
        <f>IFERROR(VLOOKUP(DadosViagem5[[#This Row],[Placa]],[1]DDS!B:C,2,FALSE),"Verificar cadastro")</f>
        <v>Manutenção</v>
      </c>
      <c r="S1577" s="36" t="s">
        <v>35</v>
      </c>
      <c r="T1577" s="23"/>
      <c r="U1577" s="30"/>
      <c r="V1577" s="31"/>
      <c r="W1577" s="32" t="s">
        <v>2640</v>
      </c>
      <c r="X1577" s="33"/>
      <c r="Y1577" s="34"/>
      <c r="Z1577" s="32" t="s">
        <v>2630</v>
      </c>
      <c r="AA1577" s="20" t="s">
        <v>49</v>
      </c>
      <c r="AB1577" s="20" t="s">
        <v>49</v>
      </c>
      <c r="AC1577" s="19" t="s">
        <v>49</v>
      </c>
      <c r="AD1577" s="19" t="str">
        <f ca="1">IFERROR(DATEDIF(DadosViagem5[[#This Row],[Utimo Bip Reserva]],TODAY(),"D"),"")</f>
        <v/>
      </c>
      <c r="AE1577" s="36" t="s">
        <v>49</v>
      </c>
      <c r="AF1577" s="25" t="s">
        <v>49</v>
      </c>
      <c r="AG1577" s="36"/>
      <c r="AH1577" s="25">
        <v>45807</v>
      </c>
      <c r="AI1577" s="36" t="str">
        <f>IF(DadosViagem5[[#This Row],[Dias em manutenção ]]&lt;5,"Dentro do Prazo","Fora do Prazo")</f>
        <v>Fora do Prazo</v>
      </c>
      <c r="AJ1577" s="36" t="e">
        <v>#REF!</v>
      </c>
    </row>
    <row r="1578" spans="1:36">
      <c r="A1578" s="19" t="s">
        <v>2642</v>
      </c>
      <c r="B1578" s="20"/>
      <c r="C1578" s="19" t="s">
        <v>131</v>
      </c>
      <c r="D1578" s="19" t="s">
        <v>132</v>
      </c>
      <c r="E1578" s="19" t="s">
        <v>114</v>
      </c>
      <c r="F1578" s="19" t="s">
        <v>115</v>
      </c>
      <c r="G1578" s="19"/>
      <c r="H1578" s="20">
        <v>2023</v>
      </c>
      <c r="I1578" s="19" t="s">
        <v>41</v>
      </c>
      <c r="J1578" s="19" t="s">
        <v>468</v>
      </c>
      <c r="K1578" s="66" t="s">
        <v>469</v>
      </c>
      <c r="L1578" s="22" t="s">
        <v>60</v>
      </c>
      <c r="M1578" s="23" t="s">
        <v>470</v>
      </c>
      <c r="N1578" s="36" t="s">
        <v>471</v>
      </c>
      <c r="O1578" s="36" t="s">
        <v>472</v>
      </c>
      <c r="P1578" s="26">
        <f ca="1">IFERROR(VLOOKUP(DadosViagem5[[#This Row],[Placa]],[1]BIP!A:E,5,FALSE),"")</f>
        <v>45936</v>
      </c>
      <c r="Q1578" s="27">
        <f ca="1">DATEDIF(DadosViagem5[[#This Row],[BIP]],TODAY(),"D")</f>
        <v>54</v>
      </c>
      <c r="R1578" s="28" t="str">
        <f>IFERROR(VLOOKUP(DadosViagem5[[#This Row],[Placa]],[1]DDS!B:C,2,FALSE),"Verificar cadastro")</f>
        <v> </v>
      </c>
      <c r="S1578" s="36" t="s">
        <v>35</v>
      </c>
      <c r="T1578" s="23"/>
      <c r="U1578" s="30"/>
      <c r="V1578" s="31"/>
      <c r="W1578" s="32" t="s">
        <v>2629</v>
      </c>
      <c r="X1578" s="33"/>
      <c r="Y1578" s="34"/>
      <c r="Z1578" s="32" t="s">
        <v>2630</v>
      </c>
      <c r="AA1578" s="20" t="s">
        <v>49</v>
      </c>
      <c r="AB1578" s="20" t="s">
        <v>49</v>
      </c>
      <c r="AC1578" s="19" t="s">
        <v>49</v>
      </c>
      <c r="AD1578" s="19" t="str">
        <f ca="1">IFERROR(DATEDIF(DadosViagem5[[#This Row],[Utimo Bip Reserva]],TODAY(),"D"),"")</f>
        <v/>
      </c>
      <c r="AE1578" s="36" t="s">
        <v>49</v>
      </c>
      <c r="AF1578" s="25" t="s">
        <v>49</v>
      </c>
      <c r="AG1578" s="36"/>
      <c r="AH1578" s="25">
        <v>45807</v>
      </c>
      <c r="AI1578" s="36" t="str">
        <f>IF(DadosViagem5[[#This Row],[Dias em manutenção ]]&lt;5,"Dentro do Prazo","Fora do Prazo")</f>
        <v>Fora do Prazo</v>
      </c>
      <c r="AJ1578" s="36" t="e">
        <v>#REF!</v>
      </c>
    </row>
    <row r="1579" spans="1:36">
      <c r="A1579" s="19" t="s">
        <v>2643</v>
      </c>
      <c r="B1579" s="20"/>
      <c r="C1579" s="19" t="s">
        <v>131</v>
      </c>
      <c r="D1579" s="19" t="s">
        <v>132</v>
      </c>
      <c r="E1579" s="19" t="s">
        <v>114</v>
      </c>
      <c r="F1579" s="19" t="s">
        <v>115</v>
      </c>
      <c r="G1579" s="19"/>
      <c r="H1579" s="20">
        <v>2022</v>
      </c>
      <c r="I1579" s="19" t="s">
        <v>41</v>
      </c>
      <c r="J1579" s="19" t="s">
        <v>468</v>
      </c>
      <c r="K1579" s="66" t="s">
        <v>469</v>
      </c>
      <c r="L1579" s="22" t="s">
        <v>60</v>
      </c>
      <c r="M1579" s="23" t="s">
        <v>470</v>
      </c>
      <c r="N1579" s="36" t="s">
        <v>471</v>
      </c>
      <c r="O1579" s="36" t="s">
        <v>472</v>
      </c>
      <c r="P1579" s="26">
        <f ca="1">IFERROR(VLOOKUP(DadosViagem5[[#This Row],[Placa]],[1]BIP!A:E,5,FALSE),"")</f>
        <v>45989</v>
      </c>
      <c r="Q1579" s="27">
        <f ca="1">DATEDIF(DadosViagem5[[#This Row],[BIP]],TODAY(),"D")</f>
        <v>1</v>
      </c>
      <c r="R1579" s="28" t="str">
        <f>IFERROR(VLOOKUP(DadosViagem5[[#This Row],[Placa]],[1]DDS!B:C,2,FALSE),"Verificar cadastro")</f>
        <v>Operando</v>
      </c>
      <c r="S1579" s="29" t="s">
        <v>48</v>
      </c>
      <c r="T1579" s="23"/>
      <c r="U1579" s="30"/>
      <c r="V1579" s="31"/>
      <c r="W1579" s="32" t="s">
        <v>608</v>
      </c>
      <c r="X1579" s="33"/>
      <c r="Y1579" s="34"/>
      <c r="Z1579" s="32"/>
      <c r="AA1579" s="20" t="s">
        <v>49</v>
      </c>
      <c r="AB1579" s="20" t="s">
        <v>49</v>
      </c>
      <c r="AC1579" s="19" t="s">
        <v>49</v>
      </c>
      <c r="AD1579" s="19" t="str">
        <f ca="1">IFERROR(DATEDIF(DadosViagem5[[#This Row],[Utimo Bip Reserva]],TODAY(),"D"),"")</f>
        <v/>
      </c>
      <c r="AE1579" s="36" t="s">
        <v>49</v>
      </c>
      <c r="AF1579" s="25" t="s">
        <v>49</v>
      </c>
      <c r="AG1579" s="36"/>
      <c r="AH1579" s="25">
        <v>45807</v>
      </c>
      <c r="AI1579" s="36" t="str">
        <f>IF(DadosViagem5[[#This Row],[Dias em manutenção ]]&lt;5,"Dentro do Prazo","Fora do Prazo")</f>
        <v>Fora do Prazo</v>
      </c>
      <c r="AJ1579" s="36" t="e">
        <v>#REF!</v>
      </c>
    </row>
    <row r="1580" spans="1:36">
      <c r="A1580" s="19" t="s">
        <v>2644</v>
      </c>
      <c r="B1580" s="20"/>
      <c r="C1580" s="19" t="s">
        <v>131</v>
      </c>
      <c r="D1580" s="19" t="s">
        <v>132</v>
      </c>
      <c r="E1580" s="19" t="s">
        <v>114</v>
      </c>
      <c r="F1580" s="19" t="s">
        <v>115</v>
      </c>
      <c r="G1580" s="19"/>
      <c r="H1580" s="20">
        <v>2022</v>
      </c>
      <c r="I1580" s="19" t="s">
        <v>41</v>
      </c>
      <c r="J1580" s="19" t="s">
        <v>468</v>
      </c>
      <c r="K1580" s="66" t="s">
        <v>469</v>
      </c>
      <c r="L1580" s="22" t="s">
        <v>60</v>
      </c>
      <c r="M1580" s="23" t="s">
        <v>470</v>
      </c>
      <c r="N1580" s="36" t="s">
        <v>471</v>
      </c>
      <c r="O1580" s="36" t="s">
        <v>472</v>
      </c>
      <c r="P1580" s="26">
        <f ca="1">IFERROR(VLOOKUP(DadosViagem5[[#This Row],[Placa]],[1]BIP!A:E,5,FALSE),"")</f>
        <v>45936</v>
      </c>
      <c r="Q1580" s="27">
        <f ca="1">DATEDIF(DadosViagem5[[#This Row],[BIP]],TODAY(),"D")</f>
        <v>54</v>
      </c>
      <c r="R1580" s="28" t="str">
        <f>IFERROR(VLOOKUP(DadosViagem5[[#This Row],[Placa]],[1]DDS!B:C,2,FALSE),"Verificar cadastro")</f>
        <v>Manutenção</v>
      </c>
      <c r="S1580" s="36" t="s">
        <v>35</v>
      </c>
      <c r="T1580" s="23"/>
      <c r="U1580" s="30"/>
      <c r="V1580" s="31"/>
      <c r="W1580" s="32" t="s">
        <v>2629</v>
      </c>
      <c r="X1580" s="33"/>
      <c r="Y1580" s="34"/>
      <c r="Z1580" s="32" t="s">
        <v>2630</v>
      </c>
      <c r="AA1580" s="20" t="s">
        <v>49</v>
      </c>
      <c r="AB1580" s="20" t="s">
        <v>49</v>
      </c>
      <c r="AC1580" s="19" t="s">
        <v>49</v>
      </c>
      <c r="AD1580" s="19" t="str">
        <f ca="1">IFERROR(DATEDIF(DadosViagem5[[#This Row],[Utimo Bip Reserva]],TODAY(),"D"),"")</f>
        <v/>
      </c>
      <c r="AE1580" s="36" t="s">
        <v>49</v>
      </c>
      <c r="AF1580" s="25" t="s">
        <v>49</v>
      </c>
      <c r="AG1580" s="36"/>
      <c r="AH1580" s="25">
        <v>45807</v>
      </c>
      <c r="AI1580" s="36" t="str">
        <f>IF(DadosViagem5[[#This Row],[Dias em manutenção ]]&lt;5,"Dentro do Prazo","Fora do Prazo")</f>
        <v>Fora do Prazo</v>
      </c>
      <c r="AJ1580" s="36" t="e">
        <v>#REF!</v>
      </c>
    </row>
    <row r="1581" spans="1:36">
      <c r="A1581" s="19" t="s">
        <v>2645</v>
      </c>
      <c r="B1581" s="20"/>
      <c r="C1581" s="19" t="s">
        <v>131</v>
      </c>
      <c r="D1581" s="19" t="s">
        <v>132</v>
      </c>
      <c r="E1581" s="19" t="s">
        <v>114</v>
      </c>
      <c r="F1581" s="19" t="s">
        <v>115</v>
      </c>
      <c r="G1581" s="19"/>
      <c r="H1581" s="20">
        <v>2020</v>
      </c>
      <c r="I1581" s="19" t="s">
        <v>41</v>
      </c>
      <c r="J1581" s="19" t="s">
        <v>468</v>
      </c>
      <c r="K1581" s="66" t="s">
        <v>469</v>
      </c>
      <c r="L1581" s="22" t="s">
        <v>60</v>
      </c>
      <c r="M1581" s="23" t="s">
        <v>470</v>
      </c>
      <c r="N1581" s="36" t="s">
        <v>471</v>
      </c>
      <c r="O1581" s="36" t="s">
        <v>472</v>
      </c>
      <c r="P1581" s="26">
        <f ca="1">IFERROR(VLOOKUP(DadosViagem5[[#This Row],[Placa]],[1]BIP!A:E,5,FALSE),"")</f>
        <v>45989</v>
      </c>
      <c r="Q1581" s="27">
        <f ca="1">DATEDIF(DadosViagem5[[#This Row],[BIP]],TODAY(),"D")</f>
        <v>1</v>
      </c>
      <c r="R1581" s="28" t="str">
        <f>IFERROR(VLOOKUP(DadosViagem5[[#This Row],[Placa]],[1]DDS!B:C,2,FALSE),"Verificar cadastro")</f>
        <v>Operando</v>
      </c>
      <c r="S1581" s="29" t="s">
        <v>48</v>
      </c>
      <c r="T1581" s="23"/>
      <c r="U1581" s="30"/>
      <c r="V1581" s="31"/>
      <c r="W1581" s="32" t="s">
        <v>1498</v>
      </c>
      <c r="X1581" s="33"/>
      <c r="Y1581" s="34"/>
      <c r="Z1581" s="32"/>
      <c r="AA1581" s="20" t="s">
        <v>49</v>
      </c>
      <c r="AB1581" s="20" t="s">
        <v>49</v>
      </c>
      <c r="AC1581" s="19" t="s">
        <v>49</v>
      </c>
      <c r="AD1581" s="19" t="str">
        <f ca="1">IFERROR(DATEDIF(DadosViagem5[[#This Row],[Utimo Bip Reserva]],TODAY(),"D"),"")</f>
        <v/>
      </c>
      <c r="AE1581" s="36" t="s">
        <v>49</v>
      </c>
      <c r="AF1581" s="25" t="s">
        <v>49</v>
      </c>
      <c r="AG1581" s="36"/>
      <c r="AH1581" s="25">
        <v>45807</v>
      </c>
      <c r="AI1581" s="36" t="str">
        <f>IF(DadosViagem5[[#This Row],[Dias em manutenção ]]&lt;5,"Dentro do Prazo","Fora do Prazo")</f>
        <v>Fora do Prazo</v>
      </c>
      <c r="AJ1581" s="36" t="e">
        <v>#REF!</v>
      </c>
    </row>
    <row r="1582" spans="1:36">
      <c r="A1582" s="19" t="s">
        <v>2646</v>
      </c>
      <c r="B1582" s="20"/>
      <c r="C1582" s="19" t="s">
        <v>1013</v>
      </c>
      <c r="D1582" s="19" t="s">
        <v>1014</v>
      </c>
      <c r="E1582" s="19" t="s">
        <v>114</v>
      </c>
      <c r="F1582" s="19" t="s">
        <v>115</v>
      </c>
      <c r="G1582" s="19"/>
      <c r="H1582" s="20">
        <v>2022</v>
      </c>
      <c r="I1582" s="19" t="s">
        <v>41</v>
      </c>
      <c r="J1582" s="19" t="s">
        <v>468</v>
      </c>
      <c r="K1582" s="66" t="s">
        <v>469</v>
      </c>
      <c r="L1582" s="22" t="s">
        <v>60</v>
      </c>
      <c r="M1582" s="23" t="s">
        <v>470</v>
      </c>
      <c r="N1582" s="36" t="s">
        <v>471</v>
      </c>
      <c r="O1582" s="36" t="s">
        <v>472</v>
      </c>
      <c r="P1582" s="26">
        <f ca="1">IFERROR(VLOOKUP(DadosViagem5[[#This Row],[Placa]],[1]BIP!A:E,5,FALSE),"")</f>
        <v>45987</v>
      </c>
      <c r="Q1582" s="27">
        <f ca="1">DATEDIF(DadosViagem5[[#This Row],[BIP]],TODAY(),"D")</f>
        <v>3</v>
      </c>
      <c r="R1582" s="28" t="str">
        <f>IFERROR(VLOOKUP(DadosViagem5[[#This Row],[Placa]],[1]DDS!B:C,2,FALSE),"Verificar cadastro")</f>
        <v>Manutenção</v>
      </c>
      <c r="S1582" s="29" t="s">
        <v>48</v>
      </c>
      <c r="T1582" s="23"/>
      <c r="U1582" s="30"/>
      <c r="V1582" s="31"/>
      <c r="W1582" s="32"/>
      <c r="X1582" s="33"/>
      <c r="Y1582" s="34"/>
      <c r="Z1582" s="32"/>
      <c r="AA1582" s="20" t="s">
        <v>49</v>
      </c>
      <c r="AB1582" s="20" t="s">
        <v>49</v>
      </c>
      <c r="AC1582" s="19" t="s">
        <v>49</v>
      </c>
      <c r="AD1582" s="19" t="str">
        <f ca="1">IFERROR(DATEDIF(DadosViagem5[[#This Row],[Utimo Bip Reserva]],TODAY(),"D"),"")</f>
        <v/>
      </c>
      <c r="AE1582" s="36" t="s">
        <v>49</v>
      </c>
      <c r="AF1582" s="25" t="s">
        <v>49</v>
      </c>
      <c r="AG1582" s="36"/>
      <c r="AH1582" s="25">
        <v>45807</v>
      </c>
      <c r="AI1582" s="36" t="str">
        <f>IF(DadosViagem5[[#This Row],[Dias em manutenção ]]&lt;5,"Dentro do Prazo","Fora do Prazo")</f>
        <v>Fora do Prazo</v>
      </c>
      <c r="AJ1582" s="36" t="e">
        <v>#REF!</v>
      </c>
    </row>
    <row r="1583" spans="1:36">
      <c r="A1583" s="19" t="s">
        <v>2647</v>
      </c>
      <c r="B1583" s="20"/>
      <c r="C1583" s="19" t="s">
        <v>71</v>
      </c>
      <c r="D1583" s="19" t="s">
        <v>38</v>
      </c>
      <c r="E1583" s="19" t="s">
        <v>699</v>
      </c>
      <c r="F1583" s="19" t="s">
        <v>115</v>
      </c>
      <c r="G1583" s="19"/>
      <c r="H1583" s="20">
        <v>2022</v>
      </c>
      <c r="I1583" s="19" t="s">
        <v>41</v>
      </c>
      <c r="J1583" s="19" t="s">
        <v>468</v>
      </c>
      <c r="K1583" s="66" t="s">
        <v>469</v>
      </c>
      <c r="L1583" s="22" t="s">
        <v>60</v>
      </c>
      <c r="M1583" s="23" t="s">
        <v>470</v>
      </c>
      <c r="N1583" s="36" t="s">
        <v>471</v>
      </c>
      <c r="O1583" s="36" t="s">
        <v>472</v>
      </c>
      <c r="P1583" s="26">
        <f ca="1">IFERROR(VLOOKUP(DadosViagem5[[#This Row],[Placa]],[1]BIP!A:E,5,FALSE),"")</f>
        <v>45989</v>
      </c>
      <c r="Q1583" s="27">
        <f ca="1">DATEDIF(DadosViagem5[[#This Row],[BIP]],TODAY(),"D")</f>
        <v>1</v>
      </c>
      <c r="R1583" s="28"/>
      <c r="S1583" s="29" t="s">
        <v>48</v>
      </c>
      <c r="T1583" s="23"/>
      <c r="U1583" s="30"/>
      <c r="V1583" s="31"/>
      <c r="W1583" s="32"/>
      <c r="X1583" s="33"/>
      <c r="Y1583" s="34"/>
      <c r="Z1583" s="32"/>
      <c r="AA1583" s="20" t="s">
        <v>49</v>
      </c>
      <c r="AB1583" s="20" t="s">
        <v>49</v>
      </c>
      <c r="AC1583" s="19" t="s">
        <v>49</v>
      </c>
      <c r="AD1583" s="19" t="str">
        <f ca="1">IFERROR(DATEDIF(DadosViagem5[[#This Row],[Utimo Bip Reserva]],TODAY(),"D"),"")</f>
        <v/>
      </c>
      <c r="AE1583" s="25" t="s">
        <v>49</v>
      </c>
      <c r="AF1583" s="25" t="s">
        <v>49</v>
      </c>
      <c r="AG1583" s="36"/>
      <c r="AH1583" s="25">
        <v>45807</v>
      </c>
      <c r="AI1583" s="36" t="str">
        <f>IF(DadosViagem5[[#This Row],[Dias em manutenção ]]&lt;5,"Dentro do Prazo","Fora do Prazo")</f>
        <v>Fora do Prazo</v>
      </c>
      <c r="AJ1583" s="36" t="e">
        <v>#REF!</v>
      </c>
    </row>
    <row r="1584" spans="1:36">
      <c r="A1584" s="19" t="s">
        <v>2648</v>
      </c>
      <c r="B1584" s="20"/>
      <c r="C1584" s="19" t="s">
        <v>562</v>
      </c>
      <c r="D1584" s="19" t="s">
        <v>563</v>
      </c>
      <c r="E1584" s="19" t="s">
        <v>114</v>
      </c>
      <c r="F1584" s="19" t="s">
        <v>115</v>
      </c>
      <c r="G1584" s="19"/>
      <c r="H1584" s="20">
        <v>2022</v>
      </c>
      <c r="I1584" s="19" t="s">
        <v>41</v>
      </c>
      <c r="J1584" s="19" t="s">
        <v>468</v>
      </c>
      <c r="K1584" s="66" t="s">
        <v>469</v>
      </c>
      <c r="L1584" s="22" t="s">
        <v>60</v>
      </c>
      <c r="M1584" s="23" t="s">
        <v>470</v>
      </c>
      <c r="N1584" s="36" t="s">
        <v>471</v>
      </c>
      <c r="O1584" s="36" t="s">
        <v>472</v>
      </c>
      <c r="P1584" s="26">
        <f ca="1">IFERROR(VLOOKUP(DadosViagem5[[#This Row],[Placa]],[1]BIP!A:E,5,FALSE),"")</f>
        <v>45989</v>
      </c>
      <c r="Q1584" s="27">
        <f ca="1">DATEDIF(DadosViagem5[[#This Row],[BIP]],TODAY(),"D")</f>
        <v>1</v>
      </c>
      <c r="R1584" s="28" t="str">
        <f>IFERROR(VLOOKUP(DadosViagem5[[#This Row],[Placa]],[1]DDS!B:C,2,FALSE),"Verificar cadastro")</f>
        <v>Operando</v>
      </c>
      <c r="S1584" s="29" t="s">
        <v>48</v>
      </c>
      <c r="T1584" s="23"/>
      <c r="U1584" s="30"/>
      <c r="V1584" s="47"/>
      <c r="W1584" s="32" t="s">
        <v>2649</v>
      </c>
      <c r="X1584" s="33"/>
      <c r="Y1584" s="34"/>
      <c r="Z1584" s="32"/>
      <c r="AA1584" s="20" t="s">
        <v>49</v>
      </c>
      <c r="AB1584" s="20" t="s">
        <v>49</v>
      </c>
      <c r="AC1584" s="19" t="s">
        <v>49</v>
      </c>
      <c r="AD1584" s="19" t="str">
        <f ca="1">IFERROR(DATEDIF(DadosViagem5[[#This Row],[Utimo Bip Reserva]],TODAY(),"D"),"")</f>
        <v/>
      </c>
      <c r="AE1584" s="36" t="s">
        <v>49</v>
      </c>
      <c r="AF1584" s="25" t="s">
        <v>49</v>
      </c>
      <c r="AG1584" s="36"/>
      <c r="AH1584" s="25">
        <v>45807</v>
      </c>
      <c r="AI1584" s="36" t="str">
        <f>IF(DadosViagem5[[#This Row],[Dias em manutenção ]]&lt;5,"Dentro do Prazo","Fora do Prazo")</f>
        <v>Fora do Prazo</v>
      </c>
      <c r="AJ1584" s="36" t="e">
        <v>#REF!</v>
      </c>
    </row>
    <row r="1585" spans="1:36">
      <c r="A1585" s="19" t="s">
        <v>2650</v>
      </c>
      <c r="B1585" s="20"/>
      <c r="C1585" s="19" t="s">
        <v>1013</v>
      </c>
      <c r="D1585" s="19" t="s">
        <v>1014</v>
      </c>
      <c r="E1585" s="19" t="s">
        <v>114</v>
      </c>
      <c r="F1585" s="19" t="s">
        <v>115</v>
      </c>
      <c r="G1585" s="19"/>
      <c r="H1585" s="20">
        <v>2022</v>
      </c>
      <c r="I1585" s="19" t="s">
        <v>41</v>
      </c>
      <c r="J1585" s="19" t="s">
        <v>468</v>
      </c>
      <c r="K1585" s="66" t="s">
        <v>469</v>
      </c>
      <c r="L1585" s="22" t="s">
        <v>60</v>
      </c>
      <c r="M1585" s="23" t="s">
        <v>470</v>
      </c>
      <c r="N1585" s="36" t="s">
        <v>471</v>
      </c>
      <c r="O1585" s="36" t="s">
        <v>472</v>
      </c>
      <c r="P1585" s="26">
        <f ca="1">IFERROR(VLOOKUP(DadosViagem5[[#This Row],[Placa]],[1]BIP!A:E,5,FALSE),"")</f>
        <v>45989</v>
      </c>
      <c r="Q1585" s="27">
        <f ca="1">DATEDIF(DadosViagem5[[#This Row],[BIP]],TODAY(),"D")</f>
        <v>1</v>
      </c>
      <c r="R1585" s="28" t="str">
        <f>IFERROR(VLOOKUP(DadosViagem5[[#This Row],[Placa]],[1]DDS!B:C,2,FALSE),"Verificar cadastro")</f>
        <v>Operando</v>
      </c>
      <c r="S1585" s="29" t="s">
        <v>48</v>
      </c>
      <c r="T1585" s="23"/>
      <c r="U1585" s="30"/>
      <c r="V1585" s="31"/>
      <c r="W1585" s="32"/>
      <c r="X1585" s="33"/>
      <c r="Y1585" s="34"/>
      <c r="Z1585" s="32"/>
      <c r="AA1585" s="20" t="s">
        <v>49</v>
      </c>
      <c r="AB1585" s="20" t="s">
        <v>49</v>
      </c>
      <c r="AC1585" s="19" t="s">
        <v>49</v>
      </c>
      <c r="AD1585" s="19" t="str">
        <f ca="1">IFERROR(DATEDIF(DadosViagem5[[#This Row],[Utimo Bip Reserva]],TODAY(),"D"),"")</f>
        <v/>
      </c>
      <c r="AE1585" s="36" t="s">
        <v>49</v>
      </c>
      <c r="AF1585" s="25" t="s">
        <v>49</v>
      </c>
      <c r="AG1585" s="36"/>
      <c r="AH1585" s="25">
        <v>45807</v>
      </c>
      <c r="AI1585" s="36" t="str">
        <f>IF(DadosViagem5[[#This Row],[Dias em manutenção ]]&lt;5,"Dentro do Prazo","Fora do Prazo")</f>
        <v>Fora do Prazo</v>
      </c>
      <c r="AJ1585" s="36" t="e">
        <v>#REF!</v>
      </c>
    </row>
    <row r="1586" spans="1:36">
      <c r="A1586" s="170" t="s">
        <v>2651</v>
      </c>
      <c r="B1586" s="20"/>
      <c r="C1586" s="19" t="s">
        <v>71</v>
      </c>
      <c r="D1586" s="19" t="s">
        <v>38</v>
      </c>
      <c r="E1586" s="19" t="s">
        <v>699</v>
      </c>
      <c r="F1586" s="19" t="s">
        <v>115</v>
      </c>
      <c r="G1586" s="19"/>
      <c r="H1586" s="20">
        <v>2023</v>
      </c>
      <c r="I1586" s="19" t="s">
        <v>41</v>
      </c>
      <c r="J1586" s="19" t="s">
        <v>468</v>
      </c>
      <c r="K1586" s="66" t="s">
        <v>469</v>
      </c>
      <c r="L1586" s="22" t="s">
        <v>60</v>
      </c>
      <c r="M1586" s="23" t="s">
        <v>470</v>
      </c>
      <c r="N1586" s="36" t="s">
        <v>471</v>
      </c>
      <c r="O1586" s="36" t="s">
        <v>472</v>
      </c>
      <c r="P1586" s="26">
        <f ca="1">IFERROR(VLOOKUP(DadosViagem5[[#This Row],[Placa]],[1]BIP!A:E,5,FALSE),"")</f>
        <v>45989</v>
      </c>
      <c r="Q1586" s="27">
        <f ca="1">DATEDIF(DadosViagem5[[#This Row],[BIP]],TODAY(),"D")</f>
        <v>1</v>
      </c>
      <c r="R1586" s="28" t="str">
        <f>IFERROR(VLOOKUP(DadosViagem5[[#This Row],[Placa]],[1]DDS!B:C,2,FALSE),"Verificar cadastro")</f>
        <v>Operando</v>
      </c>
      <c r="S1586" s="29" t="s">
        <v>48</v>
      </c>
      <c r="T1586" s="23"/>
      <c r="U1586" s="30"/>
      <c r="V1586" s="31"/>
      <c r="W1586" s="32"/>
      <c r="X1586" s="33"/>
      <c r="Y1586" s="34"/>
      <c r="Z1586" s="32"/>
      <c r="AA1586" s="20" t="s">
        <v>49</v>
      </c>
      <c r="AB1586" s="20" t="s">
        <v>49</v>
      </c>
      <c r="AC1586" s="19" t="s">
        <v>49</v>
      </c>
      <c r="AD1586" s="19" t="str">
        <f ca="1">IFERROR(DATEDIF(DadosViagem5[[#This Row],[Utimo Bip Reserva]],TODAY(),"D"),"")</f>
        <v/>
      </c>
      <c r="AE1586" s="25" t="s">
        <v>49</v>
      </c>
      <c r="AF1586" s="25" t="s">
        <v>49</v>
      </c>
      <c r="AG1586" s="36"/>
      <c r="AH1586" s="25">
        <v>45807</v>
      </c>
      <c r="AI1586" s="36" t="str">
        <f>IF(DadosViagem5[[#This Row],[Dias em manutenção ]]&lt;5,"Dentro do Prazo","Fora do Prazo")</f>
        <v>Fora do Prazo</v>
      </c>
      <c r="AJ1586" s="36" t="e">
        <v>#REF!</v>
      </c>
    </row>
    <row r="1587" spans="1:36">
      <c r="A1587" s="19" t="s">
        <v>2652</v>
      </c>
      <c r="B1587" s="20">
        <v>438</v>
      </c>
      <c r="C1587" s="19" t="s">
        <v>74</v>
      </c>
      <c r="D1587" s="19" t="s">
        <v>52</v>
      </c>
      <c r="E1587" s="19" t="s">
        <v>75</v>
      </c>
      <c r="F1587" s="19" t="s">
        <v>76</v>
      </c>
      <c r="G1587" s="19"/>
      <c r="H1587" s="20">
        <v>2023</v>
      </c>
      <c r="I1587" s="19" t="s">
        <v>41</v>
      </c>
      <c r="J1587" s="19" t="s">
        <v>468</v>
      </c>
      <c r="K1587" s="66" t="s">
        <v>469</v>
      </c>
      <c r="L1587" s="22" t="s">
        <v>60</v>
      </c>
      <c r="M1587" s="23" t="s">
        <v>77</v>
      </c>
      <c r="N1587" s="36" t="s">
        <v>471</v>
      </c>
      <c r="O1587" s="36" t="s">
        <v>472</v>
      </c>
      <c r="P1587" s="26">
        <f ca="1">IFERROR(VLOOKUP(DadosViagem5[[#This Row],[Placa]],[1]BIP!A:E,5,FALSE),"")</f>
        <v>45989</v>
      </c>
      <c r="Q1587" s="27">
        <f ca="1">DATEDIF(DadosViagem5[[#This Row],[BIP]],TODAY(),"D")</f>
        <v>1</v>
      </c>
      <c r="R1587" s="28" t="str">
        <f>IFERROR(VLOOKUP(DadosViagem5[[#This Row],[Placa]],[1]DDS!B:C,2,FALSE),"Verificar cadastro")</f>
        <v>Manutenção</v>
      </c>
      <c r="S1587" s="29" t="s">
        <v>48</v>
      </c>
      <c r="T1587" s="23"/>
      <c r="U1587" s="30"/>
      <c r="V1587" s="31"/>
      <c r="W1587" s="32" t="s">
        <v>859</v>
      </c>
      <c r="X1587" s="33"/>
      <c r="Y1587" s="34"/>
      <c r="Z1587" s="32"/>
      <c r="AA1587" s="20" t="s">
        <v>49</v>
      </c>
      <c r="AB1587" s="20" t="s">
        <v>49</v>
      </c>
      <c r="AC1587" s="19" t="s">
        <v>49</v>
      </c>
      <c r="AD1587" s="19" t="str">
        <f ca="1">IFERROR(DATEDIF(DadosViagem5[[#This Row],[Utimo Bip Reserva]],TODAY(),"D"),"")</f>
        <v/>
      </c>
      <c r="AE1587" s="25"/>
      <c r="AF1587" s="25"/>
      <c r="AG1587" s="36"/>
      <c r="AH1587" s="25">
        <v>45807</v>
      </c>
      <c r="AI1587" s="36" t="str">
        <f>IF(DadosViagem5[[#This Row],[Dias em manutenção ]]&lt;5,"Dentro do Prazo","Fora do Prazo")</f>
        <v>Fora do Prazo</v>
      </c>
      <c r="AJ1587" s="36" t="e">
        <v>#REF!</v>
      </c>
    </row>
    <row r="1588" spans="1:36">
      <c r="A1588" s="19" t="s">
        <v>2653</v>
      </c>
      <c r="B1588" s="20">
        <v>440</v>
      </c>
      <c r="C1588" s="19" t="s">
        <v>74</v>
      </c>
      <c r="D1588" s="19" t="s">
        <v>52</v>
      </c>
      <c r="E1588" s="19" t="s">
        <v>75</v>
      </c>
      <c r="F1588" s="19" t="s">
        <v>76</v>
      </c>
      <c r="G1588" s="19"/>
      <c r="H1588" s="20">
        <v>2024</v>
      </c>
      <c r="I1588" s="19" t="s">
        <v>41</v>
      </c>
      <c r="J1588" s="19" t="s">
        <v>468</v>
      </c>
      <c r="K1588" s="66" t="s">
        <v>469</v>
      </c>
      <c r="L1588" s="22" t="s">
        <v>60</v>
      </c>
      <c r="M1588" s="23" t="s">
        <v>77</v>
      </c>
      <c r="N1588" s="36" t="s">
        <v>471</v>
      </c>
      <c r="O1588" s="36" t="s">
        <v>472</v>
      </c>
      <c r="P1588" s="26">
        <f ca="1">IFERROR(VLOOKUP(DadosViagem5[[#This Row],[Placa]],[1]BIP!A:E,5,FALSE),"")</f>
        <v>45989</v>
      </c>
      <c r="Q1588" s="27">
        <f ca="1">DATEDIF(DadosViagem5[[#This Row],[BIP]],TODAY(),"D")</f>
        <v>1</v>
      </c>
      <c r="R1588" s="28" t="str">
        <f>IFERROR(VLOOKUP(DadosViagem5[[#This Row],[Placa]],[1]DDS!B:C,2,FALSE),"Verificar cadastro")</f>
        <v>Operando</v>
      </c>
      <c r="S1588" s="29" t="s">
        <v>48</v>
      </c>
      <c r="T1588" s="23"/>
      <c r="U1588" s="30"/>
      <c r="V1588" s="31"/>
      <c r="W1588" s="32"/>
      <c r="X1588" s="33"/>
      <c r="Y1588" s="34"/>
      <c r="Z1588" s="32"/>
      <c r="AA1588" s="20" t="s">
        <v>49</v>
      </c>
      <c r="AB1588" s="20" t="s">
        <v>49</v>
      </c>
      <c r="AC1588" s="19" t="s">
        <v>49</v>
      </c>
      <c r="AD1588" s="19" t="str">
        <f ca="1">IFERROR(DATEDIF(DadosViagem5[[#This Row],[Utimo Bip Reserva]],TODAY(),"D"),"")</f>
        <v/>
      </c>
      <c r="AE1588" s="29" t="s">
        <v>49</v>
      </c>
      <c r="AF1588" s="35" t="s">
        <v>49</v>
      </c>
      <c r="AG1588" s="36"/>
      <c r="AH1588" s="25">
        <v>45807</v>
      </c>
      <c r="AI1588" s="36" t="str">
        <f>IF(DadosViagem5[[#This Row],[Dias em manutenção ]]&lt;5,"Dentro do Prazo","Fora do Prazo")</f>
        <v>Fora do Prazo</v>
      </c>
      <c r="AJ1588" s="36" t="e">
        <v>#REF!</v>
      </c>
    </row>
    <row r="1589" spans="1:36">
      <c r="A1589" s="19" t="s">
        <v>2654</v>
      </c>
      <c r="B1589" s="20">
        <v>431</v>
      </c>
      <c r="C1589" s="19" t="s">
        <v>74</v>
      </c>
      <c r="D1589" s="19" t="s">
        <v>52</v>
      </c>
      <c r="E1589" s="19" t="s">
        <v>75</v>
      </c>
      <c r="F1589" s="19" t="s">
        <v>115</v>
      </c>
      <c r="G1589" s="19"/>
      <c r="H1589" s="20">
        <v>2023</v>
      </c>
      <c r="I1589" s="19" t="s">
        <v>41</v>
      </c>
      <c r="J1589" s="19" t="s">
        <v>468</v>
      </c>
      <c r="K1589" s="66" t="s">
        <v>469</v>
      </c>
      <c r="L1589" s="22" t="s">
        <v>60</v>
      </c>
      <c r="M1589" s="23" t="s">
        <v>77</v>
      </c>
      <c r="N1589" s="36" t="s">
        <v>471</v>
      </c>
      <c r="O1589" s="36" t="s">
        <v>472</v>
      </c>
      <c r="P1589" s="26">
        <f ca="1">IFERROR(VLOOKUP(DadosViagem5[[#This Row],[Placa]],[1]BIP!A:E,5,FALSE),"")</f>
        <v>45989</v>
      </c>
      <c r="Q1589" s="27">
        <f ca="1">DATEDIF(DadosViagem5[[#This Row],[BIP]],TODAY(),"D")</f>
        <v>1</v>
      </c>
      <c r="R1589" s="28" t="str">
        <f>IFERROR(VLOOKUP(DadosViagem5[[#This Row],[Placa]],[1]DDS!B:C,2,FALSE),"Verificar cadastro")</f>
        <v>Operando</v>
      </c>
      <c r="S1589" s="29" t="s">
        <v>48</v>
      </c>
      <c r="T1589" s="23"/>
      <c r="U1589" s="30"/>
      <c r="V1589" s="31"/>
      <c r="W1589" s="43"/>
      <c r="X1589" s="33"/>
      <c r="Y1589" s="34"/>
      <c r="Z1589" s="43"/>
      <c r="AA1589" s="20" t="s">
        <v>49</v>
      </c>
      <c r="AB1589" s="20" t="s">
        <v>49</v>
      </c>
      <c r="AC1589" s="19" t="s">
        <v>49</v>
      </c>
      <c r="AD1589" s="19" t="str">
        <f ca="1">IFERROR(DATEDIF(DadosViagem5[[#This Row],[Utimo Bip Reserva]],TODAY(),"D"),"")</f>
        <v/>
      </c>
      <c r="AE1589" s="29"/>
      <c r="AF1589" s="25"/>
      <c r="AG1589" s="36"/>
      <c r="AH1589" s="25">
        <v>45807</v>
      </c>
      <c r="AI1589" s="36" t="str">
        <f>IF(DadosViagem5[[#This Row],[Dias em manutenção ]]&lt;5,"Dentro do Prazo","Fora do Prazo")</f>
        <v>Fora do Prazo</v>
      </c>
      <c r="AJ1589" s="36" t="e">
        <v>#REF!</v>
      </c>
    </row>
    <row r="1590" spans="1:36">
      <c r="A1590" s="19" t="s">
        <v>2655</v>
      </c>
      <c r="B1590" s="20"/>
      <c r="C1590" s="19" t="s">
        <v>131</v>
      </c>
      <c r="D1590" s="19" t="s">
        <v>132</v>
      </c>
      <c r="E1590" s="19" t="s">
        <v>114</v>
      </c>
      <c r="F1590" s="19" t="s">
        <v>115</v>
      </c>
      <c r="G1590" s="19"/>
      <c r="H1590" s="20">
        <v>2022</v>
      </c>
      <c r="I1590" s="19" t="s">
        <v>41</v>
      </c>
      <c r="J1590" s="19" t="s">
        <v>468</v>
      </c>
      <c r="K1590" s="66" t="s">
        <v>469</v>
      </c>
      <c r="L1590" s="22" t="s">
        <v>60</v>
      </c>
      <c r="M1590" s="23" t="s">
        <v>470</v>
      </c>
      <c r="N1590" s="36" t="s">
        <v>471</v>
      </c>
      <c r="O1590" s="36" t="s">
        <v>472</v>
      </c>
      <c r="P1590" s="26">
        <f ca="1">IFERROR(VLOOKUP(DadosViagem5[[#This Row],[Placa]],[1]BIP!A:E,5,FALSE),"")</f>
        <v>45929</v>
      </c>
      <c r="Q1590" s="27">
        <f ca="1">DATEDIF(DadosViagem5[[#This Row],[BIP]],TODAY(),"D")</f>
        <v>61</v>
      </c>
      <c r="R1590" s="28" t="str">
        <f>IFERROR(VLOOKUP(DadosViagem5[[#This Row],[Placa]],[1]DDS!B:C,2,FALSE),"Verificar cadastro")</f>
        <v>Manutenção</v>
      </c>
      <c r="S1590" s="36" t="s">
        <v>35</v>
      </c>
      <c r="T1590" s="23"/>
      <c r="U1590" s="30"/>
      <c r="V1590" s="31"/>
      <c r="W1590" s="32" t="s">
        <v>2640</v>
      </c>
      <c r="X1590" s="33"/>
      <c r="Y1590" s="34"/>
      <c r="Z1590" s="32" t="s">
        <v>2630</v>
      </c>
      <c r="AA1590" s="20" t="s">
        <v>49</v>
      </c>
      <c r="AB1590" s="20" t="s">
        <v>49</v>
      </c>
      <c r="AC1590" s="19" t="s">
        <v>49</v>
      </c>
      <c r="AD1590" s="19" t="str">
        <f ca="1">IFERROR(DATEDIF(DadosViagem5[[#This Row],[Utimo Bip Reserva]],TODAY(),"D"),"")</f>
        <v/>
      </c>
      <c r="AE1590" s="36" t="s">
        <v>49</v>
      </c>
      <c r="AF1590" s="25" t="s">
        <v>49</v>
      </c>
      <c r="AG1590" s="36"/>
      <c r="AH1590" s="25">
        <v>45807</v>
      </c>
      <c r="AI1590" s="36" t="str">
        <f>IF(DadosViagem5[[#This Row],[Dias em manutenção ]]&lt;5,"Dentro do Prazo","Fora do Prazo")</f>
        <v>Fora do Prazo</v>
      </c>
      <c r="AJ1590" s="36" t="e">
        <v>#REF!</v>
      </c>
    </row>
    <row r="1591" spans="1:36">
      <c r="A1591" s="19" t="s">
        <v>2656</v>
      </c>
      <c r="B1591" s="20"/>
      <c r="C1591" s="19" t="s">
        <v>562</v>
      </c>
      <c r="D1591" s="19" t="s">
        <v>563</v>
      </c>
      <c r="E1591" s="19" t="s">
        <v>114</v>
      </c>
      <c r="F1591" s="19" t="s">
        <v>115</v>
      </c>
      <c r="G1591" s="19"/>
      <c r="H1591" s="20">
        <v>2022</v>
      </c>
      <c r="I1591" s="19" t="s">
        <v>41</v>
      </c>
      <c r="J1591" s="19" t="s">
        <v>468</v>
      </c>
      <c r="K1591" s="66" t="s">
        <v>469</v>
      </c>
      <c r="L1591" s="22" t="s">
        <v>60</v>
      </c>
      <c r="M1591" s="23" t="s">
        <v>470</v>
      </c>
      <c r="N1591" s="36" t="s">
        <v>471</v>
      </c>
      <c r="O1591" s="36" t="s">
        <v>472</v>
      </c>
      <c r="P1591" s="26">
        <f ca="1">IFERROR(VLOOKUP(DadosViagem5[[#This Row],[Placa]],[1]BIP!A:E,5,FALSE),"")</f>
        <v>45989</v>
      </c>
      <c r="Q1591" s="27">
        <f ca="1">DATEDIF(DadosViagem5[[#This Row],[BIP]],TODAY(),"D")</f>
        <v>1</v>
      </c>
      <c r="R1591" s="28" t="str">
        <f>IFERROR(VLOOKUP(DadosViagem5[[#This Row],[Placa]],[1]DDS!B:C,2,FALSE),"Verificar cadastro")</f>
        <v>Operando</v>
      </c>
      <c r="S1591" s="29" t="s">
        <v>173</v>
      </c>
      <c r="T1591" s="23"/>
      <c r="U1591" s="30"/>
      <c r="V1591" s="31"/>
      <c r="W1591" s="32"/>
      <c r="X1591" s="33"/>
      <c r="Y1591" s="34"/>
      <c r="Z1591" s="32"/>
      <c r="AA1591" s="20" t="s">
        <v>49</v>
      </c>
      <c r="AB1591" s="20" t="s">
        <v>49</v>
      </c>
      <c r="AC1591" s="19" t="s">
        <v>49</v>
      </c>
      <c r="AD1591" s="19" t="str">
        <f ca="1">IFERROR(DATEDIF(DadosViagem5[[#This Row],[Utimo Bip Reserva]],TODAY(),"D"),"")</f>
        <v/>
      </c>
      <c r="AE1591" s="36" t="s">
        <v>49</v>
      </c>
      <c r="AF1591" s="25" t="s">
        <v>49</v>
      </c>
      <c r="AG1591" s="36"/>
      <c r="AH1591" s="25">
        <v>45807</v>
      </c>
      <c r="AI1591" s="36" t="str">
        <f>IF(DadosViagem5[[#This Row],[Dias em manutenção ]]&lt;5,"Dentro do Prazo","Fora do Prazo")</f>
        <v>Fora do Prazo</v>
      </c>
      <c r="AJ1591" s="36" t="e">
        <v>#REF!</v>
      </c>
    </row>
    <row r="1592" spans="1:36">
      <c r="A1592" s="19" t="s">
        <v>2657</v>
      </c>
      <c r="B1592" s="20"/>
      <c r="C1592" s="19" t="s">
        <v>71</v>
      </c>
      <c r="D1592" s="19" t="s">
        <v>38</v>
      </c>
      <c r="E1592" s="19" t="s">
        <v>699</v>
      </c>
      <c r="F1592" s="19" t="s">
        <v>115</v>
      </c>
      <c r="G1592" s="19"/>
      <c r="H1592" s="20">
        <v>2022</v>
      </c>
      <c r="I1592" s="19" t="s">
        <v>41</v>
      </c>
      <c r="J1592" s="19" t="s">
        <v>468</v>
      </c>
      <c r="K1592" s="66" t="s">
        <v>469</v>
      </c>
      <c r="L1592" s="22" t="s">
        <v>60</v>
      </c>
      <c r="M1592" s="23" t="s">
        <v>470</v>
      </c>
      <c r="N1592" s="36" t="s">
        <v>471</v>
      </c>
      <c r="O1592" s="36" t="s">
        <v>472</v>
      </c>
      <c r="P1592" s="26">
        <f ca="1">IFERROR(VLOOKUP(DadosViagem5[[#This Row],[Placa]],[1]BIP!A:E,5,FALSE),"")</f>
        <v>45989</v>
      </c>
      <c r="Q1592" s="27">
        <f ca="1">DATEDIF(DadosViagem5[[#This Row],[BIP]],TODAY(),"D")</f>
        <v>1</v>
      </c>
      <c r="R1592" s="28" t="str">
        <f>IFERROR(VLOOKUP(DadosViagem5[[#This Row],[Placa]],[1]DDS!B:C,2,FALSE),"Verificar cadastro")</f>
        <v>Operando</v>
      </c>
      <c r="S1592" s="29" t="s">
        <v>48</v>
      </c>
      <c r="T1592" s="23"/>
      <c r="U1592" s="30"/>
      <c r="V1592" s="31"/>
      <c r="W1592" s="32" t="s">
        <v>2658</v>
      </c>
      <c r="X1592" s="33"/>
      <c r="Y1592" s="34"/>
      <c r="Z1592" s="42"/>
      <c r="AA1592" s="20" t="s">
        <v>49</v>
      </c>
      <c r="AB1592" s="20" t="s">
        <v>49</v>
      </c>
      <c r="AC1592" s="20" t="s">
        <v>49</v>
      </c>
      <c r="AD1592" s="20" t="s">
        <v>49</v>
      </c>
      <c r="AE1592" s="25" t="s">
        <v>49</v>
      </c>
      <c r="AF1592" s="25" t="s">
        <v>49</v>
      </c>
      <c r="AG1592" s="36"/>
      <c r="AH1592" s="25">
        <v>45807</v>
      </c>
      <c r="AI1592" s="36" t="str">
        <f>IF(DadosViagem5[[#This Row],[Dias em manutenção ]]&lt;5,"Dentro do Prazo","Fora do Prazo")</f>
        <v>Fora do Prazo</v>
      </c>
      <c r="AJ1592" s="36" t="e">
        <v>#REF!</v>
      </c>
    </row>
    <row r="1593" spans="1:36">
      <c r="A1593" s="19" t="s">
        <v>2659</v>
      </c>
      <c r="B1593" s="20"/>
      <c r="C1593" s="19" t="s">
        <v>562</v>
      </c>
      <c r="D1593" s="19" t="s">
        <v>563</v>
      </c>
      <c r="E1593" s="19" t="s">
        <v>114</v>
      </c>
      <c r="F1593" s="19" t="s">
        <v>115</v>
      </c>
      <c r="G1593" s="19"/>
      <c r="H1593" s="20">
        <v>2023</v>
      </c>
      <c r="I1593" s="19" t="s">
        <v>41</v>
      </c>
      <c r="J1593" s="19" t="s">
        <v>468</v>
      </c>
      <c r="K1593" s="66" t="s">
        <v>469</v>
      </c>
      <c r="L1593" s="22" t="s">
        <v>60</v>
      </c>
      <c r="M1593" s="23" t="s">
        <v>470</v>
      </c>
      <c r="N1593" s="36" t="s">
        <v>471</v>
      </c>
      <c r="O1593" s="36" t="s">
        <v>472</v>
      </c>
      <c r="P1593" s="26">
        <f ca="1">IFERROR(VLOOKUP(DadosViagem5[[#This Row],[Placa]],[1]BIP!A:E,5,FALSE),"")</f>
        <v>45989</v>
      </c>
      <c r="Q1593" s="27">
        <f ca="1">DATEDIF(DadosViagem5[[#This Row],[BIP]],TODAY(),"D")</f>
        <v>1</v>
      </c>
      <c r="R1593" s="28" t="str">
        <f>IFERROR(VLOOKUP(DadosViagem5[[#This Row],[Placa]],[1]DDS!B:C,2,FALSE),"Verificar cadastro")</f>
        <v>Operando</v>
      </c>
      <c r="S1593" s="29" t="s">
        <v>48</v>
      </c>
      <c r="T1593" s="23"/>
      <c r="U1593" s="30"/>
      <c r="V1593" s="31"/>
      <c r="W1593" s="32" t="s">
        <v>1218</v>
      </c>
      <c r="X1593" s="33"/>
      <c r="Y1593" s="34"/>
      <c r="Z1593" s="32"/>
      <c r="AA1593" s="20" t="s">
        <v>49</v>
      </c>
      <c r="AB1593" s="20" t="s">
        <v>49</v>
      </c>
      <c r="AC1593" s="19" t="s">
        <v>49</v>
      </c>
      <c r="AD1593" s="19" t="str">
        <f ca="1">IFERROR(DATEDIF(DadosViagem5[[#This Row],[Utimo Bip Reserva]],TODAY(),"D"),"")</f>
        <v/>
      </c>
      <c r="AE1593" s="36" t="s">
        <v>49</v>
      </c>
      <c r="AF1593" s="25" t="s">
        <v>49</v>
      </c>
      <c r="AG1593" s="36"/>
      <c r="AH1593" s="25">
        <v>45807</v>
      </c>
      <c r="AI1593" s="36" t="str">
        <f>IF(DadosViagem5[[#This Row],[Dias em manutenção ]]&lt;5,"Dentro do Prazo","Fora do Prazo")</f>
        <v>Fora do Prazo</v>
      </c>
      <c r="AJ1593" s="36" t="e">
        <v>#REF!</v>
      </c>
    </row>
    <row r="1594" spans="1:36">
      <c r="A1594" s="19" t="s">
        <v>2660</v>
      </c>
      <c r="B1594" s="20"/>
      <c r="C1594" s="19" t="s">
        <v>88</v>
      </c>
      <c r="D1594" s="19" t="s">
        <v>52</v>
      </c>
      <c r="E1594" s="19" t="s">
        <v>114</v>
      </c>
      <c r="F1594" s="19" t="s">
        <v>115</v>
      </c>
      <c r="G1594" s="19"/>
      <c r="H1594" s="20">
        <v>2021</v>
      </c>
      <c r="I1594" s="19" t="s">
        <v>41</v>
      </c>
      <c r="J1594" s="19" t="s">
        <v>468</v>
      </c>
      <c r="K1594" s="66" t="s">
        <v>469</v>
      </c>
      <c r="L1594" s="22" t="s">
        <v>60</v>
      </c>
      <c r="M1594" s="23" t="s">
        <v>470</v>
      </c>
      <c r="N1594" s="36" t="s">
        <v>471</v>
      </c>
      <c r="O1594" s="36" t="s">
        <v>472</v>
      </c>
      <c r="P1594" s="26">
        <f ca="1">IFERROR(VLOOKUP(DadosViagem5[[#This Row],[Placa]],[1]BIP!A:E,5,FALSE),"")</f>
        <v>45989</v>
      </c>
      <c r="Q1594" s="27">
        <f ca="1">DATEDIF(DadosViagem5[[#This Row],[BIP]],TODAY(),"D")</f>
        <v>1</v>
      </c>
      <c r="R1594" s="28" t="str">
        <f>IFERROR(VLOOKUP(DadosViagem5[[#This Row],[Placa]],[1]DDS!B:C,2,FALSE),"Verificar cadastro")</f>
        <v>Operando</v>
      </c>
      <c r="S1594" s="29" t="s">
        <v>48</v>
      </c>
      <c r="T1594" s="23"/>
      <c r="U1594" s="30"/>
      <c r="V1594" s="31"/>
      <c r="W1594" s="32"/>
      <c r="X1594" s="33"/>
      <c r="Y1594" s="34"/>
      <c r="Z1594" s="32"/>
      <c r="AA1594" s="20" t="s">
        <v>49</v>
      </c>
      <c r="AB1594" s="20" t="s">
        <v>49</v>
      </c>
      <c r="AC1594" s="19" t="s">
        <v>49</v>
      </c>
      <c r="AD1594" s="19" t="str">
        <f ca="1">IFERROR(DATEDIF(DadosViagem5[[#This Row],[Utimo Bip Reserva]],TODAY(),"D"),"")</f>
        <v/>
      </c>
      <c r="AE1594" s="36" t="s">
        <v>49</v>
      </c>
      <c r="AF1594" s="25" t="s">
        <v>49</v>
      </c>
      <c r="AG1594" s="36"/>
      <c r="AH1594" s="25">
        <v>45807</v>
      </c>
      <c r="AI1594" s="36" t="str">
        <f>IF(DadosViagem5[[#This Row],[Dias em manutenção ]]&lt;5,"Dentro do Prazo","Fora do Prazo")</f>
        <v>Fora do Prazo</v>
      </c>
      <c r="AJ1594" s="36" t="e">
        <v>#REF!</v>
      </c>
    </row>
    <row r="1595" spans="1:36">
      <c r="A1595" s="19" t="s">
        <v>2661</v>
      </c>
      <c r="B1595" s="20">
        <v>444</v>
      </c>
      <c r="C1595" s="19" t="s">
        <v>74</v>
      </c>
      <c r="D1595" s="19" t="s">
        <v>52</v>
      </c>
      <c r="E1595" s="19" t="s">
        <v>75</v>
      </c>
      <c r="F1595" s="19" t="s">
        <v>76</v>
      </c>
      <c r="G1595" s="19"/>
      <c r="H1595" s="20">
        <v>2023</v>
      </c>
      <c r="I1595" s="19" t="s">
        <v>41</v>
      </c>
      <c r="J1595" s="19" t="s">
        <v>468</v>
      </c>
      <c r="K1595" s="66" t="s">
        <v>469</v>
      </c>
      <c r="L1595" s="22" t="s">
        <v>60</v>
      </c>
      <c r="M1595" s="23" t="s">
        <v>77</v>
      </c>
      <c r="N1595" s="36" t="s">
        <v>471</v>
      </c>
      <c r="O1595" s="36" t="s">
        <v>472</v>
      </c>
      <c r="P1595" s="26">
        <f ca="1">IFERROR(VLOOKUP(DadosViagem5[[#This Row],[Placa]],[1]BIP!A:E,5,FALSE),"")</f>
        <v>45989</v>
      </c>
      <c r="Q1595" s="27">
        <f ca="1">DATEDIF(DadosViagem5[[#This Row],[BIP]],TODAY(),"D")</f>
        <v>1</v>
      </c>
      <c r="R1595" s="28" t="str">
        <f>IFERROR(VLOOKUP(DadosViagem5[[#This Row],[Placa]],[1]DDS!B:C,2,FALSE),"Verificar cadastro")</f>
        <v>Operando</v>
      </c>
      <c r="S1595" s="29" t="s">
        <v>48</v>
      </c>
      <c r="T1595" s="23"/>
      <c r="U1595" s="30"/>
      <c r="V1595" s="31"/>
      <c r="W1595" s="171"/>
      <c r="X1595" s="33"/>
      <c r="Y1595" s="34"/>
      <c r="Z1595" s="32"/>
      <c r="AA1595" s="20" t="s">
        <v>49</v>
      </c>
      <c r="AB1595" s="20" t="s">
        <v>49</v>
      </c>
      <c r="AC1595" s="19" t="s">
        <v>49</v>
      </c>
      <c r="AD1595" s="19" t="str">
        <f ca="1">IFERROR(DATEDIF(DadosViagem5[[#This Row],[Utimo Bip Reserva]],TODAY(),"D"),"")</f>
        <v/>
      </c>
      <c r="AE1595" s="25" t="s">
        <v>49</v>
      </c>
      <c r="AF1595" s="25" t="s">
        <v>49</v>
      </c>
      <c r="AG1595" s="36"/>
      <c r="AH1595" s="25">
        <v>45807</v>
      </c>
      <c r="AI1595" s="36" t="str">
        <f>IF(DadosViagem5[[#This Row],[Dias em manutenção ]]&lt;5,"Dentro do Prazo","Fora do Prazo")</f>
        <v>Fora do Prazo</v>
      </c>
      <c r="AJ1595" s="36" t="e">
        <v>#REF!</v>
      </c>
    </row>
    <row r="1596" spans="1:36">
      <c r="A1596" s="19" t="s">
        <v>2662</v>
      </c>
      <c r="B1596" s="20">
        <v>446</v>
      </c>
      <c r="C1596" s="19" t="s">
        <v>74</v>
      </c>
      <c r="D1596" s="19" t="s">
        <v>52</v>
      </c>
      <c r="E1596" s="19" t="s">
        <v>75</v>
      </c>
      <c r="F1596" s="19" t="s">
        <v>115</v>
      </c>
      <c r="G1596" s="19"/>
      <c r="H1596" s="20">
        <v>2023</v>
      </c>
      <c r="I1596" s="19" t="s">
        <v>41</v>
      </c>
      <c r="J1596" s="19" t="s">
        <v>468</v>
      </c>
      <c r="K1596" s="66" t="s">
        <v>469</v>
      </c>
      <c r="L1596" s="22" t="s">
        <v>60</v>
      </c>
      <c r="M1596" s="23" t="s">
        <v>77</v>
      </c>
      <c r="N1596" s="36" t="s">
        <v>471</v>
      </c>
      <c r="O1596" s="36" t="s">
        <v>472</v>
      </c>
      <c r="P1596" s="26">
        <f ca="1">IFERROR(VLOOKUP(DadosViagem5[[#This Row],[Placa]],[1]BIP!A:E,5,FALSE),"")</f>
        <v>45989</v>
      </c>
      <c r="Q1596" s="27">
        <f ca="1">DATEDIF(DadosViagem5[[#This Row],[BIP]],TODAY(),"D")</f>
        <v>1</v>
      </c>
      <c r="R1596" s="28" t="str">
        <f>IFERROR(VLOOKUP(DadosViagem5[[#This Row],[Placa]],[1]DDS!B:C,2,FALSE),"Verificar cadastro")</f>
        <v>Operando</v>
      </c>
      <c r="S1596" s="29" t="s">
        <v>48</v>
      </c>
      <c r="T1596" s="23"/>
      <c r="U1596" s="30"/>
      <c r="V1596" s="31"/>
      <c r="W1596" s="32"/>
      <c r="X1596" s="33"/>
      <c r="Y1596" s="34"/>
      <c r="Z1596" s="32"/>
      <c r="AA1596" s="20" t="s">
        <v>49</v>
      </c>
      <c r="AB1596" s="20" t="s">
        <v>49</v>
      </c>
      <c r="AC1596" s="19" t="s">
        <v>49</v>
      </c>
      <c r="AD1596" s="19" t="str">
        <f ca="1">IFERROR(DATEDIF(DadosViagem5[[#This Row],[Utimo Bip Reserva]],TODAY(),"D"),"")</f>
        <v/>
      </c>
      <c r="AE1596" s="35" t="s">
        <v>49</v>
      </c>
      <c r="AF1596" s="35" t="s">
        <v>49</v>
      </c>
      <c r="AG1596" s="36"/>
      <c r="AH1596" s="25">
        <v>45807</v>
      </c>
      <c r="AI1596" s="36" t="str">
        <f>IF(DadosViagem5[[#This Row],[Dias em manutenção ]]&lt;5,"Dentro do Prazo","Fora do Prazo")</f>
        <v>Fora do Prazo</v>
      </c>
      <c r="AJ1596" s="36" t="e">
        <v>#REF!</v>
      </c>
    </row>
    <row r="1597" spans="1:36">
      <c r="A1597" s="19" t="s">
        <v>2663</v>
      </c>
      <c r="B1597" s="20"/>
      <c r="C1597" s="19" t="s">
        <v>71</v>
      </c>
      <c r="D1597" s="19" t="s">
        <v>38</v>
      </c>
      <c r="E1597" s="19" t="s">
        <v>72</v>
      </c>
      <c r="F1597" s="19" t="s">
        <v>40</v>
      </c>
      <c r="G1597" s="19"/>
      <c r="H1597" s="20">
        <v>2022</v>
      </c>
      <c r="I1597" s="19" t="s">
        <v>41</v>
      </c>
      <c r="J1597" s="19" t="s">
        <v>1594</v>
      </c>
      <c r="K1597" s="21" t="s">
        <v>1595</v>
      </c>
      <c r="L1597" s="22" t="s">
        <v>60</v>
      </c>
      <c r="M1597" s="23" t="s">
        <v>470</v>
      </c>
      <c r="N1597" s="36" t="s">
        <v>1596</v>
      </c>
      <c r="O1597" s="36" t="s">
        <v>472</v>
      </c>
      <c r="P1597" s="26">
        <f ca="1">IFERROR(VLOOKUP(DadosViagem5[[#This Row],[Placa]],[1]BIP!A:E,5,FALSE),"")</f>
        <v>0</v>
      </c>
      <c r="Q1597" s="27">
        <f ca="1">DATEDIF(DadosViagem5[[#This Row],[BIP]],TODAY(),"D")</f>
        <v>45990</v>
      </c>
      <c r="R1597" s="28" t="str">
        <f>IFERROR(VLOOKUP(DadosViagem5[[#This Row],[Placa]],[1]DDS!B:C,2,FALSE),"Verificar cadastro")</f>
        <v>Manutenção</v>
      </c>
      <c r="S1597" s="29" t="s">
        <v>48</v>
      </c>
      <c r="T1597" s="23"/>
      <c r="U1597" s="30"/>
      <c r="V1597" s="31"/>
      <c r="W1597" s="32"/>
      <c r="X1597" s="33"/>
      <c r="Y1597" s="34"/>
      <c r="Z1597" s="32"/>
      <c r="AA1597" s="20" t="s">
        <v>49</v>
      </c>
      <c r="AB1597" s="20" t="s">
        <v>49</v>
      </c>
      <c r="AC1597" s="19" t="s">
        <v>49</v>
      </c>
      <c r="AD1597" s="19" t="str">
        <f ca="1">IFERROR(DATEDIF(DadosViagem5[[#This Row],[Utimo Bip Reserva]],TODAY(),"D"),"")</f>
        <v/>
      </c>
      <c r="AE1597" s="25" t="s">
        <v>49</v>
      </c>
      <c r="AF1597" s="25" t="s">
        <v>49</v>
      </c>
      <c r="AG1597" s="36"/>
      <c r="AH1597" s="25">
        <v>45807</v>
      </c>
      <c r="AI1597" s="36" t="str">
        <f>IF(DadosViagem5[[#This Row],[Dias em manutenção ]]&lt;5,"Dentro do Prazo","Fora do Prazo")</f>
        <v>Fora do Prazo</v>
      </c>
      <c r="AJ1597" s="36" t="e">
        <v>#REF!</v>
      </c>
    </row>
    <row r="1598" spans="1:36">
      <c r="A1598" s="19" t="s">
        <v>2664</v>
      </c>
      <c r="B1598" s="20"/>
      <c r="C1598" s="19" t="s">
        <v>131</v>
      </c>
      <c r="D1598" s="19" t="s">
        <v>132</v>
      </c>
      <c r="E1598" s="19" t="s">
        <v>57</v>
      </c>
      <c r="F1598" s="19" t="s">
        <v>40</v>
      </c>
      <c r="G1598" s="19"/>
      <c r="H1598" s="20">
        <v>2024</v>
      </c>
      <c r="I1598" s="19" t="s">
        <v>41</v>
      </c>
      <c r="J1598" s="19" t="s">
        <v>468</v>
      </c>
      <c r="K1598" s="66" t="s">
        <v>469</v>
      </c>
      <c r="L1598" s="53" t="s">
        <v>558</v>
      </c>
      <c r="M1598" s="23" t="s">
        <v>470</v>
      </c>
      <c r="N1598" s="36" t="s">
        <v>471</v>
      </c>
      <c r="O1598" s="36" t="s">
        <v>472</v>
      </c>
      <c r="P1598" s="26" t="str">
        <f>IFERROR(VLOOKUP(DadosViagem5[[#This Row],[Placa]],[1]BIP!A:E,5,FALSE),"")</f>
        <v/>
      </c>
      <c r="Q1598" s="27" t="e">
        <f ca="1">DATEDIF(DadosViagem5[[#This Row],[BIP]],TODAY(),"D")</f>
        <v>#VALUE!</v>
      </c>
      <c r="R1598" s="28" t="str">
        <f>IFERROR(VLOOKUP(DadosViagem5[[#This Row],[Placa]],[1]DDS!B:C,2,FALSE),"Verificar cadastro")</f>
        <v>Carregado</v>
      </c>
      <c r="S1598" s="29" t="s">
        <v>48</v>
      </c>
      <c r="T1598" s="23"/>
      <c r="U1598" s="30"/>
      <c r="V1598" s="31"/>
      <c r="W1598" s="32"/>
      <c r="X1598" s="33"/>
      <c r="Y1598" s="34"/>
      <c r="Z1598" s="32"/>
      <c r="AA1598" s="20" t="s">
        <v>49</v>
      </c>
      <c r="AB1598" s="20" t="s">
        <v>49</v>
      </c>
      <c r="AC1598" s="19" t="s">
        <v>49</v>
      </c>
      <c r="AD1598" s="19" t="str">
        <f ca="1">IFERROR(DATEDIF(DadosViagem5[[#This Row],[Utimo Bip Reserva]],TODAY(),"D"),"")</f>
        <v/>
      </c>
      <c r="AE1598" s="35" t="s">
        <v>49</v>
      </c>
      <c r="AF1598" s="35" t="s">
        <v>49</v>
      </c>
      <c r="AG1598" s="36" t="s">
        <v>540</v>
      </c>
      <c r="AH1598" s="25">
        <v>4</v>
      </c>
      <c r="AI1598" s="36" t="str">
        <f>IF(DadosViagem5[[#This Row],[Dias em manutenção ]]&lt;5,"Dentro do Prazo","Fora do Prazo")</f>
        <v>Dentro do Prazo</v>
      </c>
      <c r="AJ1598" s="36" t="e">
        <v>#REF!</v>
      </c>
    </row>
    <row r="1599" spans="1:36">
      <c r="A1599" s="19" t="s">
        <v>2665</v>
      </c>
      <c r="B1599" s="20"/>
      <c r="C1599" s="19" t="s">
        <v>131</v>
      </c>
      <c r="D1599" s="19" t="s">
        <v>132</v>
      </c>
      <c r="E1599" s="19" t="s">
        <v>57</v>
      </c>
      <c r="F1599" s="19" t="s">
        <v>40</v>
      </c>
      <c r="G1599" s="19"/>
      <c r="H1599" s="20">
        <v>2024</v>
      </c>
      <c r="I1599" s="19" t="s">
        <v>41</v>
      </c>
      <c r="J1599" s="19" t="s">
        <v>468</v>
      </c>
      <c r="K1599" s="66" t="s">
        <v>469</v>
      </c>
      <c r="L1599" s="53" t="s">
        <v>558</v>
      </c>
      <c r="M1599" s="23" t="s">
        <v>470</v>
      </c>
      <c r="N1599" s="36" t="s">
        <v>471</v>
      </c>
      <c r="O1599" s="36" t="s">
        <v>472</v>
      </c>
      <c r="P1599" s="26" t="str">
        <f>IFERROR(VLOOKUP(DadosViagem5[[#This Row],[Placa]],[1]BIP!A:E,5,FALSE),"")</f>
        <v/>
      </c>
      <c r="Q1599" s="27" t="e">
        <f ca="1">DATEDIF(DadosViagem5[[#This Row],[BIP]],TODAY(),"D")</f>
        <v>#VALUE!</v>
      </c>
      <c r="R1599" s="28" t="str">
        <f>IFERROR(VLOOKUP(DadosViagem5[[#This Row],[Placa]],[1]DDS!B:C,2,FALSE),"Verificar cadastro")</f>
        <v>Carregado</v>
      </c>
      <c r="S1599" s="29" t="s">
        <v>48</v>
      </c>
      <c r="T1599" s="23"/>
      <c r="U1599" s="30"/>
      <c r="V1599" s="31"/>
      <c r="W1599" s="32"/>
      <c r="X1599" s="33"/>
      <c r="Y1599" s="34"/>
      <c r="Z1599" s="32"/>
      <c r="AA1599" s="20" t="s">
        <v>49</v>
      </c>
      <c r="AB1599" s="20" t="s">
        <v>49</v>
      </c>
      <c r="AC1599" s="19" t="s">
        <v>49</v>
      </c>
      <c r="AD1599" s="19" t="str">
        <f ca="1">IFERROR(DATEDIF(DadosViagem5[[#This Row],[Utimo Bip Reserva]],TODAY(),"D"),"")</f>
        <v/>
      </c>
      <c r="AE1599" s="35" t="s">
        <v>49</v>
      </c>
      <c r="AF1599" s="35" t="s">
        <v>49</v>
      </c>
      <c r="AG1599" s="36" t="s">
        <v>540</v>
      </c>
      <c r="AH1599" s="25">
        <v>4</v>
      </c>
      <c r="AI1599" s="36" t="str">
        <f>IF(DadosViagem5[[#This Row],[Dias em manutenção ]]&lt;5,"Dentro do Prazo","Fora do Prazo")</f>
        <v>Dentro do Prazo</v>
      </c>
      <c r="AJ1599" s="36" t="e">
        <v>#REF!</v>
      </c>
    </row>
    <row r="1600" spans="1:36">
      <c r="A1600" s="19" t="s">
        <v>2666</v>
      </c>
      <c r="B1600" s="20"/>
      <c r="C1600" s="19" t="s">
        <v>131</v>
      </c>
      <c r="D1600" s="19" t="s">
        <v>132</v>
      </c>
      <c r="E1600" s="19" t="s">
        <v>57</v>
      </c>
      <c r="F1600" s="19" t="s">
        <v>396</v>
      </c>
      <c r="G1600" s="19"/>
      <c r="H1600" s="20">
        <v>2022</v>
      </c>
      <c r="I1600" s="19" t="s">
        <v>1183</v>
      </c>
      <c r="J1600" s="19" t="s">
        <v>2039</v>
      </c>
      <c r="K1600" s="21" t="s">
        <v>2667</v>
      </c>
      <c r="L1600" s="22" t="s">
        <v>60</v>
      </c>
      <c r="M1600" s="23" t="s">
        <v>268</v>
      </c>
      <c r="N1600" s="36" t="s">
        <v>2668</v>
      </c>
      <c r="O1600" s="36" t="s">
        <v>2068</v>
      </c>
      <c r="P1600" s="26">
        <f ca="1">IFERROR(VLOOKUP(DadosViagem5[[#This Row],[Placa]],[1]BIP!A:E,5,FALSE),"")</f>
        <v>45989</v>
      </c>
      <c r="Q1600" s="27">
        <f ca="1">DATEDIF(DadosViagem5[[#This Row],[BIP]],TODAY(),"D")</f>
        <v>1</v>
      </c>
      <c r="R1600" s="28" t="str">
        <f>IFERROR(VLOOKUP(DadosViagem5[[#This Row],[Placa]],[1]DDS!B:C,2,FALSE),"Verificar cadastro")</f>
        <v>Operando</v>
      </c>
      <c r="S1600" s="29" t="s">
        <v>613</v>
      </c>
      <c r="T1600" s="23"/>
      <c r="U1600" s="30"/>
      <c r="V1600" s="31"/>
      <c r="W1600" s="32"/>
      <c r="X1600" s="33"/>
      <c r="Y1600" s="34"/>
      <c r="Z1600" s="42"/>
      <c r="AA1600" s="20" t="s">
        <v>49</v>
      </c>
      <c r="AB1600" s="20" t="s">
        <v>49</v>
      </c>
      <c r="AC1600" s="19" t="s">
        <v>49</v>
      </c>
      <c r="AD1600" s="19" t="str">
        <f ca="1">IFERROR(DATEDIF(DadosViagem5[[#This Row],[Utimo Bip Reserva]],TODAY(),"D"),"")</f>
        <v/>
      </c>
      <c r="AE1600" s="36" t="s">
        <v>49</v>
      </c>
      <c r="AF1600" s="25" t="s">
        <v>49</v>
      </c>
      <c r="AG1600" s="36"/>
      <c r="AH1600" s="25">
        <v>45807</v>
      </c>
      <c r="AI1600" s="36" t="str">
        <f>IF(DadosViagem5[[#This Row],[Dias em manutenção ]]&lt;5,"Dentro do Prazo","Fora do Prazo")</f>
        <v>Fora do Prazo</v>
      </c>
      <c r="AJ1600" s="36" t="e">
        <v>#REF!</v>
      </c>
    </row>
    <row r="1601" spans="1:36">
      <c r="A1601" s="134" t="s">
        <v>2669</v>
      </c>
      <c r="B1601" s="20"/>
      <c r="C1601" s="19" t="s">
        <v>74</v>
      </c>
      <c r="D1601" s="19" t="s">
        <v>52</v>
      </c>
      <c r="E1601" s="19" t="s">
        <v>75</v>
      </c>
      <c r="F1601" s="19" t="s">
        <v>76</v>
      </c>
      <c r="G1601" s="19"/>
      <c r="H1601" s="20">
        <v>2023</v>
      </c>
      <c r="I1601" s="19" t="s">
        <v>2670</v>
      </c>
      <c r="J1601" s="19" t="s">
        <v>2671</v>
      </c>
      <c r="K1601" s="21" t="s">
        <v>2672</v>
      </c>
      <c r="L1601" s="22" t="s">
        <v>60</v>
      </c>
      <c r="M1601" s="23" t="s">
        <v>77</v>
      </c>
      <c r="N1601" s="36" t="s">
        <v>2673</v>
      </c>
      <c r="O1601" s="36" t="s">
        <v>2674</v>
      </c>
      <c r="P1601" s="26">
        <f ca="1">IFERROR(VLOOKUP(DadosViagem5[[#This Row],[Placa]],[1]BIP!A:E,5,FALSE),"")</f>
        <v>45838</v>
      </c>
      <c r="Q1601" s="27">
        <f ca="1">DATEDIF(DadosViagem5[[#This Row],[BIP]],TODAY(),"D")</f>
        <v>152</v>
      </c>
      <c r="R1601" s="28" t="str">
        <f>IFERROR(VLOOKUP(DadosViagem5[[#This Row],[Placa]],[1]DDS!B:C,2,FALSE),"Verificar cadastro")</f>
        <v> </v>
      </c>
      <c r="S1601" s="36" t="s">
        <v>186</v>
      </c>
      <c r="T1601" s="23"/>
      <c r="U1601" s="30"/>
      <c r="V1601" s="31">
        <v>45851</v>
      </c>
      <c r="W1601" s="116" t="s">
        <v>2675</v>
      </c>
      <c r="X1601" s="57" t="s">
        <v>188</v>
      </c>
      <c r="Y1601" s="34" t="s">
        <v>159</v>
      </c>
      <c r="Z1601" s="42" t="s">
        <v>2676</v>
      </c>
      <c r="AA1601" s="20" t="s">
        <v>49</v>
      </c>
      <c r="AB1601" s="20" t="s">
        <v>49</v>
      </c>
      <c r="AC1601" s="19" t="s">
        <v>49</v>
      </c>
      <c r="AD1601" s="19" t="str">
        <f ca="1">IFERROR(DATEDIF(DadosViagem5[[#This Row],[Utimo Bip Reserva]],TODAY(),"D"),"")</f>
        <v/>
      </c>
      <c r="AE1601" s="36"/>
      <c r="AF1601" s="25"/>
      <c r="AG1601" s="36"/>
      <c r="AH1601" s="25">
        <v>45807</v>
      </c>
      <c r="AI1601" s="36" t="str">
        <f>IF(DadosViagem5[[#This Row],[Dias em manutenção ]]&lt;5,"Dentro do Prazo","Fora do Prazo")</f>
        <v>Fora do Prazo</v>
      </c>
      <c r="AJ1601" s="36" t="e">
        <v>#REF!</v>
      </c>
    </row>
    <row r="1602" spans="1:36">
      <c r="A1602" s="19" t="s">
        <v>2677</v>
      </c>
      <c r="B1602" s="20"/>
      <c r="C1602" s="19" t="s">
        <v>74</v>
      </c>
      <c r="D1602" s="19" t="s">
        <v>52</v>
      </c>
      <c r="E1602" s="19" t="s">
        <v>75</v>
      </c>
      <c r="F1602" s="19" t="s">
        <v>76</v>
      </c>
      <c r="G1602" s="19"/>
      <c r="H1602" s="20">
        <v>2023</v>
      </c>
      <c r="I1602" s="19" t="s">
        <v>2670</v>
      </c>
      <c r="J1602" s="19" t="s">
        <v>2671</v>
      </c>
      <c r="K1602" s="21" t="s">
        <v>2672</v>
      </c>
      <c r="L1602" s="22" t="s">
        <v>60</v>
      </c>
      <c r="M1602" s="23" t="s">
        <v>77</v>
      </c>
      <c r="N1602" s="36" t="s">
        <v>2673</v>
      </c>
      <c r="O1602" s="36" t="s">
        <v>2674</v>
      </c>
      <c r="P1602" s="26">
        <f ca="1">IFERROR(VLOOKUP(DadosViagem5[[#This Row],[Placa]],[1]BIP!A:E,5,FALSE),"")</f>
        <v>45978</v>
      </c>
      <c r="Q1602" s="27">
        <f ca="1">DATEDIF(DadosViagem5[[#This Row],[BIP]],TODAY(),"D")</f>
        <v>12</v>
      </c>
      <c r="R1602" s="28" t="str">
        <f>IFERROR(VLOOKUP(DadosViagem5[[#This Row],[Placa]],[1]DDS!B:C,2,FALSE),"Verificar cadastro")</f>
        <v> </v>
      </c>
      <c r="S1602" s="29" t="s">
        <v>173</v>
      </c>
      <c r="T1602" s="23"/>
      <c r="U1602" s="30"/>
      <c r="V1602" s="31"/>
      <c r="W1602" s="116" t="s">
        <v>2678</v>
      </c>
      <c r="X1602" s="33"/>
      <c r="Y1602" s="34"/>
      <c r="Z1602" s="42" t="s">
        <v>2679</v>
      </c>
      <c r="AA1602" s="20" t="s">
        <v>49</v>
      </c>
      <c r="AB1602" s="20" t="s">
        <v>49</v>
      </c>
      <c r="AC1602" s="19" t="s">
        <v>49</v>
      </c>
      <c r="AD1602" s="19" t="str">
        <f ca="1">IFERROR(DATEDIF(DadosViagem5[[#This Row],[Utimo Bip Reserva]],TODAY(),"D"),"")</f>
        <v/>
      </c>
      <c r="AE1602" s="36"/>
      <c r="AF1602" s="25"/>
      <c r="AG1602" s="36"/>
      <c r="AH1602" s="25">
        <v>45807</v>
      </c>
      <c r="AI1602" s="36" t="str">
        <f>IF(DadosViagem5[[#This Row],[Dias em manutenção ]]&lt;5,"Dentro do Prazo","Fora do Prazo")</f>
        <v>Fora do Prazo</v>
      </c>
      <c r="AJ1602" s="36" t="e">
        <v>#REF!</v>
      </c>
    </row>
    <row r="1603" spans="1:36">
      <c r="A1603" s="19" t="s">
        <v>2680</v>
      </c>
      <c r="B1603" s="20"/>
      <c r="C1603" s="19" t="s">
        <v>671</v>
      </c>
      <c r="D1603" s="19" t="s">
        <v>132</v>
      </c>
      <c r="E1603" s="19" t="s">
        <v>114</v>
      </c>
      <c r="F1603" s="19" t="s">
        <v>115</v>
      </c>
      <c r="G1603" s="19"/>
      <c r="H1603" s="20">
        <v>2022</v>
      </c>
      <c r="I1603" s="19" t="s">
        <v>2670</v>
      </c>
      <c r="J1603" s="19" t="s">
        <v>2671</v>
      </c>
      <c r="K1603" s="21" t="s">
        <v>2672</v>
      </c>
      <c r="L1603" s="22" t="s">
        <v>60</v>
      </c>
      <c r="M1603" s="23" t="s">
        <v>290</v>
      </c>
      <c r="N1603" s="36" t="s">
        <v>2673</v>
      </c>
      <c r="O1603" s="36" t="s">
        <v>2674</v>
      </c>
      <c r="P1603" s="26">
        <f ca="1">IFERROR(VLOOKUP(DadosViagem5[[#This Row],[Placa]],[1]BIP!A:E,5,FALSE),"")</f>
        <v>45976</v>
      </c>
      <c r="Q1603" s="27">
        <f ca="1">DATEDIF(DadosViagem5[[#This Row],[BIP]],TODAY(),"D")</f>
        <v>14</v>
      </c>
      <c r="R1603" s="28" t="str">
        <f>IFERROR(VLOOKUP(DadosViagem5[[#This Row],[Placa]],[1]DDS!B:C,2,FALSE),"Verificar cadastro")</f>
        <v> </v>
      </c>
      <c r="S1603" s="36" t="s">
        <v>35</v>
      </c>
      <c r="T1603" s="23"/>
      <c r="U1603" s="30"/>
      <c r="V1603" s="31"/>
      <c r="W1603" s="116" t="s">
        <v>2681</v>
      </c>
      <c r="X1603" s="33"/>
      <c r="Y1603" s="34"/>
      <c r="Z1603" s="42"/>
      <c r="AA1603" s="20" t="s">
        <v>49</v>
      </c>
      <c r="AB1603" s="20" t="s">
        <v>49</v>
      </c>
      <c r="AC1603" s="19" t="s">
        <v>49</v>
      </c>
      <c r="AD1603" s="19" t="str">
        <f ca="1">IFERROR(DATEDIF(DadosViagem5[[#This Row],[Utimo Bip Reserva]],TODAY(),"D"),"")</f>
        <v/>
      </c>
      <c r="AE1603" s="36" t="s">
        <v>49</v>
      </c>
      <c r="AF1603" s="25" t="s">
        <v>49</v>
      </c>
      <c r="AG1603" s="36"/>
      <c r="AH1603" s="25">
        <v>45807</v>
      </c>
      <c r="AI1603" s="36" t="str">
        <f>IF(DadosViagem5[[#This Row],[Dias em manutenção ]]&lt;5,"Dentro do Prazo","Fora do Prazo")</f>
        <v>Fora do Prazo</v>
      </c>
      <c r="AJ1603" s="36" t="e">
        <v>#REF!</v>
      </c>
    </row>
    <row r="1604" spans="1:36">
      <c r="A1604" s="134" t="s">
        <v>2682</v>
      </c>
      <c r="B1604" s="20"/>
      <c r="C1604" s="19" t="s">
        <v>671</v>
      </c>
      <c r="D1604" s="19" t="s">
        <v>132</v>
      </c>
      <c r="E1604" s="19" t="s">
        <v>114</v>
      </c>
      <c r="F1604" s="19" t="s">
        <v>115</v>
      </c>
      <c r="G1604" s="19"/>
      <c r="H1604" s="20">
        <v>2022</v>
      </c>
      <c r="I1604" s="19" t="s">
        <v>2670</v>
      </c>
      <c r="J1604" s="19" t="s">
        <v>2671</v>
      </c>
      <c r="K1604" s="21" t="s">
        <v>2672</v>
      </c>
      <c r="L1604" s="22" t="s">
        <v>60</v>
      </c>
      <c r="M1604" s="23" t="s">
        <v>290</v>
      </c>
      <c r="N1604" s="36" t="s">
        <v>2673</v>
      </c>
      <c r="O1604" s="36" t="s">
        <v>2674</v>
      </c>
      <c r="P1604" s="26">
        <f ca="1">IFERROR(VLOOKUP(DadosViagem5[[#This Row],[Placa]],[1]BIP!A:E,5,FALSE),"")</f>
        <v>45983</v>
      </c>
      <c r="Q1604" s="27">
        <f ca="1">DATEDIF(DadosViagem5[[#This Row],[BIP]],TODAY(),"D")</f>
        <v>7</v>
      </c>
      <c r="R1604" s="28" t="str">
        <f>IFERROR(VLOOKUP(DadosViagem5[[#This Row],[Placa]],[1]DDS!B:C,2,FALSE),"Verificar cadastro")</f>
        <v> </v>
      </c>
      <c r="S1604" s="29" t="s">
        <v>48</v>
      </c>
      <c r="T1604" s="23"/>
      <c r="U1604" s="30"/>
      <c r="V1604" s="31"/>
      <c r="W1604" s="116"/>
      <c r="X1604" s="33"/>
      <c r="Y1604" s="34"/>
      <c r="Z1604" s="42"/>
      <c r="AA1604" s="20" t="s">
        <v>49</v>
      </c>
      <c r="AB1604" s="20" t="s">
        <v>49</v>
      </c>
      <c r="AC1604" s="19" t="s">
        <v>49</v>
      </c>
      <c r="AD1604" s="19" t="str">
        <f ca="1">IFERROR(DATEDIF(DadosViagem5[[#This Row],[Utimo Bip Reserva]],TODAY(),"D"),"")</f>
        <v/>
      </c>
      <c r="AE1604" s="36" t="s">
        <v>49</v>
      </c>
      <c r="AF1604" s="25" t="s">
        <v>49</v>
      </c>
      <c r="AG1604" s="36"/>
      <c r="AH1604" s="25">
        <v>45807</v>
      </c>
      <c r="AI1604" s="36" t="str">
        <f>IF(DadosViagem5[[#This Row],[Dias em manutenção ]]&lt;5,"Dentro do Prazo","Fora do Prazo")</f>
        <v>Fora do Prazo</v>
      </c>
      <c r="AJ1604" s="36" t="e">
        <v>#REF!</v>
      </c>
    </row>
    <row r="1605" spans="1:36">
      <c r="A1605" s="19" t="s">
        <v>2683</v>
      </c>
      <c r="B1605" s="20"/>
      <c r="C1605" s="19" t="s">
        <v>671</v>
      </c>
      <c r="D1605" s="19" t="s">
        <v>132</v>
      </c>
      <c r="E1605" s="19" t="s">
        <v>114</v>
      </c>
      <c r="F1605" s="19" t="s">
        <v>115</v>
      </c>
      <c r="G1605" s="19"/>
      <c r="H1605" s="20">
        <v>2022</v>
      </c>
      <c r="I1605" s="19" t="s">
        <v>2670</v>
      </c>
      <c r="J1605" s="19" t="s">
        <v>2671</v>
      </c>
      <c r="K1605" s="21" t="s">
        <v>2672</v>
      </c>
      <c r="L1605" s="22" t="s">
        <v>60</v>
      </c>
      <c r="M1605" s="23" t="s">
        <v>290</v>
      </c>
      <c r="N1605" s="36" t="s">
        <v>2673</v>
      </c>
      <c r="O1605" s="36" t="s">
        <v>2674</v>
      </c>
      <c r="P1605" s="26">
        <f ca="1">IFERROR(VLOOKUP(DadosViagem5[[#This Row],[Placa]],[1]BIP!A:E,5,FALSE),"")</f>
        <v>45974</v>
      </c>
      <c r="Q1605" s="27">
        <f ca="1">DATEDIF(DadosViagem5[[#This Row],[BIP]],TODAY(),"D")</f>
        <v>16</v>
      </c>
      <c r="R1605" s="28" t="str">
        <f>IFERROR(VLOOKUP(DadosViagem5[[#This Row],[Placa]],[1]DDS!B:C,2,FALSE),"Verificar cadastro")</f>
        <v> </v>
      </c>
      <c r="S1605" s="36" t="s">
        <v>35</v>
      </c>
      <c r="T1605" s="23"/>
      <c r="U1605" s="30"/>
      <c r="V1605" s="31"/>
      <c r="W1605" s="32" t="s">
        <v>2684</v>
      </c>
      <c r="X1605" s="33" t="s">
        <v>65</v>
      </c>
      <c r="Y1605" s="34" t="s">
        <v>159</v>
      </c>
      <c r="Z1605" s="42" t="s">
        <v>2676</v>
      </c>
      <c r="AA1605" s="20" t="s">
        <v>49</v>
      </c>
      <c r="AB1605" s="20" t="s">
        <v>49</v>
      </c>
      <c r="AC1605" s="19" t="s">
        <v>49</v>
      </c>
      <c r="AD1605" s="19" t="str">
        <f ca="1">IFERROR(DATEDIF(DadosViagem5[[#This Row],[Utimo Bip Reserva]],TODAY(),"D"),"")</f>
        <v/>
      </c>
      <c r="AE1605" s="36" t="s">
        <v>49</v>
      </c>
      <c r="AF1605" s="25" t="s">
        <v>49</v>
      </c>
      <c r="AG1605" s="36"/>
      <c r="AH1605" s="25">
        <v>45807</v>
      </c>
      <c r="AI1605" s="36" t="str">
        <f>IF(DadosViagem5[[#This Row],[Dias em manutenção ]]&lt;5,"Dentro do Prazo","Fora do Prazo")</f>
        <v>Fora do Prazo</v>
      </c>
      <c r="AJ1605" s="36" t="e">
        <v>#REF!</v>
      </c>
    </row>
    <row r="1606" spans="1:36">
      <c r="A1606" s="19" t="s">
        <v>2685</v>
      </c>
      <c r="B1606" s="20"/>
      <c r="C1606" s="19" t="s">
        <v>74</v>
      </c>
      <c r="D1606" s="19" t="s">
        <v>52</v>
      </c>
      <c r="E1606" s="19" t="s">
        <v>75</v>
      </c>
      <c r="F1606" s="19" t="s">
        <v>76</v>
      </c>
      <c r="G1606" s="19"/>
      <c r="H1606" s="20">
        <v>2023</v>
      </c>
      <c r="I1606" s="19" t="s">
        <v>2670</v>
      </c>
      <c r="J1606" s="19" t="s">
        <v>2671</v>
      </c>
      <c r="K1606" s="21" t="s">
        <v>2672</v>
      </c>
      <c r="L1606" s="22" t="s">
        <v>60</v>
      </c>
      <c r="M1606" s="23" t="s">
        <v>77</v>
      </c>
      <c r="N1606" s="36" t="s">
        <v>2673</v>
      </c>
      <c r="O1606" s="36" t="s">
        <v>2674</v>
      </c>
      <c r="P1606" s="26">
        <f ca="1">IFERROR(VLOOKUP(DadosViagem5[[#This Row],[Placa]],[1]BIP!A:E,5,FALSE),"")</f>
        <v>45915</v>
      </c>
      <c r="Q1606" s="27">
        <f ca="1">DATEDIF(DadosViagem5[[#This Row],[BIP]],TODAY(),"D")</f>
        <v>75</v>
      </c>
      <c r="R1606" s="28" t="str">
        <f>IFERROR(VLOOKUP(DadosViagem5[[#This Row],[Placa]],[1]DDS!B:C,2,FALSE),"Verificar cadastro")</f>
        <v>Manutenção</v>
      </c>
      <c r="S1606" s="29" t="s">
        <v>173</v>
      </c>
      <c r="T1606" s="23"/>
      <c r="U1606" s="30"/>
      <c r="V1606" s="31"/>
      <c r="W1606" s="116" t="s">
        <v>2678</v>
      </c>
      <c r="X1606" s="33"/>
      <c r="Y1606" s="34"/>
      <c r="Z1606" s="42" t="s">
        <v>2679</v>
      </c>
      <c r="AA1606" s="20" t="s">
        <v>49</v>
      </c>
      <c r="AB1606" s="20" t="s">
        <v>49</v>
      </c>
      <c r="AC1606" s="19" t="s">
        <v>49</v>
      </c>
      <c r="AD1606" s="19" t="str">
        <f ca="1">IFERROR(DATEDIF(DadosViagem5[[#This Row],[Utimo Bip Reserva]],TODAY(),"D"),"")</f>
        <v/>
      </c>
      <c r="AE1606" s="36"/>
      <c r="AF1606" s="25"/>
      <c r="AG1606" s="36"/>
      <c r="AH1606" s="25">
        <v>45807</v>
      </c>
      <c r="AI1606" s="36" t="str">
        <f>IF(DadosViagem5[[#This Row],[Dias em manutenção ]]&lt;5,"Dentro do Prazo","Fora do Prazo")</f>
        <v>Fora do Prazo</v>
      </c>
      <c r="AJ1606" s="36" t="e">
        <v>#REF!</v>
      </c>
    </row>
    <row r="1607" spans="1:36">
      <c r="A1607" s="19" t="s">
        <v>2686</v>
      </c>
      <c r="B1607" s="20"/>
      <c r="C1607" s="19" t="s">
        <v>671</v>
      </c>
      <c r="D1607" s="19" t="s">
        <v>132</v>
      </c>
      <c r="E1607" s="19" t="s">
        <v>114</v>
      </c>
      <c r="F1607" s="19" t="s">
        <v>115</v>
      </c>
      <c r="G1607" s="19"/>
      <c r="H1607" s="20">
        <v>2022</v>
      </c>
      <c r="I1607" s="19" t="s">
        <v>2670</v>
      </c>
      <c r="J1607" s="19" t="s">
        <v>2671</v>
      </c>
      <c r="K1607" s="21" t="s">
        <v>2672</v>
      </c>
      <c r="L1607" s="22" t="s">
        <v>60</v>
      </c>
      <c r="M1607" s="23" t="s">
        <v>290</v>
      </c>
      <c r="N1607" s="36" t="s">
        <v>2673</v>
      </c>
      <c r="O1607" s="36" t="s">
        <v>2674</v>
      </c>
      <c r="P1607" s="26">
        <f ca="1">IFERROR(VLOOKUP(DadosViagem5[[#This Row],[Placa]],[1]BIP!A:E,5,FALSE),"")</f>
        <v>45989</v>
      </c>
      <c r="Q1607" s="27">
        <f ca="1">DATEDIF(DadosViagem5[[#This Row],[BIP]],TODAY(),"D")</f>
        <v>1</v>
      </c>
      <c r="R1607" s="28" t="str">
        <f>IFERROR(VLOOKUP(DadosViagem5[[#This Row],[Placa]],[1]DDS!B:C,2,FALSE),"Verificar cadastro")</f>
        <v>Operando</v>
      </c>
      <c r="S1607" s="36" t="s">
        <v>35</v>
      </c>
      <c r="T1607" s="23"/>
      <c r="U1607" s="30"/>
      <c r="V1607" s="31"/>
      <c r="W1607" s="32" t="s">
        <v>2687</v>
      </c>
      <c r="X1607" s="33"/>
      <c r="Y1607" s="34"/>
      <c r="Z1607" s="42"/>
      <c r="AA1607" s="20" t="s">
        <v>49</v>
      </c>
      <c r="AB1607" s="20" t="s">
        <v>49</v>
      </c>
      <c r="AC1607" s="19" t="s">
        <v>49</v>
      </c>
      <c r="AD1607" s="19" t="str">
        <f ca="1">IFERROR(DATEDIF(DadosViagem5[[#This Row],[Utimo Bip Reserva]],TODAY(),"D"),"")</f>
        <v/>
      </c>
      <c r="AE1607" s="36" t="s">
        <v>49</v>
      </c>
      <c r="AF1607" s="25" t="s">
        <v>49</v>
      </c>
      <c r="AG1607" s="36" t="s">
        <v>481</v>
      </c>
      <c r="AH1607" s="25">
        <v>45807</v>
      </c>
      <c r="AI1607" s="36" t="str">
        <f>IF(DadosViagem5[[#This Row],[Dias em manutenção ]]&lt;5,"Dentro do Prazo","Fora do Prazo")</f>
        <v>Fora do Prazo</v>
      </c>
      <c r="AJ1607" s="36" t="e">
        <v>#REF!</v>
      </c>
    </row>
    <row r="1608" spans="1:36">
      <c r="A1608" s="19" t="s">
        <v>2688</v>
      </c>
      <c r="B1608" s="20"/>
      <c r="C1608" s="19" t="s">
        <v>74</v>
      </c>
      <c r="D1608" s="19" t="s">
        <v>52</v>
      </c>
      <c r="E1608" s="19" t="s">
        <v>75</v>
      </c>
      <c r="F1608" s="19" t="s">
        <v>76</v>
      </c>
      <c r="G1608" s="19"/>
      <c r="H1608" s="20">
        <v>2023</v>
      </c>
      <c r="I1608" s="19" t="s">
        <v>2670</v>
      </c>
      <c r="J1608" s="19" t="s">
        <v>2671</v>
      </c>
      <c r="K1608" s="21" t="s">
        <v>2672</v>
      </c>
      <c r="L1608" s="22" t="s">
        <v>60</v>
      </c>
      <c r="M1608" s="23" t="s">
        <v>77</v>
      </c>
      <c r="N1608" s="36" t="s">
        <v>2673</v>
      </c>
      <c r="O1608" s="36" t="s">
        <v>2674</v>
      </c>
      <c r="P1608" s="26">
        <f ca="1">IFERROR(VLOOKUP(DadosViagem5[[#This Row],[Placa]],[1]BIP!A:E,5,FALSE),"")</f>
        <v>45943</v>
      </c>
      <c r="Q1608" s="27">
        <f ca="1">DATEDIF(DadosViagem5[[#This Row],[BIP]],TODAY(),"D")</f>
        <v>47</v>
      </c>
      <c r="R1608" s="28" t="str">
        <f>IFERROR(VLOOKUP(DadosViagem5[[#This Row],[Placa]],[1]DDS!B:C,2,FALSE),"Verificar cadastro")</f>
        <v> </v>
      </c>
      <c r="S1608" s="29" t="s">
        <v>48</v>
      </c>
      <c r="T1608" s="23"/>
      <c r="U1608" s="30"/>
      <c r="V1608" s="31"/>
      <c r="W1608" s="32" t="s">
        <v>1473</v>
      </c>
      <c r="X1608" s="33"/>
      <c r="Y1608" s="34"/>
      <c r="Z1608" s="32"/>
      <c r="AA1608" s="20" t="s">
        <v>49</v>
      </c>
      <c r="AB1608" s="20" t="s">
        <v>49</v>
      </c>
      <c r="AC1608" s="19" t="s">
        <v>49</v>
      </c>
      <c r="AD1608" s="19" t="str">
        <f ca="1">IFERROR(DATEDIF(DadosViagem5[[#This Row],[Utimo Bip Reserva]],TODAY(),"D"),"")</f>
        <v/>
      </c>
      <c r="AE1608" s="36"/>
      <c r="AF1608" s="25"/>
      <c r="AG1608" s="36"/>
      <c r="AH1608" s="25">
        <v>45807</v>
      </c>
      <c r="AI1608" s="36" t="str">
        <f>IF(DadosViagem5[[#This Row],[Dias em manutenção ]]&lt;5,"Dentro do Prazo","Fora do Prazo")</f>
        <v>Fora do Prazo</v>
      </c>
      <c r="AJ1608" s="36" t="e">
        <v>#REF!</v>
      </c>
    </row>
    <row r="1609" spans="1:36">
      <c r="A1609" s="19" t="s">
        <v>2689</v>
      </c>
      <c r="B1609" s="20"/>
      <c r="C1609" s="19" t="s">
        <v>671</v>
      </c>
      <c r="D1609" s="19" t="s">
        <v>132</v>
      </c>
      <c r="E1609" s="19" t="s">
        <v>114</v>
      </c>
      <c r="F1609" s="19" t="s">
        <v>115</v>
      </c>
      <c r="G1609" s="19"/>
      <c r="H1609" s="20">
        <v>2022</v>
      </c>
      <c r="I1609" s="19" t="s">
        <v>2670</v>
      </c>
      <c r="J1609" s="19" t="s">
        <v>2671</v>
      </c>
      <c r="K1609" s="21" t="s">
        <v>2672</v>
      </c>
      <c r="L1609" s="22" t="s">
        <v>60</v>
      </c>
      <c r="M1609" s="23" t="s">
        <v>290</v>
      </c>
      <c r="N1609" s="36" t="s">
        <v>2673</v>
      </c>
      <c r="O1609" s="36" t="s">
        <v>2674</v>
      </c>
      <c r="P1609" s="26">
        <f ca="1">IFERROR(VLOOKUP(DadosViagem5[[#This Row],[Placa]],[1]BIP!A:E,5,FALSE),"")</f>
        <v>45957</v>
      </c>
      <c r="Q1609" s="27">
        <f ca="1">DATEDIF(DadosViagem5[[#This Row],[BIP]],TODAY(),"D")</f>
        <v>33</v>
      </c>
      <c r="R1609" s="28" t="str">
        <f>IFERROR(VLOOKUP(DadosViagem5[[#This Row],[Placa]],[1]DDS!B:C,2,FALSE),"Verificar cadastro")</f>
        <v> </v>
      </c>
      <c r="S1609" s="36" t="s">
        <v>35</v>
      </c>
      <c r="T1609" s="23"/>
      <c r="U1609" s="30"/>
      <c r="V1609" s="31"/>
      <c r="W1609" s="32" t="s">
        <v>2687</v>
      </c>
      <c r="X1609" s="33"/>
      <c r="Y1609" s="34"/>
      <c r="Z1609" s="42"/>
      <c r="AA1609" s="20" t="s">
        <v>49</v>
      </c>
      <c r="AB1609" s="20" t="s">
        <v>49</v>
      </c>
      <c r="AC1609" s="19" t="s">
        <v>49</v>
      </c>
      <c r="AD1609" s="19" t="str">
        <f ca="1">IFERROR(DATEDIF(DadosViagem5[[#This Row],[Utimo Bip Reserva]],TODAY(),"D"),"")</f>
        <v/>
      </c>
      <c r="AE1609" s="36" t="s">
        <v>49</v>
      </c>
      <c r="AF1609" s="25" t="s">
        <v>49</v>
      </c>
      <c r="AG1609" s="36"/>
      <c r="AH1609" s="25">
        <v>45807</v>
      </c>
      <c r="AI1609" s="36" t="str">
        <f>IF(DadosViagem5[[#This Row],[Dias em manutenção ]]&lt;5,"Dentro do Prazo","Fora do Prazo")</f>
        <v>Fora do Prazo</v>
      </c>
      <c r="AJ1609" s="36" t="e">
        <v>#REF!</v>
      </c>
    </row>
    <row r="1610" spans="1:36">
      <c r="A1610" s="19" t="s">
        <v>2690</v>
      </c>
      <c r="B1610" s="20"/>
      <c r="C1610" s="19" t="s">
        <v>671</v>
      </c>
      <c r="D1610" s="19" t="s">
        <v>132</v>
      </c>
      <c r="E1610" s="19" t="s">
        <v>114</v>
      </c>
      <c r="F1610" s="19" t="s">
        <v>115</v>
      </c>
      <c r="G1610" s="19"/>
      <c r="H1610" s="20">
        <v>2022</v>
      </c>
      <c r="I1610" s="19" t="s">
        <v>2670</v>
      </c>
      <c r="J1610" s="19" t="s">
        <v>2671</v>
      </c>
      <c r="K1610" s="21" t="s">
        <v>2672</v>
      </c>
      <c r="L1610" s="22" t="s">
        <v>60</v>
      </c>
      <c r="M1610" s="23" t="s">
        <v>290</v>
      </c>
      <c r="N1610" s="36" t="s">
        <v>2673</v>
      </c>
      <c r="O1610" s="36" t="s">
        <v>2674</v>
      </c>
      <c r="P1610" s="26">
        <f ca="1">IFERROR(VLOOKUP(DadosViagem5[[#This Row],[Placa]],[1]BIP!A:E,5,FALSE),"")</f>
        <v>45941</v>
      </c>
      <c r="Q1610" s="27">
        <f ca="1">DATEDIF(DadosViagem5[[#This Row],[BIP]],TODAY(),"D")</f>
        <v>49</v>
      </c>
      <c r="R1610" s="28" t="str">
        <f>IFERROR(VLOOKUP(DadosViagem5[[#This Row],[Placa]],[1]DDS!B:C,2,FALSE),"Verificar cadastro")</f>
        <v> </v>
      </c>
      <c r="S1610" s="36" t="s">
        <v>35</v>
      </c>
      <c r="T1610" s="23"/>
      <c r="U1610" s="30"/>
      <c r="V1610" s="31"/>
      <c r="W1610" s="32" t="s">
        <v>2687</v>
      </c>
      <c r="X1610" s="33"/>
      <c r="Y1610" s="34"/>
      <c r="Z1610" s="32"/>
      <c r="AA1610" s="20" t="s">
        <v>49</v>
      </c>
      <c r="AB1610" s="20" t="s">
        <v>49</v>
      </c>
      <c r="AC1610" s="19" t="s">
        <v>49</v>
      </c>
      <c r="AD1610" s="19" t="str">
        <f ca="1">IFERROR(DATEDIF(DadosViagem5[[#This Row],[Utimo Bip Reserva]],TODAY(),"D"),"")</f>
        <v/>
      </c>
      <c r="AE1610" s="36" t="s">
        <v>49</v>
      </c>
      <c r="AF1610" s="25" t="s">
        <v>49</v>
      </c>
      <c r="AG1610" s="36"/>
      <c r="AH1610" s="25">
        <v>45807</v>
      </c>
      <c r="AI1610" s="36" t="str">
        <f>IF(DadosViagem5[[#This Row],[Dias em manutenção ]]&lt;5,"Dentro do Prazo","Fora do Prazo")</f>
        <v>Fora do Prazo</v>
      </c>
      <c r="AJ1610" s="36" t="e">
        <v>#REF!</v>
      </c>
    </row>
    <row r="1611" spans="1:36">
      <c r="A1611" s="19" t="s">
        <v>2691</v>
      </c>
      <c r="B1611" s="20"/>
      <c r="C1611" s="19" t="s">
        <v>671</v>
      </c>
      <c r="D1611" s="19" t="s">
        <v>132</v>
      </c>
      <c r="E1611" s="19" t="s">
        <v>114</v>
      </c>
      <c r="F1611" s="19" t="s">
        <v>115</v>
      </c>
      <c r="G1611" s="19"/>
      <c r="H1611" s="20">
        <v>2022</v>
      </c>
      <c r="I1611" s="19" t="s">
        <v>2670</v>
      </c>
      <c r="J1611" s="19" t="s">
        <v>2671</v>
      </c>
      <c r="K1611" s="21" t="s">
        <v>2672</v>
      </c>
      <c r="L1611" s="22" t="s">
        <v>60</v>
      </c>
      <c r="M1611" s="23" t="s">
        <v>290</v>
      </c>
      <c r="N1611" s="36" t="s">
        <v>2673</v>
      </c>
      <c r="O1611" s="36" t="s">
        <v>2674</v>
      </c>
      <c r="P1611" s="26">
        <f ca="1">IFERROR(VLOOKUP(DadosViagem5[[#This Row],[Placa]],[1]BIP!A:E,5,FALSE),"")</f>
        <v>45911</v>
      </c>
      <c r="Q1611" s="27">
        <f ca="1">DATEDIF(DadosViagem5[[#This Row],[BIP]],TODAY(),"D")</f>
        <v>79</v>
      </c>
      <c r="R1611" s="28" t="str">
        <f>IFERROR(VLOOKUP(DadosViagem5[[#This Row],[Placa]],[1]DDS!B:C,2,FALSE),"Verificar cadastro")</f>
        <v> </v>
      </c>
      <c r="S1611" s="36" t="s">
        <v>35</v>
      </c>
      <c r="T1611" s="23"/>
      <c r="U1611" s="30"/>
      <c r="V1611" s="31"/>
      <c r="W1611" s="32" t="s">
        <v>2692</v>
      </c>
      <c r="X1611" s="33"/>
      <c r="Y1611" s="34"/>
      <c r="Z1611" s="42"/>
      <c r="AA1611" s="20" t="s">
        <v>49</v>
      </c>
      <c r="AB1611" s="20" t="s">
        <v>49</v>
      </c>
      <c r="AC1611" s="19" t="s">
        <v>49</v>
      </c>
      <c r="AD1611" s="19" t="str">
        <f ca="1">IFERROR(DATEDIF(DadosViagem5[[#This Row],[Utimo Bip Reserva]],TODAY(),"D"),"")</f>
        <v/>
      </c>
      <c r="AE1611" s="36" t="s">
        <v>49</v>
      </c>
      <c r="AF1611" s="25" t="s">
        <v>49</v>
      </c>
      <c r="AG1611" s="36"/>
      <c r="AH1611" s="25">
        <v>45807</v>
      </c>
      <c r="AI1611" s="36" t="str">
        <f>IF(DadosViagem5[[#This Row],[Dias em manutenção ]]&lt;5,"Dentro do Prazo","Fora do Prazo")</f>
        <v>Fora do Prazo</v>
      </c>
      <c r="AJ1611" s="36" t="e">
        <v>#REF!</v>
      </c>
    </row>
    <row r="1612" spans="1:36">
      <c r="A1612" s="19" t="s">
        <v>2693</v>
      </c>
      <c r="B1612" s="20"/>
      <c r="C1612" s="19" t="s">
        <v>74</v>
      </c>
      <c r="D1612" s="19" t="s">
        <v>52</v>
      </c>
      <c r="E1612" s="19" t="s">
        <v>75</v>
      </c>
      <c r="F1612" s="19" t="s">
        <v>76</v>
      </c>
      <c r="G1612" s="19"/>
      <c r="H1612" s="20">
        <v>2023</v>
      </c>
      <c r="I1612" s="19" t="s">
        <v>2670</v>
      </c>
      <c r="J1612" s="19" t="s">
        <v>2671</v>
      </c>
      <c r="K1612" s="21" t="s">
        <v>2672</v>
      </c>
      <c r="L1612" s="22" t="s">
        <v>60</v>
      </c>
      <c r="M1612" s="23" t="s">
        <v>77</v>
      </c>
      <c r="N1612" s="36" t="s">
        <v>2673</v>
      </c>
      <c r="O1612" s="36" t="s">
        <v>2674</v>
      </c>
      <c r="P1612" s="26">
        <f ca="1">IFERROR(VLOOKUP(DadosViagem5[[#This Row],[Placa]],[1]BIP!A:E,5,FALSE),"")</f>
        <v>45989</v>
      </c>
      <c r="Q1612" s="27">
        <f ca="1">DATEDIF(DadosViagem5[[#This Row],[BIP]],TODAY(),"D")</f>
        <v>1</v>
      </c>
      <c r="R1612" s="28" t="str">
        <f>IFERROR(VLOOKUP(DadosViagem5[[#This Row],[Placa]],[1]DDS!B:C,2,FALSE),"Verificar cadastro")</f>
        <v>Operando</v>
      </c>
      <c r="S1612" s="29" t="s">
        <v>48</v>
      </c>
      <c r="T1612" s="23"/>
      <c r="U1612" s="30"/>
      <c r="V1612" s="31"/>
      <c r="W1612" s="32" t="s">
        <v>1473</v>
      </c>
      <c r="X1612" s="33"/>
      <c r="Y1612" s="34"/>
      <c r="Z1612" s="32"/>
      <c r="AA1612" s="20" t="s">
        <v>49</v>
      </c>
      <c r="AB1612" s="20" t="s">
        <v>49</v>
      </c>
      <c r="AC1612" s="19" t="s">
        <v>49</v>
      </c>
      <c r="AD1612" s="19" t="str">
        <f ca="1">IFERROR(DATEDIF(DadosViagem5[[#This Row],[Utimo Bip Reserva]],TODAY(),"D"),"")</f>
        <v/>
      </c>
      <c r="AE1612" s="36"/>
      <c r="AF1612" s="25"/>
      <c r="AG1612" s="36"/>
      <c r="AH1612" s="25">
        <v>18</v>
      </c>
      <c r="AI1612" s="36" t="str">
        <f>IF(DadosViagem5[[#This Row],[Dias em manutenção ]]&lt;5,"Dentro do Prazo","Fora do Prazo")</f>
        <v>Fora do Prazo</v>
      </c>
      <c r="AJ1612" s="36" t="e">
        <v>#REF!</v>
      </c>
    </row>
    <row r="1613" spans="1:36">
      <c r="A1613" s="19" t="s">
        <v>2694</v>
      </c>
      <c r="B1613" s="20"/>
      <c r="C1613" s="19" t="s">
        <v>671</v>
      </c>
      <c r="D1613" s="19" t="s">
        <v>132</v>
      </c>
      <c r="E1613" s="19" t="s">
        <v>114</v>
      </c>
      <c r="F1613" s="19" t="s">
        <v>115</v>
      </c>
      <c r="G1613" s="19"/>
      <c r="H1613" s="20">
        <v>2022</v>
      </c>
      <c r="I1613" s="19" t="s">
        <v>2670</v>
      </c>
      <c r="J1613" s="19" t="s">
        <v>2671</v>
      </c>
      <c r="K1613" s="21" t="s">
        <v>2672</v>
      </c>
      <c r="L1613" s="22" t="s">
        <v>60</v>
      </c>
      <c r="M1613" s="23" t="s">
        <v>290</v>
      </c>
      <c r="N1613" s="36" t="s">
        <v>2673</v>
      </c>
      <c r="O1613" s="36" t="s">
        <v>2674</v>
      </c>
      <c r="P1613" s="26">
        <f ca="1">IFERROR(VLOOKUP(DadosViagem5[[#This Row],[Placa]],[1]BIP!A:E,5,FALSE),"")</f>
        <v>45989</v>
      </c>
      <c r="Q1613" s="27">
        <f ca="1">DATEDIF(DadosViagem5[[#This Row],[BIP]],TODAY(),"D")</f>
        <v>1</v>
      </c>
      <c r="R1613" s="28" t="str">
        <f>IFERROR(VLOOKUP(DadosViagem5[[#This Row],[Placa]],[1]DDS!B:C,2,FALSE),"Verificar cadastro")</f>
        <v>Operando</v>
      </c>
      <c r="S1613" s="36" t="s">
        <v>35</v>
      </c>
      <c r="T1613" s="23"/>
      <c r="U1613" s="30"/>
      <c r="V1613" s="31"/>
      <c r="W1613" s="32" t="s">
        <v>2687</v>
      </c>
      <c r="X1613" s="33"/>
      <c r="Y1613" s="34"/>
      <c r="Z1613" s="32"/>
      <c r="AA1613" s="20" t="s">
        <v>49</v>
      </c>
      <c r="AB1613" s="20" t="s">
        <v>49</v>
      </c>
      <c r="AC1613" s="19" t="s">
        <v>49</v>
      </c>
      <c r="AD1613" s="19" t="str">
        <f ca="1">IFERROR(DATEDIF(DadosViagem5[[#This Row],[Utimo Bip Reserva]],TODAY(),"D"),"")</f>
        <v/>
      </c>
      <c r="AE1613" s="36" t="s">
        <v>49</v>
      </c>
      <c r="AF1613" s="25" t="s">
        <v>49</v>
      </c>
      <c r="AG1613" s="36"/>
      <c r="AH1613" s="25">
        <v>45807</v>
      </c>
      <c r="AI1613" s="36" t="str">
        <f>IF(DadosViagem5[[#This Row],[Dias em manutenção ]]&lt;5,"Dentro do Prazo","Fora do Prazo")</f>
        <v>Fora do Prazo</v>
      </c>
      <c r="AJ1613" s="36" t="e">
        <v>#REF!</v>
      </c>
    </row>
    <row r="1614" spans="1:36">
      <c r="A1614" s="19" t="s">
        <v>2695</v>
      </c>
      <c r="B1614" s="20"/>
      <c r="C1614" s="19" t="s">
        <v>671</v>
      </c>
      <c r="D1614" s="19" t="s">
        <v>132</v>
      </c>
      <c r="E1614" s="19" t="s">
        <v>114</v>
      </c>
      <c r="F1614" s="19" t="s">
        <v>115</v>
      </c>
      <c r="G1614" s="19"/>
      <c r="H1614" s="20">
        <v>2022</v>
      </c>
      <c r="I1614" s="19" t="s">
        <v>2670</v>
      </c>
      <c r="J1614" s="19" t="s">
        <v>2671</v>
      </c>
      <c r="K1614" s="21" t="s">
        <v>2672</v>
      </c>
      <c r="L1614" s="22" t="s">
        <v>60</v>
      </c>
      <c r="M1614" s="23" t="s">
        <v>290</v>
      </c>
      <c r="N1614" s="36" t="s">
        <v>2673</v>
      </c>
      <c r="O1614" s="36" t="s">
        <v>2674</v>
      </c>
      <c r="P1614" s="26">
        <f ca="1">IFERROR(VLOOKUP(DadosViagem5[[#This Row],[Placa]],[1]BIP!A:E,5,FALSE),"")</f>
        <v>45989</v>
      </c>
      <c r="Q1614" s="27">
        <f ca="1">DATEDIF(DadosViagem5[[#This Row],[BIP]],TODAY(),"D")</f>
        <v>1</v>
      </c>
      <c r="R1614" s="28" t="str">
        <f>IFERROR(VLOOKUP(DadosViagem5[[#This Row],[Placa]],[1]DDS!B:C,2,FALSE),"Verificar cadastro")</f>
        <v>Operando</v>
      </c>
      <c r="S1614" s="29" t="s">
        <v>613</v>
      </c>
      <c r="T1614" s="23"/>
      <c r="U1614" s="30"/>
      <c r="V1614" s="31"/>
      <c r="W1614" s="32"/>
      <c r="X1614" s="33"/>
      <c r="Y1614" s="34"/>
      <c r="Z1614" s="32"/>
      <c r="AA1614" s="20" t="s">
        <v>49</v>
      </c>
      <c r="AB1614" s="20" t="s">
        <v>49</v>
      </c>
      <c r="AC1614" s="19" t="s">
        <v>49</v>
      </c>
      <c r="AD1614" s="19" t="str">
        <f ca="1">IFERROR(DATEDIF(DadosViagem5[[#This Row],[Utimo Bip Reserva]],TODAY(),"D"),"")</f>
        <v/>
      </c>
      <c r="AE1614" s="36" t="s">
        <v>49</v>
      </c>
      <c r="AF1614" s="25" t="s">
        <v>49</v>
      </c>
      <c r="AG1614" s="36"/>
      <c r="AH1614" s="25">
        <v>45807</v>
      </c>
      <c r="AI1614" s="36" t="str">
        <f>IF(DadosViagem5[[#This Row],[Dias em manutenção ]]&lt;5,"Dentro do Prazo","Fora do Prazo")</f>
        <v>Fora do Prazo</v>
      </c>
      <c r="AJ1614" s="36" t="e">
        <v>#REF!</v>
      </c>
    </row>
    <row r="1615" spans="1:36">
      <c r="A1615" s="19" t="s">
        <v>2696</v>
      </c>
      <c r="B1615" s="20"/>
      <c r="C1615" s="19" t="s">
        <v>74</v>
      </c>
      <c r="D1615" s="19" t="s">
        <v>52</v>
      </c>
      <c r="E1615" s="19" t="s">
        <v>75</v>
      </c>
      <c r="F1615" s="19" t="s">
        <v>76</v>
      </c>
      <c r="G1615" s="19"/>
      <c r="H1615" s="20">
        <v>2023</v>
      </c>
      <c r="I1615" s="19" t="s">
        <v>2670</v>
      </c>
      <c r="J1615" s="19" t="s">
        <v>2671</v>
      </c>
      <c r="K1615" s="21" t="s">
        <v>2672</v>
      </c>
      <c r="L1615" s="22" t="s">
        <v>60</v>
      </c>
      <c r="M1615" s="23" t="s">
        <v>77</v>
      </c>
      <c r="N1615" s="36" t="s">
        <v>2673</v>
      </c>
      <c r="O1615" s="36" t="s">
        <v>2674</v>
      </c>
      <c r="P1615" s="26">
        <f ca="1">IFERROR(VLOOKUP(DadosViagem5[[#This Row],[Placa]],[1]BIP!A:E,5,FALSE),"")</f>
        <v>45989</v>
      </c>
      <c r="Q1615" s="27">
        <f ca="1">DATEDIF(DadosViagem5[[#This Row],[BIP]],TODAY(),"D")</f>
        <v>1</v>
      </c>
      <c r="R1615" s="28" t="str">
        <f>IFERROR(VLOOKUP(DadosViagem5[[#This Row],[Placa]],[1]DDS!B:C,2,FALSE),"Verificar cadastro")</f>
        <v>Operando</v>
      </c>
      <c r="S1615" s="29" t="s">
        <v>48</v>
      </c>
      <c r="T1615" s="23"/>
      <c r="U1615" s="30"/>
      <c r="V1615" s="31"/>
      <c r="W1615" s="32" t="s">
        <v>1473</v>
      </c>
      <c r="X1615" s="33"/>
      <c r="Y1615" s="96"/>
      <c r="Z1615" s="32"/>
      <c r="AA1615" s="20" t="s">
        <v>49</v>
      </c>
      <c r="AB1615" s="20" t="s">
        <v>49</v>
      </c>
      <c r="AC1615" s="19" t="s">
        <v>49</v>
      </c>
      <c r="AD1615" s="19" t="str">
        <f ca="1">IFERROR(DATEDIF(DadosViagem5[[#This Row],[Utimo Bip Reserva]],TODAY(),"D"),"")</f>
        <v/>
      </c>
      <c r="AE1615" s="36"/>
      <c r="AF1615" s="25"/>
      <c r="AG1615" s="36"/>
      <c r="AH1615" s="25">
        <v>45807</v>
      </c>
      <c r="AI1615" s="36" t="str">
        <f>IF(DadosViagem5[[#This Row],[Dias em manutenção ]]&lt;5,"Dentro do Prazo","Fora do Prazo")</f>
        <v>Fora do Prazo</v>
      </c>
      <c r="AJ1615" s="36" t="e">
        <v>#REF!</v>
      </c>
    </row>
    <row r="1616" spans="1:36">
      <c r="A1616" s="19" t="s">
        <v>2697</v>
      </c>
      <c r="B1616" s="20"/>
      <c r="C1616" s="19" t="s">
        <v>74</v>
      </c>
      <c r="D1616" s="19" t="s">
        <v>52</v>
      </c>
      <c r="E1616" s="19" t="s">
        <v>75</v>
      </c>
      <c r="F1616" s="19" t="s">
        <v>76</v>
      </c>
      <c r="G1616" s="19"/>
      <c r="H1616" s="20">
        <v>2023</v>
      </c>
      <c r="I1616" s="19" t="s">
        <v>2670</v>
      </c>
      <c r="J1616" s="19" t="s">
        <v>2671</v>
      </c>
      <c r="K1616" s="21" t="s">
        <v>2672</v>
      </c>
      <c r="L1616" s="22" t="s">
        <v>60</v>
      </c>
      <c r="M1616" s="23" t="s">
        <v>77</v>
      </c>
      <c r="N1616" s="36" t="s">
        <v>2673</v>
      </c>
      <c r="O1616" s="36" t="s">
        <v>2674</v>
      </c>
      <c r="P1616" s="26">
        <f ca="1">IFERROR(VLOOKUP(DadosViagem5[[#This Row],[Placa]],[1]BIP!A:E,5,FALSE),"")</f>
        <v>45960</v>
      </c>
      <c r="Q1616" s="27">
        <f ca="1">DATEDIF(DadosViagem5[[#This Row],[BIP]],TODAY(),"D")</f>
        <v>30</v>
      </c>
      <c r="R1616" s="28" t="str">
        <f>IFERROR(VLOOKUP(DadosViagem5[[#This Row],[Placa]],[1]DDS!B:C,2,FALSE),"Verificar cadastro")</f>
        <v> </v>
      </c>
      <c r="S1616" s="29" t="s">
        <v>48</v>
      </c>
      <c r="T1616" s="23"/>
      <c r="U1616" s="30"/>
      <c r="V1616" s="31"/>
      <c r="W1616" s="32"/>
      <c r="X1616" s="33"/>
      <c r="Y1616" s="96"/>
      <c r="Z1616" s="43"/>
      <c r="AA1616" s="20" t="s">
        <v>49</v>
      </c>
      <c r="AB1616" s="20" t="s">
        <v>49</v>
      </c>
      <c r="AC1616" s="19" t="s">
        <v>49</v>
      </c>
      <c r="AD1616" s="19" t="str">
        <f ca="1">IFERROR(DATEDIF(DadosViagem5[[#This Row],[Utimo Bip Reserva]],TODAY(),"D"),"")</f>
        <v/>
      </c>
      <c r="AE1616" s="36"/>
      <c r="AF1616" s="25"/>
      <c r="AG1616" s="36"/>
      <c r="AH1616" s="25">
        <v>45807</v>
      </c>
      <c r="AI1616" s="36" t="str">
        <f>IF(DadosViagem5[[#This Row],[Dias em manutenção ]]&lt;5,"Dentro do Prazo","Fora do Prazo")</f>
        <v>Fora do Prazo</v>
      </c>
      <c r="AJ1616" s="36" t="e">
        <v>#REF!</v>
      </c>
    </row>
    <row r="1617" spans="1:36">
      <c r="A1617" s="19" t="s">
        <v>2698</v>
      </c>
      <c r="B1617" s="20"/>
      <c r="C1617" s="19" t="s">
        <v>74</v>
      </c>
      <c r="D1617" s="19" t="s">
        <v>52</v>
      </c>
      <c r="E1617" s="19" t="s">
        <v>75</v>
      </c>
      <c r="F1617" s="19" t="s">
        <v>76</v>
      </c>
      <c r="G1617" s="19"/>
      <c r="H1617" s="20">
        <v>2023</v>
      </c>
      <c r="I1617" s="19" t="s">
        <v>2670</v>
      </c>
      <c r="J1617" s="19" t="s">
        <v>2671</v>
      </c>
      <c r="K1617" s="21" t="s">
        <v>2672</v>
      </c>
      <c r="L1617" s="22" t="s">
        <v>60</v>
      </c>
      <c r="M1617" s="23" t="s">
        <v>77</v>
      </c>
      <c r="N1617" s="36" t="s">
        <v>2673</v>
      </c>
      <c r="O1617" s="36" t="s">
        <v>2674</v>
      </c>
      <c r="P1617" s="26">
        <f ca="1">IFERROR(VLOOKUP(DadosViagem5[[#This Row],[Placa]],[1]BIP!A:E,5,FALSE),"")</f>
        <v>45989</v>
      </c>
      <c r="Q1617" s="27">
        <f ca="1">DATEDIF(DadosViagem5[[#This Row],[BIP]],TODAY(),"D")</f>
        <v>1</v>
      </c>
      <c r="R1617" s="28" t="str">
        <f>IFERROR(VLOOKUP(DadosViagem5[[#This Row],[Placa]],[1]DDS!B:C,2,FALSE),"Verificar cadastro")</f>
        <v>Operando</v>
      </c>
      <c r="S1617" s="29" t="s">
        <v>48</v>
      </c>
      <c r="T1617" s="23"/>
      <c r="U1617" s="30"/>
      <c r="V1617" s="31"/>
      <c r="W1617" s="116"/>
      <c r="X1617" s="33"/>
      <c r="Y1617" s="34"/>
      <c r="Z1617" s="42"/>
      <c r="AA1617" s="20" t="s">
        <v>49</v>
      </c>
      <c r="AB1617" s="20" t="s">
        <v>49</v>
      </c>
      <c r="AC1617" s="19" t="s">
        <v>49</v>
      </c>
      <c r="AD1617" s="19" t="str">
        <f ca="1">IFERROR(DATEDIF(DadosViagem5[[#This Row],[Utimo Bip Reserva]],TODAY(),"D"),"")</f>
        <v/>
      </c>
      <c r="AE1617" s="36"/>
      <c r="AF1617" s="25"/>
      <c r="AG1617" s="36"/>
      <c r="AH1617" s="25">
        <v>45807</v>
      </c>
      <c r="AI1617" s="36" t="str">
        <f>IF(DadosViagem5[[#This Row],[Dias em manutenção ]]&lt;5,"Dentro do Prazo","Fora do Prazo")</f>
        <v>Fora do Prazo</v>
      </c>
      <c r="AJ1617" s="36" t="e">
        <v>#REF!</v>
      </c>
    </row>
    <row r="1618" spans="1:36">
      <c r="A1618" s="19" t="s">
        <v>2699</v>
      </c>
      <c r="B1618" s="20"/>
      <c r="C1618" s="19" t="s">
        <v>671</v>
      </c>
      <c r="D1618" s="19" t="s">
        <v>132</v>
      </c>
      <c r="E1618" s="19" t="s">
        <v>114</v>
      </c>
      <c r="F1618" s="19" t="s">
        <v>115</v>
      </c>
      <c r="G1618" s="19"/>
      <c r="H1618" s="20">
        <v>2022</v>
      </c>
      <c r="I1618" s="19" t="s">
        <v>2670</v>
      </c>
      <c r="J1618" s="19" t="s">
        <v>2671</v>
      </c>
      <c r="K1618" s="21" t="s">
        <v>2672</v>
      </c>
      <c r="L1618" s="22" t="s">
        <v>60</v>
      </c>
      <c r="M1618" s="23" t="s">
        <v>290</v>
      </c>
      <c r="N1618" s="36" t="s">
        <v>2673</v>
      </c>
      <c r="O1618" s="36" t="s">
        <v>2674</v>
      </c>
      <c r="P1618" s="26">
        <f ca="1">IFERROR(VLOOKUP(DadosViagem5[[#This Row],[Placa]],[1]BIP!A:E,5,FALSE),"")</f>
        <v>45973</v>
      </c>
      <c r="Q1618" s="27">
        <f ca="1">DATEDIF(DadosViagem5[[#This Row],[BIP]],TODAY(),"D")</f>
        <v>17</v>
      </c>
      <c r="R1618" s="28" t="str">
        <f>IFERROR(VLOOKUP(DadosViagem5[[#This Row],[Placa]],[1]DDS!B:C,2,FALSE),"Verificar cadastro")</f>
        <v> </v>
      </c>
      <c r="S1618" s="29" t="s">
        <v>48</v>
      </c>
      <c r="T1618" s="23"/>
      <c r="U1618" s="30"/>
      <c r="V1618" s="31"/>
      <c r="W1618" s="32" t="s">
        <v>1473</v>
      </c>
      <c r="X1618" s="33"/>
      <c r="Y1618" s="34"/>
      <c r="Z1618" s="32"/>
      <c r="AA1618" s="20" t="s">
        <v>49</v>
      </c>
      <c r="AB1618" s="20" t="s">
        <v>49</v>
      </c>
      <c r="AC1618" s="19" t="s">
        <v>49</v>
      </c>
      <c r="AD1618" s="19" t="str">
        <f ca="1">IFERROR(DATEDIF(DadosViagem5[[#This Row],[Utimo Bip Reserva]],TODAY(),"D"),"")</f>
        <v/>
      </c>
      <c r="AE1618" s="36" t="s">
        <v>49</v>
      </c>
      <c r="AF1618" s="25" t="s">
        <v>49</v>
      </c>
      <c r="AG1618" s="36"/>
      <c r="AH1618" s="25">
        <v>45807</v>
      </c>
      <c r="AI1618" s="36" t="str">
        <f>IF(DadosViagem5[[#This Row],[Dias em manutenção ]]&lt;5,"Dentro do Prazo","Fora do Prazo")</f>
        <v>Fora do Prazo</v>
      </c>
      <c r="AJ1618" s="36" t="e">
        <v>#REF!</v>
      </c>
    </row>
    <row r="1619" spans="1:36">
      <c r="A1619" s="19" t="s">
        <v>2700</v>
      </c>
      <c r="B1619" s="20"/>
      <c r="C1619" s="19" t="s">
        <v>671</v>
      </c>
      <c r="D1619" s="19" t="s">
        <v>132</v>
      </c>
      <c r="E1619" s="19" t="s">
        <v>894</v>
      </c>
      <c r="F1619" s="19" t="s">
        <v>115</v>
      </c>
      <c r="G1619" s="19"/>
      <c r="H1619" s="20">
        <v>2022</v>
      </c>
      <c r="I1619" s="19" t="s">
        <v>41</v>
      </c>
      <c r="J1619" s="19" t="s">
        <v>1103</v>
      </c>
      <c r="K1619" s="21" t="s">
        <v>1104</v>
      </c>
      <c r="L1619" s="22" t="s">
        <v>60</v>
      </c>
      <c r="M1619" s="23" t="s">
        <v>290</v>
      </c>
      <c r="N1619" s="25" t="s">
        <v>1105</v>
      </c>
      <c r="O1619" s="36" t="s">
        <v>1106</v>
      </c>
      <c r="P1619" s="26">
        <f ca="1">IFERROR(VLOOKUP(DadosViagem5[[#This Row],[Placa]],[1]BIP!A:E,5,FALSE),"")</f>
        <v>45888</v>
      </c>
      <c r="Q1619" s="27">
        <f ca="1">DATEDIF(DadosViagem5[[#This Row],[BIP]],TODAY(),"D")</f>
        <v>102</v>
      </c>
      <c r="R1619" s="28" t="str">
        <f>IFERROR(VLOOKUP(DadosViagem5[[#This Row],[Placa]],[1]DDS!B:C,2,FALSE),"Verificar cadastro")</f>
        <v>Verificar cadastro</v>
      </c>
      <c r="S1619" s="36" t="s">
        <v>574</v>
      </c>
      <c r="T1619" s="31"/>
      <c r="U1619" s="30"/>
      <c r="V1619" s="31"/>
      <c r="W1619" s="131" t="s">
        <v>2701</v>
      </c>
      <c r="X1619" s="33"/>
      <c r="Y1619" s="34"/>
      <c r="Z1619" s="42"/>
      <c r="AA1619" s="20" t="s">
        <v>49</v>
      </c>
      <c r="AB1619" s="20" t="s">
        <v>49</v>
      </c>
      <c r="AC1619" s="19" t="s">
        <v>49</v>
      </c>
      <c r="AD1619" s="19"/>
      <c r="AE1619" s="36" t="s">
        <v>2702</v>
      </c>
      <c r="AF1619" s="25" t="s">
        <v>49</v>
      </c>
      <c r="AG1619" s="30"/>
      <c r="AH1619" s="25">
        <v>24</v>
      </c>
      <c r="AI1619" s="36" t="str">
        <f>IF(DadosViagem5[[#This Row],[Dias em manutenção ]]&lt;5,"Dentro do Prazo","Fora do Prazo")</f>
        <v>Fora do Prazo</v>
      </c>
      <c r="AJ1619" s="36" t="e">
        <v>#REF!</v>
      </c>
    </row>
    <row r="1620" spans="1:36">
      <c r="A1620" s="19" t="s">
        <v>2703</v>
      </c>
      <c r="B1620" s="20"/>
      <c r="C1620" s="19" t="s">
        <v>671</v>
      </c>
      <c r="D1620" s="19" t="s">
        <v>132</v>
      </c>
      <c r="E1620" s="19" t="s">
        <v>894</v>
      </c>
      <c r="F1620" s="19" t="s">
        <v>115</v>
      </c>
      <c r="G1620" s="19"/>
      <c r="H1620" s="20">
        <v>2022</v>
      </c>
      <c r="I1620" s="19" t="s">
        <v>41</v>
      </c>
      <c r="J1620" s="19" t="s">
        <v>1103</v>
      </c>
      <c r="K1620" s="21" t="s">
        <v>1104</v>
      </c>
      <c r="L1620" s="22" t="s">
        <v>60</v>
      </c>
      <c r="M1620" s="23" t="s">
        <v>290</v>
      </c>
      <c r="N1620" s="25" t="s">
        <v>1105</v>
      </c>
      <c r="O1620" s="36" t="s">
        <v>1106</v>
      </c>
      <c r="P1620" s="26">
        <f ca="1">IFERROR(VLOOKUP(DadosViagem5[[#This Row],[Placa]],[1]BIP!A:E,5,FALSE),"")</f>
        <v>45794</v>
      </c>
      <c r="Q1620" s="27">
        <f ca="1">DATEDIF(DadosViagem5[[#This Row],[BIP]],TODAY(),"D")</f>
        <v>196</v>
      </c>
      <c r="R1620" s="28" t="str">
        <f>IFERROR(VLOOKUP(DadosViagem5[[#This Row],[Placa]],[1]DDS!B:C,2,FALSE),"Verificar cadastro")</f>
        <v>Verificar cadastro</v>
      </c>
      <c r="S1620" s="36" t="s">
        <v>574</v>
      </c>
      <c r="T1620" s="23"/>
      <c r="U1620" s="30"/>
      <c r="V1620" s="31"/>
      <c r="W1620" s="32" t="s">
        <v>2704</v>
      </c>
      <c r="X1620" s="33"/>
      <c r="Y1620" s="34"/>
      <c r="Z1620" s="33"/>
      <c r="AA1620" s="20" t="s">
        <v>49</v>
      </c>
      <c r="AB1620" s="20" t="s">
        <v>49</v>
      </c>
      <c r="AC1620" s="19" t="s">
        <v>49</v>
      </c>
      <c r="AD1620" s="19" t="str">
        <f ca="1">IFERROR(DATEDIF(DadosViagem5[[#This Row],[Utimo Bip Reserva]],TODAY(),"D"),"")</f>
        <v/>
      </c>
      <c r="AE1620" s="36" t="s">
        <v>2702</v>
      </c>
      <c r="AF1620" s="25" t="s">
        <v>49</v>
      </c>
      <c r="AG1620" s="30" t="s">
        <v>153</v>
      </c>
      <c r="AH1620" s="25">
        <v>11</v>
      </c>
      <c r="AI1620" s="36" t="str">
        <f>IF(DadosViagem5[[#This Row],[Dias em manutenção ]]&lt;5,"Dentro do Prazo","Fora do Prazo")</f>
        <v>Fora do Prazo</v>
      </c>
      <c r="AJ1620" s="36" t="e">
        <v>#REF!</v>
      </c>
    </row>
    <row r="1621" spans="1:36">
      <c r="A1621" s="19" t="s">
        <v>2705</v>
      </c>
      <c r="B1621" s="146"/>
      <c r="C1621" s="19" t="s">
        <v>131</v>
      </c>
      <c r="D1621" s="19" t="s">
        <v>132</v>
      </c>
      <c r="E1621" s="19" t="s">
        <v>114</v>
      </c>
      <c r="F1621" s="19" t="s">
        <v>115</v>
      </c>
      <c r="G1621" s="19"/>
      <c r="H1621" s="20">
        <v>2022</v>
      </c>
      <c r="I1621" s="19" t="s">
        <v>41</v>
      </c>
      <c r="J1621" s="19" t="s">
        <v>1103</v>
      </c>
      <c r="K1621" s="21" t="s">
        <v>1104</v>
      </c>
      <c r="L1621" s="22" t="s">
        <v>60</v>
      </c>
      <c r="M1621" s="23" t="s">
        <v>1056</v>
      </c>
      <c r="N1621" s="25" t="s">
        <v>1105</v>
      </c>
      <c r="O1621" s="36" t="s">
        <v>1106</v>
      </c>
      <c r="P1621" s="26">
        <f ca="1">IFERROR(VLOOKUP(DadosViagem5[[#This Row],[Placa]],[1]BIP!A:E,5,FALSE),"")</f>
        <v>45830</v>
      </c>
      <c r="Q1621" s="27">
        <f ca="1">DATEDIF(DadosViagem5[[#This Row],[BIP]],TODAY(),"D")</f>
        <v>160</v>
      </c>
      <c r="R1621" s="28" t="str">
        <f>IFERROR(VLOOKUP(DadosViagem5[[#This Row],[Placa]],[1]DDS!B:C,2,FALSE),"Verificar cadastro")</f>
        <v>Verificar cadastro</v>
      </c>
      <c r="S1621" s="36" t="s">
        <v>574</v>
      </c>
      <c r="T1621" s="23"/>
      <c r="U1621" s="30"/>
      <c r="V1621" s="31"/>
      <c r="W1621" s="32" t="s">
        <v>2706</v>
      </c>
      <c r="X1621" s="33"/>
      <c r="Y1621" s="34"/>
      <c r="Z1621" s="42"/>
      <c r="AA1621" s="20" t="s">
        <v>49</v>
      </c>
      <c r="AB1621" s="20" t="s">
        <v>49</v>
      </c>
      <c r="AC1621" s="19" t="s">
        <v>49</v>
      </c>
      <c r="AD1621" s="19" t="str">
        <f ca="1">IFERROR(DATEDIF(DadosViagem5[[#This Row],[Utimo Bip Reserva]],TODAY(),"D"),"")</f>
        <v/>
      </c>
      <c r="AE1621" s="36" t="s">
        <v>2707</v>
      </c>
      <c r="AF1621" s="25" t="s">
        <v>49</v>
      </c>
      <c r="AG1621" s="36" t="s">
        <v>91</v>
      </c>
      <c r="AH1621" s="25">
        <v>45807</v>
      </c>
      <c r="AI1621" s="36" t="str">
        <f>IF(DadosViagem5[[#This Row],[Dias em manutenção ]]&lt;5,"Dentro do Prazo","Fora do Prazo")</f>
        <v>Fora do Prazo</v>
      </c>
      <c r="AJ1621" s="36" t="e">
        <v>#REF!</v>
      </c>
    </row>
    <row r="1622" spans="1:36">
      <c r="A1622" s="19" t="s">
        <v>2708</v>
      </c>
      <c r="B1622" s="20"/>
      <c r="C1622" s="19" t="s">
        <v>131</v>
      </c>
      <c r="D1622" s="19" t="s">
        <v>132</v>
      </c>
      <c r="E1622" s="19" t="s">
        <v>894</v>
      </c>
      <c r="F1622" s="19" t="s">
        <v>115</v>
      </c>
      <c r="G1622" s="19"/>
      <c r="H1622" s="20">
        <v>2022</v>
      </c>
      <c r="I1622" s="19" t="s">
        <v>41</v>
      </c>
      <c r="J1622" s="19" t="s">
        <v>1103</v>
      </c>
      <c r="K1622" s="21" t="s">
        <v>1104</v>
      </c>
      <c r="L1622" s="22" t="s">
        <v>60</v>
      </c>
      <c r="M1622" s="23" t="s">
        <v>290</v>
      </c>
      <c r="N1622" s="25" t="s">
        <v>1105</v>
      </c>
      <c r="O1622" s="36" t="s">
        <v>1106</v>
      </c>
      <c r="P1622" s="26">
        <f ca="1">IFERROR(VLOOKUP(DadosViagem5[[#This Row],[Placa]],[1]BIP!A:E,5,FALSE),"")</f>
        <v>45793</v>
      </c>
      <c r="Q1622" s="27">
        <f ca="1">DATEDIF(DadosViagem5[[#This Row],[BIP]],TODAY(),"D")</f>
        <v>197</v>
      </c>
      <c r="R1622" s="28" t="str">
        <f>IFERROR(VLOOKUP(DadosViagem5[[#This Row],[Placa]],[1]DDS!B:C,2,FALSE),"Verificar cadastro")</f>
        <v>Verificar cadastro</v>
      </c>
      <c r="S1622" s="36" t="s">
        <v>574</v>
      </c>
      <c r="T1622" s="23"/>
      <c r="U1622" s="30"/>
      <c r="V1622" s="31"/>
      <c r="W1622" s="32" t="s">
        <v>2709</v>
      </c>
      <c r="X1622" s="33"/>
      <c r="Y1622" s="34"/>
      <c r="Z1622" s="42"/>
      <c r="AA1622" s="20" t="s">
        <v>49</v>
      </c>
      <c r="AB1622" s="20" t="s">
        <v>49</v>
      </c>
      <c r="AC1622" s="19" t="s">
        <v>49</v>
      </c>
      <c r="AD1622" s="19" t="str">
        <f ca="1">IFERROR(DATEDIF(DadosViagem5[[#This Row],[Utimo Bip Reserva]],TODAY(),"D"),"")</f>
        <v/>
      </c>
      <c r="AE1622" s="36" t="s">
        <v>2702</v>
      </c>
      <c r="AF1622" s="25" t="s">
        <v>49</v>
      </c>
      <c r="AG1622" s="36"/>
      <c r="AH1622" s="25">
        <v>14</v>
      </c>
      <c r="AI1622" s="36" t="str">
        <f>IF(DadosViagem5[[#This Row],[Dias em manutenção ]]&lt;5,"Dentro do Prazo","Fora do Prazo")</f>
        <v>Fora do Prazo</v>
      </c>
      <c r="AJ1622" s="36" t="e">
        <v>#REF!</v>
      </c>
    </row>
    <row r="1623" spans="1:36">
      <c r="A1623" s="19" t="s">
        <v>2710</v>
      </c>
      <c r="B1623" s="20">
        <v>524</v>
      </c>
      <c r="C1623" s="19" t="s">
        <v>74</v>
      </c>
      <c r="D1623" s="19" t="s">
        <v>52</v>
      </c>
      <c r="E1623" s="19" t="s">
        <v>75</v>
      </c>
      <c r="F1623" s="19" t="s">
        <v>115</v>
      </c>
      <c r="G1623" s="19"/>
      <c r="H1623" s="20">
        <v>2024</v>
      </c>
      <c r="I1623" s="19" t="s">
        <v>41</v>
      </c>
      <c r="J1623" s="19" t="s">
        <v>1103</v>
      </c>
      <c r="K1623" s="21" t="s">
        <v>1104</v>
      </c>
      <c r="L1623" s="22" t="s">
        <v>60</v>
      </c>
      <c r="M1623" s="23" t="s">
        <v>77</v>
      </c>
      <c r="N1623" s="25" t="s">
        <v>1105</v>
      </c>
      <c r="O1623" s="36" t="s">
        <v>1106</v>
      </c>
      <c r="P1623" s="26">
        <f ca="1">IFERROR(VLOOKUP(DadosViagem5[[#This Row],[Placa]],[1]BIP!A:E,5,FALSE),"")</f>
        <v>45989</v>
      </c>
      <c r="Q1623" s="27">
        <f ca="1">DATEDIF(DadosViagem5[[#This Row],[BIP]],TODAY(),"D")</f>
        <v>1</v>
      </c>
      <c r="R1623" s="28" t="str">
        <f>IFERROR(VLOOKUP(DadosViagem5[[#This Row],[Placa]],[1]DDS!B:C,2,FALSE),"Verificar cadastro")</f>
        <v>Operando</v>
      </c>
      <c r="S1623" s="29" t="s">
        <v>48</v>
      </c>
      <c r="T1623" s="23"/>
      <c r="U1623" s="30"/>
      <c r="V1623" s="31"/>
      <c r="W1623" s="32"/>
      <c r="X1623" s="33"/>
      <c r="Y1623" s="34"/>
      <c r="Z1623" s="42"/>
      <c r="AA1623" s="20" t="s">
        <v>49</v>
      </c>
      <c r="AB1623" s="20" t="s">
        <v>49</v>
      </c>
      <c r="AC1623" s="20" t="s">
        <v>49</v>
      </c>
      <c r="AD1623" s="20" t="s">
        <v>49</v>
      </c>
      <c r="AE1623" s="16" t="s">
        <v>49</v>
      </c>
      <c r="AF1623" s="25" t="s">
        <v>49</v>
      </c>
      <c r="AG1623" s="36" t="s">
        <v>540</v>
      </c>
      <c r="AH1623" s="25">
        <v>45807</v>
      </c>
      <c r="AI1623" s="36" t="str">
        <f>IF(DadosViagem5[[#This Row],[Dias em manutenção ]]&lt;5,"Dentro do Prazo","Fora do Prazo")</f>
        <v>Fora do Prazo</v>
      </c>
      <c r="AJ1623" s="36" t="e">
        <v>#REF!</v>
      </c>
    </row>
    <row r="1624" spans="1:36">
      <c r="A1624" s="19" t="s">
        <v>2711</v>
      </c>
      <c r="B1624" s="20">
        <v>586</v>
      </c>
      <c r="C1624" s="19" t="s">
        <v>74</v>
      </c>
      <c r="D1624" s="19" t="s">
        <v>52</v>
      </c>
      <c r="E1624" s="19" t="s">
        <v>75</v>
      </c>
      <c r="F1624" s="19" t="s">
        <v>76</v>
      </c>
      <c r="G1624" s="19"/>
      <c r="H1624" s="20">
        <v>2023</v>
      </c>
      <c r="I1624" s="19" t="s">
        <v>41</v>
      </c>
      <c r="J1624" s="19" t="s">
        <v>1103</v>
      </c>
      <c r="K1624" s="21" t="s">
        <v>1104</v>
      </c>
      <c r="L1624" s="22" t="s">
        <v>60</v>
      </c>
      <c r="M1624" s="23" t="s">
        <v>77</v>
      </c>
      <c r="N1624" s="25" t="s">
        <v>1105</v>
      </c>
      <c r="O1624" s="36" t="s">
        <v>1106</v>
      </c>
      <c r="P1624" s="26">
        <f ca="1">IFERROR(VLOOKUP(DadosViagem5[[#This Row],[Placa]],[1]BIP!A:E,5,FALSE),"")</f>
        <v>45989</v>
      </c>
      <c r="Q1624" s="27">
        <f ca="1">DATEDIF(DadosViagem5[[#This Row],[BIP]],TODAY(),"D")</f>
        <v>1</v>
      </c>
      <c r="R1624" s="28" t="str">
        <f>IFERROR(VLOOKUP(DadosViagem5[[#This Row],[Placa]],[1]DDS!B:C,2,FALSE),"Verificar cadastro")</f>
        <v>Operando</v>
      </c>
      <c r="S1624" s="29" t="s">
        <v>48</v>
      </c>
      <c r="T1624" s="23"/>
      <c r="U1624" s="30"/>
      <c r="V1624" s="31"/>
      <c r="W1624" s="116"/>
      <c r="X1624" s="33"/>
      <c r="Y1624" s="34"/>
      <c r="Z1624" s="42"/>
      <c r="AA1624" s="20" t="s">
        <v>49</v>
      </c>
      <c r="AB1624" s="20" t="s">
        <v>49</v>
      </c>
      <c r="AC1624" s="19" t="s">
        <v>49</v>
      </c>
      <c r="AD1624" s="19" t="str">
        <f ca="1">IFERROR(DATEDIF(DadosViagem5[[#This Row],[Utimo Bip Reserva]],TODAY(),"D"),"")</f>
        <v/>
      </c>
      <c r="AE1624" s="25" t="s">
        <v>49</v>
      </c>
      <c r="AF1624" s="25" t="s">
        <v>49</v>
      </c>
      <c r="AG1624" s="36"/>
      <c r="AH1624" s="25">
        <v>32</v>
      </c>
      <c r="AI1624" s="36" t="str">
        <f>IF(DadosViagem5[[#This Row],[Dias em manutenção ]]&lt;5,"Dentro do Prazo","Fora do Prazo")</f>
        <v>Fora do Prazo</v>
      </c>
      <c r="AJ1624" s="36" t="e">
        <v>#REF!</v>
      </c>
    </row>
    <row r="1625" spans="1:36">
      <c r="A1625" s="125" t="s">
        <v>2712</v>
      </c>
      <c r="B1625" s="20"/>
      <c r="C1625" s="19" t="s">
        <v>74</v>
      </c>
      <c r="D1625" s="19" t="s">
        <v>52</v>
      </c>
      <c r="E1625" s="19" t="s">
        <v>75</v>
      </c>
      <c r="F1625" s="19" t="s">
        <v>76</v>
      </c>
      <c r="G1625" s="19"/>
      <c r="H1625" s="20">
        <v>2024</v>
      </c>
      <c r="I1625" s="19" t="s">
        <v>41</v>
      </c>
      <c r="J1625" s="19" t="s">
        <v>1103</v>
      </c>
      <c r="K1625" s="90" t="s">
        <v>1104</v>
      </c>
      <c r="L1625" s="22" t="s">
        <v>60</v>
      </c>
      <c r="M1625" s="23" t="s">
        <v>77</v>
      </c>
      <c r="N1625" s="25" t="s">
        <v>1105</v>
      </c>
      <c r="O1625" s="36" t="s">
        <v>1106</v>
      </c>
      <c r="P1625" s="26" t="str">
        <f>IFERROR(VLOOKUP(DadosViagem5[[#This Row],[Placa]],[1]BIP!A:E,5,FALSE),"")</f>
        <v/>
      </c>
      <c r="Q1625" s="27" t="e">
        <f ca="1">DATEDIF(DadosViagem5[[#This Row],[BIP]],TODAY(),"D")</f>
        <v>#VALUE!</v>
      </c>
      <c r="R1625" s="28" t="str">
        <f>IFERROR(VLOOKUP(DadosViagem5[[#This Row],[Placa]],[1]DDS!B:C,2,FALSE),"Verificar cadastro")</f>
        <v>Operando</v>
      </c>
      <c r="S1625" s="29" t="s">
        <v>48</v>
      </c>
      <c r="T1625" s="23"/>
      <c r="U1625" s="30"/>
      <c r="V1625" s="31"/>
      <c r="W1625" s="32" t="s">
        <v>2713</v>
      </c>
      <c r="X1625" s="33"/>
      <c r="Y1625" s="34"/>
      <c r="Z1625" s="42"/>
      <c r="AA1625" s="20" t="s">
        <v>49</v>
      </c>
      <c r="AB1625" s="20" t="s">
        <v>49</v>
      </c>
      <c r="AC1625" s="20" t="s">
        <v>49</v>
      </c>
      <c r="AD1625" s="20" t="s">
        <v>49</v>
      </c>
      <c r="AE1625" s="36"/>
      <c r="AF1625" s="25"/>
      <c r="AG1625" s="36"/>
      <c r="AH1625" s="25">
        <v>45807</v>
      </c>
      <c r="AI1625" s="36" t="str">
        <f>IF(DadosViagem5[[#This Row],[Dias em manutenção ]]&lt;5,"Dentro do Prazo","Fora do Prazo")</f>
        <v>Fora do Prazo</v>
      </c>
      <c r="AJ1625" s="36" t="e">
        <v>#REF!</v>
      </c>
    </row>
    <row r="1626" spans="1:36">
      <c r="A1626" s="19" t="s">
        <v>2714</v>
      </c>
      <c r="B1626" s="20"/>
      <c r="C1626" s="19" t="s">
        <v>131</v>
      </c>
      <c r="D1626" s="19" t="s">
        <v>132</v>
      </c>
      <c r="E1626" s="19" t="s">
        <v>894</v>
      </c>
      <c r="F1626" s="19" t="s">
        <v>115</v>
      </c>
      <c r="G1626" s="19"/>
      <c r="H1626" s="20">
        <v>2022</v>
      </c>
      <c r="I1626" s="19" t="s">
        <v>41</v>
      </c>
      <c r="J1626" s="19" t="s">
        <v>1103</v>
      </c>
      <c r="K1626" s="21" t="s">
        <v>1104</v>
      </c>
      <c r="L1626" s="22" t="s">
        <v>60</v>
      </c>
      <c r="M1626" s="23" t="s">
        <v>290</v>
      </c>
      <c r="N1626" s="25" t="s">
        <v>1105</v>
      </c>
      <c r="O1626" s="36" t="s">
        <v>1106</v>
      </c>
      <c r="P1626" s="26">
        <f ca="1">IFERROR(VLOOKUP(DadosViagem5[[#This Row],[Placa]],[1]BIP!A:E,5,FALSE),"")</f>
        <v>45793</v>
      </c>
      <c r="Q1626" s="27">
        <f ca="1">DATEDIF(DadosViagem5[[#This Row],[BIP]],TODAY(),"D")</f>
        <v>197</v>
      </c>
      <c r="R1626" s="28" t="str">
        <f>IFERROR(VLOOKUP(DadosViagem5[[#This Row],[Placa]],[1]DDS!B:C,2,FALSE),"Verificar cadastro")</f>
        <v>Verificar cadastro</v>
      </c>
      <c r="S1626" s="36" t="s">
        <v>35</v>
      </c>
      <c r="T1626" s="23"/>
      <c r="U1626" s="30"/>
      <c r="V1626" s="31"/>
      <c r="W1626" s="116" t="s">
        <v>2715</v>
      </c>
      <c r="X1626" s="33" t="s">
        <v>65</v>
      </c>
      <c r="Y1626" s="34" t="s">
        <v>159</v>
      </c>
      <c r="Z1626" s="42" t="s">
        <v>2716</v>
      </c>
      <c r="AA1626" s="20" t="s">
        <v>49</v>
      </c>
      <c r="AB1626" s="20" t="s">
        <v>49</v>
      </c>
      <c r="AC1626" s="19" t="s">
        <v>49</v>
      </c>
      <c r="AD1626" s="19" t="str">
        <f ca="1">IFERROR(DATEDIF(DadosViagem5[[#This Row],[Utimo Bip Reserva]],TODAY(),"D"),"")</f>
        <v/>
      </c>
      <c r="AE1626" s="36" t="s">
        <v>2702</v>
      </c>
      <c r="AF1626" s="25" t="s">
        <v>49</v>
      </c>
      <c r="AG1626" s="30" t="s">
        <v>153</v>
      </c>
      <c r="AH1626" s="25">
        <v>11</v>
      </c>
      <c r="AI1626" s="36" t="str">
        <f>IF(DadosViagem5[[#This Row],[Dias em manutenção ]]&lt;5,"Dentro do Prazo","Fora do Prazo")</f>
        <v>Fora do Prazo</v>
      </c>
      <c r="AJ1626" s="36" t="e">
        <v>#REF!</v>
      </c>
    </row>
    <row r="1627" spans="1:36">
      <c r="A1627" s="19" t="s">
        <v>2717</v>
      </c>
      <c r="B1627" s="20"/>
      <c r="C1627" s="19" t="s">
        <v>131</v>
      </c>
      <c r="D1627" s="19" t="s">
        <v>132</v>
      </c>
      <c r="E1627" s="19" t="s">
        <v>114</v>
      </c>
      <c r="F1627" s="19" t="s">
        <v>115</v>
      </c>
      <c r="G1627" s="19"/>
      <c r="H1627" s="20">
        <v>2022</v>
      </c>
      <c r="I1627" s="19" t="s">
        <v>41</v>
      </c>
      <c r="J1627" s="19" t="s">
        <v>1103</v>
      </c>
      <c r="K1627" s="21" t="s">
        <v>1104</v>
      </c>
      <c r="L1627" s="22" t="s">
        <v>60</v>
      </c>
      <c r="M1627" s="23" t="s">
        <v>290</v>
      </c>
      <c r="N1627" s="25" t="s">
        <v>1105</v>
      </c>
      <c r="O1627" s="36" t="s">
        <v>1106</v>
      </c>
      <c r="P1627" s="26">
        <f ca="1">IFERROR(VLOOKUP(DadosViagem5[[#This Row],[Placa]],[1]BIP!A:E,5,FALSE),"")</f>
        <v>45979</v>
      </c>
      <c r="Q1627" s="27">
        <f ca="1">DATEDIF(DadosViagem5[[#This Row],[BIP]],TODAY(),"D")</f>
        <v>11</v>
      </c>
      <c r="R1627" s="28" t="str">
        <f>IFERROR(VLOOKUP(DadosViagem5[[#This Row],[Placa]],[1]DDS!B:C,2,FALSE),"Verificar cadastro")</f>
        <v>Manutenção</v>
      </c>
      <c r="S1627" s="29" t="s">
        <v>48</v>
      </c>
      <c r="T1627" s="23"/>
      <c r="U1627" s="30"/>
      <c r="V1627" s="31"/>
      <c r="W1627" s="32" t="s">
        <v>2718</v>
      </c>
      <c r="X1627" s="33"/>
      <c r="Y1627" s="34"/>
      <c r="Z1627" s="42"/>
      <c r="AA1627" s="20" t="s">
        <v>49</v>
      </c>
      <c r="AB1627" s="20" t="s">
        <v>49</v>
      </c>
      <c r="AC1627" s="19" t="s">
        <v>49</v>
      </c>
      <c r="AD1627" s="19" t="str">
        <f ca="1">IFERROR(DATEDIF(DadosViagem5[[#This Row],[Utimo Bip Reserva]],TODAY(),"D"),"")</f>
        <v/>
      </c>
      <c r="AE1627" s="36" t="s">
        <v>49</v>
      </c>
      <c r="AF1627" s="25" t="s">
        <v>49</v>
      </c>
      <c r="AG1627" s="36" t="s">
        <v>481</v>
      </c>
      <c r="AH1627" s="25">
        <v>45807</v>
      </c>
      <c r="AI1627" s="36" t="str">
        <f>IF(DadosViagem5[[#This Row],[Dias em manutenção ]]&lt;5,"Dentro do Prazo","Fora do Prazo")</f>
        <v>Fora do Prazo</v>
      </c>
      <c r="AJ1627" s="36" t="e">
        <v>#REF!</v>
      </c>
    </row>
    <row r="1628" spans="1:36">
      <c r="A1628" s="172" t="s">
        <v>2719</v>
      </c>
      <c r="B1628" s="20"/>
      <c r="C1628" s="19" t="s">
        <v>131</v>
      </c>
      <c r="D1628" s="19" t="s">
        <v>132</v>
      </c>
      <c r="E1628" s="19" t="s">
        <v>114</v>
      </c>
      <c r="F1628" s="19" t="s">
        <v>115</v>
      </c>
      <c r="G1628" s="19"/>
      <c r="H1628" s="20">
        <v>2023</v>
      </c>
      <c r="I1628" s="19" t="s">
        <v>41</v>
      </c>
      <c r="J1628" s="19" t="s">
        <v>1103</v>
      </c>
      <c r="K1628" s="21" t="s">
        <v>1104</v>
      </c>
      <c r="L1628" s="22" t="s">
        <v>60</v>
      </c>
      <c r="M1628" s="23" t="s">
        <v>290</v>
      </c>
      <c r="N1628" s="25" t="s">
        <v>1105</v>
      </c>
      <c r="O1628" s="36" t="s">
        <v>1106</v>
      </c>
      <c r="P1628" s="26">
        <f ca="1">IFERROR(VLOOKUP(DadosViagem5[[#This Row],[Placa]],[1]BIP!A:E,5,FALSE),"")</f>
        <v>45923</v>
      </c>
      <c r="Q1628" s="27">
        <f ca="1">DATEDIF(DadosViagem5[[#This Row],[BIP]],TODAY(),"D")</f>
        <v>67</v>
      </c>
      <c r="R1628" s="28" t="str">
        <f>IFERROR(VLOOKUP(DadosViagem5[[#This Row],[Placa]],[1]DDS!B:C,2,FALSE),"Verificar cadastro")</f>
        <v>Verificar cadastro</v>
      </c>
      <c r="S1628" s="36" t="s">
        <v>574</v>
      </c>
      <c r="T1628" s="23"/>
      <c r="U1628" s="30"/>
      <c r="V1628" s="31"/>
      <c r="W1628" s="32" t="s">
        <v>2720</v>
      </c>
      <c r="X1628" s="33"/>
      <c r="Y1628" s="34"/>
      <c r="Z1628" s="42"/>
      <c r="AA1628" s="20" t="s">
        <v>49</v>
      </c>
      <c r="AB1628" s="20" t="s">
        <v>49</v>
      </c>
      <c r="AC1628" s="19" t="s">
        <v>49</v>
      </c>
      <c r="AD1628" s="19" t="str">
        <f ca="1">IFERROR(DATEDIF(DadosViagem5[[#This Row],[Utimo Bip Reserva]],TODAY(),"D"),"")</f>
        <v/>
      </c>
      <c r="AE1628" s="23" t="s">
        <v>49</v>
      </c>
      <c r="AF1628" s="25">
        <v>45705</v>
      </c>
      <c r="AG1628" s="36" t="s">
        <v>481</v>
      </c>
      <c r="AH1628" s="25">
        <v>45807</v>
      </c>
      <c r="AI1628" s="36" t="str">
        <f>IF(DadosViagem5[[#This Row],[Dias em manutenção ]]&lt;5,"Dentro do Prazo","Fora do Prazo")</f>
        <v>Fora do Prazo</v>
      </c>
      <c r="AJ1628" s="36" t="e">
        <v>#REF!</v>
      </c>
    </row>
    <row r="1629" spans="1:36">
      <c r="A1629" s="19" t="s">
        <v>2721</v>
      </c>
      <c r="B1629" s="20"/>
      <c r="C1629" s="19" t="s">
        <v>131</v>
      </c>
      <c r="D1629" s="19" t="s">
        <v>132</v>
      </c>
      <c r="E1629" s="19" t="s">
        <v>114</v>
      </c>
      <c r="F1629" s="19" t="s">
        <v>115</v>
      </c>
      <c r="G1629" s="19"/>
      <c r="H1629" s="20">
        <v>2022</v>
      </c>
      <c r="I1629" s="19" t="s">
        <v>41</v>
      </c>
      <c r="J1629" s="19" t="s">
        <v>1103</v>
      </c>
      <c r="K1629" s="21" t="s">
        <v>1104</v>
      </c>
      <c r="L1629" s="22" t="s">
        <v>60</v>
      </c>
      <c r="M1629" s="23" t="s">
        <v>290</v>
      </c>
      <c r="N1629" s="25" t="s">
        <v>1105</v>
      </c>
      <c r="O1629" s="36" t="s">
        <v>1106</v>
      </c>
      <c r="P1629" s="26">
        <f ca="1">IFERROR(VLOOKUP(DadosViagem5[[#This Row],[Placa]],[1]BIP!A:E,5,FALSE),"")</f>
        <v>45989</v>
      </c>
      <c r="Q1629" s="27">
        <f ca="1">DATEDIF(DadosViagem5[[#This Row],[BIP]],TODAY(),"D")</f>
        <v>1</v>
      </c>
      <c r="R1629" s="28" t="str">
        <f>IFERROR(VLOOKUP(DadosViagem5[[#This Row],[Placa]],[1]DDS!B:C,2,FALSE),"Verificar cadastro")</f>
        <v>Operando</v>
      </c>
      <c r="S1629" s="29" t="s">
        <v>48</v>
      </c>
      <c r="T1629" s="23"/>
      <c r="U1629" s="30"/>
      <c r="V1629" s="31"/>
      <c r="W1629" s="32" t="s">
        <v>2722</v>
      </c>
      <c r="X1629" s="33"/>
      <c r="Y1629" s="34"/>
      <c r="Z1629" s="32"/>
      <c r="AA1629" s="20" t="s">
        <v>49</v>
      </c>
      <c r="AB1629" s="20" t="s">
        <v>49</v>
      </c>
      <c r="AC1629" s="19" t="s">
        <v>49</v>
      </c>
      <c r="AD1629" s="19" t="str">
        <f ca="1">IFERROR(DATEDIF(DadosViagem5[[#This Row],[Utimo Bip Reserva]],TODAY(),"D"),"")</f>
        <v/>
      </c>
      <c r="AE1629" s="36"/>
      <c r="AF1629" s="25" t="s">
        <v>49</v>
      </c>
      <c r="AG1629" s="36"/>
      <c r="AH1629" s="25">
        <v>45807</v>
      </c>
      <c r="AI1629" s="36" t="str">
        <f>IF(DadosViagem5[[#This Row],[Dias em manutenção ]]&lt;5,"Dentro do Prazo","Fora do Prazo")</f>
        <v>Fora do Prazo</v>
      </c>
      <c r="AJ1629" s="36" t="e">
        <v>#REF!</v>
      </c>
    </row>
    <row r="1630" spans="1:36">
      <c r="A1630" s="19" t="s">
        <v>2723</v>
      </c>
      <c r="B1630" s="20"/>
      <c r="C1630" s="19" t="s">
        <v>671</v>
      </c>
      <c r="D1630" s="19" t="s">
        <v>132</v>
      </c>
      <c r="E1630" s="19" t="s">
        <v>894</v>
      </c>
      <c r="F1630" s="19" t="s">
        <v>115</v>
      </c>
      <c r="G1630" s="19"/>
      <c r="H1630" s="20">
        <v>2022</v>
      </c>
      <c r="I1630" s="19" t="s">
        <v>41</v>
      </c>
      <c r="J1630" s="19" t="s">
        <v>1103</v>
      </c>
      <c r="K1630" s="21" t="s">
        <v>1104</v>
      </c>
      <c r="L1630" s="22" t="s">
        <v>60</v>
      </c>
      <c r="M1630" s="23" t="s">
        <v>290</v>
      </c>
      <c r="N1630" s="25" t="s">
        <v>1105</v>
      </c>
      <c r="O1630" s="36" t="s">
        <v>1106</v>
      </c>
      <c r="P1630" s="26">
        <f ca="1">IFERROR(VLOOKUP(DadosViagem5[[#This Row],[Placa]],[1]BIP!A:E,5,FALSE),"")</f>
        <v>45909</v>
      </c>
      <c r="Q1630" s="27">
        <f ca="1">DATEDIF(DadosViagem5[[#This Row],[BIP]],TODAY(),"D")</f>
        <v>81</v>
      </c>
      <c r="R1630" s="28" t="str">
        <f>IFERROR(VLOOKUP(DadosViagem5[[#This Row],[Placa]],[1]DDS!B:C,2,FALSE),"Verificar cadastro")</f>
        <v>Verificar cadastro</v>
      </c>
      <c r="S1630" s="36" t="s">
        <v>574</v>
      </c>
      <c r="T1630" s="23"/>
      <c r="U1630" s="30"/>
      <c r="V1630" s="31"/>
      <c r="W1630" s="32" t="s">
        <v>2724</v>
      </c>
      <c r="X1630" s="33"/>
      <c r="Y1630" s="34"/>
      <c r="Z1630" s="42"/>
      <c r="AA1630" s="20" t="s">
        <v>49</v>
      </c>
      <c r="AB1630" s="20" t="s">
        <v>49</v>
      </c>
      <c r="AC1630" s="19" t="s">
        <v>49</v>
      </c>
      <c r="AD1630" s="19" t="str">
        <f ca="1">IFERROR(DATEDIF(DadosViagem5[[#This Row],[Utimo Bip Reserva]],TODAY(),"D"),"")</f>
        <v/>
      </c>
      <c r="AE1630" s="36" t="s">
        <v>2702</v>
      </c>
      <c r="AF1630" s="173" t="s">
        <v>49</v>
      </c>
      <c r="AG1630" s="23"/>
      <c r="AH1630" s="25">
        <v>3</v>
      </c>
      <c r="AI1630" s="36" t="str">
        <f>IF(DadosViagem5[[#This Row],[Dias em manutenção ]]&lt;5,"Dentro do Prazo","Fora do Prazo")</f>
        <v>Dentro do Prazo</v>
      </c>
      <c r="AJ1630" s="36" t="e">
        <v>#REF!</v>
      </c>
    </row>
    <row r="1631" spans="1:36">
      <c r="A1631" s="19" t="s">
        <v>2725</v>
      </c>
      <c r="B1631" s="20"/>
      <c r="C1631" s="19" t="s">
        <v>74</v>
      </c>
      <c r="D1631" s="19" t="s">
        <v>52</v>
      </c>
      <c r="E1631" s="19" t="s">
        <v>75</v>
      </c>
      <c r="F1631" s="19" t="s">
        <v>76</v>
      </c>
      <c r="G1631" s="19"/>
      <c r="H1631" s="20">
        <v>2023</v>
      </c>
      <c r="I1631" s="19" t="s">
        <v>41</v>
      </c>
      <c r="J1631" s="19" t="s">
        <v>1103</v>
      </c>
      <c r="K1631" s="21" t="s">
        <v>1104</v>
      </c>
      <c r="L1631" s="22" t="s">
        <v>60</v>
      </c>
      <c r="M1631" s="23" t="s">
        <v>77</v>
      </c>
      <c r="N1631" s="25" t="s">
        <v>1105</v>
      </c>
      <c r="O1631" s="36" t="s">
        <v>1106</v>
      </c>
      <c r="P1631" s="26">
        <f ca="1">IFERROR(VLOOKUP(DadosViagem5[[#This Row],[Placa]],[1]BIP!A:E,5,FALSE),"")</f>
        <v>45989</v>
      </c>
      <c r="Q1631" s="27">
        <f ca="1">DATEDIF(DadosViagem5[[#This Row],[BIP]],TODAY(),"D")</f>
        <v>1</v>
      </c>
      <c r="R1631" s="28" t="str">
        <f>IFERROR(VLOOKUP(DadosViagem5[[#This Row],[Placa]],[1]DDS!B:C,2,FALSE),"Verificar cadastro")</f>
        <v>Operando</v>
      </c>
      <c r="S1631" s="29" t="s">
        <v>48</v>
      </c>
      <c r="T1631" s="23"/>
      <c r="U1631" s="30"/>
      <c r="V1631" s="31"/>
      <c r="W1631" s="32" t="s">
        <v>2726</v>
      </c>
      <c r="X1631" s="33"/>
      <c r="Y1631" s="34"/>
      <c r="Z1631" s="42"/>
      <c r="AA1631" s="20" t="s">
        <v>49</v>
      </c>
      <c r="AB1631" s="20" t="s">
        <v>49</v>
      </c>
      <c r="AC1631" s="20" t="s">
        <v>49</v>
      </c>
      <c r="AD1631" s="20" t="s">
        <v>49</v>
      </c>
      <c r="AE1631" s="36"/>
      <c r="AF1631" s="25"/>
      <c r="AG1631" s="36"/>
      <c r="AH1631" s="25">
        <v>45807</v>
      </c>
      <c r="AI1631" s="36" t="str">
        <f>IF(DadosViagem5[[#This Row],[Dias em manutenção ]]&lt;5,"Dentro do Prazo","Fora do Prazo")</f>
        <v>Fora do Prazo</v>
      </c>
      <c r="AJ1631" s="36" t="e">
        <v>#REF!</v>
      </c>
    </row>
    <row r="1632" spans="1:36">
      <c r="A1632" s="19" t="s">
        <v>2727</v>
      </c>
      <c r="B1632" s="20"/>
      <c r="C1632" s="19" t="s">
        <v>131</v>
      </c>
      <c r="D1632" s="19" t="s">
        <v>132</v>
      </c>
      <c r="E1632" s="19" t="s">
        <v>57</v>
      </c>
      <c r="F1632" s="19" t="s">
        <v>40</v>
      </c>
      <c r="G1632" s="19"/>
      <c r="H1632" s="20">
        <v>2025</v>
      </c>
      <c r="I1632" s="19" t="s">
        <v>41</v>
      </c>
      <c r="J1632" s="19" t="s">
        <v>1103</v>
      </c>
      <c r="K1632" s="21" t="s">
        <v>1104</v>
      </c>
      <c r="L1632" s="22" t="s">
        <v>60</v>
      </c>
      <c r="M1632" s="23" t="s">
        <v>290</v>
      </c>
      <c r="N1632" s="25" t="s">
        <v>1105</v>
      </c>
      <c r="O1632" s="36" t="s">
        <v>1106</v>
      </c>
      <c r="P1632" s="26" t="str">
        <f>IFERROR(VLOOKUP(DadosViagem5[[#This Row],[Placa]],[1]BIP!A:E,5,FALSE),"")</f>
        <v/>
      </c>
      <c r="Q1632" s="27" t="e">
        <f ca="1">DATEDIF(DadosViagem5[[#This Row],[BIP]],TODAY(),"D")</f>
        <v>#VALUE!</v>
      </c>
      <c r="R1632" s="28" t="str">
        <f>IFERROR(VLOOKUP(DadosViagem5[[#This Row],[Placa]],[1]DDS!B:C,2,FALSE),"Verificar cadastro")</f>
        <v> </v>
      </c>
      <c r="S1632" s="29" t="s">
        <v>48</v>
      </c>
      <c r="T1632" s="23"/>
      <c r="U1632" s="30"/>
      <c r="V1632" s="31"/>
      <c r="W1632" s="32" t="s">
        <v>2728</v>
      </c>
      <c r="X1632" s="33"/>
      <c r="Y1632" s="34"/>
      <c r="Z1632" s="32"/>
      <c r="AA1632" s="20" t="s">
        <v>49</v>
      </c>
      <c r="AB1632" s="20" t="s">
        <v>49</v>
      </c>
      <c r="AC1632" s="19" t="s">
        <v>49</v>
      </c>
      <c r="AD1632" s="19" t="str">
        <f ca="1">IFERROR(DATEDIF(DadosViagem5[[#This Row],[Utimo Bip Reserva]],TODAY(),"D"),"")</f>
        <v/>
      </c>
      <c r="AE1632" s="25" t="s">
        <v>49</v>
      </c>
      <c r="AF1632" s="25" t="s">
        <v>49</v>
      </c>
      <c r="AG1632" s="36"/>
      <c r="AH1632" s="25">
        <v>54</v>
      </c>
      <c r="AI1632" s="36" t="str">
        <f>IF(DadosViagem5[[#This Row],[Dias em manutenção ]]&lt;5,"Dentro do Prazo","Fora do Prazo")</f>
        <v>Fora do Prazo</v>
      </c>
      <c r="AJ1632" s="36" t="e">
        <v>#REF!</v>
      </c>
    </row>
    <row r="1633" spans="1:36">
      <c r="A1633" s="19" t="s">
        <v>2729</v>
      </c>
      <c r="B1633" s="20"/>
      <c r="C1633" s="19" t="s">
        <v>671</v>
      </c>
      <c r="D1633" s="19" t="s">
        <v>132</v>
      </c>
      <c r="E1633" s="19" t="s">
        <v>894</v>
      </c>
      <c r="F1633" s="19" t="s">
        <v>115</v>
      </c>
      <c r="G1633" s="19"/>
      <c r="H1633" s="20">
        <v>2022</v>
      </c>
      <c r="I1633" s="19" t="s">
        <v>41</v>
      </c>
      <c r="J1633" s="19" t="s">
        <v>1103</v>
      </c>
      <c r="K1633" s="21" t="s">
        <v>1104</v>
      </c>
      <c r="L1633" s="22" t="s">
        <v>60</v>
      </c>
      <c r="M1633" s="23" t="s">
        <v>290</v>
      </c>
      <c r="N1633" s="25" t="s">
        <v>1105</v>
      </c>
      <c r="O1633" s="36" t="s">
        <v>1106</v>
      </c>
      <c r="P1633" s="26">
        <f ca="1">IFERROR(VLOOKUP(DadosViagem5[[#This Row],[Placa]],[1]BIP!A:E,5,FALSE),"")</f>
        <v>45889</v>
      </c>
      <c r="Q1633" s="27">
        <f ca="1">DATEDIF(DadosViagem5[[#This Row],[BIP]],TODAY(),"D")</f>
        <v>101</v>
      </c>
      <c r="R1633" s="28" t="str">
        <f>IFERROR(VLOOKUP(DadosViagem5[[#This Row],[Placa]],[1]DDS!B:C,2,FALSE),"Verificar cadastro")</f>
        <v>Verificar cadastro</v>
      </c>
      <c r="S1633" s="36" t="s">
        <v>574</v>
      </c>
      <c r="T1633" s="23"/>
      <c r="U1633" s="30"/>
      <c r="V1633" s="31"/>
      <c r="W1633" s="32" t="s">
        <v>2730</v>
      </c>
      <c r="X1633" s="57"/>
      <c r="Y1633" s="86"/>
      <c r="Z1633" s="11"/>
      <c r="AA1633" s="20" t="s">
        <v>49</v>
      </c>
      <c r="AB1633" s="20" t="s">
        <v>49</v>
      </c>
      <c r="AC1633" s="19" t="s">
        <v>49</v>
      </c>
      <c r="AD1633" s="19" t="str">
        <f ca="1">IFERROR(DATEDIF(DadosViagem5[[#This Row],[Utimo Bip Reserva]],TODAY(),"D"),"")</f>
        <v/>
      </c>
      <c r="AE1633" s="29"/>
      <c r="AF1633" s="35"/>
      <c r="AG1633" s="36"/>
      <c r="AH1633" s="25">
        <v>45807</v>
      </c>
      <c r="AI1633" s="36" t="str">
        <f>IF(DadosViagem5[[#This Row],[Dias em manutenção ]]&lt;5,"Dentro do Prazo","Fora do Prazo")</f>
        <v>Fora do Prazo</v>
      </c>
      <c r="AJ1633" s="36" t="e">
        <v>#REF!</v>
      </c>
    </row>
    <row r="1634" spans="1:36">
      <c r="A1634" s="19" t="s">
        <v>2731</v>
      </c>
      <c r="B1634" s="20">
        <v>523</v>
      </c>
      <c r="C1634" s="19" t="s">
        <v>74</v>
      </c>
      <c r="D1634" s="19" t="s">
        <v>52</v>
      </c>
      <c r="E1634" s="19" t="s">
        <v>75</v>
      </c>
      <c r="F1634" s="19" t="s">
        <v>76</v>
      </c>
      <c r="G1634" s="19"/>
      <c r="H1634" s="20">
        <v>2024</v>
      </c>
      <c r="I1634" s="19" t="s">
        <v>41</v>
      </c>
      <c r="J1634" s="19" t="s">
        <v>1103</v>
      </c>
      <c r="K1634" s="21" t="s">
        <v>1104</v>
      </c>
      <c r="L1634" s="22" t="s">
        <v>60</v>
      </c>
      <c r="M1634" s="23" t="s">
        <v>77</v>
      </c>
      <c r="N1634" s="25" t="s">
        <v>471</v>
      </c>
      <c r="O1634" s="36" t="s">
        <v>1106</v>
      </c>
      <c r="P1634" s="26">
        <f ca="1">IFERROR(VLOOKUP(DadosViagem5[[#This Row],[Placa]],[1]BIP!A:E,5,FALSE),"")</f>
        <v>45989</v>
      </c>
      <c r="Q1634" s="27">
        <f ca="1">DATEDIF(DadosViagem5[[#This Row],[BIP]],TODAY(),"D")</f>
        <v>1</v>
      </c>
      <c r="R1634" s="28" t="str">
        <f>IFERROR(VLOOKUP(DadosViagem5[[#This Row],[Placa]],[1]DDS!B:C,2,FALSE),"Verificar cadastro")</f>
        <v>Operando</v>
      </c>
      <c r="S1634" s="29" t="s">
        <v>48</v>
      </c>
      <c r="T1634" s="23"/>
      <c r="U1634" s="30"/>
      <c r="V1634" s="31"/>
      <c r="W1634" s="32" t="s">
        <v>1473</v>
      </c>
      <c r="X1634" s="33"/>
      <c r="Y1634" s="96"/>
      <c r="Z1634" s="43"/>
      <c r="AA1634" s="20" t="s">
        <v>49</v>
      </c>
      <c r="AB1634" s="20" t="s">
        <v>49</v>
      </c>
      <c r="AC1634" s="19" t="s">
        <v>49</v>
      </c>
      <c r="AD1634" s="19" t="str">
        <f ca="1">IFERROR(DATEDIF(DadosViagem5[[#This Row],[Utimo Bip Reserva]],TODAY(),"D"),"")</f>
        <v/>
      </c>
      <c r="AE1634" s="25" t="s">
        <v>49</v>
      </c>
      <c r="AF1634" s="25" t="s">
        <v>49</v>
      </c>
      <c r="AG1634" s="36" t="s">
        <v>454</v>
      </c>
      <c r="AH1634" s="25">
        <v>45807</v>
      </c>
      <c r="AI1634" s="36" t="str">
        <f>IF(DadosViagem5[[#This Row],[Dias em manutenção ]]&lt;5,"Dentro do Prazo","Fora do Prazo")</f>
        <v>Fora do Prazo</v>
      </c>
      <c r="AJ1634" s="36" t="e">
        <v>#REF!</v>
      </c>
    </row>
    <row r="1635" spans="1:36">
      <c r="A1635" s="19" t="s">
        <v>2732</v>
      </c>
      <c r="B1635" s="20"/>
      <c r="C1635" s="19" t="s">
        <v>671</v>
      </c>
      <c r="D1635" s="19" t="s">
        <v>132</v>
      </c>
      <c r="E1635" s="19" t="s">
        <v>894</v>
      </c>
      <c r="F1635" s="19" t="s">
        <v>115</v>
      </c>
      <c r="G1635" s="19"/>
      <c r="H1635" s="20">
        <v>2022</v>
      </c>
      <c r="I1635" s="19" t="s">
        <v>41</v>
      </c>
      <c r="J1635" s="19" t="s">
        <v>1103</v>
      </c>
      <c r="K1635" s="21" t="s">
        <v>1104</v>
      </c>
      <c r="L1635" s="22" t="s">
        <v>60</v>
      </c>
      <c r="M1635" s="23" t="s">
        <v>290</v>
      </c>
      <c r="N1635" s="25" t="s">
        <v>1105</v>
      </c>
      <c r="O1635" s="36" t="s">
        <v>1106</v>
      </c>
      <c r="P1635" s="26">
        <f ca="1">IFERROR(VLOOKUP(DadosViagem5[[#This Row],[Placa]],[1]BIP!A:E,5,FALSE),"")</f>
        <v>45896</v>
      </c>
      <c r="Q1635" s="27">
        <f ca="1">DATEDIF(DadosViagem5[[#This Row],[BIP]],TODAY(),"D")</f>
        <v>94</v>
      </c>
      <c r="R1635" s="28" t="str">
        <f>IFERROR(VLOOKUP(DadosViagem5[[#This Row],[Placa]],[1]DDS!B:C,2,FALSE),"Verificar cadastro")</f>
        <v>Verificar cadastro</v>
      </c>
      <c r="S1635" s="36" t="s">
        <v>574</v>
      </c>
      <c r="T1635" s="23"/>
      <c r="U1635" s="30"/>
      <c r="V1635" s="31"/>
      <c r="W1635" s="32" t="s">
        <v>2733</v>
      </c>
      <c r="X1635" s="33"/>
      <c r="Y1635" s="34"/>
      <c r="Z1635" s="32"/>
      <c r="AA1635" s="20" t="s">
        <v>49</v>
      </c>
      <c r="AB1635" s="20" t="s">
        <v>49</v>
      </c>
      <c r="AC1635" s="19" t="s">
        <v>49</v>
      </c>
      <c r="AD1635" s="19" t="str">
        <f ca="1">IFERROR(DATEDIF(DadosViagem5[[#This Row],[Utimo Bip Reserva]],TODAY(),"D"),"")</f>
        <v/>
      </c>
      <c r="AE1635" s="25" t="s">
        <v>49</v>
      </c>
      <c r="AF1635" s="25" t="s">
        <v>49</v>
      </c>
      <c r="AG1635" s="36"/>
      <c r="AH1635" s="25">
        <v>54</v>
      </c>
      <c r="AI1635" s="36" t="str">
        <f>IF(DadosViagem5[[#This Row],[Dias em manutenção ]]&lt;5,"Dentro do Prazo","Fora do Prazo")</f>
        <v>Fora do Prazo</v>
      </c>
      <c r="AJ1635" s="36" t="e">
        <v>#REF!</v>
      </c>
    </row>
    <row r="1636" spans="1:36">
      <c r="A1636" s="19" t="s">
        <v>2734</v>
      </c>
      <c r="B1636" s="20"/>
      <c r="C1636" s="19" t="s">
        <v>671</v>
      </c>
      <c r="D1636" s="19" t="s">
        <v>132</v>
      </c>
      <c r="E1636" s="19" t="s">
        <v>894</v>
      </c>
      <c r="F1636" s="19" t="s">
        <v>115</v>
      </c>
      <c r="G1636" s="19"/>
      <c r="H1636" s="20">
        <v>2022</v>
      </c>
      <c r="I1636" s="19" t="s">
        <v>41</v>
      </c>
      <c r="J1636" s="19" t="s">
        <v>1103</v>
      </c>
      <c r="K1636" s="174" t="s">
        <v>1104</v>
      </c>
      <c r="L1636" s="22" t="s">
        <v>60</v>
      </c>
      <c r="M1636" s="23" t="s">
        <v>290</v>
      </c>
      <c r="N1636" s="25" t="s">
        <v>1105</v>
      </c>
      <c r="O1636" s="36" t="s">
        <v>1106</v>
      </c>
      <c r="P1636" s="26">
        <f ca="1">IFERROR(VLOOKUP(DadosViagem5[[#This Row],[Placa]],[1]BIP!A:E,5,FALSE),"")</f>
        <v>45905</v>
      </c>
      <c r="Q1636" s="27">
        <f ca="1">DATEDIF(DadosViagem5[[#This Row],[BIP]],TODAY(),"D")</f>
        <v>85</v>
      </c>
      <c r="R1636" s="28" t="str">
        <f>IFERROR(VLOOKUP(DadosViagem5[[#This Row],[Placa]],[1]DDS!B:C,2,FALSE),"Verificar cadastro")</f>
        <v>Verificar cadastro</v>
      </c>
      <c r="S1636" s="36" t="s">
        <v>574</v>
      </c>
      <c r="T1636" s="23"/>
      <c r="U1636" s="30"/>
      <c r="V1636" s="31"/>
      <c r="W1636" s="32" t="s">
        <v>2733</v>
      </c>
      <c r="X1636" s="33"/>
      <c r="Y1636" s="34"/>
      <c r="Z1636" s="32"/>
      <c r="AA1636" s="20" t="s">
        <v>49</v>
      </c>
      <c r="AB1636" s="20" t="s">
        <v>49</v>
      </c>
      <c r="AC1636" s="19" t="s">
        <v>49</v>
      </c>
      <c r="AD1636" s="19" t="str">
        <f ca="1">IFERROR(DATEDIF(DadosViagem5[[#This Row],[Utimo Bip Reserva]],TODAY(),"D"),"")</f>
        <v/>
      </c>
      <c r="AE1636" s="25"/>
      <c r="AF1636" s="30" t="s">
        <v>49</v>
      </c>
      <c r="AG1636" s="23"/>
      <c r="AH1636" s="25">
        <v>78</v>
      </c>
      <c r="AI1636" s="36" t="str">
        <f>IF(DadosViagem5[[#This Row],[Dias em manutenção ]]&lt;5,"Dentro do Prazo","Fora do Prazo")</f>
        <v>Fora do Prazo</v>
      </c>
      <c r="AJ1636" s="36" t="e">
        <v>#REF!</v>
      </c>
    </row>
    <row r="1637" spans="1:36">
      <c r="A1637" s="19" t="s">
        <v>2735</v>
      </c>
      <c r="B1637" s="20">
        <v>590</v>
      </c>
      <c r="C1637" s="19" t="s">
        <v>74</v>
      </c>
      <c r="D1637" s="19" t="s">
        <v>52</v>
      </c>
      <c r="E1637" s="19" t="s">
        <v>75</v>
      </c>
      <c r="F1637" s="19" t="s">
        <v>76</v>
      </c>
      <c r="G1637" s="19"/>
      <c r="H1637" s="20">
        <v>2024</v>
      </c>
      <c r="I1637" s="19" t="s">
        <v>41</v>
      </c>
      <c r="J1637" s="19" t="s">
        <v>1103</v>
      </c>
      <c r="K1637" s="21" t="s">
        <v>1104</v>
      </c>
      <c r="L1637" s="22" t="s">
        <v>60</v>
      </c>
      <c r="M1637" s="23" t="s">
        <v>77</v>
      </c>
      <c r="N1637" s="25" t="s">
        <v>1105</v>
      </c>
      <c r="O1637" s="36" t="s">
        <v>1106</v>
      </c>
      <c r="P1637" s="26">
        <f ca="1">IFERROR(VLOOKUP(DadosViagem5[[#This Row],[Placa]],[1]BIP!A:E,5,FALSE),"")</f>
        <v>45989</v>
      </c>
      <c r="Q1637" s="27">
        <f ca="1">DATEDIF(DadosViagem5[[#This Row],[BIP]],TODAY(),"D")</f>
        <v>1</v>
      </c>
      <c r="R1637" s="28" t="str">
        <f>IFERROR(VLOOKUP(DadosViagem5[[#This Row],[Placa]],[1]DDS!B:C,2,FALSE),"Verificar cadastro")</f>
        <v>Operando</v>
      </c>
      <c r="S1637" s="29" t="s">
        <v>48</v>
      </c>
      <c r="T1637" s="23"/>
      <c r="U1637" s="30"/>
      <c r="V1637" s="31"/>
      <c r="W1637" s="32" t="s">
        <v>2718</v>
      </c>
      <c r="X1637" s="33"/>
      <c r="Y1637" s="34"/>
      <c r="Z1637" s="32"/>
      <c r="AA1637" s="20" t="s">
        <v>49</v>
      </c>
      <c r="AB1637" s="20" t="s">
        <v>49</v>
      </c>
      <c r="AC1637" s="19" t="s">
        <v>49</v>
      </c>
      <c r="AD1637" s="19" t="str">
        <f ca="1">IFERROR(DATEDIF(DadosViagem5[[#This Row],[Utimo Bip Reserva]],TODAY(),"D"),"")</f>
        <v/>
      </c>
      <c r="AE1637" s="29" t="s">
        <v>49</v>
      </c>
      <c r="AF1637" s="35" t="s">
        <v>49</v>
      </c>
      <c r="AG1637" s="36"/>
      <c r="AH1637" s="25">
        <v>45807</v>
      </c>
      <c r="AI1637" s="36" t="str">
        <f>IF(DadosViagem5[[#This Row],[Dias em manutenção ]]&lt;5,"Dentro do Prazo","Fora do Prazo")</f>
        <v>Fora do Prazo</v>
      </c>
      <c r="AJ1637" s="36" t="e">
        <v>#REF!</v>
      </c>
    </row>
    <row r="1638" spans="1:36">
      <c r="A1638" s="19" t="s">
        <v>2736</v>
      </c>
      <c r="B1638" s="20"/>
      <c r="C1638" s="19" t="s">
        <v>74</v>
      </c>
      <c r="D1638" s="19" t="s">
        <v>52</v>
      </c>
      <c r="E1638" s="19" t="s">
        <v>75</v>
      </c>
      <c r="F1638" s="19" t="s">
        <v>76</v>
      </c>
      <c r="G1638" s="19"/>
      <c r="H1638" s="20">
        <v>2024</v>
      </c>
      <c r="I1638" s="19" t="s">
        <v>41</v>
      </c>
      <c r="J1638" s="19" t="s">
        <v>1103</v>
      </c>
      <c r="K1638" s="21" t="s">
        <v>1104</v>
      </c>
      <c r="L1638" s="22" t="s">
        <v>60</v>
      </c>
      <c r="M1638" s="23" t="s">
        <v>77</v>
      </c>
      <c r="N1638" s="25" t="s">
        <v>1105</v>
      </c>
      <c r="O1638" s="36" t="s">
        <v>1106</v>
      </c>
      <c r="P1638" s="26">
        <f ca="1">IFERROR(VLOOKUP(DadosViagem5[[#This Row],[Placa]],[1]BIP!A:E,5,FALSE),"")</f>
        <v>45989</v>
      </c>
      <c r="Q1638" s="27">
        <f ca="1">DATEDIF(DadosViagem5[[#This Row],[BIP]],TODAY(),"D")</f>
        <v>1</v>
      </c>
      <c r="R1638" s="28" t="str">
        <f>IFERROR(VLOOKUP(DadosViagem5[[#This Row],[Placa]],[1]DDS!B:C,2,FALSE),"Verificar cadastro")</f>
        <v>Operando</v>
      </c>
      <c r="S1638" s="29" t="s">
        <v>48</v>
      </c>
      <c r="T1638" s="23"/>
      <c r="U1638" s="30"/>
      <c r="V1638" s="31"/>
      <c r="W1638" s="32" t="s">
        <v>1473</v>
      </c>
      <c r="X1638" s="33"/>
      <c r="Y1638" s="34"/>
      <c r="Z1638" s="32"/>
      <c r="AA1638" s="20" t="s">
        <v>49</v>
      </c>
      <c r="AB1638" s="20" t="s">
        <v>49</v>
      </c>
      <c r="AC1638" s="19" t="s">
        <v>49</v>
      </c>
      <c r="AD1638" s="19" t="str">
        <f ca="1">IFERROR(DATEDIF(DadosViagem5[[#This Row],[Utimo Bip Reserva]],TODAY(),"D"),"")</f>
        <v/>
      </c>
      <c r="AE1638" s="103"/>
      <c r="AF1638" s="25"/>
      <c r="AG1638" s="36"/>
      <c r="AH1638" s="25" t="e">
        <v>#VALUE!</v>
      </c>
      <c r="AI1638" s="36" t="e">
        <f>IF(DadosViagem5[[#This Row],[Dias em manutenção ]]&lt;5,"Dentro do Prazo","Fora do Prazo")</f>
        <v>#VALUE!</v>
      </c>
      <c r="AJ1638" s="36" t="e">
        <v>#REF!</v>
      </c>
    </row>
    <row r="1639" spans="1:36">
      <c r="A1639" s="19" t="s">
        <v>2737</v>
      </c>
      <c r="B1639" s="20">
        <v>776</v>
      </c>
      <c r="C1639" s="19" t="s">
        <v>74</v>
      </c>
      <c r="D1639" s="19" t="s">
        <v>52</v>
      </c>
      <c r="E1639" s="19" t="s">
        <v>75</v>
      </c>
      <c r="F1639" s="19" t="s">
        <v>76</v>
      </c>
      <c r="G1639" s="19"/>
      <c r="H1639" s="20">
        <v>2023</v>
      </c>
      <c r="I1639" s="19" t="s">
        <v>41</v>
      </c>
      <c r="J1639" s="19" t="s">
        <v>1103</v>
      </c>
      <c r="K1639" s="21" t="s">
        <v>1104</v>
      </c>
      <c r="L1639" s="22" t="s">
        <v>60</v>
      </c>
      <c r="M1639" s="23" t="s">
        <v>77</v>
      </c>
      <c r="N1639" s="25" t="s">
        <v>1105</v>
      </c>
      <c r="O1639" s="36" t="s">
        <v>1106</v>
      </c>
      <c r="P1639" s="26" t="str">
        <f>IFERROR(VLOOKUP(DadosViagem5[[#This Row],[Placa]],[1]BIP!A:E,5,FALSE),"")</f>
        <v/>
      </c>
      <c r="Q1639" s="27" t="e">
        <f ca="1">DATEDIF(DadosViagem5[[#This Row],[BIP]],TODAY(),"D")</f>
        <v>#VALUE!</v>
      </c>
      <c r="R1639" s="28" t="str">
        <f>IFERROR(VLOOKUP(DadosViagem5[[#This Row],[Placa]],[1]DDS!B:C,2,FALSE),"Verificar cadastro")</f>
        <v>Verificar cadastro</v>
      </c>
      <c r="S1639" s="29" t="s">
        <v>48</v>
      </c>
      <c r="T1639" s="23"/>
      <c r="U1639" s="30"/>
      <c r="V1639" s="31"/>
      <c r="W1639" s="32" t="s">
        <v>2728</v>
      </c>
      <c r="X1639" s="33"/>
      <c r="Y1639" s="34"/>
      <c r="Z1639" s="32"/>
      <c r="AA1639" s="20" t="s">
        <v>49</v>
      </c>
      <c r="AB1639" s="20" t="s">
        <v>49</v>
      </c>
      <c r="AC1639" s="20" t="s">
        <v>49</v>
      </c>
      <c r="AD1639" s="20" t="s">
        <v>49</v>
      </c>
      <c r="AE1639" s="36"/>
      <c r="AF1639" s="25"/>
      <c r="AG1639" s="36"/>
      <c r="AH1639" s="25">
        <v>45807</v>
      </c>
      <c r="AI1639" s="36" t="str">
        <f>IF(DadosViagem5[[#This Row],[Dias em manutenção ]]&lt;5,"Dentro do Prazo","Fora do Prazo")</f>
        <v>Fora do Prazo</v>
      </c>
      <c r="AJ1639" s="36" t="e">
        <v>#REF!</v>
      </c>
    </row>
    <row r="1640" spans="1:36">
      <c r="A1640" s="19" t="s">
        <v>2738</v>
      </c>
      <c r="B1640" s="20"/>
      <c r="C1640" s="19" t="s">
        <v>131</v>
      </c>
      <c r="D1640" s="19" t="s">
        <v>132</v>
      </c>
      <c r="E1640" s="19" t="s">
        <v>57</v>
      </c>
      <c r="F1640" s="19" t="s">
        <v>40</v>
      </c>
      <c r="G1640" s="19"/>
      <c r="H1640" s="20">
        <v>2025</v>
      </c>
      <c r="I1640" s="19" t="s">
        <v>41</v>
      </c>
      <c r="J1640" s="19" t="s">
        <v>1103</v>
      </c>
      <c r="K1640" s="21" t="s">
        <v>1104</v>
      </c>
      <c r="L1640" s="22" t="s">
        <v>60</v>
      </c>
      <c r="M1640" s="23" t="s">
        <v>290</v>
      </c>
      <c r="N1640" s="25" t="s">
        <v>1105</v>
      </c>
      <c r="O1640" s="36" t="s">
        <v>1106</v>
      </c>
      <c r="P1640" s="26" t="str">
        <f>IFERROR(VLOOKUP(DadosViagem5[[#This Row],[Placa]],[1]BIP!A:E,5,FALSE),"")</f>
        <v/>
      </c>
      <c r="Q1640" s="27" t="e">
        <f ca="1">DATEDIF(DadosViagem5[[#This Row],[BIP]],TODAY(),"D")</f>
        <v>#VALUE!</v>
      </c>
      <c r="R1640" s="28" t="str">
        <f>IFERROR(VLOOKUP(DadosViagem5[[#This Row],[Placa]],[1]DDS!B:C,2,FALSE),"Verificar cadastro")</f>
        <v>Verificar cadastro</v>
      </c>
      <c r="S1640" s="29" t="s">
        <v>48</v>
      </c>
      <c r="T1640" s="23"/>
      <c r="U1640" s="30"/>
      <c r="V1640" s="31"/>
      <c r="W1640" s="32" t="s">
        <v>2728</v>
      </c>
      <c r="X1640" s="33"/>
      <c r="Y1640" s="34"/>
      <c r="Z1640" s="32"/>
      <c r="AA1640" s="20" t="s">
        <v>49</v>
      </c>
      <c r="AB1640" s="20" t="s">
        <v>49</v>
      </c>
      <c r="AC1640" s="19" t="s">
        <v>49</v>
      </c>
      <c r="AD1640" s="19" t="str">
        <f ca="1">IFERROR(DATEDIF(DadosViagem5[[#This Row],[Utimo Bip Reserva]],TODAY(),"D"),"")</f>
        <v/>
      </c>
      <c r="AE1640" s="25" t="s">
        <v>49</v>
      </c>
      <c r="AF1640" s="25" t="s">
        <v>49</v>
      </c>
      <c r="AG1640" s="36"/>
      <c r="AH1640" s="25">
        <v>54</v>
      </c>
      <c r="AI1640" s="36" t="str">
        <f>IF(DadosViagem5[[#This Row],[Dias em manutenção ]]&lt;5,"Dentro do Prazo","Fora do Prazo")</f>
        <v>Fora do Prazo</v>
      </c>
      <c r="AJ1640" s="36" t="e">
        <v>#REF!</v>
      </c>
    </row>
    <row r="1641" spans="1:36">
      <c r="A1641" s="19" t="s">
        <v>2739</v>
      </c>
      <c r="B1641" s="20"/>
      <c r="C1641" s="19" t="s">
        <v>131</v>
      </c>
      <c r="D1641" s="19" t="s">
        <v>132</v>
      </c>
      <c r="E1641" s="19" t="s">
        <v>57</v>
      </c>
      <c r="F1641" s="19" t="s">
        <v>40</v>
      </c>
      <c r="G1641" s="19"/>
      <c r="H1641" s="20">
        <v>2025</v>
      </c>
      <c r="I1641" s="19" t="s">
        <v>41</v>
      </c>
      <c r="J1641" s="19" t="s">
        <v>1103</v>
      </c>
      <c r="K1641" s="21" t="s">
        <v>1104</v>
      </c>
      <c r="L1641" s="22" t="s">
        <v>60</v>
      </c>
      <c r="M1641" s="23" t="s">
        <v>290</v>
      </c>
      <c r="N1641" s="25" t="s">
        <v>1105</v>
      </c>
      <c r="O1641" s="36" t="s">
        <v>1106</v>
      </c>
      <c r="P1641" s="26" t="str">
        <f>IFERROR(VLOOKUP(DadosViagem5[[#This Row],[Placa]],[1]BIP!A:E,5,FALSE),"")</f>
        <v/>
      </c>
      <c r="Q1641" s="27" t="e">
        <f ca="1">DATEDIF(DadosViagem5[[#This Row],[BIP]],TODAY(),"D")</f>
        <v>#VALUE!</v>
      </c>
      <c r="R1641" s="28" t="str">
        <f>IFERROR(VLOOKUP(DadosViagem5[[#This Row],[Placa]],[1]DDS!B:C,2,FALSE),"Verificar cadastro")</f>
        <v>Verificar cadastro</v>
      </c>
      <c r="S1641" s="29" t="s">
        <v>48</v>
      </c>
      <c r="T1641" s="23"/>
      <c r="U1641" s="30"/>
      <c r="V1641" s="31"/>
      <c r="W1641" s="32"/>
      <c r="X1641" s="33"/>
      <c r="Y1641" s="34"/>
      <c r="Z1641" s="32"/>
      <c r="AA1641" s="20" t="s">
        <v>49</v>
      </c>
      <c r="AB1641" s="20" t="s">
        <v>49</v>
      </c>
      <c r="AC1641" s="19" t="s">
        <v>49</v>
      </c>
      <c r="AD1641" s="19" t="str">
        <f ca="1">IFERROR(DATEDIF(DadosViagem5[[#This Row],[Utimo Bip Reserva]],TODAY(),"D"),"")</f>
        <v/>
      </c>
      <c r="AE1641" s="25" t="s">
        <v>49</v>
      </c>
      <c r="AF1641" s="25" t="s">
        <v>49</v>
      </c>
      <c r="AG1641" s="36"/>
      <c r="AH1641" s="25">
        <v>54</v>
      </c>
      <c r="AI1641" s="36" t="str">
        <f>IF(DadosViagem5[[#This Row],[Dias em manutenção ]]&lt;5,"Dentro do Prazo","Fora do Prazo")</f>
        <v>Fora do Prazo</v>
      </c>
      <c r="AJ1641" s="36" t="e">
        <v>#REF!</v>
      </c>
    </row>
    <row r="1642" spans="1:36">
      <c r="A1642" s="19" t="s">
        <v>2740</v>
      </c>
      <c r="B1642" s="20"/>
      <c r="C1642" s="19" t="s">
        <v>131</v>
      </c>
      <c r="D1642" s="19" t="s">
        <v>132</v>
      </c>
      <c r="E1642" s="19" t="s">
        <v>57</v>
      </c>
      <c r="F1642" s="19" t="s">
        <v>40</v>
      </c>
      <c r="G1642" s="19"/>
      <c r="H1642" s="20">
        <v>2025</v>
      </c>
      <c r="I1642" s="19" t="s">
        <v>41</v>
      </c>
      <c r="J1642" s="19" t="s">
        <v>1103</v>
      </c>
      <c r="K1642" s="21" t="s">
        <v>1104</v>
      </c>
      <c r="L1642" s="22" t="s">
        <v>60</v>
      </c>
      <c r="M1642" s="23" t="s">
        <v>290</v>
      </c>
      <c r="N1642" s="25" t="s">
        <v>1105</v>
      </c>
      <c r="O1642" s="36" t="s">
        <v>1106</v>
      </c>
      <c r="P1642" s="26" t="str">
        <f>IFERROR(VLOOKUP(DadosViagem5[[#This Row],[Placa]],[1]BIP!A:E,5,FALSE),"")</f>
        <v/>
      </c>
      <c r="Q1642" s="27" t="e">
        <f ca="1">DATEDIF(DadosViagem5[[#This Row],[BIP]],TODAY(),"D")</f>
        <v>#VALUE!</v>
      </c>
      <c r="R1642" s="28" t="str">
        <f>IFERROR(VLOOKUP(DadosViagem5[[#This Row],[Placa]],[1]DDS!B:C,2,FALSE),"Verificar cadastro")</f>
        <v>Verificar cadastro</v>
      </c>
      <c r="S1642" s="29" t="s">
        <v>48</v>
      </c>
      <c r="T1642" s="23"/>
      <c r="U1642" s="30"/>
      <c r="V1642" s="31"/>
      <c r="W1642" s="32"/>
      <c r="X1642" s="33"/>
      <c r="Y1642" s="34"/>
      <c r="Z1642" s="32"/>
      <c r="AA1642" s="20" t="s">
        <v>49</v>
      </c>
      <c r="AB1642" s="20" t="s">
        <v>49</v>
      </c>
      <c r="AC1642" s="19" t="s">
        <v>49</v>
      </c>
      <c r="AD1642" s="19" t="str">
        <f ca="1">IFERROR(DATEDIF(DadosViagem5[[#This Row],[Utimo Bip Reserva]],TODAY(),"D"),"")</f>
        <v/>
      </c>
      <c r="AE1642" s="25" t="s">
        <v>49</v>
      </c>
      <c r="AF1642" s="25" t="s">
        <v>49</v>
      </c>
      <c r="AG1642" s="36"/>
      <c r="AH1642" s="25">
        <v>54</v>
      </c>
      <c r="AI1642" s="36" t="str">
        <f>IF(DadosViagem5[[#This Row],[Dias em manutenção ]]&lt;5,"Dentro do Prazo","Fora do Prazo")</f>
        <v>Fora do Prazo</v>
      </c>
      <c r="AJ1642" s="36" t="e">
        <v>#REF!</v>
      </c>
    </row>
    <row r="1643" spans="1:36">
      <c r="A1643" s="19" t="s">
        <v>2741</v>
      </c>
      <c r="B1643" s="20"/>
      <c r="C1643" s="19" t="s">
        <v>562</v>
      </c>
      <c r="D1643" s="19" t="s">
        <v>563</v>
      </c>
      <c r="E1643" s="19" t="s">
        <v>114</v>
      </c>
      <c r="F1643" s="19" t="s">
        <v>115</v>
      </c>
      <c r="G1643" s="19"/>
      <c r="H1643" s="20">
        <v>2023</v>
      </c>
      <c r="I1643" s="19" t="s">
        <v>41</v>
      </c>
      <c r="J1643" s="19" t="s">
        <v>2742</v>
      </c>
      <c r="K1643" s="66" t="s">
        <v>2743</v>
      </c>
      <c r="L1643" s="22" t="s">
        <v>60</v>
      </c>
      <c r="M1643" s="23" t="s">
        <v>268</v>
      </c>
      <c r="N1643" s="36" t="s">
        <v>2744</v>
      </c>
      <c r="O1643" s="36" t="s">
        <v>270</v>
      </c>
      <c r="P1643" s="26">
        <f ca="1">IFERROR(VLOOKUP(DadosViagem5[[#This Row],[Placa]],[1]BIP!A:E,5,FALSE),"")</f>
        <v>45989</v>
      </c>
      <c r="Q1643" s="27">
        <f ca="1">DATEDIF(DadosViagem5[[#This Row],[BIP]],TODAY(),"D")</f>
        <v>1</v>
      </c>
      <c r="R1643" s="28" t="str">
        <f>IFERROR(VLOOKUP(DadosViagem5[[#This Row],[Placa]],[1]DDS!B:C,2,FALSE),"Verificar cadastro")</f>
        <v>Operando</v>
      </c>
      <c r="S1643" s="29" t="s">
        <v>48</v>
      </c>
      <c r="T1643" s="23"/>
      <c r="U1643" s="30"/>
      <c r="V1643" s="31"/>
      <c r="W1643" s="32" t="s">
        <v>2745</v>
      </c>
      <c r="X1643" s="33"/>
      <c r="Y1643" s="34"/>
      <c r="Z1643" s="42"/>
      <c r="AA1643" s="20" t="s">
        <v>49</v>
      </c>
      <c r="AB1643" s="20" t="s">
        <v>49</v>
      </c>
      <c r="AC1643" s="19" t="s">
        <v>49</v>
      </c>
      <c r="AD1643" s="19" t="str">
        <f ca="1">IFERROR(DATEDIF(DadosViagem5[[#This Row],[Utimo Bip Reserva]],TODAY(),"D"),"")</f>
        <v/>
      </c>
      <c r="AE1643" s="36"/>
      <c r="AF1643" s="25">
        <v>45705</v>
      </c>
      <c r="AG1643" s="36" t="s">
        <v>481</v>
      </c>
      <c r="AH1643" s="25">
        <v>113</v>
      </c>
      <c r="AI1643" s="36" t="str">
        <f>IF(DadosViagem5[[#This Row],[Dias em manutenção ]]&lt;5,"Dentro do Prazo","Fora do Prazo")</f>
        <v>Fora do Prazo</v>
      </c>
      <c r="AJ1643" s="36" t="e">
        <v>#REF!</v>
      </c>
    </row>
    <row r="1644" spans="1:36">
      <c r="A1644" s="19" t="s">
        <v>2746</v>
      </c>
      <c r="B1644" s="20"/>
      <c r="C1644" s="19" t="s">
        <v>1013</v>
      </c>
      <c r="D1644" s="19" t="s">
        <v>1014</v>
      </c>
      <c r="E1644" s="19" t="s">
        <v>114</v>
      </c>
      <c r="F1644" s="19" t="s">
        <v>115</v>
      </c>
      <c r="G1644" s="19"/>
      <c r="H1644" s="20">
        <v>2022</v>
      </c>
      <c r="I1644" s="19" t="s">
        <v>41</v>
      </c>
      <c r="J1644" s="19" t="s">
        <v>2742</v>
      </c>
      <c r="K1644" s="66" t="s">
        <v>2743</v>
      </c>
      <c r="L1644" s="22" t="s">
        <v>60</v>
      </c>
      <c r="M1644" s="23" t="s">
        <v>268</v>
      </c>
      <c r="N1644" s="36" t="s">
        <v>2744</v>
      </c>
      <c r="O1644" s="36" t="s">
        <v>270</v>
      </c>
      <c r="P1644" s="26">
        <f ca="1">IFERROR(VLOOKUP(DadosViagem5[[#This Row],[Placa]],[1]BIP!A:E,5,FALSE),"")</f>
        <v>45989</v>
      </c>
      <c r="Q1644" s="27">
        <f ca="1">DATEDIF(DadosViagem5[[#This Row],[BIP]],TODAY(),"D")</f>
        <v>1</v>
      </c>
      <c r="R1644" s="28" t="str">
        <f>IFERROR(VLOOKUP(DadosViagem5[[#This Row],[Placa]],[1]DDS!B:C,2,FALSE),"Verificar cadastro")</f>
        <v>Operando</v>
      </c>
      <c r="S1644" s="29" t="s">
        <v>48</v>
      </c>
      <c r="T1644" s="23"/>
      <c r="U1644" s="30"/>
      <c r="V1644" s="31"/>
      <c r="W1644" s="32"/>
      <c r="X1644" s="33"/>
      <c r="Y1644" s="34"/>
      <c r="Z1644" s="32"/>
      <c r="AA1644" s="20" t="s">
        <v>49</v>
      </c>
      <c r="AB1644" s="20" t="s">
        <v>49</v>
      </c>
      <c r="AC1644" s="19" t="s">
        <v>49</v>
      </c>
      <c r="AD1644" s="19" t="str">
        <f ca="1">IFERROR(DATEDIF(DadosViagem5[[#This Row],[Utimo Bip Reserva]],TODAY(),"D"),"")</f>
        <v/>
      </c>
      <c r="AE1644" s="36" t="s">
        <v>2747</v>
      </c>
      <c r="AF1644" s="25" t="s">
        <v>49</v>
      </c>
      <c r="AG1644" s="36"/>
      <c r="AH1644" s="25">
        <v>31</v>
      </c>
      <c r="AI1644" s="36" t="str">
        <f>IF(DadosViagem5[[#This Row],[Dias em manutenção ]]&lt;5,"Dentro do Prazo","Fora do Prazo")</f>
        <v>Fora do Prazo</v>
      </c>
      <c r="AJ1644" s="36" t="e">
        <v>#REF!</v>
      </c>
    </row>
    <row r="1645" spans="1:36">
      <c r="A1645" s="19" t="s">
        <v>2748</v>
      </c>
      <c r="B1645" s="20"/>
      <c r="C1645" s="19" t="s">
        <v>1013</v>
      </c>
      <c r="D1645" s="19" t="s">
        <v>1014</v>
      </c>
      <c r="E1645" s="19" t="s">
        <v>114</v>
      </c>
      <c r="F1645" s="19" t="s">
        <v>115</v>
      </c>
      <c r="G1645" s="19"/>
      <c r="H1645" s="20">
        <v>2020</v>
      </c>
      <c r="I1645" s="19" t="s">
        <v>41</v>
      </c>
      <c r="J1645" s="19" t="s">
        <v>2742</v>
      </c>
      <c r="K1645" s="66" t="s">
        <v>2743</v>
      </c>
      <c r="L1645" s="22" t="s">
        <v>60</v>
      </c>
      <c r="M1645" s="23" t="s">
        <v>268</v>
      </c>
      <c r="N1645" s="36" t="s">
        <v>2744</v>
      </c>
      <c r="O1645" s="36" t="s">
        <v>270</v>
      </c>
      <c r="P1645" s="26">
        <f ca="1">IFERROR(VLOOKUP(DadosViagem5[[#This Row],[Placa]],[1]BIP!A:E,5,FALSE),"")</f>
        <v>45989</v>
      </c>
      <c r="Q1645" s="27">
        <f ca="1">DATEDIF(DadosViagem5[[#This Row],[BIP]],TODAY(),"D")</f>
        <v>1</v>
      </c>
      <c r="R1645" s="28" t="str">
        <f>IFERROR(VLOOKUP(DadosViagem5[[#This Row],[Placa]],[1]DDS!B:C,2,FALSE),"Verificar cadastro")</f>
        <v>Operando</v>
      </c>
      <c r="S1645" s="29" t="s">
        <v>48</v>
      </c>
      <c r="T1645" s="23"/>
      <c r="U1645" s="30"/>
      <c r="V1645" s="31"/>
      <c r="W1645" s="32"/>
      <c r="X1645" s="33"/>
      <c r="Y1645" s="34"/>
      <c r="Z1645" s="32"/>
      <c r="AA1645" s="20" t="s">
        <v>49</v>
      </c>
      <c r="AB1645" s="20" t="s">
        <v>49</v>
      </c>
      <c r="AC1645" s="19" t="s">
        <v>49</v>
      </c>
      <c r="AD1645" s="19" t="str">
        <f ca="1">IFERROR(DATEDIF(DadosViagem5[[#This Row],[Utimo Bip Reserva]],TODAY(),"D"),"")</f>
        <v/>
      </c>
      <c r="AE1645" s="36" t="s">
        <v>49</v>
      </c>
      <c r="AF1645" s="25" t="s">
        <v>49</v>
      </c>
      <c r="AG1645" s="36"/>
      <c r="AH1645" s="25">
        <v>10</v>
      </c>
      <c r="AI1645" s="36" t="str">
        <f>IF(DadosViagem5[[#This Row],[Dias em manutenção ]]&lt;5,"Dentro do Prazo","Fora do Prazo")</f>
        <v>Fora do Prazo</v>
      </c>
      <c r="AJ1645" s="36" t="e">
        <v>#REF!</v>
      </c>
    </row>
    <row r="1646" spans="1:36">
      <c r="A1646" s="19" t="s">
        <v>2749</v>
      </c>
      <c r="B1646" s="20"/>
      <c r="C1646" s="19" t="s">
        <v>1013</v>
      </c>
      <c r="D1646" s="19" t="s">
        <v>1014</v>
      </c>
      <c r="E1646" s="19" t="s">
        <v>114</v>
      </c>
      <c r="F1646" s="19" t="s">
        <v>115</v>
      </c>
      <c r="G1646" s="19"/>
      <c r="H1646" s="20">
        <v>2022</v>
      </c>
      <c r="I1646" s="19" t="s">
        <v>41</v>
      </c>
      <c r="J1646" s="19" t="s">
        <v>2742</v>
      </c>
      <c r="K1646" s="66" t="s">
        <v>2743</v>
      </c>
      <c r="L1646" s="22" t="s">
        <v>60</v>
      </c>
      <c r="M1646" s="23" t="s">
        <v>268</v>
      </c>
      <c r="N1646" s="36" t="s">
        <v>2744</v>
      </c>
      <c r="O1646" s="36" t="s">
        <v>270</v>
      </c>
      <c r="P1646" s="26">
        <f ca="1">IFERROR(VLOOKUP(DadosViagem5[[#This Row],[Placa]],[1]BIP!A:E,5,FALSE),"")</f>
        <v>45989</v>
      </c>
      <c r="Q1646" s="27">
        <f ca="1">DATEDIF(DadosViagem5[[#This Row],[BIP]],TODAY(),"D")</f>
        <v>1</v>
      </c>
      <c r="R1646" s="28" t="str">
        <f>IFERROR(VLOOKUP(DadosViagem5[[#This Row],[Placa]],[1]DDS!B:C,2,FALSE),"Verificar cadastro")</f>
        <v>Operando</v>
      </c>
      <c r="S1646" s="29" t="s">
        <v>48</v>
      </c>
      <c r="T1646" s="23"/>
      <c r="U1646" s="30"/>
      <c r="V1646" s="31"/>
      <c r="W1646" s="32"/>
      <c r="X1646" s="33"/>
      <c r="Y1646" s="34"/>
      <c r="Z1646" s="32"/>
      <c r="AA1646" s="20" t="s">
        <v>49</v>
      </c>
      <c r="AB1646" s="20" t="s">
        <v>49</v>
      </c>
      <c r="AC1646" s="19" t="s">
        <v>49</v>
      </c>
      <c r="AD1646" s="19" t="str">
        <f ca="1">IFERROR(DATEDIF(DadosViagem5[[#This Row],[Utimo Bip Reserva]],TODAY(),"D"),"")</f>
        <v/>
      </c>
      <c r="AE1646" s="36" t="s">
        <v>49</v>
      </c>
      <c r="AF1646" s="25" t="s">
        <v>49</v>
      </c>
      <c r="AG1646" s="36"/>
      <c r="AH1646" s="25">
        <v>45807</v>
      </c>
      <c r="AI1646" s="36" t="str">
        <f>IF(DadosViagem5[[#This Row],[Dias em manutenção ]]&lt;5,"Dentro do Prazo","Fora do Prazo")</f>
        <v>Fora do Prazo</v>
      </c>
      <c r="AJ1646" s="36" t="e">
        <v>#REF!</v>
      </c>
    </row>
    <row r="1647" spans="1:36">
      <c r="A1647" s="19" t="s">
        <v>2750</v>
      </c>
      <c r="B1647" s="20"/>
      <c r="C1647" s="19" t="s">
        <v>1013</v>
      </c>
      <c r="D1647" s="19" t="s">
        <v>1014</v>
      </c>
      <c r="E1647" s="19" t="s">
        <v>114</v>
      </c>
      <c r="F1647" s="19" t="s">
        <v>115</v>
      </c>
      <c r="G1647" s="19"/>
      <c r="H1647" s="20">
        <v>2020</v>
      </c>
      <c r="I1647" s="19" t="s">
        <v>41</v>
      </c>
      <c r="J1647" s="19" t="s">
        <v>2742</v>
      </c>
      <c r="K1647" s="66" t="s">
        <v>2743</v>
      </c>
      <c r="L1647" s="22" t="s">
        <v>60</v>
      </c>
      <c r="M1647" s="23" t="s">
        <v>268</v>
      </c>
      <c r="N1647" s="36" t="s">
        <v>2744</v>
      </c>
      <c r="O1647" s="36" t="s">
        <v>270</v>
      </c>
      <c r="P1647" s="26">
        <f ca="1">IFERROR(VLOOKUP(DadosViagem5[[#This Row],[Placa]],[1]BIP!A:E,5,FALSE),"")</f>
        <v>45989</v>
      </c>
      <c r="Q1647" s="27">
        <f ca="1">DATEDIF(DadosViagem5[[#This Row],[BIP]],TODAY(),"D")</f>
        <v>1</v>
      </c>
      <c r="R1647" s="28" t="str">
        <f>IFERROR(VLOOKUP(DadosViagem5[[#This Row],[Placa]],[1]DDS!B:C,2,FALSE),"Verificar cadastro")</f>
        <v>Operando</v>
      </c>
      <c r="S1647" s="29" t="s">
        <v>48</v>
      </c>
      <c r="T1647" s="23"/>
      <c r="U1647" s="30"/>
      <c r="V1647" s="31"/>
      <c r="W1647" s="32"/>
      <c r="X1647" s="33"/>
      <c r="Y1647" s="34"/>
      <c r="Z1647" s="32"/>
      <c r="AA1647" s="20" t="s">
        <v>49</v>
      </c>
      <c r="AB1647" s="20" t="s">
        <v>49</v>
      </c>
      <c r="AC1647" s="19" t="s">
        <v>49</v>
      </c>
      <c r="AD1647" s="19" t="str">
        <f ca="1">IFERROR(DATEDIF(DadosViagem5[[#This Row],[Utimo Bip Reserva]],TODAY(),"D"),"")</f>
        <v/>
      </c>
      <c r="AE1647" s="36" t="s">
        <v>49</v>
      </c>
      <c r="AF1647" s="25" t="s">
        <v>49</v>
      </c>
      <c r="AG1647" s="36"/>
      <c r="AH1647" s="25">
        <v>45807</v>
      </c>
      <c r="AI1647" s="36" t="str">
        <f>IF(DadosViagem5[[#This Row],[Dias em manutenção ]]&lt;5,"Dentro do Prazo","Fora do Prazo")</f>
        <v>Fora do Prazo</v>
      </c>
      <c r="AJ1647" s="36" t="e">
        <v>#REF!</v>
      </c>
    </row>
    <row r="1648" spans="1:36">
      <c r="A1648" s="19" t="s">
        <v>2751</v>
      </c>
      <c r="B1648" s="20"/>
      <c r="C1648" s="19" t="s">
        <v>1013</v>
      </c>
      <c r="D1648" s="19" t="s">
        <v>1014</v>
      </c>
      <c r="E1648" s="19" t="s">
        <v>114</v>
      </c>
      <c r="F1648" s="19" t="s">
        <v>115</v>
      </c>
      <c r="G1648" s="19"/>
      <c r="H1648" s="20">
        <v>2020</v>
      </c>
      <c r="I1648" s="19" t="s">
        <v>41</v>
      </c>
      <c r="J1648" s="19" t="s">
        <v>2742</v>
      </c>
      <c r="K1648" s="66" t="s">
        <v>2743</v>
      </c>
      <c r="L1648" s="22" t="s">
        <v>60</v>
      </c>
      <c r="M1648" s="23" t="s">
        <v>268</v>
      </c>
      <c r="N1648" s="36" t="s">
        <v>2744</v>
      </c>
      <c r="O1648" s="36" t="s">
        <v>270</v>
      </c>
      <c r="P1648" s="26">
        <f ca="1">IFERROR(VLOOKUP(DadosViagem5[[#This Row],[Placa]],[1]BIP!A:E,5,FALSE),"")</f>
        <v>45989</v>
      </c>
      <c r="Q1648" s="27">
        <f ca="1">DATEDIF(DadosViagem5[[#This Row],[BIP]],TODAY(),"D")</f>
        <v>1</v>
      </c>
      <c r="R1648" s="28" t="str">
        <f>IFERROR(VLOOKUP(DadosViagem5[[#This Row],[Placa]],[1]DDS!B:C,2,FALSE),"Verificar cadastro")</f>
        <v>Operando</v>
      </c>
      <c r="S1648" s="29" t="s">
        <v>48</v>
      </c>
      <c r="T1648" s="23"/>
      <c r="U1648" s="30"/>
      <c r="V1648" s="31"/>
      <c r="W1648" s="32"/>
      <c r="X1648" s="33"/>
      <c r="Y1648" s="34"/>
      <c r="Z1648" s="32"/>
      <c r="AA1648" s="20" t="s">
        <v>49</v>
      </c>
      <c r="AB1648" s="20" t="s">
        <v>49</v>
      </c>
      <c r="AC1648" s="19" t="s">
        <v>49</v>
      </c>
      <c r="AD1648" s="19" t="str">
        <f ca="1">IFERROR(DATEDIF(DadosViagem5[[#This Row],[Utimo Bip Reserva]],TODAY(),"D"),"")</f>
        <v/>
      </c>
      <c r="AE1648" s="36" t="s">
        <v>49</v>
      </c>
      <c r="AF1648" s="25" t="s">
        <v>49</v>
      </c>
      <c r="AG1648" s="36"/>
      <c r="AH1648" s="25">
        <v>45807</v>
      </c>
      <c r="AI1648" s="36" t="str">
        <f>IF(DadosViagem5[[#This Row],[Dias em manutenção ]]&lt;5,"Dentro do Prazo","Fora do Prazo")</f>
        <v>Fora do Prazo</v>
      </c>
      <c r="AJ1648" s="36" t="e">
        <v>#REF!</v>
      </c>
    </row>
    <row r="1649" spans="1:36">
      <c r="A1649" s="19" t="s">
        <v>2752</v>
      </c>
      <c r="B1649" s="20"/>
      <c r="C1649" s="19" t="s">
        <v>1013</v>
      </c>
      <c r="D1649" s="19" t="s">
        <v>1014</v>
      </c>
      <c r="E1649" s="19" t="s">
        <v>114</v>
      </c>
      <c r="F1649" s="19" t="s">
        <v>115</v>
      </c>
      <c r="G1649" s="19"/>
      <c r="H1649" s="20">
        <v>2022</v>
      </c>
      <c r="I1649" s="19" t="s">
        <v>41</v>
      </c>
      <c r="J1649" s="19" t="s">
        <v>2742</v>
      </c>
      <c r="K1649" s="66" t="s">
        <v>2743</v>
      </c>
      <c r="L1649" s="22" t="s">
        <v>60</v>
      </c>
      <c r="M1649" s="23" t="s">
        <v>268</v>
      </c>
      <c r="N1649" s="36" t="s">
        <v>2744</v>
      </c>
      <c r="O1649" s="36" t="s">
        <v>270</v>
      </c>
      <c r="P1649" s="26">
        <f ca="1">IFERROR(VLOOKUP(DadosViagem5[[#This Row],[Placa]],[1]BIP!A:E,5,FALSE),"")</f>
        <v>45989</v>
      </c>
      <c r="Q1649" s="27">
        <f ca="1">DATEDIF(DadosViagem5[[#This Row],[BIP]],TODAY(),"D")</f>
        <v>1</v>
      </c>
      <c r="R1649" s="28" t="str">
        <f>IFERROR(VLOOKUP(DadosViagem5[[#This Row],[Placa]],[1]DDS!B:C,2,FALSE),"Verificar cadastro")</f>
        <v>Operando</v>
      </c>
      <c r="S1649" s="29" t="s">
        <v>48</v>
      </c>
      <c r="T1649" s="23"/>
      <c r="U1649" s="30"/>
      <c r="V1649" s="31"/>
      <c r="W1649" s="32"/>
      <c r="X1649" s="33"/>
      <c r="Y1649" s="34"/>
      <c r="Z1649" s="32"/>
      <c r="AA1649" s="20" t="s">
        <v>49</v>
      </c>
      <c r="AB1649" s="20" t="s">
        <v>49</v>
      </c>
      <c r="AC1649" s="19" t="s">
        <v>49</v>
      </c>
      <c r="AD1649" s="19" t="str">
        <f ca="1">IFERROR(DATEDIF(DadosViagem5[[#This Row],[Utimo Bip Reserva]],TODAY(),"D"),"")</f>
        <v/>
      </c>
      <c r="AE1649" s="36" t="s">
        <v>49</v>
      </c>
      <c r="AF1649" s="25" t="s">
        <v>49</v>
      </c>
      <c r="AG1649" s="36"/>
      <c r="AH1649" s="25">
        <v>45807</v>
      </c>
      <c r="AI1649" s="36" t="str">
        <f>IF(DadosViagem5[[#This Row],[Dias em manutenção ]]&lt;5,"Dentro do Prazo","Fora do Prazo")</f>
        <v>Fora do Prazo</v>
      </c>
      <c r="AJ1649" s="36" t="e">
        <v>#REF!</v>
      </c>
    </row>
    <row r="1650" spans="1:36">
      <c r="A1650" s="19" t="s">
        <v>2753</v>
      </c>
      <c r="B1650" s="20"/>
      <c r="C1650" s="19" t="s">
        <v>1013</v>
      </c>
      <c r="D1650" s="19" t="s">
        <v>1014</v>
      </c>
      <c r="E1650" s="19" t="s">
        <v>114</v>
      </c>
      <c r="F1650" s="19" t="s">
        <v>115</v>
      </c>
      <c r="G1650" s="19"/>
      <c r="H1650" s="20">
        <v>2020</v>
      </c>
      <c r="I1650" s="19" t="s">
        <v>41</v>
      </c>
      <c r="J1650" s="19" t="s">
        <v>2742</v>
      </c>
      <c r="K1650" s="66" t="s">
        <v>2743</v>
      </c>
      <c r="L1650" s="22" t="s">
        <v>60</v>
      </c>
      <c r="M1650" s="23" t="s">
        <v>268</v>
      </c>
      <c r="N1650" s="36" t="s">
        <v>2744</v>
      </c>
      <c r="O1650" s="36" t="s">
        <v>270</v>
      </c>
      <c r="P1650" s="26">
        <f ca="1">IFERROR(VLOOKUP(DadosViagem5[[#This Row],[Placa]],[1]BIP!A:E,5,FALSE),"")</f>
        <v>45989</v>
      </c>
      <c r="Q1650" s="27">
        <f ca="1">DATEDIF(DadosViagem5[[#This Row],[BIP]],TODAY(),"D")</f>
        <v>1</v>
      </c>
      <c r="R1650" s="28" t="str">
        <f>IFERROR(VLOOKUP(DadosViagem5[[#This Row],[Placa]],[1]DDS!B:C,2,FALSE),"Verificar cadastro")</f>
        <v>Operando</v>
      </c>
      <c r="S1650" s="29" t="s">
        <v>48</v>
      </c>
      <c r="T1650" s="23"/>
      <c r="U1650" s="30"/>
      <c r="V1650" s="31"/>
      <c r="W1650" s="32"/>
      <c r="X1650" s="33"/>
      <c r="Y1650" s="34"/>
      <c r="Z1650" s="32"/>
      <c r="AA1650" s="20" t="s">
        <v>49</v>
      </c>
      <c r="AB1650" s="20" t="s">
        <v>49</v>
      </c>
      <c r="AC1650" s="19" t="s">
        <v>49</v>
      </c>
      <c r="AD1650" s="19" t="str">
        <f ca="1">IFERROR(DATEDIF(DadosViagem5[[#This Row],[Utimo Bip Reserva]],TODAY(),"D"),"")</f>
        <v/>
      </c>
      <c r="AE1650" s="36" t="s">
        <v>49</v>
      </c>
      <c r="AF1650" s="25" t="s">
        <v>49</v>
      </c>
      <c r="AG1650" s="36"/>
      <c r="AH1650" s="25">
        <v>45807</v>
      </c>
      <c r="AI1650" s="36" t="str">
        <f>IF(DadosViagem5[[#This Row],[Dias em manutenção ]]&lt;5,"Dentro do Prazo","Fora do Prazo")</f>
        <v>Fora do Prazo</v>
      </c>
      <c r="AJ1650" s="36" t="e">
        <v>#REF!</v>
      </c>
    </row>
    <row r="1651" spans="1:36">
      <c r="A1651" s="19" t="s">
        <v>2754</v>
      </c>
      <c r="B1651" s="20"/>
      <c r="C1651" s="19" t="s">
        <v>1013</v>
      </c>
      <c r="D1651" s="19" t="s">
        <v>1014</v>
      </c>
      <c r="E1651" s="19" t="s">
        <v>114</v>
      </c>
      <c r="F1651" s="19" t="s">
        <v>115</v>
      </c>
      <c r="G1651" s="19"/>
      <c r="H1651" s="20">
        <v>2020</v>
      </c>
      <c r="I1651" s="19" t="s">
        <v>41</v>
      </c>
      <c r="J1651" s="19" t="s">
        <v>2742</v>
      </c>
      <c r="K1651" s="66" t="s">
        <v>2743</v>
      </c>
      <c r="L1651" s="22" t="s">
        <v>60</v>
      </c>
      <c r="M1651" s="23" t="s">
        <v>268</v>
      </c>
      <c r="N1651" s="36" t="s">
        <v>2744</v>
      </c>
      <c r="O1651" s="36" t="s">
        <v>270</v>
      </c>
      <c r="P1651" s="26">
        <f ca="1">IFERROR(VLOOKUP(DadosViagem5[[#This Row],[Placa]],[1]BIP!A:E,5,FALSE),"")</f>
        <v>45989</v>
      </c>
      <c r="Q1651" s="27">
        <f ca="1">DATEDIF(DadosViagem5[[#This Row],[BIP]],TODAY(),"D")</f>
        <v>1</v>
      </c>
      <c r="R1651" s="28" t="str">
        <f>IFERROR(VLOOKUP(DadosViagem5[[#This Row],[Placa]],[1]DDS!B:C,2,FALSE),"Verificar cadastro")</f>
        <v>Operando</v>
      </c>
      <c r="S1651" s="29" t="s">
        <v>48</v>
      </c>
      <c r="T1651" s="23"/>
      <c r="U1651" s="30"/>
      <c r="V1651" s="31"/>
      <c r="W1651" s="32"/>
      <c r="X1651" s="33"/>
      <c r="Y1651" s="34"/>
      <c r="Z1651" s="32"/>
      <c r="AA1651" s="20" t="s">
        <v>49</v>
      </c>
      <c r="AB1651" s="20" t="s">
        <v>49</v>
      </c>
      <c r="AC1651" s="19" t="s">
        <v>49</v>
      </c>
      <c r="AD1651" s="19" t="str">
        <f ca="1">IFERROR(DATEDIF(DadosViagem5[[#This Row],[Utimo Bip Reserva]],TODAY(),"D"),"")</f>
        <v/>
      </c>
      <c r="AE1651" s="36" t="s">
        <v>49</v>
      </c>
      <c r="AF1651" s="25" t="s">
        <v>49</v>
      </c>
      <c r="AG1651" s="36" t="s">
        <v>540</v>
      </c>
      <c r="AH1651" s="25">
        <v>45807</v>
      </c>
      <c r="AI1651" s="36" t="str">
        <f>IF(DadosViagem5[[#This Row],[Dias em manutenção ]]&lt;5,"Dentro do Prazo","Fora do Prazo")</f>
        <v>Fora do Prazo</v>
      </c>
      <c r="AJ1651" s="36" t="e">
        <v>#REF!</v>
      </c>
    </row>
    <row r="1652" spans="1:36">
      <c r="A1652" s="19" t="s">
        <v>2755</v>
      </c>
      <c r="B1652" s="20"/>
      <c r="C1652" s="19" t="s">
        <v>1013</v>
      </c>
      <c r="D1652" s="19" t="s">
        <v>1014</v>
      </c>
      <c r="E1652" s="19" t="s">
        <v>114</v>
      </c>
      <c r="F1652" s="19" t="s">
        <v>115</v>
      </c>
      <c r="G1652" s="19"/>
      <c r="H1652" s="20">
        <v>2023</v>
      </c>
      <c r="I1652" s="19" t="s">
        <v>41</v>
      </c>
      <c r="J1652" s="19" t="s">
        <v>2742</v>
      </c>
      <c r="K1652" s="66" t="s">
        <v>2743</v>
      </c>
      <c r="L1652" s="22" t="s">
        <v>60</v>
      </c>
      <c r="M1652" s="23" t="s">
        <v>268</v>
      </c>
      <c r="N1652" s="36" t="s">
        <v>2744</v>
      </c>
      <c r="O1652" s="36" t="s">
        <v>270</v>
      </c>
      <c r="P1652" s="26">
        <f ca="1">IFERROR(VLOOKUP(DadosViagem5[[#This Row],[Placa]],[1]BIP!A:E,5,FALSE),"")</f>
        <v>45975</v>
      </c>
      <c r="Q1652" s="27">
        <f ca="1">DATEDIF(DadosViagem5[[#This Row],[BIP]],TODAY(),"D")</f>
        <v>15</v>
      </c>
      <c r="R1652" s="28" t="str">
        <f>IFERROR(VLOOKUP(DadosViagem5[[#This Row],[Placa]],[1]DDS!B:C,2,FALSE),"Verificar cadastro")</f>
        <v> </v>
      </c>
      <c r="S1652" s="29" t="s">
        <v>48</v>
      </c>
      <c r="T1652" s="23"/>
      <c r="U1652" s="30"/>
      <c r="V1652" s="31"/>
      <c r="W1652" s="32"/>
      <c r="X1652" s="33"/>
      <c r="Y1652" s="34"/>
      <c r="Z1652" s="32"/>
      <c r="AA1652" s="20" t="s">
        <v>49</v>
      </c>
      <c r="AB1652" s="20" t="s">
        <v>49</v>
      </c>
      <c r="AC1652" s="19" t="s">
        <v>49</v>
      </c>
      <c r="AD1652" s="19" t="str">
        <f ca="1">IFERROR(DATEDIF(DadosViagem5[[#This Row],[Utimo Bip Reserva]],TODAY(),"D"),"")</f>
        <v/>
      </c>
      <c r="AE1652" s="36" t="s">
        <v>49</v>
      </c>
      <c r="AF1652" s="25" t="s">
        <v>49</v>
      </c>
      <c r="AG1652" s="36"/>
      <c r="AH1652" s="25">
        <v>45807</v>
      </c>
      <c r="AI1652" s="36" t="str">
        <f>IF(DadosViagem5[[#This Row],[Dias em manutenção ]]&lt;5,"Dentro do Prazo","Fora do Prazo")</f>
        <v>Fora do Prazo</v>
      </c>
      <c r="AJ1652" s="36" t="e">
        <v>#REF!</v>
      </c>
    </row>
    <row r="1653" spans="1:36">
      <c r="A1653" s="19" t="s">
        <v>2756</v>
      </c>
      <c r="B1653" s="20"/>
      <c r="C1653" s="19" t="s">
        <v>1013</v>
      </c>
      <c r="D1653" s="19" t="s">
        <v>1014</v>
      </c>
      <c r="E1653" s="19" t="s">
        <v>114</v>
      </c>
      <c r="F1653" s="19" t="s">
        <v>115</v>
      </c>
      <c r="G1653" s="19"/>
      <c r="H1653" s="20">
        <v>2020</v>
      </c>
      <c r="I1653" s="19" t="s">
        <v>41</v>
      </c>
      <c r="J1653" s="19" t="s">
        <v>2742</v>
      </c>
      <c r="K1653" s="66" t="s">
        <v>2743</v>
      </c>
      <c r="L1653" s="22" t="s">
        <v>60</v>
      </c>
      <c r="M1653" s="23" t="s">
        <v>268</v>
      </c>
      <c r="N1653" s="36" t="s">
        <v>2744</v>
      </c>
      <c r="O1653" s="36" t="s">
        <v>270</v>
      </c>
      <c r="P1653" s="26">
        <f ca="1">IFERROR(VLOOKUP(DadosViagem5[[#This Row],[Placa]],[1]BIP!A:E,5,FALSE),"")</f>
        <v>45989</v>
      </c>
      <c r="Q1653" s="27">
        <f ca="1">DATEDIF(DadosViagem5[[#This Row],[BIP]],TODAY(),"D")</f>
        <v>1</v>
      </c>
      <c r="R1653" s="28" t="str">
        <f>IFERROR(VLOOKUP(DadosViagem5[[#This Row],[Placa]],[1]DDS!B:C,2,FALSE),"Verificar cadastro")</f>
        <v>Operando</v>
      </c>
      <c r="S1653" s="29" t="s">
        <v>48</v>
      </c>
      <c r="T1653" s="23"/>
      <c r="U1653" s="30"/>
      <c r="V1653" s="31"/>
      <c r="W1653" s="32"/>
      <c r="X1653" s="33"/>
      <c r="Y1653" s="34"/>
      <c r="Z1653" s="32"/>
      <c r="AA1653" s="20" t="s">
        <v>49</v>
      </c>
      <c r="AB1653" s="20" t="s">
        <v>49</v>
      </c>
      <c r="AC1653" s="19" t="s">
        <v>49</v>
      </c>
      <c r="AD1653" s="19" t="str">
        <f ca="1">IFERROR(DATEDIF(DadosViagem5[[#This Row],[Utimo Bip Reserva]],TODAY(),"D"),"")</f>
        <v/>
      </c>
      <c r="AE1653" s="36" t="s">
        <v>49</v>
      </c>
      <c r="AF1653" s="25" t="s">
        <v>49</v>
      </c>
      <c r="AG1653" s="36"/>
      <c r="AH1653" s="25">
        <v>45807</v>
      </c>
      <c r="AI1653" s="36" t="str">
        <f>IF(DadosViagem5[[#This Row],[Dias em manutenção ]]&lt;5,"Dentro do Prazo","Fora do Prazo")</f>
        <v>Fora do Prazo</v>
      </c>
      <c r="AJ1653" s="36" t="e">
        <v>#REF!</v>
      </c>
    </row>
    <row r="1654" spans="1:36">
      <c r="A1654" s="19" t="s">
        <v>2757</v>
      </c>
      <c r="B1654" s="20"/>
      <c r="C1654" s="19" t="s">
        <v>1013</v>
      </c>
      <c r="D1654" s="19" t="s">
        <v>1014</v>
      </c>
      <c r="E1654" s="19" t="s">
        <v>114</v>
      </c>
      <c r="F1654" s="19" t="s">
        <v>115</v>
      </c>
      <c r="G1654" s="19"/>
      <c r="H1654" s="20">
        <v>2020</v>
      </c>
      <c r="I1654" s="19" t="s">
        <v>41</v>
      </c>
      <c r="J1654" s="19" t="s">
        <v>2742</v>
      </c>
      <c r="K1654" s="66" t="s">
        <v>2743</v>
      </c>
      <c r="L1654" s="22" t="s">
        <v>60</v>
      </c>
      <c r="M1654" s="23" t="s">
        <v>268</v>
      </c>
      <c r="N1654" s="36" t="s">
        <v>2744</v>
      </c>
      <c r="O1654" s="36" t="s">
        <v>270</v>
      </c>
      <c r="P1654" s="26">
        <f ca="1">IFERROR(VLOOKUP(DadosViagem5[[#This Row],[Placa]],[1]BIP!A:E,5,FALSE),"")</f>
        <v>45989</v>
      </c>
      <c r="Q1654" s="27">
        <f ca="1">DATEDIF(DadosViagem5[[#This Row],[BIP]],TODAY(),"D")</f>
        <v>1</v>
      </c>
      <c r="R1654" s="28" t="str">
        <f>IFERROR(VLOOKUP(DadosViagem5[[#This Row],[Placa]],[1]DDS!B:C,2,FALSE),"Verificar cadastro")</f>
        <v>Operando</v>
      </c>
      <c r="S1654" s="29" t="s">
        <v>48</v>
      </c>
      <c r="T1654" s="23"/>
      <c r="U1654" s="30"/>
      <c r="V1654" s="31"/>
      <c r="W1654" s="32"/>
      <c r="X1654" s="33"/>
      <c r="Y1654" s="34"/>
      <c r="Z1654" s="32"/>
      <c r="AA1654" s="20" t="s">
        <v>49</v>
      </c>
      <c r="AB1654" s="20" t="s">
        <v>49</v>
      </c>
      <c r="AC1654" s="19" t="s">
        <v>49</v>
      </c>
      <c r="AD1654" s="19" t="str">
        <f ca="1">IFERROR(DATEDIF(DadosViagem5[[#This Row],[Utimo Bip Reserva]],TODAY(),"D"),"")</f>
        <v/>
      </c>
      <c r="AE1654" s="36"/>
      <c r="AF1654" s="25" t="s">
        <v>49</v>
      </c>
      <c r="AG1654" s="36"/>
      <c r="AH1654" s="25">
        <v>45807</v>
      </c>
      <c r="AI1654" s="36" t="str">
        <f>IF(DadosViagem5[[#This Row],[Dias em manutenção ]]&lt;5,"Dentro do Prazo","Fora do Prazo")</f>
        <v>Fora do Prazo</v>
      </c>
      <c r="AJ1654" s="36" t="e">
        <v>#REF!</v>
      </c>
    </row>
    <row r="1655" spans="1:36">
      <c r="A1655" s="19" t="s">
        <v>2758</v>
      </c>
      <c r="B1655" s="20"/>
      <c r="C1655" s="19" t="s">
        <v>88</v>
      </c>
      <c r="D1655" s="19" t="s">
        <v>52</v>
      </c>
      <c r="E1655" s="19" t="s">
        <v>114</v>
      </c>
      <c r="F1655" s="19" t="s">
        <v>115</v>
      </c>
      <c r="G1655" s="19"/>
      <c r="H1655" s="20">
        <v>2022</v>
      </c>
      <c r="I1655" s="19" t="s">
        <v>1274</v>
      </c>
      <c r="J1655" s="19" t="s">
        <v>2759</v>
      </c>
      <c r="K1655" s="21" t="s">
        <v>2760</v>
      </c>
      <c r="L1655" s="22" t="s">
        <v>60</v>
      </c>
      <c r="M1655" s="23" t="s">
        <v>268</v>
      </c>
      <c r="N1655" s="36" t="s">
        <v>2761</v>
      </c>
      <c r="O1655" s="36" t="s">
        <v>1019</v>
      </c>
      <c r="P1655" s="26">
        <f ca="1">IFERROR(VLOOKUP(DadosViagem5[[#This Row],[Placa]],[1]BIP!A:E,5,FALSE),"")</f>
        <v>45970</v>
      </c>
      <c r="Q1655" s="27">
        <f ca="1">DATEDIF(DadosViagem5[[#This Row],[BIP]],TODAY(),"D")</f>
        <v>20</v>
      </c>
      <c r="R1655" s="28" t="str">
        <f>IFERROR(VLOOKUP(DadosViagem5[[#This Row],[Placa]],[1]DDS!B:C,2,FALSE),"Verificar cadastro")</f>
        <v>Verificar cadastro</v>
      </c>
      <c r="S1655" s="36" t="s">
        <v>35</v>
      </c>
      <c r="T1655" s="23"/>
      <c r="U1655" s="30"/>
      <c r="V1655" s="31"/>
      <c r="W1655" s="32" t="s">
        <v>2762</v>
      </c>
      <c r="X1655" s="33"/>
      <c r="Y1655" s="34" t="s">
        <v>49</v>
      </c>
      <c r="Z1655" s="32"/>
      <c r="AA1655" s="20" t="s">
        <v>49</v>
      </c>
      <c r="AB1655" s="20" t="s">
        <v>49</v>
      </c>
      <c r="AC1655" s="19" t="s">
        <v>49</v>
      </c>
      <c r="AD1655" s="19" t="str">
        <f ca="1">IFERROR(DATEDIF(DadosViagem5[[#This Row],[Utimo Bip Reserva]],TODAY(),"D"),"")</f>
        <v/>
      </c>
      <c r="AE1655" s="36"/>
      <c r="AF1655" s="25" t="s">
        <v>49</v>
      </c>
      <c r="AG1655" s="36"/>
      <c r="AH1655" s="25">
        <v>45807</v>
      </c>
      <c r="AI1655" s="36" t="str">
        <f>IF(DadosViagem5[[#This Row],[Dias em manutenção ]]&lt;5,"Dentro do Prazo","Fora do Prazo")</f>
        <v>Fora do Prazo</v>
      </c>
      <c r="AJ1655" s="36" t="e">
        <v>#REF!</v>
      </c>
    </row>
    <row r="1656" spans="1:36">
      <c r="A1656" s="19" t="s">
        <v>2763</v>
      </c>
      <c r="B1656" s="20"/>
      <c r="C1656" s="19" t="s">
        <v>1803</v>
      </c>
      <c r="D1656" s="19" t="s">
        <v>52</v>
      </c>
      <c r="E1656" s="19" t="s">
        <v>57</v>
      </c>
      <c r="F1656" s="19" t="s">
        <v>40</v>
      </c>
      <c r="G1656" s="19"/>
      <c r="H1656" s="20">
        <v>2022</v>
      </c>
      <c r="I1656" s="19" t="s">
        <v>1274</v>
      </c>
      <c r="J1656" s="19" t="s">
        <v>2759</v>
      </c>
      <c r="K1656" s="21" t="s">
        <v>2760</v>
      </c>
      <c r="L1656" s="53" t="s">
        <v>60</v>
      </c>
      <c r="M1656" s="23" t="s">
        <v>268</v>
      </c>
      <c r="N1656" s="36" t="s">
        <v>2761</v>
      </c>
      <c r="O1656" s="36" t="s">
        <v>1019</v>
      </c>
      <c r="P1656" s="26">
        <f ca="1">IFERROR(VLOOKUP(DadosViagem5[[#This Row],[Placa]],[1]BIP!A:E,5,FALSE),"")</f>
        <v>0</v>
      </c>
      <c r="Q1656" s="27">
        <f ca="1">DATEDIF(DadosViagem5[[#This Row],[BIP]],TODAY(),"D")</f>
        <v>45990</v>
      </c>
      <c r="R1656" s="28"/>
      <c r="S1656" s="29" t="s">
        <v>48</v>
      </c>
      <c r="T1656" s="23"/>
      <c r="U1656" s="30"/>
      <c r="V1656" s="31">
        <v>45692</v>
      </c>
      <c r="W1656" s="32"/>
      <c r="X1656" s="33" t="s">
        <v>65</v>
      </c>
      <c r="Y1656" s="34" t="s">
        <v>584</v>
      </c>
      <c r="Z1656" s="42" t="s">
        <v>171</v>
      </c>
      <c r="AA1656" s="20" t="s">
        <v>49</v>
      </c>
      <c r="AB1656" s="20" t="s">
        <v>49</v>
      </c>
      <c r="AC1656" s="19" t="s">
        <v>49</v>
      </c>
      <c r="AD1656" s="19" t="str">
        <f ca="1">IFERROR(DATEDIF(DadosViagem5[[#This Row],[Utimo Bip Reserva]],TODAY(),"D"),"")</f>
        <v/>
      </c>
      <c r="AE1656" s="25" t="s">
        <v>2764</v>
      </c>
      <c r="AF1656" s="25" t="s">
        <v>49</v>
      </c>
      <c r="AG1656" s="30" t="s">
        <v>153</v>
      </c>
      <c r="AH1656" s="25">
        <v>115</v>
      </c>
      <c r="AI1656" s="36" t="str">
        <f>IF(DadosViagem5[[#This Row],[Dias em manutenção ]]&lt;5,"Dentro do Prazo","Fora do Prazo")</f>
        <v>Fora do Prazo</v>
      </c>
      <c r="AJ1656" s="36" t="e">
        <v>#REF!</v>
      </c>
    </row>
    <row r="1657" spans="1:36">
      <c r="A1657" s="19" t="s">
        <v>2765</v>
      </c>
      <c r="B1657" s="20"/>
      <c r="C1657" s="19" t="s">
        <v>131</v>
      </c>
      <c r="D1657" s="19" t="s">
        <v>132</v>
      </c>
      <c r="E1657" s="19" t="s">
        <v>114</v>
      </c>
      <c r="F1657" s="19" t="s">
        <v>115</v>
      </c>
      <c r="G1657" s="19"/>
      <c r="H1657" s="20">
        <v>2022</v>
      </c>
      <c r="I1657" s="19" t="s">
        <v>1274</v>
      </c>
      <c r="J1657" s="19" t="s">
        <v>2759</v>
      </c>
      <c r="K1657" s="21" t="s">
        <v>2760</v>
      </c>
      <c r="L1657" s="22" t="s">
        <v>60</v>
      </c>
      <c r="M1657" s="23" t="s">
        <v>268</v>
      </c>
      <c r="N1657" s="36" t="s">
        <v>2761</v>
      </c>
      <c r="O1657" s="36" t="s">
        <v>1019</v>
      </c>
      <c r="P1657" s="26">
        <f ca="1">IFERROR(VLOOKUP(DadosViagem5[[#This Row],[Placa]],[1]BIP!A:E,5,FALSE),"")</f>
        <v>45938</v>
      </c>
      <c r="Q1657" s="27">
        <f ca="1">DATEDIF(DadosViagem5[[#This Row],[BIP]],TODAY(),"D")</f>
        <v>52</v>
      </c>
      <c r="R1657" s="28" t="str">
        <f>IFERROR(VLOOKUP(DadosViagem5[[#This Row],[Placa]],[1]DDS!B:C,2,FALSE),"Verificar cadastro")</f>
        <v> </v>
      </c>
      <c r="S1657" s="29" t="s">
        <v>48</v>
      </c>
      <c r="T1657" s="23"/>
      <c r="U1657" s="30"/>
      <c r="V1657" s="31"/>
      <c r="W1657" s="32"/>
      <c r="X1657" s="33"/>
      <c r="Y1657" s="34"/>
      <c r="Z1657" s="32"/>
      <c r="AA1657" s="20" t="s">
        <v>49</v>
      </c>
      <c r="AB1657" s="20" t="s">
        <v>49</v>
      </c>
      <c r="AC1657" s="20" t="s">
        <v>49</v>
      </c>
      <c r="AD1657" s="20" t="s">
        <v>49</v>
      </c>
      <c r="AE1657" s="36" t="s">
        <v>49</v>
      </c>
      <c r="AF1657" s="25" t="s">
        <v>49</v>
      </c>
      <c r="AG1657" s="36"/>
      <c r="AH1657" s="25">
        <v>45807</v>
      </c>
      <c r="AI1657" s="36" t="str">
        <f>IF(DadosViagem5[[#This Row],[Dias em manutenção ]]&lt;5,"Dentro do Prazo","Fora do Prazo")</f>
        <v>Fora do Prazo</v>
      </c>
      <c r="AJ1657" s="36" t="e">
        <v>#REF!</v>
      </c>
    </row>
    <row r="1658" spans="1:36">
      <c r="A1658" s="19" t="s">
        <v>2766</v>
      </c>
      <c r="B1658" s="20"/>
      <c r="C1658" s="19" t="s">
        <v>131</v>
      </c>
      <c r="D1658" s="19" t="s">
        <v>132</v>
      </c>
      <c r="E1658" s="19" t="s">
        <v>114</v>
      </c>
      <c r="F1658" s="19" t="s">
        <v>115</v>
      </c>
      <c r="G1658" s="19"/>
      <c r="H1658" s="20">
        <v>2022</v>
      </c>
      <c r="I1658" s="19" t="s">
        <v>1274</v>
      </c>
      <c r="J1658" s="19" t="s">
        <v>2759</v>
      </c>
      <c r="K1658" s="21" t="s">
        <v>2760</v>
      </c>
      <c r="L1658" s="22" t="s">
        <v>60</v>
      </c>
      <c r="M1658" s="23" t="s">
        <v>268</v>
      </c>
      <c r="N1658" s="36" t="s">
        <v>2761</v>
      </c>
      <c r="O1658" s="36" t="s">
        <v>1019</v>
      </c>
      <c r="P1658" s="26">
        <f ca="1">IFERROR(VLOOKUP(DadosViagem5[[#This Row],[Placa]],[1]BIP!A:E,5,FALSE),"")</f>
        <v>0</v>
      </c>
      <c r="Q1658" s="27">
        <f ca="1">DATEDIF(DadosViagem5[[#This Row],[BIP]],TODAY(),"D")</f>
        <v>45990</v>
      </c>
      <c r="R1658" s="28" t="str">
        <f>IFERROR(VLOOKUP(DadosViagem5[[#This Row],[Placa]],[1]DDS!B:C,2,FALSE),"Verificar cadastro")</f>
        <v> </v>
      </c>
      <c r="S1658" s="29" t="s">
        <v>48</v>
      </c>
      <c r="T1658" s="23"/>
      <c r="U1658" s="30"/>
      <c r="V1658" s="31"/>
      <c r="W1658" s="32"/>
      <c r="X1658" s="33"/>
      <c r="Y1658" s="34"/>
      <c r="Z1658" s="32"/>
      <c r="AA1658" s="20" t="s">
        <v>49</v>
      </c>
      <c r="AB1658" s="20" t="s">
        <v>49</v>
      </c>
      <c r="AC1658" s="19" t="s">
        <v>49</v>
      </c>
      <c r="AD1658" s="19" t="str">
        <f ca="1">IFERROR(DATEDIF(DadosViagem5[[#This Row],[Utimo Bip Reserva]],TODAY(),"D"),"")</f>
        <v/>
      </c>
      <c r="AE1658" s="36" t="s">
        <v>49</v>
      </c>
      <c r="AF1658" s="25" t="s">
        <v>49</v>
      </c>
      <c r="AG1658" s="36"/>
      <c r="AH1658" s="25">
        <v>45807</v>
      </c>
      <c r="AI1658" s="36" t="str">
        <f>IF(DadosViagem5[[#This Row],[Dias em manutenção ]]&lt;5,"Dentro do Prazo","Fora do Prazo")</f>
        <v>Fora do Prazo</v>
      </c>
      <c r="AJ1658" s="36" t="e">
        <v>#REF!</v>
      </c>
    </row>
    <row r="1659" spans="1:36">
      <c r="A1659" s="19" t="s">
        <v>2767</v>
      </c>
      <c r="B1659" s="20"/>
      <c r="C1659" s="19" t="s">
        <v>131</v>
      </c>
      <c r="D1659" s="19" t="s">
        <v>132</v>
      </c>
      <c r="E1659" s="19" t="s">
        <v>114</v>
      </c>
      <c r="F1659" s="19" t="s">
        <v>115</v>
      </c>
      <c r="G1659" s="19"/>
      <c r="H1659" s="20">
        <v>2022</v>
      </c>
      <c r="I1659" s="19" t="s">
        <v>1274</v>
      </c>
      <c r="J1659" s="19" t="s">
        <v>2759</v>
      </c>
      <c r="K1659" s="21" t="s">
        <v>2760</v>
      </c>
      <c r="L1659" s="22" t="s">
        <v>60</v>
      </c>
      <c r="M1659" s="23" t="s">
        <v>268</v>
      </c>
      <c r="N1659" s="36" t="s">
        <v>2761</v>
      </c>
      <c r="O1659" s="36" t="s">
        <v>1019</v>
      </c>
      <c r="P1659" s="26">
        <f ca="1">IFERROR(VLOOKUP(DadosViagem5[[#This Row],[Placa]],[1]BIP!A:E,5,FALSE),"")</f>
        <v>45938</v>
      </c>
      <c r="Q1659" s="27">
        <f ca="1">DATEDIF(DadosViagem5[[#This Row],[BIP]],TODAY(),"D")</f>
        <v>52</v>
      </c>
      <c r="R1659" s="28" t="str">
        <f>IFERROR(VLOOKUP(DadosViagem5[[#This Row],[Placa]],[1]DDS!B:C,2,FALSE),"Verificar cadastro")</f>
        <v> </v>
      </c>
      <c r="S1659" s="29" t="s">
        <v>48</v>
      </c>
      <c r="T1659" s="23"/>
      <c r="U1659" s="30"/>
      <c r="V1659" s="31"/>
      <c r="W1659" s="32"/>
      <c r="X1659" s="33"/>
      <c r="Y1659" s="34"/>
      <c r="Z1659" s="32"/>
      <c r="AA1659" s="20" t="s">
        <v>49</v>
      </c>
      <c r="AB1659" s="20" t="s">
        <v>49</v>
      </c>
      <c r="AC1659" s="19" t="s">
        <v>49</v>
      </c>
      <c r="AD1659" s="19" t="str">
        <f ca="1">IFERROR(DATEDIF(DadosViagem5[[#This Row],[Utimo Bip Reserva]],TODAY(),"D"),"")</f>
        <v/>
      </c>
      <c r="AE1659" s="36" t="s">
        <v>49</v>
      </c>
      <c r="AF1659" s="25" t="s">
        <v>49</v>
      </c>
      <c r="AG1659" s="36"/>
      <c r="AH1659" s="25">
        <v>45807</v>
      </c>
      <c r="AI1659" s="36" t="str">
        <f>IF(DadosViagem5[[#This Row],[Dias em manutenção ]]&lt;5,"Dentro do Prazo","Fora do Prazo")</f>
        <v>Fora do Prazo</v>
      </c>
      <c r="AJ1659" s="36" t="e">
        <v>#REF!</v>
      </c>
    </row>
    <row r="1660" spans="1:36">
      <c r="A1660" s="19" t="s">
        <v>2768</v>
      </c>
      <c r="B1660" s="20"/>
      <c r="C1660" s="19" t="s">
        <v>1803</v>
      </c>
      <c r="D1660" s="19" t="s">
        <v>52</v>
      </c>
      <c r="E1660" s="19" t="s">
        <v>57</v>
      </c>
      <c r="F1660" s="19" t="s">
        <v>40</v>
      </c>
      <c r="G1660" s="19"/>
      <c r="H1660" s="20">
        <v>2022</v>
      </c>
      <c r="I1660" s="19" t="s">
        <v>1274</v>
      </c>
      <c r="J1660" s="19" t="s">
        <v>2759</v>
      </c>
      <c r="K1660" s="21" t="s">
        <v>2760</v>
      </c>
      <c r="L1660" s="22" t="s">
        <v>60</v>
      </c>
      <c r="M1660" s="23" t="s">
        <v>268</v>
      </c>
      <c r="N1660" s="36" t="s">
        <v>2761</v>
      </c>
      <c r="O1660" s="36" t="s">
        <v>1019</v>
      </c>
      <c r="P1660" s="26">
        <f ca="1">IFERROR(VLOOKUP(DadosViagem5[[#This Row],[Placa]],[1]BIP!A:E,5,FALSE),"")</f>
        <v>45989</v>
      </c>
      <c r="Q1660" s="27">
        <f ca="1">DATEDIF(DadosViagem5[[#This Row],[BIP]],TODAY(),"D")</f>
        <v>1</v>
      </c>
      <c r="R1660" s="28" t="str">
        <f>IFERROR(VLOOKUP(DadosViagem5[[#This Row],[Placa]],[1]DDS!B:C,2,FALSE),"Verificar cadastro")</f>
        <v>Operando</v>
      </c>
      <c r="S1660" s="29" t="s">
        <v>48</v>
      </c>
      <c r="T1660" s="23"/>
      <c r="U1660" s="30"/>
      <c r="V1660" s="31"/>
      <c r="W1660" s="32"/>
      <c r="X1660" s="33"/>
      <c r="Y1660" s="34"/>
      <c r="Z1660" s="32"/>
      <c r="AA1660" s="20" t="s">
        <v>49</v>
      </c>
      <c r="AB1660" s="20" t="s">
        <v>49</v>
      </c>
      <c r="AC1660" s="19" t="s">
        <v>49</v>
      </c>
      <c r="AD1660" s="19" t="str">
        <f ca="1">IFERROR(DATEDIF(DadosViagem5[[#This Row],[Utimo Bip Reserva]],TODAY(),"D"),"")</f>
        <v/>
      </c>
      <c r="AE1660" s="36"/>
      <c r="AF1660" s="25" t="s">
        <v>49</v>
      </c>
      <c r="AG1660" s="36"/>
      <c r="AH1660" s="25">
        <v>97</v>
      </c>
      <c r="AI1660" s="36" t="str">
        <f>IF(DadosViagem5[[#This Row],[Dias em manutenção ]]&lt;5,"Dentro do Prazo","Fora do Prazo")</f>
        <v>Fora do Prazo</v>
      </c>
      <c r="AJ1660" s="36" t="e">
        <v>#REF!</v>
      </c>
    </row>
    <row r="1661" spans="1:36">
      <c r="A1661" s="19" t="s">
        <v>2769</v>
      </c>
      <c r="B1661" s="20"/>
      <c r="C1661" s="19" t="s">
        <v>131</v>
      </c>
      <c r="D1661" s="19" t="s">
        <v>132</v>
      </c>
      <c r="E1661" s="19" t="s">
        <v>57</v>
      </c>
      <c r="F1661" s="19" t="s">
        <v>40</v>
      </c>
      <c r="G1661" s="19"/>
      <c r="H1661" s="20">
        <v>2022</v>
      </c>
      <c r="I1661" s="19" t="s">
        <v>2770</v>
      </c>
      <c r="J1661" s="19" t="s">
        <v>2759</v>
      </c>
      <c r="K1661" s="21" t="s">
        <v>2760</v>
      </c>
      <c r="L1661" s="22" t="s">
        <v>60</v>
      </c>
      <c r="M1661" s="23" t="s">
        <v>268</v>
      </c>
      <c r="N1661" s="25" t="s">
        <v>2771</v>
      </c>
      <c r="O1661" s="36" t="s">
        <v>1019</v>
      </c>
      <c r="P1661" s="26">
        <f ca="1">IFERROR(VLOOKUP(DadosViagem5[[#This Row],[Placa]],[1]BIP!A:E,5,FALSE),"")</f>
        <v>45989</v>
      </c>
      <c r="Q1661" s="27">
        <f ca="1">DATEDIF(DadosViagem5[[#This Row],[BIP]],TODAY(),"D")</f>
        <v>1</v>
      </c>
      <c r="R1661" s="28" t="str">
        <f>IFERROR(VLOOKUP(DadosViagem5[[#This Row],[Placa]],[1]DDS!B:C,2,FALSE),"Verificar cadastro")</f>
        <v>Operando</v>
      </c>
      <c r="S1661" s="29" t="s">
        <v>48</v>
      </c>
      <c r="T1661" s="23"/>
      <c r="U1661" s="30"/>
      <c r="V1661" s="31"/>
      <c r="W1661" s="32"/>
      <c r="X1661" s="33"/>
      <c r="Y1661" s="34"/>
      <c r="Z1661" s="32"/>
      <c r="AA1661" s="20" t="s">
        <v>49</v>
      </c>
      <c r="AB1661" s="20" t="s">
        <v>49</v>
      </c>
      <c r="AC1661" s="19" t="s">
        <v>49</v>
      </c>
      <c r="AD1661" s="19" t="str">
        <f ca="1">IFERROR(DATEDIF(DadosViagem5[[#This Row],[Utimo Bip Reserva]],TODAY(),"D"),"")</f>
        <v/>
      </c>
      <c r="AE1661" s="36" t="s">
        <v>49</v>
      </c>
      <c r="AF1661" s="25" t="s">
        <v>49</v>
      </c>
      <c r="AG1661" s="36"/>
      <c r="AH1661" s="25">
        <v>45807</v>
      </c>
      <c r="AI1661" s="36" t="str">
        <f>IF(DadosViagem5[[#This Row],[Dias em manutenção ]]&lt;5,"Dentro do Prazo","Fora do Prazo")</f>
        <v>Fora do Prazo</v>
      </c>
      <c r="AJ1661" s="36" t="e">
        <v>#REF!</v>
      </c>
    </row>
    <row r="1662" spans="1:36">
      <c r="A1662" s="19" t="s">
        <v>2772</v>
      </c>
      <c r="B1662" s="20"/>
      <c r="C1662" s="19" t="s">
        <v>51</v>
      </c>
      <c r="D1662" s="19" t="s">
        <v>52</v>
      </c>
      <c r="E1662" s="19" t="s">
        <v>57</v>
      </c>
      <c r="F1662" s="19" t="s">
        <v>40</v>
      </c>
      <c r="G1662" s="19"/>
      <c r="H1662" s="20">
        <v>2022</v>
      </c>
      <c r="I1662" s="19" t="s">
        <v>1274</v>
      </c>
      <c r="J1662" s="19" t="s">
        <v>2759</v>
      </c>
      <c r="K1662" s="21" t="s">
        <v>2760</v>
      </c>
      <c r="L1662" s="22" t="s">
        <v>60</v>
      </c>
      <c r="M1662" s="23" t="s">
        <v>268</v>
      </c>
      <c r="N1662" s="36" t="s">
        <v>2761</v>
      </c>
      <c r="O1662" s="36" t="s">
        <v>1019</v>
      </c>
      <c r="P1662" s="26">
        <f ca="1">IFERROR(VLOOKUP(DadosViagem5[[#This Row],[Placa]],[1]BIP!A:E,5,FALSE),"")</f>
        <v>45989</v>
      </c>
      <c r="Q1662" s="27">
        <f ca="1">DATEDIF(DadosViagem5[[#This Row],[BIP]],TODAY(),"D")</f>
        <v>1</v>
      </c>
      <c r="R1662" s="28" t="str">
        <f>IFERROR(VLOOKUP(DadosViagem5[[#This Row],[Placa]],[1]DDS!B:C,2,FALSE),"Verificar cadastro")</f>
        <v>Operando</v>
      </c>
      <c r="S1662" s="29" t="s">
        <v>48</v>
      </c>
      <c r="T1662" s="23"/>
      <c r="U1662" s="30"/>
      <c r="V1662" s="31"/>
      <c r="W1662" s="95"/>
      <c r="X1662" s="33"/>
      <c r="Y1662" s="34"/>
      <c r="Z1662" s="32"/>
      <c r="AA1662" s="20" t="s">
        <v>49</v>
      </c>
      <c r="AB1662" s="20" t="s">
        <v>49</v>
      </c>
      <c r="AC1662" s="19" t="s">
        <v>49</v>
      </c>
      <c r="AD1662" s="19" t="str">
        <f ca="1">IFERROR(DATEDIF(DadosViagem5[[#This Row],[Utimo Bip Reserva]],TODAY(),"D"),"")</f>
        <v/>
      </c>
      <c r="AE1662" s="36" t="s">
        <v>49</v>
      </c>
      <c r="AF1662" s="25" t="s">
        <v>49</v>
      </c>
      <c r="AG1662" s="36"/>
      <c r="AH1662" s="25">
        <v>45807</v>
      </c>
      <c r="AI1662" s="36" t="str">
        <f>IF(DadosViagem5[[#This Row],[Dias em manutenção ]]&lt;5,"Dentro do Prazo","Fora do Prazo")</f>
        <v>Fora do Prazo</v>
      </c>
      <c r="AJ1662" s="36" t="e">
        <v>#REF!</v>
      </c>
    </row>
    <row r="1663" spans="1:36">
      <c r="A1663" s="19" t="s">
        <v>2773</v>
      </c>
      <c r="B1663" s="20"/>
      <c r="C1663" s="19" t="s">
        <v>131</v>
      </c>
      <c r="D1663" s="19" t="s">
        <v>132</v>
      </c>
      <c r="E1663" s="19" t="s">
        <v>57</v>
      </c>
      <c r="F1663" s="19" t="s">
        <v>40</v>
      </c>
      <c r="G1663" s="19"/>
      <c r="H1663" s="20">
        <v>2022</v>
      </c>
      <c r="I1663" s="19" t="s">
        <v>1274</v>
      </c>
      <c r="J1663" s="19" t="s">
        <v>2759</v>
      </c>
      <c r="K1663" s="21" t="s">
        <v>2760</v>
      </c>
      <c r="L1663" s="22" t="s">
        <v>60</v>
      </c>
      <c r="M1663" s="23" t="s">
        <v>268</v>
      </c>
      <c r="N1663" s="25" t="s">
        <v>2771</v>
      </c>
      <c r="O1663" s="36" t="s">
        <v>1019</v>
      </c>
      <c r="P1663" s="26">
        <f ca="1">IFERROR(VLOOKUP(DadosViagem5[[#This Row],[Placa]],[1]BIP!A:E,5,FALSE),"")</f>
        <v>45989</v>
      </c>
      <c r="Q1663" s="27">
        <f ca="1">DATEDIF(DadosViagem5[[#This Row],[BIP]],TODAY(),"D")</f>
        <v>1</v>
      </c>
      <c r="R1663" s="28" t="str">
        <f>IFERROR(VLOOKUP(DadosViagem5[[#This Row],[Placa]],[1]DDS!B:C,2,FALSE),"Verificar cadastro")</f>
        <v>Operando</v>
      </c>
      <c r="S1663" s="29" t="s">
        <v>48</v>
      </c>
      <c r="T1663" s="23"/>
      <c r="U1663" s="30"/>
      <c r="V1663" s="31"/>
      <c r="W1663" s="32"/>
      <c r="X1663" s="33"/>
      <c r="Y1663" s="34"/>
      <c r="Z1663" s="32"/>
      <c r="AA1663" s="20" t="s">
        <v>49</v>
      </c>
      <c r="AB1663" s="20" t="s">
        <v>49</v>
      </c>
      <c r="AC1663" s="19" t="s">
        <v>49</v>
      </c>
      <c r="AD1663" s="19" t="str">
        <f ca="1">IFERROR(DATEDIF(DadosViagem5[[#This Row],[Utimo Bip Reserva]],TODAY(),"D"),"")</f>
        <v/>
      </c>
      <c r="AE1663" s="36" t="s">
        <v>49</v>
      </c>
      <c r="AF1663" s="25" t="s">
        <v>49</v>
      </c>
      <c r="AG1663" s="36"/>
      <c r="AH1663" s="25">
        <v>45807</v>
      </c>
      <c r="AI1663" s="36" t="str">
        <f>IF(DadosViagem5[[#This Row],[Dias em manutenção ]]&lt;5,"Dentro do Prazo","Fora do Prazo")</f>
        <v>Fora do Prazo</v>
      </c>
      <c r="AJ1663" s="36" t="e">
        <v>#REF!</v>
      </c>
    </row>
    <row r="1664" spans="1:36">
      <c r="A1664" s="142" t="s">
        <v>2774</v>
      </c>
      <c r="B1664" s="20"/>
      <c r="C1664" s="19" t="s">
        <v>2775</v>
      </c>
      <c r="D1664" s="19" t="s">
        <v>2776</v>
      </c>
      <c r="E1664" s="19" t="s">
        <v>57</v>
      </c>
      <c r="F1664" s="19"/>
      <c r="G1664" s="19"/>
      <c r="H1664" s="36"/>
      <c r="I1664" s="19" t="s">
        <v>41</v>
      </c>
      <c r="J1664" s="19" t="s">
        <v>2777</v>
      </c>
      <c r="K1664" s="21" t="s">
        <v>2778</v>
      </c>
      <c r="L1664" s="22" t="s">
        <v>60</v>
      </c>
      <c r="M1664" s="23" t="s">
        <v>61</v>
      </c>
      <c r="N1664" s="36" t="s">
        <v>2779</v>
      </c>
      <c r="O1664" s="65" t="s">
        <v>63</v>
      </c>
      <c r="P1664" s="26" t="str">
        <f>IFERROR(VLOOKUP(DadosViagem5[[#This Row],[Placa]],[1]BIP!A:E,5,FALSE),"")</f>
        <v/>
      </c>
      <c r="Q1664" s="27" t="e">
        <f ca="1">DATEDIF(DadosViagem5[[#This Row],[BIP]],TODAY(),"D")</f>
        <v>#VALUE!</v>
      </c>
      <c r="R1664" s="28" t="str">
        <f>IFERROR(VLOOKUP(DadosViagem5[[#This Row],[Placa]],[1]DDS!B:C,2,FALSE),"Verificar cadastro")</f>
        <v>Carregado</v>
      </c>
      <c r="S1664" s="29" t="s">
        <v>48</v>
      </c>
      <c r="T1664" s="23"/>
      <c r="U1664" s="30"/>
      <c r="V1664" s="31"/>
      <c r="W1664" s="32"/>
      <c r="X1664" s="33"/>
      <c r="Y1664" s="34"/>
      <c r="Z1664" s="32"/>
      <c r="AA1664" s="20" t="s">
        <v>49</v>
      </c>
      <c r="AB1664" s="20" t="s">
        <v>49</v>
      </c>
      <c r="AC1664" s="19" t="s">
        <v>49</v>
      </c>
      <c r="AD1664" s="19" t="str">
        <f ca="1">IFERROR(DATEDIF(DadosViagem5[[#This Row],[Utimo Bip Reserva]],TODAY(),"D"),"")</f>
        <v/>
      </c>
      <c r="AE1664" s="36" t="s">
        <v>2021</v>
      </c>
      <c r="AF1664" s="25" t="s">
        <v>49</v>
      </c>
      <c r="AG1664" s="36"/>
      <c r="AH1664" s="25">
        <v>45807</v>
      </c>
      <c r="AI1664" s="36" t="str">
        <f>IF(DadosViagem5[[#This Row],[Dias em manutenção ]]&lt;5,"Dentro do Prazo","Fora do Prazo")</f>
        <v>Fora do Prazo</v>
      </c>
      <c r="AJ1664" s="36" t="e">
        <v>#REF!</v>
      </c>
    </row>
    <row r="1665" spans="1:36">
      <c r="A1665" s="19" t="s">
        <v>2780</v>
      </c>
      <c r="B1665" s="20"/>
      <c r="C1665" s="19" t="s">
        <v>562</v>
      </c>
      <c r="D1665" s="19" t="s">
        <v>563</v>
      </c>
      <c r="E1665" s="19" t="s">
        <v>114</v>
      </c>
      <c r="F1665" s="19" t="s">
        <v>115</v>
      </c>
      <c r="G1665" s="19"/>
      <c r="H1665" s="20">
        <v>2021</v>
      </c>
      <c r="I1665" s="19" t="s">
        <v>41</v>
      </c>
      <c r="J1665" s="19" t="s">
        <v>2777</v>
      </c>
      <c r="K1665" s="21" t="s">
        <v>2778</v>
      </c>
      <c r="L1665" s="22" t="s">
        <v>60</v>
      </c>
      <c r="M1665" s="23" t="s">
        <v>61</v>
      </c>
      <c r="N1665" s="36" t="s">
        <v>2779</v>
      </c>
      <c r="O1665" s="65" t="s">
        <v>63</v>
      </c>
      <c r="P1665" s="26">
        <f ca="1">IFERROR(VLOOKUP(DadosViagem5[[#This Row],[Placa]],[1]BIP!A:E,5,FALSE),"")</f>
        <v>45989</v>
      </c>
      <c r="Q1665" s="27">
        <f ca="1">DATEDIF(DadosViagem5[[#This Row],[BIP]],TODAY(),"D")</f>
        <v>1</v>
      </c>
      <c r="R1665" s="28" t="str">
        <f>IFERROR(VLOOKUP(DadosViagem5[[#This Row],[Placa]],[1]DDS!B:C,2,FALSE),"Verificar cadastro")</f>
        <v>Operando</v>
      </c>
      <c r="S1665" s="29" t="s">
        <v>48</v>
      </c>
      <c r="T1665" s="23"/>
      <c r="U1665" s="30"/>
      <c r="V1665" s="31"/>
      <c r="W1665" s="32"/>
      <c r="X1665" s="33"/>
      <c r="Y1665" s="34"/>
      <c r="Z1665" s="32"/>
      <c r="AA1665" s="20" t="s">
        <v>49</v>
      </c>
      <c r="AB1665" s="20" t="s">
        <v>49</v>
      </c>
      <c r="AC1665" s="19" t="s">
        <v>49</v>
      </c>
      <c r="AD1665" s="19" t="str">
        <f ca="1">IFERROR(DATEDIF(DadosViagem5[[#This Row],[Utimo Bip Reserva]],TODAY(),"D"),"")</f>
        <v/>
      </c>
      <c r="AE1665" s="36" t="s">
        <v>2021</v>
      </c>
      <c r="AF1665" s="25" t="s">
        <v>49</v>
      </c>
      <c r="AG1665" s="36"/>
      <c r="AH1665" s="25">
        <v>45807</v>
      </c>
      <c r="AI1665" s="36" t="str">
        <f>IF(DadosViagem5[[#This Row],[Dias em manutenção ]]&lt;5,"Dentro do Prazo","Fora do Prazo")</f>
        <v>Fora do Prazo</v>
      </c>
      <c r="AJ1665" s="36" t="e">
        <v>#REF!</v>
      </c>
    </row>
    <row r="1666" spans="1:36">
      <c r="A1666" s="97" t="s">
        <v>2781</v>
      </c>
      <c r="B1666" s="98"/>
      <c r="C1666" s="97" t="s">
        <v>131</v>
      </c>
      <c r="D1666" s="97" t="s">
        <v>132</v>
      </c>
      <c r="E1666" s="97" t="s">
        <v>57</v>
      </c>
      <c r="F1666" s="97" t="s">
        <v>40</v>
      </c>
      <c r="G1666" s="97"/>
      <c r="H1666" s="98">
        <v>2019</v>
      </c>
      <c r="I1666" s="97" t="s">
        <v>2782</v>
      </c>
      <c r="J1666" s="97" t="s">
        <v>2783</v>
      </c>
      <c r="K1666" s="99" t="s">
        <v>2784</v>
      </c>
      <c r="L1666" s="100" t="s">
        <v>60</v>
      </c>
      <c r="M1666" s="23" t="s">
        <v>268</v>
      </c>
      <c r="N1666" s="36" t="s">
        <v>2785</v>
      </c>
      <c r="O1666" s="36" t="s">
        <v>1448</v>
      </c>
      <c r="P1666" s="26">
        <f ca="1">IFERROR(VLOOKUP(DadosViagem5[[#This Row],[Placa]],[1]BIP!A:E,5,FALSE),"")</f>
        <v>45989</v>
      </c>
      <c r="Q1666" s="27">
        <f ca="1">DATEDIF(DadosViagem5[[#This Row],[BIP]],TODAY(),"D")</f>
        <v>1</v>
      </c>
      <c r="R1666" s="28" t="str">
        <f>IFERROR(VLOOKUP(DadosViagem5[[#This Row],[Placa]],[1]DDS!B:C,2,FALSE),"Verificar cadastro")</f>
        <v>Operando</v>
      </c>
      <c r="S1666" s="29" t="s">
        <v>48</v>
      </c>
      <c r="T1666" s="23"/>
      <c r="U1666" s="30"/>
      <c r="V1666" s="31"/>
      <c r="W1666" s="32"/>
      <c r="X1666" s="33"/>
      <c r="Y1666" s="34"/>
      <c r="Z1666" s="32"/>
      <c r="AA1666" s="20" t="s">
        <v>49</v>
      </c>
      <c r="AB1666" s="20" t="s">
        <v>49</v>
      </c>
      <c r="AC1666" s="19" t="s">
        <v>49</v>
      </c>
      <c r="AD1666" s="19" t="str">
        <f ca="1">IFERROR(DATEDIF(DadosViagem5[[#This Row],[Utimo Bip Reserva]],TODAY(),"D"),"")</f>
        <v/>
      </c>
      <c r="AE1666" s="36" t="s">
        <v>49</v>
      </c>
      <c r="AF1666" s="25" t="s">
        <v>49</v>
      </c>
      <c r="AG1666" s="36"/>
      <c r="AH1666" s="25">
        <v>45807</v>
      </c>
      <c r="AI1666" s="36" t="str">
        <f>IF(DadosViagem5[[#This Row],[Dias em manutenção ]]&lt;5,"Dentro do Prazo","Fora do Prazo")</f>
        <v>Fora do Prazo</v>
      </c>
      <c r="AJ1666" s="36" t="e">
        <v>#REF!</v>
      </c>
    </row>
    <row r="1667" spans="1:36">
      <c r="A1667" s="19" t="s">
        <v>2786</v>
      </c>
      <c r="B1667" s="20"/>
      <c r="C1667" s="19" t="s">
        <v>131</v>
      </c>
      <c r="D1667" s="19" t="s">
        <v>132</v>
      </c>
      <c r="E1667" s="19" t="s">
        <v>57</v>
      </c>
      <c r="F1667" s="19" t="s">
        <v>396</v>
      </c>
      <c r="G1667" s="19"/>
      <c r="H1667" s="20">
        <v>2016</v>
      </c>
      <c r="I1667" s="19" t="s">
        <v>2787</v>
      </c>
      <c r="J1667" s="19" t="s">
        <v>2788</v>
      </c>
      <c r="K1667" s="21" t="s">
        <v>2784</v>
      </c>
      <c r="L1667" s="22" t="s">
        <v>60</v>
      </c>
      <c r="M1667" s="23" t="s">
        <v>268</v>
      </c>
      <c r="N1667" s="36" t="s">
        <v>2785</v>
      </c>
      <c r="O1667" s="36" t="s">
        <v>1448</v>
      </c>
      <c r="P1667" s="26">
        <f ca="1">IFERROR(VLOOKUP(DadosViagem5[[#This Row],[Placa]],[1]BIP!A:E,5,FALSE),"")</f>
        <v>45989</v>
      </c>
      <c r="Q1667" s="27">
        <f ca="1">DATEDIF(DadosViagem5[[#This Row],[BIP]],TODAY(),"D")</f>
        <v>1</v>
      </c>
      <c r="R1667" s="28" t="str">
        <f>IFERROR(VLOOKUP(DadosViagem5[[#This Row],[Placa]],[1]DDS!B:C,2,FALSE),"Verificar cadastro")</f>
        <v>Operando</v>
      </c>
      <c r="S1667" s="29" t="s">
        <v>48</v>
      </c>
      <c r="T1667" s="23"/>
      <c r="U1667" s="30"/>
      <c r="V1667" s="31"/>
      <c r="W1667" s="32"/>
      <c r="X1667" s="33"/>
      <c r="Y1667" s="34"/>
      <c r="Z1667" s="32"/>
      <c r="AA1667" s="20" t="s">
        <v>49</v>
      </c>
      <c r="AB1667" s="20" t="s">
        <v>49</v>
      </c>
      <c r="AC1667" s="19" t="s">
        <v>49</v>
      </c>
      <c r="AD1667" s="19" t="str">
        <f ca="1">IFERROR(DATEDIF(DadosViagem5[[#This Row],[Utimo Bip Reserva]],TODAY(),"D"),"")</f>
        <v/>
      </c>
      <c r="AE1667" s="36" t="s">
        <v>49</v>
      </c>
      <c r="AF1667" s="25" t="s">
        <v>49</v>
      </c>
      <c r="AG1667" s="36"/>
      <c r="AH1667" s="25">
        <v>45807</v>
      </c>
      <c r="AI1667" s="36" t="str">
        <f>IF(DadosViagem5[[#This Row],[Dias em manutenção ]]&lt;5,"Dentro do Prazo","Fora do Prazo")</f>
        <v>Fora do Prazo</v>
      </c>
      <c r="AJ1667" s="36" t="e">
        <v>#REF!</v>
      </c>
    </row>
    <row r="1668" spans="1:36">
      <c r="A1668" s="19" t="s">
        <v>2789</v>
      </c>
      <c r="B1668" s="20">
        <v>579</v>
      </c>
      <c r="C1668" s="19" t="s">
        <v>74</v>
      </c>
      <c r="D1668" s="19" t="s">
        <v>52</v>
      </c>
      <c r="E1668" s="19" t="s">
        <v>75</v>
      </c>
      <c r="F1668" s="19" t="s">
        <v>76</v>
      </c>
      <c r="G1668" s="19"/>
      <c r="H1668" s="20">
        <v>2024</v>
      </c>
      <c r="I1668" s="19" t="s">
        <v>1738</v>
      </c>
      <c r="J1668" s="19" t="s">
        <v>2790</v>
      </c>
      <c r="K1668" s="101" t="s">
        <v>2791</v>
      </c>
      <c r="L1668" s="22" t="s">
        <v>60</v>
      </c>
      <c r="M1668" s="23" t="s">
        <v>77</v>
      </c>
      <c r="N1668" s="36" t="s">
        <v>2792</v>
      </c>
      <c r="O1668" s="36" t="s">
        <v>1152</v>
      </c>
      <c r="P1668" s="26">
        <f ca="1">IFERROR(VLOOKUP(DadosViagem5[[#This Row],[Placa]],[1]BIP!A:E,5,FALSE),"")</f>
        <v>45986</v>
      </c>
      <c r="Q1668" s="27">
        <f ca="1">DATEDIF(DadosViagem5[[#This Row],[BIP]],TODAY(),"D")</f>
        <v>4</v>
      </c>
      <c r="R1668" s="28" t="str">
        <f>IFERROR(VLOOKUP(DadosViagem5[[#This Row],[Placa]],[1]DDS!B:C,2,FALSE),"Verificar cadastro")</f>
        <v> </v>
      </c>
      <c r="S1668" s="29" t="s">
        <v>48</v>
      </c>
      <c r="T1668" s="23"/>
      <c r="U1668" s="30"/>
      <c r="V1668" s="31"/>
      <c r="W1668" s="32"/>
      <c r="X1668" s="33"/>
      <c r="Y1668" s="34"/>
      <c r="Z1668" s="32"/>
      <c r="AA1668" s="20" t="s">
        <v>49</v>
      </c>
      <c r="AB1668" s="20" t="s">
        <v>49</v>
      </c>
      <c r="AC1668" s="19" t="s">
        <v>49</v>
      </c>
      <c r="AD1668" s="19" t="str">
        <f ca="1">IFERROR(DATEDIF(DadosViagem5[[#This Row],[Utimo Bip Reserva]],TODAY(),"D"),"")</f>
        <v/>
      </c>
      <c r="AE1668" s="25" t="s">
        <v>49</v>
      </c>
      <c r="AF1668" s="25" t="s">
        <v>49</v>
      </c>
      <c r="AG1668" s="36"/>
      <c r="AH1668" s="25">
        <v>45807</v>
      </c>
      <c r="AI1668" s="36" t="str">
        <f>IF(DadosViagem5[[#This Row],[Dias em manutenção ]]&lt;5,"Dentro do Prazo","Fora do Prazo")</f>
        <v>Fora do Prazo</v>
      </c>
      <c r="AJ1668" s="36" t="e">
        <v>#REF!</v>
      </c>
    </row>
    <row r="1669" spans="1:36">
      <c r="A1669" s="19" t="s">
        <v>2793</v>
      </c>
      <c r="B1669" s="20">
        <v>578</v>
      </c>
      <c r="C1669" s="19" t="s">
        <v>74</v>
      </c>
      <c r="D1669" s="19" t="s">
        <v>52</v>
      </c>
      <c r="E1669" s="19" t="s">
        <v>75</v>
      </c>
      <c r="F1669" s="19" t="s">
        <v>76</v>
      </c>
      <c r="G1669" s="19"/>
      <c r="H1669" s="20">
        <v>2024</v>
      </c>
      <c r="I1669" s="19" t="s">
        <v>1738</v>
      </c>
      <c r="J1669" s="19" t="s">
        <v>2790</v>
      </c>
      <c r="K1669" s="101" t="s">
        <v>2791</v>
      </c>
      <c r="L1669" s="22" t="s">
        <v>60</v>
      </c>
      <c r="M1669" s="23" t="s">
        <v>77</v>
      </c>
      <c r="N1669" s="36" t="s">
        <v>2792</v>
      </c>
      <c r="O1669" s="36" t="s">
        <v>1152</v>
      </c>
      <c r="P1669" s="26">
        <f ca="1">IFERROR(VLOOKUP(DadosViagem5[[#This Row],[Placa]],[1]BIP!A:E,5,FALSE),"")</f>
        <v>45989</v>
      </c>
      <c r="Q1669" s="27">
        <f ca="1">DATEDIF(DadosViagem5[[#This Row],[BIP]],TODAY(),"D")</f>
        <v>1</v>
      </c>
      <c r="R1669" s="28" t="str">
        <f>IFERROR(VLOOKUP(DadosViagem5[[#This Row],[Placa]],[1]DDS!B:C,2,FALSE),"Verificar cadastro")</f>
        <v>Operando</v>
      </c>
      <c r="S1669" s="29" t="s">
        <v>48</v>
      </c>
      <c r="T1669" s="23"/>
      <c r="U1669" s="30"/>
      <c r="V1669" s="31"/>
      <c r="W1669" s="32"/>
      <c r="X1669" s="33"/>
      <c r="Y1669" s="34"/>
      <c r="Z1669" s="32"/>
      <c r="AA1669" s="20" t="s">
        <v>49</v>
      </c>
      <c r="AB1669" s="20" t="s">
        <v>49</v>
      </c>
      <c r="AC1669" s="19" t="s">
        <v>49</v>
      </c>
      <c r="AD1669" s="19" t="str">
        <f ca="1">IFERROR(DATEDIF(DadosViagem5[[#This Row],[Utimo Bip Reserva]],TODAY(),"D"),"")</f>
        <v/>
      </c>
      <c r="AE1669" s="29"/>
      <c r="AF1669" s="35"/>
      <c r="AG1669" s="36"/>
      <c r="AH1669" s="25">
        <v>45807</v>
      </c>
      <c r="AI1669" s="36" t="str">
        <f>IF(DadosViagem5[[#This Row],[Dias em manutenção ]]&lt;5,"Dentro do Prazo","Fora do Prazo")</f>
        <v>Fora do Prazo</v>
      </c>
      <c r="AJ1669" s="36" t="e">
        <v>#REF!</v>
      </c>
    </row>
    <row r="1670" spans="1:36">
      <c r="A1670" s="19" t="s">
        <v>2794</v>
      </c>
      <c r="B1670" s="20">
        <v>588</v>
      </c>
      <c r="C1670" s="19" t="s">
        <v>74</v>
      </c>
      <c r="D1670" s="19" t="s">
        <v>52</v>
      </c>
      <c r="E1670" s="19" t="s">
        <v>75</v>
      </c>
      <c r="F1670" s="19" t="s">
        <v>76</v>
      </c>
      <c r="G1670" s="19"/>
      <c r="H1670" s="20">
        <v>2024</v>
      </c>
      <c r="I1670" s="19" t="s">
        <v>1738</v>
      </c>
      <c r="J1670" s="19" t="s">
        <v>2790</v>
      </c>
      <c r="K1670" s="101" t="s">
        <v>2791</v>
      </c>
      <c r="L1670" s="22" t="s">
        <v>60</v>
      </c>
      <c r="M1670" s="23" t="s">
        <v>77</v>
      </c>
      <c r="N1670" s="36" t="s">
        <v>2792</v>
      </c>
      <c r="O1670" s="36" t="s">
        <v>1152</v>
      </c>
      <c r="P1670" s="26">
        <f ca="1">IFERROR(VLOOKUP(DadosViagem5[[#This Row],[Placa]],[1]BIP!A:E,5,FALSE),"")</f>
        <v>0</v>
      </c>
      <c r="Q1670" s="27">
        <f ca="1">DATEDIF(DadosViagem5[[#This Row],[BIP]],TODAY(),"D")</f>
        <v>45990</v>
      </c>
      <c r="R1670" s="28" t="str">
        <f>IFERROR(VLOOKUP(DadosViagem5[[#This Row],[Placa]],[1]DDS!B:C,2,FALSE),"Verificar cadastro")</f>
        <v> </v>
      </c>
      <c r="S1670" s="29" t="s">
        <v>48</v>
      </c>
      <c r="T1670" s="23"/>
      <c r="U1670" s="30"/>
      <c r="V1670" s="31"/>
      <c r="W1670" s="32"/>
      <c r="X1670" s="33"/>
      <c r="Y1670" s="34"/>
      <c r="Z1670" s="32"/>
      <c r="AA1670" s="20" t="s">
        <v>49</v>
      </c>
      <c r="AB1670" s="20" t="s">
        <v>49</v>
      </c>
      <c r="AC1670" s="19" t="s">
        <v>49</v>
      </c>
      <c r="AD1670" s="19" t="str">
        <f ca="1">IFERROR(DATEDIF(DadosViagem5[[#This Row],[Utimo Bip Reserva]],TODAY(),"D"),"")</f>
        <v/>
      </c>
      <c r="AE1670" s="36"/>
      <c r="AF1670" s="25"/>
      <c r="AG1670" s="36"/>
      <c r="AH1670" s="25">
        <v>45807</v>
      </c>
      <c r="AI1670" s="36" t="str">
        <f>IF(DadosViagem5[[#This Row],[Dias em manutenção ]]&lt;5,"Dentro do Prazo","Fora do Prazo")</f>
        <v>Fora do Prazo</v>
      </c>
      <c r="AJ1670" s="36" t="e">
        <v>#REF!</v>
      </c>
    </row>
    <row r="1671" spans="1:36">
      <c r="A1671" s="19" t="s">
        <v>2795</v>
      </c>
      <c r="B1671" s="20">
        <v>592</v>
      </c>
      <c r="C1671" s="19" t="s">
        <v>74</v>
      </c>
      <c r="D1671" s="19" t="s">
        <v>52</v>
      </c>
      <c r="E1671" s="19" t="s">
        <v>75</v>
      </c>
      <c r="F1671" s="19" t="s">
        <v>76</v>
      </c>
      <c r="G1671" s="19"/>
      <c r="H1671" s="20">
        <v>2024</v>
      </c>
      <c r="I1671" s="19" t="s">
        <v>1738</v>
      </c>
      <c r="J1671" s="19" t="s">
        <v>2790</v>
      </c>
      <c r="K1671" s="101" t="s">
        <v>2791</v>
      </c>
      <c r="L1671" s="22" t="s">
        <v>60</v>
      </c>
      <c r="M1671" s="23" t="s">
        <v>77</v>
      </c>
      <c r="N1671" s="36" t="s">
        <v>2792</v>
      </c>
      <c r="O1671" s="36" t="s">
        <v>1152</v>
      </c>
      <c r="P1671" s="26">
        <f ca="1">IFERROR(VLOOKUP(DadosViagem5[[#This Row],[Placa]],[1]BIP!A:E,5,FALSE),"")</f>
        <v>45989</v>
      </c>
      <c r="Q1671" s="27">
        <f ca="1">DATEDIF(DadosViagem5[[#This Row],[BIP]],TODAY(),"D")</f>
        <v>1</v>
      </c>
      <c r="R1671" s="28" t="str">
        <f>IFERROR(VLOOKUP(DadosViagem5[[#This Row],[Placa]],[1]DDS!B:C,2,FALSE),"Verificar cadastro")</f>
        <v>Operando</v>
      </c>
      <c r="S1671" s="29" t="s">
        <v>48</v>
      </c>
      <c r="T1671" s="23"/>
      <c r="U1671" s="30"/>
      <c r="V1671" s="31"/>
      <c r="W1671" s="32"/>
      <c r="X1671" s="33"/>
      <c r="Y1671" s="34"/>
      <c r="Z1671" s="32"/>
      <c r="AA1671" s="20" t="s">
        <v>49</v>
      </c>
      <c r="AB1671" s="20" t="s">
        <v>49</v>
      </c>
      <c r="AC1671" s="19" t="s">
        <v>49</v>
      </c>
      <c r="AD1671" s="19" t="str">
        <f ca="1">IFERROR(DATEDIF(DadosViagem5[[#This Row],[Utimo Bip Reserva]],TODAY(),"D"),"")</f>
        <v/>
      </c>
      <c r="AE1671" s="25" t="s">
        <v>49</v>
      </c>
      <c r="AF1671" s="25" t="s">
        <v>49</v>
      </c>
      <c r="AG1671" s="36"/>
      <c r="AH1671" s="25">
        <v>45807</v>
      </c>
      <c r="AI1671" s="36" t="str">
        <f>IF(DadosViagem5[[#This Row],[Dias em manutenção ]]&lt;5,"Dentro do Prazo","Fora do Prazo")</f>
        <v>Fora do Prazo</v>
      </c>
      <c r="AJ1671" s="36" t="e">
        <v>#REF!</v>
      </c>
    </row>
    <row r="1672" spans="1:36">
      <c r="A1672" s="19" t="s">
        <v>2796</v>
      </c>
      <c r="B1672" s="20">
        <v>602</v>
      </c>
      <c r="C1672" s="19" t="s">
        <v>74</v>
      </c>
      <c r="D1672" s="19" t="s">
        <v>52</v>
      </c>
      <c r="E1672" s="19" t="s">
        <v>75</v>
      </c>
      <c r="F1672" s="19" t="s">
        <v>76</v>
      </c>
      <c r="G1672" s="19"/>
      <c r="H1672" s="20">
        <v>2024</v>
      </c>
      <c r="I1672" s="19" t="s">
        <v>1738</v>
      </c>
      <c r="J1672" s="19" t="s">
        <v>2790</v>
      </c>
      <c r="K1672" s="101" t="s">
        <v>2791</v>
      </c>
      <c r="L1672" s="22" t="s">
        <v>60</v>
      </c>
      <c r="M1672" s="23" t="s">
        <v>77</v>
      </c>
      <c r="N1672" s="36" t="s">
        <v>2792</v>
      </c>
      <c r="O1672" s="36" t="s">
        <v>1152</v>
      </c>
      <c r="P1672" s="26">
        <f ca="1">IFERROR(VLOOKUP(DadosViagem5[[#This Row],[Placa]],[1]BIP!A:E,5,FALSE),"")</f>
        <v>45989</v>
      </c>
      <c r="Q1672" s="27">
        <f ca="1">DATEDIF(DadosViagem5[[#This Row],[BIP]],TODAY(),"D")</f>
        <v>1</v>
      </c>
      <c r="R1672" s="28" t="str">
        <f>IFERROR(VLOOKUP(DadosViagem5[[#This Row],[Placa]],[1]DDS!B:C,2,FALSE),"Verificar cadastro")</f>
        <v>Operando</v>
      </c>
      <c r="S1672" s="29" t="s">
        <v>48</v>
      </c>
      <c r="T1672" s="23"/>
      <c r="U1672" s="30"/>
      <c r="V1672" s="31"/>
      <c r="W1672" s="32" t="s">
        <v>2797</v>
      </c>
      <c r="X1672" s="33"/>
      <c r="Y1672" s="34"/>
      <c r="Z1672" s="32"/>
      <c r="AA1672" s="20" t="s">
        <v>49</v>
      </c>
      <c r="AB1672" s="20" t="s">
        <v>49</v>
      </c>
      <c r="AC1672" s="19" t="s">
        <v>49</v>
      </c>
      <c r="AD1672" s="19" t="str">
        <f ca="1">IFERROR(DATEDIF(DadosViagem5[[#This Row],[Utimo Bip Reserva]],TODAY(),"D"),"")</f>
        <v/>
      </c>
      <c r="AE1672" s="25"/>
      <c r="AF1672" s="25"/>
      <c r="AG1672" s="36"/>
      <c r="AH1672" s="25">
        <v>45807</v>
      </c>
      <c r="AI1672" s="36" t="str">
        <f>IF(DadosViagem5[[#This Row],[Dias em manutenção ]]&lt;5,"Dentro do Prazo","Fora do Prazo")</f>
        <v>Fora do Prazo</v>
      </c>
      <c r="AJ1672" s="36" t="e">
        <v>#REF!</v>
      </c>
    </row>
    <row r="1673" spans="1:36">
      <c r="A1673" s="19" t="s">
        <v>2798</v>
      </c>
      <c r="B1673" s="20"/>
      <c r="C1673" s="19" t="s">
        <v>88</v>
      </c>
      <c r="D1673" s="19" t="s">
        <v>52</v>
      </c>
      <c r="E1673" s="19" t="s">
        <v>57</v>
      </c>
      <c r="F1673" s="19" t="s">
        <v>40</v>
      </c>
      <c r="G1673" s="19"/>
      <c r="H1673" s="20">
        <v>2023</v>
      </c>
      <c r="I1673" s="19" t="s">
        <v>1040</v>
      </c>
      <c r="J1673" s="19" t="s">
        <v>1348</v>
      </c>
      <c r="K1673" s="21" t="s">
        <v>1349</v>
      </c>
      <c r="L1673" s="22" t="s">
        <v>60</v>
      </c>
      <c r="M1673" s="23" t="s">
        <v>45</v>
      </c>
      <c r="N1673" s="36" t="s">
        <v>1350</v>
      </c>
      <c r="O1673" s="36" t="s">
        <v>1152</v>
      </c>
      <c r="P1673" s="26">
        <f ca="1">IFERROR(VLOOKUP(DadosViagem5[[#This Row],[Placa]],[1]BIP!A:E,5,FALSE),"")</f>
        <v>45989</v>
      </c>
      <c r="Q1673" s="27">
        <f ca="1">DATEDIF(DadosViagem5[[#This Row],[BIP]],TODAY(),"D")</f>
        <v>1</v>
      </c>
      <c r="R1673" s="28" t="str">
        <f>IFERROR(VLOOKUP(DadosViagem5[[#This Row],[Placa]],[1]DDS!B:C,2,FALSE),"Verificar cadastro")</f>
        <v>Operando</v>
      </c>
      <c r="S1673" s="29" t="s">
        <v>173</v>
      </c>
      <c r="T1673" s="23"/>
      <c r="U1673" s="30"/>
      <c r="V1673" s="31"/>
      <c r="W1673" s="32"/>
      <c r="X1673" s="33"/>
      <c r="Y1673" s="34"/>
      <c r="Z1673" s="32"/>
      <c r="AA1673" s="20" t="s">
        <v>49</v>
      </c>
      <c r="AB1673" s="20" t="s">
        <v>49</v>
      </c>
      <c r="AC1673" s="19" t="s">
        <v>49</v>
      </c>
      <c r="AD1673" s="19" t="str">
        <f ca="1">IFERROR(DATEDIF(DadosViagem5[[#This Row],[Utimo Bip Reserva]],TODAY(),"D"),"")</f>
        <v/>
      </c>
      <c r="AE1673" s="25" t="s">
        <v>49</v>
      </c>
      <c r="AF1673" s="25" t="s">
        <v>49</v>
      </c>
      <c r="AG1673" s="36"/>
      <c r="AH1673" s="25">
        <v>45807</v>
      </c>
      <c r="AI1673" s="36" t="str">
        <f>IF(DadosViagem5[[#This Row],[Dias em manutenção ]]&lt;5,"Dentro do Prazo","Fora do Prazo")</f>
        <v>Fora do Prazo</v>
      </c>
      <c r="AJ1673" s="36" t="e">
        <v>#REF!</v>
      </c>
    </row>
    <row r="1674" spans="1:36">
      <c r="A1674" s="19" t="s">
        <v>2799</v>
      </c>
      <c r="B1674" s="20"/>
      <c r="C1674" s="19" t="s">
        <v>88</v>
      </c>
      <c r="D1674" s="19" t="s">
        <v>52</v>
      </c>
      <c r="E1674" s="19" t="s">
        <v>57</v>
      </c>
      <c r="F1674" s="19" t="s">
        <v>40</v>
      </c>
      <c r="G1674" s="19"/>
      <c r="H1674" s="20">
        <v>2023</v>
      </c>
      <c r="I1674" s="19" t="s">
        <v>1040</v>
      </c>
      <c r="J1674" s="19" t="s">
        <v>1348</v>
      </c>
      <c r="K1674" s="21" t="s">
        <v>1349</v>
      </c>
      <c r="L1674" s="22" t="s">
        <v>60</v>
      </c>
      <c r="M1674" s="23" t="s">
        <v>45</v>
      </c>
      <c r="N1674" s="36" t="s">
        <v>1350</v>
      </c>
      <c r="O1674" s="36" t="s">
        <v>1152</v>
      </c>
      <c r="P1674" s="26">
        <f ca="1">IFERROR(VLOOKUP(DadosViagem5[[#This Row],[Placa]],[1]BIP!A:E,5,FALSE),"")</f>
        <v>45989</v>
      </c>
      <c r="Q1674" s="27">
        <f ca="1">DATEDIF(DadosViagem5[[#This Row],[BIP]],TODAY(),"D")</f>
        <v>1</v>
      </c>
      <c r="R1674" s="28" t="str">
        <f>IFERROR(VLOOKUP(DadosViagem5[[#This Row],[Placa]],[1]DDS!B:C,2,FALSE),"Verificar cadastro")</f>
        <v>Operando</v>
      </c>
      <c r="S1674" s="29" t="s">
        <v>48</v>
      </c>
      <c r="T1674" s="23"/>
      <c r="U1674" s="30"/>
      <c r="V1674" s="31"/>
      <c r="W1674" s="32"/>
      <c r="X1674" s="33"/>
      <c r="Y1674" s="34"/>
      <c r="Z1674" s="32"/>
      <c r="AA1674" s="20" t="s">
        <v>49</v>
      </c>
      <c r="AB1674" s="20" t="s">
        <v>49</v>
      </c>
      <c r="AC1674" s="19" t="s">
        <v>49</v>
      </c>
      <c r="AD1674" s="19" t="str">
        <f ca="1">IFERROR(DATEDIF(DadosViagem5[[#This Row],[Utimo Bip Reserva]],TODAY(),"D"),"")</f>
        <v/>
      </c>
      <c r="AE1674" s="36" t="s">
        <v>49</v>
      </c>
      <c r="AF1674" s="25" t="s">
        <v>49</v>
      </c>
      <c r="AG1674" s="36"/>
      <c r="AH1674" s="25">
        <v>45807</v>
      </c>
      <c r="AI1674" s="36" t="str">
        <f>IF(DadosViagem5[[#This Row],[Dias em manutenção ]]&lt;5,"Dentro do Prazo","Fora do Prazo")</f>
        <v>Fora do Prazo</v>
      </c>
      <c r="AJ1674" s="36" t="e">
        <v>#REF!</v>
      </c>
    </row>
    <row r="1675" spans="1:36">
      <c r="A1675" s="19" t="s">
        <v>2800</v>
      </c>
      <c r="B1675" s="20"/>
      <c r="C1675" s="19" t="s">
        <v>88</v>
      </c>
      <c r="D1675" s="19" t="s">
        <v>52</v>
      </c>
      <c r="E1675" s="19" t="s">
        <v>57</v>
      </c>
      <c r="F1675" s="19" t="s">
        <v>40</v>
      </c>
      <c r="G1675" s="19"/>
      <c r="H1675" s="20">
        <v>2023</v>
      </c>
      <c r="I1675" s="19" t="s">
        <v>1040</v>
      </c>
      <c r="J1675" s="19" t="s">
        <v>1348</v>
      </c>
      <c r="K1675" s="21" t="s">
        <v>1349</v>
      </c>
      <c r="L1675" s="39" t="s">
        <v>60</v>
      </c>
      <c r="M1675" s="23" t="s">
        <v>45</v>
      </c>
      <c r="N1675" s="36" t="s">
        <v>1350</v>
      </c>
      <c r="O1675" s="36" t="s">
        <v>1152</v>
      </c>
      <c r="P1675" s="26">
        <f ca="1">IFERROR(VLOOKUP(DadosViagem5[[#This Row],[Placa]],[1]BIP!A:E,5,FALSE),"")</f>
        <v>45989</v>
      </c>
      <c r="Q1675" s="27">
        <f ca="1">DATEDIF(DadosViagem5[[#This Row],[BIP]],TODAY(),"D")</f>
        <v>1</v>
      </c>
      <c r="R1675" s="28" t="str">
        <f>IFERROR(VLOOKUP(DadosViagem5[[#This Row],[Placa]],[1]DDS!B:C,2,FALSE),"Verificar cadastro")</f>
        <v>Operando</v>
      </c>
      <c r="S1675" s="29" t="s">
        <v>173</v>
      </c>
      <c r="T1675" s="23"/>
      <c r="U1675" s="30"/>
      <c r="V1675" s="31"/>
      <c r="W1675" s="32"/>
      <c r="X1675" s="33"/>
      <c r="Y1675" s="34"/>
      <c r="Z1675" s="32"/>
      <c r="AA1675" s="20" t="s">
        <v>49</v>
      </c>
      <c r="AB1675" s="20" t="s">
        <v>49</v>
      </c>
      <c r="AC1675" s="19" t="s">
        <v>49</v>
      </c>
      <c r="AD1675" s="19" t="str">
        <f ca="1">IFERROR(DATEDIF(DadosViagem5[[#This Row],[Utimo Bip Reserva]],TODAY(),"D"),"")</f>
        <v/>
      </c>
      <c r="AE1675" s="25" t="s">
        <v>49</v>
      </c>
      <c r="AF1675" s="25" t="s">
        <v>49</v>
      </c>
      <c r="AG1675" s="36"/>
      <c r="AH1675" s="25">
        <v>45807</v>
      </c>
      <c r="AI1675" s="36" t="str">
        <f>IF(DadosViagem5[[#This Row],[Dias em manutenção ]]&lt;5,"Dentro do Prazo","Fora do Prazo")</f>
        <v>Fora do Prazo</v>
      </c>
      <c r="AJ1675" s="36" t="e">
        <v>#REF!</v>
      </c>
    </row>
    <row r="1676" spans="1:36">
      <c r="A1676" s="19" t="s">
        <v>2801</v>
      </c>
      <c r="B1676" s="20">
        <v>594</v>
      </c>
      <c r="C1676" s="19" t="s">
        <v>74</v>
      </c>
      <c r="D1676" s="19" t="s">
        <v>52</v>
      </c>
      <c r="E1676" s="19" t="s">
        <v>75</v>
      </c>
      <c r="F1676" s="19" t="s">
        <v>76</v>
      </c>
      <c r="G1676" s="19"/>
      <c r="H1676" s="20">
        <v>2024</v>
      </c>
      <c r="I1676" s="19" t="s">
        <v>1738</v>
      </c>
      <c r="J1676" s="19" t="s">
        <v>2802</v>
      </c>
      <c r="K1676" s="101" t="s">
        <v>2803</v>
      </c>
      <c r="L1676" s="22" t="s">
        <v>60</v>
      </c>
      <c r="M1676" s="23" t="s">
        <v>77</v>
      </c>
      <c r="N1676" s="36" t="s">
        <v>2804</v>
      </c>
      <c r="O1676" s="36" t="s">
        <v>1458</v>
      </c>
      <c r="P1676" s="26">
        <f ca="1">IFERROR(VLOOKUP(DadosViagem5[[#This Row],[Placa]],[1]BIP!A:E,5,FALSE),"")</f>
        <v>45989</v>
      </c>
      <c r="Q1676" s="27">
        <f ca="1">DATEDIF(DadosViagem5[[#This Row],[BIP]],TODAY(),"D")</f>
        <v>1</v>
      </c>
      <c r="R1676" s="28" t="str">
        <f>IFERROR(VLOOKUP(DadosViagem5[[#This Row],[Placa]],[1]DDS!B:C,2,FALSE),"Verificar cadastro")</f>
        <v>Operando</v>
      </c>
      <c r="S1676" s="29" t="s">
        <v>48</v>
      </c>
      <c r="T1676" s="23"/>
      <c r="U1676" s="30"/>
      <c r="V1676" s="31"/>
      <c r="W1676" s="32"/>
      <c r="X1676" s="33" t="s">
        <v>55</v>
      </c>
      <c r="Y1676" s="34" t="s">
        <v>49</v>
      </c>
      <c r="Z1676" s="32"/>
      <c r="AA1676" s="20" t="s">
        <v>49</v>
      </c>
      <c r="AB1676" s="20" t="s">
        <v>49</v>
      </c>
      <c r="AC1676" s="19" t="s">
        <v>49</v>
      </c>
      <c r="AD1676" s="19" t="str">
        <f ca="1">IFERROR(DATEDIF(DadosViagem5[[#This Row],[Utimo Bip Reserva]],TODAY(),"D"),"")</f>
        <v/>
      </c>
      <c r="AE1676" s="35" t="s">
        <v>49</v>
      </c>
      <c r="AF1676" s="35" t="s">
        <v>49</v>
      </c>
      <c r="AG1676" s="36"/>
      <c r="AH1676" s="25">
        <v>45807</v>
      </c>
      <c r="AI1676" s="36" t="str">
        <f>IF(DadosViagem5[[#This Row],[Dias em manutenção ]]&lt;5,"Dentro do Prazo","Fora do Prazo")</f>
        <v>Fora do Prazo</v>
      </c>
      <c r="AJ1676" s="36" t="e">
        <v>#REF!</v>
      </c>
    </row>
    <row r="1677" spans="1:36">
      <c r="A1677" s="19" t="s">
        <v>2805</v>
      </c>
      <c r="B1677" s="20">
        <v>598</v>
      </c>
      <c r="C1677" s="19" t="s">
        <v>74</v>
      </c>
      <c r="D1677" s="19" t="s">
        <v>52</v>
      </c>
      <c r="E1677" s="19" t="s">
        <v>75</v>
      </c>
      <c r="F1677" s="19" t="s">
        <v>76</v>
      </c>
      <c r="G1677" s="119"/>
      <c r="H1677" s="175">
        <v>2024</v>
      </c>
      <c r="I1677" s="19" t="s">
        <v>1738</v>
      </c>
      <c r="J1677" s="19" t="s">
        <v>2802</v>
      </c>
      <c r="K1677" s="101" t="s">
        <v>2803</v>
      </c>
      <c r="L1677" s="22" t="s">
        <v>60</v>
      </c>
      <c r="M1677" s="23" t="s">
        <v>77</v>
      </c>
      <c r="N1677" s="36" t="s">
        <v>2804</v>
      </c>
      <c r="O1677" s="36" t="s">
        <v>1458</v>
      </c>
      <c r="P1677" s="26">
        <f ca="1">IFERROR(VLOOKUP(DadosViagem5[[#This Row],[Placa]],[1]BIP!A:E,5,FALSE),"")</f>
        <v>45989</v>
      </c>
      <c r="Q1677" s="27">
        <f ca="1">DATEDIF(DadosViagem5[[#This Row],[BIP]],TODAY(),"D")</f>
        <v>1</v>
      </c>
      <c r="R1677" s="28" t="str">
        <f>IFERROR(VLOOKUP(DadosViagem5[[#This Row],[Placa]],[1]DDS!B:C,2,FALSE),"Verificar cadastro")</f>
        <v>Operando</v>
      </c>
      <c r="S1677" s="29" t="s">
        <v>48</v>
      </c>
      <c r="T1677" s="23"/>
      <c r="U1677" s="30"/>
      <c r="V1677" s="31"/>
      <c r="W1677" s="32"/>
      <c r="X1677" s="33"/>
      <c r="Y1677" s="34"/>
      <c r="Z1677" s="32"/>
      <c r="AA1677" s="20" t="s">
        <v>49</v>
      </c>
      <c r="AB1677" s="20" t="s">
        <v>49</v>
      </c>
      <c r="AC1677" s="19" t="s">
        <v>49</v>
      </c>
      <c r="AD1677" s="19" t="str">
        <f ca="1">IFERROR(DATEDIF(DadosViagem5[[#This Row],[Utimo Bip Reserva]],TODAY(),"D"),"")</f>
        <v/>
      </c>
      <c r="AE1677" s="176" t="s">
        <v>49</v>
      </c>
      <c r="AF1677" s="177" t="s">
        <v>49</v>
      </c>
      <c r="AG1677" s="178"/>
      <c r="AH1677" s="25">
        <v>45807</v>
      </c>
      <c r="AI1677" s="36" t="str">
        <f>IF(DadosViagem5[[#This Row],[Dias em manutenção ]]&lt;5,"Dentro do Prazo","Fora do Prazo")</f>
        <v>Fora do Prazo</v>
      </c>
      <c r="AJ1677" s="36" t="e">
        <v>#REF!</v>
      </c>
    </row>
    <row r="1678" spans="1:36">
      <c r="A1678" s="19" t="s">
        <v>2806</v>
      </c>
      <c r="B1678" s="20">
        <v>603</v>
      </c>
      <c r="C1678" s="19" t="s">
        <v>74</v>
      </c>
      <c r="D1678" s="19" t="s">
        <v>52</v>
      </c>
      <c r="E1678" s="19" t="s">
        <v>75</v>
      </c>
      <c r="F1678" s="19" t="s">
        <v>76</v>
      </c>
      <c r="G1678" s="19"/>
      <c r="H1678" s="20">
        <v>2024</v>
      </c>
      <c r="I1678" s="19" t="s">
        <v>1738</v>
      </c>
      <c r="J1678" s="19" t="s">
        <v>2802</v>
      </c>
      <c r="K1678" s="101" t="s">
        <v>2803</v>
      </c>
      <c r="L1678" s="22" t="s">
        <v>60</v>
      </c>
      <c r="M1678" s="23" t="s">
        <v>77</v>
      </c>
      <c r="N1678" s="36" t="s">
        <v>2804</v>
      </c>
      <c r="O1678" s="36" t="s">
        <v>1458</v>
      </c>
      <c r="P1678" s="26">
        <f ca="1">IFERROR(VLOOKUP(DadosViagem5[[#This Row],[Placa]],[1]BIP!A:E,5,FALSE),"")</f>
        <v>45989</v>
      </c>
      <c r="Q1678" s="27">
        <f ca="1">DATEDIF(DadosViagem5[[#This Row],[BIP]],TODAY(),"D")</f>
        <v>1</v>
      </c>
      <c r="R1678" s="28" t="str">
        <f>IFERROR(VLOOKUP(DadosViagem5[[#This Row],[Placa]],[1]DDS!B:C,2,FALSE),"Verificar cadastro")</f>
        <v>Operando</v>
      </c>
      <c r="S1678" s="29" t="s">
        <v>48</v>
      </c>
      <c r="T1678" s="23"/>
      <c r="U1678" s="30"/>
      <c r="V1678" s="31"/>
      <c r="W1678" s="32"/>
      <c r="X1678" s="33"/>
      <c r="Y1678" s="34"/>
      <c r="Z1678" s="32"/>
      <c r="AA1678" s="20" t="s">
        <v>49</v>
      </c>
      <c r="AB1678" s="20" t="s">
        <v>49</v>
      </c>
      <c r="AC1678" s="20" t="s">
        <v>49</v>
      </c>
      <c r="AD1678" s="20" t="s">
        <v>49</v>
      </c>
      <c r="AE1678" s="29" t="s">
        <v>49</v>
      </c>
      <c r="AF1678" s="35" t="s">
        <v>49</v>
      </c>
      <c r="AG1678" s="36"/>
      <c r="AH1678" s="25">
        <v>45807</v>
      </c>
      <c r="AI1678" s="36" t="str">
        <f>IF(DadosViagem5[[#This Row],[Dias em manutenção ]]&lt;5,"Dentro do Prazo","Fora do Prazo")</f>
        <v>Fora do Prazo</v>
      </c>
      <c r="AJ1678" s="36" t="e">
        <v>#REF!</v>
      </c>
    </row>
    <row r="1679" spans="1:36">
      <c r="A1679" s="146" t="s">
        <v>2807</v>
      </c>
      <c r="B1679" s="20"/>
      <c r="C1679" s="19" t="s">
        <v>88</v>
      </c>
      <c r="D1679" s="19" t="s">
        <v>52</v>
      </c>
      <c r="E1679" s="19" t="s">
        <v>57</v>
      </c>
      <c r="F1679" s="19" t="s">
        <v>40</v>
      </c>
      <c r="G1679" s="19"/>
      <c r="H1679" s="20">
        <v>2023</v>
      </c>
      <c r="I1679" s="19" t="s">
        <v>1040</v>
      </c>
      <c r="J1679" s="19" t="s">
        <v>2808</v>
      </c>
      <c r="K1679" s="21" t="s">
        <v>2809</v>
      </c>
      <c r="L1679" s="22" t="s">
        <v>60</v>
      </c>
      <c r="M1679" s="23" t="s">
        <v>45</v>
      </c>
      <c r="N1679" s="36" t="s">
        <v>2810</v>
      </c>
      <c r="O1679" s="36" t="s">
        <v>2811</v>
      </c>
      <c r="P1679" s="26">
        <f ca="1">IFERROR(VLOOKUP(DadosViagem5[[#This Row],[Placa]],[1]BIP!A:E,5,FALSE),"")</f>
        <v>0</v>
      </c>
      <c r="Q1679" s="27">
        <f ca="1">DATEDIF(DadosViagem5[[#This Row],[BIP]],TODAY(),"D")</f>
        <v>45990</v>
      </c>
      <c r="R1679" s="28" t="str">
        <f>IFERROR(VLOOKUP(DadosViagem5[[#This Row],[Placa]],[1]DDS!B:C,2,FALSE),"Verificar cadastro")</f>
        <v> </v>
      </c>
      <c r="S1679" s="29" t="s">
        <v>48</v>
      </c>
      <c r="T1679" s="23"/>
      <c r="U1679" s="30"/>
      <c r="V1679" s="31"/>
      <c r="W1679" s="32"/>
      <c r="X1679" s="33"/>
      <c r="Y1679" s="34"/>
      <c r="Z1679" t="s">
        <v>2812</v>
      </c>
      <c r="AA1679" s="20" t="s">
        <v>49</v>
      </c>
      <c r="AB1679" s="20" t="s">
        <v>49</v>
      </c>
      <c r="AC1679" s="19" t="s">
        <v>49</v>
      </c>
      <c r="AD1679" s="19" t="str">
        <f ca="1">IFERROR(DATEDIF(DadosViagem5[[#This Row],[Utimo Bip Reserva]],TODAY(),"D"),"")</f>
        <v/>
      </c>
      <c r="AE1679" s="25"/>
      <c r="AF1679" s="25"/>
      <c r="AG1679" s="36" t="s">
        <v>454</v>
      </c>
      <c r="AH1679" s="25">
        <v>45807</v>
      </c>
      <c r="AI1679" s="36" t="str">
        <f>IF(DadosViagem5[[#This Row],[Dias em manutenção ]]&lt;5,"Dentro do Prazo","Fora do Prazo")</f>
        <v>Fora do Prazo</v>
      </c>
      <c r="AJ1679" s="36" t="e">
        <v>#REF!</v>
      </c>
    </row>
    <row r="1680" spans="1:36">
      <c r="A1680" s="19" t="s">
        <v>2813</v>
      </c>
      <c r="B1680" s="20"/>
      <c r="C1680" s="19" t="s">
        <v>131</v>
      </c>
      <c r="D1680" s="19" t="s">
        <v>132</v>
      </c>
      <c r="E1680" s="19" t="s">
        <v>57</v>
      </c>
      <c r="F1680" s="19"/>
      <c r="G1680" s="19"/>
      <c r="H1680" s="20">
        <v>2023</v>
      </c>
      <c r="I1680" s="19" t="s">
        <v>1040</v>
      </c>
      <c r="J1680" s="19" t="s">
        <v>2808</v>
      </c>
      <c r="K1680" s="21" t="s">
        <v>2809</v>
      </c>
      <c r="L1680" s="22" t="s">
        <v>60</v>
      </c>
      <c r="M1680" s="23" t="s">
        <v>45</v>
      </c>
      <c r="N1680" s="36" t="s">
        <v>2810</v>
      </c>
      <c r="O1680" s="36" t="s">
        <v>2811</v>
      </c>
      <c r="P1680" s="26" t="str">
        <f>IFERROR(VLOOKUP(DadosViagem5[[#This Row],[Placa]],[1]BIP!A:E,5,FALSE),"")</f>
        <v/>
      </c>
      <c r="Q1680" s="27" t="e">
        <f ca="1">DATEDIF(DadosViagem5[[#This Row],[BIP]],TODAY(),"D")</f>
        <v>#VALUE!</v>
      </c>
      <c r="R1680" s="28" t="str">
        <f>IFERROR(VLOOKUP(DadosViagem5[[#This Row],[Placa]],[1]DDS!B:C,2,FALSE),"Verificar cadastro")</f>
        <v> </v>
      </c>
      <c r="S1680" s="29" t="s">
        <v>48</v>
      </c>
      <c r="T1680" s="23"/>
      <c r="U1680" s="30"/>
      <c r="V1680" s="31"/>
      <c r="W1680" s="32" t="s">
        <v>1163</v>
      </c>
      <c r="X1680" s="33"/>
      <c r="Y1680" s="34"/>
      <c r="Z1680" s="42"/>
      <c r="AA1680" s="20" t="s">
        <v>49</v>
      </c>
      <c r="AB1680" s="20" t="s">
        <v>49</v>
      </c>
      <c r="AC1680" s="19" t="s">
        <v>49</v>
      </c>
      <c r="AD1680" s="19" t="str">
        <f ca="1">IFERROR(DATEDIF(DadosViagem5[[#This Row],[Utimo Bip Reserva]],TODAY(),"D"),"")</f>
        <v/>
      </c>
      <c r="AE1680" s="25"/>
      <c r="AF1680" s="25"/>
      <c r="AG1680" s="36" t="s">
        <v>454</v>
      </c>
      <c r="AH1680" s="25">
        <v>45807</v>
      </c>
      <c r="AI1680" s="36" t="str">
        <f>IF(DadosViagem5[[#This Row],[Dias em manutenção ]]&lt;5,"Dentro do Prazo","Fora do Prazo")</f>
        <v>Fora do Prazo</v>
      </c>
      <c r="AJ1680" s="36" t="e">
        <v>#REF!</v>
      </c>
    </row>
    <row r="1681" spans="1:36">
      <c r="A1681" s="19" t="s">
        <v>2814</v>
      </c>
      <c r="B1681" s="20"/>
      <c r="C1681" s="19" t="s">
        <v>88</v>
      </c>
      <c r="D1681" s="19" t="s">
        <v>52</v>
      </c>
      <c r="E1681" s="19" t="s">
        <v>57</v>
      </c>
      <c r="F1681" s="19" t="s">
        <v>396</v>
      </c>
      <c r="G1681" s="19"/>
      <c r="H1681" s="20">
        <v>2019</v>
      </c>
      <c r="I1681" s="19" t="s">
        <v>1040</v>
      </c>
      <c r="J1681" s="19" t="s">
        <v>2815</v>
      </c>
      <c r="K1681" s="21" t="s">
        <v>2816</v>
      </c>
      <c r="L1681" s="22" t="s">
        <v>60</v>
      </c>
      <c r="M1681" s="23" t="s">
        <v>45</v>
      </c>
      <c r="N1681" s="36" t="s">
        <v>2817</v>
      </c>
      <c r="O1681" s="36" t="s">
        <v>1152</v>
      </c>
      <c r="P1681" s="26" t="str">
        <f>IFERROR(VLOOKUP(DadosViagem5[[#This Row],[Placa]],[1]BIP!A:E,5,FALSE),"")</f>
        <v/>
      </c>
      <c r="Q1681" s="27" t="e">
        <f ca="1">DATEDIF(DadosViagem5[[#This Row],[BIP]],TODAY(),"D")</f>
        <v>#VALUE!</v>
      </c>
      <c r="R1681" s="28" t="str">
        <f>IFERROR(VLOOKUP(DadosViagem5[[#This Row],[Placa]],[1]DDS!B:C,2,FALSE),"Verificar cadastro")</f>
        <v> </v>
      </c>
      <c r="S1681" s="29" t="s">
        <v>48</v>
      </c>
      <c r="T1681" s="23"/>
      <c r="U1681" s="30"/>
      <c r="V1681" s="31"/>
      <c r="W1681" s="32" t="s">
        <v>2818</v>
      </c>
      <c r="X1681" s="33"/>
      <c r="Y1681" s="34"/>
      <c r="Z1681" s="42"/>
      <c r="AA1681" s="20" t="s">
        <v>49</v>
      </c>
      <c r="AB1681" s="20" t="s">
        <v>49</v>
      </c>
      <c r="AC1681" s="20" t="s">
        <v>49</v>
      </c>
      <c r="AD1681" s="20"/>
      <c r="AE1681" s="36"/>
      <c r="AF1681" s="25"/>
      <c r="AG1681" s="36">
        <v>45807</v>
      </c>
      <c r="AH1681" s="25" t="s">
        <v>970</v>
      </c>
      <c r="AI1681" s="36"/>
      <c r="AJ1681" s="36" t="e">
        <v>#REF!</v>
      </c>
    </row>
    <row r="1682" spans="1:36">
      <c r="A1682" s="19" t="s">
        <v>2819</v>
      </c>
      <c r="B1682" s="20"/>
      <c r="C1682" s="19" t="s">
        <v>88</v>
      </c>
      <c r="D1682" s="19" t="s">
        <v>52</v>
      </c>
      <c r="E1682" s="19" t="s">
        <v>57</v>
      </c>
      <c r="F1682" s="19" t="s">
        <v>40</v>
      </c>
      <c r="G1682" s="19"/>
      <c r="H1682" s="20">
        <v>2020</v>
      </c>
      <c r="I1682" s="19" t="s">
        <v>1040</v>
      </c>
      <c r="J1682" s="19" t="s">
        <v>2815</v>
      </c>
      <c r="K1682" s="21" t="s">
        <v>2816</v>
      </c>
      <c r="L1682" s="22" t="s">
        <v>60</v>
      </c>
      <c r="M1682" s="23" t="s">
        <v>45</v>
      </c>
      <c r="N1682" s="36" t="s">
        <v>2817</v>
      </c>
      <c r="O1682" s="36" t="s">
        <v>1152</v>
      </c>
      <c r="P1682" s="26">
        <f ca="1">IFERROR(VLOOKUP(DadosViagem5[[#This Row],[Placa]],[1]BIP!A:E,5,FALSE),"")</f>
        <v>0</v>
      </c>
      <c r="Q1682" s="27">
        <f ca="1">DATEDIF(DadosViagem5[[#This Row],[BIP]],TODAY(),"D")</f>
        <v>45990</v>
      </c>
      <c r="R1682" s="28" t="str">
        <f>IFERROR(VLOOKUP(DadosViagem5[[#This Row],[Placa]],[1]DDS!B:C,2,FALSE),"Verificar cadastro")</f>
        <v>Verificar cadastro</v>
      </c>
      <c r="S1682" s="29" t="s">
        <v>48</v>
      </c>
      <c r="T1682" s="23"/>
      <c r="U1682" s="30"/>
      <c r="V1682" s="47"/>
      <c r="W1682" s="32"/>
      <c r="X1682" s="33"/>
      <c r="Y1682" s="34"/>
      <c r="Z1682" s="32"/>
      <c r="AA1682" s="20" t="s">
        <v>49</v>
      </c>
      <c r="AB1682" s="20" t="s">
        <v>49</v>
      </c>
      <c r="AC1682" s="19" t="s">
        <v>49</v>
      </c>
      <c r="AD1682" s="19" t="str">
        <f ca="1">IFERROR(DATEDIF(DadosViagem5[[#This Row],[Utimo Bip Reserva]],TODAY(),"D"),"")</f>
        <v/>
      </c>
      <c r="AE1682" s="36" t="s">
        <v>49</v>
      </c>
      <c r="AF1682" s="25" t="s">
        <v>49</v>
      </c>
      <c r="AG1682" s="36"/>
      <c r="AH1682" s="25">
        <v>45807</v>
      </c>
      <c r="AI1682" s="36" t="str">
        <f>IF(DadosViagem5[[#This Row],[Dias em manutenção ]]&lt;5,"Dentro do Prazo","Fora do Prazo")</f>
        <v>Fora do Prazo</v>
      </c>
      <c r="AJ1682" s="36" t="e">
        <v>#REF!</v>
      </c>
    </row>
    <row r="1683" spans="1:36">
      <c r="A1683" s="19" t="s">
        <v>2820</v>
      </c>
      <c r="B1683" s="20"/>
      <c r="C1683" s="19" t="s">
        <v>74</v>
      </c>
      <c r="D1683" s="19" t="s">
        <v>52</v>
      </c>
      <c r="E1683" s="19" t="s">
        <v>75</v>
      </c>
      <c r="F1683" s="19" t="s">
        <v>76</v>
      </c>
      <c r="G1683" s="19"/>
      <c r="H1683" s="20">
        <v>2023</v>
      </c>
      <c r="I1683" s="19" t="s">
        <v>1040</v>
      </c>
      <c r="J1683" s="19" t="s">
        <v>2815</v>
      </c>
      <c r="K1683" s="21" t="s">
        <v>2816</v>
      </c>
      <c r="L1683" s="22" t="s">
        <v>60</v>
      </c>
      <c r="M1683" s="23" t="s">
        <v>77</v>
      </c>
      <c r="N1683" s="36" t="s">
        <v>2817</v>
      </c>
      <c r="O1683" s="36" t="s">
        <v>1152</v>
      </c>
      <c r="P1683" s="26">
        <f ca="1">IFERROR(VLOOKUP(DadosViagem5[[#This Row],[Placa]],[1]BIP!A:E,5,FALSE),"")</f>
        <v>0</v>
      </c>
      <c r="Q1683" s="27">
        <f ca="1">DATEDIF(DadosViagem5[[#This Row],[BIP]],TODAY(),"D")</f>
        <v>45990</v>
      </c>
      <c r="R1683" s="28" t="str">
        <f>IFERROR(VLOOKUP(DadosViagem5[[#This Row],[Placa]],[1]DDS!B:C,2,FALSE),"Verificar cadastro")</f>
        <v> </v>
      </c>
      <c r="S1683" s="29" t="s">
        <v>48</v>
      </c>
      <c r="T1683" s="23"/>
      <c r="U1683" s="30"/>
      <c r="V1683" s="31"/>
      <c r="W1683" s="32"/>
      <c r="X1683" s="33"/>
      <c r="Y1683" s="34"/>
      <c r="Z1683" s="32"/>
      <c r="AA1683" s="20" t="s">
        <v>49</v>
      </c>
      <c r="AB1683" s="20" t="s">
        <v>49</v>
      </c>
      <c r="AC1683" s="19" t="s">
        <v>49</v>
      </c>
      <c r="AD1683" s="19" t="str">
        <f ca="1">IFERROR(DATEDIF(DadosViagem5[[#This Row],[Utimo Bip Reserva]],TODAY(),"D"),"")</f>
        <v/>
      </c>
      <c r="AE1683" s="36"/>
      <c r="AF1683" s="25"/>
      <c r="AG1683" s="36"/>
      <c r="AH1683" s="25">
        <v>45807</v>
      </c>
      <c r="AI1683" s="36" t="str">
        <f>IF(DadosViagem5[[#This Row],[Dias em manutenção ]]&lt;5,"Dentro do Prazo","Fora do Prazo")</f>
        <v>Fora do Prazo</v>
      </c>
      <c r="AJ1683" s="36" t="e">
        <v>#REF!</v>
      </c>
    </row>
    <row r="1684" spans="1:36">
      <c r="A1684" s="19" t="s">
        <v>2821</v>
      </c>
      <c r="B1684" s="20"/>
      <c r="C1684" s="19" t="s">
        <v>88</v>
      </c>
      <c r="D1684" s="19" t="s">
        <v>52</v>
      </c>
      <c r="E1684" s="19" t="s">
        <v>57</v>
      </c>
      <c r="F1684" s="19" t="s">
        <v>396</v>
      </c>
      <c r="G1684" s="19"/>
      <c r="H1684" s="20">
        <v>2023</v>
      </c>
      <c r="I1684" s="19" t="s">
        <v>41</v>
      </c>
      <c r="J1684" s="19" t="s">
        <v>2815</v>
      </c>
      <c r="K1684" s="21" t="s">
        <v>2816</v>
      </c>
      <c r="L1684" s="22" t="s">
        <v>60</v>
      </c>
      <c r="M1684" s="23" t="s">
        <v>268</v>
      </c>
      <c r="N1684" s="36" t="s">
        <v>2817</v>
      </c>
      <c r="O1684" s="36" t="s">
        <v>2822</v>
      </c>
      <c r="P1684" s="26">
        <f ca="1">IFERROR(VLOOKUP(DadosViagem5[[#This Row],[Placa]],[1]BIP!A:E,5,FALSE),"")</f>
        <v>45989</v>
      </c>
      <c r="Q1684" s="27">
        <f ca="1">DATEDIF(DadosViagem5[[#This Row],[BIP]],TODAY(),"D")</f>
        <v>1</v>
      </c>
      <c r="R1684" s="28" t="str">
        <f>IFERROR(VLOOKUP(DadosViagem5[[#This Row],[Placa]],[1]DDS!B:C,2,FALSE),"Verificar cadastro")</f>
        <v>Operando</v>
      </c>
      <c r="S1684" s="29" t="s">
        <v>48</v>
      </c>
      <c r="T1684" s="23"/>
      <c r="U1684" s="30" t="s">
        <v>55</v>
      </c>
      <c r="V1684" s="31"/>
      <c r="W1684" s="32"/>
      <c r="X1684" s="33"/>
      <c r="Y1684" s="34"/>
      <c r="Z1684" s="32"/>
      <c r="AA1684" s="20" t="s">
        <v>49</v>
      </c>
      <c r="AB1684" s="20" t="s">
        <v>49</v>
      </c>
      <c r="AC1684" s="19" t="s">
        <v>49</v>
      </c>
      <c r="AD1684" s="19" t="str">
        <f ca="1">IFERROR(DATEDIF(DadosViagem5[[#This Row],[Utimo Bip Reserva]],TODAY(),"D"),"")</f>
        <v/>
      </c>
      <c r="AE1684" s="36" t="s">
        <v>2823</v>
      </c>
      <c r="AF1684" s="25" t="s">
        <v>49</v>
      </c>
      <c r="AG1684" s="36" t="s">
        <v>290</v>
      </c>
      <c r="AH1684" s="25">
        <v>45807</v>
      </c>
      <c r="AI1684" s="36" t="str">
        <f>IF(DadosViagem5[[#This Row],[Dias em manutenção ]]&lt;5,"Dentro do Prazo","Fora do Prazo")</f>
        <v>Fora do Prazo</v>
      </c>
      <c r="AJ1684" s="36" t="e">
        <v>#REF!</v>
      </c>
    </row>
    <row r="1685" spans="1:36">
      <c r="A1685" s="19" t="s">
        <v>2824</v>
      </c>
      <c r="B1685" s="20"/>
      <c r="C1685" s="19" t="s">
        <v>88</v>
      </c>
      <c r="D1685" s="19" t="s">
        <v>52</v>
      </c>
      <c r="E1685" s="19" t="s">
        <v>57</v>
      </c>
      <c r="F1685" s="19" t="s">
        <v>40</v>
      </c>
      <c r="G1685" s="19"/>
      <c r="H1685" s="20">
        <v>2023</v>
      </c>
      <c r="I1685" s="19" t="s">
        <v>1040</v>
      </c>
      <c r="J1685" s="19" t="s">
        <v>1353</v>
      </c>
      <c r="K1685" s="21" t="s">
        <v>1354</v>
      </c>
      <c r="L1685" s="22" t="s">
        <v>60</v>
      </c>
      <c r="M1685" s="23" t="s">
        <v>45</v>
      </c>
      <c r="N1685" s="36" t="s">
        <v>1355</v>
      </c>
      <c r="O1685" s="25" t="s">
        <v>1356</v>
      </c>
      <c r="P1685" s="26">
        <f ca="1">IFERROR(VLOOKUP(DadosViagem5[[#This Row],[Placa]],[1]BIP!A:E,5,FALSE),"")</f>
        <v>0</v>
      </c>
      <c r="Q1685" s="27">
        <f ca="1">DATEDIF(DadosViagem5[[#This Row],[BIP]],TODAY(),"D")</f>
        <v>45990</v>
      </c>
      <c r="R1685" s="28" t="str">
        <f>IFERROR(VLOOKUP(DadosViagem5[[#This Row],[Placa]],[1]DDS!B:C,2,FALSE),"Verificar cadastro")</f>
        <v> </v>
      </c>
      <c r="S1685" s="36" t="s">
        <v>186</v>
      </c>
      <c r="T1685" s="23"/>
      <c r="U1685" s="30"/>
      <c r="V1685" s="31">
        <v>45820</v>
      </c>
      <c r="W1685" s="32" t="s">
        <v>2825</v>
      </c>
      <c r="X1685" s="57" t="s">
        <v>188</v>
      </c>
      <c r="Y1685" s="34" t="s">
        <v>66</v>
      </c>
      <c r="Z1685" s="42" t="s">
        <v>990</v>
      </c>
      <c r="AA1685" s="20" t="s">
        <v>49</v>
      </c>
      <c r="AB1685" s="20" t="s">
        <v>49</v>
      </c>
      <c r="AC1685" s="19" t="s">
        <v>49</v>
      </c>
      <c r="AD1685" s="19" t="str">
        <f ca="1">IFERROR(DATEDIF(DadosViagem5[[#This Row],[Utimo Bip Reserva]],TODAY(),"D"),"")</f>
        <v/>
      </c>
      <c r="AE1685" s="173"/>
      <c r="AF1685" s="173"/>
      <c r="AG1685" s="23"/>
      <c r="AH1685" s="25">
        <v>45807</v>
      </c>
      <c r="AI1685" s="36" t="str">
        <f>IF(DadosViagem5[[#This Row],[Dias em manutenção ]]&lt;5,"Dentro do Prazo","Fora do Prazo")</f>
        <v>Fora do Prazo</v>
      </c>
      <c r="AJ1685" s="36" t="e">
        <v>#REF!</v>
      </c>
    </row>
    <row r="1686" spans="1:36">
      <c r="A1686" s="19" t="s">
        <v>2826</v>
      </c>
      <c r="B1686" s="20"/>
      <c r="C1686" s="19" t="s">
        <v>88</v>
      </c>
      <c r="D1686" s="19" t="s">
        <v>52</v>
      </c>
      <c r="E1686" s="19" t="s">
        <v>57</v>
      </c>
      <c r="F1686" s="19" t="s">
        <v>40</v>
      </c>
      <c r="G1686" s="19"/>
      <c r="H1686" s="20">
        <v>2023</v>
      </c>
      <c r="I1686" s="19" t="s">
        <v>1040</v>
      </c>
      <c r="J1686" s="19" t="s">
        <v>1353</v>
      </c>
      <c r="K1686" s="21" t="s">
        <v>1354</v>
      </c>
      <c r="L1686" s="22" t="s">
        <v>60</v>
      </c>
      <c r="M1686" s="23" t="s">
        <v>45</v>
      </c>
      <c r="N1686" s="36" t="s">
        <v>1355</v>
      </c>
      <c r="O1686" s="25" t="s">
        <v>1356</v>
      </c>
      <c r="P1686" s="26">
        <f ca="1">IFERROR(VLOOKUP(DadosViagem5[[#This Row],[Placa]],[1]BIP!A:E,5,FALSE),"")</f>
        <v>0</v>
      </c>
      <c r="Q1686" s="27">
        <f ca="1">DATEDIF(DadosViagem5[[#This Row],[BIP]],TODAY(),"D")</f>
        <v>45990</v>
      </c>
      <c r="R1686" s="28" t="str">
        <f>IFERROR(VLOOKUP(DadosViagem5[[#This Row],[Placa]],[1]DDS!B:C,2,FALSE),"Verificar cadastro")</f>
        <v>Verificar cadastro</v>
      </c>
      <c r="S1686" s="29" t="s">
        <v>48</v>
      </c>
      <c r="T1686" s="23"/>
      <c r="U1686" s="30"/>
      <c r="V1686" s="31"/>
      <c r="W1686" s="32"/>
      <c r="X1686" s="57"/>
      <c r="Y1686" s="34"/>
      <c r="Z1686" s="42"/>
      <c r="AA1686" s="20" t="s">
        <v>49</v>
      </c>
      <c r="AB1686" s="20" t="s">
        <v>49</v>
      </c>
      <c r="AC1686" s="19" t="s">
        <v>49</v>
      </c>
      <c r="AD1686" s="19" t="str">
        <f ca="1">IFERROR(DATEDIF(DadosViagem5[[#This Row],[Utimo Bip Reserva]],TODAY(),"D"),"")</f>
        <v/>
      </c>
      <c r="AE1686" s="30" t="s">
        <v>49</v>
      </c>
      <c r="AF1686" s="30" t="s">
        <v>49</v>
      </c>
      <c r="AG1686" s="23" t="s">
        <v>454</v>
      </c>
      <c r="AH1686" s="25">
        <v>44</v>
      </c>
      <c r="AI1686" s="36" t="str">
        <f>IF(DadosViagem5[[#This Row],[Dias em manutenção ]]&lt;5,"Dentro do Prazo","Fora do Prazo")</f>
        <v>Fora do Prazo</v>
      </c>
      <c r="AJ1686" s="36" t="e">
        <v>#REF!</v>
      </c>
    </row>
    <row r="1687" spans="1:36">
      <c r="A1687" s="19" t="s">
        <v>2827</v>
      </c>
      <c r="B1687" s="20"/>
      <c r="C1687" s="19" t="s">
        <v>131</v>
      </c>
      <c r="D1687" s="19" t="s">
        <v>132</v>
      </c>
      <c r="E1687" s="19" t="s">
        <v>894</v>
      </c>
      <c r="F1687" s="19" t="s">
        <v>115</v>
      </c>
      <c r="G1687" s="19"/>
      <c r="H1687" s="20">
        <v>2022</v>
      </c>
      <c r="I1687" s="19" t="s">
        <v>1040</v>
      </c>
      <c r="J1687" s="19" t="s">
        <v>1353</v>
      </c>
      <c r="K1687" s="21" t="s">
        <v>1354</v>
      </c>
      <c r="L1687" s="22" t="s">
        <v>60</v>
      </c>
      <c r="M1687" s="23" t="s">
        <v>45</v>
      </c>
      <c r="N1687" s="36" t="s">
        <v>1355</v>
      </c>
      <c r="O1687" s="25" t="s">
        <v>1356</v>
      </c>
      <c r="P1687" s="26">
        <f ca="1">IFERROR(VLOOKUP(DadosViagem5[[#This Row],[Placa]],[1]BIP!A:E,5,FALSE),"")</f>
        <v>45989</v>
      </c>
      <c r="Q1687" s="27">
        <f ca="1">DATEDIF(DadosViagem5[[#This Row],[BIP]],TODAY(),"D")</f>
        <v>1</v>
      </c>
      <c r="R1687" s="28" t="str">
        <f>IFERROR(VLOOKUP(DadosViagem5[[#This Row],[Placa]],[1]DDS!B:C,2,FALSE),"Verificar cadastro")</f>
        <v>Operando</v>
      </c>
      <c r="S1687" s="36" t="s">
        <v>1566</v>
      </c>
      <c r="T1687" s="23">
        <v>6863744</v>
      </c>
      <c r="U1687" s="30">
        <v>45861</v>
      </c>
      <c r="V1687" s="31">
        <v>45861</v>
      </c>
      <c r="W1687" s="32" t="s">
        <v>2828</v>
      </c>
      <c r="X1687" s="33" t="s">
        <v>65</v>
      </c>
      <c r="Y1687" s="34" t="s">
        <v>66</v>
      </c>
      <c r="Z1687" s="32" t="s">
        <v>2829</v>
      </c>
      <c r="AA1687" s="20" t="s">
        <v>49</v>
      </c>
      <c r="AB1687" s="20" t="s">
        <v>49</v>
      </c>
      <c r="AC1687" s="19" t="s">
        <v>49</v>
      </c>
      <c r="AD1687" s="19" t="str">
        <f ca="1">IFERROR(DATEDIF(DadosViagem5[[#This Row],[Utimo Bip Reserva]],TODAY(),"D"),"")</f>
        <v/>
      </c>
      <c r="AE1687" s="25" t="s">
        <v>49</v>
      </c>
      <c r="AF1687" s="25" t="s">
        <v>49</v>
      </c>
      <c r="AG1687" s="36"/>
      <c r="AH1687" s="25">
        <v>45807</v>
      </c>
      <c r="AI1687" s="36" t="str">
        <f>IF(DadosViagem5[[#This Row],[Dias em manutenção ]]&lt;5,"Dentro do Prazo","Fora do Prazo")</f>
        <v>Fora do Prazo</v>
      </c>
      <c r="AJ1687" s="36" t="e">
        <v>#REF!</v>
      </c>
    </row>
    <row r="1688" spans="1:36">
      <c r="A1688" s="179" t="s">
        <v>2830</v>
      </c>
      <c r="B1688" s="141"/>
      <c r="C1688" s="75" t="s">
        <v>131</v>
      </c>
      <c r="D1688" s="75" t="s">
        <v>132</v>
      </c>
      <c r="E1688" s="75" t="s">
        <v>57</v>
      </c>
      <c r="F1688" s="75" t="s">
        <v>40</v>
      </c>
      <c r="G1688" s="75"/>
      <c r="H1688" s="141">
        <v>2025</v>
      </c>
      <c r="I1688" s="37" t="s">
        <v>1040</v>
      </c>
      <c r="J1688" s="37" t="s">
        <v>2808</v>
      </c>
      <c r="K1688" s="38" t="s">
        <v>2809</v>
      </c>
      <c r="L1688" s="39" t="s">
        <v>60</v>
      </c>
      <c r="M1688" s="46" t="s">
        <v>2831</v>
      </c>
      <c r="N1688" s="24" t="s">
        <v>2810</v>
      </c>
      <c r="O1688" s="24" t="s">
        <v>2811</v>
      </c>
      <c r="P1688" s="111" t="str">
        <f>IFERROR(VLOOKUP(DadosViagem5[[#This Row],[Placa]],[1]BIP!A:E,5,FALSE),"")</f>
        <v/>
      </c>
      <c r="Q1688" s="112" t="e">
        <f ca="1">DATEDIF(DadosViagem5[[#This Row],[BIP]],TODAY(),"D")</f>
        <v>#VALUE!</v>
      </c>
      <c r="R1688" s="113" t="str">
        <f>IFERROR(VLOOKUP(DadosViagem5[[#This Row],[Placa]],[1]DDS!B:C,2,FALSE),"Verificar cadastro")</f>
        <v>Operando</v>
      </c>
      <c r="S1688" s="29" t="s">
        <v>48</v>
      </c>
      <c r="T1688" s="180"/>
      <c r="U1688" s="181"/>
      <c r="V1688" s="182"/>
      <c r="W1688" s="132"/>
      <c r="X1688" s="183"/>
      <c r="Y1688" s="184"/>
      <c r="Z1688" s="185"/>
      <c r="AA1688" s="141"/>
      <c r="AB1688" s="141"/>
      <c r="AC1688" s="75"/>
      <c r="AD1688" s="75"/>
      <c r="AE1688" s="79"/>
      <c r="AF1688" s="78"/>
      <c r="AG1688" s="79"/>
      <c r="AH1688" s="78"/>
      <c r="AI1688" s="79"/>
      <c r="AJ1688" s="186"/>
    </row>
    <row r="1689" spans="1:36">
      <c r="A1689" s="179" t="s">
        <v>2832</v>
      </c>
      <c r="B1689" s="135"/>
      <c r="C1689" s="37" t="s">
        <v>2833</v>
      </c>
      <c r="D1689" s="37" t="s">
        <v>132</v>
      </c>
      <c r="E1689" s="75" t="s">
        <v>57</v>
      </c>
      <c r="F1689" s="75" t="s">
        <v>40</v>
      </c>
      <c r="G1689" s="75"/>
      <c r="H1689" s="135">
        <v>2025</v>
      </c>
      <c r="I1689" s="37" t="s">
        <v>137</v>
      </c>
      <c r="J1689" s="37" t="s">
        <v>138</v>
      </c>
      <c r="K1689" s="38" t="s">
        <v>139</v>
      </c>
      <c r="L1689" s="39" t="s">
        <v>60</v>
      </c>
      <c r="M1689" s="46" t="s">
        <v>140</v>
      </c>
      <c r="N1689" s="24" t="s">
        <v>141</v>
      </c>
      <c r="O1689" s="40" t="s">
        <v>142</v>
      </c>
      <c r="P1689" s="111">
        <v>0</v>
      </c>
      <c r="Q1689" s="112">
        <v>45950</v>
      </c>
      <c r="R1689" s="113" t="str">
        <f>IFERROR(VLOOKUP(DadosViagem5[[#This Row],[Placa]],[1]DDS!B:C,2,FALSE),"Verificar cadastro")</f>
        <v> </v>
      </c>
      <c r="S1689" s="29" t="s">
        <v>48</v>
      </c>
      <c r="T1689" s="180"/>
      <c r="U1689" s="181"/>
      <c r="V1689" s="182"/>
      <c r="W1689" s="132"/>
      <c r="X1689" s="183"/>
      <c r="Y1689" s="184"/>
      <c r="Z1689" s="185"/>
      <c r="AA1689" s="141"/>
      <c r="AB1689" s="141"/>
      <c r="AC1689" s="75"/>
      <c r="AD1689" s="75"/>
      <c r="AE1689" s="79"/>
      <c r="AF1689" s="78"/>
      <c r="AG1689" s="79"/>
      <c r="AH1689" s="78"/>
      <c r="AI1689" s="79"/>
      <c r="AJ1689" s="186"/>
    </row>
    <row r="1690" spans="1:36">
      <c r="A1690" s="179" t="s">
        <v>2834</v>
      </c>
      <c r="B1690" s="135"/>
      <c r="C1690" s="37" t="s">
        <v>2833</v>
      </c>
      <c r="D1690" s="37" t="s">
        <v>132</v>
      </c>
      <c r="E1690" s="75" t="s">
        <v>57</v>
      </c>
      <c r="F1690" s="75" t="s">
        <v>40</v>
      </c>
      <c r="G1690" s="75"/>
      <c r="H1690" s="135">
        <v>2025</v>
      </c>
      <c r="I1690" s="37" t="s">
        <v>137</v>
      </c>
      <c r="J1690" s="37" t="s">
        <v>138</v>
      </c>
      <c r="K1690" s="38" t="s">
        <v>139</v>
      </c>
      <c r="L1690" s="39" t="s">
        <v>60</v>
      </c>
      <c r="M1690" s="46" t="s">
        <v>140</v>
      </c>
      <c r="N1690" s="24" t="s">
        <v>141</v>
      </c>
      <c r="O1690" s="40" t="s">
        <v>142</v>
      </c>
      <c r="P1690" s="111">
        <v>0</v>
      </c>
      <c r="Q1690" s="112">
        <v>45950</v>
      </c>
      <c r="R1690" s="113" t="str">
        <f>IFERROR(VLOOKUP(DadosViagem5[[#This Row],[Placa]],[1]DDS!B:C,2,FALSE),"Verificar cadastro")</f>
        <v>Operando</v>
      </c>
      <c r="S1690" s="29" t="s">
        <v>48</v>
      </c>
      <c r="T1690" s="180"/>
      <c r="U1690" s="181"/>
      <c r="V1690" s="182"/>
      <c r="W1690" s="132"/>
      <c r="X1690" s="183"/>
      <c r="Y1690" s="184"/>
      <c r="Z1690" s="185"/>
      <c r="AA1690" s="141"/>
      <c r="AB1690" s="141"/>
      <c r="AC1690" s="75"/>
      <c r="AD1690" s="75"/>
      <c r="AE1690" s="79"/>
      <c r="AF1690" s="78"/>
      <c r="AG1690" s="79"/>
      <c r="AH1690" s="78"/>
      <c r="AI1690" s="79"/>
      <c r="AJ1690" s="186"/>
    </row>
    <row r="1691" spans="1:36">
      <c r="A1691" s="179" t="s">
        <v>2835</v>
      </c>
      <c r="B1691" s="135"/>
      <c r="C1691" s="37" t="s">
        <v>2833</v>
      </c>
      <c r="D1691" s="37" t="s">
        <v>132</v>
      </c>
      <c r="E1691" s="75" t="s">
        <v>57</v>
      </c>
      <c r="F1691" s="75" t="s">
        <v>40</v>
      </c>
      <c r="G1691" s="75"/>
      <c r="H1691" s="135">
        <v>2025</v>
      </c>
      <c r="I1691" s="37" t="s">
        <v>1040</v>
      </c>
      <c r="J1691" s="37" t="s">
        <v>2808</v>
      </c>
      <c r="K1691" s="38" t="s">
        <v>2809</v>
      </c>
      <c r="L1691" s="39" t="s">
        <v>60</v>
      </c>
      <c r="M1691" s="180" t="s">
        <v>45</v>
      </c>
      <c r="N1691" s="24" t="s">
        <v>2810</v>
      </c>
      <c r="O1691" s="24" t="s">
        <v>2811</v>
      </c>
      <c r="P1691" s="111" t="str">
        <f>IFERROR(VLOOKUP(DadosViagem5[[#This Row],[Placa]],[1]BIP!A:E,5,FALSE),"")</f>
        <v/>
      </c>
      <c r="Q1691" s="112" t="e">
        <f ca="1">DATEDIF(DadosViagem5[[#This Row],[BIP]],TODAY(),"D")</f>
        <v>#VALUE!</v>
      </c>
      <c r="R1691" s="113" t="str">
        <f>IFERROR(VLOOKUP(DadosViagem5[[#This Row],[Placa]],[1]DDS!B:C,2,FALSE),"Verificar cadastro")</f>
        <v>Operando</v>
      </c>
      <c r="S1691" s="29" t="s">
        <v>48</v>
      </c>
      <c r="T1691" s="180"/>
      <c r="U1691" s="181"/>
      <c r="V1691" s="182"/>
      <c r="W1691" s="132"/>
      <c r="X1691" s="183"/>
      <c r="Y1691" s="184"/>
      <c r="Z1691" s="185"/>
      <c r="AA1691" s="141"/>
      <c r="AB1691" s="141"/>
      <c r="AC1691" s="75"/>
      <c r="AD1691" s="75"/>
      <c r="AE1691" s="79"/>
      <c r="AF1691" s="78"/>
      <c r="AG1691" s="79"/>
      <c r="AH1691" s="78"/>
      <c r="AI1691" s="79"/>
      <c r="AJ1691" s="186"/>
    </row>
    <row r="1692" spans="1:36">
      <c r="A1692" s="179" t="s">
        <v>1733</v>
      </c>
      <c r="B1692" s="141"/>
      <c r="C1692" s="75" t="s">
        <v>131</v>
      </c>
      <c r="D1692" s="75" t="s">
        <v>132</v>
      </c>
      <c r="E1692" s="75" t="s">
        <v>57</v>
      </c>
      <c r="F1692" s="75" t="s">
        <v>40</v>
      </c>
      <c r="G1692" s="75"/>
      <c r="H1692" s="141">
        <v>2025</v>
      </c>
      <c r="I1692" s="37" t="s">
        <v>137</v>
      </c>
      <c r="J1692" s="37" t="s">
        <v>1173</v>
      </c>
      <c r="K1692" s="187" t="s">
        <v>1174</v>
      </c>
      <c r="L1692" s="39" t="s">
        <v>60</v>
      </c>
      <c r="M1692" s="46" t="s">
        <v>140</v>
      </c>
      <c r="N1692" s="24" t="s">
        <v>479</v>
      </c>
      <c r="O1692" s="24" t="s">
        <v>1106</v>
      </c>
      <c r="P1692" s="111" t="str">
        <f>IFERROR(VLOOKUP(DadosViagem5[[#This Row],[Placa]],[1]BIP!A:E,5,FALSE),"")</f>
        <v/>
      </c>
      <c r="Q1692" s="112" t="e">
        <f ca="1">DATEDIF(DadosViagem5[[#This Row],[BIP]],TODAY(),"D")</f>
        <v>#VALUE!</v>
      </c>
      <c r="R1692" s="113" t="str">
        <f>IFERROR(VLOOKUP(DadosViagem5[[#This Row],[Placa]],[1]DDS!B:C,2,FALSE),"Verificar cadastro")</f>
        <v>Operando</v>
      </c>
      <c r="S1692" s="29" t="s">
        <v>48</v>
      </c>
      <c r="T1692" s="180"/>
      <c r="U1692" s="181"/>
      <c r="V1692" s="182"/>
      <c r="W1692" s="132"/>
      <c r="X1692" s="183"/>
      <c r="Y1692" s="184"/>
      <c r="Z1692" s="185"/>
      <c r="AA1692" s="141"/>
      <c r="AB1692" s="141"/>
      <c r="AC1692" s="75"/>
      <c r="AD1692" s="75"/>
      <c r="AE1692" s="79"/>
      <c r="AF1692" s="78"/>
      <c r="AG1692" s="79"/>
      <c r="AH1692" s="78"/>
      <c r="AI1692" s="79"/>
      <c r="AJ1692" s="186"/>
    </row>
    <row r="1693" spans="1:36">
      <c r="A1693" s="179" t="s">
        <v>2836</v>
      </c>
      <c r="B1693" s="141"/>
      <c r="C1693" s="75" t="s">
        <v>131</v>
      </c>
      <c r="D1693" s="75" t="s">
        <v>132</v>
      </c>
      <c r="E1693" s="75" t="s">
        <v>57</v>
      </c>
      <c r="F1693" s="75" t="s">
        <v>40</v>
      </c>
      <c r="G1693" s="75"/>
      <c r="H1693" s="141">
        <v>2025</v>
      </c>
      <c r="I1693" s="37" t="s">
        <v>137</v>
      </c>
      <c r="J1693" s="37" t="s">
        <v>1173</v>
      </c>
      <c r="K1693" s="187" t="s">
        <v>1174</v>
      </c>
      <c r="L1693" s="39" t="s">
        <v>60</v>
      </c>
      <c r="M1693" s="46" t="s">
        <v>140</v>
      </c>
      <c r="N1693" s="24" t="s">
        <v>479</v>
      </c>
      <c r="O1693" s="24" t="s">
        <v>1106</v>
      </c>
      <c r="P1693" s="111" t="str">
        <f>IFERROR(VLOOKUP(DadosViagem5[[#This Row],[Placa]],[1]BIP!A:E,5,FALSE),"")</f>
        <v/>
      </c>
      <c r="Q1693" s="112" t="e">
        <f ca="1">DATEDIF(DadosViagem5[[#This Row],[BIP]],TODAY(),"D")</f>
        <v>#VALUE!</v>
      </c>
      <c r="R1693" s="113" t="str">
        <f>IFERROR(VLOOKUP(DadosViagem5[[#This Row],[Placa]],[1]DDS!B:C,2,FALSE),"Verificar cadastro")</f>
        <v> </v>
      </c>
      <c r="S1693" s="29" t="s">
        <v>48</v>
      </c>
      <c r="T1693" s="180"/>
      <c r="U1693" s="181"/>
      <c r="V1693" s="182"/>
      <c r="W1693" s="132"/>
      <c r="X1693" s="183"/>
      <c r="Y1693" s="184"/>
      <c r="Z1693" s="185"/>
      <c r="AA1693" s="141"/>
      <c r="AB1693" s="141"/>
      <c r="AC1693" s="75"/>
      <c r="AD1693" s="75"/>
      <c r="AE1693" s="79"/>
      <c r="AF1693" s="78"/>
      <c r="AG1693" s="79"/>
      <c r="AH1693" s="78"/>
      <c r="AI1693" s="79"/>
      <c r="AJ1693" s="186"/>
    </row>
    <row r="1694" spans="1:36">
      <c r="A1694" s="179" t="s">
        <v>2837</v>
      </c>
      <c r="B1694" s="141"/>
      <c r="C1694" s="75" t="s">
        <v>131</v>
      </c>
      <c r="D1694" s="75" t="s">
        <v>132</v>
      </c>
      <c r="E1694" s="75" t="s">
        <v>57</v>
      </c>
      <c r="F1694" s="75" t="s">
        <v>40</v>
      </c>
      <c r="G1694" s="75"/>
      <c r="H1694" s="141">
        <v>2025</v>
      </c>
      <c r="I1694" s="37" t="s">
        <v>1556</v>
      </c>
      <c r="J1694" s="37" t="s">
        <v>1696</v>
      </c>
      <c r="K1694" s="37" t="s">
        <v>1697</v>
      </c>
      <c r="L1694" s="39" t="s">
        <v>60</v>
      </c>
      <c r="M1694" s="46" t="s">
        <v>268</v>
      </c>
      <c r="N1694" s="40" t="s">
        <v>1698</v>
      </c>
      <c r="O1694" s="40" t="s">
        <v>1699</v>
      </c>
      <c r="P1694" s="111" t="str">
        <f>IFERROR(VLOOKUP(DadosViagem5[[#This Row],[Placa]],[1]BIP!A:E,5,FALSE),"")</f>
        <v/>
      </c>
      <c r="Q1694" s="112" t="e">
        <f ca="1">DATEDIF(DadosViagem5[[#This Row],[BIP]],TODAY(),"D")</f>
        <v>#VALUE!</v>
      </c>
      <c r="R1694" s="113" t="str">
        <f>IFERROR(VLOOKUP(DadosViagem5[[#This Row],[Placa]],[1]DDS!B:C,2,FALSE),"Verificar cadastro")</f>
        <v> </v>
      </c>
      <c r="S1694" s="29" t="s">
        <v>48</v>
      </c>
      <c r="T1694" s="180"/>
      <c r="U1694" s="181"/>
      <c r="V1694" s="182"/>
      <c r="W1694" s="132"/>
      <c r="X1694" s="183"/>
      <c r="Y1694" s="184"/>
      <c r="Z1694" s="185"/>
      <c r="AA1694" s="141"/>
      <c r="AB1694" s="141"/>
      <c r="AC1694" s="75"/>
      <c r="AD1694" s="75"/>
      <c r="AE1694" s="79"/>
      <c r="AF1694" s="78"/>
      <c r="AG1694" s="79"/>
      <c r="AH1694" s="78"/>
      <c r="AI1694" s="79"/>
      <c r="AJ1694" s="186"/>
    </row>
    <row r="1695" spans="1:36">
      <c r="A1695" s="179" t="s">
        <v>2838</v>
      </c>
      <c r="B1695" s="141"/>
      <c r="C1695" s="75" t="s">
        <v>131</v>
      </c>
      <c r="D1695" s="75" t="s">
        <v>132</v>
      </c>
      <c r="E1695" s="75" t="s">
        <v>57</v>
      </c>
      <c r="F1695" s="75" t="s">
        <v>40</v>
      </c>
      <c r="G1695" s="75"/>
      <c r="H1695" s="141">
        <v>2025</v>
      </c>
      <c r="I1695" s="37" t="s">
        <v>1556</v>
      </c>
      <c r="J1695" s="37" t="s">
        <v>1696</v>
      </c>
      <c r="K1695" s="37" t="s">
        <v>1697</v>
      </c>
      <c r="L1695" s="39" t="s">
        <v>60</v>
      </c>
      <c r="M1695" s="46" t="s">
        <v>268</v>
      </c>
      <c r="N1695" s="40" t="s">
        <v>1698</v>
      </c>
      <c r="O1695" s="40" t="s">
        <v>1699</v>
      </c>
      <c r="P1695" s="111" t="str">
        <f>IFERROR(VLOOKUP(DadosViagem5[[#This Row],[Placa]],[1]BIP!A:E,5,FALSE),"")</f>
        <v/>
      </c>
      <c r="Q1695" s="112" t="e">
        <f ca="1">DATEDIF(DadosViagem5[[#This Row],[BIP]],TODAY(),"D")</f>
        <v>#VALUE!</v>
      </c>
      <c r="R1695" s="113" t="str">
        <f>IFERROR(VLOOKUP(DadosViagem5[[#This Row],[Placa]],[1]DDS!B:C,2,FALSE),"Verificar cadastro")</f>
        <v>Operando</v>
      </c>
      <c r="S1695" s="29" t="s">
        <v>48</v>
      </c>
      <c r="T1695" s="180"/>
      <c r="U1695" s="181"/>
      <c r="V1695" s="182"/>
      <c r="W1695" s="132"/>
      <c r="X1695" s="183"/>
      <c r="Y1695" s="184"/>
      <c r="Z1695" s="185"/>
      <c r="AA1695" s="141"/>
      <c r="AB1695" s="141"/>
      <c r="AC1695" s="75"/>
      <c r="AD1695" s="75"/>
      <c r="AE1695" s="79"/>
      <c r="AF1695" s="78"/>
      <c r="AG1695" s="79"/>
      <c r="AH1695" s="78"/>
      <c r="AI1695" s="79"/>
      <c r="AJ1695" s="186"/>
    </row>
    <row r="1696" spans="1:36">
      <c r="A1696" s="179" t="s">
        <v>2839</v>
      </c>
      <c r="B1696" s="141"/>
      <c r="C1696" s="75" t="s">
        <v>131</v>
      </c>
      <c r="D1696" s="75" t="s">
        <v>132</v>
      </c>
      <c r="E1696" s="75" t="s">
        <v>57</v>
      </c>
      <c r="F1696" s="75" t="s">
        <v>40</v>
      </c>
      <c r="G1696" s="75"/>
      <c r="H1696" s="141">
        <v>2025</v>
      </c>
      <c r="I1696" s="37" t="s">
        <v>1556</v>
      </c>
      <c r="J1696" s="37" t="s">
        <v>1696</v>
      </c>
      <c r="K1696" s="37" t="s">
        <v>1697</v>
      </c>
      <c r="L1696" s="39" t="s">
        <v>60</v>
      </c>
      <c r="M1696" s="46" t="s">
        <v>268</v>
      </c>
      <c r="N1696" s="40" t="s">
        <v>1698</v>
      </c>
      <c r="O1696" s="40" t="s">
        <v>1699</v>
      </c>
      <c r="P1696" s="111" t="str">
        <f>IFERROR(VLOOKUP(DadosViagem5[[#This Row],[Placa]],[1]BIP!A:E,5,FALSE),"")</f>
        <v/>
      </c>
      <c r="Q1696" s="112" t="e">
        <f ca="1">DATEDIF(DadosViagem5[[#This Row],[BIP]],TODAY(),"D")</f>
        <v>#VALUE!</v>
      </c>
      <c r="R1696" s="113" t="str">
        <f>IFERROR(VLOOKUP(DadosViagem5[[#This Row],[Placa]],[1]DDS!B:C,2,FALSE),"Verificar cadastro")</f>
        <v>Verificar cadastro</v>
      </c>
      <c r="S1696" s="29" t="s">
        <v>48</v>
      </c>
      <c r="T1696" s="180"/>
      <c r="U1696" s="181"/>
      <c r="V1696" s="182"/>
      <c r="W1696" s="132"/>
      <c r="X1696" s="183"/>
      <c r="Y1696" s="184"/>
      <c r="Z1696" s="185"/>
      <c r="AA1696" s="141"/>
      <c r="AB1696" s="141"/>
      <c r="AC1696" s="75"/>
      <c r="AD1696" s="75"/>
      <c r="AE1696" s="79"/>
      <c r="AF1696" s="78"/>
      <c r="AG1696" s="79"/>
      <c r="AH1696" s="78"/>
      <c r="AI1696" s="79"/>
      <c r="AJ1696" s="186"/>
    </row>
    <row r="1697" spans="1:36">
      <c r="A1697" s="179" t="s">
        <v>2840</v>
      </c>
      <c r="B1697" s="141"/>
      <c r="C1697" s="75" t="s">
        <v>131</v>
      </c>
      <c r="D1697" s="75" t="s">
        <v>132</v>
      </c>
      <c r="E1697" s="75" t="s">
        <v>57</v>
      </c>
      <c r="F1697" s="75" t="s">
        <v>40</v>
      </c>
      <c r="G1697" s="75"/>
      <c r="H1697" s="141">
        <v>2025</v>
      </c>
      <c r="I1697" s="37" t="s">
        <v>2787</v>
      </c>
      <c r="J1697" s="37" t="s">
        <v>2788</v>
      </c>
      <c r="K1697" s="38" t="s">
        <v>2784</v>
      </c>
      <c r="L1697" s="39" t="s">
        <v>60</v>
      </c>
      <c r="M1697" s="46" t="s">
        <v>268</v>
      </c>
      <c r="N1697" s="24" t="s">
        <v>2785</v>
      </c>
      <c r="O1697" s="24" t="s">
        <v>1448</v>
      </c>
      <c r="P1697" s="111" t="str">
        <f>IFERROR(VLOOKUP(DadosViagem5[[#This Row],[Placa]],[1]BIP!A:E,5,FALSE),"")</f>
        <v/>
      </c>
      <c r="Q1697" s="112" t="e">
        <f ca="1">DATEDIF(DadosViagem5[[#This Row],[BIP]],TODAY(),"D")</f>
        <v>#VALUE!</v>
      </c>
      <c r="R1697" s="113" t="str">
        <f>IFERROR(VLOOKUP(DadosViagem5[[#This Row],[Placa]],[1]DDS!B:C,2,FALSE),"Verificar cadastro")</f>
        <v>Operando</v>
      </c>
      <c r="S1697" s="29" t="s">
        <v>48</v>
      </c>
      <c r="T1697" s="180"/>
      <c r="U1697" s="181"/>
      <c r="V1697" s="182"/>
      <c r="W1697" s="132"/>
      <c r="X1697" s="183"/>
      <c r="Y1697" s="184"/>
      <c r="Z1697" s="185"/>
      <c r="AA1697" s="141"/>
      <c r="AB1697" s="141"/>
      <c r="AC1697" s="75"/>
      <c r="AD1697" s="75"/>
      <c r="AE1697" s="79"/>
      <c r="AF1697" s="78"/>
      <c r="AG1697" s="79"/>
      <c r="AH1697" s="78"/>
      <c r="AI1697" s="79"/>
      <c r="AJ1697" s="186"/>
    </row>
    <row r="1698" spans="1:36">
      <c r="A1698" s="179" t="s">
        <v>2841</v>
      </c>
      <c r="B1698" s="141"/>
      <c r="C1698" s="75" t="s">
        <v>131</v>
      </c>
      <c r="D1698" s="75" t="s">
        <v>132</v>
      </c>
      <c r="E1698" s="75" t="s">
        <v>57</v>
      </c>
      <c r="F1698" s="75" t="s">
        <v>40</v>
      </c>
      <c r="G1698" s="75"/>
      <c r="H1698" s="141">
        <v>2025</v>
      </c>
      <c r="I1698" s="37" t="s">
        <v>2787</v>
      </c>
      <c r="J1698" s="37" t="s">
        <v>2788</v>
      </c>
      <c r="K1698" s="38" t="s">
        <v>2784</v>
      </c>
      <c r="L1698" s="39" t="s">
        <v>60</v>
      </c>
      <c r="M1698" s="46" t="s">
        <v>268</v>
      </c>
      <c r="N1698" s="24" t="s">
        <v>2785</v>
      </c>
      <c r="O1698" s="24" t="s">
        <v>1448</v>
      </c>
      <c r="P1698" s="111" t="str">
        <f>IFERROR(VLOOKUP(DadosViagem5[[#This Row],[Placa]],[1]BIP!A:E,5,FALSE),"")</f>
        <v/>
      </c>
      <c r="Q1698" s="112" t="e">
        <f ca="1">DATEDIF(DadosViagem5[[#This Row],[BIP]],TODAY(),"D")</f>
        <v>#VALUE!</v>
      </c>
      <c r="R1698" s="113" t="str">
        <f>IFERROR(VLOOKUP(DadosViagem5[[#This Row],[Placa]],[1]DDS!B:C,2,FALSE),"Verificar cadastro")</f>
        <v>Operando</v>
      </c>
      <c r="S1698" s="29" t="s">
        <v>48</v>
      </c>
      <c r="T1698" s="180"/>
      <c r="U1698" s="181"/>
      <c r="V1698" s="182"/>
      <c r="W1698" s="132"/>
      <c r="X1698" s="183"/>
      <c r="Y1698" s="184"/>
      <c r="Z1698" s="185"/>
      <c r="AA1698" s="141"/>
      <c r="AB1698" s="141"/>
      <c r="AC1698" s="75"/>
      <c r="AD1698" s="75"/>
      <c r="AE1698" s="79"/>
      <c r="AF1698" s="78"/>
      <c r="AG1698" s="79"/>
      <c r="AH1698" s="78"/>
      <c r="AI1698" s="79"/>
      <c r="AJ1698" s="186"/>
    </row>
    <row r="1699" spans="1:36">
      <c r="A1699" s="179" t="s">
        <v>2842</v>
      </c>
      <c r="B1699" s="141"/>
      <c r="C1699" s="75" t="s">
        <v>131</v>
      </c>
      <c r="D1699" s="75" t="s">
        <v>132</v>
      </c>
      <c r="E1699" s="75" t="s">
        <v>57</v>
      </c>
      <c r="F1699" s="75" t="s">
        <v>40</v>
      </c>
      <c r="G1699" s="75"/>
      <c r="H1699" s="141">
        <v>2025</v>
      </c>
      <c r="I1699" s="37" t="s">
        <v>2787</v>
      </c>
      <c r="J1699" s="37" t="s">
        <v>2788</v>
      </c>
      <c r="K1699" s="38" t="s">
        <v>2784</v>
      </c>
      <c r="L1699" s="39" t="s">
        <v>60</v>
      </c>
      <c r="M1699" s="46" t="s">
        <v>268</v>
      </c>
      <c r="N1699" s="24" t="s">
        <v>2785</v>
      </c>
      <c r="O1699" s="24" t="s">
        <v>1448</v>
      </c>
      <c r="P1699" s="111" t="str">
        <f>IFERROR(VLOOKUP(DadosViagem5[[#This Row],[Placa]],[1]BIP!A:E,5,FALSE),"")</f>
        <v/>
      </c>
      <c r="Q1699" s="112" t="e">
        <f ca="1">DATEDIF(DadosViagem5[[#This Row],[BIP]],TODAY(),"D")</f>
        <v>#VALUE!</v>
      </c>
      <c r="R1699" s="113" t="str">
        <f>IFERROR(VLOOKUP(DadosViagem5[[#This Row],[Placa]],[1]DDS!B:C,2,FALSE),"Verificar cadastro")</f>
        <v>Operando</v>
      </c>
      <c r="S1699" s="29" t="s">
        <v>48</v>
      </c>
      <c r="T1699" s="180"/>
      <c r="U1699" s="181"/>
      <c r="V1699" s="182"/>
      <c r="W1699" s="132"/>
      <c r="X1699" s="183"/>
      <c r="Y1699" s="184"/>
      <c r="Z1699" s="185"/>
      <c r="AA1699" s="141"/>
      <c r="AB1699" s="141"/>
      <c r="AC1699" s="75"/>
      <c r="AD1699" s="75"/>
      <c r="AE1699" s="79"/>
      <c r="AF1699" s="78"/>
      <c r="AG1699" s="79"/>
      <c r="AH1699" s="78"/>
      <c r="AI1699" s="79"/>
      <c r="AJ1699" s="186"/>
    </row>
    <row r="1700" spans="1:36">
      <c r="A1700" s="179" t="s">
        <v>2843</v>
      </c>
      <c r="B1700" s="141"/>
      <c r="C1700" s="75" t="s">
        <v>131</v>
      </c>
      <c r="D1700" s="75" t="s">
        <v>132</v>
      </c>
      <c r="E1700" s="75" t="s">
        <v>57</v>
      </c>
      <c r="F1700" s="75" t="s">
        <v>40</v>
      </c>
      <c r="G1700" s="75"/>
      <c r="H1700" s="141">
        <v>2025</v>
      </c>
      <c r="I1700" s="37" t="s">
        <v>2787</v>
      </c>
      <c r="J1700" s="37" t="s">
        <v>2788</v>
      </c>
      <c r="K1700" s="38" t="s">
        <v>2784</v>
      </c>
      <c r="L1700" s="39" t="s">
        <v>60</v>
      </c>
      <c r="M1700" s="46" t="s">
        <v>268</v>
      </c>
      <c r="N1700" s="24" t="s">
        <v>2785</v>
      </c>
      <c r="O1700" s="24" t="s">
        <v>1448</v>
      </c>
      <c r="P1700" s="111" t="str">
        <f>IFERROR(VLOOKUP(DadosViagem5[[#This Row],[Placa]],[1]BIP!A:E,5,FALSE),"")</f>
        <v/>
      </c>
      <c r="Q1700" s="112" t="e">
        <f ca="1">DATEDIF(DadosViagem5[[#This Row],[BIP]],TODAY(),"D")</f>
        <v>#VALUE!</v>
      </c>
      <c r="R1700" s="113" t="str">
        <f>IFERROR(VLOOKUP(DadosViagem5[[#This Row],[Placa]],[1]DDS!B:C,2,FALSE),"Verificar cadastro")</f>
        <v>Operando</v>
      </c>
      <c r="S1700" s="29" t="s">
        <v>48</v>
      </c>
      <c r="T1700" s="180"/>
      <c r="U1700" s="181"/>
      <c r="V1700" s="182"/>
      <c r="W1700" s="132"/>
      <c r="X1700" s="183"/>
      <c r="Y1700" s="184"/>
      <c r="Z1700" s="185"/>
      <c r="AA1700" s="141"/>
      <c r="AB1700" s="141"/>
      <c r="AC1700" s="75"/>
      <c r="AD1700" s="75"/>
      <c r="AE1700" s="79"/>
      <c r="AF1700" s="78"/>
      <c r="AG1700" s="79"/>
      <c r="AH1700" s="78"/>
      <c r="AI1700" s="79"/>
      <c r="AJ1700" s="186"/>
    </row>
    <row r="1701" spans="1:36">
      <c r="A1701" s="179" t="s">
        <v>2844</v>
      </c>
      <c r="B1701" s="141"/>
      <c r="C1701" s="75" t="s">
        <v>131</v>
      </c>
      <c r="D1701" s="75" t="s">
        <v>132</v>
      </c>
      <c r="E1701" s="75" t="s">
        <v>57</v>
      </c>
      <c r="F1701" s="75" t="s">
        <v>40</v>
      </c>
      <c r="G1701" s="75"/>
      <c r="H1701" s="141">
        <v>2025</v>
      </c>
      <c r="I1701" s="37" t="s">
        <v>2787</v>
      </c>
      <c r="J1701" s="37" t="s">
        <v>2788</v>
      </c>
      <c r="K1701" s="38" t="s">
        <v>2784</v>
      </c>
      <c r="L1701" s="39" t="s">
        <v>60</v>
      </c>
      <c r="M1701" s="46" t="s">
        <v>268</v>
      </c>
      <c r="N1701" s="24" t="s">
        <v>2785</v>
      </c>
      <c r="O1701" s="24" t="s">
        <v>1448</v>
      </c>
      <c r="P1701" s="111" t="str">
        <f>IFERROR(VLOOKUP(DadosViagem5[[#This Row],[Placa]],[1]BIP!A:E,5,FALSE),"")</f>
        <v/>
      </c>
      <c r="Q1701" s="112" t="e">
        <f ca="1">DATEDIF(DadosViagem5[[#This Row],[BIP]],TODAY(),"D")</f>
        <v>#VALUE!</v>
      </c>
      <c r="R1701" s="113" t="str">
        <f>IFERROR(VLOOKUP(DadosViagem5[[#This Row],[Placa]],[1]DDS!B:C,2,FALSE),"Verificar cadastro")</f>
        <v>Operando</v>
      </c>
      <c r="S1701" s="29" t="s">
        <v>48</v>
      </c>
      <c r="T1701" s="180"/>
      <c r="U1701" s="181"/>
      <c r="V1701" s="182"/>
      <c r="W1701" s="132"/>
      <c r="X1701" s="183"/>
      <c r="Y1701" s="184"/>
      <c r="Z1701" s="185"/>
      <c r="AA1701" s="141"/>
      <c r="AB1701" s="141"/>
      <c r="AC1701" s="75"/>
      <c r="AD1701" s="75"/>
      <c r="AE1701" s="79"/>
      <c r="AF1701" s="78"/>
      <c r="AG1701" s="79"/>
      <c r="AH1701" s="78"/>
      <c r="AI1701" s="79"/>
      <c r="AJ1701" s="186"/>
    </row>
    <row r="1702" spans="1:36">
      <c r="A1702" s="179" t="s">
        <v>2845</v>
      </c>
      <c r="B1702" s="141"/>
      <c r="C1702" s="75" t="s">
        <v>131</v>
      </c>
      <c r="D1702" s="75" t="s">
        <v>132</v>
      </c>
      <c r="E1702" s="75" t="s">
        <v>57</v>
      </c>
      <c r="F1702" s="75" t="s">
        <v>40</v>
      </c>
      <c r="G1702" s="75"/>
      <c r="H1702" s="141">
        <v>2025</v>
      </c>
      <c r="I1702" s="37" t="s">
        <v>2787</v>
      </c>
      <c r="J1702" s="37" t="s">
        <v>2788</v>
      </c>
      <c r="K1702" s="38" t="s">
        <v>2784</v>
      </c>
      <c r="L1702" s="39" t="s">
        <v>60</v>
      </c>
      <c r="M1702" s="46" t="s">
        <v>268</v>
      </c>
      <c r="N1702" s="24" t="s">
        <v>2785</v>
      </c>
      <c r="O1702" s="24" t="s">
        <v>1448</v>
      </c>
      <c r="P1702" s="111" t="str">
        <f>IFERROR(VLOOKUP(DadosViagem5[[#This Row],[Placa]],[1]BIP!A:E,5,FALSE),"")</f>
        <v/>
      </c>
      <c r="Q1702" s="112" t="e">
        <f ca="1">DATEDIF(DadosViagem5[[#This Row],[BIP]],TODAY(),"D")</f>
        <v>#VALUE!</v>
      </c>
      <c r="R1702" s="113" t="str">
        <f>IFERROR(VLOOKUP(DadosViagem5[[#This Row],[Placa]],[1]DDS!B:C,2,FALSE),"Verificar cadastro")</f>
        <v>Operando</v>
      </c>
      <c r="S1702" s="29" t="s">
        <v>48</v>
      </c>
      <c r="T1702" s="180"/>
      <c r="U1702" s="181"/>
      <c r="V1702" s="182"/>
      <c r="W1702" s="132"/>
      <c r="X1702" s="183"/>
      <c r="Y1702" s="184"/>
      <c r="Z1702" s="185"/>
      <c r="AA1702" s="141"/>
      <c r="AB1702" s="141"/>
      <c r="AC1702" s="75"/>
      <c r="AD1702" s="75"/>
      <c r="AE1702" s="79"/>
      <c r="AF1702" s="78"/>
      <c r="AG1702" s="79"/>
      <c r="AH1702" s="78"/>
      <c r="AI1702" s="79"/>
      <c r="AJ1702" s="186"/>
    </row>
    <row r="1703" spans="1:36">
      <c r="A1703" s="179" t="s">
        <v>2846</v>
      </c>
      <c r="B1703" s="141"/>
      <c r="C1703" s="37" t="s">
        <v>2833</v>
      </c>
      <c r="D1703" s="37" t="s">
        <v>132</v>
      </c>
      <c r="E1703" s="75" t="s">
        <v>57</v>
      </c>
      <c r="F1703" s="75" t="s">
        <v>40</v>
      </c>
      <c r="G1703" s="141"/>
      <c r="H1703" s="141">
        <v>2025</v>
      </c>
      <c r="I1703" s="141"/>
      <c r="J1703" s="141"/>
      <c r="K1703" s="141"/>
      <c r="L1703" s="141"/>
      <c r="M1703" s="46" t="s">
        <v>2847</v>
      </c>
      <c r="N1703" s="24"/>
      <c r="O1703" s="24"/>
      <c r="P1703" s="111"/>
      <c r="Q1703" s="112">
        <f ca="1">DATEDIF(DadosViagem5[[#This Row],[BIP]],TODAY(),"D")</f>
        <v>45990</v>
      </c>
      <c r="R1703" s="113" t="str">
        <f>IFERROR(VLOOKUP(DadosViagem5[[#This Row],[Placa]],[1]DDS!B:C,2,FALSE),"Verificar cadastro")</f>
        <v> </v>
      </c>
      <c r="S1703" s="29" t="s">
        <v>48</v>
      </c>
      <c r="T1703" s="180"/>
      <c r="U1703" s="181"/>
      <c r="V1703" s="182"/>
      <c r="W1703" s="132"/>
      <c r="X1703" s="183"/>
      <c r="Y1703" s="184"/>
      <c r="Z1703" s="185"/>
      <c r="AA1703" s="141"/>
      <c r="AB1703" s="141"/>
      <c r="AC1703" s="75"/>
      <c r="AD1703" s="75"/>
      <c r="AE1703" s="79"/>
      <c r="AF1703" s="78"/>
      <c r="AG1703" s="79"/>
      <c r="AH1703" s="78"/>
      <c r="AI1703" s="79"/>
      <c r="AJ1703" s="186"/>
    </row>
    <row r="1704" spans="1:36">
      <c r="A1704" s="179" t="s">
        <v>2848</v>
      </c>
      <c r="B1704" s="141"/>
      <c r="C1704" s="37" t="s">
        <v>2833</v>
      </c>
      <c r="D1704" s="37" t="s">
        <v>132</v>
      </c>
      <c r="E1704" s="75" t="s">
        <v>57</v>
      </c>
      <c r="F1704" s="75" t="s">
        <v>40</v>
      </c>
      <c r="G1704" s="141"/>
      <c r="H1704" s="141">
        <v>2025</v>
      </c>
      <c r="I1704" s="141"/>
      <c r="J1704" s="141"/>
      <c r="K1704" s="141"/>
      <c r="L1704" s="141"/>
      <c r="M1704" s="46" t="s">
        <v>2847</v>
      </c>
      <c r="N1704" s="24"/>
      <c r="O1704" s="24"/>
      <c r="P1704" s="111"/>
      <c r="Q1704" s="112">
        <f ca="1">DATEDIF(DadosViagem5[[#This Row],[BIP]],TODAY(),"D")</f>
        <v>45990</v>
      </c>
      <c r="R1704" s="113" t="str">
        <f>IFERROR(VLOOKUP(DadosViagem5[[#This Row],[Placa]],[1]DDS!B:C,2,FALSE),"Verificar cadastro")</f>
        <v> </v>
      </c>
      <c r="S1704" s="29" t="s">
        <v>48</v>
      </c>
      <c r="T1704" s="180"/>
      <c r="U1704" s="181"/>
      <c r="V1704" s="182"/>
      <c r="W1704" s="132"/>
      <c r="X1704" s="183"/>
      <c r="Y1704" s="184"/>
      <c r="Z1704" s="185"/>
      <c r="AA1704" s="141"/>
      <c r="AB1704" s="141"/>
      <c r="AC1704" s="75"/>
      <c r="AD1704" s="75"/>
      <c r="AE1704" s="79"/>
      <c r="AF1704" s="78"/>
      <c r="AG1704" s="79"/>
      <c r="AH1704" s="78"/>
      <c r="AI1704" s="79"/>
      <c r="AJ1704" s="186"/>
    </row>
    <row r="1705" spans="1:36">
      <c r="A1705" s="179" t="s">
        <v>2849</v>
      </c>
      <c r="B1705" s="141"/>
      <c r="C1705" s="37" t="s">
        <v>2833</v>
      </c>
      <c r="D1705" s="37" t="s">
        <v>132</v>
      </c>
      <c r="E1705" s="75" t="s">
        <v>57</v>
      </c>
      <c r="F1705" s="75" t="s">
        <v>40</v>
      </c>
      <c r="G1705" s="141"/>
      <c r="H1705" s="141">
        <v>2025</v>
      </c>
      <c r="I1705" s="141"/>
      <c r="J1705" s="141"/>
      <c r="K1705" s="141"/>
      <c r="L1705" s="141"/>
      <c r="M1705" s="46" t="s">
        <v>2847</v>
      </c>
      <c r="N1705" s="24"/>
      <c r="O1705" s="24"/>
      <c r="P1705" s="111"/>
      <c r="Q1705" s="112">
        <f ca="1">DATEDIF(DadosViagem5[[#This Row],[BIP]],TODAY(),"D")</f>
        <v>45990</v>
      </c>
      <c r="R1705" s="113" t="str">
        <f>IFERROR(VLOOKUP(DadosViagem5[[#This Row],[Placa]],[1]DDS!B:C,2,FALSE),"Verificar cadastro")</f>
        <v> </v>
      </c>
      <c r="S1705" s="29" t="s">
        <v>48</v>
      </c>
      <c r="T1705" s="180"/>
      <c r="U1705" s="181"/>
      <c r="V1705" s="182"/>
      <c r="W1705" s="132"/>
      <c r="X1705" s="183"/>
      <c r="Y1705" s="184"/>
      <c r="Z1705" s="185"/>
      <c r="AA1705" s="141"/>
      <c r="AB1705" s="141"/>
      <c r="AC1705" s="75"/>
      <c r="AD1705" s="75"/>
      <c r="AE1705" s="79"/>
      <c r="AF1705" s="78"/>
      <c r="AG1705" s="79"/>
      <c r="AH1705" s="78"/>
      <c r="AI1705" s="79"/>
      <c r="AJ1705" s="186"/>
    </row>
    <row r="1706" spans="1:36">
      <c r="A1706" s="179" t="s">
        <v>2850</v>
      </c>
      <c r="B1706" s="141"/>
      <c r="C1706" s="75" t="s">
        <v>131</v>
      </c>
      <c r="D1706" s="75" t="s">
        <v>132</v>
      </c>
      <c r="E1706" s="75" t="s">
        <v>57</v>
      </c>
      <c r="F1706" s="75" t="s">
        <v>40</v>
      </c>
      <c r="G1706" s="141"/>
      <c r="H1706" s="141">
        <v>2025</v>
      </c>
      <c r="I1706" s="141"/>
      <c r="J1706" s="141"/>
      <c r="K1706" s="141"/>
      <c r="L1706" s="141"/>
      <c r="M1706" s="46" t="s">
        <v>2847</v>
      </c>
      <c r="N1706" s="24"/>
      <c r="O1706" s="24"/>
      <c r="P1706" s="111"/>
      <c r="Q1706" s="112">
        <f ca="1">DATEDIF(DadosViagem5[[#This Row],[BIP]],TODAY(),"D")</f>
        <v>45990</v>
      </c>
      <c r="R1706" s="113" t="str">
        <f>IFERROR(VLOOKUP(DadosViagem5[[#This Row],[Placa]],[1]DDS!B:C,2,FALSE),"Verificar cadastro")</f>
        <v> </v>
      </c>
      <c r="S1706" s="29" t="s">
        <v>48</v>
      </c>
      <c r="T1706" s="180"/>
      <c r="U1706" s="181"/>
      <c r="V1706" s="182"/>
      <c r="W1706" s="132"/>
      <c r="X1706" s="183"/>
      <c r="Y1706" s="184"/>
      <c r="Z1706" s="185"/>
      <c r="AA1706" s="141"/>
      <c r="AB1706" s="141"/>
      <c r="AC1706" s="75"/>
      <c r="AD1706" s="75"/>
      <c r="AE1706" s="79"/>
      <c r="AF1706" s="78"/>
      <c r="AG1706" s="79"/>
      <c r="AH1706" s="78"/>
      <c r="AI1706" s="79"/>
      <c r="AJ1706" s="186"/>
    </row>
    <row r="1707" spans="1:36">
      <c r="A1707" s="179" t="s">
        <v>2851</v>
      </c>
      <c r="B1707" s="141"/>
      <c r="C1707" s="75" t="s">
        <v>131</v>
      </c>
      <c r="D1707" s="75" t="s">
        <v>132</v>
      </c>
      <c r="E1707" s="75" t="s">
        <v>57</v>
      </c>
      <c r="F1707" s="75" t="s">
        <v>40</v>
      </c>
      <c r="G1707" s="141"/>
      <c r="H1707" s="141">
        <v>2025</v>
      </c>
      <c r="I1707" s="141"/>
      <c r="J1707" s="141"/>
      <c r="K1707" s="141"/>
      <c r="L1707" s="141"/>
      <c r="M1707" s="46" t="s">
        <v>2847</v>
      </c>
      <c r="N1707" s="24"/>
      <c r="O1707" s="24"/>
      <c r="P1707" s="111"/>
      <c r="Q1707" s="112">
        <f ca="1">DATEDIF(DadosViagem5[[#This Row],[BIP]],TODAY(),"D")</f>
        <v>45990</v>
      </c>
      <c r="R1707" s="113" t="str">
        <f>IFERROR(VLOOKUP(DadosViagem5[[#This Row],[Placa]],[1]DDS!B:C,2,FALSE),"Verificar cadastro")</f>
        <v> </v>
      </c>
      <c r="S1707" s="29" t="s">
        <v>48</v>
      </c>
      <c r="T1707" s="180"/>
      <c r="U1707" s="181"/>
      <c r="V1707" s="182"/>
      <c r="W1707" s="132"/>
      <c r="X1707" s="183"/>
      <c r="Y1707" s="184"/>
      <c r="Z1707" s="185"/>
      <c r="AA1707" s="141"/>
      <c r="AB1707" s="141"/>
      <c r="AC1707" s="75"/>
      <c r="AD1707" s="75"/>
      <c r="AE1707" s="79"/>
      <c r="AF1707" s="78"/>
      <c r="AG1707" s="79"/>
      <c r="AH1707" s="78"/>
      <c r="AI1707" s="79"/>
      <c r="AJ1707" s="186"/>
    </row>
    <row r="1708" spans="1:36">
      <c r="A1708" s="179" t="s">
        <v>2852</v>
      </c>
      <c r="B1708" s="141"/>
      <c r="C1708" s="75" t="s">
        <v>131</v>
      </c>
      <c r="D1708" s="75" t="s">
        <v>132</v>
      </c>
      <c r="E1708" s="75" t="s">
        <v>57</v>
      </c>
      <c r="F1708" s="75" t="s">
        <v>40</v>
      </c>
      <c r="G1708" s="141"/>
      <c r="H1708" s="141">
        <v>2025</v>
      </c>
      <c r="I1708" s="141"/>
      <c r="J1708" s="141"/>
      <c r="K1708" s="141"/>
      <c r="L1708" s="141"/>
      <c r="M1708" s="46" t="s">
        <v>2847</v>
      </c>
      <c r="N1708" s="24"/>
      <c r="O1708" s="24"/>
      <c r="P1708" s="111"/>
      <c r="Q1708" s="112">
        <f ca="1">DATEDIF(DadosViagem5[[#This Row],[BIP]],TODAY(),"D")</f>
        <v>45990</v>
      </c>
      <c r="R1708" s="113" t="str">
        <f>IFERROR(VLOOKUP(DadosViagem5[[#This Row],[Placa]],[1]DDS!B:C,2,FALSE),"Verificar cadastro")</f>
        <v> </v>
      </c>
      <c r="S1708" s="29" t="s">
        <v>48</v>
      </c>
      <c r="T1708" s="180"/>
      <c r="U1708" s="181"/>
      <c r="V1708" s="182"/>
      <c r="W1708" s="132"/>
      <c r="X1708" s="183"/>
      <c r="Y1708" s="184"/>
      <c r="Z1708" s="185"/>
      <c r="AA1708" s="141"/>
      <c r="AB1708" s="141"/>
      <c r="AC1708" s="75"/>
      <c r="AD1708" s="75"/>
      <c r="AE1708" s="79"/>
      <c r="AF1708" s="78"/>
      <c r="AG1708" s="79"/>
      <c r="AH1708" s="78"/>
      <c r="AI1708" s="79"/>
      <c r="AJ1708" s="186"/>
    </row>
    <row r="1709" spans="1:36">
      <c r="A1709" s="179" t="s">
        <v>2853</v>
      </c>
      <c r="B1709" s="141"/>
      <c r="C1709" s="75" t="s">
        <v>131</v>
      </c>
      <c r="D1709" s="75" t="s">
        <v>132</v>
      </c>
      <c r="E1709" s="75" t="s">
        <v>57</v>
      </c>
      <c r="F1709" s="75" t="s">
        <v>40</v>
      </c>
      <c r="G1709" s="141"/>
      <c r="H1709" s="141">
        <v>2025</v>
      </c>
      <c r="I1709" s="141"/>
      <c r="J1709" s="141"/>
      <c r="K1709" s="141"/>
      <c r="L1709" s="141"/>
      <c r="M1709" s="46" t="s">
        <v>2847</v>
      </c>
      <c r="N1709" s="24"/>
      <c r="O1709" s="24"/>
      <c r="P1709" s="111"/>
      <c r="Q1709" s="112">
        <f ca="1">DATEDIF(DadosViagem5[[#This Row],[BIP]],TODAY(),"D")</f>
        <v>45990</v>
      </c>
      <c r="R1709" s="113" t="str">
        <f>IFERROR(VLOOKUP(DadosViagem5[[#This Row],[Placa]],[1]DDS!B:C,2,FALSE),"Verificar cadastro")</f>
        <v> </v>
      </c>
      <c r="S1709" s="29" t="s">
        <v>48</v>
      </c>
      <c r="T1709" s="180"/>
      <c r="U1709" s="181"/>
      <c r="V1709" s="182"/>
      <c r="W1709" s="132"/>
      <c r="X1709" s="183"/>
      <c r="Y1709" s="184"/>
      <c r="Z1709" s="185"/>
      <c r="AA1709" s="141"/>
      <c r="AB1709" s="141"/>
      <c r="AC1709" s="75"/>
      <c r="AD1709" s="75"/>
      <c r="AE1709" s="79"/>
      <c r="AF1709" s="78"/>
      <c r="AG1709" s="79"/>
      <c r="AH1709" s="78"/>
      <c r="AI1709" s="79"/>
      <c r="AJ1709" s="186"/>
    </row>
    <row r="1710" spans="1:36">
      <c r="A1710" s="19" t="s">
        <v>2854</v>
      </c>
      <c r="B1710" s="20"/>
      <c r="C1710" s="19" t="s">
        <v>671</v>
      </c>
      <c r="D1710" s="19" t="s">
        <v>132</v>
      </c>
      <c r="E1710" s="19" t="s">
        <v>894</v>
      </c>
      <c r="F1710" s="19" t="s">
        <v>115</v>
      </c>
      <c r="G1710" s="19"/>
      <c r="H1710" s="20">
        <v>2022</v>
      </c>
      <c r="I1710" s="19" t="s">
        <v>1040</v>
      </c>
      <c r="J1710" s="19" t="s">
        <v>1353</v>
      </c>
      <c r="K1710" s="21" t="s">
        <v>1354</v>
      </c>
      <c r="L1710" s="22" t="s">
        <v>60</v>
      </c>
      <c r="M1710" s="23" t="s">
        <v>45</v>
      </c>
      <c r="N1710" s="36" t="s">
        <v>1355</v>
      </c>
      <c r="O1710" s="25" t="s">
        <v>1356</v>
      </c>
      <c r="P1710" s="26">
        <f ca="1">IFERROR(VLOOKUP(DadosViagem5[[#This Row],[Placa]],[1]BIP!A:E,5,FALSE),"")</f>
        <v>45861</v>
      </c>
      <c r="Q1710" s="27">
        <f ca="1">DATEDIF(DadosViagem5[[#This Row],[BIP]],TODAY(),"D")</f>
        <v>129</v>
      </c>
      <c r="R1710" s="28" t="str">
        <f>IFERROR(VLOOKUP(DadosViagem5[[#This Row],[Placa]],[1]DDS!B:C,2,FALSE),"Verificar cadastro")</f>
        <v> </v>
      </c>
      <c r="S1710" s="36" t="s">
        <v>48</v>
      </c>
      <c r="T1710" s="23"/>
      <c r="U1710" s="30"/>
      <c r="V1710" s="31"/>
      <c r="W1710" s="32"/>
      <c r="X1710" s="33"/>
      <c r="Y1710" s="34"/>
      <c r="Z1710" s="42"/>
      <c r="AA1710" s="20" t="s">
        <v>49</v>
      </c>
      <c r="AB1710" s="20" t="s">
        <v>49</v>
      </c>
      <c r="AC1710" s="19" t="s">
        <v>49</v>
      </c>
      <c r="AD1710" s="19" t="str">
        <f ca="1">IFERROR(DATEDIF(DadosViagem5[[#This Row],[Utimo Bip Reserva]],TODAY(),"D"),"")</f>
        <v/>
      </c>
      <c r="AE1710" s="30"/>
      <c r="AF1710" s="30" t="s">
        <v>49</v>
      </c>
      <c r="AG1710" s="30" t="s">
        <v>153</v>
      </c>
      <c r="AH1710" s="25">
        <v>59</v>
      </c>
      <c r="AI1710" s="36" t="str">
        <f>IF(DadosViagem5[[#This Row],[Dias em manutenção ]]&lt;5,"Dentro do Prazo","Fora do Prazo")</f>
        <v>Fora do Prazo</v>
      </c>
      <c r="AJ1710" s="36" t="e">
        <v>#REF!</v>
      </c>
    </row>
    <row r="1711" spans="1:36">
      <c r="A1711" s="19" t="s">
        <v>2855</v>
      </c>
      <c r="B1711" s="20"/>
      <c r="C1711" s="19" t="s">
        <v>88</v>
      </c>
      <c r="D1711" s="19" t="s">
        <v>52</v>
      </c>
      <c r="E1711" s="19" t="s">
        <v>57</v>
      </c>
      <c r="F1711" s="19" t="s">
        <v>40</v>
      </c>
      <c r="G1711" s="19"/>
      <c r="H1711" s="20">
        <v>2023</v>
      </c>
      <c r="I1711" s="19" t="s">
        <v>1040</v>
      </c>
      <c r="J1711" s="19" t="s">
        <v>1353</v>
      </c>
      <c r="K1711" s="21" t="s">
        <v>1354</v>
      </c>
      <c r="L1711" s="22" t="s">
        <v>60</v>
      </c>
      <c r="M1711" s="23" t="s">
        <v>45</v>
      </c>
      <c r="N1711" s="36" t="s">
        <v>1355</v>
      </c>
      <c r="O1711" s="25" t="s">
        <v>1356</v>
      </c>
      <c r="P1711" s="26">
        <f ca="1">IFERROR(VLOOKUP(DadosViagem5[[#This Row],[Placa]],[1]BIP!A:E,5,FALSE),"")</f>
        <v>45989</v>
      </c>
      <c r="Q1711" s="27">
        <f ca="1">DATEDIF(DadosViagem5[[#This Row],[BIP]],TODAY(),"D")</f>
        <v>1</v>
      </c>
      <c r="R1711" s="28" t="str">
        <f>IFERROR(VLOOKUP(DadosViagem5[[#This Row],[Placa]],[1]DDS!B:C,2,FALSE),"Verificar cadastro")</f>
        <v>Operando</v>
      </c>
      <c r="S1711" s="29" t="s">
        <v>48</v>
      </c>
      <c r="T1711" s="23"/>
      <c r="U1711" s="30"/>
      <c r="V1711" s="31"/>
      <c r="W1711" s="32"/>
      <c r="X1711" s="33"/>
      <c r="Y1711" s="34"/>
      <c r="Z1711" s="42"/>
      <c r="AA1711" s="20" t="s">
        <v>49</v>
      </c>
      <c r="AB1711" s="20" t="s">
        <v>49</v>
      </c>
      <c r="AC1711" s="19" t="s">
        <v>49</v>
      </c>
      <c r="AD1711" s="19" t="str">
        <f ca="1">IFERROR(DATEDIF(DadosViagem5[[#This Row],[Utimo Bip Reserva]],TODAY(),"D"),"")</f>
        <v/>
      </c>
      <c r="AE1711" s="25" t="s">
        <v>49</v>
      </c>
      <c r="AF1711" s="25" t="s">
        <v>49</v>
      </c>
      <c r="AG1711" s="36"/>
      <c r="AH1711" s="25">
        <v>45807</v>
      </c>
      <c r="AI1711" s="36" t="str">
        <f>IF(DadosViagem5[[#This Row],[Dias em manutenção ]]&lt;5,"Dentro do Prazo","Fora do Prazo")</f>
        <v>Fora do Prazo</v>
      </c>
      <c r="AJ1711" s="36" t="e">
        <v>#REF!</v>
      </c>
    </row>
    <row r="1712" spans="1:36">
      <c r="A1712" s="19" t="s">
        <v>2856</v>
      </c>
      <c r="B1712" s="20"/>
      <c r="C1712" s="19" t="s">
        <v>671</v>
      </c>
      <c r="D1712" s="19" t="s">
        <v>132</v>
      </c>
      <c r="E1712" s="19" t="s">
        <v>894</v>
      </c>
      <c r="F1712" s="19" t="s">
        <v>115</v>
      </c>
      <c r="G1712" s="19"/>
      <c r="H1712" s="20">
        <v>2022</v>
      </c>
      <c r="I1712" s="19" t="s">
        <v>1040</v>
      </c>
      <c r="J1712" s="19" t="s">
        <v>1353</v>
      </c>
      <c r="K1712" s="21" t="s">
        <v>1354</v>
      </c>
      <c r="L1712" s="22" t="s">
        <v>60</v>
      </c>
      <c r="M1712" s="23" t="s">
        <v>45</v>
      </c>
      <c r="N1712" s="36" t="s">
        <v>1355</v>
      </c>
      <c r="O1712" s="25" t="s">
        <v>1356</v>
      </c>
      <c r="P1712" s="26">
        <f ca="1">IFERROR(VLOOKUP(DadosViagem5[[#This Row],[Placa]],[1]BIP!A:E,5,FALSE),"")</f>
        <v>45989</v>
      </c>
      <c r="Q1712" s="27">
        <f ca="1">DATEDIF(DadosViagem5[[#This Row],[BIP]],TODAY(),"D")</f>
        <v>1</v>
      </c>
      <c r="R1712" s="28" t="str">
        <f>IFERROR(VLOOKUP(DadosViagem5[[#This Row],[Placa]],[1]DDS!B:C,2,FALSE),"Verificar cadastro")</f>
        <v>Operando</v>
      </c>
      <c r="S1712" s="29" t="s">
        <v>48</v>
      </c>
      <c r="T1712" s="23"/>
      <c r="U1712" s="30"/>
      <c r="V1712" s="31"/>
      <c r="W1712" s="32" t="s">
        <v>686</v>
      </c>
      <c r="X1712" s="33"/>
      <c r="Y1712" s="34"/>
      <c r="Z1712" s="32"/>
      <c r="AA1712" s="20" t="s">
        <v>49</v>
      </c>
      <c r="AB1712" s="20" t="s">
        <v>49</v>
      </c>
      <c r="AC1712" s="19" t="s">
        <v>49</v>
      </c>
      <c r="AD1712" s="19" t="str">
        <f ca="1">IFERROR(DATEDIF(DadosViagem5[[#This Row],[Utimo Bip Reserva]],TODAY(),"D"),"")</f>
        <v/>
      </c>
      <c r="AE1712" s="25" t="s">
        <v>49</v>
      </c>
      <c r="AF1712" s="25" t="s">
        <v>49</v>
      </c>
      <c r="AG1712" s="36"/>
      <c r="AH1712" s="25">
        <v>45807</v>
      </c>
      <c r="AI1712" s="36" t="str">
        <f>IF(DadosViagem5[[#This Row],[Dias em manutenção ]]&lt;5,"Dentro do Prazo","Fora do Prazo")</f>
        <v>Fora do Prazo</v>
      </c>
      <c r="AJ1712" s="36" t="e">
        <v>#REF!</v>
      </c>
    </row>
    <row r="1713" spans="1:36">
      <c r="A1713" s="19" t="s">
        <v>2857</v>
      </c>
      <c r="B1713" s="20"/>
      <c r="C1713" s="19" t="s">
        <v>88</v>
      </c>
      <c r="D1713" s="19" t="s">
        <v>52</v>
      </c>
      <c r="E1713" s="19" t="s">
        <v>57</v>
      </c>
      <c r="F1713" s="19" t="s">
        <v>40</v>
      </c>
      <c r="G1713" s="19"/>
      <c r="H1713" s="20">
        <v>2023</v>
      </c>
      <c r="I1713" s="19" t="s">
        <v>1040</v>
      </c>
      <c r="J1713" s="19" t="s">
        <v>1353</v>
      </c>
      <c r="K1713" s="21" t="s">
        <v>1354</v>
      </c>
      <c r="L1713" s="22" t="s">
        <v>60</v>
      </c>
      <c r="M1713" s="23" t="s">
        <v>45</v>
      </c>
      <c r="N1713" s="36" t="s">
        <v>1355</v>
      </c>
      <c r="O1713" s="25" t="s">
        <v>1356</v>
      </c>
      <c r="P1713" s="26">
        <f ca="1">IFERROR(VLOOKUP(DadosViagem5[[#This Row],[Placa]],[1]BIP!A:E,5,FALSE),"")</f>
        <v>0</v>
      </c>
      <c r="Q1713" s="27">
        <f ca="1">DATEDIF(DadosViagem5[[#This Row],[BIP]],TODAY(),"D")</f>
        <v>45990</v>
      </c>
      <c r="R1713" s="28" t="str">
        <f>IFERROR(VLOOKUP(DadosViagem5[[#This Row],[Placa]],[1]DDS!B:C,2,FALSE),"Verificar cadastro")</f>
        <v> </v>
      </c>
      <c r="S1713" s="29" t="s">
        <v>48</v>
      </c>
      <c r="T1713" s="23"/>
      <c r="U1713" s="30"/>
      <c r="V1713" s="31"/>
      <c r="W1713" s="32"/>
      <c r="X1713" s="33"/>
      <c r="Y1713" s="34"/>
      <c r="Z1713" s="32"/>
      <c r="AA1713" s="20" t="s">
        <v>49</v>
      </c>
      <c r="AB1713" s="20" t="s">
        <v>49</v>
      </c>
      <c r="AC1713" s="19" t="s">
        <v>49</v>
      </c>
      <c r="AD1713" s="19" t="str">
        <f ca="1">IFERROR(DATEDIF(DadosViagem5[[#This Row],[Utimo Bip Reserva]],TODAY(),"D"),"")</f>
        <v/>
      </c>
      <c r="AE1713" s="25" t="s">
        <v>49</v>
      </c>
      <c r="AF1713" s="25" t="s">
        <v>49</v>
      </c>
      <c r="AG1713" s="36"/>
      <c r="AH1713" s="25">
        <v>45807</v>
      </c>
      <c r="AI1713" s="36" t="str">
        <f>IF(DadosViagem5[[#This Row],[Dias em manutenção ]]&lt;5,"Dentro do Prazo","Fora do Prazo")</f>
        <v>Fora do Prazo</v>
      </c>
      <c r="AJ1713" s="36" t="e">
        <v>#REF!</v>
      </c>
    </row>
    <row r="1714" spans="1:36">
      <c r="A1714" s="19" t="s">
        <v>2858</v>
      </c>
      <c r="B1714" s="20"/>
      <c r="C1714" s="19" t="s">
        <v>88</v>
      </c>
      <c r="D1714" s="19" t="s">
        <v>52</v>
      </c>
      <c r="E1714" s="19" t="s">
        <v>57</v>
      </c>
      <c r="F1714" s="19" t="s">
        <v>40</v>
      </c>
      <c r="G1714" s="19"/>
      <c r="H1714" s="20">
        <v>2023</v>
      </c>
      <c r="I1714" s="19" t="s">
        <v>1040</v>
      </c>
      <c r="J1714" s="19" t="s">
        <v>1353</v>
      </c>
      <c r="K1714" s="21" t="s">
        <v>1354</v>
      </c>
      <c r="L1714" s="22" t="s">
        <v>60</v>
      </c>
      <c r="M1714" s="23" t="s">
        <v>45</v>
      </c>
      <c r="N1714" s="36" t="s">
        <v>1355</v>
      </c>
      <c r="O1714" s="25" t="s">
        <v>1356</v>
      </c>
      <c r="P1714" s="26">
        <f ca="1">IFERROR(VLOOKUP(DadosViagem5[[#This Row],[Placa]],[1]BIP!A:E,5,FALSE),"")</f>
        <v>0</v>
      </c>
      <c r="Q1714" s="27">
        <f ca="1">DATEDIF(DadosViagem5[[#This Row],[BIP]],TODAY(),"D")</f>
        <v>45990</v>
      </c>
      <c r="R1714" s="28" t="str">
        <f>IFERROR(VLOOKUP(DadosViagem5[[#This Row],[Placa]],[1]DDS!B:C,2,FALSE),"Verificar cadastro")</f>
        <v> </v>
      </c>
      <c r="S1714" s="29" t="s">
        <v>48</v>
      </c>
      <c r="T1714" s="23"/>
      <c r="U1714" s="30"/>
      <c r="V1714" s="31"/>
      <c r="W1714" s="32"/>
      <c r="X1714" s="33"/>
      <c r="Y1714" s="34"/>
      <c r="Z1714" s="32"/>
      <c r="AA1714" s="20" t="s">
        <v>49</v>
      </c>
      <c r="AB1714" s="20" t="s">
        <v>49</v>
      </c>
      <c r="AC1714" s="19" t="s">
        <v>49</v>
      </c>
      <c r="AD1714" s="19" t="str">
        <f ca="1">IFERROR(DATEDIF(DadosViagem5[[#This Row],[Utimo Bip Reserva]],TODAY(),"D"),"")</f>
        <v/>
      </c>
      <c r="AE1714" s="25" t="s">
        <v>49</v>
      </c>
      <c r="AF1714" s="25" t="s">
        <v>49</v>
      </c>
      <c r="AG1714" s="36"/>
      <c r="AH1714" s="25">
        <v>45807</v>
      </c>
      <c r="AI1714" s="36" t="str">
        <f>IF(DadosViagem5[[#This Row],[Dias em manutenção ]]&lt;5,"Dentro do Prazo","Fora do Prazo")</f>
        <v>Fora do Prazo</v>
      </c>
      <c r="AJ1714" s="36" t="e">
        <v>#REF!</v>
      </c>
    </row>
    <row r="1715" spans="1:36">
      <c r="A1715" s="19" t="s">
        <v>2859</v>
      </c>
      <c r="B1715" s="20"/>
      <c r="C1715" s="19" t="s">
        <v>671</v>
      </c>
      <c r="D1715" s="19" t="s">
        <v>132</v>
      </c>
      <c r="E1715" s="19" t="s">
        <v>894</v>
      </c>
      <c r="F1715" s="19" t="s">
        <v>115</v>
      </c>
      <c r="G1715" s="19"/>
      <c r="H1715" s="20">
        <v>2022</v>
      </c>
      <c r="I1715" s="19" t="s">
        <v>1040</v>
      </c>
      <c r="J1715" s="19" t="s">
        <v>1353</v>
      </c>
      <c r="K1715" s="21" t="s">
        <v>1354</v>
      </c>
      <c r="L1715" s="22" t="s">
        <v>60</v>
      </c>
      <c r="M1715" s="23" t="s">
        <v>45</v>
      </c>
      <c r="N1715" s="36" t="s">
        <v>1355</v>
      </c>
      <c r="O1715" s="25" t="s">
        <v>1356</v>
      </c>
      <c r="P1715" s="26">
        <f ca="1">IFERROR(VLOOKUP(DadosViagem5[[#This Row],[Placa]],[1]BIP!A:E,5,FALSE),"")</f>
        <v>45989</v>
      </c>
      <c r="Q1715" s="27">
        <f ca="1">DATEDIF(DadosViagem5[[#This Row],[BIP]],TODAY(),"D")</f>
        <v>1</v>
      </c>
      <c r="R1715" s="28" t="str">
        <f>IFERROR(VLOOKUP(DadosViagem5[[#This Row],[Placa]],[1]DDS!B:C,2,FALSE),"Verificar cadastro")</f>
        <v>Operando</v>
      </c>
      <c r="S1715" s="29" t="s">
        <v>48</v>
      </c>
      <c r="T1715" s="23"/>
      <c r="U1715" s="30"/>
      <c r="V1715" s="31"/>
      <c r="W1715" s="32"/>
      <c r="X1715" s="33"/>
      <c r="Y1715" s="34"/>
      <c r="Z1715" s="32"/>
      <c r="AA1715" s="20" t="s">
        <v>49</v>
      </c>
      <c r="AB1715" s="20" t="s">
        <v>49</v>
      </c>
      <c r="AC1715" s="19" t="s">
        <v>49</v>
      </c>
      <c r="AD1715" s="19" t="str">
        <f ca="1">IFERROR(DATEDIF(DadosViagem5[[#This Row],[Utimo Bip Reserva]],TODAY(),"D"),"")</f>
        <v/>
      </c>
      <c r="AE1715" s="30" t="s">
        <v>2860</v>
      </c>
      <c r="AF1715" s="25">
        <v>45699</v>
      </c>
      <c r="AG1715" s="36" t="s">
        <v>540</v>
      </c>
      <c r="AH1715" s="25">
        <v>45807</v>
      </c>
      <c r="AI1715" s="36" t="str">
        <f>IF(DadosViagem5[[#This Row],[Dias em manutenção ]]&lt;5,"Dentro do Prazo","Fora do Prazo")</f>
        <v>Fora do Prazo</v>
      </c>
      <c r="AJ1715" s="36" t="e">
        <v>#REF!</v>
      </c>
    </row>
    <row r="1716" spans="1:36">
      <c r="A1716" s="19" t="s">
        <v>2861</v>
      </c>
      <c r="B1716" s="20"/>
      <c r="C1716" s="19" t="s">
        <v>88</v>
      </c>
      <c r="D1716" s="19" t="s">
        <v>52</v>
      </c>
      <c r="E1716" s="19" t="s">
        <v>57</v>
      </c>
      <c r="F1716" s="19" t="s">
        <v>40</v>
      </c>
      <c r="G1716" s="19"/>
      <c r="H1716" s="20">
        <v>2023</v>
      </c>
      <c r="I1716" s="19" t="s">
        <v>1040</v>
      </c>
      <c r="J1716" s="19" t="s">
        <v>1353</v>
      </c>
      <c r="K1716" s="21" t="s">
        <v>1354</v>
      </c>
      <c r="L1716" s="22" t="s">
        <v>60</v>
      </c>
      <c r="M1716" s="23" t="s">
        <v>45</v>
      </c>
      <c r="N1716" s="36" t="s">
        <v>1355</v>
      </c>
      <c r="O1716" s="25" t="s">
        <v>1356</v>
      </c>
      <c r="P1716" s="26">
        <f ca="1">IFERROR(VLOOKUP(DadosViagem5[[#This Row],[Placa]],[1]BIP!A:E,5,FALSE),"")</f>
        <v>0</v>
      </c>
      <c r="Q1716" s="27">
        <f ca="1">DATEDIF(DadosViagem5[[#This Row],[BIP]],TODAY(),"D")</f>
        <v>45990</v>
      </c>
      <c r="R1716" s="28" t="str">
        <f>IFERROR(VLOOKUP(DadosViagem5[[#This Row],[Placa]],[1]DDS!B:C,2,FALSE),"Verificar cadastro")</f>
        <v> </v>
      </c>
      <c r="S1716" s="29" t="s">
        <v>48</v>
      </c>
      <c r="T1716" s="23"/>
      <c r="U1716" s="30"/>
      <c r="V1716" s="31"/>
      <c r="W1716" s="32"/>
      <c r="X1716" s="33"/>
      <c r="Y1716" s="34"/>
      <c r="Z1716" s="32"/>
      <c r="AA1716" s="20" t="s">
        <v>49</v>
      </c>
      <c r="AB1716" s="20" t="s">
        <v>49</v>
      </c>
      <c r="AC1716" s="19" t="s">
        <v>49</v>
      </c>
      <c r="AD1716" s="19" t="str">
        <f ca="1">IFERROR(DATEDIF(DadosViagem5[[#This Row],[Utimo Bip Reserva]],TODAY(),"D"),"")</f>
        <v/>
      </c>
      <c r="AE1716" s="25" t="s">
        <v>49</v>
      </c>
      <c r="AF1716" s="25" t="s">
        <v>49</v>
      </c>
      <c r="AG1716" s="36"/>
      <c r="AH1716" s="25">
        <v>45807</v>
      </c>
      <c r="AI1716" s="36" t="str">
        <f>IF(DadosViagem5[[#This Row],[Dias em manutenção ]]&lt;5,"Dentro do Prazo","Fora do Prazo")</f>
        <v>Fora do Prazo</v>
      </c>
      <c r="AJ1716" s="36" t="e">
        <v>#REF!</v>
      </c>
    </row>
    <row r="1717" spans="1:36">
      <c r="A1717" s="19" t="s">
        <v>2862</v>
      </c>
      <c r="B1717" s="20"/>
      <c r="C1717" s="19" t="s">
        <v>74</v>
      </c>
      <c r="D1717" s="19" t="s">
        <v>52</v>
      </c>
      <c r="E1717" s="19" t="s">
        <v>75</v>
      </c>
      <c r="F1717" s="19" t="s">
        <v>76</v>
      </c>
      <c r="G1717" s="19"/>
      <c r="H1717" s="20">
        <v>2024</v>
      </c>
      <c r="I1717" s="19" t="s">
        <v>1040</v>
      </c>
      <c r="J1717" s="19" t="s">
        <v>1353</v>
      </c>
      <c r="K1717" s="101" t="s">
        <v>1354</v>
      </c>
      <c r="L1717" s="22" t="s">
        <v>60</v>
      </c>
      <c r="M1717" s="23" t="s">
        <v>77</v>
      </c>
      <c r="N1717" s="36" t="s">
        <v>1355</v>
      </c>
      <c r="O1717" s="25" t="s">
        <v>1356</v>
      </c>
      <c r="P1717" s="26">
        <f ca="1">IFERROR(VLOOKUP(DadosViagem5[[#This Row],[Placa]],[1]BIP!A:E,5,FALSE),"")</f>
        <v>45989</v>
      </c>
      <c r="Q1717" s="27">
        <f ca="1">DATEDIF(DadosViagem5[[#This Row],[BIP]],TODAY(),"D")</f>
        <v>1</v>
      </c>
      <c r="R1717" s="28" t="str">
        <f>IFERROR(VLOOKUP(DadosViagem5[[#This Row],[Placa]],[1]DDS!B:C,2,FALSE),"Verificar cadastro")</f>
        <v>Operando</v>
      </c>
      <c r="S1717" s="29" t="s">
        <v>48</v>
      </c>
      <c r="T1717" s="23"/>
      <c r="U1717" s="30"/>
      <c r="V1717" s="31"/>
      <c r="W1717" s="32"/>
      <c r="X1717" s="33"/>
      <c r="Y1717" s="34"/>
      <c r="Z1717" s="32"/>
      <c r="AA1717" s="20" t="s">
        <v>49</v>
      </c>
      <c r="AB1717" s="20" t="s">
        <v>49</v>
      </c>
      <c r="AC1717" s="19" t="s">
        <v>49</v>
      </c>
      <c r="AD1717" s="19" t="str">
        <f ca="1">IFERROR(DATEDIF(DadosViagem5[[#This Row],[Utimo Bip Reserva]],TODAY(),"D"),"")</f>
        <v/>
      </c>
      <c r="AE1717" s="35"/>
      <c r="AF1717" s="35"/>
      <c r="AG1717" s="36"/>
      <c r="AH1717" s="25">
        <v>45807</v>
      </c>
      <c r="AI1717" s="36" t="str">
        <f>IF(DadosViagem5[[#This Row],[Dias em manutenção ]]&lt;5,"Dentro do Prazo","Fora do Prazo")</f>
        <v>Fora do Prazo</v>
      </c>
      <c r="AJ1717" s="36" t="e">
        <v>#REF!</v>
      </c>
    </row>
    <row r="1718" spans="1:36">
      <c r="A1718" s="19" t="s">
        <v>2863</v>
      </c>
      <c r="B1718" s="20"/>
      <c r="C1718" s="19" t="s">
        <v>88</v>
      </c>
      <c r="D1718" s="19" t="s">
        <v>52</v>
      </c>
      <c r="E1718" s="19" t="s">
        <v>57</v>
      </c>
      <c r="F1718" s="19" t="s">
        <v>40</v>
      </c>
      <c r="G1718" s="19"/>
      <c r="H1718" s="20">
        <v>2023</v>
      </c>
      <c r="I1718" s="19" t="s">
        <v>1040</v>
      </c>
      <c r="J1718" s="19" t="s">
        <v>1353</v>
      </c>
      <c r="K1718" s="21" t="s">
        <v>1354</v>
      </c>
      <c r="L1718" s="22" t="s">
        <v>60</v>
      </c>
      <c r="M1718" s="23" t="s">
        <v>45</v>
      </c>
      <c r="N1718" s="36" t="s">
        <v>1355</v>
      </c>
      <c r="O1718" s="25" t="s">
        <v>1356</v>
      </c>
      <c r="P1718" s="26">
        <f ca="1">IFERROR(VLOOKUP(DadosViagem5[[#This Row],[Placa]],[1]BIP!A:E,5,FALSE),"")</f>
        <v>45989</v>
      </c>
      <c r="Q1718" s="27">
        <f ca="1">DATEDIF(DadosViagem5[[#This Row],[BIP]],TODAY(),"D")</f>
        <v>1</v>
      </c>
      <c r="R1718" s="28" t="str">
        <f>IFERROR(VLOOKUP(DadosViagem5[[#This Row],[Placa]],[1]DDS!B:C,2,FALSE),"Verificar cadastro")</f>
        <v>Operando</v>
      </c>
      <c r="S1718" s="29" t="s">
        <v>48</v>
      </c>
      <c r="T1718" s="23"/>
      <c r="U1718" s="30"/>
      <c r="V1718" s="31"/>
      <c r="W1718" s="32"/>
      <c r="X1718" s="33"/>
      <c r="Y1718" s="34"/>
      <c r="Z1718" s="32"/>
      <c r="AA1718" s="20" t="s">
        <v>49</v>
      </c>
      <c r="AB1718" s="20" t="s">
        <v>49</v>
      </c>
      <c r="AC1718" s="19" t="s">
        <v>49</v>
      </c>
      <c r="AD1718" s="19" t="str">
        <f ca="1">IFERROR(DATEDIF(DadosViagem5[[#This Row],[Utimo Bip Reserva]],TODAY(),"D"),"")</f>
        <v/>
      </c>
      <c r="AE1718" s="25" t="s">
        <v>49</v>
      </c>
      <c r="AF1718" s="25" t="s">
        <v>49</v>
      </c>
      <c r="AG1718" s="36"/>
      <c r="AH1718" s="25">
        <v>45807</v>
      </c>
      <c r="AI1718" s="36" t="str">
        <f>IF(DadosViagem5[[#This Row],[Dias em manutenção ]]&lt;5,"Dentro do Prazo","Fora do Prazo")</f>
        <v>Fora do Prazo</v>
      </c>
      <c r="AJ1718" s="36" t="e">
        <v>#REF!</v>
      </c>
    </row>
    <row r="1719" spans="1:36">
      <c r="A1719" s="19" t="s">
        <v>2864</v>
      </c>
      <c r="B1719" s="20"/>
      <c r="C1719" s="19" t="s">
        <v>88</v>
      </c>
      <c r="D1719" s="19" t="s">
        <v>52</v>
      </c>
      <c r="E1719" s="19" t="s">
        <v>57</v>
      </c>
      <c r="F1719" s="19" t="s">
        <v>40</v>
      </c>
      <c r="G1719" s="19"/>
      <c r="H1719" s="20">
        <v>2023</v>
      </c>
      <c r="I1719" s="19" t="s">
        <v>1040</v>
      </c>
      <c r="J1719" s="19" t="s">
        <v>1353</v>
      </c>
      <c r="K1719" s="21" t="s">
        <v>1354</v>
      </c>
      <c r="L1719" s="22" t="s">
        <v>60</v>
      </c>
      <c r="M1719" s="23" t="s">
        <v>45</v>
      </c>
      <c r="N1719" s="36" t="s">
        <v>1355</v>
      </c>
      <c r="O1719" s="25" t="s">
        <v>1356</v>
      </c>
      <c r="P1719" s="26">
        <f ca="1">IFERROR(VLOOKUP(DadosViagem5[[#This Row],[Placa]],[1]BIP!A:E,5,FALSE),"")</f>
        <v>45989</v>
      </c>
      <c r="Q1719" s="27">
        <f ca="1">DATEDIF(DadosViagem5[[#This Row],[BIP]],TODAY(),"D")</f>
        <v>1</v>
      </c>
      <c r="R1719" s="28" t="str">
        <f>IFERROR(VLOOKUP(DadosViagem5[[#This Row],[Placa]],[1]DDS!B:C,2,FALSE),"Verificar cadastro")</f>
        <v>Operando</v>
      </c>
      <c r="S1719" s="29" t="s">
        <v>48</v>
      </c>
      <c r="T1719" s="23"/>
      <c r="U1719" s="30"/>
      <c r="V1719" s="31"/>
      <c r="W1719" s="32"/>
      <c r="X1719" s="33"/>
      <c r="Y1719" s="34"/>
      <c r="Z1719" s="32"/>
      <c r="AA1719" s="20" t="s">
        <v>49</v>
      </c>
      <c r="AB1719" s="20" t="s">
        <v>49</v>
      </c>
      <c r="AC1719" s="19" t="s">
        <v>49</v>
      </c>
      <c r="AD1719" s="19" t="str">
        <f ca="1">IFERROR(DATEDIF(DadosViagem5[[#This Row],[Utimo Bip Reserva]],TODAY(),"D"),"")</f>
        <v/>
      </c>
      <c r="AE1719" s="25" t="s">
        <v>49</v>
      </c>
      <c r="AF1719" s="25" t="s">
        <v>49</v>
      </c>
      <c r="AG1719" s="36"/>
      <c r="AH1719" s="25">
        <v>45807</v>
      </c>
      <c r="AI1719" s="36" t="str">
        <f>IF(DadosViagem5[[#This Row],[Dias em manutenção ]]&lt;5,"Dentro do Prazo","Fora do Prazo")</f>
        <v>Fora do Prazo</v>
      </c>
      <c r="AJ1719" s="36" t="e">
        <v>#REF!</v>
      </c>
    </row>
    <row r="1720" spans="1:36">
      <c r="A1720" s="19" t="s">
        <v>2865</v>
      </c>
      <c r="B1720" s="20"/>
      <c r="C1720" s="19" t="s">
        <v>88</v>
      </c>
      <c r="D1720" s="19" t="s">
        <v>52</v>
      </c>
      <c r="E1720" s="19" t="s">
        <v>57</v>
      </c>
      <c r="F1720" s="19" t="s">
        <v>40</v>
      </c>
      <c r="G1720" s="19"/>
      <c r="H1720" s="20">
        <v>2023</v>
      </c>
      <c r="I1720" s="19" t="s">
        <v>1040</v>
      </c>
      <c r="J1720" s="19" t="s">
        <v>1353</v>
      </c>
      <c r="K1720" s="21" t="s">
        <v>1354</v>
      </c>
      <c r="L1720" s="22" t="s">
        <v>60</v>
      </c>
      <c r="M1720" s="23" t="s">
        <v>45</v>
      </c>
      <c r="N1720" s="36" t="s">
        <v>1355</v>
      </c>
      <c r="O1720" s="25" t="s">
        <v>1356</v>
      </c>
      <c r="P1720" s="26">
        <f ca="1">IFERROR(VLOOKUP(DadosViagem5[[#This Row],[Placa]],[1]BIP!A:E,5,FALSE),"")</f>
        <v>45989</v>
      </c>
      <c r="Q1720" s="27">
        <f ca="1">DATEDIF(DadosViagem5[[#This Row],[BIP]],TODAY(),"D")</f>
        <v>1</v>
      </c>
      <c r="R1720" s="28" t="str">
        <f>IFERROR(VLOOKUP(DadosViagem5[[#This Row],[Placa]],[1]DDS!B:C,2,FALSE),"Verificar cadastro")</f>
        <v>Operando</v>
      </c>
      <c r="S1720" s="29" t="s">
        <v>48</v>
      </c>
      <c r="T1720" s="23"/>
      <c r="U1720" s="30"/>
      <c r="V1720" s="31"/>
      <c r="W1720" s="32"/>
      <c r="X1720" s="33"/>
      <c r="Y1720" s="34"/>
      <c r="Z1720" s="32"/>
      <c r="AA1720" s="20" t="s">
        <v>49</v>
      </c>
      <c r="AB1720" s="20" t="s">
        <v>49</v>
      </c>
      <c r="AC1720" s="19" t="s">
        <v>49</v>
      </c>
      <c r="AD1720" s="19" t="str">
        <f ca="1">IFERROR(DATEDIF(DadosViagem5[[#This Row],[Utimo Bip Reserva]],TODAY(),"D"),"")</f>
        <v/>
      </c>
      <c r="AE1720" s="25" t="s">
        <v>49</v>
      </c>
      <c r="AF1720" s="25" t="s">
        <v>49</v>
      </c>
      <c r="AG1720" s="36" t="s">
        <v>454</v>
      </c>
      <c r="AH1720" s="25">
        <v>45807</v>
      </c>
      <c r="AI1720" s="36" t="str">
        <f>IF(DadosViagem5[[#This Row],[Dias em manutenção ]]&lt;5,"Dentro do Prazo","Fora do Prazo")</f>
        <v>Fora do Prazo</v>
      </c>
      <c r="AJ1720" s="36" t="e">
        <v>#REF!</v>
      </c>
    </row>
    <row r="1721" spans="1:36">
      <c r="A1721" s="19" t="s">
        <v>2866</v>
      </c>
      <c r="B1721" s="20"/>
      <c r="C1721" s="19" t="s">
        <v>88</v>
      </c>
      <c r="D1721" s="19" t="s">
        <v>52</v>
      </c>
      <c r="E1721" s="19" t="s">
        <v>57</v>
      </c>
      <c r="F1721" s="19" t="s">
        <v>40</v>
      </c>
      <c r="G1721" s="19"/>
      <c r="H1721" s="20">
        <v>2023</v>
      </c>
      <c r="I1721" s="37" t="s">
        <v>1040</v>
      </c>
      <c r="J1721" s="37" t="s">
        <v>1353</v>
      </c>
      <c r="K1721" s="21" t="s">
        <v>1354</v>
      </c>
      <c r="L1721" s="39" t="s">
        <v>60</v>
      </c>
      <c r="M1721" s="23" t="s">
        <v>45</v>
      </c>
      <c r="N1721" s="24" t="s">
        <v>1355</v>
      </c>
      <c r="O1721" s="40" t="s">
        <v>1356</v>
      </c>
      <c r="P1721" s="26">
        <f ca="1">IFERROR(VLOOKUP(DadosViagem5[[#This Row],[Placa]],[1]BIP!A:E,5,FALSE),"")</f>
        <v>0</v>
      </c>
      <c r="Q1721" s="27">
        <f ca="1">DATEDIF(DadosViagem5[[#This Row],[BIP]],TODAY(),"D")</f>
        <v>45990</v>
      </c>
      <c r="R1721" s="28" t="str">
        <f>IFERROR(VLOOKUP(DadosViagem5[[#This Row],[Placa]],[1]DDS!B:C,2,FALSE),"Verificar cadastro")</f>
        <v> </v>
      </c>
      <c r="S1721" s="29" t="s">
        <v>48</v>
      </c>
      <c r="T1721" s="23"/>
      <c r="U1721" s="30"/>
      <c r="V1721" s="31"/>
      <c r="W1721" s="32"/>
      <c r="X1721" s="33"/>
      <c r="Y1721" s="34"/>
      <c r="Z1721" s="32"/>
      <c r="AA1721" s="20" t="s">
        <v>49</v>
      </c>
      <c r="AB1721" s="20" t="s">
        <v>49</v>
      </c>
      <c r="AC1721" s="19" t="s">
        <v>49</v>
      </c>
      <c r="AD1721" s="19" t="str">
        <f ca="1">IFERROR(DATEDIF(DadosViagem5[[#This Row],[Utimo Bip Reserva]],TODAY(),"D"),"")</f>
        <v/>
      </c>
      <c r="AE1721" s="25" t="s">
        <v>49</v>
      </c>
      <c r="AF1721" s="25" t="s">
        <v>49</v>
      </c>
      <c r="AG1721" s="36"/>
      <c r="AH1721" s="25">
        <v>45807</v>
      </c>
      <c r="AI1721" s="36" t="str">
        <f>IF(DadosViagem5[[#This Row],[Dias em manutenção ]]&lt;5,"Dentro do Prazo","Fora do Prazo")</f>
        <v>Fora do Prazo</v>
      </c>
      <c r="AJ1721" s="36" t="e">
        <v>#REF!</v>
      </c>
    </row>
    <row r="1722" spans="1:36">
      <c r="A1722" s="19" t="s">
        <v>2867</v>
      </c>
      <c r="B1722" s="20"/>
      <c r="C1722" s="19" t="s">
        <v>88</v>
      </c>
      <c r="D1722" s="19" t="s">
        <v>52</v>
      </c>
      <c r="E1722" s="19" t="s">
        <v>57</v>
      </c>
      <c r="F1722" s="19" t="s">
        <v>40</v>
      </c>
      <c r="G1722" s="19"/>
      <c r="H1722" s="20">
        <v>2023</v>
      </c>
      <c r="I1722" s="37" t="s">
        <v>1040</v>
      </c>
      <c r="J1722" s="37" t="s">
        <v>1353</v>
      </c>
      <c r="K1722" s="21" t="s">
        <v>1354</v>
      </c>
      <c r="L1722" s="39" t="s">
        <v>60</v>
      </c>
      <c r="M1722" s="23" t="s">
        <v>45</v>
      </c>
      <c r="N1722" s="24" t="s">
        <v>1355</v>
      </c>
      <c r="O1722" s="40" t="s">
        <v>1356</v>
      </c>
      <c r="P1722" s="26">
        <f ca="1">IFERROR(VLOOKUP(DadosViagem5[[#This Row],[Placa]],[1]BIP!A:E,5,FALSE),"")</f>
        <v>0</v>
      </c>
      <c r="Q1722" s="27">
        <f ca="1">DATEDIF(DadosViagem5[[#This Row],[BIP]],TODAY(),"D")</f>
        <v>45990</v>
      </c>
      <c r="R1722" s="28" t="str">
        <f>IFERROR(VLOOKUP(DadosViagem5[[#This Row],[Placa]],[1]DDS!B:C,2,FALSE),"Verificar cadastro")</f>
        <v> </v>
      </c>
      <c r="S1722" s="29" t="s">
        <v>48</v>
      </c>
      <c r="T1722" s="23"/>
      <c r="U1722" s="30"/>
      <c r="V1722" s="31"/>
      <c r="W1722" s="32"/>
      <c r="X1722" s="33"/>
      <c r="Y1722" s="34"/>
      <c r="Z1722" s="32"/>
      <c r="AA1722" s="20" t="s">
        <v>49</v>
      </c>
      <c r="AB1722" s="20" t="s">
        <v>49</v>
      </c>
      <c r="AC1722" s="19" t="s">
        <v>49</v>
      </c>
      <c r="AD1722" s="19" t="str">
        <f ca="1">IFERROR(DATEDIF(DadosViagem5[[#This Row],[Utimo Bip Reserva]],TODAY(),"D"),"")</f>
        <v/>
      </c>
      <c r="AE1722" s="35" t="s">
        <v>49</v>
      </c>
      <c r="AF1722" s="35" t="s">
        <v>49</v>
      </c>
      <c r="AG1722" s="36"/>
      <c r="AH1722" s="25">
        <v>45807</v>
      </c>
      <c r="AI1722" s="36" t="str">
        <f>IF(DadosViagem5[[#This Row],[Dias em manutenção ]]&lt;5,"Dentro do Prazo","Fora do Prazo")</f>
        <v>Fora do Prazo</v>
      </c>
      <c r="AJ1722" s="36" t="e">
        <v>#REF!</v>
      </c>
    </row>
    <row r="1723" spans="1:36">
      <c r="A1723" s="19" t="s">
        <v>2868</v>
      </c>
      <c r="B1723" s="20"/>
      <c r="C1723" s="19" t="s">
        <v>88</v>
      </c>
      <c r="D1723" s="19" t="s">
        <v>52</v>
      </c>
      <c r="E1723" s="19" t="s">
        <v>57</v>
      </c>
      <c r="F1723" s="19" t="s">
        <v>40</v>
      </c>
      <c r="G1723" s="19"/>
      <c r="H1723" s="20">
        <v>2023</v>
      </c>
      <c r="I1723" s="37" t="s">
        <v>1040</v>
      </c>
      <c r="J1723" s="37" t="s">
        <v>1353</v>
      </c>
      <c r="K1723" s="21" t="s">
        <v>1354</v>
      </c>
      <c r="L1723" s="39" t="s">
        <v>60</v>
      </c>
      <c r="M1723" s="23" t="s">
        <v>45</v>
      </c>
      <c r="N1723" s="24" t="s">
        <v>1355</v>
      </c>
      <c r="O1723" s="40" t="s">
        <v>1356</v>
      </c>
      <c r="P1723" s="26">
        <f ca="1">IFERROR(VLOOKUP(DadosViagem5[[#This Row],[Placa]],[1]BIP!A:E,5,FALSE),"")</f>
        <v>45989</v>
      </c>
      <c r="Q1723" s="27">
        <f ca="1">DATEDIF(DadosViagem5[[#This Row],[BIP]],TODAY(),"D")</f>
        <v>1</v>
      </c>
      <c r="R1723" s="28" t="str">
        <f>IFERROR(VLOOKUP(DadosViagem5[[#This Row],[Placa]],[1]DDS!B:C,2,FALSE),"Verificar cadastro")</f>
        <v>Operando</v>
      </c>
      <c r="S1723" s="29" t="s">
        <v>48</v>
      </c>
      <c r="T1723" s="23"/>
      <c r="U1723" s="30"/>
      <c r="V1723" s="31"/>
      <c r="W1723" s="32" t="s">
        <v>2869</v>
      </c>
      <c r="X1723" s="33"/>
      <c r="Y1723" s="34"/>
      <c r="Z1723" s="32"/>
      <c r="AA1723" s="20" t="s">
        <v>49</v>
      </c>
      <c r="AB1723" s="20" t="s">
        <v>49</v>
      </c>
      <c r="AC1723" s="19" t="s">
        <v>49</v>
      </c>
      <c r="AD1723" s="19" t="str">
        <f ca="1">IFERROR(DATEDIF(DadosViagem5[[#This Row],[Utimo Bip Reserva]],TODAY(),"D"),"")</f>
        <v/>
      </c>
      <c r="AE1723" s="35" t="s">
        <v>49</v>
      </c>
      <c r="AF1723" s="25"/>
      <c r="AG1723" s="36"/>
      <c r="AH1723" s="25">
        <v>45807</v>
      </c>
      <c r="AI1723" s="36" t="str">
        <f>IF(DadosViagem5[[#This Row],[Dias em manutenção ]]&lt;5,"Dentro do Prazo","Fora do Prazo")</f>
        <v>Fora do Prazo</v>
      </c>
      <c r="AJ1723" s="36" t="e">
        <v>#REF!</v>
      </c>
    </row>
    <row r="1724" spans="1:36">
      <c r="A1724" s="19" t="s">
        <v>2870</v>
      </c>
      <c r="B1724" s="20"/>
      <c r="C1724" s="19" t="s">
        <v>88</v>
      </c>
      <c r="D1724" s="19" t="s">
        <v>52</v>
      </c>
      <c r="E1724" s="19" t="s">
        <v>57</v>
      </c>
      <c r="F1724" s="19" t="s">
        <v>40</v>
      </c>
      <c r="G1724" s="19"/>
      <c r="H1724" s="20">
        <v>2023</v>
      </c>
      <c r="I1724" s="37" t="s">
        <v>1040</v>
      </c>
      <c r="J1724" s="37" t="s">
        <v>1353</v>
      </c>
      <c r="K1724" s="21" t="s">
        <v>1354</v>
      </c>
      <c r="L1724" s="39" t="s">
        <v>60</v>
      </c>
      <c r="M1724" s="23" t="s">
        <v>45</v>
      </c>
      <c r="N1724" s="24" t="s">
        <v>1355</v>
      </c>
      <c r="O1724" s="40" t="s">
        <v>1356</v>
      </c>
      <c r="P1724" s="26">
        <f ca="1">IFERROR(VLOOKUP(DadosViagem5[[#This Row],[Placa]],[1]BIP!A:E,5,FALSE),"")</f>
        <v>45989</v>
      </c>
      <c r="Q1724" s="27">
        <f ca="1">DATEDIF(DadosViagem5[[#This Row],[BIP]],TODAY(),"D")</f>
        <v>1</v>
      </c>
      <c r="R1724" s="28" t="str">
        <f>IFERROR(VLOOKUP(DadosViagem5[[#This Row],[Placa]],[1]DDS!B:C,2,FALSE),"Verificar cadastro")</f>
        <v>Operando</v>
      </c>
      <c r="S1724" s="29" t="s">
        <v>48</v>
      </c>
      <c r="T1724" s="23"/>
      <c r="U1724" s="30"/>
      <c r="V1724" s="31"/>
      <c r="W1724" s="32"/>
      <c r="X1724" s="33"/>
      <c r="Y1724" s="34"/>
      <c r="Z1724" s="32"/>
      <c r="AA1724" s="20" t="s">
        <v>49</v>
      </c>
      <c r="AB1724" s="20" t="s">
        <v>49</v>
      </c>
      <c r="AC1724" s="19" t="s">
        <v>49</v>
      </c>
      <c r="AD1724" s="19" t="str">
        <f ca="1">IFERROR(DATEDIF(DadosViagem5[[#This Row],[Utimo Bip Reserva]],TODAY(),"D"),"")</f>
        <v/>
      </c>
      <c r="AE1724" s="25" t="s">
        <v>49</v>
      </c>
      <c r="AF1724" s="25" t="s">
        <v>49</v>
      </c>
      <c r="AG1724" s="36"/>
      <c r="AH1724" s="25">
        <v>45807</v>
      </c>
      <c r="AI1724" s="36" t="str">
        <f>IF(DadosViagem5[[#This Row],[Dias em manutenção ]]&lt;5,"Dentro do Prazo","Fora do Prazo")</f>
        <v>Fora do Prazo</v>
      </c>
      <c r="AJ1724" s="36" t="e">
        <v>#REF!</v>
      </c>
    </row>
    <row r="1725" spans="1:36">
      <c r="A1725" s="19" t="s">
        <v>2871</v>
      </c>
      <c r="B1725" s="20"/>
      <c r="C1725" s="19" t="s">
        <v>131</v>
      </c>
      <c r="D1725" s="19" t="s">
        <v>132</v>
      </c>
      <c r="E1725" s="19" t="s">
        <v>114</v>
      </c>
      <c r="F1725" s="19" t="s">
        <v>115</v>
      </c>
      <c r="G1725" s="19"/>
      <c r="H1725" s="20">
        <v>2022</v>
      </c>
      <c r="I1725" s="37" t="s">
        <v>1084</v>
      </c>
      <c r="J1725" s="37" t="s">
        <v>2872</v>
      </c>
      <c r="K1725" s="21" t="s">
        <v>2568</v>
      </c>
      <c r="L1725" s="39" t="s">
        <v>60</v>
      </c>
      <c r="M1725" s="23" t="s">
        <v>61</v>
      </c>
      <c r="N1725" s="25" t="s">
        <v>709</v>
      </c>
      <c r="O1725" s="40" t="s">
        <v>710</v>
      </c>
      <c r="P1725" s="26">
        <f ca="1">IFERROR(VLOOKUP(DadosViagem5[[#This Row],[Placa]],[1]BIP!A:E,5,FALSE),"")</f>
        <v>45950</v>
      </c>
      <c r="Q1725" s="27">
        <f ca="1">DATEDIF(DadosViagem5[[#This Row],[BIP]],TODAY(),"D")</f>
        <v>40</v>
      </c>
      <c r="R1725" s="28" t="str">
        <f>IFERROR(VLOOKUP(DadosViagem5[[#This Row],[Placa]],[1]DDS!B:C,2,FALSE),"Verificar cadastro")</f>
        <v>Sem operação</v>
      </c>
      <c r="S1725" s="29" t="s">
        <v>48</v>
      </c>
      <c r="T1725" s="23"/>
      <c r="U1725" s="30"/>
      <c r="V1725" s="31"/>
      <c r="W1725" s="32" t="s">
        <v>2873</v>
      </c>
      <c r="X1725" s="33"/>
      <c r="Y1725" s="34"/>
      <c r="Z1725" s="32"/>
      <c r="AA1725" s="20" t="s">
        <v>49</v>
      </c>
      <c r="AB1725" s="20" t="s">
        <v>49</v>
      </c>
      <c r="AC1725" s="19" t="s">
        <v>49</v>
      </c>
      <c r="AD1725" s="19" t="str">
        <f ca="1">IFERROR(DATEDIF(DadosViagem5[[#This Row],[Utimo Bip Reserva]],TODAY(),"D"),"")</f>
        <v/>
      </c>
      <c r="AE1725" s="36" t="s">
        <v>2874</v>
      </c>
      <c r="AF1725" s="25" t="s">
        <v>49</v>
      </c>
      <c r="AG1725" s="36"/>
      <c r="AH1725" s="25">
        <v>160</v>
      </c>
      <c r="AI1725" s="36" t="str">
        <f>IF(DadosViagem5[[#This Row],[Dias em manutenção ]]&lt;5,"Dentro do Prazo","Fora do Prazo")</f>
        <v>Fora do Prazo</v>
      </c>
      <c r="AJ1725" s="36" t="e">
        <v>#REF!</v>
      </c>
    </row>
    <row r="1726" spans="1:36">
      <c r="A1726" s="19" t="s">
        <v>2875</v>
      </c>
      <c r="B1726" s="20"/>
      <c r="C1726" s="19" t="s">
        <v>131</v>
      </c>
      <c r="D1726" s="19" t="s">
        <v>132</v>
      </c>
      <c r="E1726" s="19" t="s">
        <v>114</v>
      </c>
      <c r="F1726" s="19" t="s">
        <v>115</v>
      </c>
      <c r="G1726" s="19"/>
      <c r="H1726" s="20">
        <v>2023</v>
      </c>
      <c r="I1726" s="37" t="s">
        <v>1084</v>
      </c>
      <c r="J1726" s="37" t="s">
        <v>2872</v>
      </c>
      <c r="K1726" s="21" t="s">
        <v>2568</v>
      </c>
      <c r="L1726" s="39" t="s">
        <v>60</v>
      </c>
      <c r="M1726" s="23" t="s">
        <v>61</v>
      </c>
      <c r="N1726" s="25" t="s">
        <v>709</v>
      </c>
      <c r="O1726" s="25" t="s">
        <v>710</v>
      </c>
      <c r="P1726" s="26">
        <f ca="1">IFERROR(VLOOKUP(DadosViagem5[[#This Row],[Placa]],[1]BIP!A:E,5,FALSE),"")</f>
        <v>45937</v>
      </c>
      <c r="Q1726" s="27">
        <f ca="1">DATEDIF(DadosViagem5[[#This Row],[BIP]],TODAY(),"D")</f>
        <v>53</v>
      </c>
      <c r="R1726" s="28" t="str">
        <f>IFERROR(VLOOKUP(DadosViagem5[[#This Row],[Placa]],[1]DDS!B:C,2,FALSE),"Verificar cadastro")</f>
        <v>Sem operação</v>
      </c>
      <c r="S1726" s="29" t="s">
        <v>48</v>
      </c>
      <c r="T1726" s="23"/>
      <c r="U1726" s="30"/>
      <c r="V1726" s="31"/>
      <c r="W1726" s="32" t="s">
        <v>155</v>
      </c>
      <c r="X1726" s="33"/>
      <c r="Y1726" s="34"/>
      <c r="Z1726" s="42"/>
      <c r="AA1726" s="20" t="s">
        <v>49</v>
      </c>
      <c r="AB1726" s="20" t="s">
        <v>49</v>
      </c>
      <c r="AC1726" s="19" t="s">
        <v>49</v>
      </c>
      <c r="AD1726" s="19" t="str">
        <f ca="1">IFERROR(DATEDIF(DadosViagem5[[#This Row],[Utimo Bip Reserva]],TODAY(),"D"),"")</f>
        <v/>
      </c>
      <c r="AE1726" s="36" t="s">
        <v>49</v>
      </c>
      <c r="AF1726" s="25" t="s">
        <v>49</v>
      </c>
      <c r="AG1726" s="36"/>
      <c r="AH1726" s="25">
        <v>45807</v>
      </c>
      <c r="AI1726" s="36" t="str">
        <f>IF(DadosViagem5[[#This Row],[Dias em manutenção ]]&lt;5,"Dentro do Prazo","Fora do Prazo")</f>
        <v>Fora do Prazo</v>
      </c>
      <c r="AJ1726" s="36" t="e">
        <v>#REF!</v>
      </c>
    </row>
    <row r="1727" spans="1:36">
      <c r="A1727" s="19" t="s">
        <v>2876</v>
      </c>
      <c r="B1727" s="20"/>
      <c r="C1727" s="19" t="s">
        <v>131</v>
      </c>
      <c r="D1727" s="19" t="s">
        <v>132</v>
      </c>
      <c r="E1727" s="19" t="s">
        <v>114</v>
      </c>
      <c r="F1727" s="19" t="s">
        <v>115</v>
      </c>
      <c r="G1727" s="19"/>
      <c r="H1727" s="20">
        <v>2022</v>
      </c>
      <c r="I1727" s="19" t="s">
        <v>1084</v>
      </c>
      <c r="J1727" s="19" t="s">
        <v>2872</v>
      </c>
      <c r="K1727" s="21" t="s">
        <v>2568</v>
      </c>
      <c r="L1727" s="22" t="s">
        <v>60</v>
      </c>
      <c r="M1727" s="23" t="s">
        <v>61</v>
      </c>
      <c r="N1727" s="25" t="s">
        <v>709</v>
      </c>
      <c r="O1727" s="25" t="s">
        <v>710</v>
      </c>
      <c r="P1727" s="26">
        <f ca="1">IFERROR(VLOOKUP(DadosViagem5[[#This Row],[Placa]],[1]BIP!A:E,5,FALSE),"")</f>
        <v>45877</v>
      </c>
      <c r="Q1727" s="27">
        <f ca="1">DATEDIF(DadosViagem5[[#This Row],[BIP]],TODAY(),"D")</f>
        <v>113</v>
      </c>
      <c r="R1727" s="28" t="str">
        <f>IFERROR(VLOOKUP(DadosViagem5[[#This Row],[Placa]],[1]DDS!B:C,2,FALSE),"Verificar cadastro")</f>
        <v>Manutenção</v>
      </c>
      <c r="S1727" s="29" t="s">
        <v>173</v>
      </c>
      <c r="T1727" s="23"/>
      <c r="U1727" s="30"/>
      <c r="V1727" s="31">
        <v>45878</v>
      </c>
      <c r="W1727" s="32" t="s">
        <v>153</v>
      </c>
      <c r="X1727" s="33" t="s">
        <v>65</v>
      </c>
      <c r="Y1727" s="34" t="s">
        <v>159</v>
      </c>
      <c r="Z1727" s="32" t="s">
        <v>2877</v>
      </c>
      <c r="AA1727" s="20" t="s">
        <v>49</v>
      </c>
      <c r="AB1727" s="20" t="s">
        <v>49</v>
      </c>
      <c r="AC1727" s="19" t="s">
        <v>2878</v>
      </c>
      <c r="AD1727" s="19" t="str">
        <f ca="1">IFERROR(DATEDIF(DadosViagem5[[#This Row],[Utimo Bip Reserva]],TODAY(),"D"),"")</f>
        <v/>
      </c>
      <c r="AE1727" s="36" t="s">
        <v>49</v>
      </c>
      <c r="AF1727" s="25" t="s">
        <v>49</v>
      </c>
      <c r="AG1727" s="36"/>
      <c r="AH1727" s="25">
        <v>45807</v>
      </c>
      <c r="AI1727" s="36" t="str">
        <f>IF(DadosViagem5[[#This Row],[Dias em manutenção ]]&lt;5,"Dentro do Prazo","Fora do Prazo")</f>
        <v>Fora do Prazo</v>
      </c>
      <c r="AJ1727" s="36" t="e">
        <v>#REF!</v>
      </c>
    </row>
    <row r="1728" spans="1:36">
      <c r="A1728" s="19" t="s">
        <v>2879</v>
      </c>
      <c r="B1728" s="20"/>
      <c r="C1728" s="19" t="s">
        <v>88</v>
      </c>
      <c r="D1728" s="19" t="s">
        <v>52</v>
      </c>
      <c r="E1728" s="19" t="s">
        <v>114</v>
      </c>
      <c r="F1728" s="19" t="s">
        <v>115</v>
      </c>
      <c r="G1728" s="19"/>
      <c r="H1728" s="20">
        <v>2022</v>
      </c>
      <c r="I1728" s="19" t="s">
        <v>1084</v>
      </c>
      <c r="J1728" s="19" t="s">
        <v>2872</v>
      </c>
      <c r="K1728" s="21" t="s">
        <v>2568</v>
      </c>
      <c r="L1728" s="22" t="s">
        <v>60</v>
      </c>
      <c r="M1728" s="23" t="s">
        <v>61</v>
      </c>
      <c r="N1728" s="25" t="s">
        <v>709</v>
      </c>
      <c r="O1728" s="25" t="s">
        <v>710</v>
      </c>
      <c r="P1728" s="26">
        <f ca="1">IFERROR(VLOOKUP(DadosViagem5[[#This Row],[Placa]],[1]BIP!A:E,5,FALSE),"")</f>
        <v>45936</v>
      </c>
      <c r="Q1728" s="27">
        <f ca="1">DATEDIF(DadosViagem5[[#This Row],[BIP]],TODAY(),"D")</f>
        <v>54</v>
      </c>
      <c r="R1728" s="28" t="str">
        <f>IFERROR(VLOOKUP(DadosViagem5[[#This Row],[Placa]],[1]DDS!B:C,2,FALSE),"Verificar cadastro")</f>
        <v>Verificar cadastro</v>
      </c>
      <c r="S1728" s="36" t="s">
        <v>574</v>
      </c>
      <c r="T1728" s="23"/>
      <c r="U1728" s="30"/>
      <c r="V1728" s="31"/>
      <c r="W1728" s="32" t="s">
        <v>2880</v>
      </c>
      <c r="X1728" s="57"/>
      <c r="Y1728" s="86"/>
      <c r="Z1728" s="58"/>
      <c r="AA1728" s="20" t="s">
        <v>49</v>
      </c>
      <c r="AB1728" s="20" t="s">
        <v>2593</v>
      </c>
      <c r="AC1728" s="19" t="s">
        <v>49</v>
      </c>
      <c r="AD1728" s="19" t="str">
        <f ca="1">IFERROR(DATEDIF(DadosViagem5[[#This Row],[Utimo Bip Reserva]],TODAY(),"D"),"")</f>
        <v/>
      </c>
      <c r="AE1728" s="36" t="s">
        <v>49</v>
      </c>
      <c r="AF1728" s="25" t="s">
        <v>49</v>
      </c>
      <c r="AG1728" s="36"/>
      <c r="AH1728" s="25">
        <v>45807</v>
      </c>
      <c r="AI1728" s="36" t="str">
        <f>IF(DadosViagem5[[#This Row],[Dias em manutenção ]]&lt;5,"Dentro do Prazo","Fora do Prazo")</f>
        <v>Fora do Prazo</v>
      </c>
      <c r="AJ1728" s="36" t="e">
        <v>#REF!</v>
      </c>
    </row>
    <row r="1729" spans="1:36">
      <c r="A1729" s="19" t="s">
        <v>2881</v>
      </c>
      <c r="B1729" s="20"/>
      <c r="C1729" s="19" t="s">
        <v>131</v>
      </c>
      <c r="D1729" s="19" t="s">
        <v>132</v>
      </c>
      <c r="E1729" s="19" t="s">
        <v>114</v>
      </c>
      <c r="F1729" s="19" t="s">
        <v>115</v>
      </c>
      <c r="G1729" s="19"/>
      <c r="H1729" s="20">
        <v>2022</v>
      </c>
      <c r="I1729" s="19" t="s">
        <v>1084</v>
      </c>
      <c r="J1729" s="19" t="s">
        <v>2872</v>
      </c>
      <c r="K1729" s="21" t="s">
        <v>2568</v>
      </c>
      <c r="L1729" s="22" t="s">
        <v>60</v>
      </c>
      <c r="M1729" s="23" t="s">
        <v>61</v>
      </c>
      <c r="N1729" s="25" t="s">
        <v>709</v>
      </c>
      <c r="O1729" s="25" t="s">
        <v>710</v>
      </c>
      <c r="P1729" s="26">
        <f ca="1">IFERROR(VLOOKUP(DadosViagem5[[#This Row],[Placa]],[1]BIP!A:E,5,FALSE),"")</f>
        <v>45937</v>
      </c>
      <c r="Q1729" s="27">
        <f ca="1">DATEDIF(DadosViagem5[[#This Row],[BIP]],TODAY(),"D")</f>
        <v>53</v>
      </c>
      <c r="R1729" s="28" t="str">
        <f>IFERROR(VLOOKUP(DadosViagem5[[#This Row],[Placa]],[1]DDS!B:C,2,FALSE),"Verificar cadastro")</f>
        <v>Manutenção</v>
      </c>
      <c r="S1729" s="29" t="s">
        <v>48</v>
      </c>
      <c r="T1729" s="23"/>
      <c r="U1729" s="30"/>
      <c r="V1729" s="31"/>
      <c r="W1729" s="188"/>
      <c r="X1729" s="33"/>
      <c r="Y1729" s="34"/>
      <c r="Z1729" s="32"/>
      <c r="AA1729" s="20" t="s">
        <v>49</v>
      </c>
      <c r="AB1729" s="20" t="s">
        <v>49</v>
      </c>
      <c r="AC1729" s="19" t="s">
        <v>49</v>
      </c>
      <c r="AD1729" s="19" t="str">
        <f ca="1">IFERROR(DATEDIF(DadosViagem5[[#This Row],[Utimo Bip Reserva]],TODAY(),"D"),"")</f>
        <v/>
      </c>
      <c r="AE1729" s="36" t="s">
        <v>49</v>
      </c>
      <c r="AF1729" s="25" t="s">
        <v>49</v>
      </c>
      <c r="AG1729" s="36"/>
      <c r="AH1729" s="25">
        <v>45807</v>
      </c>
      <c r="AI1729" s="36" t="str">
        <f>IF(DadosViagem5[[#This Row],[Dias em manutenção ]]&lt;5,"Dentro do Prazo","Fora do Prazo")</f>
        <v>Fora do Prazo</v>
      </c>
      <c r="AJ1729" s="36" t="e">
        <v>#REF!</v>
      </c>
    </row>
    <row r="1730" spans="1:36">
      <c r="A1730" s="19" t="s">
        <v>2882</v>
      </c>
      <c r="B1730" s="20"/>
      <c r="C1730" s="19" t="s">
        <v>131</v>
      </c>
      <c r="D1730" s="19" t="s">
        <v>132</v>
      </c>
      <c r="E1730" s="19" t="s">
        <v>114</v>
      </c>
      <c r="F1730" s="19" t="s">
        <v>115</v>
      </c>
      <c r="G1730" s="19"/>
      <c r="H1730" s="20">
        <v>2022</v>
      </c>
      <c r="I1730" s="19" t="s">
        <v>1084</v>
      </c>
      <c r="J1730" s="19" t="s">
        <v>2872</v>
      </c>
      <c r="K1730" s="21" t="s">
        <v>2568</v>
      </c>
      <c r="L1730" s="22" t="s">
        <v>60</v>
      </c>
      <c r="M1730" s="23" t="s">
        <v>61</v>
      </c>
      <c r="N1730" s="25" t="s">
        <v>709</v>
      </c>
      <c r="O1730" s="25" t="s">
        <v>710</v>
      </c>
      <c r="P1730" s="26">
        <f ca="1">IFERROR(VLOOKUP(DadosViagem5[[#This Row],[Placa]],[1]BIP!A:E,5,FALSE),"")</f>
        <v>45938</v>
      </c>
      <c r="Q1730" s="27">
        <f ca="1">DATEDIF(DadosViagem5[[#This Row],[BIP]],TODAY(),"D")</f>
        <v>52</v>
      </c>
      <c r="R1730" s="28"/>
      <c r="S1730" s="29" t="s">
        <v>48</v>
      </c>
      <c r="T1730" s="23"/>
      <c r="U1730" s="30"/>
      <c r="V1730" s="31"/>
      <c r="W1730" s="32"/>
      <c r="X1730" s="33"/>
      <c r="Y1730" s="34"/>
      <c r="Z1730" s="32"/>
      <c r="AA1730" s="20" t="s">
        <v>49</v>
      </c>
      <c r="AB1730" s="20" t="s">
        <v>49</v>
      </c>
      <c r="AC1730" s="19" t="s">
        <v>49</v>
      </c>
      <c r="AD1730" s="19" t="str">
        <f ca="1">IFERROR(DATEDIF(DadosViagem5[[#This Row],[Utimo Bip Reserva]],TODAY(),"D"),"")</f>
        <v/>
      </c>
      <c r="AE1730" s="36" t="s">
        <v>49</v>
      </c>
      <c r="AF1730" s="25" t="s">
        <v>49</v>
      </c>
      <c r="AG1730" s="36"/>
      <c r="AH1730" s="25">
        <v>45807</v>
      </c>
      <c r="AI1730" s="36" t="str">
        <f>IF(DadosViagem5[[#This Row],[Dias em manutenção ]]&lt;5,"Dentro do Prazo","Fora do Prazo")</f>
        <v>Fora do Prazo</v>
      </c>
      <c r="AJ1730" s="36" t="e">
        <v>#REF!</v>
      </c>
    </row>
    <row r="1731" spans="1:36">
      <c r="A1731" s="19" t="s">
        <v>2883</v>
      </c>
      <c r="B1731" s="20"/>
      <c r="C1731" s="19" t="s">
        <v>88</v>
      </c>
      <c r="D1731" s="19" t="s">
        <v>52</v>
      </c>
      <c r="E1731" s="19" t="s">
        <v>114</v>
      </c>
      <c r="F1731" s="19" t="s">
        <v>115</v>
      </c>
      <c r="G1731" s="19"/>
      <c r="H1731" s="20">
        <v>2022</v>
      </c>
      <c r="I1731" s="19" t="s">
        <v>1084</v>
      </c>
      <c r="J1731" s="19" t="s">
        <v>2872</v>
      </c>
      <c r="K1731" s="21" t="s">
        <v>2568</v>
      </c>
      <c r="L1731" s="22" t="s">
        <v>60</v>
      </c>
      <c r="M1731" s="23" t="s">
        <v>61</v>
      </c>
      <c r="N1731" s="25" t="s">
        <v>709</v>
      </c>
      <c r="O1731" s="25" t="s">
        <v>710</v>
      </c>
      <c r="P1731" s="26">
        <f ca="1">IFERROR(VLOOKUP(DadosViagem5[[#This Row],[Placa]],[1]BIP!A:E,5,FALSE),"")</f>
        <v>45864</v>
      </c>
      <c r="Q1731" s="27">
        <f ca="1">DATEDIF(DadosViagem5[[#This Row],[BIP]],TODAY(),"D")</f>
        <v>126</v>
      </c>
      <c r="R1731" s="28" t="str">
        <f>IFERROR(VLOOKUP(DadosViagem5[[#This Row],[Placa]],[1]DDS!B:C,2,FALSE),"Verificar cadastro")</f>
        <v>Verificar cadastro</v>
      </c>
      <c r="S1731" s="36" t="s">
        <v>574</v>
      </c>
      <c r="T1731" s="23"/>
      <c r="U1731" s="30"/>
      <c r="V1731" s="31"/>
      <c r="W1731" s="73" t="s">
        <v>2884</v>
      </c>
      <c r="X1731" s="33"/>
      <c r="Y1731" s="34"/>
      <c r="Z1731" s="32"/>
      <c r="AA1731" s="20" t="s">
        <v>49</v>
      </c>
      <c r="AB1731" s="20" t="s">
        <v>49</v>
      </c>
      <c r="AC1731" s="19" t="s">
        <v>49</v>
      </c>
      <c r="AD1731" s="19" t="str">
        <f ca="1">IFERROR(DATEDIF(DadosViagem5[[#This Row],[Utimo Bip Reserva]],TODAY(),"D"),"")</f>
        <v/>
      </c>
      <c r="AE1731" s="36" t="s">
        <v>49</v>
      </c>
      <c r="AF1731" s="25" t="s">
        <v>49</v>
      </c>
      <c r="AG1731" s="36" t="s">
        <v>628</v>
      </c>
      <c r="AH1731" s="25">
        <v>45807</v>
      </c>
      <c r="AI1731" s="36" t="str">
        <f>IF(DadosViagem5[[#This Row],[Dias em manutenção ]]&lt;5,"Dentro do Prazo","Fora do Prazo")</f>
        <v>Fora do Prazo</v>
      </c>
      <c r="AJ1731" s="36" t="e">
        <v>#REF!</v>
      </c>
    </row>
    <row r="1732" spans="1:36">
      <c r="A1732" s="19" t="s">
        <v>2885</v>
      </c>
      <c r="B1732" s="20"/>
      <c r="C1732" s="19" t="s">
        <v>88</v>
      </c>
      <c r="D1732" s="19" t="s">
        <v>52</v>
      </c>
      <c r="E1732" s="19" t="s">
        <v>114</v>
      </c>
      <c r="F1732" s="19" t="s">
        <v>115</v>
      </c>
      <c r="G1732" s="19"/>
      <c r="H1732" s="20">
        <v>2022</v>
      </c>
      <c r="I1732" s="19" t="s">
        <v>1084</v>
      </c>
      <c r="J1732" s="19" t="s">
        <v>2872</v>
      </c>
      <c r="K1732" s="21" t="s">
        <v>2568</v>
      </c>
      <c r="L1732" s="22" t="s">
        <v>60</v>
      </c>
      <c r="M1732" s="23" t="s">
        <v>61</v>
      </c>
      <c r="N1732" s="25" t="s">
        <v>709</v>
      </c>
      <c r="O1732" s="25" t="s">
        <v>710</v>
      </c>
      <c r="P1732" s="26">
        <f ca="1">IFERROR(VLOOKUP(DadosViagem5[[#This Row],[Placa]],[1]BIP!A:E,5,FALSE),"")</f>
        <v>45936</v>
      </c>
      <c r="Q1732" s="27">
        <f ca="1">DATEDIF(DadosViagem5[[#This Row],[BIP]],TODAY(),"D")</f>
        <v>54</v>
      </c>
      <c r="R1732" s="28" t="str">
        <f>IFERROR(VLOOKUP(DadosViagem5[[#This Row],[Placa]],[1]DDS!B:C,2,FALSE),"Verificar cadastro")</f>
        <v>Sem operação</v>
      </c>
      <c r="S1732" s="29" t="s">
        <v>48</v>
      </c>
      <c r="T1732" s="23"/>
      <c r="U1732" s="30"/>
      <c r="V1732" s="31"/>
      <c r="W1732" s="31"/>
      <c r="X1732" s="33"/>
      <c r="Y1732" s="34"/>
      <c r="Z1732" s="32"/>
      <c r="AA1732" s="20" t="s">
        <v>49</v>
      </c>
      <c r="AB1732" s="20" t="s">
        <v>49</v>
      </c>
      <c r="AC1732" s="19" t="s">
        <v>49</v>
      </c>
      <c r="AD1732" s="19" t="str">
        <f ca="1">IFERROR(DATEDIF(DadosViagem5[[#This Row],[Utimo Bip Reserva]],TODAY(),"D"),"")</f>
        <v/>
      </c>
      <c r="AE1732" s="36" t="s">
        <v>49</v>
      </c>
      <c r="AF1732" s="25" t="s">
        <v>49</v>
      </c>
      <c r="AG1732" s="36"/>
      <c r="AH1732" s="25">
        <v>45807</v>
      </c>
      <c r="AI1732" s="36" t="str">
        <f>IF(DadosViagem5[[#This Row],[Dias em manutenção ]]&lt;5,"Dentro do Prazo","Fora do Prazo")</f>
        <v>Fora do Prazo</v>
      </c>
      <c r="AJ1732" s="36" t="e">
        <v>#REF!</v>
      </c>
    </row>
    <row r="1733" spans="1:36">
      <c r="A1733" s="19" t="s">
        <v>2886</v>
      </c>
      <c r="B1733" s="20"/>
      <c r="C1733" s="19" t="s">
        <v>131</v>
      </c>
      <c r="D1733" s="19" t="s">
        <v>132</v>
      </c>
      <c r="E1733" s="19" t="s">
        <v>114</v>
      </c>
      <c r="F1733" s="19" t="s">
        <v>115</v>
      </c>
      <c r="G1733" s="19"/>
      <c r="H1733" s="20">
        <v>2022</v>
      </c>
      <c r="I1733" s="19" t="s">
        <v>1084</v>
      </c>
      <c r="J1733" s="19" t="s">
        <v>2872</v>
      </c>
      <c r="K1733" s="21" t="s">
        <v>2568</v>
      </c>
      <c r="L1733" s="22" t="s">
        <v>60</v>
      </c>
      <c r="M1733" s="23" t="s">
        <v>61</v>
      </c>
      <c r="N1733" s="25" t="s">
        <v>709</v>
      </c>
      <c r="O1733" s="25" t="s">
        <v>710</v>
      </c>
      <c r="P1733" s="26">
        <f ca="1">IFERROR(VLOOKUP(DadosViagem5[[#This Row],[Placa]],[1]BIP!A:E,5,FALSE),"")</f>
        <v>45930</v>
      </c>
      <c r="Q1733" s="27">
        <f ca="1">DATEDIF(DadosViagem5[[#This Row],[BIP]],TODAY(),"D")</f>
        <v>60</v>
      </c>
      <c r="R1733" s="28" t="str">
        <f>IFERROR(VLOOKUP(DadosViagem5[[#This Row],[Placa]],[1]DDS!B:C,2,FALSE),"Verificar cadastro")</f>
        <v>Sem operação</v>
      </c>
      <c r="S1733" s="36" t="s">
        <v>35</v>
      </c>
      <c r="T1733" s="23"/>
      <c r="U1733" s="30"/>
      <c r="V1733" s="31"/>
      <c r="W1733" s="188" t="s">
        <v>2887</v>
      </c>
      <c r="X1733" s="33"/>
      <c r="Y1733" s="34"/>
      <c r="Z1733" s="32"/>
      <c r="AA1733" s="20" t="s">
        <v>49</v>
      </c>
      <c r="AB1733" s="20" t="s">
        <v>49</v>
      </c>
      <c r="AC1733" s="19" t="s">
        <v>49</v>
      </c>
      <c r="AD1733" s="19" t="str">
        <f ca="1">IFERROR(DATEDIF(DadosViagem5[[#This Row],[Utimo Bip Reserva]],TODAY(),"D"),"")</f>
        <v/>
      </c>
      <c r="AE1733" s="36" t="s">
        <v>49</v>
      </c>
      <c r="AF1733" s="25" t="s">
        <v>49</v>
      </c>
      <c r="AG1733" s="36" t="s">
        <v>527</v>
      </c>
      <c r="AH1733" s="25">
        <v>45807</v>
      </c>
      <c r="AI1733" s="36" t="str">
        <f>IF(DadosViagem5[[#This Row],[Dias em manutenção ]]&lt;5,"Dentro do Prazo","Fora do Prazo")</f>
        <v>Fora do Prazo</v>
      </c>
      <c r="AJ1733" s="36" t="e">
        <v>#REF!</v>
      </c>
    </row>
    <row r="1734" spans="1:36">
      <c r="A1734" s="19" t="s">
        <v>2888</v>
      </c>
      <c r="B1734" s="20"/>
      <c r="C1734" s="19" t="s">
        <v>88</v>
      </c>
      <c r="D1734" s="19" t="s">
        <v>52</v>
      </c>
      <c r="E1734" s="19" t="s">
        <v>57</v>
      </c>
      <c r="F1734" s="19" t="s">
        <v>115</v>
      </c>
      <c r="G1734" s="19"/>
      <c r="H1734" s="20">
        <v>2023</v>
      </c>
      <c r="I1734" s="19" t="s">
        <v>1084</v>
      </c>
      <c r="J1734" s="19" t="s">
        <v>2872</v>
      </c>
      <c r="K1734" s="21" t="s">
        <v>2568</v>
      </c>
      <c r="L1734" s="22" t="s">
        <v>60</v>
      </c>
      <c r="M1734" s="23" t="s">
        <v>61</v>
      </c>
      <c r="N1734" s="25" t="s">
        <v>709</v>
      </c>
      <c r="O1734" s="25" t="s">
        <v>710</v>
      </c>
      <c r="P1734" s="26">
        <f ca="1">IFERROR(VLOOKUP(DadosViagem5[[#This Row],[Placa]],[1]BIP!A:E,5,FALSE),"")</f>
        <v>45989</v>
      </c>
      <c r="Q1734" s="27">
        <f ca="1">DATEDIF(DadosViagem5[[#This Row],[BIP]],TODAY(),"D")</f>
        <v>1</v>
      </c>
      <c r="R1734" s="28" t="str">
        <f>IFERROR(VLOOKUP(DadosViagem5[[#This Row],[Placa]],[1]DDS!B:C,2,FALSE),"Verificar cadastro")</f>
        <v>Operando</v>
      </c>
      <c r="S1734" s="29" t="s">
        <v>48</v>
      </c>
      <c r="T1734" s="23"/>
      <c r="U1734" s="30"/>
      <c r="V1734" s="31"/>
      <c r="W1734" s="32"/>
      <c r="X1734" s="33"/>
      <c r="Y1734" s="34"/>
      <c r="Z1734" s="32"/>
      <c r="AA1734" s="20" t="s">
        <v>49</v>
      </c>
      <c r="AB1734" s="20" t="s">
        <v>49</v>
      </c>
      <c r="AC1734" s="19" t="s">
        <v>49</v>
      </c>
      <c r="AD1734" s="19" t="str">
        <f ca="1">IFERROR(DATEDIF(DadosViagem5[[#This Row],[Utimo Bip Reserva]],TODAY(),"D"),"")</f>
        <v/>
      </c>
      <c r="AE1734" s="36" t="s">
        <v>49</v>
      </c>
      <c r="AF1734" s="25" t="s">
        <v>49</v>
      </c>
      <c r="AG1734" s="36"/>
      <c r="AH1734" s="25">
        <v>45807</v>
      </c>
      <c r="AI1734" s="36" t="str">
        <f>IF(DadosViagem5[[#This Row],[Dias em manutenção ]]&lt;5,"Dentro do Prazo","Fora do Prazo")</f>
        <v>Fora do Prazo</v>
      </c>
      <c r="AJ1734" s="36" t="e">
        <v>#REF!</v>
      </c>
    </row>
    <row r="1735" spans="1:36">
      <c r="A1735" s="19" t="s">
        <v>2889</v>
      </c>
      <c r="B1735" s="20"/>
      <c r="C1735" s="19" t="s">
        <v>131</v>
      </c>
      <c r="D1735" s="19" t="s">
        <v>132</v>
      </c>
      <c r="E1735" s="19" t="s">
        <v>114</v>
      </c>
      <c r="F1735" s="19" t="s">
        <v>115</v>
      </c>
      <c r="G1735" s="19"/>
      <c r="H1735" s="20">
        <v>2022</v>
      </c>
      <c r="I1735" s="19" t="s">
        <v>1084</v>
      </c>
      <c r="J1735" s="19" t="s">
        <v>2872</v>
      </c>
      <c r="K1735" s="21" t="s">
        <v>2568</v>
      </c>
      <c r="L1735" s="22" t="s">
        <v>60</v>
      </c>
      <c r="M1735" s="23" t="s">
        <v>61</v>
      </c>
      <c r="N1735" s="25" t="s">
        <v>709</v>
      </c>
      <c r="O1735" s="25" t="s">
        <v>710</v>
      </c>
      <c r="P1735" s="26">
        <f ca="1">IFERROR(VLOOKUP(DadosViagem5[[#This Row],[Placa]],[1]BIP!A:E,5,FALSE),"")</f>
        <v>45930</v>
      </c>
      <c r="Q1735" s="27">
        <f ca="1">DATEDIF(DadosViagem5[[#This Row],[BIP]],TODAY(),"D")</f>
        <v>60</v>
      </c>
      <c r="R1735" s="28" t="str">
        <f>IFERROR(VLOOKUP(DadosViagem5[[#This Row],[Placa]],[1]DDS!B:C,2,FALSE),"Verificar cadastro")</f>
        <v>Sem operação</v>
      </c>
      <c r="S1735" s="36" t="s">
        <v>35</v>
      </c>
      <c r="T1735" s="23"/>
      <c r="U1735" s="30"/>
      <c r="V1735" s="31"/>
      <c r="W1735" s="188" t="s">
        <v>2887</v>
      </c>
      <c r="X1735" s="33"/>
      <c r="Y1735" s="34"/>
      <c r="Z1735" s="42"/>
      <c r="AA1735" s="20" t="s">
        <v>49</v>
      </c>
      <c r="AB1735" s="20" t="s">
        <v>49</v>
      </c>
      <c r="AC1735" s="19" t="s">
        <v>49</v>
      </c>
      <c r="AD1735" s="19" t="str">
        <f ca="1">IFERROR(DATEDIF(DadosViagem5[[#This Row],[Utimo Bip Reserva]],TODAY(),"D"),"")</f>
        <v/>
      </c>
      <c r="AE1735" s="36" t="s">
        <v>49</v>
      </c>
      <c r="AF1735" s="25" t="s">
        <v>49</v>
      </c>
      <c r="AG1735" s="36" t="s">
        <v>527</v>
      </c>
      <c r="AH1735" s="25">
        <v>45807</v>
      </c>
      <c r="AI1735" s="36" t="str">
        <f>IF(DadosViagem5[[#This Row],[Dias em manutenção ]]&lt;5,"Dentro do Prazo","Fora do Prazo")</f>
        <v>Fora do Prazo</v>
      </c>
      <c r="AJ1735" s="36" t="e">
        <v>#REF!</v>
      </c>
    </row>
    <row r="1736" spans="1:36">
      <c r="A1736" s="19" t="s">
        <v>2890</v>
      </c>
      <c r="B1736" s="20"/>
      <c r="C1736" s="19" t="s">
        <v>131</v>
      </c>
      <c r="D1736" s="19" t="s">
        <v>132</v>
      </c>
      <c r="E1736" s="19" t="s">
        <v>114</v>
      </c>
      <c r="F1736" s="19" t="s">
        <v>115</v>
      </c>
      <c r="G1736" s="19"/>
      <c r="H1736" s="20">
        <v>2023</v>
      </c>
      <c r="I1736" s="19" t="s">
        <v>1084</v>
      </c>
      <c r="J1736" s="19" t="s">
        <v>2872</v>
      </c>
      <c r="K1736" s="21" t="s">
        <v>2568</v>
      </c>
      <c r="L1736" s="22" t="s">
        <v>60</v>
      </c>
      <c r="M1736" s="23" t="s">
        <v>61</v>
      </c>
      <c r="N1736" s="25" t="s">
        <v>709</v>
      </c>
      <c r="O1736" s="25" t="s">
        <v>710</v>
      </c>
      <c r="P1736" s="26">
        <f ca="1">IFERROR(VLOOKUP(DadosViagem5[[#This Row],[Placa]],[1]BIP!A:E,5,FALSE),"")</f>
        <v>45977</v>
      </c>
      <c r="Q1736" s="27">
        <f ca="1">DATEDIF(DadosViagem5[[#This Row],[BIP]],TODAY(),"D")</f>
        <v>13</v>
      </c>
      <c r="R1736" s="28" t="str">
        <f>IFERROR(VLOOKUP(DadosViagem5[[#This Row],[Placa]],[1]DDS!B:C,2,FALSE),"Verificar cadastro")</f>
        <v>Sem operação</v>
      </c>
      <c r="S1736" s="29" t="s">
        <v>48</v>
      </c>
      <c r="T1736" s="23"/>
      <c r="U1736" s="30"/>
      <c r="V1736" s="31"/>
      <c r="W1736" s="32"/>
      <c r="X1736" s="33"/>
      <c r="Y1736" s="34"/>
      <c r="Z1736" s="32"/>
      <c r="AA1736" s="20" t="s">
        <v>49</v>
      </c>
      <c r="AB1736" s="20" t="s">
        <v>49</v>
      </c>
      <c r="AC1736" s="19" t="s">
        <v>49</v>
      </c>
      <c r="AD1736" s="19" t="str">
        <f ca="1">IFERROR(DATEDIF(DadosViagem5[[#This Row],[Utimo Bip Reserva]],TODAY(),"D"),"")</f>
        <v/>
      </c>
      <c r="AE1736" s="36" t="s">
        <v>49</v>
      </c>
      <c r="AF1736" s="25" t="s">
        <v>49</v>
      </c>
      <c r="AG1736" s="36"/>
      <c r="AH1736" s="25">
        <v>3</v>
      </c>
      <c r="AI1736" s="36" t="str">
        <f>IF(DadosViagem5[[#This Row],[Dias em manutenção ]]&lt;5,"Dentro do Prazo","Fora do Prazo")</f>
        <v>Dentro do Prazo</v>
      </c>
      <c r="AJ1736" s="36" t="e">
        <v>#REF!</v>
      </c>
    </row>
    <row r="1737" spans="1:36">
      <c r="A1737" s="19" t="s">
        <v>2891</v>
      </c>
      <c r="B1737" s="20"/>
      <c r="C1737" s="19" t="s">
        <v>74</v>
      </c>
      <c r="D1737" s="19" t="s">
        <v>52</v>
      </c>
      <c r="E1737" s="19" t="s">
        <v>75</v>
      </c>
      <c r="F1737" s="19" t="s">
        <v>76</v>
      </c>
      <c r="G1737" s="19"/>
      <c r="H1737" s="20">
        <v>2024</v>
      </c>
      <c r="I1737" s="19" t="s">
        <v>1084</v>
      </c>
      <c r="J1737" s="19" t="s">
        <v>2872</v>
      </c>
      <c r="K1737" s="21" t="s">
        <v>2568</v>
      </c>
      <c r="L1737" s="22" t="s">
        <v>60</v>
      </c>
      <c r="M1737" s="23" t="s">
        <v>77</v>
      </c>
      <c r="N1737" s="25" t="s">
        <v>709</v>
      </c>
      <c r="O1737" s="25" t="s">
        <v>710</v>
      </c>
      <c r="P1737" s="26">
        <f ca="1">IFERROR(VLOOKUP(DadosViagem5[[#This Row],[Placa]],[1]BIP!A:E,5,FALSE),"")</f>
        <v>45989</v>
      </c>
      <c r="Q1737" s="27">
        <f ca="1">DATEDIF(DadosViagem5[[#This Row],[BIP]],TODAY(),"D")</f>
        <v>1</v>
      </c>
      <c r="R1737" s="28" t="str">
        <f>IFERROR(VLOOKUP(DadosViagem5[[#This Row],[Placa]],[1]DDS!B:C,2,FALSE),"Verificar cadastro")</f>
        <v>Operando</v>
      </c>
      <c r="S1737" s="29" t="s">
        <v>48</v>
      </c>
      <c r="T1737" s="23"/>
      <c r="U1737" s="30"/>
      <c r="V1737" s="31"/>
      <c r="W1737" s="32"/>
      <c r="X1737" s="33"/>
      <c r="Y1737" s="34"/>
      <c r="Z1737" s="32"/>
      <c r="AA1737" s="20" t="s">
        <v>49</v>
      </c>
      <c r="AB1737" s="20" t="s">
        <v>49</v>
      </c>
      <c r="AC1737" s="19" t="s">
        <v>49</v>
      </c>
      <c r="AD1737" s="19" t="str">
        <f ca="1">IFERROR(DATEDIF(DadosViagem5[[#This Row],[Utimo Bip Reserva]],TODAY(),"D"),"")</f>
        <v/>
      </c>
      <c r="AE1737" s="103"/>
      <c r="AF1737" s="25"/>
      <c r="AG1737" s="36"/>
      <c r="AH1737" s="25">
        <v>5</v>
      </c>
      <c r="AI1737" s="36" t="str">
        <f>IF(DadosViagem5[[#This Row],[Dias em manutenção ]]&lt;5,"Dentro do Prazo","Fora do Prazo")</f>
        <v>Fora do Prazo</v>
      </c>
      <c r="AJ1737" s="36" t="e">
        <v>#REF!</v>
      </c>
    </row>
    <row r="1738" spans="1:36">
      <c r="A1738" s="19" t="s">
        <v>2892</v>
      </c>
      <c r="B1738" s="20">
        <v>575</v>
      </c>
      <c r="C1738" s="19" t="s">
        <v>74</v>
      </c>
      <c r="D1738" s="19" t="s">
        <v>52</v>
      </c>
      <c r="E1738" s="19" t="s">
        <v>75</v>
      </c>
      <c r="F1738" s="19" t="s">
        <v>76</v>
      </c>
      <c r="G1738" s="19"/>
      <c r="H1738" s="20">
        <v>2024</v>
      </c>
      <c r="I1738" s="19" t="s">
        <v>1040</v>
      </c>
      <c r="J1738" s="19" t="s">
        <v>1888</v>
      </c>
      <c r="K1738" s="21" t="s">
        <v>2893</v>
      </c>
      <c r="L1738" s="22" t="s">
        <v>60</v>
      </c>
      <c r="M1738" s="23" t="s">
        <v>77</v>
      </c>
      <c r="N1738" s="36" t="s">
        <v>1458</v>
      </c>
      <c r="O1738" s="36" t="s">
        <v>1152</v>
      </c>
      <c r="P1738" s="26">
        <f ca="1">IFERROR(VLOOKUP(DadosViagem5[[#This Row],[Placa]],[1]BIP!A:E,5,FALSE),"")</f>
        <v>45989</v>
      </c>
      <c r="Q1738" s="27">
        <f ca="1">DATEDIF(DadosViagem5[[#This Row],[BIP]],TODAY(),"D")</f>
        <v>1</v>
      </c>
      <c r="R1738" s="28" t="str">
        <f>IFERROR(VLOOKUP(DadosViagem5[[#This Row],[Placa]],[1]DDS!B:C,2,FALSE),"Verificar cadastro")</f>
        <v>Operando</v>
      </c>
      <c r="S1738" s="29" t="s">
        <v>48</v>
      </c>
      <c r="T1738" s="23"/>
      <c r="U1738" s="30"/>
      <c r="V1738" s="31"/>
      <c r="W1738" s="94" t="s">
        <v>2894</v>
      </c>
      <c r="X1738" s="33" t="s">
        <v>55</v>
      </c>
      <c r="Y1738" s="34" t="s">
        <v>49</v>
      </c>
      <c r="Z1738" s="32"/>
      <c r="AA1738" s="20" t="s">
        <v>49</v>
      </c>
      <c r="AB1738" s="20" t="s">
        <v>49</v>
      </c>
      <c r="AC1738" s="19" t="s">
        <v>49</v>
      </c>
      <c r="AD1738" s="19" t="str">
        <f ca="1">IFERROR(DATEDIF(DadosViagem5[[#This Row],[Utimo Bip Reserva]],TODAY(),"D"),"")</f>
        <v/>
      </c>
      <c r="AE1738" s="36" t="s">
        <v>49</v>
      </c>
      <c r="AF1738" s="25" t="s">
        <v>49</v>
      </c>
      <c r="AG1738" s="36"/>
      <c r="AH1738" s="25">
        <v>45807</v>
      </c>
      <c r="AI1738" s="36" t="str">
        <f>IF(DadosViagem5[[#This Row],[Dias em manutenção ]]&lt;5,"Dentro do Prazo","Fora do Prazo")</f>
        <v>Fora do Prazo</v>
      </c>
      <c r="AJ1738" s="36" t="e">
        <v>#REF!</v>
      </c>
    </row>
    <row r="1739" spans="1:36">
      <c r="A1739" s="19" t="s">
        <v>2895</v>
      </c>
      <c r="B1739" s="20"/>
      <c r="C1739" s="19" t="s">
        <v>74</v>
      </c>
      <c r="D1739" s="19" t="s">
        <v>52</v>
      </c>
      <c r="E1739" s="19" t="s">
        <v>75</v>
      </c>
      <c r="F1739" s="19" t="s">
        <v>76</v>
      </c>
      <c r="G1739" s="19"/>
      <c r="H1739" s="20">
        <v>2024</v>
      </c>
      <c r="I1739" s="19" t="s">
        <v>1040</v>
      </c>
      <c r="J1739" s="19" t="s">
        <v>1888</v>
      </c>
      <c r="K1739" s="21" t="s">
        <v>2893</v>
      </c>
      <c r="L1739" s="22" t="s">
        <v>60</v>
      </c>
      <c r="M1739" s="23" t="s">
        <v>77</v>
      </c>
      <c r="N1739" s="36" t="s">
        <v>1458</v>
      </c>
      <c r="O1739" s="36" t="s">
        <v>1152</v>
      </c>
      <c r="P1739" s="26">
        <f ca="1">IFERROR(VLOOKUP(DadosViagem5[[#This Row],[Placa]],[1]BIP!A:E,5,FALSE),"")</f>
        <v>45989</v>
      </c>
      <c r="Q1739" s="27">
        <f ca="1">DATEDIF(DadosViagem5[[#This Row],[BIP]],TODAY(),"D")</f>
        <v>1</v>
      </c>
      <c r="R1739" s="28" t="str">
        <f>IFERROR(VLOOKUP(DadosViagem5[[#This Row],[Placa]],[1]DDS!B:C,2,FALSE),"Verificar cadastro")</f>
        <v>Operando</v>
      </c>
      <c r="S1739" s="29" t="s">
        <v>48</v>
      </c>
      <c r="T1739" s="23"/>
      <c r="U1739" s="30"/>
      <c r="V1739" s="31"/>
      <c r="W1739" s="32"/>
      <c r="X1739" s="33" t="s">
        <v>55</v>
      </c>
      <c r="Y1739" s="34" t="s">
        <v>49</v>
      </c>
      <c r="Z1739" s="32"/>
      <c r="AA1739" s="20" t="s">
        <v>49</v>
      </c>
      <c r="AB1739" s="20" t="s">
        <v>49</v>
      </c>
      <c r="AC1739" s="19" t="s">
        <v>49</v>
      </c>
      <c r="AD1739" s="19" t="str">
        <f ca="1">IFERROR(DATEDIF(DadosViagem5[[#This Row],[Utimo Bip Reserva]],TODAY(),"D"),"")</f>
        <v/>
      </c>
      <c r="AE1739" s="25" t="s">
        <v>49</v>
      </c>
      <c r="AF1739" s="25" t="s">
        <v>49</v>
      </c>
      <c r="AG1739" s="36"/>
      <c r="AH1739" s="25">
        <v>45807</v>
      </c>
      <c r="AI1739" s="36" t="str">
        <f>IF(DadosViagem5[[#This Row],[Dias em manutenção ]]&lt;5,"Dentro do Prazo","Fora do Prazo")</f>
        <v>Fora do Prazo</v>
      </c>
      <c r="AJ1739" s="36" t="e">
        <v>#REF!</v>
      </c>
    </row>
    <row r="1740" spans="1:36">
      <c r="A1740" s="19" t="s">
        <v>2896</v>
      </c>
      <c r="B1740" s="20"/>
      <c r="C1740" s="19" t="s">
        <v>71</v>
      </c>
      <c r="D1740" s="19" t="s">
        <v>38</v>
      </c>
      <c r="E1740" s="19" t="s">
        <v>265</v>
      </c>
      <c r="F1740" s="19" t="s">
        <v>40</v>
      </c>
      <c r="G1740" s="19"/>
      <c r="H1740" s="20">
        <v>2023</v>
      </c>
      <c r="I1740" s="19" t="s">
        <v>1040</v>
      </c>
      <c r="J1740" s="19" t="s">
        <v>2897</v>
      </c>
      <c r="K1740" s="21" t="s">
        <v>2893</v>
      </c>
      <c r="L1740" s="21" t="s">
        <v>60</v>
      </c>
      <c r="M1740" s="23" t="s">
        <v>45</v>
      </c>
      <c r="N1740" s="36" t="s">
        <v>1458</v>
      </c>
      <c r="O1740" s="36" t="s">
        <v>1152</v>
      </c>
      <c r="P1740" s="26">
        <f ca="1">IFERROR(VLOOKUP(DadosViagem5[[#This Row],[Placa]],[1]BIP!A:E,5,FALSE),"")</f>
        <v>45989</v>
      </c>
      <c r="Q1740" s="27">
        <f ca="1">DATEDIF(DadosViagem5[[#This Row],[BIP]],TODAY(),"D")</f>
        <v>1</v>
      </c>
      <c r="R1740" s="28" t="str">
        <f>IFERROR(VLOOKUP(DadosViagem5[[#This Row],[Placa]],[1]DDS!B:C,2,FALSE),"Verificar cadastro")</f>
        <v>Operando</v>
      </c>
      <c r="S1740" s="29" t="s">
        <v>48</v>
      </c>
      <c r="T1740" s="23"/>
      <c r="U1740" s="30"/>
      <c r="V1740" s="31"/>
      <c r="W1740" s="32"/>
      <c r="X1740" s="33"/>
      <c r="Y1740" s="34"/>
      <c r="Z1740" s="32"/>
      <c r="AA1740" s="20" t="s">
        <v>49</v>
      </c>
      <c r="AB1740" s="20" t="s">
        <v>49</v>
      </c>
      <c r="AC1740" s="19" t="s">
        <v>49</v>
      </c>
      <c r="AD1740" s="19" t="str">
        <f ca="1">IFERROR(DATEDIF(DadosViagem5[[#This Row],[Utimo Bip Reserva]],TODAY(),"D"),"")</f>
        <v/>
      </c>
      <c r="AE1740" s="29"/>
      <c r="AF1740" s="35"/>
      <c r="AG1740" s="36"/>
      <c r="AH1740" s="25">
        <v>45807</v>
      </c>
      <c r="AI1740" s="36" t="str">
        <f>IF(DadosViagem5[[#This Row],[Dias em manutenção ]]&lt;5,"Dentro do Prazo","Fora do Prazo")</f>
        <v>Fora do Prazo</v>
      </c>
      <c r="AJ1740" s="36" t="e">
        <v>#REF!</v>
      </c>
    </row>
    <row r="1741" spans="1:36">
      <c r="A1741" s="19" t="s">
        <v>2898</v>
      </c>
      <c r="B1741" s="20"/>
      <c r="C1741" s="19" t="s">
        <v>131</v>
      </c>
      <c r="D1741" s="19" t="s">
        <v>132</v>
      </c>
      <c r="E1741" s="19" t="s">
        <v>894</v>
      </c>
      <c r="F1741" s="19" t="s">
        <v>115</v>
      </c>
      <c r="G1741" s="19"/>
      <c r="H1741" s="20">
        <v>2021</v>
      </c>
      <c r="I1741" s="19" t="s">
        <v>1040</v>
      </c>
      <c r="J1741" s="37" t="s">
        <v>1888</v>
      </c>
      <c r="K1741" s="21" t="s">
        <v>2893</v>
      </c>
      <c r="L1741" s="22" t="s">
        <v>60</v>
      </c>
      <c r="M1741" s="23" t="s">
        <v>45</v>
      </c>
      <c r="N1741" s="24" t="s">
        <v>1458</v>
      </c>
      <c r="O1741" s="24" t="s">
        <v>1152</v>
      </c>
      <c r="P1741" s="26">
        <f ca="1">IFERROR(VLOOKUP(DadosViagem5[[#This Row],[Placa]],[1]BIP!A:E,5,FALSE),"")</f>
        <v>45989</v>
      </c>
      <c r="Q1741" s="27">
        <f ca="1">DATEDIF(DadosViagem5[[#This Row],[BIP]],TODAY(),"D")</f>
        <v>1</v>
      </c>
      <c r="R1741" s="28" t="str">
        <f>IFERROR(VLOOKUP(DadosViagem5[[#This Row],[Placa]],[1]DDS!B:C,2,FALSE),"Verificar cadastro")</f>
        <v>Operando</v>
      </c>
      <c r="S1741" s="29" t="s">
        <v>48</v>
      </c>
      <c r="T1741" s="23"/>
      <c r="U1741" s="30"/>
      <c r="V1741" s="31"/>
      <c r="W1741" s="94" t="s">
        <v>2894</v>
      </c>
      <c r="X1741" s="33"/>
      <c r="Y1741" s="34"/>
      <c r="Z1741" s="32"/>
      <c r="AA1741" s="20" t="s">
        <v>49</v>
      </c>
      <c r="AB1741" s="20" t="s">
        <v>49</v>
      </c>
      <c r="AC1741" s="19" t="s">
        <v>49</v>
      </c>
      <c r="AD1741" s="19" t="str">
        <f ca="1">IFERROR(DATEDIF(DadosViagem5[[#This Row],[Utimo Bip Reserva]],TODAY(),"D"),"")</f>
        <v/>
      </c>
      <c r="AE1741" s="25" t="s">
        <v>49</v>
      </c>
      <c r="AF1741" s="25" t="s">
        <v>49</v>
      </c>
      <c r="AG1741" s="30" t="s">
        <v>153</v>
      </c>
      <c r="AH1741" s="25">
        <v>20</v>
      </c>
      <c r="AI1741" s="36" t="str">
        <f>IF(DadosViagem5[[#This Row],[Dias em manutenção ]]&lt;5,"Dentro do Prazo","Fora do Prazo")</f>
        <v>Fora do Prazo</v>
      </c>
      <c r="AJ1741" s="36" t="e">
        <v>#REF!</v>
      </c>
    </row>
    <row r="1742" spans="1:36">
      <c r="A1742" s="19" t="s">
        <v>2899</v>
      </c>
      <c r="B1742" s="20"/>
      <c r="C1742" s="19" t="s">
        <v>71</v>
      </c>
      <c r="D1742" s="19" t="s">
        <v>38</v>
      </c>
      <c r="E1742" s="19" t="s">
        <v>265</v>
      </c>
      <c r="F1742" s="19" t="s">
        <v>115</v>
      </c>
      <c r="G1742" s="19"/>
      <c r="H1742" s="20">
        <v>2023</v>
      </c>
      <c r="I1742" s="19" t="s">
        <v>1040</v>
      </c>
      <c r="J1742" s="37" t="s">
        <v>1888</v>
      </c>
      <c r="K1742" s="21" t="s">
        <v>2893</v>
      </c>
      <c r="L1742" s="53" t="s">
        <v>60</v>
      </c>
      <c r="M1742" s="23" t="s">
        <v>45</v>
      </c>
      <c r="N1742" s="24" t="s">
        <v>1458</v>
      </c>
      <c r="O1742" s="41" t="s">
        <v>1152</v>
      </c>
      <c r="P1742" s="26">
        <f ca="1">IFERROR(VLOOKUP(DadosViagem5[[#This Row],[Placa]],[1]BIP!A:E,5,FALSE),"")</f>
        <v>45989</v>
      </c>
      <c r="Q1742" s="27">
        <f ca="1">DATEDIF(DadosViagem5[[#This Row],[BIP]],TODAY(),"D")</f>
        <v>1</v>
      </c>
      <c r="R1742" s="28" t="str">
        <f>IFERROR(VLOOKUP(DadosViagem5[[#This Row],[Placa]],[1]DDS!B:C,2,FALSE),"Verificar cadastro")</f>
        <v>Operando</v>
      </c>
      <c r="S1742" s="29" t="s">
        <v>48</v>
      </c>
      <c r="T1742" s="23"/>
      <c r="U1742" s="30"/>
      <c r="V1742" s="31"/>
      <c r="W1742" s="32"/>
      <c r="X1742" s="33"/>
      <c r="Y1742" s="34"/>
      <c r="Z1742" s="32"/>
      <c r="AA1742" s="20" t="s">
        <v>49</v>
      </c>
      <c r="AB1742" s="20" t="s">
        <v>49</v>
      </c>
      <c r="AC1742" s="19" t="s">
        <v>49</v>
      </c>
      <c r="AD1742" s="19" t="str">
        <f ca="1">IFERROR(DATEDIF(DadosViagem5[[#This Row],[Utimo Bip Reserva]],TODAY(),"D"),"")</f>
        <v/>
      </c>
      <c r="AE1742" s="36" t="s">
        <v>49</v>
      </c>
      <c r="AF1742" s="25" t="s">
        <v>49</v>
      </c>
      <c r="AG1742" s="36"/>
      <c r="AH1742" s="25">
        <v>45807</v>
      </c>
      <c r="AI1742" s="36" t="str">
        <f>IF(DadosViagem5[[#This Row],[Dias em manutenção ]]&lt;5,"Dentro do Prazo","Fora do Prazo")</f>
        <v>Fora do Prazo</v>
      </c>
      <c r="AJ1742" s="36" t="e">
        <v>#REF!</v>
      </c>
    </row>
    <row r="1743" spans="1:36">
      <c r="A1743" s="19" t="s">
        <v>2900</v>
      </c>
      <c r="B1743" s="20"/>
      <c r="C1743" s="19" t="s">
        <v>131</v>
      </c>
      <c r="D1743" s="19" t="s">
        <v>132</v>
      </c>
      <c r="E1743" s="19" t="s">
        <v>894</v>
      </c>
      <c r="F1743" s="19" t="s">
        <v>115</v>
      </c>
      <c r="G1743" s="19"/>
      <c r="H1743" s="20">
        <v>2022</v>
      </c>
      <c r="I1743" s="19" t="s">
        <v>1040</v>
      </c>
      <c r="J1743" s="19" t="s">
        <v>1888</v>
      </c>
      <c r="K1743" s="21" t="s">
        <v>2893</v>
      </c>
      <c r="L1743" s="22" t="s">
        <v>60</v>
      </c>
      <c r="M1743" s="23" t="s">
        <v>45</v>
      </c>
      <c r="N1743" s="36" t="s">
        <v>1458</v>
      </c>
      <c r="O1743" s="36" t="s">
        <v>1152</v>
      </c>
      <c r="P1743" s="26">
        <f ca="1">IFERROR(VLOOKUP(DadosViagem5[[#This Row],[Placa]],[1]BIP!A:E,5,FALSE),"")</f>
        <v>45989</v>
      </c>
      <c r="Q1743" s="27">
        <f ca="1">DATEDIF(DadosViagem5[[#This Row],[BIP]],TODAY(),"D")</f>
        <v>1</v>
      </c>
      <c r="R1743" s="28" t="str">
        <f>IFERROR(VLOOKUP(DadosViagem5[[#This Row],[Placa]],[1]DDS!B:C,2,FALSE),"Verificar cadastro")</f>
        <v>Operando</v>
      </c>
      <c r="S1743" s="29" t="s">
        <v>48</v>
      </c>
      <c r="T1743" s="23"/>
      <c r="U1743" s="30"/>
      <c r="V1743" s="31"/>
      <c r="W1743" s="32"/>
      <c r="X1743" s="33"/>
      <c r="Y1743" s="34"/>
      <c r="Z1743" s="32"/>
      <c r="AA1743" s="20" t="s">
        <v>49</v>
      </c>
      <c r="AB1743" s="20" t="s">
        <v>49</v>
      </c>
      <c r="AC1743" s="19" t="s">
        <v>49</v>
      </c>
      <c r="AD1743" s="19" t="str">
        <f ca="1">IFERROR(DATEDIF(DadosViagem5[[#This Row],[Utimo Bip Reserva]],TODAY(),"D"),"")</f>
        <v/>
      </c>
      <c r="AE1743" s="25" t="s">
        <v>49</v>
      </c>
      <c r="AF1743" s="25">
        <v>45699</v>
      </c>
      <c r="AG1743" s="36" t="s">
        <v>540</v>
      </c>
      <c r="AH1743" s="25">
        <v>45807</v>
      </c>
      <c r="AI1743" s="36" t="str">
        <f>IF(DadosViagem5[[#This Row],[Dias em manutenção ]]&lt;5,"Dentro do Prazo","Fora do Prazo")</f>
        <v>Fora do Prazo</v>
      </c>
      <c r="AJ1743" s="36" t="e">
        <v>#REF!</v>
      </c>
    </row>
    <row r="1744" spans="1:36">
      <c r="A1744" s="19" t="s">
        <v>2901</v>
      </c>
      <c r="B1744" s="20"/>
      <c r="C1744" s="19" t="s">
        <v>88</v>
      </c>
      <c r="D1744" s="19" t="s">
        <v>52</v>
      </c>
      <c r="E1744" s="19" t="s">
        <v>57</v>
      </c>
      <c r="F1744" s="19" t="s">
        <v>115</v>
      </c>
      <c r="G1744" s="19"/>
      <c r="H1744" s="20">
        <v>2024</v>
      </c>
      <c r="I1744" s="19" t="s">
        <v>1040</v>
      </c>
      <c r="J1744" s="19" t="s">
        <v>1888</v>
      </c>
      <c r="K1744" s="21" t="s">
        <v>2893</v>
      </c>
      <c r="L1744" s="22" t="s">
        <v>60</v>
      </c>
      <c r="M1744" s="23" t="s">
        <v>45</v>
      </c>
      <c r="N1744" s="36" t="s">
        <v>1458</v>
      </c>
      <c r="O1744" s="36" t="s">
        <v>1152</v>
      </c>
      <c r="P1744" s="26">
        <f ca="1">IFERROR(VLOOKUP(DadosViagem5[[#This Row],[Placa]],[1]BIP!A:E,5,FALSE),"")</f>
        <v>45989</v>
      </c>
      <c r="Q1744" s="27">
        <f ca="1">DATEDIF(DadosViagem5[[#This Row],[BIP]],TODAY(),"D")</f>
        <v>1</v>
      </c>
      <c r="R1744" s="28" t="str">
        <f>IFERROR(VLOOKUP(DadosViagem5[[#This Row],[Placa]],[1]DDS!B:C,2,FALSE),"Verificar cadastro")</f>
        <v>Operando</v>
      </c>
      <c r="S1744" s="29" t="s">
        <v>48</v>
      </c>
      <c r="T1744" s="23"/>
      <c r="U1744" s="30"/>
      <c r="V1744" s="31"/>
      <c r="W1744" s="32"/>
      <c r="X1744" s="33"/>
      <c r="Y1744" s="34"/>
      <c r="Z1744" s="32"/>
      <c r="AA1744" s="20" t="s">
        <v>49</v>
      </c>
      <c r="AB1744" s="20" t="s">
        <v>49</v>
      </c>
      <c r="AC1744" s="19" t="s">
        <v>49</v>
      </c>
      <c r="AD1744" s="19" t="str">
        <f ca="1">IFERROR(DATEDIF(DadosViagem5[[#This Row],[Utimo Bip Reserva]],TODAY(),"D"),"")</f>
        <v/>
      </c>
      <c r="AE1744" s="36" t="s">
        <v>49</v>
      </c>
      <c r="AF1744" s="25" t="s">
        <v>49</v>
      </c>
      <c r="AG1744" s="36"/>
      <c r="AH1744" s="25">
        <v>45807</v>
      </c>
      <c r="AI1744" s="36" t="str">
        <f>IF(DadosViagem5[[#This Row],[Dias em manutenção ]]&lt;5,"Dentro do Prazo","Fora do Prazo")</f>
        <v>Fora do Prazo</v>
      </c>
      <c r="AJ1744" s="36" t="e">
        <v>#REF!</v>
      </c>
    </row>
    <row r="1745" spans="1:36">
      <c r="A1745" s="19" t="s">
        <v>2902</v>
      </c>
      <c r="B1745" s="20"/>
      <c r="C1745" s="19" t="s">
        <v>74</v>
      </c>
      <c r="D1745" s="19" t="s">
        <v>52</v>
      </c>
      <c r="E1745" s="19" t="s">
        <v>75</v>
      </c>
      <c r="F1745" s="19" t="s">
        <v>76</v>
      </c>
      <c r="G1745" s="19"/>
      <c r="H1745" s="20">
        <v>2024</v>
      </c>
      <c r="I1745" s="19" t="s">
        <v>1040</v>
      </c>
      <c r="J1745" s="37" t="s">
        <v>1888</v>
      </c>
      <c r="K1745" s="21" t="s">
        <v>2893</v>
      </c>
      <c r="L1745" s="22" t="s">
        <v>60</v>
      </c>
      <c r="M1745" s="23" t="s">
        <v>77</v>
      </c>
      <c r="N1745" s="24" t="s">
        <v>1458</v>
      </c>
      <c r="O1745" s="24" t="s">
        <v>1152</v>
      </c>
      <c r="P1745" s="26">
        <f ca="1">IFERROR(VLOOKUP(DadosViagem5[[#This Row],[Placa]],[1]BIP!A:E,5,FALSE),"")</f>
        <v>45989</v>
      </c>
      <c r="Q1745" s="27">
        <f ca="1">DATEDIF(DadosViagem5[[#This Row],[BIP]],TODAY(),"D")</f>
        <v>1</v>
      </c>
      <c r="R1745" s="28" t="str">
        <f>IFERROR(VLOOKUP(DadosViagem5[[#This Row],[Placa]],[1]DDS!B:C,2,FALSE),"Verificar cadastro")</f>
        <v>Operando</v>
      </c>
      <c r="S1745" s="29" t="s">
        <v>48</v>
      </c>
      <c r="T1745" s="23"/>
      <c r="U1745" s="30"/>
      <c r="V1745" s="31"/>
      <c r="W1745" s="32"/>
      <c r="X1745" s="33"/>
      <c r="Y1745" s="34"/>
      <c r="Z1745" s="32"/>
      <c r="AA1745" s="20" t="s">
        <v>49</v>
      </c>
      <c r="AB1745" s="20" t="s">
        <v>49</v>
      </c>
      <c r="AC1745" s="19" t="s">
        <v>49</v>
      </c>
      <c r="AD1745" s="19" t="str">
        <f ca="1">IFERROR(DATEDIF(DadosViagem5[[#This Row],[Utimo Bip Reserva]],TODAY(),"D"),"")</f>
        <v/>
      </c>
      <c r="AE1745" s="25"/>
      <c r="AF1745" s="25"/>
      <c r="AG1745" s="36"/>
      <c r="AH1745" s="25">
        <v>45807</v>
      </c>
      <c r="AI1745" s="36" t="str">
        <f>IF(DadosViagem5[[#This Row],[Dias em manutenção ]]&lt;5,"Dentro do Prazo","Fora do Prazo")</f>
        <v>Fora do Prazo</v>
      </c>
      <c r="AJ1745" s="36" t="e">
        <v>#REF!</v>
      </c>
    </row>
    <row r="1746" spans="1:36">
      <c r="A1746" s="19" t="s">
        <v>2903</v>
      </c>
      <c r="B1746" s="20">
        <v>416</v>
      </c>
      <c r="C1746" s="19" t="s">
        <v>74</v>
      </c>
      <c r="D1746" s="19" t="s">
        <v>52</v>
      </c>
      <c r="E1746" s="19" t="s">
        <v>57</v>
      </c>
      <c r="F1746" s="19" t="s">
        <v>115</v>
      </c>
      <c r="G1746" s="19"/>
      <c r="H1746" s="20">
        <v>2022</v>
      </c>
      <c r="I1746" s="19" t="s">
        <v>1183</v>
      </c>
      <c r="J1746" s="37" t="s">
        <v>2904</v>
      </c>
      <c r="K1746" s="108" t="s">
        <v>2905</v>
      </c>
      <c r="L1746" s="22" t="s">
        <v>2906</v>
      </c>
      <c r="M1746" s="23" t="s">
        <v>77</v>
      </c>
      <c r="N1746" s="24" t="s">
        <v>2907</v>
      </c>
      <c r="O1746" s="40" t="s">
        <v>2908</v>
      </c>
      <c r="P1746" s="26">
        <f ca="1">IFERROR(VLOOKUP(DadosViagem5[[#This Row],[Placa]],[1]BIP!A:E,5,FALSE),"")</f>
        <v>45989</v>
      </c>
      <c r="Q1746" s="27">
        <f ca="1">DATEDIF(DadosViagem5[[#This Row],[BIP]],TODAY(),"D")</f>
        <v>1</v>
      </c>
      <c r="R1746" s="28" t="str">
        <f>IFERROR(VLOOKUP(DadosViagem5[[#This Row],[Placa]],[1]DDS!B:C,2,FALSE),"Verificar cadastro")</f>
        <v>Operando</v>
      </c>
      <c r="S1746" s="29" t="s">
        <v>48</v>
      </c>
      <c r="T1746" s="23"/>
      <c r="U1746" s="30"/>
      <c r="V1746" s="31"/>
      <c r="W1746" s="32"/>
      <c r="X1746" s="33"/>
      <c r="Y1746" s="34"/>
      <c r="Z1746" s="32"/>
      <c r="AA1746" s="20" t="s">
        <v>49</v>
      </c>
      <c r="AB1746" s="20" t="s">
        <v>49</v>
      </c>
      <c r="AC1746" s="19" t="s">
        <v>49</v>
      </c>
      <c r="AD1746" s="19" t="str">
        <f ca="1">IFERROR(DATEDIF(DadosViagem5[[#This Row],[Utimo Bip Reserva]],TODAY(),"D"),"")</f>
        <v/>
      </c>
      <c r="AE1746" s="35" t="s">
        <v>49</v>
      </c>
      <c r="AF1746" s="35" t="s">
        <v>49</v>
      </c>
      <c r="AG1746" s="36"/>
      <c r="AH1746" s="25">
        <v>45807</v>
      </c>
      <c r="AI1746" s="36" t="str">
        <f>IF(DadosViagem5[[#This Row],[Dias em manutenção ]]&lt;5,"Dentro do Prazo","Fora do Prazo")</f>
        <v>Fora do Prazo</v>
      </c>
      <c r="AJ1746" s="36" t="e">
        <v>#REF!</v>
      </c>
    </row>
    <row r="1747" spans="1:36">
      <c r="A1747" s="19" t="s">
        <v>2909</v>
      </c>
      <c r="B1747" s="20"/>
      <c r="C1747" s="19" t="s">
        <v>51</v>
      </c>
      <c r="D1747" s="19" t="s">
        <v>52</v>
      </c>
      <c r="E1747" s="19" t="s">
        <v>53</v>
      </c>
      <c r="F1747" s="19" t="s">
        <v>40</v>
      </c>
      <c r="G1747" s="19"/>
      <c r="H1747" s="20">
        <v>2022</v>
      </c>
      <c r="I1747" s="19" t="s">
        <v>1556</v>
      </c>
      <c r="J1747" s="19" t="s">
        <v>1696</v>
      </c>
      <c r="K1747" s="19" t="s">
        <v>1697</v>
      </c>
      <c r="L1747" s="22" t="s">
        <v>60</v>
      </c>
      <c r="M1747" s="23" t="s">
        <v>45</v>
      </c>
      <c r="N1747" s="40" t="s">
        <v>1698</v>
      </c>
      <c r="O1747" s="40" t="s">
        <v>1699</v>
      </c>
      <c r="P1747" s="26">
        <f ca="1">IFERROR(VLOOKUP(DadosViagem5[[#This Row],[Placa]],[1]BIP!A:E,5,FALSE),"")</f>
        <v>0</v>
      </c>
      <c r="Q1747" s="27">
        <f ca="1">DATEDIF(DadosViagem5[[#This Row],[BIP]],TODAY(),"D")</f>
        <v>45990</v>
      </c>
      <c r="R1747" s="28" t="str">
        <f>IFERROR(VLOOKUP(DadosViagem5[[#This Row],[Placa]],[1]DDS!B:C,2,FALSE),"Verificar cadastro")</f>
        <v> </v>
      </c>
      <c r="S1747" s="29" t="s">
        <v>48</v>
      </c>
      <c r="T1747" s="23"/>
      <c r="U1747" s="30"/>
      <c r="V1747" s="31"/>
      <c r="W1747" s="32"/>
      <c r="X1747" s="33"/>
      <c r="Y1747" s="34"/>
      <c r="Z1747" s="42"/>
      <c r="AA1747" s="20" t="s">
        <v>49</v>
      </c>
      <c r="AB1747" s="20" t="s">
        <v>49</v>
      </c>
      <c r="AC1747" s="19" t="s">
        <v>49</v>
      </c>
      <c r="AD1747" s="19" t="str">
        <f ca="1">IFERROR(DATEDIF(DadosViagem5[[#This Row],[Utimo Bip Reserva]],TODAY(),"D"),"")</f>
        <v/>
      </c>
      <c r="AE1747" s="25" t="s">
        <v>49</v>
      </c>
      <c r="AF1747" s="25" t="s">
        <v>49</v>
      </c>
      <c r="AG1747" s="36"/>
      <c r="AH1747" s="25">
        <v>45807</v>
      </c>
      <c r="AI1747" s="36" t="str">
        <f>IF(DadosViagem5[[#This Row],[Dias em manutenção ]]&lt;5,"Dentro do Prazo","Fora do Prazo")</f>
        <v>Fora do Prazo</v>
      </c>
      <c r="AJ1747" s="36" t="e">
        <v>#REF!</v>
      </c>
    </row>
    <row r="1748" spans="1:36">
      <c r="A1748" s="19" t="s">
        <v>2910</v>
      </c>
      <c r="B1748" s="20"/>
      <c r="C1748" s="19" t="s">
        <v>74</v>
      </c>
      <c r="D1748" s="19" t="s">
        <v>52</v>
      </c>
      <c r="E1748" s="19" t="s">
        <v>75</v>
      </c>
      <c r="F1748" s="19" t="s">
        <v>76</v>
      </c>
      <c r="G1748" s="19"/>
      <c r="H1748" s="20">
        <v>2024</v>
      </c>
      <c r="I1748" s="19" t="s">
        <v>1556</v>
      </c>
      <c r="J1748" s="19" t="s">
        <v>1696</v>
      </c>
      <c r="K1748" s="19" t="s">
        <v>1697</v>
      </c>
      <c r="L1748" s="22" t="s">
        <v>60</v>
      </c>
      <c r="M1748" s="23" t="s">
        <v>77</v>
      </c>
      <c r="N1748" s="40" t="s">
        <v>1698</v>
      </c>
      <c r="O1748" s="40" t="s">
        <v>1699</v>
      </c>
      <c r="P1748" s="26">
        <f ca="1">IFERROR(VLOOKUP(DadosViagem5[[#This Row],[Placa]],[1]BIP!A:E,5,FALSE),"")</f>
        <v>45989</v>
      </c>
      <c r="Q1748" s="27">
        <f ca="1">DATEDIF(DadosViagem5[[#This Row],[BIP]],TODAY(),"D")</f>
        <v>1</v>
      </c>
      <c r="R1748" s="28" t="str">
        <f>IFERROR(VLOOKUP(DadosViagem5[[#This Row],[Placa]],[1]DDS!B:C,2,FALSE),"Verificar cadastro")</f>
        <v>Operando</v>
      </c>
      <c r="S1748" s="29" t="s">
        <v>48</v>
      </c>
      <c r="T1748" s="23"/>
      <c r="U1748" s="30"/>
      <c r="V1748" s="31"/>
      <c r="W1748" s="32"/>
      <c r="X1748" s="33"/>
      <c r="Y1748" s="34"/>
      <c r="Z1748" s="32"/>
      <c r="AA1748" s="20" t="s">
        <v>49</v>
      </c>
      <c r="AB1748" s="20" t="s">
        <v>49</v>
      </c>
      <c r="AC1748" s="20" t="s">
        <v>49</v>
      </c>
      <c r="AD1748" s="20" t="s">
        <v>49</v>
      </c>
      <c r="AE1748" s="36"/>
      <c r="AF1748" s="25"/>
      <c r="AG1748" s="36"/>
      <c r="AH1748" s="25">
        <v>45807</v>
      </c>
      <c r="AI1748" s="36" t="str">
        <f>IF(DadosViagem5[[#This Row],[Dias em manutenção ]]&lt;5,"Dentro do Prazo","Fora do Prazo")</f>
        <v>Fora do Prazo</v>
      </c>
      <c r="AJ1748" s="36" t="e">
        <v>#REF!</v>
      </c>
    </row>
    <row r="1749" spans="1:36">
      <c r="A1749" s="19" t="s">
        <v>2911</v>
      </c>
      <c r="B1749" s="20"/>
      <c r="C1749" s="19" t="s">
        <v>88</v>
      </c>
      <c r="D1749" s="19" t="s">
        <v>52</v>
      </c>
      <c r="E1749" s="19" t="s">
        <v>57</v>
      </c>
      <c r="F1749" s="19" t="s">
        <v>40</v>
      </c>
      <c r="G1749" s="19"/>
      <c r="H1749" s="20">
        <v>2023</v>
      </c>
      <c r="I1749" s="19" t="s">
        <v>1556</v>
      </c>
      <c r="J1749" s="19" t="s">
        <v>1696</v>
      </c>
      <c r="K1749" s="19" t="s">
        <v>1697</v>
      </c>
      <c r="L1749" s="22" t="s">
        <v>60</v>
      </c>
      <c r="M1749" s="23" t="s">
        <v>45</v>
      </c>
      <c r="N1749" s="40" t="s">
        <v>1698</v>
      </c>
      <c r="O1749" s="40" t="s">
        <v>1699</v>
      </c>
      <c r="P1749" s="26">
        <f ca="1">IFERROR(VLOOKUP(DadosViagem5[[#This Row],[Placa]],[1]BIP!A:E,5,FALSE),"")</f>
        <v>0</v>
      </c>
      <c r="Q1749" s="27">
        <f ca="1">DATEDIF(DadosViagem5[[#This Row],[BIP]],TODAY(),"D")</f>
        <v>45990</v>
      </c>
      <c r="R1749" s="28" t="str">
        <f>IFERROR(VLOOKUP(DadosViagem5[[#This Row],[Placa]],[1]DDS!B:C,2,FALSE),"Verificar cadastro")</f>
        <v> </v>
      </c>
      <c r="S1749" s="29" t="s">
        <v>48</v>
      </c>
      <c r="T1749" s="23"/>
      <c r="U1749" s="30"/>
      <c r="V1749" s="31"/>
      <c r="W1749" s="32"/>
      <c r="X1749" s="33"/>
      <c r="Y1749" s="34"/>
      <c r="Z1749" s="32"/>
      <c r="AA1749" s="20" t="s">
        <v>49</v>
      </c>
      <c r="AB1749" s="20" t="s">
        <v>49</v>
      </c>
      <c r="AC1749" s="19" t="s">
        <v>49</v>
      </c>
      <c r="AD1749" s="19" t="str">
        <f ca="1">IFERROR(DATEDIF(DadosViagem5[[#This Row],[Utimo Bip Reserva]],TODAY(),"D"),"")</f>
        <v/>
      </c>
      <c r="AE1749" s="25" t="s">
        <v>49</v>
      </c>
      <c r="AF1749" s="25" t="s">
        <v>49</v>
      </c>
      <c r="AG1749" s="36"/>
      <c r="AH1749" s="25">
        <v>45807</v>
      </c>
      <c r="AI1749" s="36" t="str">
        <f>IF(DadosViagem5[[#This Row],[Dias em manutenção ]]&lt;5,"Dentro do Prazo","Fora do Prazo")</f>
        <v>Fora do Prazo</v>
      </c>
      <c r="AJ1749" s="36" t="e">
        <v>#REF!</v>
      </c>
    </row>
    <row r="1750" spans="1:36">
      <c r="A1750" s="19" t="s">
        <v>2912</v>
      </c>
      <c r="B1750" s="20">
        <v>374</v>
      </c>
      <c r="C1750" s="19" t="s">
        <v>74</v>
      </c>
      <c r="D1750" s="19" t="s">
        <v>52</v>
      </c>
      <c r="E1750" s="19" t="s">
        <v>75</v>
      </c>
      <c r="F1750" s="19" t="s">
        <v>76</v>
      </c>
      <c r="G1750" s="19"/>
      <c r="H1750" s="20">
        <v>2023</v>
      </c>
      <c r="I1750" s="19" t="s">
        <v>1556</v>
      </c>
      <c r="J1750" s="19" t="s">
        <v>1696</v>
      </c>
      <c r="K1750" s="19" t="s">
        <v>1697</v>
      </c>
      <c r="L1750" s="22" t="s">
        <v>60</v>
      </c>
      <c r="M1750" s="23" t="s">
        <v>77</v>
      </c>
      <c r="N1750" s="40" t="s">
        <v>1698</v>
      </c>
      <c r="O1750" s="40" t="s">
        <v>1699</v>
      </c>
      <c r="P1750" s="26">
        <f ca="1">IFERROR(VLOOKUP(DadosViagem5[[#This Row],[Placa]],[1]BIP!A:E,5,FALSE),"")</f>
        <v>45989</v>
      </c>
      <c r="Q1750" s="27">
        <f ca="1">DATEDIF(DadosViagem5[[#This Row],[BIP]],TODAY(),"D")</f>
        <v>1</v>
      </c>
      <c r="R1750" s="28" t="str">
        <f>IFERROR(VLOOKUP(DadosViagem5[[#This Row],[Placa]],[1]DDS!B:C,2,FALSE),"Verificar cadastro")</f>
        <v>Operando</v>
      </c>
      <c r="S1750" s="29" t="s">
        <v>48</v>
      </c>
      <c r="T1750" s="23"/>
      <c r="U1750" s="30"/>
      <c r="V1750" s="31"/>
      <c r="W1750" s="32"/>
      <c r="X1750" s="33"/>
      <c r="Y1750" s="34"/>
      <c r="Z1750" s="32"/>
      <c r="AA1750" s="20" t="s">
        <v>49</v>
      </c>
      <c r="AB1750" s="20" t="s">
        <v>49</v>
      </c>
      <c r="AC1750" s="19" t="s">
        <v>49</v>
      </c>
      <c r="AD1750" s="19" t="str">
        <f ca="1">IFERROR(DATEDIF(DadosViagem5[[#This Row],[Utimo Bip Reserva]],TODAY(),"D"),"")</f>
        <v/>
      </c>
      <c r="AE1750" s="25" t="s">
        <v>49</v>
      </c>
      <c r="AF1750" s="25" t="s">
        <v>49</v>
      </c>
      <c r="AG1750" s="36"/>
      <c r="AH1750" s="25">
        <v>45807</v>
      </c>
      <c r="AI1750" s="36" t="str">
        <f>IF(DadosViagem5[[#This Row],[Dias em manutenção ]]&lt;5,"Dentro do Prazo","Fora do Prazo")</f>
        <v>Fora do Prazo</v>
      </c>
      <c r="AJ1750" s="36" t="e">
        <v>#REF!</v>
      </c>
    </row>
    <row r="1751" spans="1:36">
      <c r="A1751" s="19" t="s">
        <v>2913</v>
      </c>
      <c r="B1751" s="20"/>
      <c r="C1751" s="19"/>
      <c r="D1751" s="19"/>
      <c r="E1751" s="19"/>
      <c r="F1751" s="19"/>
      <c r="G1751" s="19"/>
      <c r="H1751" s="19"/>
      <c r="I1751" s="19"/>
      <c r="J1751" s="19"/>
      <c r="K1751" s="19" t="s">
        <v>2914</v>
      </c>
      <c r="L1751" s="22" t="s">
        <v>2906</v>
      </c>
      <c r="M1751" s="23" t="s">
        <v>2847</v>
      </c>
      <c r="N1751" s="24" t="s">
        <v>2915</v>
      </c>
      <c r="O1751" s="24" t="s">
        <v>2915</v>
      </c>
      <c r="P1751" s="26" t="str">
        <f>IFERROR(VLOOKUP(DadosViagem5[[#This Row],[Placa]],[1]BIP!A:E,5,FALSE),"")</f>
        <v/>
      </c>
      <c r="Q1751" s="27" t="e">
        <f ca="1">DATEDIF(DadosViagem5[[#This Row],[BIP]],TODAY(),"D")</f>
        <v>#VALUE!</v>
      </c>
      <c r="R1751" s="28" t="str">
        <f>IFERROR(VLOOKUP(DadosViagem5[[#This Row],[Placa]],[1]DDS!B:C,2,FALSE),"Verificar cadastro")</f>
        <v> </v>
      </c>
      <c r="S1751" s="29" t="s">
        <v>48</v>
      </c>
      <c r="T1751" s="23"/>
      <c r="U1751" s="30"/>
      <c r="V1751" s="31"/>
      <c r="W1751" s="32" t="s">
        <v>384</v>
      </c>
      <c r="X1751" s="33"/>
      <c r="Y1751" s="34"/>
      <c r="Z1751" s="32"/>
      <c r="AA1751" s="20" t="s">
        <v>49</v>
      </c>
      <c r="AB1751" s="20" t="s">
        <v>49</v>
      </c>
      <c r="AC1751" s="20" t="s">
        <v>49</v>
      </c>
      <c r="AD1751" s="20" t="s">
        <v>49</v>
      </c>
      <c r="AE1751" s="36"/>
      <c r="AF1751" s="25"/>
      <c r="AG1751" s="36"/>
      <c r="AH1751" s="25">
        <v>45807</v>
      </c>
      <c r="AI1751" s="36" t="str">
        <f>IF(DadosViagem5[[#This Row],[Dias em manutenção ]]&lt;5,"Dentro do Prazo","Fora do Prazo")</f>
        <v>Fora do Prazo</v>
      </c>
      <c r="AJ1751" s="36" t="e">
        <v>#REF!</v>
      </c>
    </row>
    <row r="1752" spans="1:36">
      <c r="A1752" s="19" t="s">
        <v>2916</v>
      </c>
      <c r="B1752" s="20"/>
      <c r="C1752" s="19"/>
      <c r="D1752" s="19"/>
      <c r="E1752" s="19"/>
      <c r="F1752" s="19"/>
      <c r="G1752" s="19"/>
      <c r="H1752" s="19"/>
      <c r="I1752" s="19"/>
      <c r="J1752" s="19"/>
      <c r="K1752" s="19" t="s">
        <v>2914</v>
      </c>
      <c r="L1752" s="22" t="s">
        <v>2906</v>
      </c>
      <c r="M1752" s="23" t="s">
        <v>2847</v>
      </c>
      <c r="N1752" s="36" t="s">
        <v>2915</v>
      </c>
      <c r="O1752" s="36" t="s">
        <v>2915</v>
      </c>
      <c r="P1752" s="26" t="str">
        <f>IFERROR(VLOOKUP(DadosViagem5[[#This Row],[Placa]],[1]BIP!A:E,5,FALSE),"")</f>
        <v/>
      </c>
      <c r="Q1752" s="27" t="e">
        <f ca="1">DATEDIF(DadosViagem5[[#This Row],[BIP]],TODAY(),"D")</f>
        <v>#VALUE!</v>
      </c>
      <c r="R1752" s="28" t="str">
        <f>IFERROR(VLOOKUP(DadosViagem5[[#This Row],[Placa]],[1]DDS!B:C,2,FALSE),"Verificar cadastro")</f>
        <v> </v>
      </c>
      <c r="S1752" s="29" t="s">
        <v>48</v>
      </c>
      <c r="T1752" s="23"/>
      <c r="U1752" s="30"/>
      <c r="V1752" s="31"/>
      <c r="W1752" s="32" t="s">
        <v>384</v>
      </c>
      <c r="X1752" s="33"/>
      <c r="Y1752" s="34"/>
      <c r="Z1752" s="32"/>
      <c r="AA1752" s="20" t="s">
        <v>49</v>
      </c>
      <c r="AB1752" s="20" t="s">
        <v>49</v>
      </c>
      <c r="AC1752" s="20" t="s">
        <v>49</v>
      </c>
      <c r="AD1752" s="20" t="s">
        <v>49</v>
      </c>
      <c r="AE1752" s="36"/>
      <c r="AF1752" s="25"/>
      <c r="AG1752" s="36"/>
      <c r="AH1752" s="25">
        <v>45807</v>
      </c>
      <c r="AI1752" s="36" t="str">
        <f>IF(DadosViagem5[[#This Row],[Dias em manutenção ]]&lt;5,"Dentro do Prazo","Fora do Prazo")</f>
        <v>Fora do Prazo</v>
      </c>
      <c r="AJ1752" s="36" t="e">
        <v>#REF!</v>
      </c>
    </row>
    <row r="1753" spans="1:36">
      <c r="A1753" s="19" t="s">
        <v>2917</v>
      </c>
      <c r="B1753" s="20"/>
      <c r="C1753" s="19"/>
      <c r="D1753" s="19"/>
      <c r="E1753" s="19"/>
      <c r="F1753" s="19"/>
      <c r="G1753" s="19"/>
      <c r="H1753" s="19"/>
      <c r="I1753" s="37"/>
      <c r="J1753" s="19"/>
      <c r="K1753" s="37" t="s">
        <v>2914</v>
      </c>
      <c r="L1753" s="39" t="s">
        <v>2906</v>
      </c>
      <c r="M1753" s="23" t="s">
        <v>2847</v>
      </c>
      <c r="N1753" s="24" t="s">
        <v>2915</v>
      </c>
      <c r="O1753" s="24" t="s">
        <v>2915</v>
      </c>
      <c r="P1753" s="26" t="str">
        <f>IFERROR(VLOOKUP(DadosViagem5[[#This Row],[Placa]],[1]BIP!A:E,5,FALSE),"")</f>
        <v/>
      </c>
      <c r="Q1753" s="27" t="e">
        <f ca="1">DATEDIF(DadosViagem5[[#This Row],[BIP]],TODAY(),"D")</f>
        <v>#VALUE!</v>
      </c>
      <c r="R1753" s="28" t="str">
        <f>IFERROR(VLOOKUP(DadosViagem5[[#This Row],[Placa]],[1]DDS!B:C,2,FALSE),"Verificar cadastro")</f>
        <v> </v>
      </c>
      <c r="S1753" s="29" t="s">
        <v>48</v>
      </c>
      <c r="T1753" s="23"/>
      <c r="U1753" s="30"/>
      <c r="V1753" s="31"/>
      <c r="W1753" s="32" t="s">
        <v>384</v>
      </c>
      <c r="X1753" s="33"/>
      <c r="Y1753" s="34"/>
      <c r="Z1753" s="32"/>
      <c r="AA1753" s="20" t="s">
        <v>49</v>
      </c>
      <c r="AB1753" s="20" t="s">
        <v>49</v>
      </c>
      <c r="AC1753" s="20" t="s">
        <v>49</v>
      </c>
      <c r="AD1753" s="20" t="s">
        <v>49</v>
      </c>
      <c r="AE1753" s="24"/>
      <c r="AF1753" s="25"/>
      <c r="AG1753" s="36"/>
      <c r="AH1753" s="25">
        <v>45807</v>
      </c>
      <c r="AI1753" s="36" t="str">
        <f>IF(DadosViagem5[[#This Row],[Dias em manutenção ]]&lt;5,"Dentro do Prazo","Fora do Prazo")</f>
        <v>Fora do Prazo</v>
      </c>
      <c r="AJ1753" s="36" t="e">
        <v>#REF!</v>
      </c>
    </row>
    <row r="1754" spans="1:36">
      <c r="A1754" s="19" t="s">
        <v>2918</v>
      </c>
      <c r="B1754" s="20"/>
      <c r="C1754" s="19"/>
      <c r="D1754" s="19"/>
      <c r="E1754" s="19"/>
      <c r="F1754" s="19"/>
      <c r="G1754" s="19"/>
      <c r="H1754" s="19"/>
      <c r="I1754" s="37"/>
      <c r="J1754" s="37"/>
      <c r="K1754" s="37" t="s">
        <v>2914</v>
      </c>
      <c r="L1754" s="22" t="s">
        <v>2906</v>
      </c>
      <c r="M1754" s="23" t="s">
        <v>2847</v>
      </c>
      <c r="N1754" s="36" t="s">
        <v>2915</v>
      </c>
      <c r="O1754" s="36" t="s">
        <v>2915</v>
      </c>
      <c r="P1754" s="26" t="str">
        <f>IFERROR(VLOOKUP(DadosViagem5[[#This Row],[Placa]],[1]BIP!A:E,5,FALSE),"")</f>
        <v/>
      </c>
      <c r="Q1754" s="27" t="e">
        <f ca="1">DATEDIF(DadosViagem5[[#This Row],[BIP]],TODAY(),"D")</f>
        <v>#VALUE!</v>
      </c>
      <c r="R1754" s="28" t="str">
        <f>IFERROR(VLOOKUP(DadosViagem5[[#This Row],[Placa]],[1]DDS!B:C,2,FALSE),"Verificar cadastro")</f>
        <v> </v>
      </c>
      <c r="S1754" s="29" t="s">
        <v>48</v>
      </c>
      <c r="T1754" s="23"/>
      <c r="U1754" s="30"/>
      <c r="V1754" s="31"/>
      <c r="W1754" s="32" t="s">
        <v>384</v>
      </c>
      <c r="X1754" s="33"/>
      <c r="Y1754" s="34"/>
      <c r="Z1754" s="32"/>
      <c r="AA1754" s="20" t="s">
        <v>49</v>
      </c>
      <c r="AB1754" s="20" t="s">
        <v>49</v>
      </c>
      <c r="AC1754" s="20" t="s">
        <v>49</v>
      </c>
      <c r="AD1754" s="20" t="s">
        <v>49</v>
      </c>
      <c r="AE1754" s="36"/>
      <c r="AF1754" s="25"/>
      <c r="AG1754" s="36"/>
      <c r="AH1754" s="25">
        <v>45807</v>
      </c>
      <c r="AI1754" s="36" t="str">
        <f>IF(DadosViagem5[[#This Row],[Dias em manutenção ]]&lt;5,"Dentro do Prazo","Fora do Prazo")</f>
        <v>Fora do Prazo</v>
      </c>
      <c r="AJ1754" s="36" t="e">
        <v>#REF!</v>
      </c>
    </row>
    <row r="1755" spans="1:36">
      <c r="A1755" s="19" t="s">
        <v>2919</v>
      </c>
      <c r="B1755" s="20"/>
      <c r="C1755" s="19"/>
      <c r="D1755" s="19"/>
      <c r="E1755" s="19"/>
      <c r="F1755" s="19"/>
      <c r="G1755" s="19"/>
      <c r="H1755" s="19"/>
      <c r="I1755" s="37"/>
      <c r="J1755" s="19"/>
      <c r="K1755" s="37" t="s">
        <v>2914</v>
      </c>
      <c r="L1755" s="39" t="s">
        <v>2906</v>
      </c>
      <c r="M1755" s="23" t="s">
        <v>2847</v>
      </c>
      <c r="N1755" s="24" t="s">
        <v>2915</v>
      </c>
      <c r="O1755" s="24" t="s">
        <v>2915</v>
      </c>
      <c r="P1755" s="26" t="str">
        <f>IFERROR(VLOOKUP(DadosViagem5[[#This Row],[Placa]],[1]BIP!A:E,5,FALSE),"")</f>
        <v/>
      </c>
      <c r="Q1755" s="27" t="e">
        <f ca="1">DATEDIF(DadosViagem5[[#This Row],[BIP]],TODAY(),"D")</f>
        <v>#VALUE!</v>
      </c>
      <c r="R1755" s="28" t="str">
        <f>IFERROR(VLOOKUP(DadosViagem5[[#This Row],[Placa]],[1]DDS!B:C,2,FALSE),"Verificar cadastro")</f>
        <v> </v>
      </c>
      <c r="S1755" s="29" t="s">
        <v>48</v>
      </c>
      <c r="T1755" s="23"/>
      <c r="U1755" s="30"/>
      <c r="V1755" s="31"/>
      <c r="W1755" s="32" t="s">
        <v>384</v>
      </c>
      <c r="X1755" s="33"/>
      <c r="Y1755" s="34"/>
      <c r="Z1755" s="32"/>
      <c r="AA1755" s="20" t="s">
        <v>49</v>
      </c>
      <c r="AB1755" s="20" t="s">
        <v>49</v>
      </c>
      <c r="AC1755" s="20" t="s">
        <v>49</v>
      </c>
      <c r="AD1755" s="20" t="s">
        <v>49</v>
      </c>
      <c r="AE1755" s="36"/>
      <c r="AF1755" s="25"/>
      <c r="AG1755" s="36"/>
      <c r="AH1755" s="25">
        <v>45807</v>
      </c>
      <c r="AI1755" s="36" t="str">
        <f>IF(DadosViagem5[[#This Row],[Dias em manutenção ]]&lt;5,"Dentro do Prazo","Fora do Prazo")</f>
        <v>Fora do Prazo</v>
      </c>
      <c r="AJ1755" s="36" t="e">
        <v>#REF!</v>
      </c>
    </row>
    <row r="1756" spans="1:36">
      <c r="A1756" s="19" t="s">
        <v>2920</v>
      </c>
      <c r="B1756" s="20"/>
      <c r="C1756" s="19"/>
      <c r="D1756" s="19"/>
      <c r="E1756" s="19"/>
      <c r="F1756" s="19"/>
      <c r="G1756" s="19"/>
      <c r="H1756" s="19"/>
      <c r="I1756" s="37"/>
      <c r="J1756" s="19"/>
      <c r="K1756" s="37" t="s">
        <v>2914</v>
      </c>
      <c r="L1756" s="39" t="s">
        <v>2906</v>
      </c>
      <c r="M1756" s="23" t="s">
        <v>2847</v>
      </c>
      <c r="N1756" s="24" t="s">
        <v>2915</v>
      </c>
      <c r="O1756" s="24" t="s">
        <v>2915</v>
      </c>
      <c r="P1756" s="26" t="str">
        <f>IFERROR(VLOOKUP(DadosViagem5[[#This Row],[Placa]],[1]BIP!A:E,5,FALSE),"")</f>
        <v/>
      </c>
      <c r="Q1756" s="27" t="e">
        <f ca="1">DATEDIF(DadosViagem5[[#This Row],[BIP]],TODAY(),"D")</f>
        <v>#VALUE!</v>
      </c>
      <c r="R1756" s="28" t="str">
        <f>IFERROR(VLOOKUP(DadosViagem5[[#This Row],[Placa]],[1]DDS!B:C,2,FALSE),"Verificar cadastro")</f>
        <v> </v>
      </c>
      <c r="S1756" s="29" t="s">
        <v>48</v>
      </c>
      <c r="T1756" s="23"/>
      <c r="U1756" s="30"/>
      <c r="V1756" s="31"/>
      <c r="W1756" s="32" t="s">
        <v>384</v>
      </c>
      <c r="X1756" s="33"/>
      <c r="Y1756" s="34"/>
      <c r="Z1756" s="32"/>
      <c r="AA1756" s="20" t="s">
        <v>49</v>
      </c>
      <c r="AB1756" s="20" t="s">
        <v>49</v>
      </c>
      <c r="AC1756" s="20" t="s">
        <v>49</v>
      </c>
      <c r="AD1756" s="20" t="s">
        <v>49</v>
      </c>
      <c r="AE1756" s="36"/>
      <c r="AF1756" s="25"/>
      <c r="AG1756" s="36"/>
      <c r="AH1756" s="25">
        <v>45807</v>
      </c>
      <c r="AI1756" s="36" t="str">
        <f>IF(DadosViagem5[[#This Row],[Dias em manutenção ]]&lt;5,"Dentro do Prazo","Fora do Prazo")</f>
        <v>Fora do Prazo</v>
      </c>
      <c r="AJ1756" s="36" t="e">
        <v>#REF!</v>
      </c>
    </row>
    <row r="1757" spans="1:36">
      <c r="A1757" s="19" t="s">
        <v>2921</v>
      </c>
      <c r="B1757" s="20"/>
      <c r="C1757" s="19"/>
      <c r="D1757" s="19"/>
      <c r="E1757" s="19"/>
      <c r="F1757" s="19"/>
      <c r="G1757" s="19"/>
      <c r="H1757" s="19"/>
      <c r="I1757" s="37"/>
      <c r="J1757" s="19"/>
      <c r="K1757" s="37" t="s">
        <v>2914</v>
      </c>
      <c r="L1757" s="39" t="s">
        <v>2906</v>
      </c>
      <c r="M1757" s="23" t="s">
        <v>2847</v>
      </c>
      <c r="N1757" s="24" t="s">
        <v>2915</v>
      </c>
      <c r="O1757" s="24" t="s">
        <v>2915</v>
      </c>
      <c r="P1757" s="26" t="str">
        <f>IFERROR(VLOOKUP(DadosViagem5[[#This Row],[Placa]],[1]BIP!A:E,5,FALSE),"")</f>
        <v/>
      </c>
      <c r="Q1757" s="27" t="e">
        <f ca="1">DATEDIF(DadosViagem5[[#This Row],[BIP]],TODAY(),"D")</f>
        <v>#VALUE!</v>
      </c>
      <c r="R1757" s="28" t="str">
        <f>IFERROR(VLOOKUP(DadosViagem5[[#This Row],[Placa]],[1]DDS!B:C,2,FALSE),"Verificar cadastro")</f>
        <v> </v>
      </c>
      <c r="S1757" s="29" t="s">
        <v>48</v>
      </c>
      <c r="T1757" s="23"/>
      <c r="U1757" s="30"/>
      <c r="V1757" s="31"/>
      <c r="W1757" s="32" t="s">
        <v>384</v>
      </c>
      <c r="X1757" s="33"/>
      <c r="Y1757" s="34"/>
      <c r="Z1757" s="32"/>
      <c r="AA1757" s="20" t="s">
        <v>49</v>
      </c>
      <c r="AB1757" s="20" t="s">
        <v>49</v>
      </c>
      <c r="AC1757" s="20" t="s">
        <v>49</v>
      </c>
      <c r="AD1757" s="20" t="s">
        <v>49</v>
      </c>
      <c r="AE1757" s="36"/>
      <c r="AF1757" s="25"/>
      <c r="AG1757" s="36"/>
      <c r="AH1757" s="25">
        <v>45807</v>
      </c>
      <c r="AI1757" s="36" t="str">
        <f>IF(DadosViagem5[[#This Row],[Dias em manutenção ]]&lt;5,"Dentro do Prazo","Fora do Prazo")</f>
        <v>Fora do Prazo</v>
      </c>
      <c r="AJ1757" s="36" t="e">
        <v>#REF!</v>
      </c>
    </row>
    <row r="1758" spans="1:36">
      <c r="A1758" s="19" t="s">
        <v>2922</v>
      </c>
      <c r="B1758" s="20"/>
      <c r="C1758" s="19"/>
      <c r="D1758" s="19"/>
      <c r="E1758" s="19"/>
      <c r="F1758" s="19"/>
      <c r="G1758" s="19"/>
      <c r="H1758" s="19"/>
      <c r="I1758" s="37"/>
      <c r="J1758" s="37"/>
      <c r="K1758" s="37" t="s">
        <v>2914</v>
      </c>
      <c r="L1758" s="39" t="s">
        <v>2906</v>
      </c>
      <c r="M1758" s="23" t="s">
        <v>2847</v>
      </c>
      <c r="N1758" s="24" t="s">
        <v>2915</v>
      </c>
      <c r="O1758" s="24" t="s">
        <v>2915</v>
      </c>
      <c r="P1758" s="26" t="str">
        <f>IFERROR(VLOOKUP(DadosViagem5[[#This Row],[Placa]],[1]BIP!A:E,5,FALSE),"")</f>
        <v/>
      </c>
      <c r="Q1758" s="27" t="e">
        <f ca="1">DATEDIF(DadosViagem5[[#This Row],[BIP]],TODAY(),"D")</f>
        <v>#VALUE!</v>
      </c>
      <c r="R1758" s="28" t="str">
        <f>IFERROR(VLOOKUP(DadosViagem5[[#This Row],[Placa]],[1]DDS!B:C,2,FALSE),"Verificar cadastro")</f>
        <v> </v>
      </c>
      <c r="S1758" s="29" t="s">
        <v>48</v>
      </c>
      <c r="T1758" s="23"/>
      <c r="U1758" s="30"/>
      <c r="V1758" s="31"/>
      <c r="W1758" s="32" t="s">
        <v>384</v>
      </c>
      <c r="X1758" s="33"/>
      <c r="Y1758" s="34"/>
      <c r="Z1758" s="32"/>
      <c r="AA1758" s="20" t="s">
        <v>49</v>
      </c>
      <c r="AB1758" s="20" t="s">
        <v>49</v>
      </c>
      <c r="AC1758" s="20" t="s">
        <v>49</v>
      </c>
      <c r="AD1758" s="20" t="s">
        <v>49</v>
      </c>
      <c r="AE1758" s="36"/>
      <c r="AF1758" s="25"/>
      <c r="AG1758" s="36"/>
      <c r="AH1758" s="25">
        <v>45807</v>
      </c>
      <c r="AI1758" s="36" t="str">
        <f>IF(DadosViagem5[[#This Row],[Dias em manutenção ]]&lt;5,"Dentro do Prazo","Fora do Prazo")</f>
        <v>Fora do Prazo</v>
      </c>
      <c r="AJ1758" s="36" t="e">
        <v>#REF!</v>
      </c>
    </row>
    <row r="1759" spans="1:36">
      <c r="A1759" s="19" t="s">
        <v>2923</v>
      </c>
      <c r="B1759" s="20"/>
      <c r="C1759" s="19"/>
      <c r="D1759" s="19"/>
      <c r="E1759" s="19"/>
      <c r="F1759" s="19"/>
      <c r="G1759" s="19"/>
      <c r="H1759" s="19"/>
      <c r="I1759" s="37"/>
      <c r="J1759" s="37"/>
      <c r="K1759" s="37" t="s">
        <v>2914</v>
      </c>
      <c r="L1759" s="39" t="s">
        <v>2906</v>
      </c>
      <c r="M1759" s="23" t="s">
        <v>2847</v>
      </c>
      <c r="N1759" s="24" t="s">
        <v>2915</v>
      </c>
      <c r="O1759" s="24" t="s">
        <v>2915</v>
      </c>
      <c r="P1759" s="26" t="str">
        <f>IFERROR(VLOOKUP(DadosViagem5[[#This Row],[Placa]],[1]BIP!A:E,5,FALSE),"")</f>
        <v/>
      </c>
      <c r="Q1759" s="27" t="e">
        <f ca="1">DATEDIF(DadosViagem5[[#This Row],[BIP]],TODAY(),"D")</f>
        <v>#VALUE!</v>
      </c>
      <c r="R1759" s="28" t="str">
        <f>IFERROR(VLOOKUP(DadosViagem5[[#This Row],[Placa]],[1]DDS!B:C,2,FALSE),"Verificar cadastro")</f>
        <v> </v>
      </c>
      <c r="S1759" s="29" t="s">
        <v>48</v>
      </c>
      <c r="T1759" s="23"/>
      <c r="U1759" s="30"/>
      <c r="V1759" s="31"/>
      <c r="W1759" s="32" t="s">
        <v>384</v>
      </c>
      <c r="X1759" s="33"/>
      <c r="Y1759" s="34"/>
      <c r="Z1759" s="32"/>
      <c r="AA1759" s="20" t="s">
        <v>49</v>
      </c>
      <c r="AB1759" s="20" t="s">
        <v>49</v>
      </c>
      <c r="AC1759" s="20" t="s">
        <v>49</v>
      </c>
      <c r="AD1759" s="20" t="s">
        <v>49</v>
      </c>
      <c r="AE1759" s="36"/>
      <c r="AF1759" s="25"/>
      <c r="AG1759" s="36"/>
      <c r="AH1759" s="25">
        <v>45807</v>
      </c>
      <c r="AI1759" s="36" t="str">
        <f>IF(DadosViagem5[[#This Row],[Dias em manutenção ]]&lt;5,"Dentro do Prazo","Fora do Prazo")</f>
        <v>Fora do Prazo</v>
      </c>
      <c r="AJ1759" s="36" t="e">
        <v>#REF!</v>
      </c>
    </row>
    <row r="1760" spans="1:36">
      <c r="A1760" s="19" t="s">
        <v>2924</v>
      </c>
      <c r="B1760" s="20"/>
      <c r="C1760" s="19"/>
      <c r="D1760" s="19"/>
      <c r="E1760" s="19"/>
      <c r="F1760" s="19"/>
      <c r="G1760" s="19"/>
      <c r="H1760" s="19"/>
      <c r="I1760" s="37"/>
      <c r="J1760" s="37"/>
      <c r="K1760" s="37" t="s">
        <v>2914</v>
      </c>
      <c r="L1760" s="39" t="s">
        <v>2906</v>
      </c>
      <c r="M1760" s="23" t="s">
        <v>2847</v>
      </c>
      <c r="N1760" s="24" t="s">
        <v>2915</v>
      </c>
      <c r="O1760" s="24" t="s">
        <v>2915</v>
      </c>
      <c r="P1760" s="26" t="str">
        <f>IFERROR(VLOOKUP(DadosViagem5[[#This Row],[Placa]],[1]BIP!A:E,5,FALSE),"")</f>
        <v/>
      </c>
      <c r="Q1760" s="27" t="e">
        <f ca="1">DATEDIF(DadosViagem5[[#This Row],[BIP]],TODAY(),"D")</f>
        <v>#VALUE!</v>
      </c>
      <c r="R1760" s="28" t="str">
        <f>IFERROR(VLOOKUP(DadosViagem5[[#This Row],[Placa]],[1]DDS!B:C,2,FALSE),"Verificar cadastro")</f>
        <v> </v>
      </c>
      <c r="S1760" s="29" t="s">
        <v>48</v>
      </c>
      <c r="T1760" s="23"/>
      <c r="U1760" s="30"/>
      <c r="V1760" s="31"/>
      <c r="W1760" s="32" t="s">
        <v>384</v>
      </c>
      <c r="X1760" s="33"/>
      <c r="Y1760" s="34"/>
      <c r="Z1760" s="32"/>
      <c r="AA1760" s="20" t="s">
        <v>49</v>
      </c>
      <c r="AB1760" s="20" t="s">
        <v>49</v>
      </c>
      <c r="AC1760" s="20" t="s">
        <v>49</v>
      </c>
      <c r="AD1760" s="20" t="s">
        <v>49</v>
      </c>
      <c r="AE1760" s="36"/>
      <c r="AF1760" s="25"/>
      <c r="AG1760" s="36"/>
      <c r="AH1760" s="25">
        <v>45807</v>
      </c>
      <c r="AI1760" s="36" t="str">
        <f>IF(DadosViagem5[[#This Row],[Dias em manutenção ]]&lt;5,"Dentro do Prazo","Fora do Prazo")</f>
        <v>Fora do Prazo</v>
      </c>
      <c r="AJ1760" s="36" t="e">
        <v>#REF!</v>
      </c>
    </row>
    <row r="1761" spans="1:36">
      <c r="A1761" s="19" t="s">
        <v>2925</v>
      </c>
      <c r="B1761" s="20"/>
      <c r="C1761" s="19"/>
      <c r="D1761" s="19"/>
      <c r="E1761" s="19"/>
      <c r="F1761" s="19" t="s">
        <v>40</v>
      </c>
      <c r="G1761" s="19"/>
      <c r="H1761" s="19"/>
      <c r="I1761" s="37"/>
      <c r="J1761" s="37"/>
      <c r="K1761" s="37" t="s">
        <v>2914</v>
      </c>
      <c r="L1761" s="39" t="s">
        <v>2906</v>
      </c>
      <c r="M1761" s="23" t="s">
        <v>2847</v>
      </c>
      <c r="N1761" s="24" t="s">
        <v>2915</v>
      </c>
      <c r="O1761" s="24" t="s">
        <v>2915</v>
      </c>
      <c r="P1761" s="26" t="str">
        <f>IFERROR(VLOOKUP(DadosViagem5[[#This Row],[Placa]],[1]BIP!A:E,5,FALSE),"")</f>
        <v/>
      </c>
      <c r="Q1761" s="27" t="e">
        <f ca="1">DATEDIF(DadosViagem5[[#This Row],[BIP]],TODAY(),"D")</f>
        <v>#VALUE!</v>
      </c>
      <c r="R1761" s="28" t="str">
        <f>IFERROR(VLOOKUP(DadosViagem5[[#This Row],[Placa]],[1]DDS!B:C,2,FALSE),"Verificar cadastro")</f>
        <v> </v>
      </c>
      <c r="S1761" s="29" t="s">
        <v>48</v>
      </c>
      <c r="T1761" s="23"/>
      <c r="U1761" s="30"/>
      <c r="V1761" s="31"/>
      <c r="W1761" s="32" t="s">
        <v>384</v>
      </c>
      <c r="X1761" s="33"/>
      <c r="Y1761" s="34"/>
      <c r="Z1761" s="32"/>
      <c r="AA1761" s="20" t="s">
        <v>49</v>
      </c>
      <c r="AB1761" s="20" t="s">
        <v>49</v>
      </c>
      <c r="AC1761" s="20" t="s">
        <v>49</v>
      </c>
      <c r="AD1761" s="20" t="s">
        <v>49</v>
      </c>
      <c r="AE1761" s="36"/>
      <c r="AF1761" s="25"/>
      <c r="AG1761" s="36"/>
      <c r="AH1761" s="25">
        <v>45807</v>
      </c>
      <c r="AI1761" s="36" t="str">
        <f>IF(DadosViagem5[[#This Row],[Dias em manutenção ]]&lt;5,"Dentro do Prazo","Fora do Prazo")</f>
        <v>Fora do Prazo</v>
      </c>
      <c r="AJ1761" s="36" t="e">
        <v>#REF!</v>
      </c>
    </row>
    <row r="1762" spans="1:36">
      <c r="A1762" s="19" t="s">
        <v>2926</v>
      </c>
      <c r="B1762" s="20"/>
      <c r="C1762" s="19"/>
      <c r="D1762" s="19"/>
      <c r="E1762" s="19"/>
      <c r="F1762" s="19"/>
      <c r="G1762" s="19"/>
      <c r="H1762" s="19"/>
      <c r="I1762" s="37"/>
      <c r="J1762" s="37"/>
      <c r="K1762" s="37" t="s">
        <v>2914</v>
      </c>
      <c r="L1762" s="39" t="s">
        <v>2906</v>
      </c>
      <c r="M1762" s="23" t="s">
        <v>2847</v>
      </c>
      <c r="N1762" s="24" t="s">
        <v>2915</v>
      </c>
      <c r="O1762" s="24" t="s">
        <v>2915</v>
      </c>
      <c r="P1762" s="26" t="str">
        <f>IFERROR(VLOOKUP(DadosViagem5[[#This Row],[Placa]],[1]BIP!A:E,5,FALSE),"")</f>
        <v/>
      </c>
      <c r="Q1762" s="27" t="e">
        <f ca="1">DATEDIF(DadosViagem5[[#This Row],[BIP]],TODAY(),"D")</f>
        <v>#VALUE!</v>
      </c>
      <c r="R1762" s="28" t="str">
        <f>IFERROR(VLOOKUP(DadosViagem5[[#This Row],[Placa]],[1]DDS!B:C,2,FALSE),"Verificar cadastro")</f>
        <v> </v>
      </c>
      <c r="S1762" s="29" t="s">
        <v>48</v>
      </c>
      <c r="T1762" s="23"/>
      <c r="U1762" s="30"/>
      <c r="V1762" s="31"/>
      <c r="W1762" s="32" t="s">
        <v>384</v>
      </c>
      <c r="X1762" s="33"/>
      <c r="Y1762" s="34"/>
      <c r="Z1762" s="32"/>
      <c r="AA1762" s="20" t="s">
        <v>49</v>
      </c>
      <c r="AB1762" s="20" t="s">
        <v>49</v>
      </c>
      <c r="AC1762" s="20" t="s">
        <v>49</v>
      </c>
      <c r="AD1762" s="20" t="s">
        <v>49</v>
      </c>
      <c r="AE1762" s="36"/>
      <c r="AF1762" s="25"/>
      <c r="AG1762" s="36"/>
      <c r="AH1762" s="25">
        <v>45807</v>
      </c>
      <c r="AI1762" s="36" t="str">
        <f>IF(DadosViagem5[[#This Row],[Dias em manutenção ]]&lt;5,"Dentro do Prazo","Fora do Prazo")</f>
        <v>Fora do Prazo</v>
      </c>
      <c r="AJ1762" s="36" t="e">
        <v>#REF!</v>
      </c>
    </row>
    <row r="1763" spans="1:36">
      <c r="A1763" s="19" t="s">
        <v>2927</v>
      </c>
      <c r="B1763" s="20"/>
      <c r="C1763" s="19"/>
      <c r="D1763" s="19"/>
      <c r="E1763" s="19"/>
      <c r="F1763" s="19"/>
      <c r="G1763" s="19"/>
      <c r="H1763" s="19"/>
      <c r="I1763" s="37"/>
      <c r="J1763" s="75"/>
      <c r="K1763" s="75" t="s">
        <v>2914</v>
      </c>
      <c r="L1763" s="39" t="s">
        <v>2906</v>
      </c>
      <c r="M1763" s="23" t="s">
        <v>2847</v>
      </c>
      <c r="N1763" s="24" t="s">
        <v>2915</v>
      </c>
      <c r="O1763" s="24" t="s">
        <v>2915</v>
      </c>
      <c r="P1763" s="26" t="str">
        <f>IFERROR(VLOOKUP(DadosViagem5[[#This Row],[Placa]],[1]BIP!A:E,5,FALSE),"")</f>
        <v/>
      </c>
      <c r="Q1763" s="27" t="e">
        <f ca="1">DATEDIF(DadosViagem5[[#This Row],[BIP]],TODAY(),"D")</f>
        <v>#VALUE!</v>
      </c>
      <c r="R1763" s="28" t="str">
        <f>IFERROR(VLOOKUP(DadosViagem5[[#This Row],[Placa]],[1]DDS!B:C,2,FALSE),"Verificar cadastro")</f>
        <v> </v>
      </c>
      <c r="S1763" s="29" t="s">
        <v>48</v>
      </c>
      <c r="T1763" s="23"/>
      <c r="U1763" s="30"/>
      <c r="V1763" s="31"/>
      <c r="W1763" s="32" t="s">
        <v>384</v>
      </c>
      <c r="X1763" s="33"/>
      <c r="Y1763" s="34"/>
      <c r="Z1763" s="32"/>
      <c r="AA1763" s="20" t="s">
        <v>49</v>
      </c>
      <c r="AB1763" s="20" t="s">
        <v>49</v>
      </c>
      <c r="AC1763" s="20" t="s">
        <v>49</v>
      </c>
      <c r="AD1763" s="20" t="s">
        <v>49</v>
      </c>
      <c r="AE1763" s="36"/>
      <c r="AF1763" s="25"/>
      <c r="AG1763" s="36"/>
      <c r="AH1763" s="25">
        <v>45807</v>
      </c>
      <c r="AI1763" s="36" t="str">
        <f>IF(DadosViagem5[[#This Row],[Dias em manutenção ]]&lt;5,"Dentro do Prazo","Fora do Prazo")</f>
        <v>Fora do Prazo</v>
      </c>
      <c r="AJ1763" s="36" t="e">
        <v>#REF!</v>
      </c>
    </row>
    <row r="1764" spans="1:36">
      <c r="A1764" s="19" t="s">
        <v>2928</v>
      </c>
      <c r="B1764" s="20"/>
      <c r="C1764" s="19"/>
      <c r="D1764" s="19"/>
      <c r="E1764" s="19"/>
      <c r="F1764" s="19"/>
      <c r="G1764" s="19"/>
      <c r="H1764" s="19"/>
      <c r="I1764" s="37"/>
      <c r="J1764" s="37"/>
      <c r="K1764" s="37" t="s">
        <v>2914</v>
      </c>
      <c r="L1764" s="39" t="s">
        <v>2906</v>
      </c>
      <c r="M1764" s="23" t="s">
        <v>2847</v>
      </c>
      <c r="N1764" s="24" t="s">
        <v>2915</v>
      </c>
      <c r="O1764" s="24" t="s">
        <v>2915</v>
      </c>
      <c r="P1764" s="26" t="str">
        <f>IFERROR(VLOOKUP(DadosViagem5[[#This Row],[Placa]],[1]BIP!A:E,5,FALSE),"")</f>
        <v/>
      </c>
      <c r="Q1764" s="27" t="e">
        <f ca="1">DATEDIF(DadosViagem5[[#This Row],[BIP]],TODAY(),"D")</f>
        <v>#VALUE!</v>
      </c>
      <c r="R1764" s="28" t="str">
        <f>IFERROR(VLOOKUP(DadosViagem5[[#This Row],[Placa]],[1]DDS!B:C,2,FALSE),"Verificar cadastro")</f>
        <v> </v>
      </c>
      <c r="S1764" s="29" t="s">
        <v>48</v>
      </c>
      <c r="T1764" s="23"/>
      <c r="U1764" s="30"/>
      <c r="V1764" s="31"/>
      <c r="W1764" s="32" t="s">
        <v>384</v>
      </c>
      <c r="X1764" s="33"/>
      <c r="Y1764" s="34"/>
      <c r="Z1764" s="32"/>
      <c r="AA1764" s="20" t="s">
        <v>49</v>
      </c>
      <c r="AB1764" s="20" t="s">
        <v>49</v>
      </c>
      <c r="AC1764" s="20" t="s">
        <v>49</v>
      </c>
      <c r="AD1764" s="20" t="s">
        <v>49</v>
      </c>
      <c r="AE1764" s="36"/>
      <c r="AF1764" s="25"/>
      <c r="AG1764" s="36"/>
      <c r="AH1764" s="25">
        <v>45807</v>
      </c>
      <c r="AI1764" s="36" t="str">
        <f>IF(DadosViagem5[[#This Row],[Dias em manutenção ]]&lt;5,"Dentro do Prazo","Fora do Prazo")</f>
        <v>Fora do Prazo</v>
      </c>
      <c r="AJ1764" s="36" t="e">
        <v>#REF!</v>
      </c>
    </row>
    <row r="1765" spans="1:36">
      <c r="A1765" s="19" t="s">
        <v>2929</v>
      </c>
      <c r="B1765" s="20"/>
      <c r="C1765" s="19"/>
      <c r="D1765" s="19"/>
      <c r="E1765" s="19"/>
      <c r="F1765" s="19"/>
      <c r="G1765" s="19"/>
      <c r="H1765" s="19"/>
      <c r="I1765" s="37"/>
      <c r="J1765" s="37"/>
      <c r="K1765" s="37" t="s">
        <v>2914</v>
      </c>
      <c r="L1765" s="39" t="s">
        <v>2906</v>
      </c>
      <c r="M1765" s="23" t="s">
        <v>2847</v>
      </c>
      <c r="N1765" s="24" t="s">
        <v>2915</v>
      </c>
      <c r="O1765" s="24" t="s">
        <v>2915</v>
      </c>
      <c r="P1765" s="26" t="str">
        <f>IFERROR(VLOOKUP(DadosViagem5[[#This Row],[Placa]],[1]BIP!A:E,5,FALSE),"")</f>
        <v/>
      </c>
      <c r="Q1765" s="27" t="e">
        <f ca="1">DATEDIF(DadosViagem5[[#This Row],[BIP]],TODAY(),"D")</f>
        <v>#VALUE!</v>
      </c>
      <c r="R1765" s="28" t="str">
        <f>IFERROR(VLOOKUP(DadosViagem5[[#This Row],[Placa]],[1]DDS!B:C,2,FALSE),"Verificar cadastro")</f>
        <v> </v>
      </c>
      <c r="S1765" s="29" t="s">
        <v>48</v>
      </c>
      <c r="T1765" s="23"/>
      <c r="U1765" s="30"/>
      <c r="V1765" s="31"/>
      <c r="W1765" s="32" t="s">
        <v>384</v>
      </c>
      <c r="X1765" s="33"/>
      <c r="Y1765" s="34"/>
      <c r="Z1765" s="32"/>
      <c r="AA1765" s="20" t="s">
        <v>49</v>
      </c>
      <c r="AB1765" s="20" t="s">
        <v>49</v>
      </c>
      <c r="AC1765" s="20" t="s">
        <v>49</v>
      </c>
      <c r="AD1765" s="20" t="s">
        <v>49</v>
      </c>
      <c r="AE1765" s="36"/>
      <c r="AF1765" s="25"/>
      <c r="AG1765" s="36"/>
      <c r="AH1765" s="25">
        <v>45807</v>
      </c>
      <c r="AI1765" s="36" t="str">
        <f>IF(DadosViagem5[[#This Row],[Dias em manutenção ]]&lt;5,"Dentro do Prazo","Fora do Prazo")</f>
        <v>Fora do Prazo</v>
      </c>
      <c r="AJ1765" s="36" t="e">
        <v>#REF!</v>
      </c>
    </row>
    <row r="1766" spans="1:36">
      <c r="A1766" s="19" t="s">
        <v>2930</v>
      </c>
      <c r="B1766" s="20"/>
      <c r="C1766" s="19"/>
      <c r="D1766" s="19"/>
      <c r="E1766" s="19"/>
      <c r="F1766" s="19"/>
      <c r="G1766" s="19"/>
      <c r="H1766" s="19"/>
      <c r="I1766" s="37"/>
      <c r="J1766" s="37"/>
      <c r="K1766" s="37" t="s">
        <v>2914</v>
      </c>
      <c r="L1766" s="39" t="s">
        <v>2906</v>
      </c>
      <c r="M1766" s="23" t="s">
        <v>2847</v>
      </c>
      <c r="N1766" s="36" t="s">
        <v>2915</v>
      </c>
      <c r="O1766" s="24" t="s">
        <v>2915</v>
      </c>
      <c r="P1766" s="26">
        <f ca="1">IFERROR(VLOOKUP(DadosViagem5[[#This Row],[Placa]],[1]BIP!A:E,5,FALSE),"")</f>
        <v>0</v>
      </c>
      <c r="Q1766" s="27">
        <f ca="1">DATEDIF(DadosViagem5[[#This Row],[BIP]],TODAY(),"D")</f>
        <v>45990</v>
      </c>
      <c r="R1766" s="28" t="str">
        <f>IFERROR(VLOOKUP(DadosViagem5[[#This Row],[Placa]],[1]DDS!B:C,2,FALSE),"Verificar cadastro")</f>
        <v> </v>
      </c>
      <c r="S1766" s="29" t="s">
        <v>48</v>
      </c>
      <c r="T1766" s="23"/>
      <c r="U1766" s="30"/>
      <c r="V1766" s="31"/>
      <c r="W1766" s="32" t="s">
        <v>384</v>
      </c>
      <c r="X1766" s="33"/>
      <c r="Y1766" s="34"/>
      <c r="Z1766" s="32"/>
      <c r="AA1766" s="20" t="s">
        <v>49</v>
      </c>
      <c r="AB1766" s="20" t="s">
        <v>49</v>
      </c>
      <c r="AC1766" s="20" t="s">
        <v>49</v>
      </c>
      <c r="AD1766" s="20" t="s">
        <v>49</v>
      </c>
      <c r="AE1766" s="36"/>
      <c r="AF1766" s="25"/>
      <c r="AG1766" s="36"/>
      <c r="AH1766" s="25">
        <v>45807</v>
      </c>
      <c r="AI1766" s="36" t="str">
        <f>IF(DadosViagem5[[#This Row],[Dias em manutenção ]]&lt;5,"Dentro do Prazo","Fora do Prazo")</f>
        <v>Fora do Prazo</v>
      </c>
      <c r="AJ1766" s="36" t="e">
        <v>#REF!</v>
      </c>
    </row>
    <row r="1767" spans="1:36">
      <c r="A1767" s="19" t="s">
        <v>2931</v>
      </c>
      <c r="B1767" s="20"/>
      <c r="C1767" s="19"/>
      <c r="D1767" s="19"/>
      <c r="E1767" s="19"/>
      <c r="F1767" s="19"/>
      <c r="G1767" s="19"/>
      <c r="H1767" s="19"/>
      <c r="I1767" s="37"/>
      <c r="J1767" s="37"/>
      <c r="K1767" s="189" t="s">
        <v>2914</v>
      </c>
      <c r="L1767" s="22" t="s">
        <v>2906</v>
      </c>
      <c r="M1767" s="23" t="s">
        <v>2847</v>
      </c>
      <c r="N1767" s="36" t="s">
        <v>2915</v>
      </c>
      <c r="O1767" s="36" t="s">
        <v>2915</v>
      </c>
      <c r="P1767" s="26">
        <f ca="1">IFERROR(VLOOKUP(DadosViagem5[[#This Row],[Placa]],[1]BIP!A:E,5,FALSE),"")</f>
        <v>0</v>
      </c>
      <c r="Q1767" s="27">
        <f ca="1">DATEDIF(DadosViagem5[[#This Row],[BIP]],TODAY(),"D")</f>
        <v>45990</v>
      </c>
      <c r="R1767" s="28" t="str">
        <f>IFERROR(VLOOKUP(DadosViagem5[[#This Row],[Placa]],[1]DDS!B:C,2,FALSE),"Verificar cadastro")</f>
        <v> </v>
      </c>
      <c r="S1767" s="29" t="s">
        <v>48</v>
      </c>
      <c r="T1767" s="23"/>
      <c r="U1767" s="30"/>
      <c r="V1767" s="31"/>
      <c r="W1767" s="32" t="s">
        <v>384</v>
      </c>
      <c r="X1767" s="33"/>
      <c r="Y1767" s="34"/>
      <c r="Z1767" s="32"/>
      <c r="AA1767" s="20" t="s">
        <v>49</v>
      </c>
      <c r="AB1767" s="20" t="s">
        <v>49</v>
      </c>
      <c r="AC1767" s="20" t="s">
        <v>49</v>
      </c>
      <c r="AD1767" s="20" t="s">
        <v>49</v>
      </c>
      <c r="AE1767" s="36"/>
      <c r="AF1767" s="25"/>
      <c r="AG1767" s="36"/>
      <c r="AH1767" s="25">
        <v>45807</v>
      </c>
      <c r="AI1767" s="36" t="str">
        <f>IF(DadosViagem5[[#This Row],[Dias em manutenção ]]&lt;5,"Dentro do Prazo","Fora do Prazo")</f>
        <v>Fora do Prazo</v>
      </c>
      <c r="AJ1767" s="36" t="e">
        <v>#REF!</v>
      </c>
    </row>
    <row r="1768" spans="1:36">
      <c r="A1768" s="19" t="s">
        <v>2932</v>
      </c>
      <c r="B1768" s="20"/>
      <c r="C1768" s="19"/>
      <c r="D1768" s="19"/>
      <c r="E1768" s="19"/>
      <c r="F1768" s="19"/>
      <c r="G1768" s="19"/>
      <c r="H1768" s="19"/>
      <c r="I1768" s="19"/>
      <c r="J1768" s="37"/>
      <c r="K1768" s="37" t="s">
        <v>2914</v>
      </c>
      <c r="L1768" s="39" t="s">
        <v>2906</v>
      </c>
      <c r="M1768" s="23" t="s">
        <v>2847</v>
      </c>
      <c r="N1768" s="24" t="s">
        <v>2915</v>
      </c>
      <c r="O1768" s="24" t="s">
        <v>2915</v>
      </c>
      <c r="P1768" s="26">
        <f ca="1">IFERROR(VLOOKUP(DadosViagem5[[#This Row],[Placa]],[1]BIP!A:E,5,FALSE),"")</f>
        <v>0</v>
      </c>
      <c r="Q1768" s="27">
        <f ca="1">DATEDIF(DadosViagem5[[#This Row],[BIP]],TODAY(),"D")</f>
        <v>45990</v>
      </c>
      <c r="R1768" s="28" t="str">
        <f>IFERROR(VLOOKUP(DadosViagem5[[#This Row],[Placa]],[1]DDS!B:C,2,FALSE),"Verificar cadastro")</f>
        <v> </v>
      </c>
      <c r="S1768" s="29" t="s">
        <v>48</v>
      </c>
      <c r="T1768" s="23"/>
      <c r="U1768" s="30"/>
      <c r="V1768" s="31"/>
      <c r="W1768" s="32" t="s">
        <v>384</v>
      </c>
      <c r="X1768" s="33"/>
      <c r="Y1768" s="34"/>
      <c r="Z1768" s="32"/>
      <c r="AA1768" s="20" t="s">
        <v>49</v>
      </c>
      <c r="AB1768" s="20" t="s">
        <v>49</v>
      </c>
      <c r="AC1768" s="20" t="s">
        <v>49</v>
      </c>
      <c r="AD1768" s="20" t="s">
        <v>49</v>
      </c>
      <c r="AE1768" s="36"/>
      <c r="AF1768" s="25"/>
      <c r="AG1768" s="36"/>
      <c r="AH1768" s="25">
        <v>45807</v>
      </c>
      <c r="AI1768" s="36" t="str">
        <f>IF(DadosViagem5[[#This Row],[Dias em manutenção ]]&lt;5,"Dentro do Prazo","Fora do Prazo")</f>
        <v>Fora do Prazo</v>
      </c>
      <c r="AJ1768" s="36" t="e">
        <v>#REF!</v>
      </c>
    </row>
    <row r="1769" spans="1:36">
      <c r="A1769" s="19" t="s">
        <v>2933</v>
      </c>
      <c r="B1769" s="20"/>
      <c r="C1769" s="19" t="s">
        <v>299</v>
      </c>
      <c r="D1769" s="19" t="s">
        <v>300</v>
      </c>
      <c r="E1769" s="19" t="s">
        <v>53</v>
      </c>
      <c r="F1769" s="19" t="s">
        <v>396</v>
      </c>
      <c r="G1769" s="19"/>
      <c r="H1769" s="20">
        <v>2022</v>
      </c>
      <c r="I1769" s="37" t="e">
        <v>#N/A</v>
      </c>
      <c r="J1769" s="37" t="e">
        <v>#N/A</v>
      </c>
      <c r="K1769" s="38" t="s">
        <v>2934</v>
      </c>
      <c r="L1769" s="39" t="s">
        <v>2906</v>
      </c>
      <c r="M1769" s="23" t="s">
        <v>2847</v>
      </c>
      <c r="N1769" s="24" t="s">
        <v>2915</v>
      </c>
      <c r="O1769" s="24" t="s">
        <v>2915</v>
      </c>
      <c r="P1769" s="26">
        <f ca="1">IFERROR(VLOOKUP(DadosViagem5[[#This Row],[Placa]],[1]BIP!A:E,5,FALSE),"")</f>
        <v>0</v>
      </c>
      <c r="Q1769" s="27">
        <f ca="1">DATEDIF(DadosViagem5[[#This Row],[BIP]],TODAY(),"D")</f>
        <v>45990</v>
      </c>
      <c r="R1769" s="28" t="str">
        <f>IFERROR(VLOOKUP(DadosViagem5[[#This Row],[Placa]],[1]DDS!B:C,2,FALSE),"Verificar cadastro")</f>
        <v> </v>
      </c>
      <c r="S1769" s="29" t="s">
        <v>48</v>
      </c>
      <c r="T1769" s="23"/>
      <c r="U1769" s="30"/>
      <c r="V1769" s="31"/>
      <c r="W1769" s="32" t="s">
        <v>384</v>
      </c>
      <c r="X1769" s="33" t="s">
        <v>55</v>
      </c>
      <c r="Y1769" s="34" t="s">
        <v>49</v>
      </c>
      <c r="Z1769" s="32"/>
      <c r="AA1769" s="20" t="s">
        <v>49</v>
      </c>
      <c r="AB1769" s="20" t="s">
        <v>49</v>
      </c>
      <c r="AC1769" s="19" t="s">
        <v>49</v>
      </c>
      <c r="AD1769" s="19" t="str">
        <f ca="1">IFERROR(DATEDIF(DadosViagem5[[#This Row],[Utimo Bip Reserva]],TODAY(),"D"),"")</f>
        <v/>
      </c>
      <c r="AE1769" s="25" t="s">
        <v>49</v>
      </c>
      <c r="AF1769" s="25" t="s">
        <v>49</v>
      </c>
      <c r="AG1769" s="36"/>
      <c r="AH1769" s="25">
        <v>45807</v>
      </c>
      <c r="AI1769" s="36" t="str">
        <f>IF(DadosViagem5[[#This Row],[Dias em manutenção ]]&lt;5,"Dentro do Prazo","Fora do Prazo")</f>
        <v>Fora do Prazo</v>
      </c>
      <c r="AJ1769" s="36" t="e">
        <v>#REF!</v>
      </c>
    </row>
    <row r="1770" spans="1:36">
      <c r="A1770" s="19" t="s">
        <v>2935</v>
      </c>
      <c r="B1770" s="20"/>
      <c r="C1770" s="37" t="s">
        <v>299</v>
      </c>
      <c r="D1770" s="37" t="s">
        <v>300</v>
      </c>
      <c r="E1770" s="37" t="s">
        <v>53</v>
      </c>
      <c r="F1770" s="19" t="s">
        <v>396</v>
      </c>
      <c r="G1770" s="19"/>
      <c r="H1770" s="20">
        <v>2022</v>
      </c>
      <c r="I1770" s="37" t="e">
        <v>#N/A</v>
      </c>
      <c r="J1770" s="37" t="e">
        <v>#N/A</v>
      </c>
      <c r="K1770" s="38" t="s">
        <v>2934</v>
      </c>
      <c r="L1770" s="39" t="s">
        <v>2906</v>
      </c>
      <c r="M1770" s="23" t="s">
        <v>2847</v>
      </c>
      <c r="N1770" s="24" t="s">
        <v>2915</v>
      </c>
      <c r="O1770" s="24" t="s">
        <v>1152</v>
      </c>
      <c r="P1770" s="26">
        <f ca="1">IFERROR(VLOOKUP(DadosViagem5[[#This Row],[Placa]],[1]BIP!A:E,5,FALSE),"")</f>
        <v>0</v>
      </c>
      <c r="Q1770" s="27">
        <f ca="1">DATEDIF(DadosViagem5[[#This Row],[BIP]],TODAY(),"D")</f>
        <v>45990</v>
      </c>
      <c r="R1770" s="28" t="str">
        <f>IFERROR(VLOOKUP(DadosViagem5[[#This Row],[Placa]],[1]DDS!B:C,2,FALSE),"Verificar cadastro")</f>
        <v> </v>
      </c>
      <c r="S1770" s="29" t="s">
        <v>48</v>
      </c>
      <c r="T1770" s="23"/>
      <c r="U1770" s="30"/>
      <c r="V1770" s="31"/>
      <c r="W1770" s="32" t="s">
        <v>384</v>
      </c>
      <c r="X1770" s="33"/>
      <c r="Y1770" s="34"/>
      <c r="Z1770" s="32"/>
      <c r="AA1770" s="20" t="s">
        <v>49</v>
      </c>
      <c r="AB1770" s="20" t="s">
        <v>49</v>
      </c>
      <c r="AC1770" s="19" t="s">
        <v>49</v>
      </c>
      <c r="AD1770" s="19" t="str">
        <f ca="1">IFERROR(DATEDIF(DadosViagem5[[#This Row],[Utimo Bip Reserva]],TODAY(),"D"),"")</f>
        <v/>
      </c>
      <c r="AE1770" s="25" t="s">
        <v>49</v>
      </c>
      <c r="AF1770" s="25" t="s">
        <v>49</v>
      </c>
      <c r="AG1770" s="36"/>
      <c r="AH1770" s="25">
        <v>45807</v>
      </c>
      <c r="AI1770" s="36" t="str">
        <f>IF(DadosViagem5[[#This Row],[Dias em manutenção ]]&lt;5,"Dentro do Prazo","Fora do Prazo")</f>
        <v>Fora do Prazo</v>
      </c>
      <c r="AJ1770" s="36" t="e">
        <v>#REF!</v>
      </c>
    </row>
    <row r="1771" spans="1:36">
      <c r="A1771" s="19" t="s">
        <v>2936</v>
      </c>
      <c r="B1771" s="20"/>
      <c r="C1771" s="37" t="s">
        <v>2937</v>
      </c>
      <c r="D1771" s="37" t="s">
        <v>264</v>
      </c>
      <c r="E1771" s="37" t="s">
        <v>53</v>
      </c>
      <c r="F1771" s="37" t="s">
        <v>396</v>
      </c>
      <c r="G1771" s="19"/>
      <c r="H1771" s="20">
        <v>2022</v>
      </c>
      <c r="I1771" s="37" t="e">
        <v>#N/A</v>
      </c>
      <c r="J1771" s="37" t="e">
        <v>#N/A</v>
      </c>
      <c r="K1771" s="38" t="s">
        <v>2934</v>
      </c>
      <c r="L1771" s="39" t="s">
        <v>2906</v>
      </c>
      <c r="M1771" s="23" t="s">
        <v>2847</v>
      </c>
      <c r="N1771" s="24" t="s">
        <v>2915</v>
      </c>
      <c r="O1771" s="41" t="s">
        <v>2938</v>
      </c>
      <c r="P1771" s="26">
        <f ca="1">IFERROR(VLOOKUP(DadosViagem5[[#This Row],[Placa]],[1]BIP!A:E,5,FALSE),"")</f>
        <v>0</v>
      </c>
      <c r="Q1771" s="27">
        <f ca="1">DATEDIF(DadosViagem5[[#This Row],[BIP]],TODAY(),"D")</f>
        <v>45990</v>
      </c>
      <c r="R1771" s="28" t="str">
        <f>IFERROR(VLOOKUP(DadosViagem5[[#This Row],[Placa]],[1]DDS!B:C,2,FALSE),"Verificar cadastro")</f>
        <v> </v>
      </c>
      <c r="S1771" s="29" t="s">
        <v>48</v>
      </c>
      <c r="T1771" s="23"/>
      <c r="U1771" s="30"/>
      <c r="V1771" s="31"/>
      <c r="W1771" s="32" t="s">
        <v>384</v>
      </c>
      <c r="X1771" s="33"/>
      <c r="Y1771" s="34"/>
      <c r="Z1771" s="32"/>
      <c r="AA1771" s="20" t="s">
        <v>49</v>
      </c>
      <c r="AB1771" s="20" t="s">
        <v>49</v>
      </c>
      <c r="AC1771" s="19" t="s">
        <v>49</v>
      </c>
      <c r="AD1771" s="19" t="str">
        <f ca="1">IFERROR(DATEDIF(DadosViagem5[[#This Row],[Utimo Bip Reserva]],TODAY(),"D"),"")</f>
        <v/>
      </c>
      <c r="AE1771" s="36" t="s">
        <v>49</v>
      </c>
      <c r="AF1771" s="25" t="s">
        <v>49</v>
      </c>
      <c r="AG1771" s="36"/>
      <c r="AH1771" s="25">
        <v>45807</v>
      </c>
      <c r="AI1771" s="36" t="str">
        <f>IF(DadosViagem5[[#This Row],[Dias em manutenção ]]&lt;5,"Dentro do Prazo","Fora do Prazo")</f>
        <v>Fora do Prazo</v>
      </c>
      <c r="AJ1771" s="36" t="e">
        <v>#REF!</v>
      </c>
    </row>
    <row r="1772" spans="1:36">
      <c r="A1772" s="19" t="s">
        <v>2939</v>
      </c>
      <c r="B1772" s="20"/>
      <c r="C1772" s="37" t="s">
        <v>2940</v>
      </c>
      <c r="D1772" s="37" t="s">
        <v>264</v>
      </c>
      <c r="E1772" s="37" t="s">
        <v>265</v>
      </c>
      <c r="F1772" s="19" t="s">
        <v>2941</v>
      </c>
      <c r="G1772" s="19"/>
      <c r="H1772" s="20">
        <v>2022</v>
      </c>
      <c r="I1772" s="37" t="e">
        <v>#N/A</v>
      </c>
      <c r="J1772" s="37" t="e">
        <v>#N/A</v>
      </c>
      <c r="K1772" s="38" t="s">
        <v>2934</v>
      </c>
      <c r="L1772" s="39" t="s">
        <v>2906</v>
      </c>
      <c r="M1772" s="23" t="s">
        <v>2847</v>
      </c>
      <c r="N1772" s="24" t="s">
        <v>2915</v>
      </c>
      <c r="O1772" s="41" t="s">
        <v>2938</v>
      </c>
      <c r="P1772" s="26">
        <f ca="1">IFERROR(VLOOKUP(DadosViagem5[[#This Row],[Placa]],[1]BIP!A:E,5,FALSE),"")</f>
        <v>0</v>
      </c>
      <c r="Q1772" s="27">
        <f ca="1">DATEDIF(DadosViagem5[[#This Row],[BIP]],TODAY(),"D")</f>
        <v>45990</v>
      </c>
      <c r="R1772" s="28" t="str">
        <f>IFERROR(VLOOKUP(DadosViagem5[[#This Row],[Placa]],[1]DDS!B:C,2,FALSE),"Verificar cadastro")</f>
        <v> </v>
      </c>
      <c r="S1772" s="29" t="s">
        <v>48</v>
      </c>
      <c r="T1772" s="23"/>
      <c r="U1772" s="30"/>
      <c r="V1772" s="31"/>
      <c r="W1772" s="32" t="s">
        <v>384</v>
      </c>
      <c r="X1772" s="33"/>
      <c r="Y1772" s="34"/>
      <c r="Z1772" s="32"/>
      <c r="AA1772" s="20" t="s">
        <v>49</v>
      </c>
      <c r="AB1772" s="20" t="s">
        <v>49</v>
      </c>
      <c r="AC1772" s="19" t="s">
        <v>49</v>
      </c>
      <c r="AD1772" s="19" t="str">
        <f ca="1">IFERROR(DATEDIF(DadosViagem5[[#This Row],[Utimo Bip Reserva]],TODAY(),"D"),"")</f>
        <v/>
      </c>
      <c r="AE1772" s="36" t="s">
        <v>49</v>
      </c>
      <c r="AF1772" s="25" t="s">
        <v>49</v>
      </c>
      <c r="AG1772" s="36"/>
      <c r="AH1772" s="25">
        <v>45807</v>
      </c>
      <c r="AI1772" s="36" t="str">
        <f>IF(DadosViagem5[[#This Row],[Dias em manutenção ]]&lt;5,"Dentro do Prazo","Fora do Prazo")</f>
        <v>Fora do Prazo</v>
      </c>
      <c r="AJ1772" s="36" t="e">
        <v>#REF!</v>
      </c>
    </row>
    <row r="1773" spans="1:36">
      <c r="A1773" s="19" t="s">
        <v>2942</v>
      </c>
      <c r="B1773" s="20"/>
      <c r="C1773" s="37" t="s">
        <v>2940</v>
      </c>
      <c r="D1773" s="37" t="s">
        <v>264</v>
      </c>
      <c r="E1773" s="37" t="s">
        <v>265</v>
      </c>
      <c r="F1773" s="19" t="s">
        <v>2941</v>
      </c>
      <c r="G1773" s="19"/>
      <c r="H1773" s="20">
        <v>2022</v>
      </c>
      <c r="I1773" s="37" t="e">
        <v>#N/A</v>
      </c>
      <c r="J1773" s="37" t="e">
        <v>#N/A</v>
      </c>
      <c r="K1773" s="38" t="s">
        <v>2934</v>
      </c>
      <c r="L1773" s="22" t="s">
        <v>2906</v>
      </c>
      <c r="M1773" s="23" t="s">
        <v>2847</v>
      </c>
      <c r="N1773" s="24" t="s">
        <v>2915</v>
      </c>
      <c r="O1773" s="41" t="s">
        <v>2938</v>
      </c>
      <c r="P1773" s="26">
        <f ca="1">IFERROR(VLOOKUP(DadosViagem5[[#This Row],[Placa]],[1]BIP!A:E,5,FALSE),"")</f>
        <v>0</v>
      </c>
      <c r="Q1773" s="27">
        <f ca="1">DATEDIF(DadosViagem5[[#This Row],[BIP]],TODAY(),"D")</f>
        <v>45990</v>
      </c>
      <c r="R1773" s="28" t="str">
        <f>IFERROR(VLOOKUP(DadosViagem5[[#This Row],[Placa]],[1]DDS!B:C,2,FALSE),"Verificar cadastro")</f>
        <v> </v>
      </c>
      <c r="S1773" s="29" t="s">
        <v>48</v>
      </c>
      <c r="T1773" s="23"/>
      <c r="U1773" s="30"/>
      <c r="V1773" s="31"/>
      <c r="W1773" s="32" t="s">
        <v>384</v>
      </c>
      <c r="X1773" s="33"/>
      <c r="Y1773" s="34"/>
      <c r="Z1773" s="32"/>
      <c r="AA1773" s="20" t="s">
        <v>49</v>
      </c>
      <c r="AB1773" s="20" t="s">
        <v>49</v>
      </c>
      <c r="AC1773" s="19" t="s">
        <v>49</v>
      </c>
      <c r="AD1773" s="19" t="str">
        <f ca="1">IFERROR(DATEDIF(DadosViagem5[[#This Row],[Utimo Bip Reserva]],TODAY(),"D"),"")</f>
        <v/>
      </c>
      <c r="AE1773" s="29"/>
      <c r="AF1773" s="35"/>
      <c r="AG1773" s="36"/>
      <c r="AH1773" s="25">
        <v>45807</v>
      </c>
      <c r="AI1773" s="36" t="str">
        <f>IF(DadosViagem5[[#This Row],[Dias em manutenção ]]&lt;5,"Dentro do Prazo","Fora do Prazo")</f>
        <v>Fora do Prazo</v>
      </c>
      <c r="AJ1773" s="36" t="e">
        <v>#REF!</v>
      </c>
    </row>
    <row r="1774" spans="1:36">
      <c r="A1774" s="19" t="s">
        <v>2943</v>
      </c>
      <c r="B1774" s="20"/>
      <c r="C1774" s="37" t="s">
        <v>2940</v>
      </c>
      <c r="D1774" s="19" t="s">
        <v>264</v>
      </c>
      <c r="E1774" s="19" t="s">
        <v>265</v>
      </c>
      <c r="F1774" s="19" t="s">
        <v>396</v>
      </c>
      <c r="G1774" s="19"/>
      <c r="H1774" s="20">
        <v>2022</v>
      </c>
      <c r="I1774" s="19" t="e">
        <v>#N/A</v>
      </c>
      <c r="J1774" s="37" t="e">
        <v>#N/A</v>
      </c>
      <c r="K1774" s="38" t="s">
        <v>2934</v>
      </c>
      <c r="L1774" s="39" t="s">
        <v>2906</v>
      </c>
      <c r="M1774" s="23" t="s">
        <v>2847</v>
      </c>
      <c r="N1774" s="24" t="s">
        <v>2915</v>
      </c>
      <c r="O1774" s="41" t="s">
        <v>2938</v>
      </c>
      <c r="P1774" s="26">
        <f ca="1">IFERROR(VLOOKUP(DadosViagem5[[#This Row],[Placa]],[1]BIP!A:E,5,FALSE),"")</f>
        <v>0</v>
      </c>
      <c r="Q1774" s="27">
        <f ca="1">DATEDIF(DadosViagem5[[#This Row],[BIP]],TODAY(),"D")</f>
        <v>45990</v>
      </c>
      <c r="R1774" s="28" t="str">
        <f>IFERROR(VLOOKUP(DadosViagem5[[#This Row],[Placa]],[1]DDS!B:C,2,FALSE),"Verificar cadastro")</f>
        <v> </v>
      </c>
      <c r="S1774" s="29" t="s">
        <v>48</v>
      </c>
      <c r="T1774" s="23"/>
      <c r="U1774" s="30"/>
      <c r="V1774" s="31"/>
      <c r="W1774" s="32" t="s">
        <v>384</v>
      </c>
      <c r="X1774" s="33"/>
      <c r="Y1774" s="34"/>
      <c r="Z1774" s="32"/>
      <c r="AA1774" s="20" t="s">
        <v>49</v>
      </c>
      <c r="AB1774" s="20" t="s">
        <v>49</v>
      </c>
      <c r="AC1774" s="19" t="s">
        <v>49</v>
      </c>
      <c r="AD1774" s="19" t="str">
        <f ca="1">IFERROR(DATEDIF(DadosViagem5[[#This Row],[Utimo Bip Reserva]],TODAY(),"D"),"")</f>
        <v/>
      </c>
      <c r="AE1774" s="25" t="s">
        <v>49</v>
      </c>
      <c r="AF1774" s="25" t="s">
        <v>49</v>
      </c>
      <c r="AG1774" s="36"/>
      <c r="AH1774" s="25">
        <v>45807</v>
      </c>
      <c r="AI1774" s="36" t="str">
        <f>IF(DadosViagem5[[#This Row],[Dias em manutenção ]]&lt;5,"Dentro do Prazo","Fora do Prazo")</f>
        <v>Fora do Prazo</v>
      </c>
      <c r="AJ1774" s="36" t="e">
        <v>#REF!</v>
      </c>
    </row>
    <row r="1775" spans="1:36">
      <c r="A1775" s="19" t="s">
        <v>2944</v>
      </c>
      <c r="B1775" s="20"/>
      <c r="C1775" s="37" t="s">
        <v>2940</v>
      </c>
      <c r="D1775" s="19" t="s">
        <v>264</v>
      </c>
      <c r="E1775" s="19" t="s">
        <v>265</v>
      </c>
      <c r="F1775" s="19" t="s">
        <v>2941</v>
      </c>
      <c r="G1775" s="19"/>
      <c r="H1775" s="20">
        <v>2022</v>
      </c>
      <c r="I1775" s="19" t="e">
        <v>#N/A</v>
      </c>
      <c r="J1775" s="19" t="e">
        <v>#N/A</v>
      </c>
      <c r="K1775" s="38" t="s">
        <v>2934</v>
      </c>
      <c r="L1775" s="22" t="s">
        <v>2906</v>
      </c>
      <c r="M1775" s="23" t="s">
        <v>2847</v>
      </c>
      <c r="N1775" s="24" t="s">
        <v>2915</v>
      </c>
      <c r="O1775" s="41" t="s">
        <v>2938</v>
      </c>
      <c r="P1775" s="26">
        <f ca="1">IFERROR(VLOOKUP(DadosViagem5[[#This Row],[Placa]],[1]BIP!A:E,5,FALSE),"")</f>
        <v>0</v>
      </c>
      <c r="Q1775" s="27">
        <f ca="1">DATEDIF(DadosViagem5[[#This Row],[BIP]],TODAY(),"D")</f>
        <v>45990</v>
      </c>
      <c r="R1775" s="28" t="str">
        <f>IFERROR(VLOOKUP(DadosViagem5[[#This Row],[Placa]],[1]DDS!B:C,2,FALSE),"Verificar cadastro")</f>
        <v> </v>
      </c>
      <c r="S1775" s="29" t="s">
        <v>48</v>
      </c>
      <c r="T1775" s="23"/>
      <c r="U1775" s="30"/>
      <c r="V1775" s="31"/>
      <c r="W1775" s="32" t="s">
        <v>384</v>
      </c>
      <c r="X1775" s="33"/>
      <c r="Y1775" s="34"/>
      <c r="Z1775" s="32"/>
      <c r="AA1775" s="20" t="s">
        <v>49</v>
      </c>
      <c r="AB1775" s="20" t="s">
        <v>49</v>
      </c>
      <c r="AC1775" s="19" t="s">
        <v>49</v>
      </c>
      <c r="AD1775" s="19" t="str">
        <f ca="1">IFERROR(DATEDIF(DadosViagem5[[#This Row],[Utimo Bip Reserva]],TODAY(),"D"),"")</f>
        <v/>
      </c>
      <c r="AE1775" s="25" t="s">
        <v>49</v>
      </c>
      <c r="AF1775" s="25" t="s">
        <v>49</v>
      </c>
      <c r="AG1775" s="36"/>
      <c r="AH1775" s="25">
        <v>45807</v>
      </c>
      <c r="AI1775" s="36" t="str">
        <f>IF(DadosViagem5[[#This Row],[Dias em manutenção ]]&lt;5,"Dentro do Prazo","Fora do Prazo")</f>
        <v>Fora do Prazo</v>
      </c>
      <c r="AJ1775" s="36" t="e">
        <v>#REF!</v>
      </c>
    </row>
    <row r="1776" spans="1:36">
      <c r="A1776" s="19" t="s">
        <v>2945</v>
      </c>
      <c r="B1776" s="20"/>
      <c r="C1776" s="19" t="s">
        <v>2946</v>
      </c>
      <c r="D1776" s="19" t="s">
        <v>300</v>
      </c>
      <c r="E1776" s="19" t="s">
        <v>53</v>
      </c>
      <c r="F1776" s="19"/>
      <c r="G1776" s="19"/>
      <c r="H1776" s="20">
        <v>2024</v>
      </c>
      <c r="I1776" s="19" t="s">
        <v>1183</v>
      </c>
      <c r="J1776" s="19" t="e">
        <v>#N/A</v>
      </c>
      <c r="K1776" s="110" t="s">
        <v>2947</v>
      </c>
      <c r="L1776" s="22" t="s">
        <v>2906</v>
      </c>
      <c r="M1776" s="23" t="s">
        <v>2847</v>
      </c>
      <c r="N1776" s="24" t="s">
        <v>2948</v>
      </c>
      <c r="O1776" s="24" t="s">
        <v>2948</v>
      </c>
      <c r="P1776" s="26">
        <f ca="1">IFERROR(VLOOKUP(DadosViagem5[[#This Row],[Placa]],[1]BIP!A:E,5,FALSE),"")</f>
        <v>0</v>
      </c>
      <c r="Q1776" s="27">
        <f ca="1">DATEDIF(DadosViagem5[[#This Row],[BIP]],TODAY(),"D")</f>
        <v>45990</v>
      </c>
      <c r="R1776" s="28" t="str">
        <f>IFERROR(VLOOKUP(DadosViagem5[[#This Row],[Placa]],[1]DDS!B:C,2,FALSE),"Verificar cadastro")</f>
        <v>Verificar cadastro</v>
      </c>
      <c r="S1776" s="29" t="s">
        <v>48</v>
      </c>
      <c r="T1776" s="23"/>
      <c r="U1776" s="30"/>
      <c r="V1776" s="31"/>
      <c r="W1776" s="32" t="s">
        <v>384</v>
      </c>
      <c r="X1776" s="33"/>
      <c r="Y1776" s="34"/>
      <c r="Z1776" s="32"/>
      <c r="AA1776" s="20" t="s">
        <v>49</v>
      </c>
      <c r="AB1776" s="20" t="s">
        <v>49</v>
      </c>
      <c r="AC1776" s="19" t="s">
        <v>49</v>
      </c>
      <c r="AD1776" s="19" t="str">
        <f ca="1">IFERROR(DATEDIF(DadosViagem5[[#This Row],[Utimo Bip Reserva]],TODAY(),"D"),"")</f>
        <v/>
      </c>
      <c r="AE1776" s="36"/>
      <c r="AF1776" s="25"/>
      <c r="AG1776" s="36"/>
      <c r="AH1776" s="25">
        <v>45807</v>
      </c>
      <c r="AI1776" s="36" t="str">
        <f>IF(DadosViagem5[[#This Row],[Dias em manutenção ]]&lt;5,"Dentro do Prazo","Fora do Prazo")</f>
        <v>Fora do Prazo</v>
      </c>
      <c r="AJ1776" s="36" t="e">
        <v>#REF!</v>
      </c>
    </row>
    <row r="1777" spans="1:36">
      <c r="A1777" s="19" t="s">
        <v>2949</v>
      </c>
      <c r="B1777" s="20"/>
      <c r="C1777" s="37" t="s">
        <v>2946</v>
      </c>
      <c r="D1777" s="19" t="s">
        <v>300</v>
      </c>
      <c r="E1777" s="37" t="s">
        <v>53</v>
      </c>
      <c r="F1777" s="19"/>
      <c r="G1777" s="37"/>
      <c r="H1777" s="135">
        <v>2024</v>
      </c>
      <c r="I1777" s="19" t="s">
        <v>1183</v>
      </c>
      <c r="J1777" s="19" t="e">
        <v>#N/A</v>
      </c>
      <c r="K1777" s="110" t="s">
        <v>2947</v>
      </c>
      <c r="L1777" s="22" t="s">
        <v>2906</v>
      </c>
      <c r="M1777" s="23" t="s">
        <v>2847</v>
      </c>
      <c r="N1777" s="24" t="s">
        <v>2948</v>
      </c>
      <c r="O1777" s="24" t="s">
        <v>2948</v>
      </c>
      <c r="P1777" s="26">
        <f ca="1">IFERROR(VLOOKUP(DadosViagem5[[#This Row],[Placa]],[1]BIP!A:E,5,FALSE),"")</f>
        <v>0</v>
      </c>
      <c r="Q1777" s="27">
        <f ca="1">DATEDIF(DadosViagem5[[#This Row],[BIP]],TODAY(),"D")</f>
        <v>45990</v>
      </c>
      <c r="R1777" s="28" t="str">
        <f>IFERROR(VLOOKUP(DadosViagem5[[#This Row],[Placa]],[1]DDS!B:C,2,FALSE),"Verificar cadastro")</f>
        <v> </v>
      </c>
      <c r="S1777" s="29" t="s">
        <v>48</v>
      </c>
      <c r="T1777" s="23"/>
      <c r="U1777" s="30"/>
      <c r="V1777" s="31"/>
      <c r="W1777" s="32" t="s">
        <v>384</v>
      </c>
      <c r="X1777" s="33"/>
      <c r="Y1777" s="34"/>
      <c r="Z1777" s="32"/>
      <c r="AA1777" s="20" t="s">
        <v>49</v>
      </c>
      <c r="AB1777" s="20" t="s">
        <v>49</v>
      </c>
      <c r="AC1777" s="19" t="s">
        <v>49</v>
      </c>
      <c r="AD1777" s="19" t="str">
        <f ca="1">IFERROR(DATEDIF(DadosViagem5[[#This Row],[Utimo Bip Reserva]],TODAY(),"D"),"")</f>
        <v/>
      </c>
      <c r="AE1777" s="36"/>
      <c r="AF1777" s="25"/>
      <c r="AG1777" s="36"/>
      <c r="AH1777" s="25">
        <v>45807</v>
      </c>
      <c r="AI1777" s="36" t="str">
        <f>IF(DadosViagem5[[#This Row],[Dias em manutenção ]]&lt;5,"Dentro do Prazo","Fora do Prazo")</f>
        <v>Fora do Prazo</v>
      </c>
      <c r="AJ1777" s="36" t="e">
        <v>#REF!</v>
      </c>
    </row>
    <row r="1778" spans="1:36">
      <c r="A1778" s="19" t="s">
        <v>2950</v>
      </c>
      <c r="B1778" s="20"/>
      <c r="C1778" s="37" t="s">
        <v>2946</v>
      </c>
      <c r="D1778" s="19" t="s">
        <v>300</v>
      </c>
      <c r="E1778" s="37" t="s">
        <v>53</v>
      </c>
      <c r="F1778" s="19"/>
      <c r="G1778" s="37"/>
      <c r="H1778" s="135">
        <v>2024</v>
      </c>
      <c r="I1778" s="19" t="s">
        <v>1183</v>
      </c>
      <c r="J1778" s="37" t="e">
        <v>#N/A</v>
      </c>
      <c r="K1778" s="110" t="s">
        <v>2947</v>
      </c>
      <c r="L1778" s="22" t="s">
        <v>2906</v>
      </c>
      <c r="M1778" s="23" t="s">
        <v>2847</v>
      </c>
      <c r="N1778" s="24" t="s">
        <v>2948</v>
      </c>
      <c r="O1778" s="24" t="s">
        <v>2948</v>
      </c>
      <c r="P1778" s="26">
        <f ca="1">IFERROR(VLOOKUP(DadosViagem5[[#This Row],[Placa]],[1]BIP!A:E,5,FALSE),"")</f>
        <v>0</v>
      </c>
      <c r="Q1778" s="27">
        <f ca="1">DATEDIF(DadosViagem5[[#This Row],[BIP]],TODAY(),"D")</f>
        <v>45990</v>
      </c>
      <c r="R1778" s="28" t="str">
        <f>IFERROR(VLOOKUP(DadosViagem5[[#This Row],[Placa]],[1]DDS!B:C,2,FALSE),"Verificar cadastro")</f>
        <v> </v>
      </c>
      <c r="S1778" s="29" t="s">
        <v>48</v>
      </c>
      <c r="T1778" s="23"/>
      <c r="U1778" s="30"/>
      <c r="V1778" s="31"/>
      <c r="W1778" s="32" t="s">
        <v>384</v>
      </c>
      <c r="X1778" s="33"/>
      <c r="Y1778" s="34"/>
      <c r="Z1778" s="32"/>
      <c r="AA1778" s="20" t="s">
        <v>49</v>
      </c>
      <c r="AB1778" s="20" t="s">
        <v>49</v>
      </c>
      <c r="AC1778" s="19" t="s">
        <v>49</v>
      </c>
      <c r="AD1778" s="19" t="str">
        <f ca="1">IFERROR(DATEDIF(DadosViagem5[[#This Row],[Utimo Bip Reserva]],TODAY(),"D"),"")</f>
        <v/>
      </c>
      <c r="AE1778" s="36"/>
      <c r="AF1778" s="25"/>
      <c r="AG1778" s="36"/>
      <c r="AH1778" s="25">
        <v>45807</v>
      </c>
      <c r="AI1778" s="36" t="str">
        <f>IF(DadosViagem5[[#This Row],[Dias em manutenção ]]&lt;5,"Dentro do Prazo","Fora do Prazo")</f>
        <v>Fora do Prazo</v>
      </c>
      <c r="AJ1778" s="36" t="e">
        <v>#REF!</v>
      </c>
    </row>
    <row r="1779" spans="1:36">
      <c r="A1779" s="19" t="s">
        <v>2951</v>
      </c>
      <c r="B1779" s="20"/>
      <c r="C1779" s="37" t="s">
        <v>2946</v>
      </c>
      <c r="D1779" s="19" t="s">
        <v>300</v>
      </c>
      <c r="E1779" s="19" t="s">
        <v>53</v>
      </c>
      <c r="F1779" s="19"/>
      <c r="G1779" s="19"/>
      <c r="H1779" s="135">
        <v>2024</v>
      </c>
      <c r="I1779" s="19" t="s">
        <v>1183</v>
      </c>
      <c r="J1779" s="19" t="e">
        <v>#N/A</v>
      </c>
      <c r="K1779" s="108" t="s">
        <v>2947</v>
      </c>
      <c r="L1779" s="22" t="s">
        <v>2906</v>
      </c>
      <c r="M1779" s="23" t="s">
        <v>2847</v>
      </c>
      <c r="N1779" s="24" t="s">
        <v>2948</v>
      </c>
      <c r="O1779" s="24" t="s">
        <v>2948</v>
      </c>
      <c r="P1779" s="26">
        <f ca="1">IFERROR(VLOOKUP(DadosViagem5[[#This Row],[Placa]],[1]BIP!A:E,5,FALSE),"")</f>
        <v>0</v>
      </c>
      <c r="Q1779" s="27">
        <f ca="1">DATEDIF(DadosViagem5[[#This Row],[BIP]],TODAY(),"D")</f>
        <v>45990</v>
      </c>
      <c r="R1779" s="28" t="str">
        <f>IFERROR(VLOOKUP(DadosViagem5[[#This Row],[Placa]],[1]DDS!B:C,2,FALSE),"Verificar cadastro")</f>
        <v>Verificar cadastro</v>
      </c>
      <c r="S1779" s="29" t="s">
        <v>48</v>
      </c>
      <c r="T1779" s="23"/>
      <c r="U1779" s="30"/>
      <c r="V1779" s="31"/>
      <c r="W1779" s="32" t="s">
        <v>384</v>
      </c>
      <c r="X1779" s="33"/>
      <c r="Y1779" s="34"/>
      <c r="Z1779" s="32"/>
      <c r="AA1779" s="20" t="s">
        <v>49</v>
      </c>
      <c r="AB1779" s="20" t="s">
        <v>49</v>
      </c>
      <c r="AC1779" s="19" t="s">
        <v>49</v>
      </c>
      <c r="AD1779" s="19" t="str">
        <f ca="1">IFERROR(DATEDIF(DadosViagem5[[#This Row],[Utimo Bip Reserva]],TODAY(),"D"),"")</f>
        <v/>
      </c>
      <c r="AE1779" s="36"/>
      <c r="AF1779" s="25"/>
      <c r="AG1779" s="36"/>
      <c r="AH1779" s="25">
        <v>45807</v>
      </c>
      <c r="AI1779" s="36" t="str">
        <f>IF(DadosViagem5[[#This Row],[Dias em manutenção ]]&lt;5,"Dentro do Prazo","Fora do Prazo")</f>
        <v>Fora do Prazo</v>
      </c>
      <c r="AJ1779" s="36" t="e">
        <v>#REF!</v>
      </c>
    </row>
    <row r="1780" spans="1:36">
      <c r="A1780" s="19" t="s">
        <v>2952</v>
      </c>
      <c r="B1780" s="20"/>
      <c r="C1780" s="19" t="s">
        <v>2946</v>
      </c>
      <c r="D1780" s="19" t="s">
        <v>300</v>
      </c>
      <c r="E1780" s="19" t="s">
        <v>53</v>
      </c>
      <c r="F1780" s="19"/>
      <c r="G1780" s="19"/>
      <c r="H1780" s="20">
        <v>2024</v>
      </c>
      <c r="I1780" s="19" t="s">
        <v>1183</v>
      </c>
      <c r="J1780" s="19" t="e">
        <v>#N/A</v>
      </c>
      <c r="K1780" s="108" t="s">
        <v>2947</v>
      </c>
      <c r="L1780" s="22" t="s">
        <v>2906</v>
      </c>
      <c r="M1780" s="23" t="s">
        <v>2847</v>
      </c>
      <c r="N1780" s="24" t="s">
        <v>2948</v>
      </c>
      <c r="O1780" s="24" t="s">
        <v>2948</v>
      </c>
      <c r="P1780" s="26">
        <f ca="1">IFERROR(VLOOKUP(DadosViagem5[[#This Row],[Placa]],[1]BIP!A:E,5,FALSE),"")</f>
        <v>0</v>
      </c>
      <c r="Q1780" s="27">
        <f ca="1">DATEDIF(DadosViagem5[[#This Row],[BIP]],TODAY(),"D")</f>
        <v>45990</v>
      </c>
      <c r="R1780" s="28" t="str">
        <f>IFERROR(VLOOKUP(DadosViagem5[[#This Row],[Placa]],[1]DDS!B:C,2,FALSE),"Verificar cadastro")</f>
        <v> </v>
      </c>
      <c r="S1780" s="29" t="s">
        <v>48</v>
      </c>
      <c r="T1780" s="23"/>
      <c r="U1780" s="30"/>
      <c r="V1780" s="31"/>
      <c r="W1780" s="32" t="s">
        <v>2953</v>
      </c>
      <c r="X1780" s="33"/>
      <c r="Y1780" s="34"/>
      <c r="Z1780" s="32"/>
      <c r="AA1780" s="20" t="s">
        <v>49</v>
      </c>
      <c r="AB1780" s="20" t="s">
        <v>49</v>
      </c>
      <c r="AC1780" s="19" t="s">
        <v>49</v>
      </c>
      <c r="AD1780" s="19" t="str">
        <f ca="1">IFERROR(DATEDIF(DadosViagem5[[#This Row],[Utimo Bip Reserva]],TODAY(),"D"),"")</f>
        <v/>
      </c>
      <c r="AE1780" s="36"/>
      <c r="AF1780" s="25"/>
      <c r="AG1780" s="36"/>
      <c r="AH1780" s="25">
        <v>45807</v>
      </c>
      <c r="AI1780" s="36" t="str">
        <f>IF(DadosViagem5[[#This Row],[Dias em manutenção ]]&lt;5,"Dentro do Prazo","Fora do Prazo")</f>
        <v>Fora do Prazo</v>
      </c>
      <c r="AJ1780" s="36" t="e">
        <v>#REF!</v>
      </c>
    </row>
    <row r="1781" spans="1:36">
      <c r="A1781" s="19" t="s">
        <v>2954</v>
      </c>
      <c r="B1781" s="20"/>
      <c r="C1781" s="19" t="s">
        <v>2946</v>
      </c>
      <c r="D1781" s="19" t="s">
        <v>300</v>
      </c>
      <c r="E1781" s="19" t="s">
        <v>53</v>
      </c>
      <c r="F1781" s="19"/>
      <c r="G1781" s="19"/>
      <c r="H1781" s="20">
        <v>2024</v>
      </c>
      <c r="I1781" s="19" t="s">
        <v>1183</v>
      </c>
      <c r="J1781" s="19" t="e">
        <v>#N/A</v>
      </c>
      <c r="K1781" s="108" t="s">
        <v>2947</v>
      </c>
      <c r="L1781" s="22" t="s">
        <v>2906</v>
      </c>
      <c r="M1781" s="23" t="s">
        <v>2847</v>
      </c>
      <c r="N1781" s="24" t="s">
        <v>2948</v>
      </c>
      <c r="O1781" s="24" t="s">
        <v>2948</v>
      </c>
      <c r="P1781" s="26">
        <f ca="1">IFERROR(VLOOKUP(DadosViagem5[[#This Row],[Placa]],[1]BIP!A:E,5,FALSE),"")</f>
        <v>0</v>
      </c>
      <c r="Q1781" s="27">
        <f ca="1">DATEDIF(DadosViagem5[[#This Row],[BIP]],TODAY(),"D")</f>
        <v>45990</v>
      </c>
      <c r="R1781" s="28" t="str">
        <f>IFERROR(VLOOKUP(DadosViagem5[[#This Row],[Placa]],[1]DDS!B:C,2,FALSE),"Verificar cadastro")</f>
        <v> </v>
      </c>
      <c r="S1781" s="29" t="s">
        <v>48</v>
      </c>
      <c r="T1781" s="23"/>
      <c r="U1781" s="30"/>
      <c r="V1781" s="31"/>
      <c r="W1781" s="32" t="s">
        <v>384</v>
      </c>
      <c r="X1781" s="33"/>
      <c r="Y1781" s="34"/>
      <c r="Z1781" s="32"/>
      <c r="AA1781" s="20" t="s">
        <v>49</v>
      </c>
      <c r="AB1781" s="20" t="s">
        <v>49</v>
      </c>
      <c r="AC1781" s="19" t="s">
        <v>49</v>
      </c>
      <c r="AD1781" s="19" t="str">
        <f ca="1">IFERROR(DATEDIF(DadosViagem5[[#This Row],[Utimo Bip Reserva]],TODAY(),"D"),"")</f>
        <v/>
      </c>
      <c r="AE1781" s="36"/>
      <c r="AF1781" s="25"/>
      <c r="AG1781" s="36"/>
      <c r="AH1781" s="25">
        <v>45807</v>
      </c>
      <c r="AI1781" s="36" t="str">
        <f>IF(DadosViagem5[[#This Row],[Dias em manutenção ]]&lt;5,"Dentro do Prazo","Fora do Prazo")</f>
        <v>Fora do Prazo</v>
      </c>
      <c r="AJ1781" s="36" t="e">
        <v>#REF!</v>
      </c>
    </row>
    <row r="1782" spans="1:36">
      <c r="A1782" s="19" t="s">
        <v>2955</v>
      </c>
      <c r="B1782" s="20"/>
      <c r="C1782" s="19" t="s">
        <v>2956</v>
      </c>
      <c r="D1782" s="19" t="s">
        <v>264</v>
      </c>
      <c r="E1782" s="19" t="s">
        <v>53</v>
      </c>
      <c r="F1782" s="19"/>
      <c r="G1782" s="19"/>
      <c r="H1782" s="20">
        <v>2024</v>
      </c>
      <c r="I1782" s="19" t="s">
        <v>1183</v>
      </c>
      <c r="J1782" s="19" t="e">
        <v>#N/A</v>
      </c>
      <c r="K1782" s="108" t="s">
        <v>2947</v>
      </c>
      <c r="L1782" s="22" t="s">
        <v>2906</v>
      </c>
      <c r="M1782" s="23" t="s">
        <v>2847</v>
      </c>
      <c r="N1782" s="24" t="s">
        <v>2948</v>
      </c>
      <c r="O1782" s="24" t="s">
        <v>2948</v>
      </c>
      <c r="P1782" s="26">
        <f ca="1">IFERROR(VLOOKUP(DadosViagem5[[#This Row],[Placa]],[1]BIP!A:E,5,FALSE),"")</f>
        <v>0</v>
      </c>
      <c r="Q1782" s="27">
        <f ca="1">DATEDIF(DadosViagem5[[#This Row],[BIP]],TODAY(),"D")</f>
        <v>45990</v>
      </c>
      <c r="R1782" s="28" t="str">
        <f>IFERROR(VLOOKUP(DadosViagem5[[#This Row],[Placa]],[1]DDS!B:C,2,FALSE),"Verificar cadastro")</f>
        <v> </v>
      </c>
      <c r="S1782" s="29" t="s">
        <v>48</v>
      </c>
      <c r="T1782" s="23"/>
      <c r="U1782" s="30"/>
      <c r="V1782" s="31"/>
      <c r="W1782" s="32" t="s">
        <v>384</v>
      </c>
      <c r="X1782" s="33"/>
      <c r="Y1782" s="34"/>
      <c r="Z1782" s="32"/>
      <c r="AA1782" s="20" t="s">
        <v>49</v>
      </c>
      <c r="AB1782" s="20" t="s">
        <v>49</v>
      </c>
      <c r="AC1782" s="19" t="s">
        <v>49</v>
      </c>
      <c r="AD1782" s="19" t="str">
        <f ca="1">IFERROR(DATEDIF(DadosViagem5[[#This Row],[Utimo Bip Reserva]],TODAY(),"D"),"")</f>
        <v/>
      </c>
      <c r="AE1782" s="36"/>
      <c r="AF1782" s="25"/>
      <c r="AG1782" s="36"/>
      <c r="AH1782" s="25">
        <v>45807</v>
      </c>
      <c r="AI1782" s="36" t="str">
        <f>IF(DadosViagem5[[#This Row],[Dias em manutenção ]]&lt;5,"Dentro do Prazo","Fora do Prazo")</f>
        <v>Fora do Prazo</v>
      </c>
      <c r="AJ1782" s="36" t="e">
        <v>#REF!</v>
      </c>
    </row>
    <row r="1783" spans="1:36">
      <c r="A1783" s="19" t="s">
        <v>2957</v>
      </c>
      <c r="B1783" s="20"/>
      <c r="C1783" s="19" t="s">
        <v>2956</v>
      </c>
      <c r="D1783" s="19" t="s">
        <v>264</v>
      </c>
      <c r="E1783" s="19" t="s">
        <v>53</v>
      </c>
      <c r="F1783" s="19"/>
      <c r="G1783" s="19"/>
      <c r="H1783" s="20">
        <v>2024</v>
      </c>
      <c r="I1783" s="19" t="s">
        <v>1183</v>
      </c>
      <c r="J1783" s="19" t="e">
        <v>#N/A</v>
      </c>
      <c r="K1783" s="108" t="s">
        <v>2947</v>
      </c>
      <c r="L1783" s="22" t="s">
        <v>2906</v>
      </c>
      <c r="M1783" s="23" t="s">
        <v>2847</v>
      </c>
      <c r="N1783" s="24" t="s">
        <v>2948</v>
      </c>
      <c r="O1783" s="24" t="s">
        <v>2948</v>
      </c>
      <c r="P1783" s="26">
        <f ca="1">IFERROR(VLOOKUP(DadosViagem5[[#This Row],[Placa]],[1]BIP!A:E,5,FALSE),"")</f>
        <v>0</v>
      </c>
      <c r="Q1783" s="27">
        <f ca="1">DATEDIF(DadosViagem5[[#This Row],[BIP]],TODAY(),"D")</f>
        <v>45990</v>
      </c>
      <c r="R1783" s="28" t="str">
        <f>IFERROR(VLOOKUP(DadosViagem5[[#This Row],[Placa]],[1]DDS!B:C,2,FALSE),"Verificar cadastro")</f>
        <v> </v>
      </c>
      <c r="S1783" s="29" t="s">
        <v>48</v>
      </c>
      <c r="T1783" s="23"/>
      <c r="U1783" s="30"/>
      <c r="V1783" s="31"/>
      <c r="W1783" s="32" t="s">
        <v>384</v>
      </c>
      <c r="X1783" s="33"/>
      <c r="Y1783" s="34"/>
      <c r="Z1783" s="32"/>
      <c r="AA1783" s="20" t="s">
        <v>49</v>
      </c>
      <c r="AB1783" s="20" t="s">
        <v>49</v>
      </c>
      <c r="AC1783" s="19" t="s">
        <v>49</v>
      </c>
      <c r="AD1783" s="19" t="str">
        <f ca="1">IFERROR(DATEDIF(DadosViagem5[[#This Row],[Utimo Bip Reserva]],TODAY(),"D"),"")</f>
        <v/>
      </c>
      <c r="AE1783" s="36"/>
      <c r="AF1783" s="25"/>
      <c r="AG1783" s="36"/>
      <c r="AH1783" s="25">
        <v>45807</v>
      </c>
      <c r="AI1783" s="36" t="str">
        <f>IF(DadosViagem5[[#This Row],[Dias em manutenção ]]&lt;5,"Dentro do Prazo","Fora do Prazo")</f>
        <v>Fora do Prazo</v>
      </c>
      <c r="AJ1783" s="36" t="e">
        <v>#REF!</v>
      </c>
    </row>
    <row r="1784" spans="1:36">
      <c r="A1784" s="19" t="s">
        <v>2958</v>
      </c>
      <c r="B1784" s="20"/>
      <c r="C1784" s="19" t="s">
        <v>2956</v>
      </c>
      <c r="D1784" s="19" t="s">
        <v>264</v>
      </c>
      <c r="E1784" s="19" t="s">
        <v>53</v>
      </c>
      <c r="F1784" s="19"/>
      <c r="G1784" s="19"/>
      <c r="H1784" s="20">
        <v>2024</v>
      </c>
      <c r="I1784" s="19" t="s">
        <v>1183</v>
      </c>
      <c r="J1784" s="19" t="e">
        <v>#N/A</v>
      </c>
      <c r="K1784" s="108" t="s">
        <v>2947</v>
      </c>
      <c r="L1784" s="22" t="s">
        <v>2906</v>
      </c>
      <c r="M1784" s="23" t="s">
        <v>2847</v>
      </c>
      <c r="N1784" s="24" t="s">
        <v>2948</v>
      </c>
      <c r="O1784" s="24" t="s">
        <v>2948</v>
      </c>
      <c r="P1784" s="26">
        <f ca="1">IFERROR(VLOOKUP(DadosViagem5[[#This Row],[Placa]],[1]BIP!A:E,5,FALSE),"")</f>
        <v>0</v>
      </c>
      <c r="Q1784" s="27">
        <f ca="1">DATEDIF(DadosViagem5[[#This Row],[BIP]],TODAY(),"D")</f>
        <v>45990</v>
      </c>
      <c r="R1784" s="28" t="str">
        <f>IFERROR(VLOOKUP(DadosViagem5[[#This Row],[Placa]],[1]DDS!B:C,2,FALSE),"Verificar cadastro")</f>
        <v> </v>
      </c>
      <c r="S1784" s="29" t="s">
        <v>48</v>
      </c>
      <c r="T1784" s="23"/>
      <c r="U1784" s="30"/>
      <c r="V1784" s="31"/>
      <c r="W1784" s="32" t="s">
        <v>384</v>
      </c>
      <c r="X1784" s="33"/>
      <c r="Y1784" s="34"/>
      <c r="Z1784" s="32"/>
      <c r="AA1784" s="20" t="s">
        <v>49</v>
      </c>
      <c r="AB1784" s="20" t="s">
        <v>49</v>
      </c>
      <c r="AC1784" s="19" t="s">
        <v>49</v>
      </c>
      <c r="AD1784" s="19" t="str">
        <f ca="1">IFERROR(DATEDIF(DadosViagem5[[#This Row],[Utimo Bip Reserva]],TODAY(),"D"),"")</f>
        <v/>
      </c>
      <c r="AE1784" s="36"/>
      <c r="AF1784" s="25"/>
      <c r="AG1784" s="36"/>
      <c r="AH1784" s="25">
        <v>45807</v>
      </c>
      <c r="AI1784" s="36" t="str">
        <f>IF(DadosViagem5[[#This Row],[Dias em manutenção ]]&lt;5,"Dentro do Prazo","Fora do Prazo")</f>
        <v>Fora do Prazo</v>
      </c>
      <c r="AJ1784" s="36" t="e">
        <v>#REF!</v>
      </c>
    </row>
    <row r="1785" spans="1:36">
      <c r="A1785" s="19" t="s">
        <v>2959</v>
      </c>
      <c r="B1785" s="20"/>
      <c r="C1785" s="19" t="s">
        <v>2960</v>
      </c>
      <c r="D1785" s="19" t="s">
        <v>264</v>
      </c>
      <c r="E1785" s="19" t="s">
        <v>53</v>
      </c>
      <c r="F1785" s="19"/>
      <c r="G1785" s="19"/>
      <c r="H1785" s="20">
        <v>2023</v>
      </c>
      <c r="I1785" s="19" t="s">
        <v>1183</v>
      </c>
      <c r="J1785" s="19" t="e">
        <v>#N/A</v>
      </c>
      <c r="K1785" s="108" t="s">
        <v>2947</v>
      </c>
      <c r="L1785" s="22" t="s">
        <v>2906</v>
      </c>
      <c r="M1785" s="23" t="s">
        <v>2847</v>
      </c>
      <c r="N1785" s="24" t="s">
        <v>2948</v>
      </c>
      <c r="O1785" s="24" t="s">
        <v>2948</v>
      </c>
      <c r="P1785" s="26">
        <f ca="1">IFERROR(VLOOKUP(DadosViagem5[[#This Row],[Placa]],[1]BIP!A:E,5,FALSE),"")</f>
        <v>0</v>
      </c>
      <c r="Q1785" s="27">
        <f ca="1">DATEDIF(DadosViagem5[[#This Row],[BIP]],TODAY(),"D")</f>
        <v>45990</v>
      </c>
      <c r="R1785" s="28" t="str">
        <f>IFERROR(VLOOKUP(DadosViagem5[[#This Row],[Placa]],[1]DDS!B:C,2,FALSE),"Verificar cadastro")</f>
        <v> </v>
      </c>
      <c r="S1785" s="29" t="s">
        <v>48</v>
      </c>
      <c r="T1785" s="23"/>
      <c r="U1785" s="30"/>
      <c r="V1785" s="31"/>
      <c r="W1785" s="32" t="s">
        <v>384</v>
      </c>
      <c r="X1785" s="33"/>
      <c r="Y1785" s="34"/>
      <c r="Z1785" s="32"/>
      <c r="AA1785" s="20" t="s">
        <v>49</v>
      </c>
      <c r="AB1785" s="20" t="s">
        <v>49</v>
      </c>
      <c r="AC1785" s="19" t="s">
        <v>49</v>
      </c>
      <c r="AD1785" s="19" t="str">
        <f ca="1">IFERROR(DATEDIF(DadosViagem5[[#This Row],[Utimo Bip Reserva]],TODAY(),"D"),"")</f>
        <v/>
      </c>
      <c r="AE1785" s="36"/>
      <c r="AF1785" s="25"/>
      <c r="AG1785" s="36"/>
      <c r="AH1785" s="25">
        <v>45807</v>
      </c>
      <c r="AI1785" s="36" t="str">
        <f>IF(DadosViagem5[[#This Row],[Dias em manutenção ]]&lt;5,"Dentro do Prazo","Fora do Prazo")</f>
        <v>Fora do Prazo</v>
      </c>
      <c r="AJ1785" s="36" t="e">
        <v>#REF!</v>
      </c>
    </row>
    <row r="1786" spans="1:36">
      <c r="A1786" s="19" t="s">
        <v>2961</v>
      </c>
      <c r="B1786" s="20"/>
      <c r="C1786" s="19" t="s">
        <v>2937</v>
      </c>
      <c r="D1786" s="19" t="s">
        <v>264</v>
      </c>
      <c r="E1786" s="19" t="s">
        <v>57</v>
      </c>
      <c r="F1786" s="19" t="s">
        <v>2941</v>
      </c>
      <c r="G1786" s="19"/>
      <c r="H1786" s="20">
        <v>2022</v>
      </c>
      <c r="I1786" s="19" t="s">
        <v>1183</v>
      </c>
      <c r="J1786" s="19" t="e">
        <v>#N/A</v>
      </c>
      <c r="K1786" s="19" t="s">
        <v>2947</v>
      </c>
      <c r="L1786" s="22" t="s">
        <v>2906</v>
      </c>
      <c r="M1786" s="23" t="s">
        <v>2847</v>
      </c>
      <c r="N1786" s="24" t="s">
        <v>2948</v>
      </c>
      <c r="O1786" s="24" t="s">
        <v>2948</v>
      </c>
      <c r="P1786" s="26" t="str">
        <f>IFERROR(VLOOKUP(DadosViagem5[[#This Row],[Placa]],[1]BIP!A:E,5,FALSE),"")</f>
        <v/>
      </c>
      <c r="Q1786" s="27" t="e">
        <f ca="1">DATEDIF(DadosViagem5[[#This Row],[BIP]],TODAY(),"D")</f>
        <v>#VALUE!</v>
      </c>
      <c r="R1786" s="28" t="str">
        <f>IFERROR(VLOOKUP(DadosViagem5[[#This Row],[Placa]],[1]DDS!B:C,2,FALSE),"Verificar cadastro")</f>
        <v> </v>
      </c>
      <c r="S1786" s="29" t="s">
        <v>48</v>
      </c>
      <c r="T1786" s="23"/>
      <c r="U1786" s="30"/>
      <c r="V1786" s="31"/>
      <c r="W1786" s="32" t="s">
        <v>384</v>
      </c>
      <c r="X1786" s="33"/>
      <c r="Y1786" s="34"/>
      <c r="Z1786" s="32"/>
      <c r="AA1786" s="20" t="s">
        <v>49</v>
      </c>
      <c r="AB1786" s="20" t="s">
        <v>49</v>
      </c>
      <c r="AC1786" s="20" t="s">
        <v>49</v>
      </c>
      <c r="AD1786" s="20" t="s">
        <v>49</v>
      </c>
      <c r="AE1786" s="36"/>
      <c r="AF1786" s="25"/>
      <c r="AG1786" s="36"/>
      <c r="AH1786" s="25">
        <v>45807</v>
      </c>
      <c r="AI1786" s="36" t="str">
        <f>IF(DadosViagem5[[#This Row],[Dias em manutenção ]]&lt;5,"Dentro do Prazo","Fora do Prazo")</f>
        <v>Fora do Prazo</v>
      </c>
      <c r="AJ1786" s="36" t="e">
        <v>#REF!</v>
      </c>
    </row>
    <row r="1787" spans="1:36">
      <c r="A1787" s="19" t="s">
        <v>2962</v>
      </c>
      <c r="B1787" s="20"/>
      <c r="C1787" s="19" t="s">
        <v>2960</v>
      </c>
      <c r="D1787" s="19" t="s">
        <v>409</v>
      </c>
      <c r="E1787" s="19" t="s">
        <v>53</v>
      </c>
      <c r="F1787" s="19" t="s">
        <v>2941</v>
      </c>
      <c r="G1787" s="19"/>
      <c r="H1787" s="20">
        <v>2024</v>
      </c>
      <c r="I1787" s="19" t="s">
        <v>137</v>
      </c>
      <c r="J1787" s="19" t="e">
        <v>#N/A</v>
      </c>
      <c r="K1787" s="108" t="s">
        <v>2963</v>
      </c>
      <c r="L1787" s="22" t="s">
        <v>2906</v>
      </c>
      <c r="M1787" s="23" t="s">
        <v>2847</v>
      </c>
      <c r="N1787" s="24" t="s">
        <v>142</v>
      </c>
      <c r="O1787" s="24" t="s">
        <v>142</v>
      </c>
      <c r="P1787" s="26">
        <f ca="1">IFERROR(VLOOKUP(DadosViagem5[[#This Row],[Placa]],[1]BIP!A:E,5,FALSE),"")</f>
        <v>0</v>
      </c>
      <c r="Q1787" s="27">
        <f ca="1">DATEDIF(DadosViagem5[[#This Row],[BIP]],TODAY(),"D")</f>
        <v>45990</v>
      </c>
      <c r="R1787" s="28" t="str">
        <f>IFERROR(VLOOKUP(DadosViagem5[[#This Row],[Placa]],[1]DDS!B:C,2,FALSE),"Verificar cadastro")</f>
        <v> </v>
      </c>
      <c r="S1787" s="29" t="s">
        <v>48</v>
      </c>
      <c r="T1787" s="23"/>
      <c r="U1787" s="30"/>
      <c r="V1787" s="31"/>
      <c r="W1787" s="32" t="s">
        <v>384</v>
      </c>
      <c r="X1787" s="33"/>
      <c r="Y1787" s="34"/>
      <c r="Z1787" s="32"/>
      <c r="AA1787" s="20" t="s">
        <v>49</v>
      </c>
      <c r="AB1787" s="20" t="s">
        <v>49</v>
      </c>
      <c r="AC1787" s="19" t="s">
        <v>49</v>
      </c>
      <c r="AD1787" s="19" t="str">
        <f ca="1">IFERROR(DATEDIF(DadosViagem5[[#This Row],[Utimo Bip Reserva]],TODAY(),"D"),"")</f>
        <v/>
      </c>
      <c r="AE1787" s="36"/>
      <c r="AF1787" s="25"/>
      <c r="AG1787" s="36"/>
      <c r="AH1787" s="25">
        <v>45807</v>
      </c>
      <c r="AI1787" s="36" t="str">
        <f>IF(DadosViagem5[[#This Row],[Dias em manutenção ]]&lt;5,"Dentro do Prazo","Fora do Prazo")</f>
        <v>Fora do Prazo</v>
      </c>
      <c r="AJ1787" s="36" t="e">
        <v>#REF!</v>
      </c>
    </row>
    <row r="1788" spans="1:36">
      <c r="A1788" s="19" t="s">
        <v>2964</v>
      </c>
      <c r="B1788" s="20"/>
      <c r="C1788" s="19" t="s">
        <v>2937</v>
      </c>
      <c r="D1788" s="19" t="s">
        <v>409</v>
      </c>
      <c r="E1788" s="19" t="s">
        <v>53</v>
      </c>
      <c r="F1788" s="19" t="s">
        <v>2941</v>
      </c>
      <c r="G1788" s="19"/>
      <c r="H1788" s="20">
        <v>2022</v>
      </c>
      <c r="I1788" s="19" t="s">
        <v>137</v>
      </c>
      <c r="J1788" s="19" t="e">
        <v>#N/A</v>
      </c>
      <c r="K1788" s="108" t="s">
        <v>2963</v>
      </c>
      <c r="L1788" s="22" t="s">
        <v>2906</v>
      </c>
      <c r="M1788" s="23" t="s">
        <v>2847</v>
      </c>
      <c r="N1788" s="24" t="s">
        <v>142</v>
      </c>
      <c r="O1788" s="24" t="s">
        <v>142</v>
      </c>
      <c r="P1788" s="26">
        <f ca="1">IFERROR(VLOOKUP(DadosViagem5[[#This Row],[Placa]],[1]BIP!A:E,5,FALSE),"")</f>
        <v>0</v>
      </c>
      <c r="Q1788" s="27">
        <f ca="1">DATEDIF(DadosViagem5[[#This Row],[BIP]],TODAY(),"D")</f>
        <v>45990</v>
      </c>
      <c r="R1788" s="28" t="str">
        <f>IFERROR(VLOOKUP(DadosViagem5[[#This Row],[Placa]],[1]DDS!B:C,2,FALSE),"Verificar cadastro")</f>
        <v> </v>
      </c>
      <c r="S1788" s="29" t="s">
        <v>48</v>
      </c>
      <c r="T1788" s="23"/>
      <c r="U1788" s="30"/>
      <c r="V1788" s="31"/>
      <c r="W1788" s="32" t="s">
        <v>384</v>
      </c>
      <c r="X1788" s="33"/>
      <c r="Y1788" s="34"/>
      <c r="Z1788" s="32"/>
      <c r="AA1788" s="20" t="s">
        <v>49</v>
      </c>
      <c r="AB1788" s="20" t="s">
        <v>49</v>
      </c>
      <c r="AC1788" s="19" t="s">
        <v>49</v>
      </c>
      <c r="AD1788" s="19" t="str">
        <f ca="1">IFERROR(DATEDIF(DadosViagem5[[#This Row],[Utimo Bip Reserva]],TODAY(),"D"),"")</f>
        <v/>
      </c>
      <c r="AE1788" s="25" t="s">
        <v>49</v>
      </c>
      <c r="AF1788" s="25" t="s">
        <v>49</v>
      </c>
      <c r="AG1788" s="36"/>
      <c r="AH1788" s="25">
        <v>45807</v>
      </c>
      <c r="AI1788" s="36" t="str">
        <f>IF(DadosViagem5[[#This Row],[Dias em manutenção ]]&lt;5,"Dentro do Prazo","Fora do Prazo")</f>
        <v>Fora do Prazo</v>
      </c>
      <c r="AJ1788" s="36" t="e">
        <v>#REF!</v>
      </c>
    </row>
    <row r="1789" spans="1:36">
      <c r="A1789" s="19" t="s">
        <v>2965</v>
      </c>
      <c r="B1789" s="20"/>
      <c r="C1789" s="19" t="s">
        <v>2940</v>
      </c>
      <c r="D1789" s="19" t="s">
        <v>409</v>
      </c>
      <c r="E1789" s="19" t="s">
        <v>265</v>
      </c>
      <c r="F1789" s="19" t="s">
        <v>2941</v>
      </c>
      <c r="G1789" s="19"/>
      <c r="H1789" s="20">
        <v>2022</v>
      </c>
      <c r="I1789" s="19" t="s">
        <v>137</v>
      </c>
      <c r="J1789" s="19" t="e">
        <v>#N/A</v>
      </c>
      <c r="K1789" s="108" t="s">
        <v>2963</v>
      </c>
      <c r="L1789" s="22" t="s">
        <v>2906</v>
      </c>
      <c r="M1789" s="23" t="s">
        <v>2847</v>
      </c>
      <c r="N1789" s="24" t="s">
        <v>142</v>
      </c>
      <c r="O1789" s="24" t="s">
        <v>142</v>
      </c>
      <c r="P1789" s="26">
        <f ca="1">IFERROR(VLOOKUP(DadosViagem5[[#This Row],[Placa]],[1]BIP!A:E,5,FALSE),"")</f>
        <v>0</v>
      </c>
      <c r="Q1789" s="27">
        <f ca="1">DATEDIF(DadosViagem5[[#This Row],[BIP]],TODAY(),"D")</f>
        <v>45990</v>
      </c>
      <c r="R1789" s="28" t="str">
        <f>IFERROR(VLOOKUP(DadosViagem5[[#This Row],[Placa]],[1]DDS!B:C,2,FALSE),"Verificar cadastro")</f>
        <v> </v>
      </c>
      <c r="S1789" s="29" t="s">
        <v>48</v>
      </c>
      <c r="T1789" s="23"/>
      <c r="U1789" s="30"/>
      <c r="V1789" s="31"/>
      <c r="W1789" s="32" t="s">
        <v>384</v>
      </c>
      <c r="X1789" s="33"/>
      <c r="Y1789" s="34"/>
      <c r="Z1789" s="32"/>
      <c r="AA1789" s="20" t="s">
        <v>49</v>
      </c>
      <c r="AB1789" s="20" t="s">
        <v>49</v>
      </c>
      <c r="AC1789" s="19" t="s">
        <v>49</v>
      </c>
      <c r="AD1789" s="19" t="str">
        <f ca="1">IFERROR(DATEDIF(DadosViagem5[[#This Row],[Utimo Bip Reserva]],TODAY(),"D"),"")</f>
        <v/>
      </c>
      <c r="AE1789" s="25" t="s">
        <v>49</v>
      </c>
      <c r="AF1789" s="25" t="s">
        <v>49</v>
      </c>
      <c r="AG1789" s="36"/>
      <c r="AH1789" s="25">
        <v>45807</v>
      </c>
      <c r="AI1789" s="36" t="str">
        <f>IF(DadosViagem5[[#This Row],[Dias em manutenção ]]&lt;5,"Dentro do Prazo","Fora do Prazo")</f>
        <v>Fora do Prazo</v>
      </c>
      <c r="AJ1789" s="36" t="e">
        <v>#REF!</v>
      </c>
    </row>
    <row r="1790" spans="1:36">
      <c r="A1790" s="19" t="s">
        <v>2966</v>
      </c>
      <c r="B1790" s="20"/>
      <c r="C1790" s="19" t="s">
        <v>2937</v>
      </c>
      <c r="D1790" s="19" t="s">
        <v>264</v>
      </c>
      <c r="E1790" s="19" t="s">
        <v>57</v>
      </c>
      <c r="F1790" s="19" t="s">
        <v>2941</v>
      </c>
      <c r="G1790" s="19"/>
      <c r="H1790" s="20">
        <v>2022</v>
      </c>
      <c r="I1790" s="19" t="s">
        <v>137</v>
      </c>
      <c r="J1790" s="19" t="e">
        <v>#N/A</v>
      </c>
      <c r="K1790" s="19" t="s">
        <v>2963</v>
      </c>
      <c r="L1790" s="22" t="s">
        <v>2906</v>
      </c>
      <c r="M1790" s="23" t="s">
        <v>2847</v>
      </c>
      <c r="N1790" s="24" t="s">
        <v>2967</v>
      </c>
      <c r="O1790" s="24" t="s">
        <v>2968</v>
      </c>
      <c r="P1790" s="26" t="str">
        <f>IFERROR(VLOOKUP(DadosViagem5[[#This Row],[Placa]],[1]BIP!A:E,5,FALSE),"")</f>
        <v/>
      </c>
      <c r="Q1790" s="27" t="e">
        <f ca="1">DATEDIF(DadosViagem5[[#This Row],[BIP]],TODAY(),"D")</f>
        <v>#VALUE!</v>
      </c>
      <c r="R1790" s="28" t="str">
        <f>IFERROR(VLOOKUP(DadosViagem5[[#This Row],[Placa]],[1]DDS!B:C,2,FALSE),"Verificar cadastro")</f>
        <v> </v>
      </c>
      <c r="S1790" s="29" t="s">
        <v>48</v>
      </c>
      <c r="T1790" s="23"/>
      <c r="U1790" s="30"/>
      <c r="V1790" s="31"/>
      <c r="W1790" s="32" t="s">
        <v>384</v>
      </c>
      <c r="X1790" s="33"/>
      <c r="Y1790" s="34"/>
      <c r="Z1790" s="32"/>
      <c r="AA1790" s="20" t="s">
        <v>49</v>
      </c>
      <c r="AB1790" s="20" t="s">
        <v>49</v>
      </c>
      <c r="AC1790" s="20" t="s">
        <v>49</v>
      </c>
      <c r="AD1790" s="20" t="s">
        <v>49</v>
      </c>
      <c r="AE1790" s="36"/>
      <c r="AF1790" s="25"/>
      <c r="AG1790" s="36"/>
      <c r="AH1790" s="25">
        <v>45807</v>
      </c>
      <c r="AI1790" s="36" t="str">
        <f>IF(DadosViagem5[[#This Row],[Dias em manutenção ]]&lt;5,"Dentro do Prazo","Fora do Prazo")</f>
        <v>Fora do Prazo</v>
      </c>
      <c r="AJ1790" s="36" t="e">
        <v>#REF!</v>
      </c>
    </row>
    <row r="1791" spans="1:36">
      <c r="A1791" s="19" t="s">
        <v>2969</v>
      </c>
      <c r="B1791" s="20"/>
      <c r="C1791" s="190" t="s">
        <v>2970</v>
      </c>
      <c r="D1791" s="190" t="s">
        <v>2971</v>
      </c>
      <c r="E1791" s="19"/>
      <c r="F1791" s="19"/>
      <c r="G1791" s="19"/>
      <c r="H1791" s="20">
        <v>2012</v>
      </c>
      <c r="I1791" s="19" t="s">
        <v>137</v>
      </c>
      <c r="J1791" s="19" t="e">
        <v>#N/A</v>
      </c>
      <c r="K1791" s="19" t="s">
        <v>2963</v>
      </c>
      <c r="L1791" s="22" t="s">
        <v>2906</v>
      </c>
      <c r="M1791" s="23" t="s">
        <v>2847</v>
      </c>
      <c r="N1791" s="24" t="s">
        <v>2967</v>
      </c>
      <c r="O1791" s="24" t="s">
        <v>2968</v>
      </c>
      <c r="P1791" s="26" t="str">
        <f>IFERROR(VLOOKUP(DadosViagem5[[#This Row],[Placa]],[1]BIP!A:E,5,FALSE),"")</f>
        <v/>
      </c>
      <c r="Q1791" s="27" t="e">
        <f ca="1">DATEDIF(DadosViagem5[[#This Row],[BIP]],TODAY(),"D")</f>
        <v>#VALUE!</v>
      </c>
      <c r="R1791" s="28" t="str">
        <f>IFERROR(VLOOKUP(DadosViagem5[[#This Row],[Placa]],[1]DDS!B:C,2,FALSE),"Verificar cadastro")</f>
        <v> </v>
      </c>
      <c r="S1791" s="29" t="s">
        <v>48</v>
      </c>
      <c r="T1791" s="23"/>
      <c r="U1791" s="30"/>
      <c r="V1791" s="31"/>
      <c r="W1791" s="32" t="s">
        <v>384</v>
      </c>
      <c r="X1791" s="33"/>
      <c r="Y1791" s="34"/>
      <c r="Z1791" s="32"/>
      <c r="AA1791" s="20" t="s">
        <v>49</v>
      </c>
      <c r="AB1791" s="20" t="s">
        <v>49</v>
      </c>
      <c r="AC1791" s="20" t="s">
        <v>49</v>
      </c>
      <c r="AD1791" s="20" t="s">
        <v>49</v>
      </c>
      <c r="AE1791" s="36"/>
      <c r="AF1791" s="25"/>
      <c r="AG1791" s="36"/>
      <c r="AH1791" s="25">
        <v>45807</v>
      </c>
      <c r="AI1791" s="36" t="str">
        <f>IF(DadosViagem5[[#This Row],[Dias em manutenção ]]&lt;5,"Dentro do Prazo","Fora do Prazo")</f>
        <v>Fora do Prazo</v>
      </c>
      <c r="AJ1791" s="36" t="e">
        <v>#REF!</v>
      </c>
    </row>
    <row r="1792" spans="1:36">
      <c r="A1792" s="19" t="s">
        <v>2972</v>
      </c>
      <c r="B1792" s="20"/>
      <c r="C1792" s="190" t="s">
        <v>2973</v>
      </c>
      <c r="D1792" s="190" t="s">
        <v>2974</v>
      </c>
      <c r="E1792" s="19"/>
      <c r="F1792" s="19"/>
      <c r="G1792" s="19"/>
      <c r="H1792" s="191">
        <v>2012</v>
      </c>
      <c r="I1792" s="19" t="s">
        <v>137</v>
      </c>
      <c r="J1792" s="19" t="e">
        <v>#N/A</v>
      </c>
      <c r="K1792" s="19" t="s">
        <v>2963</v>
      </c>
      <c r="L1792" s="22" t="s">
        <v>2906</v>
      </c>
      <c r="M1792" s="23" t="s">
        <v>2847</v>
      </c>
      <c r="N1792" s="24" t="s">
        <v>2967</v>
      </c>
      <c r="O1792" s="24" t="s">
        <v>2968</v>
      </c>
      <c r="P1792" s="26" t="str">
        <f>IFERROR(VLOOKUP(DadosViagem5[[#This Row],[Placa]],[1]BIP!A:E,5,FALSE),"")</f>
        <v/>
      </c>
      <c r="Q1792" s="27" t="e">
        <f ca="1">DATEDIF(DadosViagem5[[#This Row],[BIP]],TODAY(),"D")</f>
        <v>#VALUE!</v>
      </c>
      <c r="R1792" s="28" t="str">
        <f>IFERROR(VLOOKUP(DadosViagem5[[#This Row],[Placa]],[1]DDS!B:C,2,FALSE),"Verificar cadastro")</f>
        <v> </v>
      </c>
      <c r="S1792" s="29" t="s">
        <v>48</v>
      </c>
      <c r="T1792" s="23"/>
      <c r="U1792" s="30"/>
      <c r="V1792" s="31"/>
      <c r="W1792" s="32" t="s">
        <v>384</v>
      </c>
      <c r="X1792" s="33"/>
      <c r="Y1792" s="34"/>
      <c r="Z1792" s="32"/>
      <c r="AA1792" s="20" t="s">
        <v>49</v>
      </c>
      <c r="AB1792" s="20" t="s">
        <v>49</v>
      </c>
      <c r="AC1792" s="20" t="s">
        <v>49</v>
      </c>
      <c r="AD1792" s="20" t="s">
        <v>49</v>
      </c>
      <c r="AE1792" s="36"/>
      <c r="AF1792" s="25"/>
      <c r="AG1792" s="36"/>
      <c r="AH1792" s="25">
        <v>45807</v>
      </c>
      <c r="AI1792" s="36" t="str">
        <f>IF(DadosViagem5[[#This Row],[Dias em manutenção ]]&lt;5,"Dentro do Prazo","Fora do Prazo")</f>
        <v>Fora do Prazo</v>
      </c>
      <c r="AJ1792" s="36" t="e">
        <v>#REF!</v>
      </c>
    </row>
    <row r="1793" spans="1:36">
      <c r="A1793" s="19" t="s">
        <v>2975</v>
      </c>
      <c r="B1793" s="20"/>
      <c r="C1793" s="190" t="s">
        <v>2976</v>
      </c>
      <c r="D1793" s="190" t="s">
        <v>257</v>
      </c>
      <c r="E1793" s="19"/>
      <c r="F1793" s="19"/>
      <c r="G1793" s="19"/>
      <c r="H1793" s="191">
        <v>2022</v>
      </c>
      <c r="I1793" s="19" t="s">
        <v>137</v>
      </c>
      <c r="J1793" s="19" t="e">
        <v>#N/A</v>
      </c>
      <c r="K1793" s="19" t="s">
        <v>2963</v>
      </c>
      <c r="L1793" s="22" t="s">
        <v>2906</v>
      </c>
      <c r="M1793" s="23" t="s">
        <v>2847</v>
      </c>
      <c r="N1793" s="24" t="s">
        <v>2967</v>
      </c>
      <c r="O1793" s="24" t="s">
        <v>2968</v>
      </c>
      <c r="P1793" s="26" t="str">
        <f>IFERROR(VLOOKUP(DadosViagem5[[#This Row],[Placa]],[1]BIP!A:E,5,FALSE),"")</f>
        <v/>
      </c>
      <c r="Q1793" s="27" t="e">
        <f ca="1">DATEDIF(DadosViagem5[[#This Row],[BIP]],TODAY(),"D")</f>
        <v>#VALUE!</v>
      </c>
      <c r="R1793" s="28" t="str">
        <f>IFERROR(VLOOKUP(DadosViagem5[[#This Row],[Placa]],[1]DDS!B:C,2,FALSE),"Verificar cadastro")</f>
        <v> </v>
      </c>
      <c r="S1793" s="29" t="s">
        <v>48</v>
      </c>
      <c r="T1793" s="23"/>
      <c r="U1793" s="30"/>
      <c r="V1793" s="31"/>
      <c r="W1793" s="32" t="s">
        <v>384</v>
      </c>
      <c r="X1793" s="33"/>
      <c r="Y1793" s="34"/>
      <c r="Z1793" s="32"/>
      <c r="AA1793" s="20" t="s">
        <v>49</v>
      </c>
      <c r="AB1793" s="20" t="s">
        <v>49</v>
      </c>
      <c r="AC1793" s="20" t="s">
        <v>49</v>
      </c>
      <c r="AD1793" s="20" t="s">
        <v>49</v>
      </c>
      <c r="AE1793" s="36"/>
      <c r="AF1793" s="25"/>
      <c r="AG1793" s="36"/>
      <c r="AH1793" s="25">
        <v>45807</v>
      </c>
      <c r="AI1793" s="36" t="str">
        <f>IF(DadosViagem5[[#This Row],[Dias em manutenção ]]&lt;5,"Dentro do Prazo","Fora do Prazo")</f>
        <v>Fora do Prazo</v>
      </c>
      <c r="AJ1793" s="36" t="e">
        <v>#REF!</v>
      </c>
    </row>
    <row r="1794" spans="1:36">
      <c r="A1794" s="19" t="s">
        <v>2977</v>
      </c>
      <c r="B1794" s="20"/>
      <c r="C1794" s="190" t="s">
        <v>2973</v>
      </c>
      <c r="D1794" s="190" t="s">
        <v>2974</v>
      </c>
      <c r="E1794" s="19"/>
      <c r="F1794" s="19"/>
      <c r="G1794" s="19"/>
      <c r="H1794" s="191">
        <v>2021</v>
      </c>
      <c r="I1794" s="19" t="s">
        <v>137</v>
      </c>
      <c r="J1794" s="19" t="e">
        <v>#N/A</v>
      </c>
      <c r="K1794" s="19" t="s">
        <v>2963</v>
      </c>
      <c r="L1794" s="22" t="s">
        <v>2906</v>
      </c>
      <c r="M1794" s="23" t="s">
        <v>2847</v>
      </c>
      <c r="N1794" s="24" t="s">
        <v>2967</v>
      </c>
      <c r="O1794" s="24" t="s">
        <v>2968</v>
      </c>
      <c r="P1794" s="26" t="str">
        <f>IFERROR(VLOOKUP(DadosViagem5[[#This Row],[Placa]],[1]BIP!A:E,5,FALSE),"")</f>
        <v/>
      </c>
      <c r="Q1794" s="27" t="e">
        <f ca="1">DATEDIF(DadosViagem5[[#This Row],[BIP]],TODAY(),"D")</f>
        <v>#VALUE!</v>
      </c>
      <c r="R1794" s="28" t="str">
        <f>IFERROR(VLOOKUP(DadosViagem5[[#This Row],[Placa]],[1]DDS!B:C,2,FALSE),"Verificar cadastro")</f>
        <v> </v>
      </c>
      <c r="S1794" s="29" t="s">
        <v>48</v>
      </c>
      <c r="T1794" s="23"/>
      <c r="U1794" s="30"/>
      <c r="V1794" s="31"/>
      <c r="W1794" s="32" t="s">
        <v>384</v>
      </c>
      <c r="X1794" s="33"/>
      <c r="Y1794" s="34"/>
      <c r="Z1794" s="32"/>
      <c r="AA1794" s="20" t="s">
        <v>49</v>
      </c>
      <c r="AB1794" s="20" t="s">
        <v>49</v>
      </c>
      <c r="AC1794" s="20" t="s">
        <v>49</v>
      </c>
      <c r="AD1794" s="20" t="s">
        <v>49</v>
      </c>
      <c r="AE1794" s="36"/>
      <c r="AF1794" s="25"/>
      <c r="AG1794" s="36"/>
      <c r="AH1794" s="25">
        <v>45807</v>
      </c>
      <c r="AI1794" s="36" t="str">
        <f>IF(DadosViagem5[[#This Row],[Dias em manutenção ]]&lt;5,"Dentro do Prazo","Fora do Prazo")</f>
        <v>Fora do Prazo</v>
      </c>
      <c r="AJ1794" s="36" t="e">
        <v>#REF!</v>
      </c>
    </row>
    <row r="1795" spans="1:36">
      <c r="A1795" s="19" t="s">
        <v>2978</v>
      </c>
      <c r="B1795" s="20"/>
      <c r="C1795" s="190" t="s">
        <v>2979</v>
      </c>
      <c r="D1795" s="190" t="s">
        <v>257</v>
      </c>
      <c r="E1795" s="19"/>
      <c r="F1795" s="19"/>
      <c r="G1795" s="19"/>
      <c r="H1795" s="191">
        <v>2022</v>
      </c>
      <c r="I1795" s="19" t="s">
        <v>137</v>
      </c>
      <c r="J1795" s="19" t="e">
        <v>#N/A</v>
      </c>
      <c r="K1795" s="19" t="s">
        <v>2963</v>
      </c>
      <c r="L1795" s="22" t="s">
        <v>2906</v>
      </c>
      <c r="M1795" s="23" t="s">
        <v>2847</v>
      </c>
      <c r="N1795" s="24" t="s">
        <v>2967</v>
      </c>
      <c r="O1795" s="24" t="s">
        <v>2968</v>
      </c>
      <c r="P1795" s="26" t="str">
        <f>IFERROR(VLOOKUP(DadosViagem5[[#This Row],[Placa]],[1]BIP!A:E,5,FALSE),"")</f>
        <v/>
      </c>
      <c r="Q1795" s="27" t="e">
        <f ca="1">DATEDIF(DadosViagem5[[#This Row],[BIP]],TODAY(),"D")</f>
        <v>#VALUE!</v>
      </c>
      <c r="R1795" s="28" t="str">
        <f>IFERROR(VLOOKUP(DadosViagem5[[#This Row],[Placa]],[1]DDS!B:C,2,FALSE),"Verificar cadastro")</f>
        <v> </v>
      </c>
      <c r="S1795" s="29" t="s">
        <v>48</v>
      </c>
      <c r="T1795" s="23"/>
      <c r="U1795" s="30"/>
      <c r="V1795" s="31"/>
      <c r="W1795" s="32" t="s">
        <v>384</v>
      </c>
      <c r="X1795" s="33"/>
      <c r="Y1795" s="34"/>
      <c r="Z1795" s="32"/>
      <c r="AA1795" s="20" t="s">
        <v>49</v>
      </c>
      <c r="AB1795" s="20" t="s">
        <v>49</v>
      </c>
      <c r="AC1795" s="20" t="s">
        <v>49</v>
      </c>
      <c r="AD1795" s="20" t="s">
        <v>49</v>
      </c>
      <c r="AE1795" s="36"/>
      <c r="AF1795" s="25"/>
      <c r="AG1795" s="36"/>
      <c r="AH1795" s="25">
        <v>45807</v>
      </c>
      <c r="AI1795" s="36" t="str">
        <f>IF(DadosViagem5[[#This Row],[Dias em manutenção ]]&lt;5,"Dentro do Prazo","Fora do Prazo")</f>
        <v>Fora do Prazo</v>
      </c>
      <c r="AJ1795" s="36" t="e">
        <v>#REF!</v>
      </c>
    </row>
    <row r="1796" spans="1:36">
      <c r="A1796" s="19" t="s">
        <v>2980</v>
      </c>
      <c r="B1796" s="20"/>
      <c r="C1796" s="190" t="s">
        <v>2981</v>
      </c>
      <c r="D1796" s="190" t="s">
        <v>38</v>
      </c>
      <c r="E1796" s="19"/>
      <c r="F1796" s="19"/>
      <c r="G1796" s="19"/>
      <c r="H1796" s="191">
        <v>2022</v>
      </c>
      <c r="I1796" s="19" t="s">
        <v>137</v>
      </c>
      <c r="J1796" s="19" t="e">
        <v>#N/A</v>
      </c>
      <c r="K1796" s="19" t="s">
        <v>2963</v>
      </c>
      <c r="L1796" s="22" t="s">
        <v>2906</v>
      </c>
      <c r="M1796" s="23" t="s">
        <v>2847</v>
      </c>
      <c r="N1796" s="24" t="s">
        <v>2967</v>
      </c>
      <c r="O1796" s="24" t="s">
        <v>2968</v>
      </c>
      <c r="P1796" s="26" t="str">
        <f>IFERROR(VLOOKUP(DadosViagem5[[#This Row],[Placa]],[1]BIP!A:E,5,FALSE),"")</f>
        <v/>
      </c>
      <c r="Q1796" s="27" t="e">
        <f ca="1">DATEDIF(DadosViagem5[[#This Row],[BIP]],TODAY(),"D")</f>
        <v>#VALUE!</v>
      </c>
      <c r="R1796" s="28" t="str">
        <f>IFERROR(VLOOKUP(DadosViagem5[[#This Row],[Placa]],[1]DDS!B:C,2,FALSE),"Verificar cadastro")</f>
        <v> </v>
      </c>
      <c r="S1796" s="29" t="s">
        <v>48</v>
      </c>
      <c r="T1796" s="23"/>
      <c r="U1796" s="30"/>
      <c r="V1796" s="31"/>
      <c r="W1796" s="32" t="s">
        <v>384</v>
      </c>
      <c r="X1796" s="33"/>
      <c r="Y1796" s="34"/>
      <c r="Z1796" s="32"/>
      <c r="AA1796" s="20" t="s">
        <v>49</v>
      </c>
      <c r="AB1796" s="20" t="s">
        <v>49</v>
      </c>
      <c r="AC1796" s="20" t="s">
        <v>49</v>
      </c>
      <c r="AD1796" s="20" t="s">
        <v>49</v>
      </c>
      <c r="AE1796" s="36"/>
      <c r="AF1796" s="25"/>
      <c r="AG1796" s="36"/>
      <c r="AH1796" s="25">
        <v>45807</v>
      </c>
      <c r="AI1796" s="36" t="str">
        <f>IF(DadosViagem5[[#This Row],[Dias em manutenção ]]&lt;5,"Dentro do Prazo","Fora do Prazo")</f>
        <v>Fora do Prazo</v>
      </c>
      <c r="AJ1796" s="36" t="e">
        <v>#REF!</v>
      </c>
    </row>
    <row r="1797" spans="1:36">
      <c r="A1797" s="19" t="s">
        <v>2982</v>
      </c>
      <c r="B1797" s="20"/>
      <c r="C1797" s="190" t="s">
        <v>2976</v>
      </c>
      <c r="D1797" s="190" t="s">
        <v>257</v>
      </c>
      <c r="E1797" s="19"/>
      <c r="F1797" s="19"/>
      <c r="G1797" s="19"/>
      <c r="H1797" s="191">
        <v>2022</v>
      </c>
      <c r="I1797" s="19" t="s">
        <v>137</v>
      </c>
      <c r="J1797" s="19" t="e">
        <v>#N/A</v>
      </c>
      <c r="K1797" s="19" t="s">
        <v>2963</v>
      </c>
      <c r="L1797" s="22" t="s">
        <v>2906</v>
      </c>
      <c r="M1797" s="23" t="s">
        <v>2847</v>
      </c>
      <c r="N1797" s="24" t="s">
        <v>2967</v>
      </c>
      <c r="O1797" s="24" t="s">
        <v>2968</v>
      </c>
      <c r="P1797" s="26" t="str">
        <f>IFERROR(VLOOKUP(DadosViagem5[[#This Row],[Placa]],[1]BIP!A:E,5,FALSE),"")</f>
        <v/>
      </c>
      <c r="Q1797" s="27" t="e">
        <f ca="1">DATEDIF(DadosViagem5[[#This Row],[BIP]],TODAY(),"D")</f>
        <v>#VALUE!</v>
      </c>
      <c r="R1797" s="28" t="str">
        <f>IFERROR(VLOOKUP(DadosViagem5[[#This Row],[Placa]],[1]DDS!B:C,2,FALSE),"Verificar cadastro")</f>
        <v> </v>
      </c>
      <c r="S1797" s="29" t="s">
        <v>48</v>
      </c>
      <c r="T1797" s="23"/>
      <c r="U1797" s="30"/>
      <c r="V1797" s="31"/>
      <c r="W1797" s="32" t="s">
        <v>384</v>
      </c>
      <c r="X1797" s="33"/>
      <c r="Y1797" s="34"/>
      <c r="Z1797" s="32"/>
      <c r="AA1797" s="20" t="s">
        <v>49</v>
      </c>
      <c r="AB1797" s="20" t="s">
        <v>49</v>
      </c>
      <c r="AC1797" s="20" t="s">
        <v>49</v>
      </c>
      <c r="AD1797" s="20" t="s">
        <v>49</v>
      </c>
      <c r="AE1797" s="36"/>
      <c r="AF1797" s="25"/>
      <c r="AG1797" s="36"/>
      <c r="AH1797" s="25">
        <v>45807</v>
      </c>
      <c r="AI1797" s="36" t="str">
        <f>IF(DadosViagem5[[#This Row],[Dias em manutenção ]]&lt;5,"Dentro do Prazo","Fora do Prazo")</f>
        <v>Fora do Prazo</v>
      </c>
      <c r="AJ1797" s="36" t="e">
        <v>#REF!</v>
      </c>
    </row>
    <row r="1798" spans="1:36">
      <c r="A1798" s="19" t="s">
        <v>2983</v>
      </c>
      <c r="B1798" s="20"/>
      <c r="C1798" s="190" t="s">
        <v>2973</v>
      </c>
      <c r="D1798" s="190" t="s">
        <v>2974</v>
      </c>
      <c r="E1798" s="19"/>
      <c r="F1798" s="19"/>
      <c r="G1798" s="19"/>
      <c r="H1798" s="191">
        <v>2021</v>
      </c>
      <c r="I1798" s="19" t="s">
        <v>137</v>
      </c>
      <c r="J1798" s="19" t="e">
        <v>#N/A</v>
      </c>
      <c r="K1798" s="19" t="s">
        <v>2963</v>
      </c>
      <c r="L1798" s="22" t="s">
        <v>2906</v>
      </c>
      <c r="M1798" s="23" t="s">
        <v>2847</v>
      </c>
      <c r="N1798" s="24" t="s">
        <v>2967</v>
      </c>
      <c r="O1798" s="24" t="s">
        <v>2968</v>
      </c>
      <c r="P1798" s="26" t="str">
        <f>IFERROR(VLOOKUP(DadosViagem5[[#This Row],[Placa]],[1]BIP!A:E,5,FALSE),"")</f>
        <v/>
      </c>
      <c r="Q1798" s="27" t="e">
        <f ca="1">DATEDIF(DadosViagem5[[#This Row],[BIP]],TODAY(),"D")</f>
        <v>#VALUE!</v>
      </c>
      <c r="R1798" s="28" t="str">
        <f>IFERROR(VLOOKUP(DadosViagem5[[#This Row],[Placa]],[1]DDS!B:C,2,FALSE),"Verificar cadastro")</f>
        <v> </v>
      </c>
      <c r="S1798" s="29" t="s">
        <v>48</v>
      </c>
      <c r="T1798" s="23"/>
      <c r="U1798" s="30"/>
      <c r="V1798" s="31"/>
      <c r="W1798" s="32" t="s">
        <v>384</v>
      </c>
      <c r="X1798" s="33"/>
      <c r="Y1798" s="34"/>
      <c r="Z1798" s="32"/>
      <c r="AA1798" s="20" t="s">
        <v>49</v>
      </c>
      <c r="AB1798" s="20" t="s">
        <v>49</v>
      </c>
      <c r="AC1798" s="20" t="s">
        <v>49</v>
      </c>
      <c r="AD1798" s="20" t="s">
        <v>49</v>
      </c>
      <c r="AE1798" s="36"/>
      <c r="AF1798" s="25"/>
      <c r="AG1798" s="36"/>
      <c r="AH1798" s="25">
        <v>45807</v>
      </c>
      <c r="AI1798" s="36" t="str">
        <f>IF(DadosViagem5[[#This Row],[Dias em manutenção ]]&lt;5,"Dentro do Prazo","Fora do Prazo")</f>
        <v>Fora do Prazo</v>
      </c>
      <c r="AJ1798" s="36" t="e">
        <v>#REF!</v>
      </c>
    </row>
    <row r="1799" spans="1:36">
      <c r="A1799" s="19" t="s">
        <v>2984</v>
      </c>
      <c r="B1799" s="20"/>
      <c r="C1799" s="190" t="s">
        <v>2981</v>
      </c>
      <c r="D1799" s="190" t="s">
        <v>38</v>
      </c>
      <c r="E1799" s="19"/>
      <c r="F1799" s="19"/>
      <c r="G1799" s="19"/>
      <c r="H1799" s="191">
        <v>2022</v>
      </c>
      <c r="I1799" s="19" t="s">
        <v>137</v>
      </c>
      <c r="J1799" s="19" t="e">
        <v>#N/A</v>
      </c>
      <c r="K1799" s="19" t="s">
        <v>2963</v>
      </c>
      <c r="L1799" s="22" t="s">
        <v>2906</v>
      </c>
      <c r="M1799" s="23" t="s">
        <v>2847</v>
      </c>
      <c r="N1799" s="24" t="s">
        <v>2967</v>
      </c>
      <c r="O1799" s="24" t="s">
        <v>2968</v>
      </c>
      <c r="P1799" s="26" t="str">
        <f>IFERROR(VLOOKUP(DadosViagem5[[#This Row],[Placa]],[1]BIP!A:E,5,FALSE),"")</f>
        <v/>
      </c>
      <c r="Q1799" s="27" t="e">
        <f ca="1">DATEDIF(DadosViagem5[[#This Row],[BIP]],TODAY(),"D")</f>
        <v>#VALUE!</v>
      </c>
      <c r="R1799" s="28" t="str">
        <f>IFERROR(VLOOKUP(DadosViagem5[[#This Row],[Placa]],[1]DDS!B:C,2,FALSE),"Verificar cadastro")</f>
        <v> </v>
      </c>
      <c r="S1799" s="29" t="s">
        <v>48</v>
      </c>
      <c r="T1799" s="23"/>
      <c r="U1799" s="30"/>
      <c r="V1799" s="31"/>
      <c r="W1799" s="32" t="s">
        <v>384</v>
      </c>
      <c r="X1799" s="33"/>
      <c r="Y1799" s="34"/>
      <c r="Z1799" s="32"/>
      <c r="AA1799" s="20" t="s">
        <v>49</v>
      </c>
      <c r="AB1799" s="20" t="s">
        <v>49</v>
      </c>
      <c r="AC1799" s="20" t="s">
        <v>49</v>
      </c>
      <c r="AD1799" s="20" t="s">
        <v>49</v>
      </c>
      <c r="AE1799" s="36"/>
      <c r="AF1799" s="25"/>
      <c r="AG1799" s="36"/>
      <c r="AH1799" s="25">
        <v>45807</v>
      </c>
      <c r="AI1799" s="36" t="str">
        <f>IF(DadosViagem5[[#This Row],[Dias em manutenção ]]&lt;5,"Dentro do Prazo","Fora do Prazo")</f>
        <v>Fora do Prazo</v>
      </c>
      <c r="AJ1799" s="36" t="e">
        <v>#REF!</v>
      </c>
    </row>
    <row r="1800" spans="1:36">
      <c r="A1800" s="19" t="s">
        <v>2985</v>
      </c>
      <c r="B1800" s="20"/>
      <c r="C1800" s="190" t="s">
        <v>2981</v>
      </c>
      <c r="D1800" s="190" t="s">
        <v>38</v>
      </c>
      <c r="E1800" s="19"/>
      <c r="F1800" s="19"/>
      <c r="G1800" s="19"/>
      <c r="H1800" s="191">
        <v>2022</v>
      </c>
      <c r="I1800" s="19" t="s">
        <v>137</v>
      </c>
      <c r="J1800" s="19" t="e">
        <v>#N/A</v>
      </c>
      <c r="K1800" s="19" t="s">
        <v>2963</v>
      </c>
      <c r="L1800" s="22" t="s">
        <v>2906</v>
      </c>
      <c r="M1800" s="23" t="s">
        <v>2847</v>
      </c>
      <c r="N1800" s="24" t="s">
        <v>2967</v>
      </c>
      <c r="O1800" s="24" t="s">
        <v>2968</v>
      </c>
      <c r="P1800" s="26" t="str">
        <f>IFERROR(VLOOKUP(DadosViagem5[[#This Row],[Placa]],[1]BIP!A:E,5,FALSE),"")</f>
        <v/>
      </c>
      <c r="Q1800" s="27" t="e">
        <f ca="1">DATEDIF(DadosViagem5[[#This Row],[BIP]],TODAY(),"D")</f>
        <v>#VALUE!</v>
      </c>
      <c r="R1800" s="28" t="str">
        <f>IFERROR(VLOOKUP(DadosViagem5[[#This Row],[Placa]],[1]DDS!B:C,2,FALSE),"Verificar cadastro")</f>
        <v> </v>
      </c>
      <c r="S1800" s="29" t="s">
        <v>48</v>
      </c>
      <c r="T1800" s="23"/>
      <c r="U1800" s="30"/>
      <c r="V1800" s="31"/>
      <c r="W1800" s="32" t="s">
        <v>384</v>
      </c>
      <c r="X1800" s="33"/>
      <c r="Y1800" s="34"/>
      <c r="Z1800" s="32"/>
      <c r="AA1800" s="20" t="s">
        <v>49</v>
      </c>
      <c r="AB1800" s="20" t="s">
        <v>49</v>
      </c>
      <c r="AC1800" s="20" t="s">
        <v>49</v>
      </c>
      <c r="AD1800" s="20" t="s">
        <v>49</v>
      </c>
      <c r="AE1800" s="36"/>
      <c r="AF1800" s="25"/>
      <c r="AG1800" s="36"/>
      <c r="AH1800" s="25">
        <v>45807</v>
      </c>
      <c r="AI1800" s="36" t="str">
        <f>IF(DadosViagem5[[#This Row],[Dias em manutenção ]]&lt;5,"Dentro do Prazo","Fora do Prazo")</f>
        <v>Fora do Prazo</v>
      </c>
      <c r="AJ1800" s="36" t="e">
        <v>#REF!</v>
      </c>
    </row>
    <row r="1801" spans="1:36">
      <c r="A1801" s="19" t="s">
        <v>2986</v>
      </c>
      <c r="B1801" s="20"/>
      <c r="C1801" s="190" t="s">
        <v>2973</v>
      </c>
      <c r="D1801" s="190" t="s">
        <v>2974</v>
      </c>
      <c r="E1801" s="19"/>
      <c r="F1801" s="19"/>
      <c r="G1801" s="19"/>
      <c r="H1801" s="191">
        <v>2022</v>
      </c>
      <c r="I1801" s="19" t="s">
        <v>137</v>
      </c>
      <c r="J1801" s="19" t="e">
        <v>#N/A</v>
      </c>
      <c r="K1801" s="19" t="s">
        <v>2963</v>
      </c>
      <c r="L1801" s="22" t="s">
        <v>2906</v>
      </c>
      <c r="M1801" s="23" t="s">
        <v>2847</v>
      </c>
      <c r="N1801" s="24" t="s">
        <v>2967</v>
      </c>
      <c r="O1801" s="24" t="s">
        <v>2968</v>
      </c>
      <c r="P1801" s="26" t="str">
        <f>IFERROR(VLOOKUP(DadosViagem5[[#This Row],[Placa]],[1]BIP!A:E,5,FALSE),"")</f>
        <v/>
      </c>
      <c r="Q1801" s="27" t="e">
        <f ca="1">DATEDIF(DadosViagem5[[#This Row],[BIP]],TODAY(),"D")</f>
        <v>#VALUE!</v>
      </c>
      <c r="R1801" s="28" t="str">
        <f>IFERROR(VLOOKUP(DadosViagem5[[#This Row],[Placa]],[1]DDS!B:C,2,FALSE),"Verificar cadastro")</f>
        <v> </v>
      </c>
      <c r="S1801" s="29" t="s">
        <v>48</v>
      </c>
      <c r="T1801" s="23"/>
      <c r="U1801" s="30"/>
      <c r="V1801" s="31"/>
      <c r="W1801" s="32" t="s">
        <v>384</v>
      </c>
      <c r="X1801" s="33"/>
      <c r="Y1801" s="34"/>
      <c r="Z1801" s="32"/>
      <c r="AA1801" s="20" t="s">
        <v>49</v>
      </c>
      <c r="AB1801" s="20" t="s">
        <v>49</v>
      </c>
      <c r="AC1801" s="20" t="s">
        <v>49</v>
      </c>
      <c r="AD1801" s="20" t="s">
        <v>49</v>
      </c>
      <c r="AE1801" s="36"/>
      <c r="AF1801" s="25"/>
      <c r="AG1801" s="36"/>
      <c r="AH1801" s="25">
        <v>45807</v>
      </c>
      <c r="AI1801" s="36" t="str">
        <f>IF(DadosViagem5[[#This Row],[Dias em manutenção ]]&lt;5,"Dentro do Prazo","Fora do Prazo")</f>
        <v>Fora do Prazo</v>
      </c>
      <c r="AJ1801" s="36" t="e">
        <v>#REF!</v>
      </c>
    </row>
    <row r="1802" spans="1:36">
      <c r="A1802" s="19" t="s">
        <v>2987</v>
      </c>
      <c r="B1802" s="20"/>
      <c r="C1802" s="190" t="s">
        <v>2973</v>
      </c>
      <c r="D1802" s="190" t="s">
        <v>2974</v>
      </c>
      <c r="E1802" s="19"/>
      <c r="F1802" s="19"/>
      <c r="G1802" s="19"/>
      <c r="H1802" s="191">
        <v>2022</v>
      </c>
      <c r="I1802" s="19" t="s">
        <v>137</v>
      </c>
      <c r="J1802" s="19" t="e">
        <v>#N/A</v>
      </c>
      <c r="K1802" s="19" t="s">
        <v>2963</v>
      </c>
      <c r="L1802" s="22" t="s">
        <v>2906</v>
      </c>
      <c r="M1802" s="23" t="s">
        <v>2847</v>
      </c>
      <c r="N1802" s="24" t="s">
        <v>2967</v>
      </c>
      <c r="O1802" s="24" t="s">
        <v>2968</v>
      </c>
      <c r="P1802" s="26" t="str">
        <f>IFERROR(VLOOKUP(DadosViagem5[[#This Row],[Placa]],[1]BIP!A:E,5,FALSE),"")</f>
        <v/>
      </c>
      <c r="Q1802" s="27" t="e">
        <f ca="1">DATEDIF(DadosViagem5[[#This Row],[BIP]],TODAY(),"D")</f>
        <v>#VALUE!</v>
      </c>
      <c r="R1802" s="28" t="str">
        <f>IFERROR(VLOOKUP(DadosViagem5[[#This Row],[Placa]],[1]DDS!B:C,2,FALSE),"Verificar cadastro")</f>
        <v> </v>
      </c>
      <c r="S1802" s="29" t="s">
        <v>48</v>
      </c>
      <c r="T1802" s="23"/>
      <c r="U1802" s="30"/>
      <c r="V1802" s="31"/>
      <c r="W1802" s="32" t="s">
        <v>384</v>
      </c>
      <c r="X1802" s="33"/>
      <c r="Y1802" s="34"/>
      <c r="Z1802" s="32"/>
      <c r="AA1802" s="20" t="s">
        <v>49</v>
      </c>
      <c r="AB1802" s="20" t="s">
        <v>49</v>
      </c>
      <c r="AC1802" s="20" t="s">
        <v>49</v>
      </c>
      <c r="AD1802" s="20" t="s">
        <v>49</v>
      </c>
      <c r="AE1802" s="36"/>
      <c r="AF1802" s="25"/>
      <c r="AG1802" s="36"/>
      <c r="AH1802" s="25">
        <v>45807</v>
      </c>
      <c r="AI1802" s="36" t="str">
        <f>IF(DadosViagem5[[#This Row],[Dias em manutenção ]]&lt;5,"Dentro do Prazo","Fora do Prazo")</f>
        <v>Fora do Prazo</v>
      </c>
      <c r="AJ1802" s="36" t="e">
        <v>#REF!</v>
      </c>
    </row>
    <row r="1803" spans="1:36">
      <c r="A1803" s="19" t="s">
        <v>2988</v>
      </c>
      <c r="B1803" s="20"/>
      <c r="C1803" s="190" t="s">
        <v>2981</v>
      </c>
      <c r="D1803" s="190" t="s">
        <v>38</v>
      </c>
      <c r="E1803" s="19"/>
      <c r="F1803" s="19"/>
      <c r="G1803" s="19"/>
      <c r="H1803" s="191">
        <v>2022</v>
      </c>
      <c r="I1803" s="19" t="s">
        <v>137</v>
      </c>
      <c r="J1803" s="19" t="e">
        <v>#N/A</v>
      </c>
      <c r="K1803" s="19" t="s">
        <v>2963</v>
      </c>
      <c r="L1803" s="22" t="s">
        <v>2906</v>
      </c>
      <c r="M1803" s="23" t="s">
        <v>2847</v>
      </c>
      <c r="N1803" s="24" t="s">
        <v>2967</v>
      </c>
      <c r="O1803" s="24" t="s">
        <v>2968</v>
      </c>
      <c r="P1803" s="26" t="str">
        <f>IFERROR(VLOOKUP(DadosViagem5[[#This Row],[Placa]],[1]BIP!A:E,5,FALSE),"")</f>
        <v/>
      </c>
      <c r="Q1803" s="27" t="e">
        <f ca="1">DATEDIF(DadosViagem5[[#This Row],[BIP]],TODAY(),"D")</f>
        <v>#VALUE!</v>
      </c>
      <c r="R1803" s="28" t="str">
        <f>IFERROR(VLOOKUP(DadosViagem5[[#This Row],[Placa]],[1]DDS!B:C,2,FALSE),"Verificar cadastro")</f>
        <v> </v>
      </c>
      <c r="S1803" s="29" t="s">
        <v>48</v>
      </c>
      <c r="T1803" s="23"/>
      <c r="U1803" s="30"/>
      <c r="V1803" s="31"/>
      <c r="W1803" s="32" t="s">
        <v>384</v>
      </c>
      <c r="X1803" s="33"/>
      <c r="Y1803" s="34"/>
      <c r="Z1803" s="32"/>
      <c r="AA1803" s="20" t="s">
        <v>49</v>
      </c>
      <c r="AB1803" s="20" t="s">
        <v>49</v>
      </c>
      <c r="AC1803" s="20" t="s">
        <v>49</v>
      </c>
      <c r="AD1803" s="20" t="s">
        <v>49</v>
      </c>
      <c r="AE1803" s="36"/>
      <c r="AF1803" s="25"/>
      <c r="AG1803" s="36"/>
      <c r="AH1803" s="25">
        <v>45807</v>
      </c>
      <c r="AI1803" s="36" t="str">
        <f>IF(DadosViagem5[[#This Row],[Dias em manutenção ]]&lt;5,"Dentro do Prazo","Fora do Prazo")</f>
        <v>Fora do Prazo</v>
      </c>
      <c r="AJ1803" s="36" t="e">
        <v>#REF!</v>
      </c>
    </row>
    <row r="1804" spans="1:36">
      <c r="A1804" s="19" t="s">
        <v>2989</v>
      </c>
      <c r="B1804" s="20"/>
      <c r="C1804" s="19" t="s">
        <v>263</v>
      </c>
      <c r="D1804" s="19" t="s">
        <v>264</v>
      </c>
      <c r="E1804" s="19" t="s">
        <v>72</v>
      </c>
      <c r="F1804" s="19" t="s">
        <v>2941</v>
      </c>
      <c r="G1804" s="19"/>
      <c r="H1804" s="20">
        <v>2022</v>
      </c>
      <c r="I1804" s="19" t="s">
        <v>1183</v>
      </c>
      <c r="J1804" s="19" t="e">
        <v>#N/A</v>
      </c>
      <c r="K1804" s="21" t="s">
        <v>2990</v>
      </c>
      <c r="L1804" s="22" t="s">
        <v>2906</v>
      </c>
      <c r="M1804" s="23" t="s">
        <v>2847</v>
      </c>
      <c r="N1804" s="24" t="s">
        <v>2991</v>
      </c>
      <c r="O1804" s="40" t="s">
        <v>2908</v>
      </c>
      <c r="P1804" s="26">
        <f ca="1">IFERROR(VLOOKUP(DadosViagem5[[#This Row],[Placa]],[1]BIP!A:E,5,FALSE),"")</f>
        <v>0</v>
      </c>
      <c r="Q1804" s="27">
        <f ca="1">DATEDIF(DadosViagem5[[#This Row],[BIP]],TODAY(),"D")</f>
        <v>45990</v>
      </c>
      <c r="R1804" s="28" t="str">
        <f>IFERROR(VLOOKUP(DadosViagem5[[#This Row],[Placa]],[1]DDS!B:C,2,FALSE),"Verificar cadastro")</f>
        <v> </v>
      </c>
      <c r="S1804" s="29" t="s">
        <v>48</v>
      </c>
      <c r="T1804" s="23"/>
      <c r="U1804" s="30"/>
      <c r="V1804" s="31"/>
      <c r="W1804" s="32" t="s">
        <v>384</v>
      </c>
      <c r="X1804" s="33"/>
      <c r="Y1804" s="34" t="s">
        <v>49</v>
      </c>
      <c r="Z1804" s="32"/>
      <c r="AA1804" s="20" t="s">
        <v>49</v>
      </c>
      <c r="AB1804" s="20" t="s">
        <v>49</v>
      </c>
      <c r="AC1804" s="19" t="s">
        <v>49</v>
      </c>
      <c r="AD1804" s="19" t="str">
        <f ca="1">IFERROR(DATEDIF(DadosViagem5[[#This Row],[Utimo Bip Reserva]],TODAY(),"D"),"")</f>
        <v/>
      </c>
      <c r="AE1804" s="35" t="s">
        <v>49</v>
      </c>
      <c r="AF1804" s="35" t="s">
        <v>49</v>
      </c>
      <c r="AG1804" s="36"/>
      <c r="AH1804" s="25">
        <v>45807</v>
      </c>
      <c r="AI1804" s="36" t="str">
        <f>IF(DadosViagem5[[#This Row],[Dias em manutenção ]]&lt;5,"Dentro do Prazo","Fora do Prazo")</f>
        <v>Fora do Prazo</v>
      </c>
      <c r="AJ1804" s="36" t="e">
        <v>#REF!</v>
      </c>
    </row>
    <row r="1805" spans="1:36">
      <c r="A1805" s="19" t="s">
        <v>2992</v>
      </c>
      <c r="B1805" s="20"/>
      <c r="C1805" s="19" t="s">
        <v>131</v>
      </c>
      <c r="D1805" s="19" t="s">
        <v>132</v>
      </c>
      <c r="E1805" s="19" t="s">
        <v>57</v>
      </c>
      <c r="F1805" s="19" t="s">
        <v>573</v>
      </c>
      <c r="G1805" s="19"/>
      <c r="H1805" s="20">
        <v>2022</v>
      </c>
      <c r="I1805" s="19" t="s">
        <v>1183</v>
      </c>
      <c r="J1805" s="19" t="s">
        <v>1183</v>
      </c>
      <c r="K1805" s="21" t="s">
        <v>2990</v>
      </c>
      <c r="L1805" s="22" t="s">
        <v>2906</v>
      </c>
      <c r="M1805" s="23" t="s">
        <v>2847</v>
      </c>
      <c r="N1805" s="24" t="s">
        <v>2991</v>
      </c>
      <c r="O1805" s="24" t="s">
        <v>2993</v>
      </c>
      <c r="P1805" s="26">
        <f ca="1">IFERROR(VLOOKUP(DadosViagem5[[#This Row],[Placa]],[1]BIP!A:E,5,FALSE),"")</f>
        <v>0</v>
      </c>
      <c r="Q1805" s="27">
        <f ca="1">DATEDIF(DadosViagem5[[#This Row],[BIP]],TODAY(),"D")</f>
        <v>45990</v>
      </c>
      <c r="R1805" s="28" t="str">
        <f>IFERROR(VLOOKUP(DadosViagem5[[#This Row],[Placa]],[1]DDS!B:C,2,FALSE),"Verificar cadastro")</f>
        <v> </v>
      </c>
      <c r="S1805" s="29" t="s">
        <v>48</v>
      </c>
      <c r="T1805" s="23"/>
      <c r="U1805" s="30"/>
      <c r="V1805" s="31"/>
      <c r="W1805" s="32" t="s">
        <v>384</v>
      </c>
      <c r="X1805" s="33"/>
      <c r="Y1805" s="34" t="s">
        <v>49</v>
      </c>
      <c r="Z1805" s="32"/>
      <c r="AA1805" s="20" t="s">
        <v>49</v>
      </c>
      <c r="AB1805" s="20" t="s">
        <v>49</v>
      </c>
      <c r="AC1805" s="19" t="s">
        <v>49</v>
      </c>
      <c r="AD1805" s="19" t="str">
        <f ca="1">IFERROR(DATEDIF(DadosViagem5[[#This Row],[Utimo Bip Reserva]],TODAY(),"D"),"")</f>
        <v/>
      </c>
      <c r="AE1805" s="36" t="s">
        <v>49</v>
      </c>
      <c r="AF1805" s="25" t="s">
        <v>49</v>
      </c>
      <c r="AG1805" s="36"/>
      <c r="AH1805" s="25">
        <v>45807</v>
      </c>
      <c r="AI1805" s="36" t="str">
        <f>IF(DadosViagem5[[#This Row],[Dias em manutenção ]]&lt;5,"Dentro do Prazo","Fora do Prazo")</f>
        <v>Fora do Prazo</v>
      </c>
      <c r="AJ1805" s="36" t="e">
        <v>#REF!</v>
      </c>
    </row>
    <row r="1806" spans="1:36">
      <c r="A1806" s="19" t="s">
        <v>2994</v>
      </c>
      <c r="B1806" s="20"/>
      <c r="C1806" s="19" t="s">
        <v>2937</v>
      </c>
      <c r="D1806" s="19" t="s">
        <v>264</v>
      </c>
      <c r="E1806" s="19" t="s">
        <v>53</v>
      </c>
      <c r="F1806" s="19" t="s">
        <v>2941</v>
      </c>
      <c r="G1806" s="19"/>
      <c r="H1806" s="20">
        <v>2022</v>
      </c>
      <c r="I1806" s="19" t="s">
        <v>1183</v>
      </c>
      <c r="J1806" s="19" t="e">
        <v>#N/A</v>
      </c>
      <c r="K1806" s="21" t="s">
        <v>2990</v>
      </c>
      <c r="L1806" s="22" t="s">
        <v>2906</v>
      </c>
      <c r="M1806" s="23" t="s">
        <v>2847</v>
      </c>
      <c r="N1806" s="24" t="s">
        <v>2991</v>
      </c>
      <c r="O1806" s="40" t="s">
        <v>2908</v>
      </c>
      <c r="P1806" s="26">
        <f ca="1">IFERROR(VLOOKUP(DadosViagem5[[#This Row],[Placa]],[1]BIP!A:E,5,FALSE),"")</f>
        <v>0</v>
      </c>
      <c r="Q1806" s="27">
        <f ca="1">DATEDIF(DadosViagem5[[#This Row],[BIP]],TODAY(),"D")</f>
        <v>45990</v>
      </c>
      <c r="R1806" s="28" t="str">
        <f>IFERROR(VLOOKUP(DadosViagem5[[#This Row],[Placa]],[1]DDS!B:C,2,FALSE),"Verificar cadastro")</f>
        <v> </v>
      </c>
      <c r="S1806" s="29" t="s">
        <v>48</v>
      </c>
      <c r="T1806" s="23"/>
      <c r="U1806" s="30"/>
      <c r="V1806" s="31"/>
      <c r="W1806" s="32" t="s">
        <v>384</v>
      </c>
      <c r="X1806" s="33"/>
      <c r="Y1806" s="34"/>
      <c r="Z1806" s="32"/>
      <c r="AA1806" s="20" t="s">
        <v>49</v>
      </c>
      <c r="AB1806" s="20" t="s">
        <v>49</v>
      </c>
      <c r="AC1806" s="19" t="s">
        <v>49</v>
      </c>
      <c r="AD1806" s="19" t="str">
        <f ca="1">IFERROR(DATEDIF(DadosViagem5[[#This Row],[Utimo Bip Reserva]],TODAY(),"D"),"")</f>
        <v/>
      </c>
      <c r="AE1806" s="25" t="s">
        <v>49</v>
      </c>
      <c r="AF1806" s="25" t="s">
        <v>49</v>
      </c>
      <c r="AG1806" s="36"/>
      <c r="AH1806" s="25">
        <v>45807</v>
      </c>
      <c r="AI1806" s="36" t="str">
        <f>IF(DadosViagem5[[#This Row],[Dias em manutenção ]]&lt;5,"Dentro do Prazo","Fora do Prazo")</f>
        <v>Fora do Prazo</v>
      </c>
      <c r="AJ1806" s="36" t="e">
        <v>#REF!</v>
      </c>
    </row>
    <row r="1807" spans="1:36">
      <c r="A1807" s="19" t="s">
        <v>2995</v>
      </c>
      <c r="B1807" s="20"/>
      <c r="C1807" s="19" t="s">
        <v>2940</v>
      </c>
      <c r="D1807" s="19" t="s">
        <v>264</v>
      </c>
      <c r="E1807" s="19" t="s">
        <v>265</v>
      </c>
      <c r="F1807" s="19" t="s">
        <v>2941</v>
      </c>
      <c r="G1807" s="19"/>
      <c r="H1807" s="20">
        <v>2022</v>
      </c>
      <c r="I1807" s="19" t="s">
        <v>1183</v>
      </c>
      <c r="J1807" s="19" t="e">
        <v>#N/A</v>
      </c>
      <c r="K1807" s="21" t="s">
        <v>2990</v>
      </c>
      <c r="L1807" s="22" t="s">
        <v>2906</v>
      </c>
      <c r="M1807" s="23" t="s">
        <v>2847</v>
      </c>
      <c r="N1807" s="24" t="s">
        <v>2991</v>
      </c>
      <c r="O1807" s="40" t="s">
        <v>2908</v>
      </c>
      <c r="P1807" s="26">
        <f ca="1">IFERROR(VLOOKUP(DadosViagem5[[#This Row],[Placa]],[1]BIP!A:E,5,FALSE),"")</f>
        <v>0</v>
      </c>
      <c r="Q1807" s="27">
        <f ca="1">DATEDIF(DadosViagem5[[#This Row],[BIP]],TODAY(),"D")</f>
        <v>45990</v>
      </c>
      <c r="R1807" s="28" t="str">
        <f>IFERROR(VLOOKUP(DadosViagem5[[#This Row],[Placa]],[1]DDS!B:C,2,FALSE),"Verificar cadastro")</f>
        <v> </v>
      </c>
      <c r="S1807" s="29" t="s">
        <v>48</v>
      </c>
      <c r="T1807" s="23"/>
      <c r="U1807" s="30"/>
      <c r="V1807" s="31"/>
      <c r="W1807" s="32" t="s">
        <v>384</v>
      </c>
      <c r="X1807" s="33"/>
      <c r="Y1807" s="34"/>
      <c r="Z1807" s="32"/>
      <c r="AA1807" s="20" t="s">
        <v>49</v>
      </c>
      <c r="AB1807" s="20" t="s">
        <v>49</v>
      </c>
      <c r="AC1807" s="19" t="s">
        <v>49</v>
      </c>
      <c r="AD1807" s="19" t="str">
        <f ca="1">IFERROR(DATEDIF(DadosViagem5[[#This Row],[Utimo Bip Reserva]],TODAY(),"D"),"")</f>
        <v/>
      </c>
      <c r="AE1807" s="25" t="s">
        <v>49</v>
      </c>
      <c r="AF1807" s="25" t="s">
        <v>49</v>
      </c>
      <c r="AG1807" s="36"/>
      <c r="AH1807" s="25">
        <v>45807</v>
      </c>
      <c r="AI1807" s="36" t="str">
        <f>IF(DadosViagem5[[#This Row],[Dias em manutenção ]]&lt;5,"Dentro do Prazo","Fora do Prazo")</f>
        <v>Fora do Prazo</v>
      </c>
      <c r="AJ1807" s="36" t="e">
        <v>#REF!</v>
      </c>
    </row>
    <row r="1808" spans="1:36">
      <c r="A1808" s="19" t="s">
        <v>2996</v>
      </c>
      <c r="B1808" s="20"/>
      <c r="C1808" s="19" t="s">
        <v>2940</v>
      </c>
      <c r="D1808" s="19" t="s">
        <v>264</v>
      </c>
      <c r="E1808" s="19" t="s">
        <v>265</v>
      </c>
      <c r="F1808" s="19" t="s">
        <v>2941</v>
      </c>
      <c r="G1808" s="19"/>
      <c r="H1808" s="20">
        <v>2022</v>
      </c>
      <c r="I1808" s="19" t="s">
        <v>1183</v>
      </c>
      <c r="J1808" s="19" t="e">
        <v>#N/A</v>
      </c>
      <c r="K1808" s="21" t="s">
        <v>2990</v>
      </c>
      <c r="L1808" s="22" t="s">
        <v>2906</v>
      </c>
      <c r="M1808" s="23" t="s">
        <v>2847</v>
      </c>
      <c r="N1808" s="24" t="s">
        <v>2991</v>
      </c>
      <c r="O1808" s="40" t="s">
        <v>2908</v>
      </c>
      <c r="P1808" s="26">
        <f ca="1">IFERROR(VLOOKUP(DadosViagem5[[#This Row],[Placa]],[1]BIP!A:E,5,FALSE),"")</f>
        <v>0</v>
      </c>
      <c r="Q1808" s="27">
        <f ca="1">DATEDIF(DadosViagem5[[#This Row],[BIP]],TODAY(),"D")</f>
        <v>45990</v>
      </c>
      <c r="R1808" s="28" t="str">
        <f>IFERROR(VLOOKUP(DadosViagem5[[#This Row],[Placa]],[1]DDS!B:C,2,FALSE),"Verificar cadastro")</f>
        <v> </v>
      </c>
      <c r="S1808" s="29" t="s">
        <v>48</v>
      </c>
      <c r="T1808" s="23"/>
      <c r="U1808" s="30"/>
      <c r="V1808" s="31"/>
      <c r="W1808" s="32" t="s">
        <v>384</v>
      </c>
      <c r="X1808" s="33"/>
      <c r="Y1808" s="34"/>
      <c r="Z1808" s="32"/>
      <c r="AA1808" s="20" t="s">
        <v>49</v>
      </c>
      <c r="AB1808" s="20" t="s">
        <v>49</v>
      </c>
      <c r="AC1808" s="19" t="s">
        <v>49</v>
      </c>
      <c r="AD1808" s="19" t="str">
        <f ca="1">IFERROR(DATEDIF(DadosViagem5[[#This Row],[Utimo Bip Reserva]],TODAY(),"D"),"")</f>
        <v/>
      </c>
      <c r="AE1808" s="29"/>
      <c r="AF1808" s="35"/>
      <c r="AG1808" s="36"/>
      <c r="AH1808" s="25">
        <v>45807</v>
      </c>
      <c r="AI1808" s="36" t="str">
        <f>IF(DadosViagem5[[#This Row],[Dias em manutenção ]]&lt;5,"Dentro do Prazo","Fora do Prazo")</f>
        <v>Fora do Prazo</v>
      </c>
      <c r="AJ1808" s="36" t="e">
        <v>#REF!</v>
      </c>
    </row>
    <row r="1809" spans="1:36">
      <c r="A1809" s="19" t="s">
        <v>2997</v>
      </c>
      <c r="B1809" s="20"/>
      <c r="C1809" s="19" t="s">
        <v>2940</v>
      </c>
      <c r="D1809" s="19" t="s">
        <v>264</v>
      </c>
      <c r="E1809" s="19" t="s">
        <v>265</v>
      </c>
      <c r="F1809" s="19" t="s">
        <v>2941</v>
      </c>
      <c r="G1809" s="19"/>
      <c r="H1809" s="20">
        <v>2022</v>
      </c>
      <c r="I1809" s="19" t="s">
        <v>1183</v>
      </c>
      <c r="J1809" s="19" t="e">
        <v>#N/A</v>
      </c>
      <c r="K1809" s="21" t="s">
        <v>2990</v>
      </c>
      <c r="L1809" s="22" t="s">
        <v>2906</v>
      </c>
      <c r="M1809" s="23" t="s">
        <v>2847</v>
      </c>
      <c r="N1809" s="24" t="s">
        <v>2991</v>
      </c>
      <c r="O1809" s="40" t="s">
        <v>2908</v>
      </c>
      <c r="P1809" s="26">
        <f ca="1">IFERROR(VLOOKUP(DadosViagem5[[#This Row],[Placa]],[1]BIP!A:E,5,FALSE),"")</f>
        <v>0</v>
      </c>
      <c r="Q1809" s="27">
        <f ca="1">DATEDIF(DadosViagem5[[#This Row],[BIP]],TODAY(),"D")</f>
        <v>45990</v>
      </c>
      <c r="R1809" s="28" t="str">
        <f>IFERROR(VLOOKUP(DadosViagem5[[#This Row],[Placa]],[1]DDS!B:C,2,FALSE),"Verificar cadastro")</f>
        <v> </v>
      </c>
      <c r="S1809" s="29" t="s">
        <v>48</v>
      </c>
      <c r="T1809" s="23"/>
      <c r="U1809" s="30"/>
      <c r="V1809" s="31"/>
      <c r="W1809" s="32" t="s">
        <v>384</v>
      </c>
      <c r="X1809" s="33"/>
      <c r="Y1809" s="34"/>
      <c r="Z1809" s="32"/>
      <c r="AA1809" s="20" t="s">
        <v>49</v>
      </c>
      <c r="AB1809" s="20" t="s">
        <v>49</v>
      </c>
      <c r="AC1809" s="19" t="s">
        <v>49</v>
      </c>
      <c r="AD1809" s="19" t="str">
        <f ca="1">IFERROR(DATEDIF(DadosViagem5[[#This Row],[Utimo Bip Reserva]],TODAY(),"D"),"")</f>
        <v/>
      </c>
      <c r="AE1809" s="59"/>
      <c r="AF1809" s="25"/>
      <c r="AG1809" s="36"/>
      <c r="AH1809" s="25">
        <v>45807</v>
      </c>
      <c r="AI1809" s="36" t="str">
        <f>IF(DadosViagem5[[#This Row],[Dias em manutenção ]]&lt;5,"Dentro do Prazo","Fora do Prazo")</f>
        <v>Fora do Prazo</v>
      </c>
      <c r="AJ1809" s="36" t="e">
        <v>#REF!</v>
      </c>
    </row>
    <row r="1810" spans="1:36">
      <c r="A1810" s="19" t="s">
        <v>2998</v>
      </c>
      <c r="B1810" s="20"/>
      <c r="C1810" s="19" t="s">
        <v>2960</v>
      </c>
      <c r="D1810" s="19" t="s">
        <v>264</v>
      </c>
      <c r="E1810" s="19" t="s">
        <v>53</v>
      </c>
      <c r="F1810" s="19"/>
      <c r="G1810" s="19"/>
      <c r="H1810" s="20">
        <v>2024</v>
      </c>
      <c r="I1810" s="19" t="s">
        <v>1183</v>
      </c>
      <c r="J1810" s="19" t="e">
        <v>#N/A</v>
      </c>
      <c r="K1810" s="108" t="s">
        <v>2990</v>
      </c>
      <c r="L1810" s="22" t="s">
        <v>2906</v>
      </c>
      <c r="M1810" s="23" t="s">
        <v>2847</v>
      </c>
      <c r="N1810" s="24" t="s">
        <v>2991</v>
      </c>
      <c r="O1810" s="40" t="s">
        <v>2908</v>
      </c>
      <c r="P1810" s="26">
        <f ca="1">IFERROR(VLOOKUP(DadosViagem5[[#This Row],[Placa]],[1]BIP!A:E,5,FALSE),"")</f>
        <v>0</v>
      </c>
      <c r="Q1810" s="27">
        <f ca="1">DATEDIF(DadosViagem5[[#This Row],[BIP]],TODAY(),"D")</f>
        <v>45990</v>
      </c>
      <c r="R1810" s="28" t="str">
        <f>IFERROR(VLOOKUP(DadosViagem5[[#This Row],[Placa]],[1]DDS!B:C,2,FALSE),"Verificar cadastro")</f>
        <v> </v>
      </c>
      <c r="S1810" s="29" t="s">
        <v>48</v>
      </c>
      <c r="T1810" s="23"/>
      <c r="U1810" s="30"/>
      <c r="V1810" s="31"/>
      <c r="W1810" s="32" t="s">
        <v>384</v>
      </c>
      <c r="X1810" s="33"/>
      <c r="Y1810" s="34"/>
      <c r="Z1810" s="32"/>
      <c r="AA1810" s="20" t="s">
        <v>49</v>
      </c>
      <c r="AB1810" s="20" t="s">
        <v>49</v>
      </c>
      <c r="AC1810" s="19" t="s">
        <v>49</v>
      </c>
      <c r="AD1810" s="19" t="str">
        <f ca="1">IFERROR(DATEDIF(DadosViagem5[[#This Row],[Utimo Bip Reserva]],TODAY(),"D"),"")</f>
        <v/>
      </c>
      <c r="AE1810" s="36"/>
      <c r="AF1810" s="25"/>
      <c r="AG1810" s="36"/>
      <c r="AH1810" s="25">
        <v>45807</v>
      </c>
      <c r="AI1810" s="36" t="str">
        <f>IF(DadosViagem5[[#This Row],[Dias em manutenção ]]&lt;5,"Dentro do Prazo","Fora do Prazo")</f>
        <v>Fora do Prazo</v>
      </c>
      <c r="AJ1810" s="36" t="e">
        <v>#REF!</v>
      </c>
    </row>
    <row r="1811" spans="1:36">
      <c r="A1811" s="19" t="s">
        <v>2999</v>
      </c>
      <c r="B1811" s="20"/>
      <c r="C1811" s="19" t="s">
        <v>2960</v>
      </c>
      <c r="D1811" s="19" t="s">
        <v>264</v>
      </c>
      <c r="E1811" s="19" t="s">
        <v>53</v>
      </c>
      <c r="F1811" s="19"/>
      <c r="G1811" s="19"/>
      <c r="H1811" s="20">
        <v>2024</v>
      </c>
      <c r="I1811" s="19" t="s">
        <v>1183</v>
      </c>
      <c r="J1811" s="19" t="e">
        <v>#N/A</v>
      </c>
      <c r="K1811" s="108" t="s">
        <v>2990</v>
      </c>
      <c r="L1811" s="22" t="s">
        <v>2906</v>
      </c>
      <c r="M1811" s="23" t="s">
        <v>2847</v>
      </c>
      <c r="N1811" s="24" t="s">
        <v>2991</v>
      </c>
      <c r="O1811" s="40" t="s">
        <v>2908</v>
      </c>
      <c r="P1811" s="26">
        <f ca="1">IFERROR(VLOOKUP(DadosViagem5[[#This Row],[Placa]],[1]BIP!A:E,5,FALSE),"")</f>
        <v>0</v>
      </c>
      <c r="Q1811" s="27">
        <f ca="1">DATEDIF(DadosViagem5[[#This Row],[BIP]],TODAY(),"D")</f>
        <v>45990</v>
      </c>
      <c r="R1811" s="28" t="str">
        <f>IFERROR(VLOOKUP(DadosViagem5[[#This Row],[Placa]],[1]DDS!B:C,2,FALSE),"Verificar cadastro")</f>
        <v> </v>
      </c>
      <c r="S1811" s="29" t="s">
        <v>48</v>
      </c>
      <c r="T1811" s="23"/>
      <c r="U1811" s="30"/>
      <c r="V1811" s="31"/>
      <c r="W1811" s="32" t="s">
        <v>384</v>
      </c>
      <c r="X1811" s="33"/>
      <c r="Y1811" s="34"/>
      <c r="Z1811" s="32"/>
      <c r="AA1811" s="20" t="s">
        <v>49</v>
      </c>
      <c r="AB1811" s="20" t="s">
        <v>49</v>
      </c>
      <c r="AC1811" s="19" t="s">
        <v>49</v>
      </c>
      <c r="AD1811" s="19" t="str">
        <f ca="1">IFERROR(DATEDIF(DadosViagem5[[#This Row],[Utimo Bip Reserva]],TODAY(),"D"),"")</f>
        <v/>
      </c>
      <c r="AE1811" s="36"/>
      <c r="AF1811" s="25"/>
      <c r="AG1811" s="36"/>
      <c r="AH1811" s="25">
        <v>45807</v>
      </c>
      <c r="AI1811" s="36" t="str">
        <f>IF(DadosViagem5[[#This Row],[Dias em manutenção ]]&lt;5,"Dentro do Prazo","Fora do Prazo")</f>
        <v>Fora do Prazo</v>
      </c>
      <c r="AJ1811" s="36" t="e">
        <v>#REF!</v>
      </c>
    </row>
    <row r="1812" spans="1:36">
      <c r="A1812" s="19" t="s">
        <v>3000</v>
      </c>
      <c r="B1812" s="20"/>
      <c r="C1812" s="19" t="s">
        <v>3001</v>
      </c>
      <c r="D1812" s="19" t="s">
        <v>264</v>
      </c>
      <c r="E1812" s="19" t="s">
        <v>72</v>
      </c>
      <c r="F1812" s="19" t="s">
        <v>2941</v>
      </c>
      <c r="G1812" s="19"/>
      <c r="H1812" s="20">
        <v>2022</v>
      </c>
      <c r="I1812" s="19" t="s">
        <v>1183</v>
      </c>
      <c r="J1812" s="19" t="e">
        <v>#N/A</v>
      </c>
      <c r="K1812" s="21" t="s">
        <v>2990</v>
      </c>
      <c r="L1812" s="22" t="s">
        <v>2906</v>
      </c>
      <c r="M1812" s="23" t="s">
        <v>2847</v>
      </c>
      <c r="N1812" s="24" t="s">
        <v>2991</v>
      </c>
      <c r="O1812" s="40" t="s">
        <v>2908</v>
      </c>
      <c r="P1812" s="26">
        <f ca="1">IFERROR(VLOOKUP(DadosViagem5[[#This Row],[Placa]],[1]BIP!A:E,5,FALSE),"")</f>
        <v>0</v>
      </c>
      <c r="Q1812" s="27">
        <f ca="1">DATEDIF(DadosViagem5[[#This Row],[BIP]],TODAY(),"D")</f>
        <v>45990</v>
      </c>
      <c r="R1812" s="28" t="str">
        <f>IFERROR(VLOOKUP(DadosViagem5[[#This Row],[Placa]],[1]DDS!B:C,2,FALSE),"Verificar cadastro")</f>
        <v> </v>
      </c>
      <c r="S1812" s="29" t="s">
        <v>48</v>
      </c>
      <c r="T1812" s="23"/>
      <c r="U1812" s="30"/>
      <c r="V1812" s="31"/>
      <c r="W1812" s="32" t="s">
        <v>384</v>
      </c>
      <c r="X1812" s="33"/>
      <c r="Y1812" s="34"/>
      <c r="Z1812" s="32"/>
      <c r="AA1812" s="20" t="s">
        <v>49</v>
      </c>
      <c r="AB1812" s="20" t="s">
        <v>49</v>
      </c>
      <c r="AC1812" s="19" t="s">
        <v>49</v>
      </c>
      <c r="AD1812" s="19" t="str">
        <f ca="1">IFERROR(DATEDIF(DadosViagem5[[#This Row],[Utimo Bip Reserva]],TODAY(),"D"),"")</f>
        <v/>
      </c>
      <c r="AE1812" s="25" t="s">
        <v>49</v>
      </c>
      <c r="AF1812" s="25" t="s">
        <v>49</v>
      </c>
      <c r="AG1812" s="36"/>
      <c r="AH1812" s="25">
        <v>45807</v>
      </c>
      <c r="AI1812" s="36" t="str">
        <f>IF(DadosViagem5[[#This Row],[Dias em manutenção ]]&lt;5,"Dentro do Prazo","Fora do Prazo")</f>
        <v>Fora do Prazo</v>
      </c>
      <c r="AJ1812" s="36" t="e">
        <v>#REF!</v>
      </c>
    </row>
    <row r="1813" spans="1:36">
      <c r="A1813" s="19" t="s">
        <v>3002</v>
      </c>
      <c r="B1813" s="20"/>
      <c r="C1813" s="19" t="s">
        <v>3001</v>
      </c>
      <c r="D1813" s="19" t="s">
        <v>264</v>
      </c>
      <c r="E1813" s="19" t="s">
        <v>72</v>
      </c>
      <c r="F1813" s="19" t="s">
        <v>2941</v>
      </c>
      <c r="G1813" s="19"/>
      <c r="H1813" s="20">
        <v>2022</v>
      </c>
      <c r="I1813" s="19" t="s">
        <v>1183</v>
      </c>
      <c r="J1813" s="19" t="e">
        <v>#N/A</v>
      </c>
      <c r="K1813" s="21" t="s">
        <v>2990</v>
      </c>
      <c r="L1813" s="22" t="s">
        <v>2906</v>
      </c>
      <c r="M1813" s="23" t="s">
        <v>2847</v>
      </c>
      <c r="N1813" s="24" t="s">
        <v>2991</v>
      </c>
      <c r="O1813" s="40" t="s">
        <v>2908</v>
      </c>
      <c r="P1813" s="26">
        <f ca="1">IFERROR(VLOOKUP(DadosViagem5[[#This Row],[Placa]],[1]BIP!A:E,5,FALSE),"")</f>
        <v>0</v>
      </c>
      <c r="Q1813" s="27">
        <f ca="1">DATEDIF(DadosViagem5[[#This Row],[BIP]],TODAY(),"D")</f>
        <v>45990</v>
      </c>
      <c r="R1813" s="28" t="str">
        <f>IFERROR(VLOOKUP(DadosViagem5[[#This Row],[Placa]],[1]DDS!B:C,2,FALSE),"Verificar cadastro")</f>
        <v> </v>
      </c>
      <c r="S1813" s="29" t="s">
        <v>48</v>
      </c>
      <c r="T1813" s="23"/>
      <c r="U1813" s="30"/>
      <c r="V1813" s="31"/>
      <c r="W1813" s="32" t="s">
        <v>384</v>
      </c>
      <c r="X1813" s="33"/>
      <c r="Y1813" s="34"/>
      <c r="Z1813" s="32"/>
      <c r="AA1813" s="20" t="s">
        <v>49</v>
      </c>
      <c r="AB1813" s="20" t="s">
        <v>49</v>
      </c>
      <c r="AC1813" s="19" t="s">
        <v>49</v>
      </c>
      <c r="AD1813" s="19" t="str">
        <f ca="1">IFERROR(DATEDIF(DadosViagem5[[#This Row],[Utimo Bip Reserva]],TODAY(),"D"),"")</f>
        <v/>
      </c>
      <c r="AE1813" s="25" t="s">
        <v>49</v>
      </c>
      <c r="AF1813" s="25" t="s">
        <v>49</v>
      </c>
      <c r="AG1813" s="36"/>
      <c r="AH1813" s="25">
        <v>45807</v>
      </c>
      <c r="AI1813" s="36" t="str">
        <f>IF(DadosViagem5[[#This Row],[Dias em manutenção ]]&lt;5,"Dentro do Prazo","Fora do Prazo")</f>
        <v>Fora do Prazo</v>
      </c>
      <c r="AJ1813" s="36" t="e">
        <v>#REF!</v>
      </c>
    </row>
    <row r="1814" spans="1:36">
      <c r="A1814" s="19" t="s">
        <v>3003</v>
      </c>
      <c r="B1814" s="20"/>
      <c r="C1814" s="19" t="s">
        <v>3001</v>
      </c>
      <c r="D1814" s="19" t="s">
        <v>264</v>
      </c>
      <c r="E1814" s="19" t="s">
        <v>72</v>
      </c>
      <c r="F1814" s="19" t="s">
        <v>2941</v>
      </c>
      <c r="G1814" s="19"/>
      <c r="H1814" s="20">
        <v>2022</v>
      </c>
      <c r="I1814" s="19" t="s">
        <v>1183</v>
      </c>
      <c r="J1814" s="19" t="e">
        <v>#N/A</v>
      </c>
      <c r="K1814" s="21" t="s">
        <v>2990</v>
      </c>
      <c r="L1814" s="22" t="s">
        <v>2906</v>
      </c>
      <c r="M1814" s="23" t="s">
        <v>2847</v>
      </c>
      <c r="N1814" s="24" t="s">
        <v>2991</v>
      </c>
      <c r="O1814" s="40" t="s">
        <v>2908</v>
      </c>
      <c r="P1814" s="26">
        <f ca="1">IFERROR(VLOOKUP(DadosViagem5[[#This Row],[Placa]],[1]BIP!A:E,5,FALSE),"")</f>
        <v>0</v>
      </c>
      <c r="Q1814" s="27">
        <f ca="1">DATEDIF(DadosViagem5[[#This Row],[BIP]],TODAY(),"D")</f>
        <v>45990</v>
      </c>
      <c r="R1814" s="28" t="str">
        <f>IFERROR(VLOOKUP(DadosViagem5[[#This Row],[Placa]],[1]DDS!B:C,2,FALSE),"Verificar cadastro")</f>
        <v> </v>
      </c>
      <c r="S1814" s="29" t="s">
        <v>48</v>
      </c>
      <c r="T1814" s="23"/>
      <c r="U1814" s="30"/>
      <c r="V1814" s="31"/>
      <c r="W1814" s="32" t="s">
        <v>384</v>
      </c>
      <c r="X1814" s="33"/>
      <c r="Y1814" s="34"/>
      <c r="Z1814" s="32"/>
      <c r="AA1814" s="20" t="s">
        <v>49</v>
      </c>
      <c r="AB1814" s="20" t="s">
        <v>49</v>
      </c>
      <c r="AC1814" s="19" t="s">
        <v>49</v>
      </c>
      <c r="AD1814" s="19" t="str">
        <f ca="1">IFERROR(DATEDIF(DadosViagem5[[#This Row],[Utimo Bip Reserva]],TODAY(),"D"),"")</f>
        <v/>
      </c>
      <c r="AE1814" s="25" t="s">
        <v>49</v>
      </c>
      <c r="AF1814" s="25" t="s">
        <v>49</v>
      </c>
      <c r="AG1814" s="36"/>
      <c r="AH1814" s="25">
        <v>45807</v>
      </c>
      <c r="AI1814" s="36" t="str">
        <f>IF(DadosViagem5[[#This Row],[Dias em manutenção ]]&lt;5,"Dentro do Prazo","Fora do Prazo")</f>
        <v>Fora do Prazo</v>
      </c>
      <c r="AJ1814" s="36" t="e">
        <v>#REF!</v>
      </c>
    </row>
    <row r="1815" spans="1:36">
      <c r="A1815" s="19" t="s">
        <v>3004</v>
      </c>
      <c r="B1815" s="20"/>
      <c r="C1815" s="19" t="s">
        <v>3001</v>
      </c>
      <c r="D1815" s="19" t="s">
        <v>264</v>
      </c>
      <c r="E1815" s="19" t="s">
        <v>72</v>
      </c>
      <c r="F1815" s="19" t="s">
        <v>2941</v>
      </c>
      <c r="G1815" s="19"/>
      <c r="H1815" s="20">
        <v>2022</v>
      </c>
      <c r="I1815" s="19" t="s">
        <v>1183</v>
      </c>
      <c r="J1815" s="19" t="e">
        <v>#N/A</v>
      </c>
      <c r="K1815" s="21" t="s">
        <v>2990</v>
      </c>
      <c r="L1815" s="22" t="s">
        <v>2906</v>
      </c>
      <c r="M1815" s="23" t="s">
        <v>2847</v>
      </c>
      <c r="N1815" s="24" t="s">
        <v>2991</v>
      </c>
      <c r="O1815" s="40" t="s">
        <v>2908</v>
      </c>
      <c r="P1815" s="26">
        <f ca="1">IFERROR(VLOOKUP(DadosViagem5[[#This Row],[Placa]],[1]BIP!A:E,5,FALSE),"")</f>
        <v>0</v>
      </c>
      <c r="Q1815" s="27">
        <f ca="1">DATEDIF(DadosViagem5[[#This Row],[BIP]],TODAY(),"D")</f>
        <v>45990</v>
      </c>
      <c r="R1815" s="28" t="str">
        <f>IFERROR(VLOOKUP(DadosViagem5[[#This Row],[Placa]],[1]DDS!B:C,2,FALSE),"Verificar cadastro")</f>
        <v> </v>
      </c>
      <c r="S1815" s="29" t="s">
        <v>48</v>
      </c>
      <c r="T1815" s="23"/>
      <c r="U1815" s="30"/>
      <c r="V1815" s="31"/>
      <c r="W1815" s="32" t="s">
        <v>384</v>
      </c>
      <c r="X1815" s="33"/>
      <c r="Y1815" s="34"/>
      <c r="Z1815" s="32"/>
      <c r="AA1815" s="20" t="s">
        <v>49</v>
      </c>
      <c r="AB1815" s="20" t="s">
        <v>49</v>
      </c>
      <c r="AC1815" s="19" t="s">
        <v>49</v>
      </c>
      <c r="AD1815" s="19" t="str">
        <f ca="1">IFERROR(DATEDIF(DadosViagem5[[#This Row],[Utimo Bip Reserva]],TODAY(),"D"),"")</f>
        <v/>
      </c>
      <c r="AE1815" s="25" t="s">
        <v>49</v>
      </c>
      <c r="AF1815" s="25" t="s">
        <v>49</v>
      </c>
      <c r="AG1815" s="36"/>
      <c r="AH1815" s="25">
        <v>45807</v>
      </c>
      <c r="AI1815" s="36" t="str">
        <f>IF(DadosViagem5[[#This Row],[Dias em manutenção ]]&lt;5,"Dentro do Prazo","Fora do Prazo")</f>
        <v>Fora do Prazo</v>
      </c>
      <c r="AJ1815" s="36" t="e">
        <v>#REF!</v>
      </c>
    </row>
    <row r="1816" spans="1:36">
      <c r="A1816" s="19" t="s">
        <v>3005</v>
      </c>
      <c r="B1816" s="20"/>
      <c r="C1816" s="19" t="s">
        <v>3001</v>
      </c>
      <c r="D1816" s="19" t="s">
        <v>264</v>
      </c>
      <c r="E1816" s="19" t="s">
        <v>72</v>
      </c>
      <c r="F1816" s="19" t="s">
        <v>2941</v>
      </c>
      <c r="G1816" s="19"/>
      <c r="H1816" s="20">
        <v>2022</v>
      </c>
      <c r="I1816" s="19" t="s">
        <v>1183</v>
      </c>
      <c r="J1816" s="19" t="e">
        <v>#N/A</v>
      </c>
      <c r="K1816" s="21" t="s">
        <v>2990</v>
      </c>
      <c r="L1816" s="22" t="s">
        <v>2906</v>
      </c>
      <c r="M1816" s="23" t="s">
        <v>2847</v>
      </c>
      <c r="N1816" s="24" t="s">
        <v>2991</v>
      </c>
      <c r="O1816" s="40" t="s">
        <v>2908</v>
      </c>
      <c r="P1816" s="26">
        <f ca="1">IFERROR(VLOOKUP(DadosViagem5[[#This Row],[Placa]],[1]BIP!A:E,5,FALSE),"")</f>
        <v>0</v>
      </c>
      <c r="Q1816" s="27">
        <f ca="1">DATEDIF(DadosViagem5[[#This Row],[BIP]],TODAY(),"D")</f>
        <v>45990</v>
      </c>
      <c r="R1816" s="28" t="str">
        <f>IFERROR(VLOOKUP(DadosViagem5[[#This Row],[Placa]],[1]DDS!B:C,2,FALSE),"Verificar cadastro")</f>
        <v> </v>
      </c>
      <c r="S1816" s="29" t="s">
        <v>48</v>
      </c>
      <c r="T1816" s="23"/>
      <c r="U1816" s="30"/>
      <c r="V1816" s="31"/>
      <c r="W1816" s="32" t="s">
        <v>384</v>
      </c>
      <c r="X1816" s="33"/>
      <c r="Y1816" s="34"/>
      <c r="Z1816" s="32"/>
      <c r="AA1816" s="20" t="s">
        <v>49</v>
      </c>
      <c r="AB1816" s="20" t="s">
        <v>49</v>
      </c>
      <c r="AC1816" s="19" t="s">
        <v>49</v>
      </c>
      <c r="AD1816" s="19" t="str">
        <f ca="1">IFERROR(DATEDIF(DadosViagem5[[#This Row],[Utimo Bip Reserva]],TODAY(),"D"),"")</f>
        <v/>
      </c>
      <c r="AE1816" s="25" t="s">
        <v>49</v>
      </c>
      <c r="AF1816" s="25" t="s">
        <v>49</v>
      </c>
      <c r="AG1816" s="36"/>
      <c r="AH1816" s="25">
        <v>45807</v>
      </c>
      <c r="AI1816" s="36" t="str">
        <f>IF(DadosViagem5[[#This Row],[Dias em manutenção ]]&lt;5,"Dentro do Prazo","Fora do Prazo")</f>
        <v>Fora do Prazo</v>
      </c>
      <c r="AJ1816" s="36" t="e">
        <v>#REF!</v>
      </c>
    </row>
    <row r="1817" spans="1:36">
      <c r="A1817" s="19" t="s">
        <v>3006</v>
      </c>
      <c r="B1817" s="20"/>
      <c r="C1817" s="19" t="s">
        <v>3001</v>
      </c>
      <c r="D1817" s="19" t="s">
        <v>264</v>
      </c>
      <c r="E1817" s="19" t="s">
        <v>72</v>
      </c>
      <c r="F1817" s="19" t="s">
        <v>2941</v>
      </c>
      <c r="G1817" s="19"/>
      <c r="H1817" s="20">
        <v>2022</v>
      </c>
      <c r="I1817" s="19" t="s">
        <v>1183</v>
      </c>
      <c r="J1817" s="19" t="e">
        <v>#N/A</v>
      </c>
      <c r="K1817" s="21" t="s">
        <v>2990</v>
      </c>
      <c r="L1817" s="22" t="s">
        <v>2906</v>
      </c>
      <c r="M1817" s="23" t="s">
        <v>2847</v>
      </c>
      <c r="N1817" s="24" t="s">
        <v>2991</v>
      </c>
      <c r="O1817" s="40" t="s">
        <v>2908</v>
      </c>
      <c r="P1817" s="26">
        <f ca="1">IFERROR(VLOOKUP(DadosViagem5[[#This Row],[Placa]],[1]BIP!A:E,5,FALSE),"")</f>
        <v>0</v>
      </c>
      <c r="Q1817" s="27">
        <f ca="1">DATEDIF(DadosViagem5[[#This Row],[BIP]],TODAY(),"D")</f>
        <v>45990</v>
      </c>
      <c r="R1817" s="28" t="str">
        <f>IFERROR(VLOOKUP(DadosViagem5[[#This Row],[Placa]],[1]DDS!B:C,2,FALSE),"Verificar cadastro")</f>
        <v> </v>
      </c>
      <c r="S1817" s="29" t="s">
        <v>48</v>
      </c>
      <c r="T1817" s="23"/>
      <c r="U1817" s="30"/>
      <c r="V1817" s="31"/>
      <c r="W1817" s="32" t="s">
        <v>384</v>
      </c>
      <c r="X1817" s="33"/>
      <c r="Y1817" s="34"/>
      <c r="Z1817" s="32"/>
      <c r="AA1817" s="20" t="s">
        <v>49</v>
      </c>
      <c r="AB1817" s="20" t="s">
        <v>49</v>
      </c>
      <c r="AC1817" s="19" t="s">
        <v>49</v>
      </c>
      <c r="AD1817" s="19" t="str">
        <f ca="1">IFERROR(DATEDIF(DadosViagem5[[#This Row],[Utimo Bip Reserva]],TODAY(),"D"),"")</f>
        <v/>
      </c>
      <c r="AE1817" s="25" t="s">
        <v>49</v>
      </c>
      <c r="AF1817" s="25" t="s">
        <v>49</v>
      </c>
      <c r="AG1817" s="36"/>
      <c r="AH1817" s="25">
        <v>45807</v>
      </c>
      <c r="AI1817" s="36" t="str">
        <f>IF(DadosViagem5[[#This Row],[Dias em manutenção ]]&lt;5,"Dentro do Prazo","Fora do Prazo")</f>
        <v>Fora do Prazo</v>
      </c>
      <c r="AJ1817" s="36" t="e">
        <v>#REF!</v>
      </c>
    </row>
    <row r="1818" spans="1:36">
      <c r="A1818" s="19" t="s">
        <v>3007</v>
      </c>
      <c r="B1818" s="20"/>
      <c r="C1818" s="19" t="s">
        <v>3001</v>
      </c>
      <c r="D1818" s="19" t="s">
        <v>264</v>
      </c>
      <c r="E1818" s="19" t="s">
        <v>72</v>
      </c>
      <c r="F1818" s="19" t="s">
        <v>2941</v>
      </c>
      <c r="G1818" s="19"/>
      <c r="H1818" s="20">
        <v>2022</v>
      </c>
      <c r="I1818" s="19" t="s">
        <v>1183</v>
      </c>
      <c r="J1818" s="19" t="e">
        <v>#N/A</v>
      </c>
      <c r="K1818" s="21" t="s">
        <v>2990</v>
      </c>
      <c r="L1818" s="22" t="s">
        <v>2906</v>
      </c>
      <c r="M1818" s="23" t="s">
        <v>2847</v>
      </c>
      <c r="N1818" s="24" t="s">
        <v>2991</v>
      </c>
      <c r="O1818" s="40" t="s">
        <v>2908</v>
      </c>
      <c r="P1818" s="26">
        <f ca="1">IFERROR(VLOOKUP(DadosViagem5[[#This Row],[Placa]],[1]BIP!A:E,5,FALSE),"")</f>
        <v>0</v>
      </c>
      <c r="Q1818" s="27">
        <f ca="1">DATEDIF(DadosViagem5[[#This Row],[BIP]],TODAY(),"D")</f>
        <v>45990</v>
      </c>
      <c r="R1818" s="28" t="str">
        <f>IFERROR(VLOOKUP(DadosViagem5[[#This Row],[Placa]],[1]DDS!B:C,2,FALSE),"Verificar cadastro")</f>
        <v> </v>
      </c>
      <c r="S1818" s="29" t="s">
        <v>48</v>
      </c>
      <c r="T1818" s="23"/>
      <c r="U1818" s="30"/>
      <c r="V1818" s="31"/>
      <c r="W1818" s="32" t="s">
        <v>384</v>
      </c>
      <c r="X1818" s="33"/>
      <c r="Y1818" s="34"/>
      <c r="Z1818" s="32"/>
      <c r="AA1818" s="20" t="s">
        <v>49</v>
      </c>
      <c r="AB1818" s="20" t="s">
        <v>49</v>
      </c>
      <c r="AC1818" s="19" t="s">
        <v>49</v>
      </c>
      <c r="AD1818" s="19" t="str">
        <f ca="1">IFERROR(DATEDIF(DadosViagem5[[#This Row],[Utimo Bip Reserva]],TODAY(),"D"),"")</f>
        <v/>
      </c>
      <c r="AE1818" s="25" t="s">
        <v>49</v>
      </c>
      <c r="AF1818" s="25" t="s">
        <v>49</v>
      </c>
      <c r="AG1818" s="36"/>
      <c r="AH1818" s="25">
        <v>45807</v>
      </c>
      <c r="AI1818" s="36" t="str">
        <f>IF(DadosViagem5[[#This Row],[Dias em manutenção ]]&lt;5,"Dentro do Prazo","Fora do Prazo")</f>
        <v>Fora do Prazo</v>
      </c>
      <c r="AJ1818" s="36" t="e">
        <v>#REF!</v>
      </c>
    </row>
    <row r="1819" spans="1:36">
      <c r="A1819" s="19" t="s">
        <v>3008</v>
      </c>
      <c r="B1819" s="20"/>
      <c r="C1819" s="19" t="s">
        <v>2960</v>
      </c>
      <c r="D1819" s="19" t="s">
        <v>264</v>
      </c>
      <c r="E1819" s="19" t="s">
        <v>53</v>
      </c>
      <c r="F1819" s="19"/>
      <c r="G1819" s="19"/>
      <c r="H1819" s="20">
        <v>2023</v>
      </c>
      <c r="I1819" s="19" t="s">
        <v>1183</v>
      </c>
      <c r="J1819" s="19" t="e">
        <v>#N/A</v>
      </c>
      <c r="K1819" s="21" t="s">
        <v>2990</v>
      </c>
      <c r="L1819" s="22" t="s">
        <v>2906</v>
      </c>
      <c r="M1819" s="23" t="s">
        <v>2847</v>
      </c>
      <c r="N1819" s="24" t="s">
        <v>2991</v>
      </c>
      <c r="O1819" s="40" t="s">
        <v>2908</v>
      </c>
      <c r="P1819" s="26">
        <f ca="1">IFERROR(VLOOKUP(DadosViagem5[[#This Row],[Placa]],[1]BIP!A:E,5,FALSE),"")</f>
        <v>0</v>
      </c>
      <c r="Q1819" s="27">
        <f ca="1">DATEDIF(DadosViagem5[[#This Row],[BIP]],TODAY(),"D")</f>
        <v>45990</v>
      </c>
      <c r="R1819" s="28" t="str">
        <f>IFERROR(VLOOKUP(DadosViagem5[[#This Row],[Placa]],[1]DDS!B:C,2,FALSE),"Verificar cadastro")</f>
        <v> </v>
      </c>
      <c r="S1819" s="29" t="s">
        <v>48</v>
      </c>
      <c r="T1819" s="23"/>
      <c r="U1819" s="30"/>
      <c r="V1819" s="31"/>
      <c r="W1819" s="32" t="s">
        <v>384</v>
      </c>
      <c r="X1819" s="33"/>
      <c r="Y1819" s="34"/>
      <c r="Z1819" s="32"/>
      <c r="AA1819" s="20" t="s">
        <v>49</v>
      </c>
      <c r="AB1819" s="20" t="s">
        <v>49</v>
      </c>
      <c r="AC1819" s="19" t="s">
        <v>49</v>
      </c>
      <c r="AD1819" s="19" t="str">
        <f ca="1">IFERROR(DATEDIF(DadosViagem5[[#This Row],[Utimo Bip Reserva]],TODAY(),"D"),"")</f>
        <v/>
      </c>
      <c r="AE1819" s="36"/>
      <c r="AF1819" s="25"/>
      <c r="AG1819" s="36"/>
      <c r="AH1819" s="25">
        <v>45807</v>
      </c>
      <c r="AI1819" s="36" t="str">
        <f>IF(DadosViagem5[[#This Row],[Dias em manutenção ]]&lt;5,"Dentro do Prazo","Fora do Prazo")</f>
        <v>Fora do Prazo</v>
      </c>
      <c r="AJ1819" s="36" t="e">
        <v>#REF!</v>
      </c>
    </row>
    <row r="1820" spans="1:36">
      <c r="A1820" s="19" t="s">
        <v>3009</v>
      </c>
      <c r="B1820" s="20"/>
      <c r="C1820" s="19"/>
      <c r="D1820" s="190" t="s">
        <v>38</v>
      </c>
      <c r="E1820" s="19"/>
      <c r="F1820" s="19"/>
      <c r="G1820" s="19"/>
      <c r="H1820" s="190">
        <v>2022</v>
      </c>
      <c r="I1820" s="19" t="s">
        <v>1183</v>
      </c>
      <c r="J1820" s="19" t="e">
        <v>#N/A</v>
      </c>
      <c r="K1820" s="19" t="s">
        <v>2990</v>
      </c>
      <c r="L1820" s="22" t="s">
        <v>2906</v>
      </c>
      <c r="M1820" s="23" t="s">
        <v>2847</v>
      </c>
      <c r="N1820" s="24" t="s">
        <v>3010</v>
      </c>
      <c r="O1820" s="24" t="s">
        <v>3011</v>
      </c>
      <c r="P1820" s="26" t="str">
        <f>IFERROR(VLOOKUP(DadosViagem5[[#This Row],[Placa]],[1]BIP!A:E,5,FALSE),"")</f>
        <v/>
      </c>
      <c r="Q1820" s="27" t="e">
        <f ca="1">DATEDIF(DadosViagem5[[#This Row],[BIP]],TODAY(),"D")</f>
        <v>#VALUE!</v>
      </c>
      <c r="R1820" s="28" t="str">
        <f>IFERROR(VLOOKUP(DadosViagem5[[#This Row],[Placa]],[1]DDS!B:C,2,FALSE),"Verificar cadastro")</f>
        <v> </v>
      </c>
      <c r="S1820" s="29" t="s">
        <v>48</v>
      </c>
      <c r="T1820" s="23"/>
      <c r="U1820" s="30"/>
      <c r="V1820" s="31"/>
      <c r="W1820" s="32" t="s">
        <v>384</v>
      </c>
      <c r="X1820" s="33"/>
      <c r="Y1820" s="34"/>
      <c r="Z1820" s="32"/>
      <c r="AA1820" s="20" t="s">
        <v>49</v>
      </c>
      <c r="AB1820" s="20" t="s">
        <v>49</v>
      </c>
      <c r="AC1820" s="20" t="s">
        <v>49</v>
      </c>
      <c r="AD1820" s="20" t="s">
        <v>49</v>
      </c>
      <c r="AE1820" s="36"/>
      <c r="AF1820" s="25"/>
      <c r="AG1820" s="36"/>
      <c r="AH1820" s="25">
        <v>45807</v>
      </c>
      <c r="AI1820" s="36" t="str">
        <f>IF(DadosViagem5[[#This Row],[Dias em manutenção ]]&lt;5,"Dentro do Prazo","Fora do Prazo")</f>
        <v>Fora do Prazo</v>
      </c>
      <c r="AJ1820" s="36" t="e">
        <v>#REF!</v>
      </c>
    </row>
    <row r="1821" spans="1:36">
      <c r="A1821" s="19" t="s">
        <v>3012</v>
      </c>
      <c r="B1821" s="20"/>
      <c r="C1821" s="19"/>
      <c r="D1821" s="19"/>
      <c r="E1821" s="19"/>
      <c r="F1821" s="19"/>
      <c r="G1821" s="19"/>
      <c r="H1821" s="19"/>
      <c r="I1821" s="19" t="s">
        <v>1183</v>
      </c>
      <c r="J1821" s="19" t="e">
        <v>#N/A</v>
      </c>
      <c r="K1821" s="19" t="s">
        <v>2990</v>
      </c>
      <c r="L1821" s="22" t="s">
        <v>2906</v>
      </c>
      <c r="M1821" s="23" t="s">
        <v>2847</v>
      </c>
      <c r="N1821" s="24" t="s">
        <v>3010</v>
      </c>
      <c r="O1821" s="24" t="s">
        <v>3011</v>
      </c>
      <c r="P1821" s="26" t="str">
        <f>IFERROR(VLOOKUP(DadosViagem5[[#This Row],[Placa]],[1]BIP!A:E,5,FALSE),"")</f>
        <v/>
      </c>
      <c r="Q1821" s="27" t="e">
        <f ca="1">DATEDIF(DadosViagem5[[#This Row],[BIP]],TODAY(),"D")</f>
        <v>#VALUE!</v>
      </c>
      <c r="R1821" s="28" t="str">
        <f>IFERROR(VLOOKUP(DadosViagem5[[#This Row],[Placa]],[1]DDS!B:C,2,FALSE),"Verificar cadastro")</f>
        <v> </v>
      </c>
      <c r="S1821" s="29" t="s">
        <v>48</v>
      </c>
      <c r="T1821" s="23"/>
      <c r="U1821" s="30"/>
      <c r="V1821" s="31"/>
      <c r="W1821" s="32" t="s">
        <v>384</v>
      </c>
      <c r="X1821" s="33"/>
      <c r="Y1821" s="34"/>
      <c r="Z1821" s="32"/>
      <c r="AA1821" s="20" t="s">
        <v>49</v>
      </c>
      <c r="AB1821" s="20" t="s">
        <v>49</v>
      </c>
      <c r="AC1821" s="20" t="s">
        <v>49</v>
      </c>
      <c r="AD1821" s="20" t="s">
        <v>49</v>
      </c>
      <c r="AE1821" s="36"/>
      <c r="AF1821" s="25"/>
      <c r="AG1821" s="36"/>
      <c r="AH1821" s="25">
        <v>45807</v>
      </c>
      <c r="AI1821" s="36" t="str">
        <f>IF(DadosViagem5[[#This Row],[Dias em manutenção ]]&lt;5,"Dentro do Prazo","Fora do Prazo")</f>
        <v>Fora do Prazo</v>
      </c>
      <c r="AJ1821" s="36" t="e">
        <v>#REF!</v>
      </c>
    </row>
    <row r="1822" spans="1:36">
      <c r="A1822" s="19" t="s">
        <v>3013</v>
      </c>
      <c r="B1822" s="20"/>
      <c r="C1822" s="19"/>
      <c r="D1822" s="19"/>
      <c r="E1822" s="19"/>
      <c r="F1822" s="19"/>
      <c r="G1822" s="19"/>
      <c r="H1822" s="19"/>
      <c r="I1822" s="19" t="s">
        <v>1183</v>
      </c>
      <c r="J1822" s="19" t="e">
        <v>#N/A</v>
      </c>
      <c r="K1822" s="19" t="s">
        <v>2990</v>
      </c>
      <c r="L1822" s="22" t="s">
        <v>2906</v>
      </c>
      <c r="M1822" s="23" t="s">
        <v>2847</v>
      </c>
      <c r="N1822" s="24" t="s">
        <v>3010</v>
      </c>
      <c r="O1822" s="24" t="s">
        <v>3011</v>
      </c>
      <c r="P1822" s="26" t="str">
        <f>IFERROR(VLOOKUP(DadosViagem5[[#This Row],[Placa]],[1]BIP!A:E,5,FALSE),"")</f>
        <v/>
      </c>
      <c r="Q1822" s="27" t="e">
        <f ca="1">DATEDIF(DadosViagem5[[#This Row],[BIP]],TODAY(),"D")</f>
        <v>#VALUE!</v>
      </c>
      <c r="R1822" s="28" t="str">
        <f>IFERROR(VLOOKUP(DadosViagem5[[#This Row],[Placa]],[1]DDS!B:C,2,FALSE),"Verificar cadastro")</f>
        <v> </v>
      </c>
      <c r="S1822" s="29" t="s">
        <v>48</v>
      </c>
      <c r="T1822" s="23"/>
      <c r="U1822" s="30"/>
      <c r="V1822" s="31"/>
      <c r="W1822" s="32" t="s">
        <v>384</v>
      </c>
      <c r="X1822" s="33"/>
      <c r="Y1822" s="34"/>
      <c r="Z1822" s="32"/>
      <c r="AA1822" s="20" t="s">
        <v>49</v>
      </c>
      <c r="AB1822" s="20" t="s">
        <v>49</v>
      </c>
      <c r="AC1822" s="20" t="s">
        <v>49</v>
      </c>
      <c r="AD1822" s="20" t="s">
        <v>49</v>
      </c>
      <c r="AE1822" s="36"/>
      <c r="AF1822" s="25"/>
      <c r="AG1822" s="36"/>
      <c r="AH1822" s="25">
        <v>45807</v>
      </c>
      <c r="AI1822" s="36" t="str">
        <f>IF(DadosViagem5[[#This Row],[Dias em manutenção ]]&lt;5,"Dentro do Prazo","Fora do Prazo")</f>
        <v>Fora do Prazo</v>
      </c>
      <c r="AJ1822" s="36" t="e">
        <v>#REF!</v>
      </c>
    </row>
    <row r="1823" spans="1:36">
      <c r="A1823" s="19" t="s">
        <v>3014</v>
      </c>
      <c r="B1823" s="20"/>
      <c r="C1823" s="19"/>
      <c r="D1823" s="19"/>
      <c r="E1823" s="19"/>
      <c r="F1823" s="19"/>
      <c r="G1823" s="19"/>
      <c r="H1823" s="19"/>
      <c r="I1823" s="19" t="s">
        <v>1183</v>
      </c>
      <c r="J1823" s="19" t="e">
        <v>#N/A</v>
      </c>
      <c r="K1823" s="19" t="s">
        <v>2990</v>
      </c>
      <c r="L1823" s="22" t="s">
        <v>2906</v>
      </c>
      <c r="M1823" s="23" t="s">
        <v>2847</v>
      </c>
      <c r="N1823" s="24" t="s">
        <v>3010</v>
      </c>
      <c r="O1823" s="24" t="s">
        <v>3011</v>
      </c>
      <c r="P1823" s="26" t="str">
        <f>IFERROR(VLOOKUP(DadosViagem5[[#This Row],[Placa]],[1]BIP!A:E,5,FALSE),"")</f>
        <v/>
      </c>
      <c r="Q1823" s="27" t="e">
        <f ca="1">DATEDIF(DadosViagem5[[#This Row],[BIP]],TODAY(),"D")</f>
        <v>#VALUE!</v>
      </c>
      <c r="R1823" s="28" t="str">
        <f>IFERROR(VLOOKUP(DadosViagem5[[#This Row],[Placa]],[1]DDS!B:C,2,FALSE),"Verificar cadastro")</f>
        <v>Verificar cadastro</v>
      </c>
      <c r="S1823" s="29" t="s">
        <v>48</v>
      </c>
      <c r="T1823" s="23"/>
      <c r="U1823" s="30"/>
      <c r="V1823" s="31"/>
      <c r="W1823" s="32" t="s">
        <v>384</v>
      </c>
      <c r="X1823" s="33"/>
      <c r="Y1823" s="34"/>
      <c r="Z1823" s="32"/>
      <c r="AA1823" s="20" t="s">
        <v>49</v>
      </c>
      <c r="AB1823" s="20" t="s">
        <v>49</v>
      </c>
      <c r="AC1823" s="20" t="s">
        <v>49</v>
      </c>
      <c r="AD1823" s="20" t="s">
        <v>49</v>
      </c>
      <c r="AE1823" s="36"/>
      <c r="AF1823" s="25"/>
      <c r="AG1823" s="36"/>
      <c r="AH1823" s="25">
        <v>45807</v>
      </c>
      <c r="AI1823" s="36" t="str">
        <f>IF(DadosViagem5[[#This Row],[Dias em manutenção ]]&lt;5,"Dentro do Prazo","Fora do Prazo")</f>
        <v>Fora do Prazo</v>
      </c>
      <c r="AJ1823" s="36" t="e">
        <v>#REF!</v>
      </c>
    </row>
    <row r="1824" spans="1:36">
      <c r="A1824" s="19" t="s">
        <v>3015</v>
      </c>
      <c r="B1824" s="20"/>
      <c r="C1824" s="19"/>
      <c r="D1824" s="19"/>
      <c r="E1824" s="19"/>
      <c r="F1824" s="19"/>
      <c r="G1824" s="19"/>
      <c r="H1824" s="19"/>
      <c r="I1824" s="19" t="s">
        <v>1183</v>
      </c>
      <c r="J1824" s="19" t="e">
        <v>#N/A</v>
      </c>
      <c r="K1824" s="19" t="s">
        <v>2990</v>
      </c>
      <c r="L1824" s="22" t="s">
        <v>2906</v>
      </c>
      <c r="M1824" s="23" t="s">
        <v>2847</v>
      </c>
      <c r="N1824" s="24" t="s">
        <v>3010</v>
      </c>
      <c r="O1824" s="24" t="s">
        <v>3011</v>
      </c>
      <c r="P1824" s="26" t="str">
        <f>IFERROR(VLOOKUP(DadosViagem5[[#This Row],[Placa]],[1]BIP!A:E,5,FALSE),"")</f>
        <v/>
      </c>
      <c r="Q1824" s="27" t="e">
        <f ca="1">DATEDIF(DadosViagem5[[#This Row],[BIP]],TODAY(),"D")</f>
        <v>#VALUE!</v>
      </c>
      <c r="R1824" s="28" t="str">
        <f>IFERROR(VLOOKUP(DadosViagem5[[#This Row],[Placa]],[1]DDS!B:C,2,FALSE),"Verificar cadastro")</f>
        <v> </v>
      </c>
      <c r="S1824" s="29" t="s">
        <v>48</v>
      </c>
      <c r="T1824" s="23"/>
      <c r="U1824" s="30"/>
      <c r="V1824" s="31"/>
      <c r="W1824" s="32" t="s">
        <v>384</v>
      </c>
      <c r="X1824" s="33"/>
      <c r="Y1824" s="34"/>
      <c r="Z1824" s="32"/>
      <c r="AA1824" s="20" t="s">
        <v>49</v>
      </c>
      <c r="AB1824" s="20" t="s">
        <v>49</v>
      </c>
      <c r="AC1824" s="20" t="s">
        <v>49</v>
      </c>
      <c r="AD1824" s="20" t="s">
        <v>49</v>
      </c>
      <c r="AE1824" s="36"/>
      <c r="AF1824" s="25"/>
      <c r="AG1824" s="36"/>
      <c r="AH1824" s="25">
        <v>45807</v>
      </c>
      <c r="AI1824" s="36" t="str">
        <f>IF(DadosViagem5[[#This Row],[Dias em manutenção ]]&lt;5,"Dentro do Prazo","Fora do Prazo")</f>
        <v>Fora do Prazo</v>
      </c>
      <c r="AJ1824" s="36" t="e">
        <v>#REF!</v>
      </c>
    </row>
    <row r="1825" spans="1:36">
      <c r="A1825" s="19" t="s">
        <v>3016</v>
      </c>
      <c r="B1825" s="20"/>
      <c r="C1825" s="19"/>
      <c r="D1825" s="19"/>
      <c r="E1825" s="19"/>
      <c r="F1825" s="19"/>
      <c r="G1825" s="19"/>
      <c r="H1825" s="19"/>
      <c r="I1825" s="19" t="s">
        <v>1183</v>
      </c>
      <c r="J1825" s="19" t="e">
        <v>#N/A</v>
      </c>
      <c r="K1825" s="19" t="s">
        <v>2990</v>
      </c>
      <c r="L1825" s="22" t="s">
        <v>2906</v>
      </c>
      <c r="M1825" s="23" t="s">
        <v>2847</v>
      </c>
      <c r="N1825" s="24" t="s">
        <v>3010</v>
      </c>
      <c r="O1825" s="24" t="s">
        <v>3011</v>
      </c>
      <c r="P1825" s="26" t="str">
        <f>IFERROR(VLOOKUP(DadosViagem5[[#This Row],[Placa]],[1]BIP!A:E,5,FALSE),"")</f>
        <v/>
      </c>
      <c r="Q1825" s="27" t="e">
        <f ca="1">DATEDIF(DadosViagem5[[#This Row],[BIP]],TODAY(),"D")</f>
        <v>#VALUE!</v>
      </c>
      <c r="R1825" s="28" t="str">
        <f>IFERROR(VLOOKUP(DadosViagem5[[#This Row],[Placa]],[1]DDS!B:C,2,FALSE),"Verificar cadastro")</f>
        <v> </v>
      </c>
      <c r="S1825" s="29" t="s">
        <v>48</v>
      </c>
      <c r="T1825" s="23"/>
      <c r="U1825" s="30"/>
      <c r="V1825" s="31"/>
      <c r="W1825" s="32" t="s">
        <v>384</v>
      </c>
      <c r="X1825" s="33"/>
      <c r="Y1825" s="34"/>
      <c r="Z1825" s="32"/>
      <c r="AA1825" s="20" t="s">
        <v>49</v>
      </c>
      <c r="AB1825" s="20" t="s">
        <v>49</v>
      </c>
      <c r="AC1825" s="20" t="s">
        <v>49</v>
      </c>
      <c r="AD1825" s="20" t="s">
        <v>49</v>
      </c>
      <c r="AE1825" s="36"/>
      <c r="AF1825" s="25"/>
      <c r="AG1825" s="36"/>
      <c r="AH1825" s="25">
        <v>45807</v>
      </c>
      <c r="AI1825" s="36" t="str">
        <f>IF(DadosViagem5[[#This Row],[Dias em manutenção ]]&lt;5,"Dentro do Prazo","Fora do Prazo")</f>
        <v>Fora do Prazo</v>
      </c>
      <c r="AJ1825" s="36" t="e">
        <v>#REF!</v>
      </c>
    </row>
    <row r="1826" spans="1:36">
      <c r="A1826" s="19" t="s">
        <v>3017</v>
      </c>
      <c r="B1826" s="20"/>
      <c r="C1826" s="19"/>
      <c r="D1826" s="19"/>
      <c r="E1826" s="19"/>
      <c r="F1826" s="19"/>
      <c r="G1826" s="19"/>
      <c r="H1826" s="19"/>
      <c r="I1826" s="19" t="s">
        <v>1183</v>
      </c>
      <c r="J1826" s="19" t="e">
        <v>#N/A</v>
      </c>
      <c r="K1826" s="19" t="s">
        <v>2990</v>
      </c>
      <c r="L1826" s="22" t="s">
        <v>2906</v>
      </c>
      <c r="M1826" s="23" t="s">
        <v>2847</v>
      </c>
      <c r="N1826" s="24" t="s">
        <v>3010</v>
      </c>
      <c r="O1826" s="24" t="s">
        <v>3011</v>
      </c>
      <c r="P1826" s="26" t="str">
        <f>IFERROR(VLOOKUP(DadosViagem5[[#This Row],[Placa]],[1]BIP!A:E,5,FALSE),"")</f>
        <v/>
      </c>
      <c r="Q1826" s="27" t="e">
        <f ca="1">DATEDIF(DadosViagem5[[#This Row],[BIP]],TODAY(),"D")</f>
        <v>#VALUE!</v>
      </c>
      <c r="R1826" s="28" t="str">
        <f>IFERROR(VLOOKUP(DadosViagem5[[#This Row],[Placa]],[1]DDS!B:C,2,FALSE),"Verificar cadastro")</f>
        <v>Verificar cadastro</v>
      </c>
      <c r="S1826" s="29" t="s">
        <v>48</v>
      </c>
      <c r="T1826" s="23"/>
      <c r="U1826" s="30"/>
      <c r="V1826" s="31"/>
      <c r="W1826" s="32" t="s">
        <v>384</v>
      </c>
      <c r="X1826" s="33"/>
      <c r="Y1826" s="34"/>
      <c r="Z1826" s="32"/>
      <c r="AA1826" s="20" t="s">
        <v>49</v>
      </c>
      <c r="AB1826" s="20" t="s">
        <v>49</v>
      </c>
      <c r="AC1826" s="20" t="s">
        <v>49</v>
      </c>
      <c r="AD1826" s="20" t="s">
        <v>49</v>
      </c>
      <c r="AE1826" s="36"/>
      <c r="AF1826" s="25"/>
      <c r="AG1826" s="36"/>
      <c r="AH1826" s="25">
        <v>45807</v>
      </c>
      <c r="AI1826" s="36" t="str">
        <f>IF(DadosViagem5[[#This Row],[Dias em manutenção ]]&lt;5,"Dentro do Prazo","Fora do Prazo")</f>
        <v>Fora do Prazo</v>
      </c>
      <c r="AJ1826" s="36" t="e">
        <v>#REF!</v>
      </c>
    </row>
    <row r="1827" spans="1:36">
      <c r="A1827" s="19" t="s">
        <v>3018</v>
      </c>
      <c r="B1827" s="20"/>
      <c r="C1827" s="19"/>
      <c r="D1827" s="19"/>
      <c r="E1827" s="19"/>
      <c r="F1827" s="19"/>
      <c r="G1827" s="19"/>
      <c r="H1827" s="19"/>
      <c r="I1827" s="19" t="s">
        <v>1183</v>
      </c>
      <c r="J1827" s="19" t="e">
        <v>#N/A</v>
      </c>
      <c r="K1827" s="19" t="s">
        <v>2990</v>
      </c>
      <c r="L1827" s="22" t="s">
        <v>2906</v>
      </c>
      <c r="M1827" s="23" t="s">
        <v>2847</v>
      </c>
      <c r="N1827" s="24" t="s">
        <v>3010</v>
      </c>
      <c r="O1827" s="24" t="s">
        <v>3011</v>
      </c>
      <c r="P1827" s="26" t="str">
        <f>IFERROR(VLOOKUP(DadosViagem5[[#This Row],[Placa]],[1]BIP!A:E,5,FALSE),"")</f>
        <v/>
      </c>
      <c r="Q1827" s="27" t="e">
        <f ca="1">DATEDIF(DadosViagem5[[#This Row],[BIP]],TODAY(),"D")</f>
        <v>#VALUE!</v>
      </c>
      <c r="R1827" s="28" t="str">
        <f>IFERROR(VLOOKUP(DadosViagem5[[#This Row],[Placa]],[1]DDS!B:C,2,FALSE),"Verificar cadastro")</f>
        <v> </v>
      </c>
      <c r="S1827" s="29" t="s">
        <v>48</v>
      </c>
      <c r="T1827" s="23"/>
      <c r="U1827" s="30"/>
      <c r="V1827" s="31"/>
      <c r="W1827" s="32" t="s">
        <v>384</v>
      </c>
      <c r="X1827" s="33"/>
      <c r="Y1827" s="34"/>
      <c r="Z1827" s="32"/>
      <c r="AA1827" s="20" t="s">
        <v>49</v>
      </c>
      <c r="AB1827" s="20" t="s">
        <v>49</v>
      </c>
      <c r="AC1827" s="20" t="s">
        <v>49</v>
      </c>
      <c r="AD1827" s="20" t="s">
        <v>49</v>
      </c>
      <c r="AE1827" s="36"/>
      <c r="AF1827" s="25"/>
      <c r="AG1827" s="36"/>
      <c r="AH1827" s="25">
        <v>45807</v>
      </c>
      <c r="AI1827" s="36" t="str">
        <f>IF(DadosViagem5[[#This Row],[Dias em manutenção ]]&lt;5,"Dentro do Prazo","Fora do Prazo")</f>
        <v>Fora do Prazo</v>
      </c>
      <c r="AJ1827" s="36" t="e">
        <v>#REF!</v>
      </c>
    </row>
    <row r="1828" spans="1:36">
      <c r="A1828" s="19" t="s">
        <v>3019</v>
      </c>
      <c r="B1828" s="20"/>
      <c r="C1828" s="19"/>
      <c r="D1828" s="19"/>
      <c r="E1828" s="19"/>
      <c r="F1828" s="19"/>
      <c r="G1828" s="19"/>
      <c r="H1828" s="19"/>
      <c r="I1828" s="19" t="s">
        <v>1183</v>
      </c>
      <c r="J1828" s="19" t="e">
        <v>#N/A</v>
      </c>
      <c r="K1828" s="19" t="s">
        <v>2990</v>
      </c>
      <c r="L1828" s="22" t="s">
        <v>2906</v>
      </c>
      <c r="M1828" s="23" t="s">
        <v>2847</v>
      </c>
      <c r="N1828" s="24" t="s">
        <v>3010</v>
      </c>
      <c r="O1828" s="24" t="s">
        <v>3011</v>
      </c>
      <c r="P1828" s="26" t="str">
        <f>IFERROR(VLOOKUP(DadosViagem5[[#This Row],[Placa]],[1]BIP!A:E,5,FALSE),"")</f>
        <v/>
      </c>
      <c r="Q1828" s="27" t="e">
        <f ca="1">DATEDIF(DadosViagem5[[#This Row],[BIP]],TODAY(),"D")</f>
        <v>#VALUE!</v>
      </c>
      <c r="R1828" s="28" t="str">
        <f>IFERROR(VLOOKUP(DadosViagem5[[#This Row],[Placa]],[1]DDS!B:C,2,FALSE),"Verificar cadastro")</f>
        <v> </v>
      </c>
      <c r="S1828" s="29" t="s">
        <v>48</v>
      </c>
      <c r="T1828" s="23"/>
      <c r="U1828" s="30"/>
      <c r="V1828" s="31"/>
      <c r="W1828" s="32" t="s">
        <v>384</v>
      </c>
      <c r="X1828" s="33"/>
      <c r="Y1828" s="34"/>
      <c r="Z1828" s="32"/>
      <c r="AA1828" s="20" t="s">
        <v>49</v>
      </c>
      <c r="AB1828" s="20" t="s">
        <v>49</v>
      </c>
      <c r="AC1828" s="20" t="s">
        <v>49</v>
      </c>
      <c r="AD1828" s="20" t="s">
        <v>49</v>
      </c>
      <c r="AE1828" s="36"/>
      <c r="AF1828" s="25"/>
      <c r="AG1828" s="36"/>
      <c r="AH1828" s="25">
        <v>45807</v>
      </c>
      <c r="AI1828" s="36" t="str">
        <f>IF(DadosViagem5[[#This Row],[Dias em manutenção ]]&lt;5,"Dentro do Prazo","Fora do Prazo")</f>
        <v>Fora do Prazo</v>
      </c>
      <c r="AJ1828" s="36" t="e">
        <v>#REF!</v>
      </c>
    </row>
    <row r="1829" spans="1:36">
      <c r="A1829" s="19" t="s">
        <v>3020</v>
      </c>
      <c r="B1829" s="20"/>
      <c r="C1829" s="19"/>
      <c r="D1829" s="19"/>
      <c r="E1829" s="19"/>
      <c r="F1829" s="19"/>
      <c r="G1829" s="19"/>
      <c r="H1829" s="19"/>
      <c r="I1829" s="19" t="s">
        <v>1183</v>
      </c>
      <c r="J1829" s="19" t="e">
        <v>#N/A</v>
      </c>
      <c r="K1829" s="19" t="s">
        <v>2990</v>
      </c>
      <c r="L1829" s="22" t="s">
        <v>2906</v>
      </c>
      <c r="M1829" s="23" t="s">
        <v>2847</v>
      </c>
      <c r="N1829" s="24" t="s">
        <v>3010</v>
      </c>
      <c r="O1829" s="24" t="s">
        <v>3011</v>
      </c>
      <c r="P1829" s="26" t="str">
        <f>IFERROR(VLOOKUP(DadosViagem5[[#This Row],[Placa]],[1]BIP!A:E,5,FALSE),"")</f>
        <v/>
      </c>
      <c r="Q1829" s="27" t="e">
        <f ca="1">DATEDIF(DadosViagem5[[#This Row],[BIP]],TODAY(),"D")</f>
        <v>#VALUE!</v>
      </c>
      <c r="R1829" s="28" t="str">
        <f>IFERROR(VLOOKUP(DadosViagem5[[#This Row],[Placa]],[1]DDS!B:C,2,FALSE),"Verificar cadastro")</f>
        <v> </v>
      </c>
      <c r="S1829" s="29" t="s">
        <v>48</v>
      </c>
      <c r="T1829" s="23"/>
      <c r="U1829" s="30"/>
      <c r="V1829" s="31"/>
      <c r="W1829" s="32" t="s">
        <v>384</v>
      </c>
      <c r="X1829" s="33"/>
      <c r="Y1829" s="34"/>
      <c r="Z1829" s="32"/>
      <c r="AA1829" s="20" t="s">
        <v>49</v>
      </c>
      <c r="AB1829" s="20" t="s">
        <v>49</v>
      </c>
      <c r="AC1829" s="20" t="s">
        <v>49</v>
      </c>
      <c r="AD1829" s="20" t="s">
        <v>49</v>
      </c>
      <c r="AE1829" s="36"/>
      <c r="AF1829" s="25"/>
      <c r="AG1829" s="36"/>
      <c r="AH1829" s="25">
        <v>45807</v>
      </c>
      <c r="AI1829" s="36" t="str">
        <f>IF(DadosViagem5[[#This Row],[Dias em manutenção ]]&lt;5,"Dentro do Prazo","Fora do Prazo")</f>
        <v>Fora do Prazo</v>
      </c>
      <c r="AJ1829" s="36" t="e">
        <v>#REF!</v>
      </c>
    </row>
    <row r="1830" spans="1:36">
      <c r="A1830" s="19" t="s">
        <v>3021</v>
      </c>
      <c r="B1830" s="20"/>
      <c r="C1830" s="19"/>
      <c r="D1830" s="19"/>
      <c r="E1830" s="19"/>
      <c r="F1830" s="19"/>
      <c r="G1830" s="19"/>
      <c r="H1830" s="19"/>
      <c r="I1830" s="19" t="s">
        <v>1183</v>
      </c>
      <c r="J1830" s="19" t="e">
        <v>#N/A</v>
      </c>
      <c r="K1830" s="19" t="s">
        <v>2990</v>
      </c>
      <c r="L1830" s="22" t="s">
        <v>2906</v>
      </c>
      <c r="M1830" s="23" t="s">
        <v>2847</v>
      </c>
      <c r="N1830" s="24" t="s">
        <v>3010</v>
      </c>
      <c r="O1830" s="24" t="s">
        <v>3011</v>
      </c>
      <c r="P1830" s="26" t="str">
        <f>IFERROR(VLOOKUP(DadosViagem5[[#This Row],[Placa]],[1]BIP!A:E,5,FALSE),"")</f>
        <v/>
      </c>
      <c r="Q1830" s="27" t="e">
        <f ca="1">DATEDIF(DadosViagem5[[#This Row],[BIP]],TODAY(),"D")</f>
        <v>#VALUE!</v>
      </c>
      <c r="R1830" s="28" t="str">
        <f>IFERROR(VLOOKUP(DadosViagem5[[#This Row],[Placa]],[1]DDS!B:C,2,FALSE),"Verificar cadastro")</f>
        <v> </v>
      </c>
      <c r="S1830" s="29" t="s">
        <v>48</v>
      </c>
      <c r="T1830" s="23"/>
      <c r="U1830" s="30"/>
      <c r="V1830" s="31"/>
      <c r="W1830" s="32" t="s">
        <v>384</v>
      </c>
      <c r="X1830" s="33"/>
      <c r="Y1830" s="34"/>
      <c r="Z1830" s="32"/>
      <c r="AA1830" s="20" t="s">
        <v>49</v>
      </c>
      <c r="AB1830" s="20" t="s">
        <v>49</v>
      </c>
      <c r="AC1830" s="20" t="s">
        <v>49</v>
      </c>
      <c r="AD1830" s="20" t="s">
        <v>49</v>
      </c>
      <c r="AE1830" s="36"/>
      <c r="AF1830" s="25"/>
      <c r="AG1830" s="36"/>
      <c r="AH1830" s="25">
        <v>45807</v>
      </c>
      <c r="AI1830" s="36" t="str">
        <f>IF(DadosViagem5[[#This Row],[Dias em manutenção ]]&lt;5,"Dentro do Prazo","Fora do Prazo")</f>
        <v>Fora do Prazo</v>
      </c>
      <c r="AJ1830" s="36" t="e">
        <v>#REF!</v>
      </c>
    </row>
    <row r="1831" spans="1:36">
      <c r="A1831" s="19" t="s">
        <v>3022</v>
      </c>
      <c r="B1831" s="20"/>
      <c r="C1831" s="19"/>
      <c r="D1831" s="19"/>
      <c r="E1831" s="19"/>
      <c r="F1831" s="19"/>
      <c r="G1831" s="19"/>
      <c r="H1831" s="19"/>
      <c r="I1831" s="19" t="s">
        <v>1183</v>
      </c>
      <c r="J1831" s="19" t="e">
        <v>#N/A</v>
      </c>
      <c r="K1831" s="19" t="s">
        <v>2990</v>
      </c>
      <c r="L1831" s="22" t="s">
        <v>2906</v>
      </c>
      <c r="M1831" s="23" t="s">
        <v>2847</v>
      </c>
      <c r="N1831" s="24" t="s">
        <v>3010</v>
      </c>
      <c r="O1831" s="24" t="s">
        <v>3011</v>
      </c>
      <c r="P1831" s="26" t="str">
        <f>IFERROR(VLOOKUP(DadosViagem5[[#This Row],[Placa]],[1]BIP!A:E,5,FALSE),"")</f>
        <v/>
      </c>
      <c r="Q1831" s="27" t="e">
        <f ca="1">DATEDIF(DadosViagem5[[#This Row],[BIP]],TODAY(),"D")</f>
        <v>#VALUE!</v>
      </c>
      <c r="R1831" s="28" t="str">
        <f>IFERROR(VLOOKUP(DadosViagem5[[#This Row],[Placa]],[1]DDS!B:C,2,FALSE),"Verificar cadastro")</f>
        <v>Verificar cadastro</v>
      </c>
      <c r="S1831" s="29" t="s">
        <v>48</v>
      </c>
      <c r="T1831" s="23"/>
      <c r="U1831" s="30"/>
      <c r="V1831" s="31"/>
      <c r="W1831" s="32" t="s">
        <v>384</v>
      </c>
      <c r="X1831" s="33"/>
      <c r="Y1831" s="34"/>
      <c r="Z1831" s="32"/>
      <c r="AA1831" s="20" t="s">
        <v>49</v>
      </c>
      <c r="AB1831" s="20" t="s">
        <v>49</v>
      </c>
      <c r="AC1831" s="20" t="s">
        <v>49</v>
      </c>
      <c r="AD1831" s="20" t="s">
        <v>49</v>
      </c>
      <c r="AE1831" s="36"/>
      <c r="AF1831" s="25"/>
      <c r="AG1831" s="36"/>
      <c r="AH1831" s="25">
        <v>45807</v>
      </c>
      <c r="AI1831" s="36" t="str">
        <f>IF(DadosViagem5[[#This Row],[Dias em manutenção ]]&lt;5,"Dentro do Prazo","Fora do Prazo")</f>
        <v>Fora do Prazo</v>
      </c>
      <c r="AJ1831" s="36" t="e">
        <v>#REF!</v>
      </c>
    </row>
    <row r="1832" spans="1:36">
      <c r="A1832" s="19" t="s">
        <v>3023</v>
      </c>
      <c r="B1832" s="20"/>
      <c r="C1832" s="19"/>
      <c r="D1832" s="19"/>
      <c r="E1832" s="19"/>
      <c r="F1832" s="19"/>
      <c r="G1832" s="19"/>
      <c r="H1832" s="19"/>
      <c r="I1832" s="19" t="s">
        <v>1183</v>
      </c>
      <c r="J1832" s="19" t="e">
        <v>#N/A</v>
      </c>
      <c r="K1832" s="19" t="s">
        <v>2990</v>
      </c>
      <c r="L1832" s="22" t="s">
        <v>2906</v>
      </c>
      <c r="M1832" s="23" t="s">
        <v>2847</v>
      </c>
      <c r="N1832" s="24" t="s">
        <v>3010</v>
      </c>
      <c r="O1832" s="24" t="s">
        <v>3011</v>
      </c>
      <c r="P1832" s="26" t="str">
        <f>IFERROR(VLOOKUP(DadosViagem5[[#This Row],[Placa]],[1]BIP!A:E,5,FALSE),"")</f>
        <v/>
      </c>
      <c r="Q1832" s="27" t="e">
        <f ca="1">DATEDIF(DadosViagem5[[#This Row],[BIP]],TODAY(),"D")</f>
        <v>#VALUE!</v>
      </c>
      <c r="R1832" s="28" t="str">
        <f>IFERROR(VLOOKUP(DadosViagem5[[#This Row],[Placa]],[1]DDS!B:C,2,FALSE),"Verificar cadastro")</f>
        <v> </v>
      </c>
      <c r="S1832" s="29" t="s">
        <v>48</v>
      </c>
      <c r="T1832" s="23"/>
      <c r="U1832" s="30"/>
      <c r="V1832" s="31"/>
      <c r="W1832" s="32" t="s">
        <v>384</v>
      </c>
      <c r="X1832" s="33"/>
      <c r="Y1832" s="34"/>
      <c r="Z1832" s="32"/>
      <c r="AA1832" s="20" t="s">
        <v>49</v>
      </c>
      <c r="AB1832" s="20" t="s">
        <v>49</v>
      </c>
      <c r="AC1832" s="20" t="s">
        <v>49</v>
      </c>
      <c r="AD1832" s="20" t="s">
        <v>49</v>
      </c>
      <c r="AE1832" s="36"/>
      <c r="AF1832" s="25"/>
      <c r="AG1832" s="36"/>
      <c r="AH1832" s="25">
        <v>45807</v>
      </c>
      <c r="AI1832" s="36" t="str">
        <f>IF(DadosViagem5[[#This Row],[Dias em manutenção ]]&lt;5,"Dentro do Prazo","Fora do Prazo")</f>
        <v>Fora do Prazo</v>
      </c>
      <c r="AJ1832" s="36" t="e">
        <v>#REF!</v>
      </c>
    </row>
    <row r="1833" spans="1:36">
      <c r="A1833" s="19" t="s">
        <v>3024</v>
      </c>
      <c r="B1833" s="20"/>
      <c r="C1833" s="19"/>
      <c r="D1833" s="19"/>
      <c r="E1833" s="19"/>
      <c r="F1833" s="19"/>
      <c r="G1833" s="19"/>
      <c r="H1833" s="19"/>
      <c r="I1833" s="19" t="s">
        <v>1183</v>
      </c>
      <c r="J1833" s="19" t="e">
        <v>#N/A</v>
      </c>
      <c r="K1833" s="19" t="s">
        <v>2990</v>
      </c>
      <c r="L1833" s="22" t="s">
        <v>2906</v>
      </c>
      <c r="M1833" s="23" t="s">
        <v>2847</v>
      </c>
      <c r="N1833" s="24" t="s">
        <v>3010</v>
      </c>
      <c r="O1833" s="24" t="s">
        <v>3011</v>
      </c>
      <c r="P1833" s="26" t="str">
        <f>IFERROR(VLOOKUP(DadosViagem5[[#This Row],[Placa]],[1]BIP!A:E,5,FALSE),"")</f>
        <v/>
      </c>
      <c r="Q1833" s="27" t="e">
        <f ca="1">DATEDIF(DadosViagem5[[#This Row],[BIP]],TODAY(),"D")</f>
        <v>#VALUE!</v>
      </c>
      <c r="R1833" s="28" t="str">
        <f>IFERROR(VLOOKUP(DadosViagem5[[#This Row],[Placa]],[1]DDS!B:C,2,FALSE),"Verificar cadastro")</f>
        <v> </v>
      </c>
      <c r="S1833" s="29" t="s">
        <v>48</v>
      </c>
      <c r="T1833" s="23"/>
      <c r="U1833" s="30"/>
      <c r="V1833" s="31"/>
      <c r="W1833" s="32" t="s">
        <v>384</v>
      </c>
      <c r="X1833" s="33"/>
      <c r="Y1833" s="34"/>
      <c r="Z1833" s="32"/>
      <c r="AA1833" s="20" t="s">
        <v>49</v>
      </c>
      <c r="AB1833" s="20" t="s">
        <v>49</v>
      </c>
      <c r="AC1833" s="20" t="s">
        <v>49</v>
      </c>
      <c r="AD1833" s="20" t="s">
        <v>49</v>
      </c>
      <c r="AE1833" s="36"/>
      <c r="AF1833" s="25"/>
      <c r="AG1833" s="36"/>
      <c r="AH1833" s="25">
        <v>45807</v>
      </c>
      <c r="AI1833" s="36" t="str">
        <f>IF(DadosViagem5[[#This Row],[Dias em manutenção ]]&lt;5,"Dentro do Prazo","Fora do Prazo")</f>
        <v>Fora do Prazo</v>
      </c>
      <c r="AJ1833" s="36" t="e">
        <v>#REF!</v>
      </c>
    </row>
    <row r="1834" spans="1:36">
      <c r="A1834" s="19" t="s">
        <v>3025</v>
      </c>
      <c r="B1834" s="20"/>
      <c r="C1834" s="19" t="s">
        <v>2946</v>
      </c>
      <c r="D1834" s="19" t="s">
        <v>300</v>
      </c>
      <c r="E1834" s="19" t="s">
        <v>53</v>
      </c>
      <c r="F1834" s="19"/>
      <c r="G1834" s="19"/>
      <c r="H1834" s="20">
        <v>2024</v>
      </c>
      <c r="I1834" s="19" t="s">
        <v>41</v>
      </c>
      <c r="J1834" s="19" t="e">
        <v>#N/A</v>
      </c>
      <c r="K1834" s="108" t="s">
        <v>3026</v>
      </c>
      <c r="L1834" s="22" t="s">
        <v>2906</v>
      </c>
      <c r="M1834" s="23" t="s">
        <v>2847</v>
      </c>
      <c r="N1834" s="40" t="s">
        <v>3027</v>
      </c>
      <c r="O1834" s="40" t="s">
        <v>2908</v>
      </c>
      <c r="P1834" s="26">
        <f ca="1">IFERROR(VLOOKUP(DadosViagem5[[#This Row],[Placa]],[1]BIP!A:E,5,FALSE),"")</f>
        <v>0</v>
      </c>
      <c r="Q1834" s="27">
        <f ca="1">DATEDIF(DadosViagem5[[#This Row],[BIP]],TODAY(),"D")</f>
        <v>45990</v>
      </c>
      <c r="R1834" s="28" t="str">
        <f>IFERROR(VLOOKUP(DadosViagem5[[#This Row],[Placa]],[1]DDS!B:C,2,FALSE),"Verificar cadastro")</f>
        <v> </v>
      </c>
      <c r="S1834" s="29" t="s">
        <v>48</v>
      </c>
      <c r="T1834" s="23"/>
      <c r="U1834" s="30"/>
      <c r="V1834" s="31"/>
      <c r="W1834" s="32" t="s">
        <v>384</v>
      </c>
      <c r="X1834" s="33"/>
      <c r="Y1834" s="34"/>
      <c r="Z1834" s="32"/>
      <c r="AA1834" s="20" t="s">
        <v>49</v>
      </c>
      <c r="AB1834" s="20" t="s">
        <v>49</v>
      </c>
      <c r="AC1834" s="19" t="s">
        <v>49</v>
      </c>
      <c r="AD1834" s="19" t="str">
        <f ca="1">IFERROR(DATEDIF(DadosViagem5[[#This Row],[Utimo Bip Reserva]],TODAY(),"D"),"")</f>
        <v/>
      </c>
      <c r="AE1834" s="36"/>
      <c r="AF1834" s="25"/>
      <c r="AG1834" s="36"/>
      <c r="AH1834" s="25">
        <v>45807</v>
      </c>
      <c r="AI1834" s="36" t="str">
        <f>IF(DadosViagem5[[#This Row],[Dias em manutenção ]]&lt;5,"Dentro do Prazo","Fora do Prazo")</f>
        <v>Fora do Prazo</v>
      </c>
      <c r="AJ1834" s="36" t="e">
        <v>#REF!</v>
      </c>
    </row>
    <row r="1835" spans="1:36">
      <c r="A1835" s="19" t="s">
        <v>3028</v>
      </c>
      <c r="B1835" s="20"/>
      <c r="C1835" s="19" t="s">
        <v>2946</v>
      </c>
      <c r="D1835" s="19" t="s">
        <v>300</v>
      </c>
      <c r="E1835" s="19" t="s">
        <v>53</v>
      </c>
      <c r="F1835" s="19"/>
      <c r="G1835" s="19"/>
      <c r="H1835" s="20">
        <v>2024</v>
      </c>
      <c r="I1835" s="19" t="s">
        <v>41</v>
      </c>
      <c r="J1835" s="19" t="e">
        <v>#N/A</v>
      </c>
      <c r="K1835" s="108" t="s">
        <v>3026</v>
      </c>
      <c r="L1835" s="22" t="s">
        <v>2906</v>
      </c>
      <c r="M1835" s="23" t="s">
        <v>2847</v>
      </c>
      <c r="N1835" s="40" t="s">
        <v>3027</v>
      </c>
      <c r="O1835" s="40" t="s">
        <v>2908</v>
      </c>
      <c r="P1835" s="26">
        <f ca="1">IFERROR(VLOOKUP(DadosViagem5[[#This Row],[Placa]],[1]BIP!A:E,5,FALSE),"")</f>
        <v>0</v>
      </c>
      <c r="Q1835" s="27">
        <f ca="1">DATEDIF(DadosViagem5[[#This Row],[BIP]],TODAY(),"D")</f>
        <v>45990</v>
      </c>
      <c r="R1835" s="28" t="str">
        <f>IFERROR(VLOOKUP(DadosViagem5[[#This Row],[Placa]],[1]DDS!B:C,2,FALSE),"Verificar cadastro")</f>
        <v> </v>
      </c>
      <c r="S1835" s="29" t="s">
        <v>48</v>
      </c>
      <c r="T1835" s="23"/>
      <c r="U1835" s="30"/>
      <c r="V1835" s="31"/>
      <c r="W1835" s="32" t="s">
        <v>384</v>
      </c>
      <c r="X1835" s="33"/>
      <c r="Y1835" s="34"/>
      <c r="Z1835" s="32"/>
      <c r="AA1835" s="20" t="s">
        <v>49</v>
      </c>
      <c r="AB1835" s="20" t="s">
        <v>49</v>
      </c>
      <c r="AC1835" s="19" t="s">
        <v>49</v>
      </c>
      <c r="AD1835" s="19" t="str">
        <f ca="1">IFERROR(DATEDIF(DadosViagem5[[#This Row],[Utimo Bip Reserva]],TODAY(),"D"),"")</f>
        <v/>
      </c>
      <c r="AE1835" s="36"/>
      <c r="AF1835" s="25"/>
      <c r="AG1835" s="36"/>
      <c r="AH1835" s="25">
        <v>45807</v>
      </c>
      <c r="AI1835" s="36" t="str">
        <f>IF(DadosViagem5[[#This Row],[Dias em manutenção ]]&lt;5,"Dentro do Prazo","Fora do Prazo")</f>
        <v>Fora do Prazo</v>
      </c>
      <c r="AJ1835" s="36" t="e">
        <v>#REF!</v>
      </c>
    </row>
    <row r="1836" spans="1:36">
      <c r="A1836" s="19" t="s">
        <v>3029</v>
      </c>
      <c r="B1836" s="20"/>
      <c r="C1836" s="19" t="s">
        <v>2937</v>
      </c>
      <c r="D1836" s="19" t="s">
        <v>264</v>
      </c>
      <c r="E1836" s="19" t="s">
        <v>57</v>
      </c>
      <c r="F1836" s="19" t="s">
        <v>2941</v>
      </c>
      <c r="G1836" s="19"/>
      <c r="H1836" s="20">
        <v>2022</v>
      </c>
      <c r="I1836" s="19" t="s">
        <v>41</v>
      </c>
      <c r="J1836" s="19" t="e">
        <v>#N/A</v>
      </c>
      <c r="K1836" s="21" t="s">
        <v>3026</v>
      </c>
      <c r="L1836" s="22" t="s">
        <v>2906</v>
      </c>
      <c r="M1836" s="23" t="s">
        <v>2847</v>
      </c>
      <c r="N1836" s="40" t="s">
        <v>3027</v>
      </c>
      <c r="O1836" s="40" t="s">
        <v>2908</v>
      </c>
      <c r="P1836" s="26">
        <f ca="1">IFERROR(VLOOKUP(DadosViagem5[[#This Row],[Placa]],[1]BIP!A:E,5,FALSE),"")</f>
        <v>0</v>
      </c>
      <c r="Q1836" s="27">
        <f ca="1">DATEDIF(DadosViagem5[[#This Row],[BIP]],TODAY(),"D")</f>
        <v>45990</v>
      </c>
      <c r="R1836" s="28" t="str">
        <f>IFERROR(VLOOKUP(DadosViagem5[[#This Row],[Placa]],[1]DDS!B:C,2,FALSE),"Verificar cadastro")</f>
        <v> </v>
      </c>
      <c r="S1836" s="29" t="s">
        <v>48</v>
      </c>
      <c r="T1836" s="23"/>
      <c r="U1836" s="30"/>
      <c r="V1836" s="31"/>
      <c r="W1836" s="32" t="s">
        <v>384</v>
      </c>
      <c r="X1836" s="33"/>
      <c r="Y1836" s="34"/>
      <c r="Z1836" s="32"/>
      <c r="AA1836" s="20" t="s">
        <v>49</v>
      </c>
      <c r="AB1836" s="20" t="s">
        <v>49</v>
      </c>
      <c r="AC1836" s="19" t="s">
        <v>49</v>
      </c>
      <c r="AD1836" s="19" t="str">
        <f ca="1">IFERROR(DATEDIF(DadosViagem5[[#This Row],[Utimo Bip Reserva]],TODAY(),"D"),"")</f>
        <v/>
      </c>
      <c r="AE1836" s="36" t="s">
        <v>49</v>
      </c>
      <c r="AF1836" s="25" t="s">
        <v>49</v>
      </c>
      <c r="AG1836" s="36"/>
      <c r="AH1836" s="25">
        <v>45807</v>
      </c>
      <c r="AI1836" s="36" t="str">
        <f>IF(DadosViagem5[[#This Row],[Dias em manutenção ]]&lt;5,"Dentro do Prazo","Fora do Prazo")</f>
        <v>Fora do Prazo</v>
      </c>
      <c r="AJ1836" s="36" t="e">
        <v>#REF!</v>
      </c>
    </row>
    <row r="1837" spans="1:36">
      <c r="A1837" s="19" t="s">
        <v>3030</v>
      </c>
      <c r="B1837" s="20"/>
      <c r="C1837" s="19" t="s">
        <v>2960</v>
      </c>
      <c r="D1837" s="19" t="s">
        <v>264</v>
      </c>
      <c r="E1837" s="19" t="s">
        <v>53</v>
      </c>
      <c r="F1837" s="19"/>
      <c r="G1837" s="19"/>
      <c r="H1837" s="20">
        <v>2024</v>
      </c>
      <c r="I1837" s="19" t="s">
        <v>1183</v>
      </c>
      <c r="J1837" s="19" t="e">
        <v>#N/A</v>
      </c>
      <c r="K1837" s="108" t="s">
        <v>3031</v>
      </c>
      <c r="L1837" s="22" t="s">
        <v>2906</v>
      </c>
      <c r="M1837" s="23" t="s">
        <v>2847</v>
      </c>
      <c r="N1837" s="24" t="s">
        <v>3032</v>
      </c>
      <c r="O1837" s="24" t="s">
        <v>3033</v>
      </c>
      <c r="P1837" s="26">
        <f ca="1">IFERROR(VLOOKUP(DadosViagem5[[#This Row],[Placa]],[1]BIP!A:E,5,FALSE),"")</f>
        <v>0</v>
      </c>
      <c r="Q1837" s="27">
        <f ca="1">DATEDIF(DadosViagem5[[#This Row],[BIP]],TODAY(),"D")</f>
        <v>45990</v>
      </c>
      <c r="R1837" s="28" t="str">
        <f>IFERROR(VLOOKUP(DadosViagem5[[#This Row],[Placa]],[1]DDS!B:C,2,FALSE),"Verificar cadastro")</f>
        <v> </v>
      </c>
      <c r="S1837" s="29" t="s">
        <v>48</v>
      </c>
      <c r="T1837" s="23"/>
      <c r="U1837" s="30"/>
      <c r="V1837" s="31"/>
      <c r="W1837" s="32" t="s">
        <v>384</v>
      </c>
      <c r="X1837" s="33"/>
      <c r="Y1837" s="34"/>
      <c r="Z1837" s="32"/>
      <c r="AA1837" s="20" t="s">
        <v>49</v>
      </c>
      <c r="AB1837" s="20" t="s">
        <v>49</v>
      </c>
      <c r="AC1837" s="19" t="s">
        <v>49</v>
      </c>
      <c r="AD1837" s="19" t="str">
        <f ca="1">IFERROR(DATEDIF(DadosViagem5[[#This Row],[Utimo Bip Reserva]],TODAY(),"D"),"")</f>
        <v/>
      </c>
      <c r="AE1837" s="36"/>
      <c r="AF1837" s="25"/>
      <c r="AG1837" s="36"/>
      <c r="AH1837" s="25">
        <v>45807</v>
      </c>
      <c r="AI1837" s="36" t="str">
        <f>IF(DadosViagem5[[#This Row],[Dias em manutenção ]]&lt;5,"Dentro do Prazo","Fora do Prazo")</f>
        <v>Fora do Prazo</v>
      </c>
      <c r="AJ1837" s="36" t="e">
        <v>#REF!</v>
      </c>
    </row>
    <row r="1838" spans="1:36">
      <c r="A1838" s="19" t="s">
        <v>3034</v>
      </c>
      <c r="B1838" s="20"/>
      <c r="C1838" s="19" t="s">
        <v>2960</v>
      </c>
      <c r="D1838" s="19" t="s">
        <v>264</v>
      </c>
      <c r="E1838" s="19" t="s">
        <v>53</v>
      </c>
      <c r="F1838" s="19"/>
      <c r="G1838" s="19"/>
      <c r="H1838" s="20">
        <v>2024</v>
      </c>
      <c r="I1838" s="19" t="s">
        <v>1183</v>
      </c>
      <c r="J1838" s="19" t="e">
        <v>#N/A</v>
      </c>
      <c r="K1838" s="108" t="s">
        <v>3031</v>
      </c>
      <c r="L1838" s="22" t="s">
        <v>2906</v>
      </c>
      <c r="M1838" s="23" t="s">
        <v>2847</v>
      </c>
      <c r="N1838" s="24" t="s">
        <v>3032</v>
      </c>
      <c r="O1838" s="24" t="s">
        <v>3033</v>
      </c>
      <c r="P1838" s="26">
        <f ca="1">IFERROR(VLOOKUP(DadosViagem5[[#This Row],[Placa]],[1]BIP!A:E,5,FALSE),"")</f>
        <v>0</v>
      </c>
      <c r="Q1838" s="27">
        <f ca="1">DATEDIF(DadosViagem5[[#This Row],[BIP]],TODAY(),"D")</f>
        <v>45990</v>
      </c>
      <c r="R1838" s="28" t="str">
        <f>IFERROR(VLOOKUP(DadosViagem5[[#This Row],[Placa]],[1]DDS!B:C,2,FALSE),"Verificar cadastro")</f>
        <v> </v>
      </c>
      <c r="S1838" s="29" t="s">
        <v>48</v>
      </c>
      <c r="T1838" s="23"/>
      <c r="U1838" s="30"/>
      <c r="V1838" s="31"/>
      <c r="W1838" s="32" t="s">
        <v>384</v>
      </c>
      <c r="X1838" s="33"/>
      <c r="Y1838" s="34"/>
      <c r="Z1838" s="32"/>
      <c r="AA1838" s="20" t="s">
        <v>49</v>
      </c>
      <c r="AB1838" s="20" t="s">
        <v>49</v>
      </c>
      <c r="AC1838" s="19" t="s">
        <v>49</v>
      </c>
      <c r="AD1838" s="19" t="str">
        <f ca="1">IFERROR(DATEDIF(DadosViagem5[[#This Row],[Utimo Bip Reserva]],TODAY(),"D"),"")</f>
        <v/>
      </c>
      <c r="AE1838" s="36"/>
      <c r="AF1838" s="25"/>
      <c r="AG1838" s="36"/>
      <c r="AH1838" s="25">
        <v>45807</v>
      </c>
      <c r="AI1838" s="36" t="str">
        <f>IF(DadosViagem5[[#This Row],[Dias em manutenção ]]&lt;5,"Dentro do Prazo","Fora do Prazo")</f>
        <v>Fora do Prazo</v>
      </c>
      <c r="AJ1838" s="36" t="e">
        <v>#REF!</v>
      </c>
    </row>
    <row r="1839" spans="1:36">
      <c r="A1839" s="19" t="s">
        <v>3035</v>
      </c>
      <c r="B1839" s="20"/>
      <c r="C1839" s="19" t="s">
        <v>2960</v>
      </c>
      <c r="D1839" s="19" t="s">
        <v>264</v>
      </c>
      <c r="E1839" s="19" t="s">
        <v>53</v>
      </c>
      <c r="F1839" s="19"/>
      <c r="G1839" s="19"/>
      <c r="H1839" s="20">
        <v>2024</v>
      </c>
      <c r="I1839" s="19" t="s">
        <v>1183</v>
      </c>
      <c r="J1839" s="19" t="e">
        <v>#N/A</v>
      </c>
      <c r="K1839" s="108" t="s">
        <v>3031</v>
      </c>
      <c r="L1839" s="22" t="s">
        <v>2906</v>
      </c>
      <c r="M1839" s="23" t="s">
        <v>2847</v>
      </c>
      <c r="N1839" s="24" t="s">
        <v>3032</v>
      </c>
      <c r="O1839" s="24" t="s">
        <v>3033</v>
      </c>
      <c r="P1839" s="26">
        <f ca="1">IFERROR(VLOOKUP(DadosViagem5[[#This Row],[Placa]],[1]BIP!A:E,5,FALSE),"")</f>
        <v>0</v>
      </c>
      <c r="Q1839" s="27">
        <f ca="1">DATEDIF(DadosViagem5[[#This Row],[BIP]],TODAY(),"D")</f>
        <v>45990</v>
      </c>
      <c r="R1839" s="28" t="str">
        <f>IFERROR(VLOOKUP(DadosViagem5[[#This Row],[Placa]],[1]DDS!B:C,2,FALSE),"Verificar cadastro")</f>
        <v> </v>
      </c>
      <c r="S1839" s="29" t="s">
        <v>48</v>
      </c>
      <c r="T1839" s="23"/>
      <c r="U1839" s="30"/>
      <c r="V1839" s="31"/>
      <c r="W1839" s="32" t="s">
        <v>384</v>
      </c>
      <c r="X1839" s="33"/>
      <c r="Y1839" s="34"/>
      <c r="Z1839" s="32"/>
      <c r="AA1839" s="20" t="s">
        <v>49</v>
      </c>
      <c r="AB1839" s="20" t="s">
        <v>49</v>
      </c>
      <c r="AC1839" s="19" t="s">
        <v>49</v>
      </c>
      <c r="AD1839" s="19" t="str">
        <f ca="1">IFERROR(DATEDIF(DadosViagem5[[#This Row],[Utimo Bip Reserva]],TODAY(),"D"),"")</f>
        <v/>
      </c>
      <c r="AE1839" s="36"/>
      <c r="AF1839" s="25"/>
      <c r="AG1839" s="36"/>
      <c r="AH1839" s="25">
        <v>45807</v>
      </c>
      <c r="AI1839" s="36" t="str">
        <f>IF(DadosViagem5[[#This Row],[Dias em manutenção ]]&lt;5,"Dentro do Prazo","Fora do Prazo")</f>
        <v>Fora do Prazo</v>
      </c>
      <c r="AJ1839" s="36" t="e">
        <v>#REF!</v>
      </c>
    </row>
    <row r="1840" spans="1:36">
      <c r="A1840" s="19" t="s">
        <v>3036</v>
      </c>
      <c r="B1840" s="20"/>
      <c r="C1840" s="19" t="s">
        <v>2960</v>
      </c>
      <c r="D1840" s="19" t="s">
        <v>264</v>
      </c>
      <c r="E1840" s="19" t="s">
        <v>53</v>
      </c>
      <c r="F1840" s="19"/>
      <c r="G1840" s="19"/>
      <c r="H1840" s="20">
        <v>2024</v>
      </c>
      <c r="I1840" s="19" t="s">
        <v>1183</v>
      </c>
      <c r="J1840" s="19" t="e">
        <v>#N/A</v>
      </c>
      <c r="K1840" s="108" t="s">
        <v>3031</v>
      </c>
      <c r="L1840" s="22" t="s">
        <v>2906</v>
      </c>
      <c r="M1840" s="23" t="s">
        <v>2847</v>
      </c>
      <c r="N1840" s="24" t="s">
        <v>3032</v>
      </c>
      <c r="O1840" s="24" t="s">
        <v>3033</v>
      </c>
      <c r="P1840" s="26">
        <f ca="1">IFERROR(VLOOKUP(DadosViagem5[[#This Row],[Placa]],[1]BIP!A:E,5,FALSE),"")</f>
        <v>0</v>
      </c>
      <c r="Q1840" s="27">
        <f ca="1">DATEDIF(DadosViagem5[[#This Row],[BIP]],TODAY(),"D")</f>
        <v>45990</v>
      </c>
      <c r="R1840" s="28" t="str">
        <f>IFERROR(VLOOKUP(DadosViagem5[[#This Row],[Placa]],[1]DDS!B:C,2,FALSE),"Verificar cadastro")</f>
        <v> </v>
      </c>
      <c r="S1840" s="29" t="s">
        <v>48</v>
      </c>
      <c r="T1840" s="23"/>
      <c r="U1840" s="30"/>
      <c r="V1840" s="31"/>
      <c r="W1840" s="32" t="s">
        <v>384</v>
      </c>
      <c r="X1840" s="33"/>
      <c r="Y1840" s="34"/>
      <c r="Z1840" s="32"/>
      <c r="AA1840" s="20" t="s">
        <v>49</v>
      </c>
      <c r="AB1840" s="20" t="s">
        <v>49</v>
      </c>
      <c r="AC1840" s="19" t="s">
        <v>49</v>
      </c>
      <c r="AD1840" s="19" t="str">
        <f ca="1">IFERROR(DATEDIF(DadosViagem5[[#This Row],[Utimo Bip Reserva]],TODAY(),"D"),"")</f>
        <v/>
      </c>
      <c r="AE1840" s="36"/>
      <c r="AF1840" s="25"/>
      <c r="AG1840" s="36"/>
      <c r="AH1840" s="25">
        <v>45807</v>
      </c>
      <c r="AI1840" s="36" t="str">
        <f>IF(DadosViagem5[[#This Row],[Dias em manutenção ]]&lt;5,"Dentro do Prazo","Fora do Prazo")</f>
        <v>Fora do Prazo</v>
      </c>
      <c r="AJ1840" s="36" t="e">
        <v>#REF!</v>
      </c>
    </row>
    <row r="1841" spans="1:36">
      <c r="A1841" s="19" t="s">
        <v>3037</v>
      </c>
      <c r="B1841" s="20"/>
      <c r="C1841" s="19" t="s">
        <v>2960</v>
      </c>
      <c r="D1841" s="19" t="s">
        <v>264</v>
      </c>
      <c r="E1841" s="19" t="s">
        <v>53</v>
      </c>
      <c r="F1841" s="19"/>
      <c r="G1841" s="19"/>
      <c r="H1841" s="20">
        <v>2024</v>
      </c>
      <c r="I1841" s="19" t="s">
        <v>1183</v>
      </c>
      <c r="J1841" s="19" t="e">
        <v>#N/A</v>
      </c>
      <c r="K1841" s="108" t="s">
        <v>3031</v>
      </c>
      <c r="L1841" s="22" t="s">
        <v>2906</v>
      </c>
      <c r="M1841" s="23" t="s">
        <v>2847</v>
      </c>
      <c r="N1841" s="24" t="s">
        <v>3032</v>
      </c>
      <c r="O1841" s="24" t="s">
        <v>3033</v>
      </c>
      <c r="P1841" s="26">
        <f ca="1">IFERROR(VLOOKUP(DadosViagem5[[#This Row],[Placa]],[1]BIP!A:E,5,FALSE),"")</f>
        <v>0</v>
      </c>
      <c r="Q1841" s="27">
        <f ca="1">DATEDIF(DadosViagem5[[#This Row],[BIP]],TODAY(),"D")</f>
        <v>45990</v>
      </c>
      <c r="R1841" s="28" t="str">
        <f>IFERROR(VLOOKUP(DadosViagem5[[#This Row],[Placa]],[1]DDS!B:C,2,FALSE),"Verificar cadastro")</f>
        <v> </v>
      </c>
      <c r="S1841" s="29" t="s">
        <v>48</v>
      </c>
      <c r="T1841" s="23"/>
      <c r="U1841" s="30"/>
      <c r="V1841" s="31"/>
      <c r="W1841" s="32" t="s">
        <v>384</v>
      </c>
      <c r="X1841" s="33"/>
      <c r="Y1841" s="34"/>
      <c r="Z1841" s="32"/>
      <c r="AA1841" s="20" t="s">
        <v>49</v>
      </c>
      <c r="AB1841" s="20" t="s">
        <v>49</v>
      </c>
      <c r="AC1841" s="19" t="s">
        <v>49</v>
      </c>
      <c r="AD1841" s="19" t="str">
        <f ca="1">IFERROR(DATEDIF(DadosViagem5[[#This Row],[Utimo Bip Reserva]],TODAY(),"D"),"")</f>
        <v/>
      </c>
      <c r="AE1841" s="36"/>
      <c r="AF1841" s="25"/>
      <c r="AG1841" s="36"/>
      <c r="AH1841" s="25">
        <v>45807</v>
      </c>
      <c r="AI1841" s="36" t="str">
        <f>IF(DadosViagem5[[#This Row],[Dias em manutenção ]]&lt;5,"Dentro do Prazo","Fora do Prazo")</f>
        <v>Fora do Prazo</v>
      </c>
      <c r="AJ1841" s="36" t="e">
        <v>#REF!</v>
      </c>
    </row>
    <row r="1842" spans="1:36">
      <c r="A1842" s="19" t="s">
        <v>3038</v>
      </c>
      <c r="B1842" s="20"/>
      <c r="C1842" s="19" t="s">
        <v>2960</v>
      </c>
      <c r="D1842" s="19" t="s">
        <v>264</v>
      </c>
      <c r="E1842" s="19" t="s">
        <v>53</v>
      </c>
      <c r="F1842" s="19"/>
      <c r="G1842" s="19"/>
      <c r="H1842" s="20">
        <v>2024</v>
      </c>
      <c r="I1842" s="19" t="s">
        <v>1183</v>
      </c>
      <c r="J1842" s="19" t="e">
        <v>#N/A</v>
      </c>
      <c r="K1842" s="108" t="s">
        <v>3031</v>
      </c>
      <c r="L1842" s="22" t="s">
        <v>2906</v>
      </c>
      <c r="M1842" s="23" t="s">
        <v>2847</v>
      </c>
      <c r="N1842" s="24" t="s">
        <v>3032</v>
      </c>
      <c r="O1842" s="24" t="s">
        <v>3033</v>
      </c>
      <c r="P1842" s="26">
        <f ca="1">IFERROR(VLOOKUP(DadosViagem5[[#This Row],[Placa]],[1]BIP!A:E,5,FALSE),"")</f>
        <v>0</v>
      </c>
      <c r="Q1842" s="27">
        <f ca="1">DATEDIF(DadosViagem5[[#This Row],[BIP]],TODAY(),"D")</f>
        <v>45990</v>
      </c>
      <c r="R1842" s="28" t="str">
        <f>IFERROR(VLOOKUP(DadosViagem5[[#This Row],[Placa]],[1]DDS!B:C,2,FALSE),"Verificar cadastro")</f>
        <v> </v>
      </c>
      <c r="S1842" s="29" t="s">
        <v>48</v>
      </c>
      <c r="T1842" s="23"/>
      <c r="U1842" s="30"/>
      <c r="V1842" s="31"/>
      <c r="W1842" s="32" t="s">
        <v>384</v>
      </c>
      <c r="X1842" s="33"/>
      <c r="Y1842" s="34"/>
      <c r="Z1842" s="32"/>
      <c r="AA1842" s="20" t="s">
        <v>49</v>
      </c>
      <c r="AB1842" s="20" t="s">
        <v>49</v>
      </c>
      <c r="AC1842" s="19" t="s">
        <v>49</v>
      </c>
      <c r="AD1842" s="19" t="str">
        <f ca="1">IFERROR(DATEDIF(DadosViagem5[[#This Row],[Utimo Bip Reserva]],TODAY(),"D"),"")</f>
        <v/>
      </c>
      <c r="AE1842" s="36"/>
      <c r="AF1842" s="25"/>
      <c r="AG1842" s="36"/>
      <c r="AH1842" s="25">
        <v>45807</v>
      </c>
      <c r="AI1842" s="36" t="str">
        <f>IF(DadosViagem5[[#This Row],[Dias em manutenção ]]&lt;5,"Dentro do Prazo","Fora do Prazo")</f>
        <v>Fora do Prazo</v>
      </c>
      <c r="AJ1842" s="36" t="e">
        <v>#REF!</v>
      </c>
    </row>
    <row r="1843" spans="1:36">
      <c r="A1843" s="19" t="s">
        <v>3039</v>
      </c>
      <c r="B1843" s="20"/>
      <c r="C1843" s="19" t="s">
        <v>2960</v>
      </c>
      <c r="D1843" s="19" t="s">
        <v>264</v>
      </c>
      <c r="E1843" s="19" t="s">
        <v>53</v>
      </c>
      <c r="F1843" s="19"/>
      <c r="G1843" s="19"/>
      <c r="H1843" s="20">
        <v>2024</v>
      </c>
      <c r="I1843" s="19" t="s">
        <v>1183</v>
      </c>
      <c r="J1843" s="19" t="e">
        <v>#N/A</v>
      </c>
      <c r="K1843" s="108" t="s">
        <v>3031</v>
      </c>
      <c r="L1843" s="22" t="s">
        <v>2906</v>
      </c>
      <c r="M1843" s="23" t="s">
        <v>2847</v>
      </c>
      <c r="N1843" s="24" t="s">
        <v>3032</v>
      </c>
      <c r="O1843" s="24" t="s">
        <v>3033</v>
      </c>
      <c r="P1843" s="26">
        <f ca="1">IFERROR(VLOOKUP(DadosViagem5[[#This Row],[Placa]],[1]BIP!A:E,5,FALSE),"")</f>
        <v>0</v>
      </c>
      <c r="Q1843" s="27">
        <f ca="1">DATEDIF(DadosViagem5[[#This Row],[BIP]],TODAY(),"D")</f>
        <v>45990</v>
      </c>
      <c r="R1843" s="28" t="str">
        <f>IFERROR(VLOOKUP(DadosViagem5[[#This Row],[Placa]],[1]DDS!B:C,2,FALSE),"Verificar cadastro")</f>
        <v> </v>
      </c>
      <c r="S1843" s="29" t="s">
        <v>48</v>
      </c>
      <c r="T1843" s="23"/>
      <c r="U1843" s="30"/>
      <c r="V1843" s="31"/>
      <c r="W1843" s="32" t="s">
        <v>384</v>
      </c>
      <c r="X1843" s="33"/>
      <c r="Y1843" s="34"/>
      <c r="Z1843" s="32"/>
      <c r="AA1843" s="20" t="s">
        <v>49</v>
      </c>
      <c r="AB1843" s="20" t="s">
        <v>49</v>
      </c>
      <c r="AC1843" s="19" t="s">
        <v>49</v>
      </c>
      <c r="AD1843" s="19" t="str">
        <f ca="1">IFERROR(DATEDIF(DadosViagem5[[#This Row],[Utimo Bip Reserva]],TODAY(),"D"),"")</f>
        <v/>
      </c>
      <c r="AE1843" s="36"/>
      <c r="AF1843" s="25"/>
      <c r="AG1843" s="36"/>
      <c r="AH1843" s="25">
        <v>45807</v>
      </c>
      <c r="AI1843" s="36" t="str">
        <f>IF(DadosViagem5[[#This Row],[Dias em manutenção ]]&lt;5,"Dentro do Prazo","Fora do Prazo")</f>
        <v>Fora do Prazo</v>
      </c>
      <c r="AJ1843" s="36" t="e">
        <v>#REF!</v>
      </c>
    </row>
    <row r="1844" spans="1:36">
      <c r="A1844" s="19" t="s">
        <v>3040</v>
      </c>
      <c r="B1844" s="20"/>
      <c r="C1844" s="19" t="s">
        <v>2960</v>
      </c>
      <c r="D1844" s="19" t="s">
        <v>264</v>
      </c>
      <c r="E1844" s="19" t="s">
        <v>53</v>
      </c>
      <c r="F1844" s="19"/>
      <c r="G1844" s="19"/>
      <c r="H1844" s="20">
        <v>2024</v>
      </c>
      <c r="I1844" s="19" t="s">
        <v>1183</v>
      </c>
      <c r="J1844" s="19" t="e">
        <v>#N/A</v>
      </c>
      <c r="K1844" s="108" t="s">
        <v>3031</v>
      </c>
      <c r="L1844" s="22" t="s">
        <v>2906</v>
      </c>
      <c r="M1844" s="23" t="s">
        <v>2847</v>
      </c>
      <c r="N1844" s="24" t="s">
        <v>3032</v>
      </c>
      <c r="O1844" s="24" t="s">
        <v>3033</v>
      </c>
      <c r="P1844" s="26">
        <f ca="1">IFERROR(VLOOKUP(DadosViagem5[[#This Row],[Placa]],[1]BIP!A:E,5,FALSE),"")</f>
        <v>0</v>
      </c>
      <c r="Q1844" s="27">
        <f ca="1">DATEDIF(DadosViagem5[[#This Row],[BIP]],TODAY(),"D")</f>
        <v>45990</v>
      </c>
      <c r="R1844" s="28" t="str">
        <f>IFERROR(VLOOKUP(DadosViagem5[[#This Row],[Placa]],[1]DDS!B:C,2,FALSE),"Verificar cadastro")</f>
        <v> </v>
      </c>
      <c r="S1844" s="29" t="s">
        <v>48</v>
      </c>
      <c r="T1844" s="23"/>
      <c r="U1844" s="30"/>
      <c r="V1844" s="31"/>
      <c r="W1844" s="32" t="s">
        <v>384</v>
      </c>
      <c r="X1844" s="33"/>
      <c r="Y1844" s="34"/>
      <c r="Z1844" s="32"/>
      <c r="AA1844" s="20" t="s">
        <v>49</v>
      </c>
      <c r="AB1844" s="20" t="s">
        <v>49</v>
      </c>
      <c r="AC1844" s="19" t="s">
        <v>49</v>
      </c>
      <c r="AD1844" s="19" t="str">
        <f ca="1">IFERROR(DATEDIF(DadosViagem5[[#This Row],[Utimo Bip Reserva]],TODAY(),"D"),"")</f>
        <v/>
      </c>
      <c r="AE1844" s="36"/>
      <c r="AF1844" s="25"/>
      <c r="AG1844" s="36"/>
      <c r="AH1844" s="25">
        <v>45807</v>
      </c>
      <c r="AI1844" s="36" t="str">
        <f>IF(DadosViagem5[[#This Row],[Dias em manutenção ]]&lt;5,"Dentro do Prazo","Fora do Prazo")</f>
        <v>Fora do Prazo</v>
      </c>
      <c r="AJ1844" s="36" t="e">
        <v>#REF!</v>
      </c>
    </row>
    <row r="1845" spans="1:36">
      <c r="A1845" s="19" t="s">
        <v>3041</v>
      </c>
      <c r="B1845" s="20"/>
      <c r="C1845" s="19" t="s">
        <v>2960</v>
      </c>
      <c r="D1845" s="19" t="s">
        <v>264</v>
      </c>
      <c r="E1845" s="19" t="s">
        <v>53</v>
      </c>
      <c r="F1845" s="19"/>
      <c r="G1845" s="19"/>
      <c r="H1845" s="20">
        <v>2024</v>
      </c>
      <c r="I1845" s="19" t="s">
        <v>1183</v>
      </c>
      <c r="J1845" s="19" t="e">
        <v>#N/A</v>
      </c>
      <c r="K1845" s="108" t="s">
        <v>3031</v>
      </c>
      <c r="L1845" s="22" t="s">
        <v>2906</v>
      </c>
      <c r="M1845" s="23" t="s">
        <v>2847</v>
      </c>
      <c r="N1845" s="24" t="s">
        <v>3032</v>
      </c>
      <c r="O1845" s="24" t="s">
        <v>3033</v>
      </c>
      <c r="P1845" s="26">
        <f ca="1">IFERROR(VLOOKUP(DadosViagem5[[#This Row],[Placa]],[1]BIP!A:E,5,FALSE),"")</f>
        <v>0</v>
      </c>
      <c r="Q1845" s="27">
        <f ca="1">DATEDIF(DadosViagem5[[#This Row],[BIP]],TODAY(),"D")</f>
        <v>45990</v>
      </c>
      <c r="R1845" s="28" t="str">
        <f>IFERROR(VLOOKUP(DadosViagem5[[#This Row],[Placa]],[1]DDS!B:C,2,FALSE),"Verificar cadastro")</f>
        <v> </v>
      </c>
      <c r="S1845" s="29" t="s">
        <v>48</v>
      </c>
      <c r="T1845" s="23"/>
      <c r="U1845" s="30"/>
      <c r="V1845" s="31"/>
      <c r="W1845" s="32" t="s">
        <v>384</v>
      </c>
      <c r="X1845" s="33"/>
      <c r="Y1845" s="34"/>
      <c r="Z1845" s="32"/>
      <c r="AA1845" s="20" t="s">
        <v>49</v>
      </c>
      <c r="AB1845" s="20" t="s">
        <v>49</v>
      </c>
      <c r="AC1845" s="19" t="s">
        <v>49</v>
      </c>
      <c r="AD1845" s="19" t="str">
        <f ca="1">IFERROR(DATEDIF(DadosViagem5[[#This Row],[Utimo Bip Reserva]],TODAY(),"D"),"")</f>
        <v/>
      </c>
      <c r="AE1845" s="36"/>
      <c r="AF1845" s="25"/>
      <c r="AG1845" s="36"/>
      <c r="AH1845" s="25">
        <v>45807</v>
      </c>
      <c r="AI1845" s="36" t="str">
        <f>IF(DadosViagem5[[#This Row],[Dias em manutenção ]]&lt;5,"Dentro do Prazo","Fora do Prazo")</f>
        <v>Fora do Prazo</v>
      </c>
      <c r="AJ1845" s="36" t="e">
        <v>#REF!</v>
      </c>
    </row>
    <row r="1846" spans="1:36">
      <c r="A1846" s="19" t="s">
        <v>3042</v>
      </c>
      <c r="B1846" s="20"/>
      <c r="C1846" s="19" t="s">
        <v>2960</v>
      </c>
      <c r="D1846" s="19" t="s">
        <v>264</v>
      </c>
      <c r="E1846" s="19" t="s">
        <v>53</v>
      </c>
      <c r="F1846" s="19"/>
      <c r="G1846" s="19"/>
      <c r="H1846" s="20">
        <v>2024</v>
      </c>
      <c r="I1846" s="19" t="s">
        <v>1183</v>
      </c>
      <c r="J1846" s="19" t="e">
        <v>#N/A</v>
      </c>
      <c r="K1846" s="108" t="s">
        <v>3031</v>
      </c>
      <c r="L1846" s="22" t="s">
        <v>2906</v>
      </c>
      <c r="M1846" s="23" t="s">
        <v>2847</v>
      </c>
      <c r="N1846" s="24" t="s">
        <v>3032</v>
      </c>
      <c r="O1846" s="24" t="s">
        <v>3033</v>
      </c>
      <c r="P1846" s="26">
        <f ca="1">IFERROR(VLOOKUP(DadosViagem5[[#This Row],[Placa]],[1]BIP!A:E,5,FALSE),"")</f>
        <v>0</v>
      </c>
      <c r="Q1846" s="27">
        <f ca="1">DATEDIF(DadosViagem5[[#This Row],[BIP]],TODAY(),"D")</f>
        <v>45990</v>
      </c>
      <c r="R1846" s="28" t="str">
        <f>IFERROR(VLOOKUP(DadosViagem5[[#This Row],[Placa]],[1]DDS!B:C,2,FALSE),"Verificar cadastro")</f>
        <v> </v>
      </c>
      <c r="S1846" s="29" t="s">
        <v>48</v>
      </c>
      <c r="T1846" s="23"/>
      <c r="U1846" s="30"/>
      <c r="V1846" s="31"/>
      <c r="W1846" s="32" t="s">
        <v>384</v>
      </c>
      <c r="X1846" s="33"/>
      <c r="Y1846" s="34"/>
      <c r="Z1846" s="32"/>
      <c r="AA1846" s="20" t="s">
        <v>49</v>
      </c>
      <c r="AB1846" s="20" t="s">
        <v>49</v>
      </c>
      <c r="AC1846" s="19" t="s">
        <v>49</v>
      </c>
      <c r="AD1846" s="19" t="str">
        <f ca="1">IFERROR(DATEDIF(DadosViagem5[[#This Row],[Utimo Bip Reserva]],TODAY(),"D"),"")</f>
        <v/>
      </c>
      <c r="AE1846" s="36"/>
      <c r="AF1846" s="25"/>
      <c r="AG1846" s="36"/>
      <c r="AH1846" s="25">
        <v>45807</v>
      </c>
      <c r="AI1846" s="36" t="str">
        <f>IF(DadosViagem5[[#This Row],[Dias em manutenção ]]&lt;5,"Dentro do Prazo","Fora do Prazo")</f>
        <v>Fora do Prazo</v>
      </c>
      <c r="AJ1846" s="36" t="e">
        <v>#REF!</v>
      </c>
    </row>
    <row r="1847" spans="1:36">
      <c r="A1847" s="19" t="s">
        <v>3043</v>
      </c>
      <c r="B1847" s="20"/>
      <c r="C1847" s="19" t="s">
        <v>2956</v>
      </c>
      <c r="D1847" s="19" t="s">
        <v>264</v>
      </c>
      <c r="E1847" s="19" t="s">
        <v>53</v>
      </c>
      <c r="F1847" s="19"/>
      <c r="G1847" s="19"/>
      <c r="H1847" s="135">
        <v>2024</v>
      </c>
      <c r="I1847" s="19" t="s">
        <v>1183</v>
      </c>
      <c r="J1847" s="19" t="e">
        <v>#N/A</v>
      </c>
      <c r="K1847" s="108" t="s">
        <v>3031</v>
      </c>
      <c r="L1847" s="22" t="s">
        <v>2906</v>
      </c>
      <c r="M1847" s="23" t="s">
        <v>2847</v>
      </c>
      <c r="N1847" s="36" t="s">
        <v>3032</v>
      </c>
      <c r="O1847" s="36" t="s">
        <v>3033</v>
      </c>
      <c r="P1847" s="26">
        <f ca="1">IFERROR(VLOOKUP(DadosViagem5[[#This Row],[Placa]],[1]BIP!A:E,5,FALSE),"")</f>
        <v>0</v>
      </c>
      <c r="Q1847" s="27">
        <f ca="1">DATEDIF(DadosViagem5[[#This Row],[BIP]],TODAY(),"D")</f>
        <v>45990</v>
      </c>
      <c r="R1847" s="28" t="str">
        <f>IFERROR(VLOOKUP(DadosViagem5[[#This Row],[Placa]],[1]DDS!B:C,2,FALSE),"Verificar cadastro")</f>
        <v> </v>
      </c>
      <c r="S1847" s="29" t="s">
        <v>48</v>
      </c>
      <c r="T1847" s="23"/>
      <c r="U1847" s="30"/>
      <c r="V1847" s="31"/>
      <c r="W1847" s="32" t="s">
        <v>384</v>
      </c>
      <c r="X1847" s="33"/>
      <c r="Y1847" s="34"/>
      <c r="Z1847" s="32"/>
      <c r="AA1847" s="20" t="s">
        <v>49</v>
      </c>
      <c r="AB1847" s="20" t="s">
        <v>49</v>
      </c>
      <c r="AC1847" s="19" t="s">
        <v>49</v>
      </c>
      <c r="AD1847" s="19" t="str">
        <f ca="1">IFERROR(DATEDIF(DadosViagem5[[#This Row],[Utimo Bip Reserva]],TODAY(),"D"),"")</f>
        <v/>
      </c>
      <c r="AE1847" s="36"/>
      <c r="AF1847" s="25"/>
      <c r="AG1847" s="36"/>
      <c r="AH1847" s="25">
        <v>45807</v>
      </c>
      <c r="AI1847" s="36" t="str">
        <f>IF(DadosViagem5[[#This Row],[Dias em manutenção ]]&lt;5,"Dentro do Prazo","Fora do Prazo")</f>
        <v>Fora do Prazo</v>
      </c>
      <c r="AJ1847" s="36" t="e">
        <v>#REF!</v>
      </c>
    </row>
    <row r="1848" spans="1:36">
      <c r="A1848" s="19" t="s">
        <v>3044</v>
      </c>
      <c r="B1848" s="20"/>
      <c r="C1848" s="19" t="s">
        <v>2956</v>
      </c>
      <c r="D1848" s="19" t="s">
        <v>264</v>
      </c>
      <c r="E1848" s="19" t="s">
        <v>53</v>
      </c>
      <c r="F1848" s="19"/>
      <c r="G1848" s="19"/>
      <c r="H1848" s="20">
        <v>2024</v>
      </c>
      <c r="I1848" s="19" t="s">
        <v>1183</v>
      </c>
      <c r="J1848" s="19" t="e">
        <v>#N/A</v>
      </c>
      <c r="K1848" s="108" t="s">
        <v>3031</v>
      </c>
      <c r="L1848" s="22" t="s">
        <v>2906</v>
      </c>
      <c r="M1848" s="23" t="s">
        <v>2847</v>
      </c>
      <c r="N1848" s="24" t="s">
        <v>3032</v>
      </c>
      <c r="O1848" s="24" t="s">
        <v>3033</v>
      </c>
      <c r="P1848" s="26">
        <f ca="1">IFERROR(VLOOKUP(DadosViagem5[[#This Row],[Placa]],[1]BIP!A:E,5,FALSE),"")</f>
        <v>0</v>
      </c>
      <c r="Q1848" s="27">
        <f ca="1">DATEDIF(DadosViagem5[[#This Row],[BIP]],TODAY(),"D")</f>
        <v>45990</v>
      </c>
      <c r="R1848" s="28" t="str">
        <f>IFERROR(VLOOKUP(DadosViagem5[[#This Row],[Placa]],[1]DDS!B:C,2,FALSE),"Verificar cadastro")</f>
        <v> </v>
      </c>
      <c r="S1848" s="29" t="s">
        <v>48</v>
      </c>
      <c r="T1848" s="23"/>
      <c r="U1848" s="30"/>
      <c r="V1848" s="31"/>
      <c r="W1848" s="32" t="s">
        <v>384</v>
      </c>
      <c r="X1848" s="33"/>
      <c r="Y1848" s="34"/>
      <c r="Z1848" s="32"/>
      <c r="AA1848" s="20" t="s">
        <v>49</v>
      </c>
      <c r="AB1848" s="20" t="s">
        <v>49</v>
      </c>
      <c r="AC1848" s="19" t="s">
        <v>49</v>
      </c>
      <c r="AD1848" s="19" t="str">
        <f ca="1">IFERROR(DATEDIF(DadosViagem5[[#This Row],[Utimo Bip Reserva]],TODAY(),"D"),"")</f>
        <v/>
      </c>
      <c r="AE1848" s="36"/>
      <c r="AF1848" s="25"/>
      <c r="AG1848" s="36"/>
      <c r="AH1848" s="25">
        <v>45807</v>
      </c>
      <c r="AI1848" s="36" t="str">
        <f>IF(DadosViagem5[[#This Row],[Dias em manutenção ]]&lt;5,"Dentro do Prazo","Fora do Prazo")</f>
        <v>Fora do Prazo</v>
      </c>
      <c r="AJ1848" s="36" t="e">
        <v>#REF!</v>
      </c>
    </row>
    <row r="1849" spans="1:36">
      <c r="A1849" s="19" t="s">
        <v>3045</v>
      </c>
      <c r="B1849" s="20"/>
      <c r="C1849" s="19" t="s">
        <v>2956</v>
      </c>
      <c r="D1849" s="19" t="s">
        <v>264</v>
      </c>
      <c r="E1849" s="19" t="s">
        <v>53</v>
      </c>
      <c r="F1849" s="19"/>
      <c r="G1849" s="19"/>
      <c r="H1849" s="20">
        <v>2024</v>
      </c>
      <c r="I1849" s="19" t="s">
        <v>1183</v>
      </c>
      <c r="J1849" s="19" t="e">
        <v>#N/A</v>
      </c>
      <c r="K1849" s="108" t="s">
        <v>3031</v>
      </c>
      <c r="L1849" s="22" t="s">
        <v>2906</v>
      </c>
      <c r="M1849" s="23" t="s">
        <v>2847</v>
      </c>
      <c r="N1849" s="24" t="s">
        <v>3032</v>
      </c>
      <c r="O1849" s="24" t="s">
        <v>3033</v>
      </c>
      <c r="P1849" s="26">
        <f ca="1">IFERROR(VLOOKUP(DadosViagem5[[#This Row],[Placa]],[1]BIP!A:E,5,FALSE),"")</f>
        <v>0</v>
      </c>
      <c r="Q1849" s="27">
        <f ca="1">DATEDIF(DadosViagem5[[#This Row],[BIP]],TODAY(),"D")</f>
        <v>45990</v>
      </c>
      <c r="R1849" s="28" t="str">
        <f>IFERROR(VLOOKUP(DadosViagem5[[#This Row],[Placa]],[1]DDS!B:C,2,FALSE),"Verificar cadastro")</f>
        <v> </v>
      </c>
      <c r="S1849" s="29" t="s">
        <v>48</v>
      </c>
      <c r="T1849" s="23"/>
      <c r="U1849" s="30"/>
      <c r="V1849" s="31"/>
      <c r="W1849" s="32" t="s">
        <v>384</v>
      </c>
      <c r="X1849" s="33"/>
      <c r="Y1849" s="34"/>
      <c r="Z1849" s="32"/>
      <c r="AA1849" s="20" t="s">
        <v>49</v>
      </c>
      <c r="AB1849" s="20" t="s">
        <v>49</v>
      </c>
      <c r="AC1849" s="19" t="s">
        <v>49</v>
      </c>
      <c r="AD1849" s="19" t="str">
        <f ca="1">IFERROR(DATEDIF(DadosViagem5[[#This Row],[Utimo Bip Reserva]],TODAY(),"D"),"")</f>
        <v/>
      </c>
      <c r="AE1849" s="36"/>
      <c r="AF1849" s="25"/>
      <c r="AG1849" s="36"/>
      <c r="AH1849" s="25">
        <v>45807</v>
      </c>
      <c r="AI1849" s="36" t="str">
        <f>IF(DadosViagem5[[#This Row],[Dias em manutenção ]]&lt;5,"Dentro do Prazo","Fora do Prazo")</f>
        <v>Fora do Prazo</v>
      </c>
      <c r="AJ1849" s="36" t="e">
        <v>#REF!</v>
      </c>
    </row>
    <row r="1850" spans="1:36">
      <c r="A1850" s="19" t="s">
        <v>3046</v>
      </c>
      <c r="B1850" s="20"/>
      <c r="C1850" s="19" t="s">
        <v>2956</v>
      </c>
      <c r="D1850" s="19" t="s">
        <v>264</v>
      </c>
      <c r="E1850" s="19" t="s">
        <v>53</v>
      </c>
      <c r="F1850" s="19"/>
      <c r="G1850" s="19"/>
      <c r="H1850" s="20">
        <v>2024</v>
      </c>
      <c r="I1850" s="19" t="s">
        <v>1183</v>
      </c>
      <c r="J1850" s="19" t="e">
        <v>#N/A</v>
      </c>
      <c r="K1850" s="108" t="s">
        <v>3031</v>
      </c>
      <c r="L1850" s="22" t="s">
        <v>2906</v>
      </c>
      <c r="M1850" s="23" t="s">
        <v>2847</v>
      </c>
      <c r="N1850" s="24" t="s">
        <v>3032</v>
      </c>
      <c r="O1850" s="24" t="s">
        <v>3033</v>
      </c>
      <c r="P1850" s="26">
        <f ca="1">IFERROR(VLOOKUP(DadosViagem5[[#This Row],[Placa]],[1]BIP!A:E,5,FALSE),"")</f>
        <v>0</v>
      </c>
      <c r="Q1850" s="27">
        <f ca="1">DATEDIF(DadosViagem5[[#This Row],[BIP]],TODAY(),"D")</f>
        <v>45990</v>
      </c>
      <c r="R1850" s="28" t="str">
        <f>IFERROR(VLOOKUP(DadosViagem5[[#This Row],[Placa]],[1]DDS!B:C,2,FALSE),"Verificar cadastro")</f>
        <v> </v>
      </c>
      <c r="S1850" s="29" t="s">
        <v>48</v>
      </c>
      <c r="T1850" s="23"/>
      <c r="U1850" s="30"/>
      <c r="V1850" s="31"/>
      <c r="W1850" s="32" t="s">
        <v>384</v>
      </c>
      <c r="X1850" s="33"/>
      <c r="Y1850" s="34"/>
      <c r="Z1850" s="32"/>
      <c r="AA1850" s="20" t="s">
        <v>49</v>
      </c>
      <c r="AB1850" s="20" t="s">
        <v>49</v>
      </c>
      <c r="AC1850" s="19" t="s">
        <v>49</v>
      </c>
      <c r="AD1850" s="19" t="str">
        <f ca="1">IFERROR(DATEDIF(DadosViagem5[[#This Row],[Utimo Bip Reserva]],TODAY(),"D"),"")</f>
        <v/>
      </c>
      <c r="AE1850" s="36"/>
      <c r="AF1850" s="25"/>
      <c r="AG1850" s="36"/>
      <c r="AH1850" s="25">
        <v>45807</v>
      </c>
      <c r="AI1850" s="36" t="str">
        <f>IF(DadosViagem5[[#This Row],[Dias em manutenção ]]&lt;5,"Dentro do Prazo","Fora do Prazo")</f>
        <v>Fora do Prazo</v>
      </c>
      <c r="AJ1850" s="36" t="e">
        <v>#REF!</v>
      </c>
    </row>
    <row r="1851" spans="1:36">
      <c r="A1851" s="19" t="s">
        <v>3047</v>
      </c>
      <c r="B1851" s="20"/>
      <c r="C1851" s="19" t="s">
        <v>2956</v>
      </c>
      <c r="D1851" s="19" t="s">
        <v>264</v>
      </c>
      <c r="E1851" s="19" t="s">
        <v>53</v>
      </c>
      <c r="F1851" s="19"/>
      <c r="G1851" s="19"/>
      <c r="H1851" s="20">
        <v>2024</v>
      </c>
      <c r="I1851" s="19" t="s">
        <v>1183</v>
      </c>
      <c r="J1851" s="19" t="e">
        <v>#N/A</v>
      </c>
      <c r="K1851" s="108" t="s">
        <v>3031</v>
      </c>
      <c r="L1851" s="22" t="s">
        <v>2906</v>
      </c>
      <c r="M1851" s="23" t="s">
        <v>2847</v>
      </c>
      <c r="N1851" s="24" t="s">
        <v>3032</v>
      </c>
      <c r="O1851" s="24" t="s">
        <v>3033</v>
      </c>
      <c r="P1851" s="26">
        <f ca="1">IFERROR(VLOOKUP(DadosViagem5[[#This Row],[Placa]],[1]BIP!A:E,5,FALSE),"")</f>
        <v>0</v>
      </c>
      <c r="Q1851" s="27">
        <f ca="1">DATEDIF(DadosViagem5[[#This Row],[BIP]],TODAY(),"D")</f>
        <v>45990</v>
      </c>
      <c r="R1851" s="28" t="str">
        <f>IFERROR(VLOOKUP(DadosViagem5[[#This Row],[Placa]],[1]DDS!B:C,2,FALSE),"Verificar cadastro")</f>
        <v> </v>
      </c>
      <c r="S1851" s="29" t="s">
        <v>48</v>
      </c>
      <c r="T1851" s="23"/>
      <c r="U1851" s="30"/>
      <c r="V1851" s="31"/>
      <c r="W1851" s="32" t="s">
        <v>384</v>
      </c>
      <c r="X1851" s="33"/>
      <c r="Y1851" s="34"/>
      <c r="Z1851" s="32"/>
      <c r="AA1851" s="20" t="s">
        <v>49</v>
      </c>
      <c r="AB1851" s="20" t="s">
        <v>49</v>
      </c>
      <c r="AC1851" s="19" t="s">
        <v>49</v>
      </c>
      <c r="AD1851" s="19" t="str">
        <f ca="1">IFERROR(DATEDIF(DadosViagem5[[#This Row],[Utimo Bip Reserva]],TODAY(),"D"),"")</f>
        <v/>
      </c>
      <c r="AE1851" s="36"/>
      <c r="AF1851" s="25"/>
      <c r="AG1851" s="36"/>
      <c r="AH1851" s="25">
        <v>45807</v>
      </c>
      <c r="AI1851" s="36" t="str">
        <f>IF(DadosViagem5[[#This Row],[Dias em manutenção ]]&lt;5,"Dentro do Prazo","Fora do Prazo")</f>
        <v>Fora do Prazo</v>
      </c>
      <c r="AJ1851" s="36" t="e">
        <v>#REF!</v>
      </c>
    </row>
    <row r="1852" spans="1:36">
      <c r="A1852" s="19" t="s">
        <v>3048</v>
      </c>
      <c r="B1852" s="20">
        <v>328</v>
      </c>
      <c r="C1852" s="19" t="s">
        <v>74</v>
      </c>
      <c r="D1852" s="19" t="s">
        <v>52</v>
      </c>
      <c r="E1852" s="19" t="s">
        <v>57</v>
      </c>
      <c r="F1852" s="19" t="s">
        <v>396</v>
      </c>
      <c r="G1852" s="19"/>
      <c r="H1852" s="20">
        <v>2023</v>
      </c>
      <c r="I1852" s="19" t="s">
        <v>1183</v>
      </c>
      <c r="J1852" s="19" t="e">
        <v>#N/A</v>
      </c>
      <c r="K1852" s="21" t="s">
        <v>3031</v>
      </c>
      <c r="L1852" s="22" t="s">
        <v>2906</v>
      </c>
      <c r="M1852" s="23" t="s">
        <v>77</v>
      </c>
      <c r="N1852" s="40" t="s">
        <v>3032</v>
      </c>
      <c r="O1852" s="40" t="s">
        <v>3033</v>
      </c>
      <c r="P1852" s="26">
        <f ca="1">IFERROR(VLOOKUP(DadosViagem5[[#This Row],[Placa]],[1]BIP!A:E,5,FALSE),"")</f>
        <v>0</v>
      </c>
      <c r="Q1852" s="27">
        <f ca="1">DATEDIF(DadosViagem5[[#This Row],[BIP]],TODAY(),"D")</f>
        <v>45990</v>
      </c>
      <c r="R1852" s="28" t="str">
        <f>IFERROR(VLOOKUP(DadosViagem5[[#This Row],[Placa]],[1]DDS!B:C,2,FALSE),"Verificar cadastro")</f>
        <v> </v>
      </c>
      <c r="S1852" s="29" t="s">
        <v>48</v>
      </c>
      <c r="T1852" s="23"/>
      <c r="U1852" s="30"/>
      <c r="V1852" s="31"/>
      <c r="W1852" s="32" t="s">
        <v>384</v>
      </c>
      <c r="X1852" s="33"/>
      <c r="Y1852" s="34"/>
      <c r="Z1852" s="32"/>
      <c r="AA1852" s="20" t="s">
        <v>49</v>
      </c>
      <c r="AB1852" s="20" t="s">
        <v>49</v>
      </c>
      <c r="AC1852" s="19" t="s">
        <v>49</v>
      </c>
      <c r="AD1852" s="19" t="str">
        <f ca="1">IFERROR(DATEDIF(DadosViagem5[[#This Row],[Utimo Bip Reserva]],TODAY(),"D"),"")</f>
        <v/>
      </c>
      <c r="AE1852" s="25" t="s">
        <v>49</v>
      </c>
      <c r="AF1852" s="25" t="s">
        <v>49</v>
      </c>
      <c r="AG1852" s="36"/>
      <c r="AH1852" s="25">
        <v>45807</v>
      </c>
      <c r="AI1852" s="36" t="str">
        <f>IF(DadosViagem5[[#This Row],[Dias em manutenção ]]&lt;5,"Dentro do Prazo","Fora do Prazo")</f>
        <v>Fora do Prazo</v>
      </c>
      <c r="AJ1852" s="36" t="e">
        <v>#REF!</v>
      </c>
    </row>
    <row r="1853" spans="1:36">
      <c r="A1853" s="19" t="s">
        <v>3049</v>
      </c>
      <c r="B1853" s="20"/>
      <c r="C1853" s="19"/>
      <c r="D1853" s="19"/>
      <c r="E1853" s="19"/>
      <c r="F1853" s="19"/>
      <c r="G1853" s="19"/>
      <c r="H1853" s="19"/>
      <c r="I1853" s="19" t="s">
        <v>3050</v>
      </c>
      <c r="J1853" s="19"/>
      <c r="K1853" s="19" t="s">
        <v>3051</v>
      </c>
      <c r="L1853" s="22" t="s">
        <v>2906</v>
      </c>
      <c r="M1853" s="23" t="s">
        <v>2847</v>
      </c>
      <c r="N1853" s="24" t="s">
        <v>2779</v>
      </c>
      <c r="O1853" s="24" t="s">
        <v>3011</v>
      </c>
      <c r="P1853" s="26" t="str">
        <f>IFERROR(VLOOKUP(DadosViagem5[[#This Row],[Placa]],[1]BIP!A:E,5,FALSE),"")</f>
        <v/>
      </c>
      <c r="Q1853" s="27" t="e">
        <f ca="1">DATEDIF(DadosViagem5[[#This Row],[BIP]],TODAY(),"D")</f>
        <v>#VALUE!</v>
      </c>
      <c r="R1853" s="28" t="str">
        <f>IFERROR(VLOOKUP(DadosViagem5[[#This Row],[Placa]],[1]DDS!B:C,2,FALSE),"Verificar cadastro")</f>
        <v>Verificar cadastro</v>
      </c>
      <c r="S1853" s="29" t="s">
        <v>48</v>
      </c>
      <c r="T1853" s="23"/>
      <c r="U1853" s="30"/>
      <c r="V1853" s="31"/>
      <c r="W1853" s="32" t="s">
        <v>384</v>
      </c>
      <c r="X1853" s="33"/>
      <c r="Y1853" s="34"/>
      <c r="Z1853" s="32"/>
      <c r="AA1853" s="20" t="s">
        <v>49</v>
      </c>
      <c r="AB1853" s="20" t="s">
        <v>49</v>
      </c>
      <c r="AC1853" s="20" t="s">
        <v>49</v>
      </c>
      <c r="AD1853" s="20" t="s">
        <v>49</v>
      </c>
      <c r="AE1853" s="36"/>
      <c r="AF1853" s="25"/>
      <c r="AG1853" s="36"/>
      <c r="AH1853" s="25">
        <v>45807</v>
      </c>
      <c r="AI1853" s="36" t="str">
        <f>IF(DadosViagem5[[#This Row],[Dias em manutenção ]]&lt;5,"Dentro do Prazo","Fora do Prazo")</f>
        <v>Fora do Prazo</v>
      </c>
      <c r="AJ1853" s="36" t="e">
        <v>#REF!</v>
      </c>
    </row>
    <row r="1854" spans="1:36">
      <c r="A1854" s="19" t="s">
        <v>3052</v>
      </c>
      <c r="B1854" s="20"/>
      <c r="C1854" s="19"/>
      <c r="D1854" s="19"/>
      <c r="E1854" s="19"/>
      <c r="F1854" s="19"/>
      <c r="G1854" s="19"/>
      <c r="H1854" s="19"/>
      <c r="I1854" s="19" t="s">
        <v>3050</v>
      </c>
      <c r="J1854" s="19"/>
      <c r="K1854" s="19" t="s">
        <v>3051</v>
      </c>
      <c r="L1854" s="22" t="s">
        <v>2906</v>
      </c>
      <c r="M1854" s="23" t="s">
        <v>2847</v>
      </c>
      <c r="N1854" s="24" t="s">
        <v>2779</v>
      </c>
      <c r="O1854" s="24" t="s">
        <v>3011</v>
      </c>
      <c r="P1854" s="26" t="str">
        <f>IFERROR(VLOOKUP(DadosViagem5[[#This Row],[Placa]],[1]BIP!A:E,5,FALSE),"")</f>
        <v/>
      </c>
      <c r="Q1854" s="27" t="e">
        <f ca="1">DATEDIF(DadosViagem5[[#This Row],[BIP]],TODAY(),"D")</f>
        <v>#VALUE!</v>
      </c>
      <c r="R1854" s="28" t="str">
        <f>IFERROR(VLOOKUP(DadosViagem5[[#This Row],[Placa]],[1]DDS!B:C,2,FALSE),"Verificar cadastro")</f>
        <v>Verificar cadastro</v>
      </c>
      <c r="S1854" s="29" t="s">
        <v>48</v>
      </c>
      <c r="T1854" s="23"/>
      <c r="U1854" s="30"/>
      <c r="V1854" s="31"/>
      <c r="W1854" s="32" t="s">
        <v>384</v>
      </c>
      <c r="X1854" s="33"/>
      <c r="Y1854" s="34"/>
      <c r="Z1854" s="32"/>
      <c r="AA1854" s="20" t="s">
        <v>49</v>
      </c>
      <c r="AB1854" s="20" t="s">
        <v>49</v>
      </c>
      <c r="AC1854" s="20" t="s">
        <v>49</v>
      </c>
      <c r="AD1854" s="20" t="s">
        <v>49</v>
      </c>
      <c r="AE1854" s="36"/>
      <c r="AF1854" s="25"/>
      <c r="AG1854" s="36"/>
      <c r="AH1854" s="25">
        <v>45807</v>
      </c>
      <c r="AI1854" s="36" t="str">
        <f>IF(DadosViagem5[[#This Row],[Dias em manutenção ]]&lt;5,"Dentro do Prazo","Fora do Prazo")</f>
        <v>Fora do Prazo</v>
      </c>
      <c r="AJ1854" s="36" t="e">
        <v>#REF!</v>
      </c>
    </row>
    <row r="1855" spans="1:36">
      <c r="A1855" s="19" t="s">
        <v>3053</v>
      </c>
      <c r="B1855" s="20"/>
      <c r="C1855" s="19"/>
      <c r="D1855" s="19"/>
      <c r="E1855" s="19"/>
      <c r="F1855" s="19"/>
      <c r="G1855" s="19"/>
      <c r="H1855" s="19"/>
      <c r="I1855" s="19" t="s">
        <v>3050</v>
      </c>
      <c r="J1855" s="19"/>
      <c r="K1855" s="19" t="s">
        <v>3051</v>
      </c>
      <c r="L1855" s="22" t="s">
        <v>2906</v>
      </c>
      <c r="M1855" s="23" t="s">
        <v>2847</v>
      </c>
      <c r="N1855" s="24" t="s">
        <v>2779</v>
      </c>
      <c r="O1855" s="24" t="s">
        <v>3011</v>
      </c>
      <c r="P1855" s="26" t="str">
        <f>IFERROR(VLOOKUP(DadosViagem5[[#This Row],[Placa]],[1]BIP!A:E,5,FALSE),"")</f>
        <v/>
      </c>
      <c r="Q1855" s="27" t="e">
        <f ca="1">DATEDIF(DadosViagem5[[#This Row],[BIP]],TODAY(),"D")</f>
        <v>#VALUE!</v>
      </c>
      <c r="R1855" s="28" t="str">
        <f>IFERROR(VLOOKUP(DadosViagem5[[#This Row],[Placa]],[1]DDS!B:C,2,FALSE),"Verificar cadastro")</f>
        <v> </v>
      </c>
      <c r="S1855" s="29" t="s">
        <v>48</v>
      </c>
      <c r="T1855" s="23"/>
      <c r="U1855" s="30"/>
      <c r="V1855" s="31"/>
      <c r="W1855" s="32" t="s">
        <v>384</v>
      </c>
      <c r="X1855" s="33"/>
      <c r="Y1855" s="34"/>
      <c r="Z1855" s="32"/>
      <c r="AA1855" s="20" t="s">
        <v>49</v>
      </c>
      <c r="AB1855" s="20" t="s">
        <v>49</v>
      </c>
      <c r="AC1855" s="20" t="s">
        <v>49</v>
      </c>
      <c r="AD1855" s="20" t="s">
        <v>49</v>
      </c>
      <c r="AE1855" s="36"/>
      <c r="AF1855" s="25"/>
      <c r="AG1855" s="36"/>
      <c r="AH1855" s="25">
        <v>45807</v>
      </c>
      <c r="AI1855" s="36" t="str">
        <f>IF(DadosViagem5[[#This Row],[Dias em manutenção ]]&lt;5,"Dentro do Prazo","Fora do Prazo")</f>
        <v>Fora do Prazo</v>
      </c>
      <c r="AJ1855" s="36" t="e">
        <v>#REF!</v>
      </c>
    </row>
    <row r="1856" spans="1:36">
      <c r="A1856" s="19" t="s">
        <v>3054</v>
      </c>
      <c r="B1856" s="20"/>
      <c r="C1856" s="19"/>
      <c r="D1856" s="19"/>
      <c r="E1856" s="19"/>
      <c r="F1856" s="19"/>
      <c r="G1856" s="19"/>
      <c r="H1856" s="19"/>
      <c r="I1856" s="19" t="s">
        <v>3050</v>
      </c>
      <c r="J1856" s="19"/>
      <c r="K1856" s="19" t="s">
        <v>3051</v>
      </c>
      <c r="L1856" s="22" t="s">
        <v>2906</v>
      </c>
      <c r="M1856" s="23" t="s">
        <v>2847</v>
      </c>
      <c r="N1856" s="24" t="s">
        <v>2779</v>
      </c>
      <c r="O1856" s="24" t="s">
        <v>3011</v>
      </c>
      <c r="P1856" s="26" t="str">
        <f>IFERROR(VLOOKUP(DadosViagem5[[#This Row],[Placa]],[1]BIP!A:E,5,FALSE),"")</f>
        <v/>
      </c>
      <c r="Q1856" s="27" t="e">
        <f ca="1">DATEDIF(DadosViagem5[[#This Row],[BIP]],TODAY(),"D")</f>
        <v>#VALUE!</v>
      </c>
      <c r="R1856" s="28" t="str">
        <f>IFERROR(VLOOKUP(DadosViagem5[[#This Row],[Placa]],[1]DDS!B:C,2,FALSE),"Verificar cadastro")</f>
        <v> </v>
      </c>
      <c r="S1856" s="29" t="s">
        <v>48</v>
      </c>
      <c r="T1856" s="23"/>
      <c r="U1856" s="30"/>
      <c r="V1856" s="31"/>
      <c r="W1856" s="32" t="s">
        <v>384</v>
      </c>
      <c r="X1856" s="33"/>
      <c r="Y1856" s="34"/>
      <c r="Z1856" s="32"/>
      <c r="AA1856" s="20" t="s">
        <v>49</v>
      </c>
      <c r="AB1856" s="20" t="s">
        <v>49</v>
      </c>
      <c r="AC1856" s="20" t="s">
        <v>49</v>
      </c>
      <c r="AD1856" s="20" t="s">
        <v>49</v>
      </c>
      <c r="AE1856" s="36"/>
      <c r="AF1856" s="25"/>
      <c r="AG1856" s="36"/>
      <c r="AH1856" s="25">
        <v>45807</v>
      </c>
      <c r="AI1856" s="36" t="str">
        <f>IF(DadosViagem5[[#This Row],[Dias em manutenção ]]&lt;5,"Dentro do Prazo","Fora do Prazo")</f>
        <v>Fora do Prazo</v>
      </c>
      <c r="AJ1856" s="36" t="e">
        <v>#REF!</v>
      </c>
    </row>
    <row r="1857" spans="1:36">
      <c r="A1857" s="52" t="s">
        <v>3055</v>
      </c>
      <c r="B1857" s="20"/>
      <c r="C1857" s="19"/>
      <c r="D1857" s="19"/>
      <c r="E1857" s="19"/>
      <c r="F1857" s="19"/>
      <c r="G1857" s="19"/>
      <c r="H1857" s="19"/>
      <c r="I1857" s="19" t="s">
        <v>3050</v>
      </c>
      <c r="J1857" s="19"/>
      <c r="K1857" s="19" t="s">
        <v>3051</v>
      </c>
      <c r="L1857" s="39" t="s">
        <v>2906</v>
      </c>
      <c r="M1857" s="23" t="s">
        <v>2847</v>
      </c>
      <c r="N1857" s="24" t="s">
        <v>2779</v>
      </c>
      <c r="O1857" s="24" t="s">
        <v>3011</v>
      </c>
      <c r="P1857" s="26" t="str">
        <f>IFERROR(VLOOKUP(DadosViagem5[[#This Row],[Placa]],[1]BIP!A:E,5,FALSE),"")</f>
        <v/>
      </c>
      <c r="Q1857" s="27" t="e">
        <f ca="1">DATEDIF(DadosViagem5[[#This Row],[BIP]],TODAY(),"D")</f>
        <v>#VALUE!</v>
      </c>
      <c r="R1857" s="28" t="str">
        <f>IFERROR(VLOOKUP(DadosViagem5[[#This Row],[Placa]],[1]DDS!B:C,2,FALSE),"Verificar cadastro")</f>
        <v>Verificar cadastro</v>
      </c>
      <c r="S1857" s="29" t="s">
        <v>48</v>
      </c>
      <c r="T1857" s="23"/>
      <c r="U1857" s="30"/>
      <c r="V1857" s="31"/>
      <c r="W1857" s="32" t="s">
        <v>384</v>
      </c>
      <c r="X1857" s="33"/>
      <c r="Y1857" s="34"/>
      <c r="Z1857" s="32"/>
      <c r="AA1857" s="20" t="s">
        <v>49</v>
      </c>
      <c r="AB1857" s="20" t="s">
        <v>49</v>
      </c>
      <c r="AC1857" s="20" t="s">
        <v>49</v>
      </c>
      <c r="AD1857" s="20" t="s">
        <v>49</v>
      </c>
      <c r="AE1857" s="36"/>
      <c r="AF1857" s="25"/>
      <c r="AG1857" s="36"/>
      <c r="AH1857" s="25">
        <v>45807</v>
      </c>
      <c r="AI1857" s="36" t="str">
        <f>IF(DadosViagem5[[#This Row],[Dias em manutenção ]]&lt;5,"Dentro do Prazo","Fora do Prazo")</f>
        <v>Fora do Prazo</v>
      </c>
      <c r="AJ1857" s="36" t="e">
        <v>#REF!</v>
      </c>
    </row>
    <row r="1858" spans="1:36">
      <c r="A1858" s="19" t="s">
        <v>3056</v>
      </c>
      <c r="B1858" s="20"/>
      <c r="C1858" s="19"/>
      <c r="D1858" s="19"/>
      <c r="E1858" s="19"/>
      <c r="F1858" s="19"/>
      <c r="G1858" s="19"/>
      <c r="H1858" s="19"/>
      <c r="I1858" s="19" t="s">
        <v>3050</v>
      </c>
      <c r="J1858" s="19"/>
      <c r="K1858" s="19" t="s">
        <v>3051</v>
      </c>
      <c r="L1858" s="39" t="s">
        <v>2906</v>
      </c>
      <c r="M1858" s="23" t="s">
        <v>2847</v>
      </c>
      <c r="N1858" s="24" t="s">
        <v>2779</v>
      </c>
      <c r="O1858" s="24" t="s">
        <v>3011</v>
      </c>
      <c r="P1858" s="26" t="str">
        <f>IFERROR(VLOOKUP(DadosViagem5[[#This Row],[Placa]],[1]BIP!A:E,5,FALSE),"")</f>
        <v/>
      </c>
      <c r="Q1858" s="27" t="e">
        <f ca="1">DATEDIF(DadosViagem5[[#This Row],[BIP]],TODAY(),"D")</f>
        <v>#VALUE!</v>
      </c>
      <c r="R1858" s="28" t="str">
        <f>IFERROR(VLOOKUP(DadosViagem5[[#This Row],[Placa]],[1]DDS!B:C,2,FALSE),"Verificar cadastro")</f>
        <v> </v>
      </c>
      <c r="S1858" s="29" t="s">
        <v>48</v>
      </c>
      <c r="T1858" s="23"/>
      <c r="U1858" s="30"/>
      <c r="V1858" s="31"/>
      <c r="W1858" s="32" t="s">
        <v>384</v>
      </c>
      <c r="X1858" s="33"/>
      <c r="Y1858" s="34"/>
      <c r="Z1858" s="32"/>
      <c r="AA1858" s="20" t="s">
        <v>49</v>
      </c>
      <c r="AB1858" s="20" t="s">
        <v>49</v>
      </c>
      <c r="AC1858" s="20" t="s">
        <v>49</v>
      </c>
      <c r="AD1858" s="20" t="s">
        <v>49</v>
      </c>
      <c r="AE1858" s="36"/>
      <c r="AF1858" s="25"/>
      <c r="AG1858" s="36"/>
      <c r="AH1858" s="25">
        <v>45807</v>
      </c>
      <c r="AI1858" s="36" t="str">
        <f>IF(DadosViagem5[[#This Row],[Dias em manutenção ]]&lt;5,"Dentro do Prazo","Fora do Prazo")</f>
        <v>Fora do Prazo</v>
      </c>
      <c r="AJ1858" s="36" t="e">
        <v>#REF!</v>
      </c>
    </row>
    <row r="1859" spans="1:36">
      <c r="A1859" s="19" t="s">
        <v>3057</v>
      </c>
      <c r="B1859" s="20"/>
      <c r="C1859" s="19"/>
      <c r="D1859" s="19"/>
      <c r="E1859" s="19"/>
      <c r="F1859" s="19"/>
      <c r="G1859" s="19"/>
      <c r="H1859" s="19"/>
      <c r="I1859" s="19" t="s">
        <v>41</v>
      </c>
      <c r="J1859" s="19"/>
      <c r="K1859" s="19" t="s">
        <v>3058</v>
      </c>
      <c r="L1859" s="39" t="s">
        <v>2906</v>
      </c>
      <c r="M1859" s="23" t="s">
        <v>2847</v>
      </c>
      <c r="N1859" s="24"/>
      <c r="O1859" s="24"/>
      <c r="P1859" s="26" t="str">
        <f>IFERROR(VLOOKUP(DadosViagem5[[#This Row],[Placa]],[1]BIP!A:E,5,FALSE),"")</f>
        <v/>
      </c>
      <c r="Q1859" s="27" t="e">
        <f ca="1">DATEDIF(DadosViagem5[[#This Row],[BIP]],TODAY(),"D")</f>
        <v>#VALUE!</v>
      </c>
      <c r="R1859" s="28" t="str">
        <f>IFERROR(VLOOKUP(DadosViagem5[[#This Row],[Placa]],[1]DDS!B:C,2,FALSE),"Verificar cadastro")</f>
        <v>Verificar cadastro</v>
      </c>
      <c r="S1859" s="29" t="s">
        <v>48</v>
      </c>
      <c r="T1859" s="23"/>
      <c r="U1859" s="30"/>
      <c r="V1859" s="31"/>
      <c r="W1859" s="32" t="s">
        <v>384</v>
      </c>
      <c r="X1859" s="33"/>
      <c r="Y1859" s="34"/>
      <c r="Z1859" s="32"/>
      <c r="AA1859" s="20" t="s">
        <v>49</v>
      </c>
      <c r="AB1859" s="20" t="s">
        <v>49</v>
      </c>
      <c r="AC1859" s="20" t="s">
        <v>49</v>
      </c>
      <c r="AD1859" s="20" t="s">
        <v>49</v>
      </c>
      <c r="AE1859" s="36"/>
      <c r="AF1859" s="25"/>
      <c r="AG1859" s="36"/>
      <c r="AH1859" s="25">
        <v>45807</v>
      </c>
      <c r="AI1859" s="36" t="str">
        <f>IF(DadosViagem5[[#This Row],[Dias em manutenção ]]&lt;5,"Dentro do Prazo","Fora do Prazo")</f>
        <v>Fora do Prazo</v>
      </c>
      <c r="AJ1859" s="36" t="e">
        <v>#REF!</v>
      </c>
    </row>
    <row r="1860" spans="1:36">
      <c r="A1860" s="19" t="s">
        <v>3059</v>
      </c>
      <c r="B1860" s="20"/>
      <c r="C1860" s="19"/>
      <c r="D1860" s="19"/>
      <c r="E1860" s="19"/>
      <c r="F1860" s="19"/>
      <c r="G1860" s="19"/>
      <c r="H1860" s="19"/>
      <c r="I1860" s="19" t="s">
        <v>41</v>
      </c>
      <c r="J1860" s="19"/>
      <c r="K1860" s="19" t="s">
        <v>3058</v>
      </c>
      <c r="L1860" s="39" t="s">
        <v>2906</v>
      </c>
      <c r="M1860" s="23" t="s">
        <v>2847</v>
      </c>
      <c r="N1860" s="24"/>
      <c r="O1860" s="24"/>
      <c r="P1860" s="26" t="str">
        <f>IFERROR(VLOOKUP(DadosViagem5[[#This Row],[Placa]],[1]BIP!A:E,5,FALSE),"")</f>
        <v/>
      </c>
      <c r="Q1860" s="27" t="e">
        <f ca="1">DATEDIF(DadosViagem5[[#This Row],[BIP]],TODAY(),"D")</f>
        <v>#VALUE!</v>
      </c>
      <c r="R1860" s="28" t="str">
        <f>IFERROR(VLOOKUP(DadosViagem5[[#This Row],[Placa]],[1]DDS!B:C,2,FALSE),"Verificar cadastro")</f>
        <v>Verificar cadastro</v>
      </c>
      <c r="S1860" s="29" t="s">
        <v>48</v>
      </c>
      <c r="T1860" s="23"/>
      <c r="U1860" s="30"/>
      <c r="V1860" s="31"/>
      <c r="W1860" s="32" t="s">
        <v>384</v>
      </c>
      <c r="X1860" s="33"/>
      <c r="Y1860" s="34"/>
      <c r="Z1860" s="32"/>
      <c r="AA1860" s="20" t="s">
        <v>49</v>
      </c>
      <c r="AB1860" s="20" t="s">
        <v>49</v>
      </c>
      <c r="AC1860" s="20" t="s">
        <v>49</v>
      </c>
      <c r="AD1860" s="20" t="s">
        <v>49</v>
      </c>
      <c r="AE1860" s="36"/>
      <c r="AF1860" s="25"/>
      <c r="AG1860" s="36"/>
      <c r="AH1860" s="25">
        <v>45807</v>
      </c>
      <c r="AI1860" s="36" t="str">
        <f>IF(DadosViagem5[[#This Row],[Dias em manutenção ]]&lt;5,"Dentro do Prazo","Fora do Prazo")</f>
        <v>Fora do Prazo</v>
      </c>
      <c r="AJ1860" s="36" t="e">
        <v>#REF!</v>
      </c>
    </row>
    <row r="1861" spans="1:36">
      <c r="A1861" s="19" t="s">
        <v>3060</v>
      </c>
      <c r="B1861" s="20"/>
      <c r="C1861" s="19"/>
      <c r="D1861" s="19"/>
      <c r="E1861" s="19"/>
      <c r="F1861" s="19"/>
      <c r="G1861" s="19"/>
      <c r="H1861" s="19"/>
      <c r="I1861" s="19" t="s">
        <v>41</v>
      </c>
      <c r="J1861" s="19"/>
      <c r="K1861" s="19" t="s">
        <v>3058</v>
      </c>
      <c r="L1861" s="39" t="s">
        <v>2906</v>
      </c>
      <c r="M1861" s="23" t="s">
        <v>2847</v>
      </c>
      <c r="N1861" s="36"/>
      <c r="O1861" s="36"/>
      <c r="P1861" s="26" t="str">
        <f>IFERROR(VLOOKUP(DadosViagem5[[#This Row],[Placa]],[1]BIP!A:E,5,FALSE),"")</f>
        <v/>
      </c>
      <c r="Q1861" s="27" t="e">
        <f ca="1">DATEDIF(DadosViagem5[[#This Row],[BIP]],TODAY(),"D")</f>
        <v>#VALUE!</v>
      </c>
      <c r="R1861" s="28" t="str">
        <f>IFERROR(VLOOKUP(DadosViagem5[[#This Row],[Placa]],[1]DDS!B:C,2,FALSE),"Verificar cadastro")</f>
        <v>Verificar cadastro</v>
      </c>
      <c r="S1861" s="29" t="s">
        <v>48</v>
      </c>
      <c r="T1861" s="23"/>
      <c r="U1861" s="30"/>
      <c r="V1861" s="31"/>
      <c r="W1861" s="32" t="s">
        <v>384</v>
      </c>
      <c r="X1861" s="33"/>
      <c r="Y1861" s="34"/>
      <c r="Z1861" s="32"/>
      <c r="AA1861" s="20" t="s">
        <v>49</v>
      </c>
      <c r="AB1861" s="20" t="s">
        <v>49</v>
      </c>
      <c r="AC1861" s="20" t="s">
        <v>49</v>
      </c>
      <c r="AD1861" s="20" t="s">
        <v>49</v>
      </c>
      <c r="AE1861" s="36"/>
      <c r="AF1861" s="25"/>
      <c r="AG1861" s="36"/>
      <c r="AH1861" s="25">
        <v>45807</v>
      </c>
      <c r="AI1861" s="36" t="str">
        <f>IF(DadosViagem5[[#This Row],[Dias em manutenção ]]&lt;5,"Dentro do Prazo","Fora do Prazo")</f>
        <v>Fora do Prazo</v>
      </c>
      <c r="AJ1861" s="36" t="e">
        <v>#REF!</v>
      </c>
    </row>
    <row r="1862" spans="1:36">
      <c r="A1862" s="19" t="s">
        <v>3061</v>
      </c>
      <c r="B1862" s="20"/>
      <c r="C1862" s="19"/>
      <c r="D1862" s="19"/>
      <c r="E1862" s="19"/>
      <c r="F1862" s="19"/>
      <c r="G1862" s="19"/>
      <c r="H1862" s="19"/>
      <c r="I1862" s="19" t="s">
        <v>41</v>
      </c>
      <c r="J1862" s="19"/>
      <c r="K1862" s="19" t="s">
        <v>3058</v>
      </c>
      <c r="L1862" s="39" t="s">
        <v>2906</v>
      </c>
      <c r="M1862" s="23" t="s">
        <v>2847</v>
      </c>
      <c r="N1862" s="36"/>
      <c r="O1862" s="36"/>
      <c r="P1862" s="26" t="str">
        <f>IFERROR(VLOOKUP(DadosViagem5[[#This Row],[Placa]],[1]BIP!A:E,5,FALSE),"")</f>
        <v/>
      </c>
      <c r="Q1862" s="27" t="e">
        <f ca="1">DATEDIF(DadosViagem5[[#This Row],[BIP]],TODAY(),"D")</f>
        <v>#VALUE!</v>
      </c>
      <c r="R1862" s="28" t="str">
        <f>IFERROR(VLOOKUP(DadosViagem5[[#This Row],[Placa]],[1]DDS!B:C,2,FALSE),"Verificar cadastro")</f>
        <v> </v>
      </c>
      <c r="S1862" s="29" t="s">
        <v>48</v>
      </c>
      <c r="T1862" s="23"/>
      <c r="U1862" s="30"/>
      <c r="V1862" s="31"/>
      <c r="W1862" s="32" t="s">
        <v>384</v>
      </c>
      <c r="X1862" s="33"/>
      <c r="Y1862" s="34"/>
      <c r="Z1862" s="32"/>
      <c r="AA1862" s="20" t="s">
        <v>49</v>
      </c>
      <c r="AB1862" s="20" t="s">
        <v>49</v>
      </c>
      <c r="AC1862" s="20" t="s">
        <v>49</v>
      </c>
      <c r="AD1862" s="20" t="s">
        <v>49</v>
      </c>
      <c r="AE1862" s="36"/>
      <c r="AF1862" s="25"/>
      <c r="AG1862" s="36"/>
      <c r="AH1862" s="25">
        <v>45807</v>
      </c>
      <c r="AI1862" s="36" t="str">
        <f>IF(DadosViagem5[[#This Row],[Dias em manutenção ]]&lt;5,"Dentro do Prazo","Fora do Prazo")</f>
        <v>Fora do Prazo</v>
      </c>
      <c r="AJ1862" s="36" t="e">
        <v>#REF!</v>
      </c>
    </row>
    <row r="1863" spans="1:36">
      <c r="A1863" s="19" t="s">
        <v>3062</v>
      </c>
      <c r="B1863" s="20"/>
      <c r="C1863" s="19"/>
      <c r="D1863" s="19"/>
      <c r="E1863" s="19"/>
      <c r="F1863" s="19"/>
      <c r="G1863" s="19"/>
      <c r="H1863" s="19"/>
      <c r="I1863" s="19" t="s">
        <v>41</v>
      </c>
      <c r="J1863" s="19"/>
      <c r="K1863" s="19" t="s">
        <v>3058</v>
      </c>
      <c r="L1863" s="39" t="s">
        <v>2906</v>
      </c>
      <c r="M1863" s="23" t="s">
        <v>2847</v>
      </c>
      <c r="N1863" s="36"/>
      <c r="O1863" s="36"/>
      <c r="P1863" s="26" t="str">
        <f>IFERROR(VLOOKUP(DadosViagem5[[#This Row],[Placa]],[1]BIP!A:E,5,FALSE),"")</f>
        <v/>
      </c>
      <c r="Q1863" s="27" t="e">
        <f ca="1">DATEDIF(DadosViagem5[[#This Row],[BIP]],TODAY(),"D")</f>
        <v>#VALUE!</v>
      </c>
      <c r="R1863" s="28" t="str">
        <f>IFERROR(VLOOKUP(DadosViagem5[[#This Row],[Placa]],[1]DDS!B:C,2,FALSE),"Verificar cadastro")</f>
        <v> </v>
      </c>
      <c r="S1863" s="29" t="s">
        <v>48</v>
      </c>
      <c r="T1863" s="23"/>
      <c r="U1863" s="30"/>
      <c r="V1863" s="31"/>
      <c r="W1863" s="32" t="s">
        <v>384</v>
      </c>
      <c r="X1863" s="33"/>
      <c r="Y1863" s="34"/>
      <c r="Z1863" s="32"/>
      <c r="AA1863" s="20" t="s">
        <v>49</v>
      </c>
      <c r="AB1863" s="20" t="s">
        <v>49</v>
      </c>
      <c r="AC1863" s="20" t="s">
        <v>49</v>
      </c>
      <c r="AD1863" s="20" t="s">
        <v>49</v>
      </c>
      <c r="AE1863" s="36"/>
      <c r="AF1863" s="25"/>
      <c r="AG1863" s="36"/>
      <c r="AH1863" s="25">
        <v>45807</v>
      </c>
      <c r="AI1863" s="36" t="str">
        <f>IF(DadosViagem5[[#This Row],[Dias em manutenção ]]&lt;5,"Dentro do Prazo","Fora do Prazo")</f>
        <v>Fora do Prazo</v>
      </c>
      <c r="AJ1863" s="36" t="e">
        <v>#REF!</v>
      </c>
    </row>
    <row r="1864" spans="1:36">
      <c r="A1864" s="19" t="s">
        <v>3063</v>
      </c>
      <c r="B1864" s="20"/>
      <c r="C1864" s="19"/>
      <c r="D1864" s="19"/>
      <c r="E1864" s="19"/>
      <c r="F1864" s="19"/>
      <c r="G1864" s="19"/>
      <c r="H1864" s="19"/>
      <c r="I1864" s="19" t="s">
        <v>41</v>
      </c>
      <c r="J1864" s="19"/>
      <c r="K1864" s="19" t="s">
        <v>3058</v>
      </c>
      <c r="L1864" s="39" t="s">
        <v>2906</v>
      </c>
      <c r="M1864" s="23" t="s">
        <v>2847</v>
      </c>
      <c r="N1864" s="36"/>
      <c r="O1864" s="36"/>
      <c r="P1864" s="26" t="str">
        <f>IFERROR(VLOOKUP(DadosViagem5[[#This Row],[Placa]],[1]BIP!A:E,5,FALSE),"")</f>
        <v/>
      </c>
      <c r="Q1864" s="27" t="e">
        <f ca="1">DATEDIF(DadosViagem5[[#This Row],[BIP]],TODAY(),"D")</f>
        <v>#VALUE!</v>
      </c>
      <c r="R1864" s="28" t="str">
        <f>IFERROR(VLOOKUP(DadosViagem5[[#This Row],[Placa]],[1]DDS!B:C,2,FALSE),"Verificar cadastro")</f>
        <v>Verificar cadastro</v>
      </c>
      <c r="S1864" s="29" t="s">
        <v>48</v>
      </c>
      <c r="T1864" s="23"/>
      <c r="U1864" s="30"/>
      <c r="V1864" s="31"/>
      <c r="W1864" s="32" t="s">
        <v>384</v>
      </c>
      <c r="X1864" s="33"/>
      <c r="Y1864" s="34"/>
      <c r="Z1864" s="32"/>
      <c r="AA1864" s="20" t="s">
        <v>49</v>
      </c>
      <c r="AB1864" s="20" t="s">
        <v>49</v>
      </c>
      <c r="AC1864" s="20" t="s">
        <v>49</v>
      </c>
      <c r="AD1864" s="20" t="s">
        <v>49</v>
      </c>
      <c r="AE1864" s="36"/>
      <c r="AF1864" s="25"/>
      <c r="AG1864" s="36"/>
      <c r="AH1864" s="25">
        <v>45807</v>
      </c>
      <c r="AI1864" s="36" t="str">
        <f>IF(DadosViagem5[[#This Row],[Dias em manutenção ]]&lt;5,"Dentro do Prazo","Fora do Prazo")</f>
        <v>Fora do Prazo</v>
      </c>
      <c r="AJ1864" s="36" t="e">
        <v>#REF!</v>
      </c>
    </row>
    <row r="1865" spans="1:36">
      <c r="A1865" s="19" t="s">
        <v>3064</v>
      </c>
      <c r="B1865" s="20"/>
      <c r="C1865" s="19"/>
      <c r="D1865" s="19"/>
      <c r="E1865" s="19"/>
      <c r="F1865" s="19"/>
      <c r="G1865" s="19"/>
      <c r="H1865" s="19"/>
      <c r="I1865" s="19" t="s">
        <v>41</v>
      </c>
      <c r="J1865" s="19"/>
      <c r="K1865" s="19" t="s">
        <v>3058</v>
      </c>
      <c r="L1865" s="39" t="s">
        <v>2906</v>
      </c>
      <c r="M1865" s="23" t="s">
        <v>2847</v>
      </c>
      <c r="N1865" s="36"/>
      <c r="O1865" s="36"/>
      <c r="P1865" s="26" t="str">
        <f>IFERROR(VLOOKUP(DadosViagem5[[#This Row],[Placa]],[1]BIP!A:E,5,FALSE),"")</f>
        <v/>
      </c>
      <c r="Q1865" s="27" t="e">
        <f ca="1">DATEDIF(DadosViagem5[[#This Row],[BIP]],TODAY(),"D")</f>
        <v>#VALUE!</v>
      </c>
      <c r="R1865" s="28" t="str">
        <f>IFERROR(VLOOKUP(DadosViagem5[[#This Row],[Placa]],[1]DDS!B:C,2,FALSE),"Verificar cadastro")</f>
        <v>Verificar cadastro</v>
      </c>
      <c r="S1865" s="29" t="s">
        <v>48</v>
      </c>
      <c r="T1865" s="23"/>
      <c r="U1865" s="30"/>
      <c r="V1865" s="31"/>
      <c r="W1865" s="32" t="s">
        <v>384</v>
      </c>
      <c r="X1865" s="33"/>
      <c r="Y1865" s="34"/>
      <c r="Z1865" s="32"/>
      <c r="AA1865" s="20" t="s">
        <v>49</v>
      </c>
      <c r="AB1865" s="20" t="s">
        <v>49</v>
      </c>
      <c r="AC1865" s="20" t="s">
        <v>49</v>
      </c>
      <c r="AD1865" s="20" t="s">
        <v>49</v>
      </c>
      <c r="AE1865" s="36"/>
      <c r="AF1865" s="25"/>
      <c r="AG1865" s="36"/>
      <c r="AH1865" s="25">
        <v>45807</v>
      </c>
      <c r="AI1865" s="36" t="str">
        <f>IF(DadosViagem5[[#This Row],[Dias em manutenção ]]&lt;5,"Dentro do Prazo","Fora do Prazo")</f>
        <v>Fora do Prazo</v>
      </c>
      <c r="AJ1865" s="36" t="e">
        <v>#REF!</v>
      </c>
    </row>
    <row r="1866" spans="1:36">
      <c r="A1866" s="19" t="s">
        <v>3065</v>
      </c>
      <c r="B1866" s="20"/>
      <c r="C1866" s="19"/>
      <c r="D1866" s="19"/>
      <c r="E1866" s="19"/>
      <c r="F1866" s="19"/>
      <c r="G1866" s="19"/>
      <c r="H1866" s="19"/>
      <c r="I1866" s="19" t="s">
        <v>41</v>
      </c>
      <c r="J1866" s="19"/>
      <c r="K1866" s="19" t="s">
        <v>3058</v>
      </c>
      <c r="L1866" s="39" t="s">
        <v>2906</v>
      </c>
      <c r="M1866" s="23" t="s">
        <v>2847</v>
      </c>
      <c r="N1866" s="36"/>
      <c r="O1866" s="36"/>
      <c r="P1866" s="26" t="str">
        <f>IFERROR(VLOOKUP(DadosViagem5[[#This Row],[Placa]],[1]BIP!A:E,5,FALSE),"")</f>
        <v/>
      </c>
      <c r="Q1866" s="27" t="e">
        <f ca="1">DATEDIF(DadosViagem5[[#This Row],[BIP]],TODAY(),"D")</f>
        <v>#VALUE!</v>
      </c>
      <c r="R1866" s="28" t="str">
        <f>IFERROR(VLOOKUP(DadosViagem5[[#This Row],[Placa]],[1]DDS!B:C,2,FALSE),"Verificar cadastro")</f>
        <v> </v>
      </c>
      <c r="S1866" s="29" t="s">
        <v>48</v>
      </c>
      <c r="T1866" s="23"/>
      <c r="U1866" s="30"/>
      <c r="V1866" s="31"/>
      <c r="W1866" s="32" t="s">
        <v>384</v>
      </c>
      <c r="X1866" s="33"/>
      <c r="Y1866" s="34"/>
      <c r="Z1866" s="32"/>
      <c r="AA1866" s="20" t="s">
        <v>49</v>
      </c>
      <c r="AB1866" s="20" t="s">
        <v>49</v>
      </c>
      <c r="AC1866" s="20" t="s">
        <v>49</v>
      </c>
      <c r="AD1866" s="20" t="s">
        <v>49</v>
      </c>
      <c r="AE1866" s="36"/>
      <c r="AF1866" s="25"/>
      <c r="AG1866" s="36"/>
      <c r="AH1866" s="25">
        <v>45807</v>
      </c>
      <c r="AI1866" s="36" t="str">
        <f>IF(DadosViagem5[[#This Row],[Dias em manutenção ]]&lt;5,"Dentro do Prazo","Fora do Prazo")</f>
        <v>Fora do Prazo</v>
      </c>
      <c r="AJ1866" s="36" t="e">
        <v>#REF!</v>
      </c>
    </row>
    <row r="1867" spans="1:36">
      <c r="A1867" s="97" t="s">
        <v>3066</v>
      </c>
      <c r="B1867" s="98"/>
      <c r="C1867" s="97"/>
      <c r="D1867" s="97"/>
      <c r="E1867" s="97"/>
      <c r="F1867" s="97"/>
      <c r="G1867" s="97"/>
      <c r="H1867" s="97"/>
      <c r="I1867" s="97" t="s">
        <v>41</v>
      </c>
      <c r="J1867" s="97"/>
      <c r="K1867" s="97" t="s">
        <v>3058</v>
      </c>
      <c r="L1867" s="192" t="s">
        <v>2906</v>
      </c>
      <c r="M1867" s="23" t="s">
        <v>2847</v>
      </c>
      <c r="N1867" s="36"/>
      <c r="O1867" s="36"/>
      <c r="P1867" s="26" t="str">
        <f>IFERROR(VLOOKUP(DadosViagem5[[#This Row],[Placa]],[1]BIP!A:E,5,FALSE),"")</f>
        <v/>
      </c>
      <c r="Q1867" s="27" t="e">
        <f ca="1">DATEDIF(DadosViagem5[[#This Row],[BIP]],TODAY(),"D")</f>
        <v>#VALUE!</v>
      </c>
      <c r="R1867" s="28" t="str">
        <f>IFERROR(VLOOKUP(DadosViagem5[[#This Row],[Placa]],[1]DDS!B:C,2,FALSE),"Verificar cadastro")</f>
        <v>Verificar cadastro</v>
      </c>
      <c r="S1867" s="29" t="s">
        <v>48</v>
      </c>
      <c r="T1867" s="23"/>
      <c r="U1867" s="30"/>
      <c r="V1867" s="31"/>
      <c r="W1867" s="32" t="s">
        <v>384</v>
      </c>
      <c r="X1867" s="33"/>
      <c r="Y1867" s="34"/>
      <c r="Z1867" s="32"/>
      <c r="AA1867" s="20" t="s">
        <v>49</v>
      </c>
      <c r="AB1867" s="20" t="s">
        <v>49</v>
      </c>
      <c r="AC1867" s="20" t="s">
        <v>49</v>
      </c>
      <c r="AD1867" s="20" t="s">
        <v>49</v>
      </c>
      <c r="AE1867" s="36"/>
      <c r="AF1867" s="25"/>
      <c r="AG1867" s="36"/>
      <c r="AH1867" s="25">
        <v>45807</v>
      </c>
      <c r="AI1867" s="36" t="str">
        <f>IF(DadosViagem5[[#This Row],[Dias em manutenção ]]&lt;5,"Dentro do Prazo","Fora do Prazo")</f>
        <v>Fora do Prazo</v>
      </c>
      <c r="AJ1867" s="36" t="e">
        <v>#REF!</v>
      </c>
    </row>
    <row r="1868" spans="1:36">
      <c r="A1868" s="19" t="s">
        <v>3067</v>
      </c>
      <c r="B1868" s="20"/>
      <c r="C1868" s="19"/>
      <c r="D1868" s="19"/>
      <c r="E1868" s="19"/>
      <c r="F1868" s="19"/>
      <c r="G1868" s="19"/>
      <c r="H1868" s="19"/>
      <c r="I1868" s="19" t="s">
        <v>41</v>
      </c>
      <c r="J1868" s="19"/>
      <c r="K1868" s="19" t="s">
        <v>3058</v>
      </c>
      <c r="L1868" s="39" t="s">
        <v>2906</v>
      </c>
      <c r="M1868" s="23" t="s">
        <v>2847</v>
      </c>
      <c r="N1868" s="36"/>
      <c r="O1868" s="36"/>
      <c r="P1868" s="26" t="str">
        <f>IFERROR(VLOOKUP(DadosViagem5[[#This Row],[Placa]],[1]BIP!A:E,5,FALSE),"")</f>
        <v/>
      </c>
      <c r="Q1868" s="27" t="e">
        <f ca="1">DATEDIF(DadosViagem5[[#This Row],[BIP]],TODAY(),"D")</f>
        <v>#VALUE!</v>
      </c>
      <c r="R1868" s="28" t="str">
        <f>IFERROR(VLOOKUP(DadosViagem5[[#This Row],[Placa]],[1]DDS!B:C,2,FALSE),"Verificar cadastro")</f>
        <v> </v>
      </c>
      <c r="S1868" s="29" t="s">
        <v>48</v>
      </c>
      <c r="T1868" s="23"/>
      <c r="U1868" s="30"/>
      <c r="V1868" s="31"/>
      <c r="W1868" s="32" t="s">
        <v>384</v>
      </c>
      <c r="X1868" s="33"/>
      <c r="Y1868" s="34"/>
      <c r="Z1868" s="32"/>
      <c r="AA1868" s="20" t="s">
        <v>49</v>
      </c>
      <c r="AB1868" s="20" t="s">
        <v>49</v>
      </c>
      <c r="AC1868" s="20" t="s">
        <v>49</v>
      </c>
      <c r="AD1868" s="20" t="s">
        <v>49</v>
      </c>
      <c r="AE1868" s="36"/>
      <c r="AF1868" s="25"/>
      <c r="AG1868" s="36"/>
      <c r="AH1868" s="25">
        <v>45807</v>
      </c>
      <c r="AI1868" s="36" t="str">
        <f>IF(DadosViagem5[[#This Row],[Dias em manutenção ]]&lt;5,"Dentro do Prazo","Fora do Prazo")</f>
        <v>Fora do Prazo</v>
      </c>
      <c r="AJ1868" s="36" t="e">
        <v>#REF!</v>
      </c>
    </row>
    <row r="1869" spans="1:36">
      <c r="A1869" s="19" t="s">
        <v>3068</v>
      </c>
      <c r="B1869" s="20"/>
      <c r="C1869" s="19"/>
      <c r="D1869" s="19"/>
      <c r="E1869" s="19"/>
      <c r="F1869" s="19"/>
      <c r="G1869" s="19"/>
      <c r="H1869" s="19"/>
      <c r="I1869" s="19" t="s">
        <v>41</v>
      </c>
      <c r="J1869" s="19"/>
      <c r="K1869" s="19" t="s">
        <v>3058</v>
      </c>
      <c r="L1869" s="39" t="s">
        <v>2906</v>
      </c>
      <c r="M1869" s="23" t="s">
        <v>2847</v>
      </c>
      <c r="N1869" s="36"/>
      <c r="O1869" s="36"/>
      <c r="P1869" s="26" t="str">
        <f>IFERROR(VLOOKUP(DadosViagem5[[#This Row],[Placa]],[1]BIP!A:E,5,FALSE),"")</f>
        <v/>
      </c>
      <c r="Q1869" s="27" t="e">
        <f ca="1">DATEDIF(DadosViagem5[[#This Row],[BIP]],TODAY(),"D")</f>
        <v>#VALUE!</v>
      </c>
      <c r="R1869" s="28" t="str">
        <f>IFERROR(VLOOKUP(DadosViagem5[[#This Row],[Placa]],[1]DDS!B:C,2,FALSE),"Verificar cadastro")</f>
        <v>Verificar cadastro</v>
      </c>
      <c r="S1869" s="29" t="s">
        <v>48</v>
      </c>
      <c r="T1869" s="23"/>
      <c r="U1869" s="30"/>
      <c r="V1869" s="31"/>
      <c r="W1869" s="32" t="s">
        <v>384</v>
      </c>
      <c r="X1869" s="33"/>
      <c r="Y1869" s="34"/>
      <c r="Z1869" s="32"/>
      <c r="AA1869" s="20" t="s">
        <v>49</v>
      </c>
      <c r="AB1869" s="20" t="s">
        <v>49</v>
      </c>
      <c r="AC1869" s="20" t="s">
        <v>49</v>
      </c>
      <c r="AD1869" s="20" t="s">
        <v>49</v>
      </c>
      <c r="AE1869" s="36"/>
      <c r="AF1869" s="25"/>
      <c r="AG1869" s="36"/>
      <c r="AH1869" s="25">
        <v>45807</v>
      </c>
      <c r="AI1869" s="36" t="str">
        <f>IF(DadosViagem5[[#This Row],[Dias em manutenção ]]&lt;5,"Dentro do Prazo","Fora do Prazo")</f>
        <v>Fora do Prazo</v>
      </c>
      <c r="AJ1869" s="36" t="e">
        <v>#REF!</v>
      </c>
    </row>
    <row r="1870" spans="1:36">
      <c r="A1870" s="19" t="s">
        <v>3069</v>
      </c>
      <c r="B1870" s="20"/>
      <c r="C1870" s="19"/>
      <c r="D1870" s="19"/>
      <c r="E1870" s="19"/>
      <c r="F1870" s="19"/>
      <c r="G1870" s="19"/>
      <c r="H1870" s="19"/>
      <c r="I1870" s="19" t="s">
        <v>41</v>
      </c>
      <c r="J1870" s="19"/>
      <c r="K1870" s="19" t="s">
        <v>3058</v>
      </c>
      <c r="L1870" s="39" t="s">
        <v>2906</v>
      </c>
      <c r="M1870" s="23" t="s">
        <v>2847</v>
      </c>
      <c r="N1870" s="36"/>
      <c r="O1870" s="36"/>
      <c r="P1870" s="26" t="str">
        <f>IFERROR(VLOOKUP(DadosViagem5[[#This Row],[Placa]],[1]BIP!A:E,5,FALSE),"")</f>
        <v/>
      </c>
      <c r="Q1870" s="27" t="e">
        <f ca="1">DATEDIF(DadosViagem5[[#This Row],[BIP]],TODAY(),"D")</f>
        <v>#VALUE!</v>
      </c>
      <c r="R1870" s="28" t="str">
        <f>IFERROR(VLOOKUP(DadosViagem5[[#This Row],[Placa]],[1]DDS!B:C,2,FALSE),"Verificar cadastro")</f>
        <v>Verificar cadastro</v>
      </c>
      <c r="S1870" s="29" t="s">
        <v>48</v>
      </c>
      <c r="T1870" s="23"/>
      <c r="U1870" s="30"/>
      <c r="V1870" s="31"/>
      <c r="W1870" s="32" t="s">
        <v>384</v>
      </c>
      <c r="X1870" s="33"/>
      <c r="Y1870" s="34"/>
      <c r="Z1870" s="32"/>
      <c r="AA1870" s="20" t="s">
        <v>49</v>
      </c>
      <c r="AB1870" s="20" t="s">
        <v>49</v>
      </c>
      <c r="AC1870" s="20" t="s">
        <v>49</v>
      </c>
      <c r="AD1870" s="20" t="s">
        <v>49</v>
      </c>
      <c r="AE1870" s="36"/>
      <c r="AF1870" s="25"/>
      <c r="AG1870" s="36"/>
      <c r="AH1870" s="25">
        <v>45807</v>
      </c>
      <c r="AI1870" s="36" t="str">
        <f>IF(DadosViagem5[[#This Row],[Dias em manutenção ]]&lt;5,"Dentro do Prazo","Fora do Prazo")</f>
        <v>Fora do Prazo</v>
      </c>
      <c r="AJ1870" s="36" t="e">
        <v>#REF!</v>
      </c>
    </row>
    <row r="1871" spans="1:36">
      <c r="A1871" s="19" t="s">
        <v>3070</v>
      </c>
      <c r="B1871" s="20"/>
      <c r="C1871" s="19"/>
      <c r="D1871" s="19"/>
      <c r="E1871" s="19"/>
      <c r="F1871" s="19"/>
      <c r="G1871" s="19"/>
      <c r="H1871" s="19"/>
      <c r="I1871" s="19" t="s">
        <v>41</v>
      </c>
      <c r="J1871" s="19"/>
      <c r="K1871" s="19" t="s">
        <v>3058</v>
      </c>
      <c r="L1871" s="22" t="s">
        <v>2906</v>
      </c>
      <c r="M1871" s="23" t="s">
        <v>2847</v>
      </c>
      <c r="N1871" s="36"/>
      <c r="O1871" s="36"/>
      <c r="P1871" s="26" t="str">
        <f>IFERROR(VLOOKUP(DadosViagem5[[#This Row],[Placa]],[1]BIP!A:E,5,FALSE),"")</f>
        <v/>
      </c>
      <c r="Q1871" s="27" t="e">
        <f ca="1">DATEDIF(DadosViagem5[[#This Row],[BIP]],TODAY(),"D")</f>
        <v>#VALUE!</v>
      </c>
      <c r="R1871" s="28" t="str">
        <f>IFERROR(VLOOKUP(DadosViagem5[[#This Row],[Placa]],[1]DDS!B:C,2,FALSE),"Verificar cadastro")</f>
        <v>Verificar cadastro</v>
      </c>
      <c r="S1871" s="29" t="s">
        <v>48</v>
      </c>
      <c r="T1871" s="23"/>
      <c r="U1871" s="30"/>
      <c r="V1871" s="31"/>
      <c r="W1871" s="32" t="s">
        <v>384</v>
      </c>
      <c r="X1871" s="33"/>
      <c r="Y1871" s="34"/>
      <c r="Z1871" s="32"/>
      <c r="AA1871" s="20" t="s">
        <v>49</v>
      </c>
      <c r="AB1871" s="20" t="s">
        <v>49</v>
      </c>
      <c r="AC1871" s="20" t="s">
        <v>49</v>
      </c>
      <c r="AD1871" s="20" t="s">
        <v>49</v>
      </c>
      <c r="AE1871" s="36"/>
      <c r="AF1871" s="25"/>
      <c r="AG1871" s="36"/>
      <c r="AH1871" s="25">
        <v>45807</v>
      </c>
      <c r="AI1871" s="36" t="str">
        <f>IF(DadosViagem5[[#This Row],[Dias em manutenção ]]&lt;5,"Dentro do Prazo","Fora do Prazo")</f>
        <v>Fora do Prazo</v>
      </c>
      <c r="AJ1871" s="36" t="e">
        <v>#REF!</v>
      </c>
    </row>
    <row r="1872" spans="1:36">
      <c r="A1872" s="19" t="s">
        <v>3071</v>
      </c>
      <c r="B1872" s="20"/>
      <c r="C1872" s="19"/>
      <c r="D1872" s="19"/>
      <c r="E1872" s="19"/>
      <c r="F1872" s="19"/>
      <c r="G1872" s="19"/>
      <c r="H1872" s="19"/>
      <c r="I1872" s="19" t="s">
        <v>41</v>
      </c>
      <c r="J1872" s="19"/>
      <c r="K1872" s="19" t="s">
        <v>3058</v>
      </c>
      <c r="L1872" s="22" t="s">
        <v>2906</v>
      </c>
      <c r="M1872" s="23" t="s">
        <v>2847</v>
      </c>
      <c r="N1872" s="36"/>
      <c r="O1872" s="36"/>
      <c r="P1872" s="26" t="str">
        <f>IFERROR(VLOOKUP(DadosViagem5[[#This Row],[Placa]],[1]BIP!A:E,5,FALSE),"")</f>
        <v/>
      </c>
      <c r="Q1872" s="27" t="e">
        <f ca="1">DATEDIF(DadosViagem5[[#This Row],[BIP]],TODAY(),"D")</f>
        <v>#VALUE!</v>
      </c>
      <c r="R1872" s="28" t="str">
        <f>IFERROR(VLOOKUP(DadosViagem5[[#This Row],[Placa]],[1]DDS!B:C,2,FALSE),"Verificar cadastro")</f>
        <v>Verificar cadastro</v>
      </c>
      <c r="S1872" s="29" t="s">
        <v>48</v>
      </c>
      <c r="T1872" s="23"/>
      <c r="U1872" s="30"/>
      <c r="V1872" s="31"/>
      <c r="W1872" s="32" t="s">
        <v>384</v>
      </c>
      <c r="X1872" s="33"/>
      <c r="Y1872" s="34"/>
      <c r="Z1872" s="32"/>
      <c r="AA1872" s="20" t="s">
        <v>49</v>
      </c>
      <c r="AB1872" s="20" t="s">
        <v>49</v>
      </c>
      <c r="AC1872" s="20" t="s">
        <v>49</v>
      </c>
      <c r="AD1872" s="20" t="s">
        <v>49</v>
      </c>
      <c r="AE1872" s="36"/>
      <c r="AF1872" s="25"/>
      <c r="AG1872" s="36"/>
      <c r="AH1872" s="25">
        <v>45807</v>
      </c>
      <c r="AI1872" s="36" t="str">
        <f>IF(DadosViagem5[[#This Row],[Dias em manutenção ]]&lt;5,"Dentro do Prazo","Fora do Prazo")</f>
        <v>Fora do Prazo</v>
      </c>
      <c r="AJ1872" s="36" t="e">
        <v>#REF!</v>
      </c>
    </row>
    <row r="1873" spans="1:36">
      <c r="A1873" s="19" t="s">
        <v>3072</v>
      </c>
      <c r="B1873" s="20"/>
      <c r="C1873" s="19"/>
      <c r="D1873" s="19"/>
      <c r="E1873" s="19"/>
      <c r="F1873" s="19"/>
      <c r="G1873" s="19"/>
      <c r="H1873" s="19"/>
      <c r="I1873" s="19" t="s">
        <v>41</v>
      </c>
      <c r="J1873" s="19"/>
      <c r="K1873" s="19" t="s">
        <v>3058</v>
      </c>
      <c r="L1873" s="22" t="s">
        <v>2906</v>
      </c>
      <c r="M1873" s="23" t="s">
        <v>2847</v>
      </c>
      <c r="N1873" s="36"/>
      <c r="O1873" s="36"/>
      <c r="P1873" s="26" t="str">
        <f>IFERROR(VLOOKUP(DadosViagem5[[#This Row],[Placa]],[1]BIP!A:E,5,FALSE),"")</f>
        <v/>
      </c>
      <c r="Q1873" s="27" t="e">
        <f ca="1">DATEDIF(DadosViagem5[[#This Row],[BIP]],TODAY(),"D")</f>
        <v>#VALUE!</v>
      </c>
      <c r="R1873" s="28" t="str">
        <f>IFERROR(VLOOKUP(DadosViagem5[[#This Row],[Placa]],[1]DDS!B:C,2,FALSE),"Verificar cadastro")</f>
        <v>Verificar cadastro</v>
      </c>
      <c r="S1873" s="29" t="s">
        <v>48</v>
      </c>
      <c r="T1873" s="23"/>
      <c r="U1873" s="30"/>
      <c r="V1873" s="31"/>
      <c r="W1873" s="32" t="s">
        <v>384</v>
      </c>
      <c r="X1873" s="33"/>
      <c r="Y1873" s="34"/>
      <c r="Z1873" s="32"/>
      <c r="AA1873" s="20" t="s">
        <v>49</v>
      </c>
      <c r="AB1873" s="20" t="s">
        <v>49</v>
      </c>
      <c r="AC1873" s="20" t="s">
        <v>49</v>
      </c>
      <c r="AD1873" s="20" t="s">
        <v>49</v>
      </c>
      <c r="AE1873" s="36"/>
      <c r="AF1873" s="25"/>
      <c r="AG1873" s="36"/>
      <c r="AH1873" s="25">
        <v>45807</v>
      </c>
      <c r="AI1873" s="36" t="str">
        <f>IF(DadosViagem5[[#This Row],[Dias em manutenção ]]&lt;5,"Dentro do Prazo","Fora do Prazo")</f>
        <v>Fora do Prazo</v>
      </c>
      <c r="AJ1873" s="36" t="e">
        <v>#REF!</v>
      </c>
    </row>
    <row r="1874" spans="1:36">
      <c r="A1874" s="19" t="s">
        <v>3073</v>
      </c>
      <c r="B1874" s="20"/>
      <c r="C1874" s="19"/>
      <c r="D1874" s="19"/>
      <c r="E1874" s="19"/>
      <c r="F1874" s="19"/>
      <c r="G1874" s="19"/>
      <c r="H1874" s="19"/>
      <c r="I1874" s="19" t="s">
        <v>41</v>
      </c>
      <c r="J1874" s="19"/>
      <c r="K1874" s="19" t="s">
        <v>3058</v>
      </c>
      <c r="L1874" s="22" t="s">
        <v>2906</v>
      </c>
      <c r="M1874" s="23" t="s">
        <v>2847</v>
      </c>
      <c r="N1874" s="36"/>
      <c r="O1874" s="36"/>
      <c r="P1874" s="26" t="str">
        <f>IFERROR(VLOOKUP(DadosViagem5[[#This Row],[Placa]],[1]BIP!A:E,5,FALSE),"")</f>
        <v/>
      </c>
      <c r="Q1874" s="27" t="e">
        <f ca="1">DATEDIF(DadosViagem5[[#This Row],[BIP]],TODAY(),"D")</f>
        <v>#VALUE!</v>
      </c>
      <c r="R1874" s="28" t="str">
        <f>IFERROR(VLOOKUP(DadosViagem5[[#This Row],[Placa]],[1]DDS!B:C,2,FALSE),"Verificar cadastro")</f>
        <v> </v>
      </c>
      <c r="S1874" s="29" t="s">
        <v>48</v>
      </c>
      <c r="T1874" s="23"/>
      <c r="U1874" s="30"/>
      <c r="V1874" s="31"/>
      <c r="W1874" s="32" t="s">
        <v>384</v>
      </c>
      <c r="X1874" s="33"/>
      <c r="Y1874" s="34"/>
      <c r="Z1874" s="32"/>
      <c r="AA1874" s="20" t="s">
        <v>49</v>
      </c>
      <c r="AB1874" s="20" t="s">
        <v>49</v>
      </c>
      <c r="AC1874" s="20" t="s">
        <v>49</v>
      </c>
      <c r="AD1874" s="20" t="s">
        <v>49</v>
      </c>
      <c r="AE1874" s="36"/>
      <c r="AF1874" s="25"/>
      <c r="AG1874" s="36"/>
      <c r="AH1874" s="25">
        <v>45807</v>
      </c>
      <c r="AI1874" s="36" t="str">
        <f>IF(DadosViagem5[[#This Row],[Dias em manutenção ]]&lt;5,"Dentro do Prazo","Fora do Prazo")</f>
        <v>Fora do Prazo</v>
      </c>
      <c r="AJ1874" s="36" t="e">
        <v>#REF!</v>
      </c>
    </row>
    <row r="1875" spans="1:36">
      <c r="A1875" s="19" t="s">
        <v>3074</v>
      </c>
      <c r="B1875" s="20"/>
      <c r="C1875" s="19"/>
      <c r="D1875" s="19"/>
      <c r="E1875" s="19"/>
      <c r="F1875" s="19"/>
      <c r="G1875" s="19"/>
      <c r="H1875" s="19"/>
      <c r="I1875" s="19" t="s">
        <v>41</v>
      </c>
      <c r="J1875" s="19"/>
      <c r="K1875" s="19" t="s">
        <v>3058</v>
      </c>
      <c r="L1875" s="22" t="s">
        <v>2906</v>
      </c>
      <c r="M1875" s="23" t="s">
        <v>2847</v>
      </c>
      <c r="N1875" s="36"/>
      <c r="O1875" s="36"/>
      <c r="P1875" s="26">
        <f ca="1">IFERROR(VLOOKUP(DadosViagem5[[#This Row],[Placa]],[1]BIP!A:E,5,FALSE),"")</f>
        <v>0</v>
      </c>
      <c r="Q1875" s="27">
        <f ca="1">DATEDIF(DadosViagem5[[#This Row],[BIP]],TODAY(),"D")</f>
        <v>45990</v>
      </c>
      <c r="R1875" s="28" t="str">
        <f>IFERROR(VLOOKUP(DadosViagem5[[#This Row],[Placa]],[1]DDS!B:C,2,FALSE),"Verificar cadastro")</f>
        <v> </v>
      </c>
      <c r="S1875" s="29" t="s">
        <v>48</v>
      </c>
      <c r="T1875" s="23"/>
      <c r="U1875" s="30"/>
      <c r="V1875" s="31"/>
      <c r="W1875" s="32" t="s">
        <v>384</v>
      </c>
      <c r="X1875" s="33"/>
      <c r="Y1875" s="34"/>
      <c r="Z1875" s="32"/>
      <c r="AA1875" s="20" t="s">
        <v>49</v>
      </c>
      <c r="AB1875" s="20" t="s">
        <v>49</v>
      </c>
      <c r="AC1875" s="20" t="s">
        <v>49</v>
      </c>
      <c r="AD1875" s="20" t="s">
        <v>49</v>
      </c>
      <c r="AE1875" s="36"/>
      <c r="AF1875" s="25"/>
      <c r="AG1875" s="36"/>
      <c r="AH1875" s="25">
        <v>45807</v>
      </c>
      <c r="AI1875" s="36" t="str">
        <f>IF(DadosViagem5[[#This Row],[Dias em manutenção ]]&lt;5,"Dentro do Prazo","Fora do Prazo")</f>
        <v>Fora do Prazo</v>
      </c>
      <c r="AJ1875" s="36" t="e">
        <v>#REF!</v>
      </c>
    </row>
    <row r="1876" spans="1:36">
      <c r="A1876" s="19" t="s">
        <v>3075</v>
      </c>
      <c r="B1876" s="20"/>
      <c r="C1876" s="19"/>
      <c r="D1876" s="19"/>
      <c r="E1876" s="19"/>
      <c r="F1876" s="19"/>
      <c r="G1876" s="19"/>
      <c r="H1876" s="19"/>
      <c r="I1876" s="19" t="s">
        <v>41</v>
      </c>
      <c r="J1876" s="19"/>
      <c r="K1876" s="19" t="s">
        <v>3058</v>
      </c>
      <c r="L1876" s="22" t="s">
        <v>2906</v>
      </c>
      <c r="M1876" s="23" t="s">
        <v>2847</v>
      </c>
      <c r="N1876" s="36"/>
      <c r="O1876" s="36"/>
      <c r="P1876" s="26" t="str">
        <f>IFERROR(VLOOKUP(DadosViagem5[[#This Row],[Placa]],[1]BIP!A:E,5,FALSE),"")</f>
        <v/>
      </c>
      <c r="Q1876" s="27" t="e">
        <f ca="1">DATEDIF(DadosViagem5[[#This Row],[BIP]],TODAY(),"D")</f>
        <v>#VALUE!</v>
      </c>
      <c r="R1876" s="28" t="str">
        <f>IFERROR(VLOOKUP(DadosViagem5[[#This Row],[Placa]],[1]DDS!B:C,2,FALSE),"Verificar cadastro")</f>
        <v>Verificar cadastro</v>
      </c>
      <c r="S1876" s="29" t="s">
        <v>48</v>
      </c>
      <c r="T1876" s="23"/>
      <c r="U1876" s="30"/>
      <c r="V1876" s="31"/>
      <c r="W1876" s="32" t="s">
        <v>384</v>
      </c>
      <c r="X1876" s="33"/>
      <c r="Y1876" s="34"/>
      <c r="Z1876" s="32"/>
      <c r="AA1876" s="20" t="s">
        <v>49</v>
      </c>
      <c r="AB1876" s="20" t="s">
        <v>49</v>
      </c>
      <c r="AC1876" s="20" t="s">
        <v>49</v>
      </c>
      <c r="AD1876" s="20" t="s">
        <v>49</v>
      </c>
      <c r="AE1876" s="36"/>
      <c r="AF1876" s="25"/>
      <c r="AG1876" s="36"/>
      <c r="AH1876" s="25">
        <v>45807</v>
      </c>
      <c r="AI1876" s="36" t="str">
        <f>IF(DadosViagem5[[#This Row],[Dias em manutenção ]]&lt;5,"Dentro do Prazo","Fora do Prazo")</f>
        <v>Fora do Prazo</v>
      </c>
      <c r="AJ1876" s="36" t="e">
        <v>#REF!</v>
      </c>
    </row>
    <row r="1877" spans="1:36">
      <c r="A1877" s="19" t="s">
        <v>3076</v>
      </c>
      <c r="B1877" s="20"/>
      <c r="C1877" s="19"/>
      <c r="D1877" s="19"/>
      <c r="E1877" s="19"/>
      <c r="F1877" s="19"/>
      <c r="G1877" s="19"/>
      <c r="H1877" s="19"/>
      <c r="I1877" s="19" t="s">
        <v>41</v>
      </c>
      <c r="J1877" s="19"/>
      <c r="K1877" s="19" t="s">
        <v>3058</v>
      </c>
      <c r="L1877" s="22" t="s">
        <v>2906</v>
      </c>
      <c r="M1877" s="23" t="s">
        <v>2847</v>
      </c>
      <c r="N1877" s="36"/>
      <c r="O1877" s="36"/>
      <c r="P1877" s="26" t="str">
        <f>IFERROR(VLOOKUP(DadosViagem5[[#This Row],[Placa]],[1]BIP!A:E,5,FALSE),"")</f>
        <v/>
      </c>
      <c r="Q1877" s="27" t="e">
        <f ca="1">DATEDIF(DadosViagem5[[#This Row],[BIP]],TODAY(),"D")</f>
        <v>#VALUE!</v>
      </c>
      <c r="R1877" s="28" t="str">
        <f>IFERROR(VLOOKUP(DadosViagem5[[#This Row],[Placa]],[1]DDS!B:C,2,FALSE),"Verificar cadastro")</f>
        <v> </v>
      </c>
      <c r="S1877" s="29" t="s">
        <v>48</v>
      </c>
      <c r="T1877" s="23"/>
      <c r="U1877" s="30"/>
      <c r="V1877" s="31"/>
      <c r="W1877" s="32" t="s">
        <v>384</v>
      </c>
      <c r="X1877" s="33"/>
      <c r="Y1877" s="34"/>
      <c r="Z1877" s="32"/>
      <c r="AA1877" s="20" t="s">
        <v>49</v>
      </c>
      <c r="AB1877" s="20" t="s">
        <v>49</v>
      </c>
      <c r="AC1877" s="20" t="s">
        <v>49</v>
      </c>
      <c r="AD1877" s="20" t="s">
        <v>49</v>
      </c>
      <c r="AE1877" s="36"/>
      <c r="AF1877" s="25"/>
      <c r="AG1877" s="36"/>
      <c r="AH1877" s="25">
        <v>45807</v>
      </c>
      <c r="AI1877" s="36" t="str">
        <f>IF(DadosViagem5[[#This Row],[Dias em manutenção ]]&lt;5,"Dentro do Prazo","Fora do Prazo")</f>
        <v>Fora do Prazo</v>
      </c>
      <c r="AJ1877" s="36" t="e">
        <v>#REF!</v>
      </c>
    </row>
    <row r="1878" spans="1:36">
      <c r="A1878" s="19" t="s">
        <v>3077</v>
      </c>
      <c r="B1878" s="20"/>
      <c r="C1878" s="19"/>
      <c r="D1878" s="19"/>
      <c r="E1878" s="19"/>
      <c r="F1878" s="19"/>
      <c r="G1878" s="19"/>
      <c r="H1878" s="19"/>
      <c r="I1878" s="19" t="s">
        <v>41</v>
      </c>
      <c r="J1878" s="19"/>
      <c r="K1878" s="19" t="s">
        <v>3058</v>
      </c>
      <c r="L1878" s="22" t="s">
        <v>2906</v>
      </c>
      <c r="M1878" s="23" t="s">
        <v>2847</v>
      </c>
      <c r="N1878" s="36"/>
      <c r="O1878" s="36"/>
      <c r="P1878" s="26" t="str">
        <f>IFERROR(VLOOKUP(DadosViagem5[[#This Row],[Placa]],[1]BIP!A:E,5,FALSE),"")</f>
        <v/>
      </c>
      <c r="Q1878" s="27" t="e">
        <f ca="1">DATEDIF(DadosViagem5[[#This Row],[BIP]],TODAY(),"D")</f>
        <v>#VALUE!</v>
      </c>
      <c r="R1878" s="28" t="str">
        <f>IFERROR(VLOOKUP(DadosViagem5[[#This Row],[Placa]],[1]DDS!B:C,2,FALSE),"Verificar cadastro")</f>
        <v> </v>
      </c>
      <c r="S1878" s="29" t="s">
        <v>48</v>
      </c>
      <c r="T1878" s="23"/>
      <c r="U1878" s="30"/>
      <c r="V1878" s="31"/>
      <c r="W1878" s="32" t="s">
        <v>384</v>
      </c>
      <c r="X1878" s="33"/>
      <c r="Y1878" s="34"/>
      <c r="Z1878" s="32"/>
      <c r="AA1878" s="20" t="s">
        <v>49</v>
      </c>
      <c r="AB1878" s="20" t="s">
        <v>49</v>
      </c>
      <c r="AC1878" s="20" t="s">
        <v>49</v>
      </c>
      <c r="AD1878" s="20" t="s">
        <v>49</v>
      </c>
      <c r="AE1878" s="36"/>
      <c r="AF1878" s="25"/>
      <c r="AG1878" s="36"/>
      <c r="AH1878" s="25">
        <v>45807</v>
      </c>
      <c r="AI1878" s="36" t="str">
        <f>IF(DadosViagem5[[#This Row],[Dias em manutenção ]]&lt;5,"Dentro do Prazo","Fora do Prazo")</f>
        <v>Fora do Prazo</v>
      </c>
      <c r="AJ1878" s="36" t="e">
        <v>#REF!</v>
      </c>
    </row>
    <row r="1879" spans="1:36">
      <c r="A1879" s="19" t="s">
        <v>3078</v>
      </c>
      <c r="B1879" s="20"/>
      <c r="C1879" s="19"/>
      <c r="D1879" s="19"/>
      <c r="E1879" s="19"/>
      <c r="F1879" s="19"/>
      <c r="G1879" s="19"/>
      <c r="H1879" s="19"/>
      <c r="I1879" s="19" t="s">
        <v>41</v>
      </c>
      <c r="J1879" s="19"/>
      <c r="K1879" s="19" t="s">
        <v>3058</v>
      </c>
      <c r="L1879" s="22" t="s">
        <v>2906</v>
      </c>
      <c r="M1879" s="23" t="s">
        <v>2847</v>
      </c>
      <c r="N1879" s="36"/>
      <c r="O1879" s="36"/>
      <c r="P1879" s="26" t="str">
        <f>IFERROR(VLOOKUP(DadosViagem5[[#This Row],[Placa]],[1]BIP!A:E,5,FALSE),"")</f>
        <v/>
      </c>
      <c r="Q1879" s="27" t="e">
        <f ca="1">DATEDIF(DadosViagem5[[#This Row],[BIP]],TODAY(),"D")</f>
        <v>#VALUE!</v>
      </c>
      <c r="R1879" s="28" t="str">
        <f>IFERROR(VLOOKUP(DadosViagem5[[#This Row],[Placa]],[1]DDS!B:C,2,FALSE),"Verificar cadastro")</f>
        <v> </v>
      </c>
      <c r="S1879" s="29" t="s">
        <v>48</v>
      </c>
      <c r="T1879" s="23"/>
      <c r="U1879" s="30"/>
      <c r="V1879" s="31"/>
      <c r="W1879" s="32" t="s">
        <v>384</v>
      </c>
      <c r="X1879" s="33"/>
      <c r="Y1879" s="34"/>
      <c r="Z1879" s="32"/>
      <c r="AA1879" s="20" t="s">
        <v>49</v>
      </c>
      <c r="AB1879" s="20" t="s">
        <v>49</v>
      </c>
      <c r="AC1879" s="20" t="s">
        <v>49</v>
      </c>
      <c r="AD1879" s="20" t="s">
        <v>49</v>
      </c>
      <c r="AE1879" s="36"/>
      <c r="AF1879" s="25"/>
      <c r="AG1879" s="36"/>
      <c r="AH1879" s="25">
        <v>45807</v>
      </c>
      <c r="AI1879" s="36" t="str">
        <f>IF(DadosViagem5[[#This Row],[Dias em manutenção ]]&lt;5,"Dentro do Prazo","Fora do Prazo")</f>
        <v>Fora do Prazo</v>
      </c>
      <c r="AJ1879" s="36" t="e">
        <v>#REF!</v>
      </c>
    </row>
    <row r="1880" spans="1:36">
      <c r="A1880" s="19" t="s">
        <v>3079</v>
      </c>
      <c r="B1880" s="20"/>
      <c r="C1880" s="19"/>
      <c r="D1880" s="19"/>
      <c r="E1880" s="19"/>
      <c r="F1880" s="19"/>
      <c r="G1880" s="19"/>
      <c r="H1880" s="19"/>
      <c r="I1880" s="19" t="s">
        <v>41</v>
      </c>
      <c r="J1880" s="19"/>
      <c r="K1880" s="19" t="s">
        <v>3058</v>
      </c>
      <c r="L1880" s="22" t="s">
        <v>2906</v>
      </c>
      <c r="M1880" s="23" t="s">
        <v>2847</v>
      </c>
      <c r="N1880" s="36"/>
      <c r="O1880" s="36"/>
      <c r="P1880" s="26" t="str">
        <f>IFERROR(VLOOKUP(DadosViagem5[[#This Row],[Placa]],[1]BIP!A:E,5,FALSE),"")</f>
        <v/>
      </c>
      <c r="Q1880" s="27" t="e">
        <f ca="1">DATEDIF(DadosViagem5[[#This Row],[BIP]],TODAY(),"D")</f>
        <v>#VALUE!</v>
      </c>
      <c r="R1880" s="28" t="str">
        <f>IFERROR(VLOOKUP(DadosViagem5[[#This Row],[Placa]],[1]DDS!B:C,2,FALSE),"Verificar cadastro")</f>
        <v> </v>
      </c>
      <c r="S1880" s="29" t="s">
        <v>48</v>
      </c>
      <c r="T1880" s="23"/>
      <c r="U1880" s="30"/>
      <c r="V1880" s="31"/>
      <c r="W1880" s="32" t="s">
        <v>384</v>
      </c>
      <c r="X1880" s="33"/>
      <c r="Y1880" s="34"/>
      <c r="Z1880" s="32"/>
      <c r="AA1880" s="20" t="s">
        <v>49</v>
      </c>
      <c r="AB1880" s="20" t="s">
        <v>49</v>
      </c>
      <c r="AC1880" s="20" t="s">
        <v>49</v>
      </c>
      <c r="AD1880" s="20" t="s">
        <v>49</v>
      </c>
      <c r="AE1880" s="36"/>
      <c r="AF1880" s="25"/>
      <c r="AG1880" s="36"/>
      <c r="AH1880" s="25">
        <v>45807</v>
      </c>
      <c r="AI1880" s="36" t="str">
        <f>IF(DadosViagem5[[#This Row],[Dias em manutenção ]]&lt;5,"Dentro do Prazo","Fora do Prazo")</f>
        <v>Fora do Prazo</v>
      </c>
      <c r="AJ1880" s="36" t="e">
        <v>#REF!</v>
      </c>
    </row>
    <row r="1881" spans="1:36">
      <c r="A1881" s="19" t="s">
        <v>3080</v>
      </c>
      <c r="B1881" s="20"/>
      <c r="C1881" s="19"/>
      <c r="D1881" s="19"/>
      <c r="E1881" s="19"/>
      <c r="F1881" s="19"/>
      <c r="G1881" s="19"/>
      <c r="H1881" s="19"/>
      <c r="I1881" s="19" t="s">
        <v>41</v>
      </c>
      <c r="J1881" s="19"/>
      <c r="K1881" s="19" t="s">
        <v>3058</v>
      </c>
      <c r="L1881" s="22" t="s">
        <v>2906</v>
      </c>
      <c r="M1881" s="23" t="s">
        <v>2847</v>
      </c>
      <c r="N1881" s="36"/>
      <c r="O1881" s="36"/>
      <c r="P1881" s="26" t="str">
        <f>IFERROR(VLOOKUP(DadosViagem5[[#This Row],[Placa]],[1]BIP!A:E,5,FALSE),"")</f>
        <v/>
      </c>
      <c r="Q1881" s="27" t="e">
        <f ca="1">DATEDIF(DadosViagem5[[#This Row],[BIP]],TODAY(),"D")</f>
        <v>#VALUE!</v>
      </c>
      <c r="R1881" s="28" t="str">
        <f>IFERROR(VLOOKUP(DadosViagem5[[#This Row],[Placa]],[1]DDS!B:C,2,FALSE),"Verificar cadastro")</f>
        <v>Verificar cadastro</v>
      </c>
      <c r="S1881" s="29" t="s">
        <v>48</v>
      </c>
      <c r="T1881" s="23"/>
      <c r="U1881" s="30"/>
      <c r="V1881" s="31"/>
      <c r="W1881" s="32" t="s">
        <v>384</v>
      </c>
      <c r="X1881" s="33"/>
      <c r="Y1881" s="34"/>
      <c r="Z1881" s="32"/>
      <c r="AA1881" s="20" t="s">
        <v>49</v>
      </c>
      <c r="AB1881" s="20" t="s">
        <v>49</v>
      </c>
      <c r="AC1881" s="20" t="s">
        <v>49</v>
      </c>
      <c r="AD1881" s="20" t="s">
        <v>49</v>
      </c>
      <c r="AE1881" s="36"/>
      <c r="AF1881" s="25"/>
      <c r="AG1881" s="36"/>
      <c r="AH1881" s="25">
        <v>45807</v>
      </c>
      <c r="AI1881" s="36" t="str">
        <f>IF(DadosViagem5[[#This Row],[Dias em manutenção ]]&lt;5,"Dentro do Prazo","Fora do Prazo")</f>
        <v>Fora do Prazo</v>
      </c>
      <c r="AJ1881" s="36" t="e">
        <v>#REF!</v>
      </c>
    </row>
    <row r="1882" spans="1:36">
      <c r="A1882" s="19" t="s">
        <v>3081</v>
      </c>
      <c r="B1882" s="20"/>
      <c r="C1882" s="19"/>
      <c r="D1882" s="19"/>
      <c r="E1882" s="19"/>
      <c r="F1882" s="19"/>
      <c r="G1882" s="19"/>
      <c r="H1882" s="19"/>
      <c r="I1882" s="19" t="s">
        <v>41</v>
      </c>
      <c r="J1882" s="19"/>
      <c r="K1882" s="19" t="s">
        <v>3058</v>
      </c>
      <c r="L1882" s="22" t="s">
        <v>2906</v>
      </c>
      <c r="M1882" s="23" t="s">
        <v>2847</v>
      </c>
      <c r="N1882" s="36"/>
      <c r="O1882" s="36"/>
      <c r="P1882" s="26" t="str">
        <f>IFERROR(VLOOKUP(DadosViagem5[[#This Row],[Placa]],[1]BIP!A:E,5,FALSE),"")</f>
        <v/>
      </c>
      <c r="Q1882" s="27" t="e">
        <f ca="1">DATEDIF(DadosViagem5[[#This Row],[BIP]],TODAY(),"D")</f>
        <v>#VALUE!</v>
      </c>
      <c r="R1882" s="28" t="str">
        <f>IFERROR(VLOOKUP(DadosViagem5[[#This Row],[Placa]],[1]DDS!B:C,2,FALSE),"Verificar cadastro")</f>
        <v> </v>
      </c>
      <c r="S1882" s="29" t="s">
        <v>48</v>
      </c>
      <c r="T1882" s="23"/>
      <c r="U1882" s="30"/>
      <c r="V1882" s="31"/>
      <c r="W1882" s="32" t="s">
        <v>384</v>
      </c>
      <c r="X1882" s="33"/>
      <c r="Y1882" s="34"/>
      <c r="Z1882" s="32"/>
      <c r="AA1882" s="20" t="s">
        <v>49</v>
      </c>
      <c r="AB1882" s="20" t="s">
        <v>49</v>
      </c>
      <c r="AC1882" s="20" t="s">
        <v>49</v>
      </c>
      <c r="AD1882" s="20" t="s">
        <v>49</v>
      </c>
      <c r="AE1882" s="36"/>
      <c r="AF1882" s="25"/>
      <c r="AG1882" s="36"/>
      <c r="AH1882" s="25">
        <v>45807</v>
      </c>
      <c r="AI1882" s="36" t="str">
        <f>IF(DadosViagem5[[#This Row],[Dias em manutenção ]]&lt;5,"Dentro do Prazo","Fora do Prazo")</f>
        <v>Fora do Prazo</v>
      </c>
      <c r="AJ1882" s="36" t="e">
        <v>#REF!</v>
      </c>
    </row>
    <row r="1883" spans="1:36">
      <c r="A1883" s="19" t="s">
        <v>3082</v>
      </c>
      <c r="B1883" s="20"/>
      <c r="C1883" s="19"/>
      <c r="D1883" s="19"/>
      <c r="E1883" s="19"/>
      <c r="F1883" s="19"/>
      <c r="G1883" s="19"/>
      <c r="H1883" s="19"/>
      <c r="I1883" s="19" t="s">
        <v>41</v>
      </c>
      <c r="J1883" s="19"/>
      <c r="K1883" s="19" t="s">
        <v>3058</v>
      </c>
      <c r="L1883" s="22" t="s">
        <v>2906</v>
      </c>
      <c r="M1883" s="23" t="s">
        <v>2847</v>
      </c>
      <c r="N1883" s="36"/>
      <c r="O1883" s="36"/>
      <c r="P1883" s="26" t="str">
        <f>IFERROR(VLOOKUP(DadosViagem5[[#This Row],[Placa]],[1]BIP!A:E,5,FALSE),"")</f>
        <v/>
      </c>
      <c r="Q1883" s="27" t="e">
        <f ca="1">DATEDIF(DadosViagem5[[#This Row],[BIP]],TODAY(),"D")</f>
        <v>#VALUE!</v>
      </c>
      <c r="R1883" s="28" t="str">
        <f>IFERROR(VLOOKUP(DadosViagem5[[#This Row],[Placa]],[1]DDS!B:C,2,FALSE),"Verificar cadastro")</f>
        <v> </v>
      </c>
      <c r="S1883" s="29" t="s">
        <v>48</v>
      </c>
      <c r="T1883" s="23"/>
      <c r="U1883" s="30"/>
      <c r="V1883" s="31"/>
      <c r="W1883" s="32" t="s">
        <v>384</v>
      </c>
      <c r="X1883" s="33"/>
      <c r="Y1883" s="34"/>
      <c r="Z1883" s="32"/>
      <c r="AA1883" s="20" t="s">
        <v>49</v>
      </c>
      <c r="AB1883" s="20" t="s">
        <v>49</v>
      </c>
      <c r="AC1883" s="20" t="s">
        <v>49</v>
      </c>
      <c r="AD1883" s="20" t="s">
        <v>49</v>
      </c>
      <c r="AE1883" s="36"/>
      <c r="AF1883" s="25"/>
      <c r="AG1883" s="36"/>
      <c r="AH1883" s="25">
        <v>45807</v>
      </c>
      <c r="AI1883" s="36" t="str">
        <f>IF(DadosViagem5[[#This Row],[Dias em manutenção ]]&lt;5,"Dentro do Prazo","Fora do Prazo")</f>
        <v>Fora do Prazo</v>
      </c>
      <c r="AJ1883" s="36" t="e">
        <v>#REF!</v>
      </c>
    </row>
    <row r="1884" spans="1:36">
      <c r="A1884" s="19" t="s">
        <v>3083</v>
      </c>
      <c r="B1884" s="20"/>
      <c r="C1884" s="19"/>
      <c r="D1884" s="19"/>
      <c r="E1884" s="19"/>
      <c r="F1884" s="19"/>
      <c r="G1884" s="19"/>
      <c r="H1884" s="19"/>
      <c r="I1884" s="19" t="s">
        <v>41</v>
      </c>
      <c r="J1884" s="19"/>
      <c r="K1884" s="19" t="s">
        <v>3058</v>
      </c>
      <c r="L1884" s="22" t="s">
        <v>2906</v>
      </c>
      <c r="M1884" s="23" t="s">
        <v>2847</v>
      </c>
      <c r="N1884" s="36"/>
      <c r="O1884" s="36"/>
      <c r="P1884" s="26" t="str">
        <f>IFERROR(VLOOKUP(DadosViagem5[[#This Row],[Placa]],[1]BIP!A:E,5,FALSE),"")</f>
        <v/>
      </c>
      <c r="Q1884" s="27" t="e">
        <f ca="1">DATEDIF(DadosViagem5[[#This Row],[BIP]],TODAY(),"D")</f>
        <v>#VALUE!</v>
      </c>
      <c r="R1884" s="28" t="str">
        <f>IFERROR(VLOOKUP(DadosViagem5[[#This Row],[Placa]],[1]DDS!B:C,2,FALSE),"Verificar cadastro")</f>
        <v> </v>
      </c>
      <c r="S1884" s="29" t="s">
        <v>48</v>
      </c>
      <c r="T1884" s="23"/>
      <c r="U1884" s="30"/>
      <c r="V1884" s="31"/>
      <c r="W1884" s="32" t="s">
        <v>384</v>
      </c>
      <c r="X1884" s="33"/>
      <c r="Y1884" s="34"/>
      <c r="Z1884" s="32"/>
      <c r="AA1884" s="20" t="s">
        <v>49</v>
      </c>
      <c r="AB1884" s="20" t="s">
        <v>49</v>
      </c>
      <c r="AC1884" s="20" t="s">
        <v>49</v>
      </c>
      <c r="AD1884" s="20" t="s">
        <v>49</v>
      </c>
      <c r="AE1884" s="36"/>
      <c r="AF1884" s="25"/>
      <c r="AG1884" s="36"/>
      <c r="AH1884" s="25">
        <v>45807</v>
      </c>
      <c r="AI1884" s="36" t="str">
        <f>IF(DadosViagem5[[#This Row],[Dias em manutenção ]]&lt;5,"Dentro do Prazo","Fora do Prazo")</f>
        <v>Fora do Prazo</v>
      </c>
      <c r="AJ1884" s="36" t="e">
        <v>#REF!</v>
      </c>
    </row>
    <row r="1885" spans="1:36">
      <c r="A1885" s="19" t="s">
        <v>3084</v>
      </c>
      <c r="B1885" s="20"/>
      <c r="C1885" s="19"/>
      <c r="D1885" s="19"/>
      <c r="E1885" s="19"/>
      <c r="F1885" s="19"/>
      <c r="G1885" s="19"/>
      <c r="H1885" s="19"/>
      <c r="I1885" s="19" t="s">
        <v>41</v>
      </c>
      <c r="J1885" s="19"/>
      <c r="K1885" s="19" t="s">
        <v>3058</v>
      </c>
      <c r="L1885" s="22" t="s">
        <v>2906</v>
      </c>
      <c r="M1885" s="23" t="s">
        <v>2847</v>
      </c>
      <c r="N1885" s="36"/>
      <c r="O1885" s="36"/>
      <c r="P1885" s="26" t="str">
        <f>IFERROR(VLOOKUP(DadosViagem5[[#This Row],[Placa]],[1]BIP!A:E,5,FALSE),"")</f>
        <v/>
      </c>
      <c r="Q1885" s="27" t="e">
        <f ca="1">DATEDIF(DadosViagem5[[#This Row],[BIP]],TODAY(),"D")</f>
        <v>#VALUE!</v>
      </c>
      <c r="R1885" s="28" t="str">
        <f>IFERROR(VLOOKUP(DadosViagem5[[#This Row],[Placa]],[1]DDS!B:C,2,FALSE),"Verificar cadastro")</f>
        <v> </v>
      </c>
      <c r="S1885" s="29" t="s">
        <v>48</v>
      </c>
      <c r="T1885" s="23"/>
      <c r="U1885" s="30"/>
      <c r="V1885" s="31"/>
      <c r="W1885" s="32" t="s">
        <v>384</v>
      </c>
      <c r="X1885" s="33"/>
      <c r="Y1885" s="34"/>
      <c r="Z1885" s="32"/>
      <c r="AA1885" s="20" t="s">
        <v>49</v>
      </c>
      <c r="AB1885" s="20" t="s">
        <v>49</v>
      </c>
      <c r="AC1885" s="20" t="s">
        <v>49</v>
      </c>
      <c r="AD1885" s="20" t="s">
        <v>49</v>
      </c>
      <c r="AE1885" s="36"/>
      <c r="AF1885" s="25"/>
      <c r="AG1885" s="36"/>
      <c r="AH1885" s="25">
        <v>45807</v>
      </c>
      <c r="AI1885" s="36" t="str">
        <f>IF(DadosViagem5[[#This Row],[Dias em manutenção ]]&lt;5,"Dentro do Prazo","Fora do Prazo")</f>
        <v>Fora do Prazo</v>
      </c>
      <c r="AJ1885" s="36" t="e">
        <v>#REF!</v>
      </c>
    </row>
    <row r="1886" spans="1:36">
      <c r="A1886" s="19" t="s">
        <v>3085</v>
      </c>
      <c r="B1886" s="20"/>
      <c r="C1886" s="19"/>
      <c r="D1886" s="19"/>
      <c r="E1886" s="19"/>
      <c r="F1886" s="19"/>
      <c r="G1886" s="19"/>
      <c r="H1886" s="19"/>
      <c r="I1886" s="19" t="s">
        <v>41</v>
      </c>
      <c r="J1886" s="19"/>
      <c r="K1886" s="19" t="s">
        <v>3058</v>
      </c>
      <c r="L1886" s="22" t="s">
        <v>2906</v>
      </c>
      <c r="M1886" s="23" t="s">
        <v>2847</v>
      </c>
      <c r="N1886" s="36"/>
      <c r="O1886" s="36"/>
      <c r="P1886" s="26" t="str">
        <f>IFERROR(VLOOKUP(DadosViagem5[[#This Row],[Placa]],[1]BIP!A:E,5,FALSE),"")</f>
        <v/>
      </c>
      <c r="Q1886" s="27" t="e">
        <f ca="1">DATEDIF(DadosViagem5[[#This Row],[BIP]],TODAY(),"D")</f>
        <v>#VALUE!</v>
      </c>
      <c r="R1886" s="28" t="str">
        <f>IFERROR(VLOOKUP(DadosViagem5[[#This Row],[Placa]],[1]DDS!B:C,2,FALSE),"Verificar cadastro")</f>
        <v> </v>
      </c>
      <c r="S1886" s="29" t="s">
        <v>48</v>
      </c>
      <c r="T1886" s="23"/>
      <c r="U1886" s="30"/>
      <c r="V1886" s="31"/>
      <c r="W1886" s="32" t="s">
        <v>384</v>
      </c>
      <c r="X1886" s="33"/>
      <c r="Y1886" s="34"/>
      <c r="Z1886" s="32"/>
      <c r="AA1886" s="20" t="s">
        <v>49</v>
      </c>
      <c r="AB1886" s="20" t="s">
        <v>49</v>
      </c>
      <c r="AC1886" s="20" t="s">
        <v>49</v>
      </c>
      <c r="AD1886" s="20" t="s">
        <v>49</v>
      </c>
      <c r="AE1886" s="36"/>
      <c r="AF1886" s="25"/>
      <c r="AG1886" s="36"/>
      <c r="AH1886" s="25">
        <v>45807</v>
      </c>
      <c r="AI1886" s="36" t="str">
        <f>IF(DadosViagem5[[#This Row],[Dias em manutenção ]]&lt;5,"Dentro do Prazo","Fora do Prazo")</f>
        <v>Fora do Prazo</v>
      </c>
      <c r="AJ1886" s="36" t="e">
        <v>#REF!</v>
      </c>
    </row>
    <row r="1887" spans="1:36">
      <c r="A1887" s="19" t="s">
        <v>3086</v>
      </c>
      <c r="B1887" s="20"/>
      <c r="C1887" s="19"/>
      <c r="D1887" s="19"/>
      <c r="E1887" s="19"/>
      <c r="F1887" s="19"/>
      <c r="G1887" s="19"/>
      <c r="H1887" s="19"/>
      <c r="I1887" s="19" t="s">
        <v>41</v>
      </c>
      <c r="J1887" s="19"/>
      <c r="K1887" s="19" t="s">
        <v>3058</v>
      </c>
      <c r="L1887" s="22" t="s">
        <v>2906</v>
      </c>
      <c r="M1887" s="23" t="s">
        <v>2847</v>
      </c>
      <c r="N1887" s="36"/>
      <c r="O1887" s="36"/>
      <c r="P1887" s="26" t="str">
        <f>IFERROR(VLOOKUP(DadosViagem5[[#This Row],[Placa]],[1]BIP!A:E,5,FALSE),"")</f>
        <v/>
      </c>
      <c r="Q1887" s="27" t="e">
        <f ca="1">DATEDIF(DadosViagem5[[#This Row],[BIP]],TODAY(),"D")</f>
        <v>#VALUE!</v>
      </c>
      <c r="R1887" s="28" t="str">
        <f>IFERROR(VLOOKUP(DadosViagem5[[#This Row],[Placa]],[1]DDS!B:C,2,FALSE),"Verificar cadastro")</f>
        <v> </v>
      </c>
      <c r="S1887" s="29" t="s">
        <v>48</v>
      </c>
      <c r="T1887" s="23"/>
      <c r="U1887" s="30"/>
      <c r="V1887" s="31"/>
      <c r="W1887" s="32" t="s">
        <v>384</v>
      </c>
      <c r="X1887" s="33"/>
      <c r="Y1887" s="34"/>
      <c r="Z1887" s="32"/>
      <c r="AA1887" s="20" t="s">
        <v>49</v>
      </c>
      <c r="AB1887" s="20" t="s">
        <v>49</v>
      </c>
      <c r="AC1887" s="20" t="s">
        <v>49</v>
      </c>
      <c r="AD1887" s="20" t="s">
        <v>49</v>
      </c>
      <c r="AE1887" s="36"/>
      <c r="AF1887" s="25"/>
      <c r="AG1887" s="36"/>
      <c r="AH1887" s="25">
        <v>45807</v>
      </c>
      <c r="AI1887" s="36" t="str">
        <f>IF(DadosViagem5[[#This Row],[Dias em manutenção ]]&lt;5,"Dentro do Prazo","Fora do Prazo")</f>
        <v>Fora do Prazo</v>
      </c>
      <c r="AJ1887" s="36" t="e">
        <v>#REF!</v>
      </c>
    </row>
    <row r="1888" spans="1:36">
      <c r="A1888" s="19" t="s">
        <v>3087</v>
      </c>
      <c r="B1888" s="20"/>
      <c r="C1888" s="19"/>
      <c r="D1888" s="19"/>
      <c r="E1888" s="19"/>
      <c r="F1888" s="19"/>
      <c r="G1888" s="19"/>
      <c r="H1888" s="19"/>
      <c r="I1888" s="19" t="s">
        <v>41</v>
      </c>
      <c r="J1888" s="19"/>
      <c r="K1888" s="19" t="s">
        <v>3058</v>
      </c>
      <c r="L1888" s="22" t="s">
        <v>2906</v>
      </c>
      <c r="M1888" s="23" t="s">
        <v>2847</v>
      </c>
      <c r="N1888" s="36"/>
      <c r="O1888" s="36"/>
      <c r="P1888" s="26" t="str">
        <f>IFERROR(VLOOKUP(DadosViagem5[[#This Row],[Placa]],[1]BIP!A:E,5,FALSE),"")</f>
        <v/>
      </c>
      <c r="Q1888" s="27" t="e">
        <f ca="1">DATEDIF(DadosViagem5[[#This Row],[BIP]],TODAY(),"D")</f>
        <v>#VALUE!</v>
      </c>
      <c r="R1888" s="28" t="str">
        <f>IFERROR(VLOOKUP(DadosViagem5[[#This Row],[Placa]],[1]DDS!B:C,2,FALSE),"Verificar cadastro")</f>
        <v> </v>
      </c>
      <c r="S1888" s="29" t="s">
        <v>48</v>
      </c>
      <c r="T1888" s="23"/>
      <c r="U1888" s="30"/>
      <c r="V1888" s="31"/>
      <c r="W1888" s="32" t="s">
        <v>384</v>
      </c>
      <c r="X1888" s="33"/>
      <c r="Y1888" s="34"/>
      <c r="Z1888" s="32"/>
      <c r="AA1888" s="20" t="s">
        <v>49</v>
      </c>
      <c r="AB1888" s="20" t="s">
        <v>49</v>
      </c>
      <c r="AC1888" s="20" t="s">
        <v>49</v>
      </c>
      <c r="AD1888" s="20" t="s">
        <v>49</v>
      </c>
      <c r="AE1888" s="36"/>
      <c r="AF1888" s="25"/>
      <c r="AG1888" s="36"/>
      <c r="AH1888" s="25">
        <v>45807</v>
      </c>
      <c r="AI1888" s="36" t="str">
        <f>IF(DadosViagem5[[#This Row],[Dias em manutenção ]]&lt;5,"Dentro do Prazo","Fora do Prazo")</f>
        <v>Fora do Prazo</v>
      </c>
      <c r="AJ1888" s="36" t="e">
        <v>#REF!</v>
      </c>
    </row>
    <row r="1889" spans="1:36">
      <c r="A1889" s="19" t="s">
        <v>3088</v>
      </c>
      <c r="B1889" s="20"/>
      <c r="C1889" s="19"/>
      <c r="D1889" s="19"/>
      <c r="E1889" s="19"/>
      <c r="F1889" s="19"/>
      <c r="G1889" s="19"/>
      <c r="H1889" s="19"/>
      <c r="I1889" s="19" t="s">
        <v>41</v>
      </c>
      <c r="J1889" s="19"/>
      <c r="K1889" s="19" t="s">
        <v>3058</v>
      </c>
      <c r="L1889" s="22" t="s">
        <v>2906</v>
      </c>
      <c r="M1889" s="23" t="s">
        <v>2847</v>
      </c>
      <c r="N1889" s="36"/>
      <c r="O1889" s="36"/>
      <c r="P1889" s="26" t="str">
        <f>IFERROR(VLOOKUP(DadosViagem5[[#This Row],[Placa]],[1]BIP!A:E,5,FALSE),"")</f>
        <v/>
      </c>
      <c r="Q1889" s="27" t="e">
        <f ca="1">DATEDIF(DadosViagem5[[#This Row],[BIP]],TODAY(),"D")</f>
        <v>#VALUE!</v>
      </c>
      <c r="R1889" s="28" t="str">
        <f>IFERROR(VLOOKUP(DadosViagem5[[#This Row],[Placa]],[1]DDS!B:C,2,FALSE),"Verificar cadastro")</f>
        <v> </v>
      </c>
      <c r="S1889" s="29" t="s">
        <v>48</v>
      </c>
      <c r="T1889" s="23"/>
      <c r="U1889" s="30"/>
      <c r="V1889" s="31"/>
      <c r="W1889" s="32" t="s">
        <v>384</v>
      </c>
      <c r="X1889" s="33"/>
      <c r="Y1889" s="34"/>
      <c r="Z1889" s="32"/>
      <c r="AA1889" s="20" t="s">
        <v>49</v>
      </c>
      <c r="AB1889" s="20" t="s">
        <v>49</v>
      </c>
      <c r="AC1889" s="20" t="s">
        <v>49</v>
      </c>
      <c r="AD1889" s="20" t="s">
        <v>49</v>
      </c>
      <c r="AE1889" s="36"/>
      <c r="AF1889" s="25"/>
      <c r="AG1889" s="36"/>
      <c r="AH1889" s="25">
        <v>45807</v>
      </c>
      <c r="AI1889" s="36" t="str">
        <f>IF(DadosViagem5[[#This Row],[Dias em manutenção ]]&lt;5,"Dentro do Prazo","Fora do Prazo")</f>
        <v>Fora do Prazo</v>
      </c>
      <c r="AJ1889" s="36" t="e">
        <v>#REF!</v>
      </c>
    </row>
    <row r="1890" spans="1:36">
      <c r="A1890" s="19" t="s">
        <v>3089</v>
      </c>
      <c r="B1890" s="20"/>
      <c r="C1890" s="19"/>
      <c r="D1890" s="19"/>
      <c r="E1890" s="19"/>
      <c r="F1890" s="19"/>
      <c r="G1890" s="19"/>
      <c r="H1890" s="19"/>
      <c r="I1890" s="19" t="s">
        <v>41</v>
      </c>
      <c r="J1890" s="19"/>
      <c r="K1890" s="19" t="s">
        <v>3058</v>
      </c>
      <c r="L1890" s="22" t="s">
        <v>2906</v>
      </c>
      <c r="M1890" s="23" t="s">
        <v>2847</v>
      </c>
      <c r="N1890" s="36"/>
      <c r="O1890" s="36"/>
      <c r="P1890" s="26" t="str">
        <f>IFERROR(VLOOKUP(DadosViagem5[[#This Row],[Placa]],[1]BIP!A:E,5,FALSE),"")</f>
        <v/>
      </c>
      <c r="Q1890" s="27" t="e">
        <f ca="1">DATEDIF(DadosViagem5[[#This Row],[BIP]],TODAY(),"D")</f>
        <v>#VALUE!</v>
      </c>
      <c r="R1890" s="28" t="str">
        <f>IFERROR(VLOOKUP(DadosViagem5[[#This Row],[Placa]],[1]DDS!B:C,2,FALSE),"Verificar cadastro")</f>
        <v> </v>
      </c>
      <c r="S1890" s="29" t="s">
        <v>48</v>
      </c>
      <c r="T1890" s="23"/>
      <c r="U1890" s="30"/>
      <c r="V1890" s="31"/>
      <c r="W1890" s="32" t="s">
        <v>384</v>
      </c>
      <c r="X1890" s="33"/>
      <c r="Y1890" s="34"/>
      <c r="Z1890" s="32"/>
      <c r="AA1890" s="20" t="s">
        <v>49</v>
      </c>
      <c r="AB1890" s="20" t="s">
        <v>49</v>
      </c>
      <c r="AC1890" s="20" t="s">
        <v>49</v>
      </c>
      <c r="AD1890" s="20" t="s">
        <v>49</v>
      </c>
      <c r="AE1890" s="36"/>
      <c r="AF1890" s="25"/>
      <c r="AG1890" s="36"/>
      <c r="AH1890" s="25">
        <v>45807</v>
      </c>
      <c r="AI1890" s="36" t="str">
        <f>IF(DadosViagem5[[#This Row],[Dias em manutenção ]]&lt;5,"Dentro do Prazo","Fora do Prazo")</f>
        <v>Fora do Prazo</v>
      </c>
      <c r="AJ1890" s="36" t="e">
        <v>#REF!</v>
      </c>
    </row>
    <row r="1891" spans="1:36">
      <c r="A1891" s="19" t="s">
        <v>3090</v>
      </c>
      <c r="B1891" s="20"/>
      <c r="C1891" s="19" t="s">
        <v>2960</v>
      </c>
      <c r="D1891" s="19" t="s">
        <v>264</v>
      </c>
      <c r="E1891" s="19" t="s">
        <v>53</v>
      </c>
      <c r="F1891" s="19"/>
      <c r="G1891" s="19"/>
      <c r="H1891" s="20">
        <v>2024</v>
      </c>
      <c r="I1891" s="19" t="s">
        <v>41</v>
      </c>
      <c r="J1891" s="19" t="e">
        <v>#N/A</v>
      </c>
      <c r="K1891" s="108" t="s">
        <v>3091</v>
      </c>
      <c r="L1891" s="22" t="s">
        <v>2906</v>
      </c>
      <c r="M1891" s="23" t="s">
        <v>2847</v>
      </c>
      <c r="N1891" s="36" t="s">
        <v>3092</v>
      </c>
      <c r="O1891" s="36" t="s">
        <v>3093</v>
      </c>
      <c r="P1891" s="26">
        <f ca="1">IFERROR(VLOOKUP(DadosViagem5[[#This Row],[Placa]],[1]BIP!A:E,5,FALSE),"")</f>
        <v>0</v>
      </c>
      <c r="Q1891" s="27">
        <f ca="1">DATEDIF(DadosViagem5[[#This Row],[BIP]],TODAY(),"D")</f>
        <v>45990</v>
      </c>
      <c r="R1891" s="28" t="str">
        <f>IFERROR(VLOOKUP(DadosViagem5[[#This Row],[Placa]],[1]DDS!B:C,2,FALSE),"Verificar cadastro")</f>
        <v> </v>
      </c>
      <c r="S1891" s="29" t="s">
        <v>48</v>
      </c>
      <c r="T1891" s="23"/>
      <c r="U1891" s="30"/>
      <c r="V1891" s="31"/>
      <c r="W1891" s="32" t="s">
        <v>384</v>
      </c>
      <c r="X1891" s="33"/>
      <c r="Y1891" s="34"/>
      <c r="Z1891" s="32"/>
      <c r="AA1891" s="20" t="s">
        <v>49</v>
      </c>
      <c r="AB1891" s="20" t="s">
        <v>49</v>
      </c>
      <c r="AC1891" s="19" t="s">
        <v>49</v>
      </c>
      <c r="AD1891" s="19" t="str">
        <f ca="1">IFERROR(DATEDIF(DadosViagem5[[#This Row],[Utimo Bip Reserva]],TODAY(),"D"),"")</f>
        <v/>
      </c>
      <c r="AE1891" s="36"/>
      <c r="AF1891" s="25"/>
      <c r="AG1891" s="36"/>
      <c r="AH1891" s="25">
        <v>45807</v>
      </c>
      <c r="AI1891" s="36" t="str">
        <f>IF(DadosViagem5[[#This Row],[Dias em manutenção ]]&lt;5,"Dentro do Prazo","Fora do Prazo")</f>
        <v>Fora do Prazo</v>
      </c>
      <c r="AJ1891" s="36" t="e">
        <v>#REF!</v>
      </c>
    </row>
    <row r="1892" spans="1:36">
      <c r="A1892" s="19" t="s">
        <v>3094</v>
      </c>
      <c r="B1892" s="20"/>
      <c r="C1892" s="19" t="s">
        <v>2960</v>
      </c>
      <c r="D1892" s="19" t="s">
        <v>264</v>
      </c>
      <c r="E1892" s="19" t="s">
        <v>53</v>
      </c>
      <c r="F1892" s="19"/>
      <c r="G1892" s="19"/>
      <c r="H1892" s="20">
        <v>2024</v>
      </c>
      <c r="I1892" s="19" t="s">
        <v>1183</v>
      </c>
      <c r="J1892" s="19" t="e">
        <v>#N/A</v>
      </c>
      <c r="K1892" s="108" t="s">
        <v>3095</v>
      </c>
      <c r="L1892" s="22" t="s">
        <v>2906</v>
      </c>
      <c r="M1892" s="23" t="s">
        <v>2847</v>
      </c>
      <c r="N1892" s="36" t="s">
        <v>876</v>
      </c>
      <c r="O1892" s="36" t="s">
        <v>876</v>
      </c>
      <c r="P1892" s="26">
        <f ca="1">IFERROR(VLOOKUP(DadosViagem5[[#This Row],[Placa]],[1]BIP!A:E,5,FALSE),"")</f>
        <v>0</v>
      </c>
      <c r="Q1892" s="27">
        <f ca="1">DATEDIF(DadosViagem5[[#This Row],[BIP]],TODAY(),"D")</f>
        <v>45990</v>
      </c>
      <c r="R1892" s="28" t="str">
        <f>IFERROR(VLOOKUP(DadosViagem5[[#This Row],[Placa]],[1]DDS!B:C,2,FALSE),"Verificar cadastro")</f>
        <v> </v>
      </c>
      <c r="S1892" s="29" t="s">
        <v>48</v>
      </c>
      <c r="T1892" s="23"/>
      <c r="U1892" s="30"/>
      <c r="V1892" s="31"/>
      <c r="W1892" s="32" t="s">
        <v>384</v>
      </c>
      <c r="X1892" s="33"/>
      <c r="Y1892" s="34"/>
      <c r="Z1892" s="32"/>
      <c r="AA1892" s="20" t="s">
        <v>49</v>
      </c>
      <c r="AB1892" s="20" t="s">
        <v>49</v>
      </c>
      <c r="AC1892" s="19" t="s">
        <v>49</v>
      </c>
      <c r="AD1892" s="19" t="str">
        <f ca="1">IFERROR(DATEDIF(DadosViagem5[[#This Row],[Utimo Bip Reserva]],TODAY(),"D"),"")</f>
        <v/>
      </c>
      <c r="AE1892" s="36"/>
      <c r="AF1892" s="25"/>
      <c r="AG1892" s="36"/>
      <c r="AH1892" s="25">
        <v>45807</v>
      </c>
      <c r="AI1892" s="36" t="str">
        <f>IF(DadosViagem5[[#This Row],[Dias em manutenção ]]&lt;5,"Dentro do Prazo","Fora do Prazo")</f>
        <v>Fora do Prazo</v>
      </c>
      <c r="AJ1892" s="36" t="e">
        <v>#REF!</v>
      </c>
    </row>
    <row r="1893" spans="1:36">
      <c r="A1893" s="19" t="s">
        <v>3096</v>
      </c>
      <c r="B1893" s="20"/>
      <c r="C1893" s="19"/>
      <c r="D1893" s="19"/>
      <c r="E1893" s="19"/>
      <c r="F1893" s="19"/>
      <c r="G1893" s="19"/>
      <c r="H1893" s="19"/>
      <c r="I1893" s="19" t="s">
        <v>1183</v>
      </c>
      <c r="J1893" s="19"/>
      <c r="K1893" s="19" t="s">
        <v>3095</v>
      </c>
      <c r="L1893" s="22" t="s">
        <v>2906</v>
      </c>
      <c r="M1893" s="23" t="s">
        <v>2847</v>
      </c>
      <c r="N1893" s="36" t="s">
        <v>876</v>
      </c>
      <c r="O1893" s="36" t="s">
        <v>3011</v>
      </c>
      <c r="P1893" s="26" t="str">
        <f>IFERROR(VLOOKUP(DadosViagem5[[#This Row],[Placa]],[1]BIP!A:E,5,FALSE),"")</f>
        <v/>
      </c>
      <c r="Q1893" s="27" t="e">
        <f ca="1">DATEDIF(DadosViagem5[[#This Row],[BIP]],TODAY(),"D")</f>
        <v>#VALUE!</v>
      </c>
      <c r="R1893" s="28" t="str">
        <f>IFERROR(VLOOKUP(DadosViagem5[[#This Row],[Placa]],[1]DDS!B:C,2,FALSE),"Verificar cadastro")</f>
        <v> </v>
      </c>
      <c r="S1893" s="29" t="s">
        <v>48</v>
      </c>
      <c r="T1893" s="23"/>
      <c r="U1893" s="30"/>
      <c r="V1893" s="31"/>
      <c r="W1893" s="32" t="s">
        <v>384</v>
      </c>
      <c r="X1893" s="33"/>
      <c r="Y1893" s="34"/>
      <c r="Z1893" s="32"/>
      <c r="AA1893" s="20" t="s">
        <v>49</v>
      </c>
      <c r="AB1893" s="20" t="s">
        <v>49</v>
      </c>
      <c r="AC1893" s="20" t="s">
        <v>49</v>
      </c>
      <c r="AD1893" s="20" t="s">
        <v>49</v>
      </c>
      <c r="AE1893" s="36"/>
      <c r="AF1893" s="25"/>
      <c r="AG1893" s="36"/>
      <c r="AH1893" s="25">
        <v>45807</v>
      </c>
      <c r="AI1893" s="36" t="str">
        <f>IF(DadosViagem5[[#This Row],[Dias em manutenção ]]&lt;5,"Dentro do Prazo","Fora do Prazo")</f>
        <v>Fora do Prazo</v>
      </c>
      <c r="AJ1893" s="36" t="e">
        <v>#REF!</v>
      </c>
    </row>
    <row r="1894" spans="1:36">
      <c r="A1894" s="19" t="s">
        <v>3097</v>
      </c>
      <c r="B1894" s="20"/>
      <c r="C1894" s="19"/>
      <c r="D1894" s="19"/>
      <c r="E1894" s="19"/>
      <c r="F1894" s="19"/>
      <c r="G1894" s="19"/>
      <c r="H1894" s="19"/>
      <c r="I1894" s="19" t="s">
        <v>1183</v>
      </c>
      <c r="J1894" s="19"/>
      <c r="K1894" s="19" t="s">
        <v>3095</v>
      </c>
      <c r="L1894" s="22" t="s">
        <v>2906</v>
      </c>
      <c r="M1894" s="23" t="s">
        <v>2847</v>
      </c>
      <c r="N1894" s="36" t="s">
        <v>876</v>
      </c>
      <c r="O1894" s="36" t="s">
        <v>3011</v>
      </c>
      <c r="P1894" s="26" t="str">
        <f>IFERROR(VLOOKUP(DadosViagem5[[#This Row],[Placa]],[1]BIP!A:E,5,FALSE),"")</f>
        <v/>
      </c>
      <c r="Q1894" s="27" t="e">
        <f ca="1">DATEDIF(DadosViagem5[[#This Row],[BIP]],TODAY(),"D")</f>
        <v>#VALUE!</v>
      </c>
      <c r="R1894" s="28" t="str">
        <f>IFERROR(VLOOKUP(DadosViagem5[[#This Row],[Placa]],[1]DDS!B:C,2,FALSE),"Verificar cadastro")</f>
        <v>Verificar cadastro</v>
      </c>
      <c r="S1894" s="29" t="s">
        <v>48</v>
      </c>
      <c r="T1894" s="23"/>
      <c r="U1894" s="30"/>
      <c r="V1894" s="31"/>
      <c r="W1894" s="32" t="s">
        <v>384</v>
      </c>
      <c r="X1894" s="33"/>
      <c r="Y1894" s="34"/>
      <c r="Z1894" s="32"/>
      <c r="AA1894" s="20" t="s">
        <v>49</v>
      </c>
      <c r="AB1894" s="20" t="s">
        <v>49</v>
      </c>
      <c r="AC1894" s="20" t="s">
        <v>49</v>
      </c>
      <c r="AD1894" s="20" t="s">
        <v>49</v>
      </c>
      <c r="AE1894" s="36"/>
      <c r="AF1894" s="25"/>
      <c r="AG1894" s="36"/>
      <c r="AH1894" s="25">
        <v>45807</v>
      </c>
      <c r="AI1894" s="36" t="str">
        <f>IF(DadosViagem5[[#This Row],[Dias em manutenção ]]&lt;5,"Dentro do Prazo","Fora do Prazo")</f>
        <v>Fora do Prazo</v>
      </c>
      <c r="AJ1894" s="36" t="e">
        <v>#REF!</v>
      </c>
    </row>
    <row r="1895" spans="1:36">
      <c r="A1895" s="19" t="s">
        <v>3098</v>
      </c>
      <c r="B1895" s="20"/>
      <c r="C1895" s="19"/>
      <c r="D1895" s="19"/>
      <c r="E1895" s="19"/>
      <c r="F1895" s="19"/>
      <c r="G1895" s="19"/>
      <c r="H1895" s="19"/>
      <c r="I1895" s="19" t="s">
        <v>1183</v>
      </c>
      <c r="J1895" s="19"/>
      <c r="K1895" s="19" t="s">
        <v>3095</v>
      </c>
      <c r="L1895" s="22" t="s">
        <v>2906</v>
      </c>
      <c r="M1895" s="23" t="s">
        <v>2847</v>
      </c>
      <c r="N1895" s="36" t="s">
        <v>876</v>
      </c>
      <c r="O1895" s="36" t="s">
        <v>3011</v>
      </c>
      <c r="P1895" s="26" t="str">
        <f>IFERROR(VLOOKUP(DadosViagem5[[#This Row],[Placa]],[1]BIP!A:E,5,FALSE),"")</f>
        <v/>
      </c>
      <c r="Q1895" s="27" t="e">
        <f ca="1">DATEDIF(DadosViagem5[[#This Row],[BIP]],TODAY(),"D")</f>
        <v>#VALUE!</v>
      </c>
      <c r="R1895" s="28" t="str">
        <f>IFERROR(VLOOKUP(DadosViagem5[[#This Row],[Placa]],[1]DDS!B:C,2,FALSE),"Verificar cadastro")</f>
        <v>Verificar cadastro</v>
      </c>
      <c r="S1895" s="29" t="s">
        <v>48</v>
      </c>
      <c r="T1895" s="23"/>
      <c r="U1895" s="30"/>
      <c r="V1895" s="31"/>
      <c r="W1895" s="32" t="s">
        <v>384</v>
      </c>
      <c r="X1895" s="33"/>
      <c r="Y1895" s="34"/>
      <c r="Z1895" s="32"/>
      <c r="AA1895" s="20" t="s">
        <v>49</v>
      </c>
      <c r="AB1895" s="20" t="s">
        <v>49</v>
      </c>
      <c r="AC1895" s="20" t="s">
        <v>49</v>
      </c>
      <c r="AD1895" s="20" t="s">
        <v>49</v>
      </c>
      <c r="AE1895" s="36"/>
      <c r="AF1895" s="25"/>
      <c r="AG1895" s="36"/>
      <c r="AH1895" s="25">
        <v>45807</v>
      </c>
      <c r="AI1895" s="36" t="str">
        <f>IF(DadosViagem5[[#This Row],[Dias em manutenção ]]&lt;5,"Dentro do Prazo","Fora do Prazo")</f>
        <v>Fora do Prazo</v>
      </c>
      <c r="AJ1895" s="36" t="e">
        <v>#REF!</v>
      </c>
    </row>
    <row r="1896" spans="1:36">
      <c r="A1896" s="19" t="s">
        <v>3099</v>
      </c>
      <c r="B1896" s="20"/>
      <c r="C1896" s="19"/>
      <c r="D1896" s="19"/>
      <c r="E1896" s="19"/>
      <c r="F1896" s="19"/>
      <c r="G1896" s="19"/>
      <c r="H1896" s="19"/>
      <c r="I1896" s="19" t="s">
        <v>1183</v>
      </c>
      <c r="J1896" s="19"/>
      <c r="K1896" s="19" t="s">
        <v>3095</v>
      </c>
      <c r="L1896" s="22" t="s">
        <v>2906</v>
      </c>
      <c r="M1896" s="23" t="s">
        <v>2847</v>
      </c>
      <c r="N1896" s="36" t="s">
        <v>876</v>
      </c>
      <c r="O1896" s="36" t="s">
        <v>3011</v>
      </c>
      <c r="P1896" s="26" t="str">
        <f>IFERROR(VLOOKUP(DadosViagem5[[#This Row],[Placa]],[1]BIP!A:E,5,FALSE),"")</f>
        <v/>
      </c>
      <c r="Q1896" s="27" t="e">
        <f ca="1">DATEDIF(DadosViagem5[[#This Row],[BIP]],TODAY(),"D")</f>
        <v>#VALUE!</v>
      </c>
      <c r="R1896" s="28" t="str">
        <f>IFERROR(VLOOKUP(DadosViagem5[[#This Row],[Placa]],[1]DDS!B:C,2,FALSE),"Verificar cadastro")</f>
        <v>Verificar cadastro</v>
      </c>
      <c r="S1896" s="29" t="s">
        <v>48</v>
      </c>
      <c r="T1896" s="23"/>
      <c r="U1896" s="30"/>
      <c r="V1896" s="31"/>
      <c r="W1896" s="32" t="s">
        <v>384</v>
      </c>
      <c r="X1896" s="33"/>
      <c r="Y1896" s="34"/>
      <c r="Z1896" s="32"/>
      <c r="AA1896" s="20" t="s">
        <v>49</v>
      </c>
      <c r="AB1896" s="20" t="s">
        <v>49</v>
      </c>
      <c r="AC1896" s="20" t="s">
        <v>49</v>
      </c>
      <c r="AD1896" s="20" t="s">
        <v>49</v>
      </c>
      <c r="AE1896" s="36"/>
      <c r="AF1896" s="25"/>
      <c r="AG1896" s="36"/>
      <c r="AH1896" s="25">
        <v>45807</v>
      </c>
      <c r="AI1896" s="36" t="str">
        <f>IF(DadosViagem5[[#This Row],[Dias em manutenção ]]&lt;5,"Dentro do Prazo","Fora do Prazo")</f>
        <v>Fora do Prazo</v>
      </c>
      <c r="AJ1896" s="36" t="e">
        <v>#REF!</v>
      </c>
    </row>
    <row r="1897" spans="1:36">
      <c r="A1897" s="19" t="s">
        <v>3100</v>
      </c>
      <c r="B1897" s="20"/>
      <c r="C1897" s="19"/>
      <c r="D1897" s="19"/>
      <c r="E1897" s="19"/>
      <c r="F1897" s="19"/>
      <c r="G1897" s="19"/>
      <c r="H1897" s="19"/>
      <c r="I1897" s="19" t="s">
        <v>1183</v>
      </c>
      <c r="J1897" s="19"/>
      <c r="K1897" s="19" t="s">
        <v>3095</v>
      </c>
      <c r="L1897" s="22" t="s">
        <v>2906</v>
      </c>
      <c r="M1897" s="23" t="s">
        <v>2847</v>
      </c>
      <c r="N1897" s="36" t="s">
        <v>876</v>
      </c>
      <c r="O1897" s="36" t="s">
        <v>3011</v>
      </c>
      <c r="P1897" s="26" t="str">
        <f>IFERROR(VLOOKUP(DadosViagem5[[#This Row],[Placa]],[1]BIP!A:E,5,FALSE),"")</f>
        <v/>
      </c>
      <c r="Q1897" s="27" t="e">
        <f ca="1">DATEDIF(DadosViagem5[[#This Row],[BIP]],TODAY(),"D")</f>
        <v>#VALUE!</v>
      </c>
      <c r="R1897" s="28" t="str">
        <f>IFERROR(VLOOKUP(DadosViagem5[[#This Row],[Placa]],[1]DDS!B:C,2,FALSE),"Verificar cadastro")</f>
        <v>Verificar cadastro</v>
      </c>
      <c r="S1897" s="29" t="s">
        <v>48</v>
      </c>
      <c r="T1897" s="23"/>
      <c r="U1897" s="30"/>
      <c r="V1897" s="31"/>
      <c r="W1897" s="32" t="s">
        <v>384</v>
      </c>
      <c r="X1897" s="33"/>
      <c r="Y1897" s="34"/>
      <c r="Z1897" s="32"/>
      <c r="AA1897" s="20" t="s">
        <v>49</v>
      </c>
      <c r="AB1897" s="20" t="s">
        <v>49</v>
      </c>
      <c r="AC1897" s="20" t="s">
        <v>49</v>
      </c>
      <c r="AD1897" s="20" t="s">
        <v>49</v>
      </c>
      <c r="AE1897" s="36"/>
      <c r="AF1897" s="25"/>
      <c r="AG1897" s="36"/>
      <c r="AH1897" s="25">
        <v>45807</v>
      </c>
      <c r="AI1897" s="36" t="str">
        <f>IF(DadosViagem5[[#This Row],[Dias em manutenção ]]&lt;5,"Dentro do Prazo","Fora do Prazo")</f>
        <v>Fora do Prazo</v>
      </c>
      <c r="AJ1897" s="36" t="e">
        <v>#REF!</v>
      </c>
    </row>
    <row r="1898" spans="1:36">
      <c r="A1898" s="19" t="s">
        <v>3101</v>
      </c>
      <c r="B1898" s="20"/>
      <c r="C1898" s="19" t="s">
        <v>88</v>
      </c>
      <c r="D1898" s="19" t="s">
        <v>52</v>
      </c>
      <c r="E1898" s="19" t="s">
        <v>57</v>
      </c>
      <c r="F1898" s="19" t="s">
        <v>40</v>
      </c>
      <c r="G1898" s="19"/>
      <c r="H1898" s="20">
        <v>2022</v>
      </c>
      <c r="I1898" s="19" t="s">
        <v>41</v>
      </c>
      <c r="J1898" s="19" t="e">
        <v>#N/A</v>
      </c>
      <c r="K1898" s="21" t="s">
        <v>3102</v>
      </c>
      <c r="L1898" s="22" t="s">
        <v>2906</v>
      </c>
      <c r="M1898" s="23" t="s">
        <v>2847</v>
      </c>
      <c r="N1898" s="36" t="s">
        <v>3103</v>
      </c>
      <c r="O1898" s="25" t="s">
        <v>2908</v>
      </c>
      <c r="P1898" s="26">
        <f ca="1">IFERROR(VLOOKUP(DadosViagem5[[#This Row],[Placa]],[1]BIP!A:E,5,FALSE),"")</f>
        <v>0</v>
      </c>
      <c r="Q1898" s="27">
        <f ca="1">DATEDIF(DadosViagem5[[#This Row],[BIP]],TODAY(),"D")</f>
        <v>45990</v>
      </c>
      <c r="R1898" s="28" t="str">
        <f>IFERROR(VLOOKUP(DadosViagem5[[#This Row],[Placa]],[1]DDS!B:C,2,FALSE),"Verificar cadastro")</f>
        <v> </v>
      </c>
      <c r="S1898" s="29" t="s">
        <v>48</v>
      </c>
      <c r="T1898" s="23"/>
      <c r="U1898" s="30"/>
      <c r="V1898" s="31"/>
      <c r="W1898" s="32" t="s">
        <v>384</v>
      </c>
      <c r="X1898" s="33"/>
      <c r="Y1898" s="34"/>
      <c r="Z1898" s="32"/>
      <c r="AA1898" s="20" t="s">
        <v>49</v>
      </c>
      <c r="AB1898" s="20" t="s">
        <v>49</v>
      </c>
      <c r="AC1898" s="20" t="s">
        <v>49</v>
      </c>
      <c r="AD1898" s="20" t="s">
        <v>49</v>
      </c>
      <c r="AE1898" s="25" t="s">
        <v>49</v>
      </c>
      <c r="AF1898" s="25" t="s">
        <v>49</v>
      </c>
      <c r="AG1898" s="36"/>
      <c r="AH1898" s="25">
        <v>45807</v>
      </c>
      <c r="AI1898" s="36" t="str">
        <f>IF(DadosViagem5[[#This Row],[Dias em manutenção ]]&lt;5,"Dentro do Prazo","Fora do Prazo")</f>
        <v>Fora do Prazo</v>
      </c>
      <c r="AJ1898" s="36" t="e">
        <v>#REF!</v>
      </c>
    </row>
    <row r="1899" spans="1:36">
      <c r="A1899" s="19" t="s">
        <v>3104</v>
      </c>
      <c r="B1899" s="20"/>
      <c r="C1899" s="19" t="s">
        <v>51</v>
      </c>
      <c r="D1899" s="19" t="s">
        <v>52</v>
      </c>
      <c r="E1899" s="19" t="s">
        <v>57</v>
      </c>
      <c r="F1899" s="19" t="s">
        <v>396</v>
      </c>
      <c r="G1899" s="19"/>
      <c r="H1899" s="20">
        <v>2022</v>
      </c>
      <c r="I1899" s="19" t="s">
        <v>41</v>
      </c>
      <c r="J1899" s="19" t="e">
        <v>#N/A</v>
      </c>
      <c r="K1899" s="21" t="s">
        <v>3102</v>
      </c>
      <c r="L1899" s="22" t="s">
        <v>2906</v>
      </c>
      <c r="M1899" s="23" t="s">
        <v>2847</v>
      </c>
      <c r="N1899" s="36" t="s">
        <v>3103</v>
      </c>
      <c r="O1899" s="25" t="s">
        <v>2908</v>
      </c>
      <c r="P1899" s="26">
        <f ca="1">IFERROR(VLOOKUP(DadosViagem5[[#This Row],[Placa]],[1]BIP!A:E,5,FALSE),"")</f>
        <v>0</v>
      </c>
      <c r="Q1899" s="27">
        <f ca="1">DATEDIF(DadosViagem5[[#This Row],[BIP]],TODAY(),"D")</f>
        <v>45990</v>
      </c>
      <c r="R1899" s="28" t="str">
        <f>IFERROR(VLOOKUP(DadosViagem5[[#This Row],[Placa]],[1]DDS!B:C,2,FALSE),"Verificar cadastro")</f>
        <v>Verificar cadastro</v>
      </c>
      <c r="S1899" s="29" t="s">
        <v>48</v>
      </c>
      <c r="T1899" s="23"/>
      <c r="U1899" s="30"/>
      <c r="V1899" s="31"/>
      <c r="W1899" s="32" t="s">
        <v>384</v>
      </c>
      <c r="X1899" s="33"/>
      <c r="Y1899" s="34"/>
      <c r="Z1899" s="32"/>
      <c r="AA1899" s="20" t="s">
        <v>49</v>
      </c>
      <c r="AB1899" s="20" t="s">
        <v>49</v>
      </c>
      <c r="AC1899" s="19" t="s">
        <v>49</v>
      </c>
      <c r="AD1899" s="19" t="str">
        <f ca="1">IFERROR(DATEDIF(DadosViagem5[[#This Row],[Utimo Bip Reserva]],TODAY(),"D"),"")</f>
        <v/>
      </c>
      <c r="AE1899" s="62"/>
      <c r="AF1899" s="25"/>
      <c r="AG1899" s="36"/>
      <c r="AH1899" s="25">
        <v>45807</v>
      </c>
      <c r="AI1899" s="36" t="str">
        <f>IF(DadosViagem5[[#This Row],[Dias em manutenção ]]&lt;5,"Dentro do Prazo","Fora do Prazo")</f>
        <v>Fora do Prazo</v>
      </c>
      <c r="AJ1899" s="36" t="e">
        <v>#REF!</v>
      </c>
    </row>
    <row r="1900" spans="1:36">
      <c r="A1900" s="19" t="s">
        <v>3105</v>
      </c>
      <c r="B1900" s="20"/>
      <c r="C1900" s="19"/>
      <c r="D1900" s="19"/>
      <c r="E1900" s="19"/>
      <c r="F1900" s="19"/>
      <c r="G1900" s="19"/>
      <c r="H1900" s="19"/>
      <c r="I1900" s="19" t="s">
        <v>41</v>
      </c>
      <c r="J1900" s="19" t="e">
        <v>#N/A</v>
      </c>
      <c r="K1900" s="19" t="s">
        <v>3102</v>
      </c>
      <c r="L1900" s="22" t="s">
        <v>2906</v>
      </c>
      <c r="M1900" s="23" t="s">
        <v>2847</v>
      </c>
      <c r="N1900" s="36" t="s">
        <v>3103</v>
      </c>
      <c r="O1900" s="25" t="s">
        <v>2908</v>
      </c>
      <c r="P1900" s="26" t="str">
        <f>IFERROR(VLOOKUP(DadosViagem5[[#This Row],[Placa]],[1]BIP!A:E,5,FALSE),"")</f>
        <v/>
      </c>
      <c r="Q1900" s="27" t="e">
        <f ca="1">DATEDIF(DadosViagem5[[#This Row],[BIP]],TODAY(),"D")</f>
        <v>#VALUE!</v>
      </c>
      <c r="R1900" s="28" t="str">
        <f>IFERROR(VLOOKUP(DadosViagem5[[#This Row],[Placa]],[1]DDS!B:C,2,FALSE),"Verificar cadastro")</f>
        <v> </v>
      </c>
      <c r="S1900" s="29" t="s">
        <v>48</v>
      </c>
      <c r="T1900" s="23"/>
      <c r="U1900" s="30"/>
      <c r="V1900" s="31"/>
      <c r="W1900" s="32" t="s">
        <v>384</v>
      </c>
      <c r="X1900" s="33"/>
      <c r="Y1900" s="34"/>
      <c r="Z1900" s="32"/>
      <c r="AA1900" s="20" t="s">
        <v>49</v>
      </c>
      <c r="AB1900" s="20" t="s">
        <v>49</v>
      </c>
      <c r="AC1900" s="20" t="s">
        <v>49</v>
      </c>
      <c r="AD1900" s="20" t="s">
        <v>49</v>
      </c>
      <c r="AE1900" s="36"/>
      <c r="AF1900" s="25"/>
      <c r="AG1900" s="36"/>
      <c r="AH1900" s="25">
        <v>45807</v>
      </c>
      <c r="AI1900" s="36" t="str">
        <f>IF(DadosViagem5[[#This Row],[Dias em manutenção ]]&lt;5,"Dentro do Prazo","Fora do Prazo")</f>
        <v>Fora do Prazo</v>
      </c>
      <c r="AJ1900" s="36" t="e">
        <v>#REF!</v>
      </c>
    </row>
    <row r="1901" spans="1:36">
      <c r="A1901" s="19" t="s">
        <v>3106</v>
      </c>
      <c r="B1901" s="20"/>
      <c r="C1901" s="19"/>
      <c r="D1901" s="19"/>
      <c r="E1901" s="19"/>
      <c r="F1901" s="19"/>
      <c r="G1901" s="19"/>
      <c r="H1901" s="19"/>
      <c r="I1901" s="19" t="s">
        <v>41</v>
      </c>
      <c r="J1901" s="19" t="e">
        <v>#N/A</v>
      </c>
      <c r="K1901" s="19" t="s">
        <v>3102</v>
      </c>
      <c r="L1901" s="22" t="s">
        <v>2906</v>
      </c>
      <c r="M1901" s="23" t="s">
        <v>2847</v>
      </c>
      <c r="N1901" s="36" t="s">
        <v>3103</v>
      </c>
      <c r="O1901" s="25" t="s">
        <v>2908</v>
      </c>
      <c r="P1901" s="26" t="str">
        <f>IFERROR(VLOOKUP(DadosViagem5[[#This Row],[Placa]],[1]BIP!A:E,5,FALSE),"")</f>
        <v/>
      </c>
      <c r="Q1901" s="27" t="e">
        <f ca="1">DATEDIF(DadosViagem5[[#This Row],[BIP]],TODAY(),"D")</f>
        <v>#VALUE!</v>
      </c>
      <c r="R1901" s="28" t="str">
        <f>IFERROR(VLOOKUP(DadosViagem5[[#This Row],[Placa]],[1]DDS!B:C,2,FALSE),"Verificar cadastro")</f>
        <v>Verificar cadastro</v>
      </c>
      <c r="S1901" s="29" t="s">
        <v>48</v>
      </c>
      <c r="T1901" s="23"/>
      <c r="U1901" s="30"/>
      <c r="V1901" s="31"/>
      <c r="W1901" s="32" t="s">
        <v>384</v>
      </c>
      <c r="X1901" s="33"/>
      <c r="Y1901" s="34"/>
      <c r="Z1901" s="32"/>
      <c r="AA1901" s="20" t="s">
        <v>49</v>
      </c>
      <c r="AB1901" s="20" t="s">
        <v>49</v>
      </c>
      <c r="AC1901" s="20" t="s">
        <v>49</v>
      </c>
      <c r="AD1901" s="20" t="s">
        <v>49</v>
      </c>
      <c r="AE1901" s="36"/>
      <c r="AF1901" s="25"/>
      <c r="AG1901" s="36"/>
      <c r="AH1901" s="25">
        <v>45807</v>
      </c>
      <c r="AI1901" s="36" t="str">
        <f>IF(DadosViagem5[[#This Row],[Dias em manutenção ]]&lt;5,"Dentro do Prazo","Fora do Prazo")</f>
        <v>Fora do Prazo</v>
      </c>
      <c r="AJ1901" s="36" t="e">
        <v>#REF!</v>
      </c>
    </row>
    <row r="1902" spans="1:36">
      <c r="A1902" s="19" t="s">
        <v>3107</v>
      </c>
      <c r="B1902" s="20"/>
      <c r="C1902" s="19"/>
      <c r="D1902" s="19"/>
      <c r="E1902" s="19"/>
      <c r="F1902" s="19"/>
      <c r="G1902" s="19"/>
      <c r="H1902" s="19"/>
      <c r="I1902" s="19" t="s">
        <v>41</v>
      </c>
      <c r="J1902" s="19" t="e">
        <v>#N/A</v>
      </c>
      <c r="K1902" s="19" t="s">
        <v>3102</v>
      </c>
      <c r="L1902" s="22" t="s">
        <v>2906</v>
      </c>
      <c r="M1902" s="23" t="s">
        <v>2847</v>
      </c>
      <c r="N1902" s="36" t="s">
        <v>3103</v>
      </c>
      <c r="O1902" s="25" t="s">
        <v>2908</v>
      </c>
      <c r="P1902" s="26" t="str">
        <f>IFERROR(VLOOKUP(DadosViagem5[[#This Row],[Placa]],[1]BIP!A:E,5,FALSE),"")</f>
        <v/>
      </c>
      <c r="Q1902" s="27" t="e">
        <f ca="1">DATEDIF(DadosViagem5[[#This Row],[BIP]],TODAY(),"D")</f>
        <v>#VALUE!</v>
      </c>
      <c r="R1902" s="28" t="str">
        <f>IFERROR(VLOOKUP(DadosViagem5[[#This Row],[Placa]],[1]DDS!B:C,2,FALSE),"Verificar cadastro")</f>
        <v>Verificar cadastro</v>
      </c>
      <c r="S1902" s="29" t="s">
        <v>48</v>
      </c>
      <c r="T1902" s="23"/>
      <c r="U1902" s="30"/>
      <c r="V1902" s="31"/>
      <c r="W1902" s="32" t="s">
        <v>384</v>
      </c>
      <c r="X1902" s="33"/>
      <c r="Y1902" s="34"/>
      <c r="Z1902" s="32"/>
      <c r="AA1902" s="20" t="s">
        <v>49</v>
      </c>
      <c r="AB1902" s="20" t="s">
        <v>49</v>
      </c>
      <c r="AC1902" s="20" t="s">
        <v>49</v>
      </c>
      <c r="AD1902" s="20" t="s">
        <v>49</v>
      </c>
      <c r="AE1902" s="36"/>
      <c r="AF1902" s="25"/>
      <c r="AG1902" s="36"/>
      <c r="AH1902" s="25">
        <v>45807</v>
      </c>
      <c r="AI1902" s="36" t="str">
        <f>IF(DadosViagem5[[#This Row],[Dias em manutenção ]]&lt;5,"Dentro do Prazo","Fora do Prazo")</f>
        <v>Fora do Prazo</v>
      </c>
      <c r="AJ1902" s="36" t="e">
        <v>#REF!</v>
      </c>
    </row>
    <row r="1903" spans="1:36">
      <c r="A1903" s="19" t="s">
        <v>3108</v>
      </c>
      <c r="B1903" s="20"/>
      <c r="C1903" s="19"/>
      <c r="D1903" s="19"/>
      <c r="E1903" s="19"/>
      <c r="F1903" s="19"/>
      <c r="G1903" s="19"/>
      <c r="H1903" s="19"/>
      <c r="I1903" s="19" t="s">
        <v>41</v>
      </c>
      <c r="J1903" s="19" t="e">
        <v>#N/A</v>
      </c>
      <c r="K1903" s="19" t="s">
        <v>3102</v>
      </c>
      <c r="L1903" s="22" t="s">
        <v>2906</v>
      </c>
      <c r="M1903" s="23" t="s">
        <v>2847</v>
      </c>
      <c r="N1903" s="36" t="s">
        <v>3103</v>
      </c>
      <c r="O1903" s="25" t="s">
        <v>2908</v>
      </c>
      <c r="P1903" s="26" t="str">
        <f>IFERROR(VLOOKUP(DadosViagem5[[#This Row],[Placa]],[1]BIP!A:E,5,FALSE),"")</f>
        <v/>
      </c>
      <c r="Q1903" s="27" t="e">
        <f ca="1">DATEDIF(DadosViagem5[[#This Row],[BIP]],TODAY(),"D")</f>
        <v>#VALUE!</v>
      </c>
      <c r="R1903" s="28" t="str">
        <f>IFERROR(VLOOKUP(DadosViagem5[[#This Row],[Placa]],[1]DDS!B:C,2,FALSE),"Verificar cadastro")</f>
        <v>Verificar cadastro</v>
      </c>
      <c r="S1903" s="29" t="s">
        <v>48</v>
      </c>
      <c r="T1903" s="23"/>
      <c r="U1903" s="30"/>
      <c r="V1903" s="31"/>
      <c r="W1903" s="32" t="s">
        <v>384</v>
      </c>
      <c r="X1903" s="33"/>
      <c r="Y1903" s="34"/>
      <c r="Z1903" s="32"/>
      <c r="AA1903" s="20" t="s">
        <v>49</v>
      </c>
      <c r="AB1903" s="20" t="s">
        <v>49</v>
      </c>
      <c r="AC1903" s="20" t="s">
        <v>49</v>
      </c>
      <c r="AD1903" s="20" t="s">
        <v>49</v>
      </c>
      <c r="AE1903" s="36"/>
      <c r="AF1903" s="25"/>
      <c r="AG1903" s="36"/>
      <c r="AH1903" s="25">
        <v>45807</v>
      </c>
      <c r="AI1903" s="36" t="str">
        <f>IF(DadosViagem5[[#This Row],[Dias em manutenção ]]&lt;5,"Dentro do Prazo","Fora do Prazo")</f>
        <v>Fora do Prazo</v>
      </c>
      <c r="AJ1903" s="36" t="e">
        <v>#REF!</v>
      </c>
    </row>
    <row r="1904" spans="1:36">
      <c r="A1904" s="19" t="s">
        <v>3109</v>
      </c>
      <c r="B1904" s="20"/>
      <c r="C1904" s="19"/>
      <c r="D1904" s="19"/>
      <c r="E1904" s="19"/>
      <c r="F1904" s="19"/>
      <c r="G1904" s="19"/>
      <c r="H1904" s="19"/>
      <c r="I1904" s="19" t="s">
        <v>41</v>
      </c>
      <c r="J1904" s="19" t="e">
        <v>#N/A</v>
      </c>
      <c r="K1904" s="19" t="s">
        <v>3102</v>
      </c>
      <c r="L1904" s="22" t="s">
        <v>2906</v>
      </c>
      <c r="M1904" s="23" t="s">
        <v>2847</v>
      </c>
      <c r="N1904" s="36" t="s">
        <v>3103</v>
      </c>
      <c r="O1904" s="25" t="s">
        <v>2908</v>
      </c>
      <c r="P1904" s="26" t="str">
        <f>IFERROR(VLOOKUP(DadosViagem5[[#This Row],[Placa]],[1]BIP!A:E,5,FALSE),"")</f>
        <v/>
      </c>
      <c r="Q1904" s="27" t="e">
        <f ca="1">DATEDIF(DadosViagem5[[#This Row],[BIP]],TODAY(),"D")</f>
        <v>#VALUE!</v>
      </c>
      <c r="R1904" s="28" t="str">
        <f>IFERROR(VLOOKUP(DadosViagem5[[#This Row],[Placa]],[1]DDS!B:C,2,FALSE),"Verificar cadastro")</f>
        <v> </v>
      </c>
      <c r="S1904" s="29" t="s">
        <v>48</v>
      </c>
      <c r="T1904" s="23"/>
      <c r="U1904" s="30"/>
      <c r="V1904" s="31"/>
      <c r="W1904" s="32" t="s">
        <v>384</v>
      </c>
      <c r="X1904" s="33"/>
      <c r="Y1904" s="34"/>
      <c r="Z1904" s="32"/>
      <c r="AA1904" s="20" t="s">
        <v>49</v>
      </c>
      <c r="AB1904" s="20" t="s">
        <v>49</v>
      </c>
      <c r="AC1904" s="20" t="s">
        <v>49</v>
      </c>
      <c r="AD1904" s="20" t="s">
        <v>49</v>
      </c>
      <c r="AE1904" s="36"/>
      <c r="AF1904" s="25"/>
      <c r="AG1904" s="36"/>
      <c r="AH1904" s="25">
        <v>45807</v>
      </c>
      <c r="AI1904" s="36" t="str">
        <f>IF(DadosViagem5[[#This Row],[Dias em manutenção ]]&lt;5,"Dentro do Prazo","Fora do Prazo")</f>
        <v>Fora do Prazo</v>
      </c>
      <c r="AJ1904" s="36" t="e">
        <v>#REF!</v>
      </c>
    </row>
    <row r="1905" spans="1:36">
      <c r="A1905" s="19" t="s">
        <v>3110</v>
      </c>
      <c r="B1905" s="20"/>
      <c r="C1905" s="19"/>
      <c r="D1905" s="19"/>
      <c r="E1905" s="19"/>
      <c r="F1905" s="19"/>
      <c r="G1905" s="19"/>
      <c r="H1905" s="19"/>
      <c r="I1905" s="19" t="s">
        <v>41</v>
      </c>
      <c r="J1905" s="19" t="e">
        <v>#N/A</v>
      </c>
      <c r="K1905" s="19" t="s">
        <v>3102</v>
      </c>
      <c r="L1905" s="22" t="s">
        <v>2906</v>
      </c>
      <c r="M1905" s="23" t="s">
        <v>2847</v>
      </c>
      <c r="N1905" s="36" t="s">
        <v>3103</v>
      </c>
      <c r="O1905" s="25" t="s">
        <v>2908</v>
      </c>
      <c r="P1905" s="26" t="str">
        <f>IFERROR(VLOOKUP(DadosViagem5[[#This Row],[Placa]],[1]BIP!A:E,5,FALSE),"")</f>
        <v/>
      </c>
      <c r="Q1905" s="27" t="e">
        <f ca="1">DATEDIF(DadosViagem5[[#This Row],[BIP]],TODAY(),"D")</f>
        <v>#VALUE!</v>
      </c>
      <c r="R1905" s="28" t="str">
        <f>IFERROR(VLOOKUP(DadosViagem5[[#This Row],[Placa]],[1]DDS!B:C,2,FALSE),"Verificar cadastro")</f>
        <v> </v>
      </c>
      <c r="S1905" s="29" t="s">
        <v>48</v>
      </c>
      <c r="T1905" s="23"/>
      <c r="U1905" s="30"/>
      <c r="V1905" s="31"/>
      <c r="W1905" s="32" t="s">
        <v>384</v>
      </c>
      <c r="X1905" s="33"/>
      <c r="Y1905" s="34"/>
      <c r="Z1905" s="32"/>
      <c r="AA1905" s="20" t="s">
        <v>49</v>
      </c>
      <c r="AB1905" s="20" t="s">
        <v>49</v>
      </c>
      <c r="AC1905" s="20" t="s">
        <v>49</v>
      </c>
      <c r="AD1905" s="20" t="s">
        <v>49</v>
      </c>
      <c r="AE1905" s="36"/>
      <c r="AF1905" s="25"/>
      <c r="AG1905" s="36"/>
      <c r="AH1905" s="25">
        <v>45807</v>
      </c>
      <c r="AI1905" s="36" t="str">
        <f>IF(DadosViagem5[[#This Row],[Dias em manutenção ]]&lt;5,"Dentro do Prazo","Fora do Prazo")</f>
        <v>Fora do Prazo</v>
      </c>
      <c r="AJ1905" s="36" t="e">
        <v>#REF!</v>
      </c>
    </row>
    <row r="1906" spans="1:36">
      <c r="A1906" s="19" t="s">
        <v>3111</v>
      </c>
      <c r="B1906" s="20"/>
      <c r="C1906" s="19"/>
      <c r="D1906" s="19"/>
      <c r="E1906" s="19"/>
      <c r="F1906" s="19"/>
      <c r="G1906" s="19"/>
      <c r="H1906" s="19"/>
      <c r="I1906" s="19" t="s">
        <v>41</v>
      </c>
      <c r="J1906" s="19" t="e">
        <v>#N/A</v>
      </c>
      <c r="K1906" s="19" t="s">
        <v>3102</v>
      </c>
      <c r="L1906" s="22" t="s">
        <v>2906</v>
      </c>
      <c r="M1906" s="23" t="s">
        <v>2847</v>
      </c>
      <c r="N1906" s="36" t="s">
        <v>3103</v>
      </c>
      <c r="O1906" s="25" t="s">
        <v>2908</v>
      </c>
      <c r="P1906" s="26" t="str">
        <f>IFERROR(VLOOKUP(DadosViagem5[[#This Row],[Placa]],[1]BIP!A:E,5,FALSE),"")</f>
        <v/>
      </c>
      <c r="Q1906" s="27" t="e">
        <f ca="1">DATEDIF(DadosViagem5[[#This Row],[BIP]],TODAY(),"D")</f>
        <v>#VALUE!</v>
      </c>
      <c r="R1906" s="28" t="str">
        <f>IFERROR(VLOOKUP(DadosViagem5[[#This Row],[Placa]],[1]DDS!B:C,2,FALSE),"Verificar cadastro")</f>
        <v> </v>
      </c>
      <c r="S1906" s="29" t="s">
        <v>48</v>
      </c>
      <c r="T1906" s="23"/>
      <c r="U1906" s="30"/>
      <c r="V1906" s="31"/>
      <c r="W1906" s="32" t="s">
        <v>384</v>
      </c>
      <c r="X1906" s="33"/>
      <c r="Y1906" s="34"/>
      <c r="Z1906" s="32"/>
      <c r="AA1906" s="20" t="s">
        <v>49</v>
      </c>
      <c r="AB1906" s="20" t="s">
        <v>49</v>
      </c>
      <c r="AC1906" s="20" t="s">
        <v>49</v>
      </c>
      <c r="AD1906" s="20" t="s">
        <v>49</v>
      </c>
      <c r="AE1906" s="36"/>
      <c r="AF1906" s="25"/>
      <c r="AG1906" s="36"/>
      <c r="AH1906" s="25">
        <v>45807</v>
      </c>
      <c r="AI1906" s="36" t="str">
        <f>IF(DadosViagem5[[#This Row],[Dias em manutenção ]]&lt;5,"Dentro do Prazo","Fora do Prazo")</f>
        <v>Fora do Prazo</v>
      </c>
      <c r="AJ1906" s="36" t="e">
        <v>#REF!</v>
      </c>
    </row>
    <row r="1907" spans="1:36">
      <c r="A1907" s="19" t="s">
        <v>3112</v>
      </c>
      <c r="B1907" s="20"/>
      <c r="C1907" s="19"/>
      <c r="D1907" s="19"/>
      <c r="E1907" s="19"/>
      <c r="F1907" s="19"/>
      <c r="G1907" s="19"/>
      <c r="H1907" s="19"/>
      <c r="I1907" s="19" t="s">
        <v>41</v>
      </c>
      <c r="J1907" s="19" t="e">
        <v>#N/A</v>
      </c>
      <c r="K1907" s="19" t="s">
        <v>3102</v>
      </c>
      <c r="L1907" s="22" t="s">
        <v>2906</v>
      </c>
      <c r="M1907" s="23" t="s">
        <v>2847</v>
      </c>
      <c r="N1907" s="36" t="s">
        <v>3103</v>
      </c>
      <c r="O1907" s="25" t="s">
        <v>2908</v>
      </c>
      <c r="P1907" s="26" t="str">
        <f>IFERROR(VLOOKUP(DadosViagem5[[#This Row],[Placa]],[1]BIP!A:E,5,FALSE),"")</f>
        <v/>
      </c>
      <c r="Q1907" s="27" t="e">
        <f ca="1">DATEDIF(DadosViagem5[[#This Row],[BIP]],TODAY(),"D")</f>
        <v>#VALUE!</v>
      </c>
      <c r="R1907" s="28" t="str">
        <f>IFERROR(VLOOKUP(DadosViagem5[[#This Row],[Placa]],[1]DDS!B:C,2,FALSE),"Verificar cadastro")</f>
        <v>Verificar cadastro</v>
      </c>
      <c r="S1907" s="29" t="s">
        <v>48</v>
      </c>
      <c r="T1907" s="23"/>
      <c r="U1907" s="30"/>
      <c r="V1907" s="31"/>
      <c r="W1907" s="32" t="s">
        <v>384</v>
      </c>
      <c r="X1907" s="33"/>
      <c r="Y1907" s="34"/>
      <c r="Z1907" s="32"/>
      <c r="AA1907" s="20" t="s">
        <v>49</v>
      </c>
      <c r="AB1907" s="20" t="s">
        <v>49</v>
      </c>
      <c r="AC1907" s="20" t="s">
        <v>49</v>
      </c>
      <c r="AD1907" s="20" t="s">
        <v>49</v>
      </c>
      <c r="AE1907" s="36"/>
      <c r="AF1907" s="25"/>
      <c r="AG1907" s="36"/>
      <c r="AH1907" s="25">
        <v>45807</v>
      </c>
      <c r="AI1907" s="36" t="str">
        <f>IF(DadosViagem5[[#This Row],[Dias em manutenção ]]&lt;5,"Dentro do Prazo","Fora do Prazo")</f>
        <v>Fora do Prazo</v>
      </c>
      <c r="AJ1907" s="36" t="e">
        <v>#REF!</v>
      </c>
    </row>
    <row r="1908" spans="1:36">
      <c r="A1908" s="19" t="s">
        <v>3113</v>
      </c>
      <c r="B1908" s="20"/>
      <c r="C1908" s="19"/>
      <c r="D1908" s="19"/>
      <c r="E1908" s="19"/>
      <c r="F1908" s="19"/>
      <c r="G1908" s="19"/>
      <c r="H1908" s="19"/>
      <c r="I1908" s="19" t="s">
        <v>41</v>
      </c>
      <c r="J1908" s="19" t="e">
        <v>#N/A</v>
      </c>
      <c r="K1908" s="19" t="s">
        <v>3102</v>
      </c>
      <c r="L1908" s="22" t="s">
        <v>2906</v>
      </c>
      <c r="M1908" s="23" t="s">
        <v>2847</v>
      </c>
      <c r="N1908" s="36" t="s">
        <v>3103</v>
      </c>
      <c r="O1908" s="25" t="s">
        <v>2908</v>
      </c>
      <c r="P1908" s="26" t="str">
        <f>IFERROR(VLOOKUP(DadosViagem5[[#This Row],[Placa]],[1]BIP!A:E,5,FALSE),"")</f>
        <v/>
      </c>
      <c r="Q1908" s="27" t="e">
        <f ca="1">DATEDIF(DadosViagem5[[#This Row],[BIP]],TODAY(),"D")</f>
        <v>#VALUE!</v>
      </c>
      <c r="R1908" s="28" t="str">
        <f>IFERROR(VLOOKUP(DadosViagem5[[#This Row],[Placa]],[1]DDS!B:C,2,FALSE),"Verificar cadastro")</f>
        <v>Verificar cadastro</v>
      </c>
      <c r="S1908" s="29" t="s">
        <v>48</v>
      </c>
      <c r="T1908" s="23"/>
      <c r="U1908" s="30"/>
      <c r="V1908" s="31"/>
      <c r="W1908" s="32" t="s">
        <v>384</v>
      </c>
      <c r="X1908" s="33"/>
      <c r="Y1908" s="34"/>
      <c r="Z1908" s="32"/>
      <c r="AA1908" s="20" t="s">
        <v>49</v>
      </c>
      <c r="AB1908" s="20" t="s">
        <v>49</v>
      </c>
      <c r="AC1908" s="20" t="s">
        <v>49</v>
      </c>
      <c r="AD1908" s="20" t="s">
        <v>49</v>
      </c>
      <c r="AE1908" s="36"/>
      <c r="AF1908" s="25"/>
      <c r="AG1908" s="36"/>
      <c r="AH1908" s="25">
        <v>45807</v>
      </c>
      <c r="AI1908" s="36" t="str">
        <f>IF(DadosViagem5[[#This Row],[Dias em manutenção ]]&lt;5,"Dentro do Prazo","Fora do Prazo")</f>
        <v>Fora do Prazo</v>
      </c>
      <c r="AJ1908" s="36" t="e">
        <v>#REF!</v>
      </c>
    </row>
    <row r="1909" spans="1:36">
      <c r="A1909" s="19" t="s">
        <v>3114</v>
      </c>
      <c r="B1909" s="20"/>
      <c r="C1909" s="19"/>
      <c r="D1909" s="19"/>
      <c r="E1909" s="19"/>
      <c r="F1909" s="19"/>
      <c r="G1909" s="19"/>
      <c r="H1909" s="19"/>
      <c r="I1909" s="19" t="s">
        <v>41</v>
      </c>
      <c r="J1909" s="19" t="e">
        <v>#N/A</v>
      </c>
      <c r="K1909" s="19" t="s">
        <v>3102</v>
      </c>
      <c r="L1909" s="22" t="s">
        <v>2906</v>
      </c>
      <c r="M1909" s="23" t="s">
        <v>2847</v>
      </c>
      <c r="N1909" s="36" t="s">
        <v>3103</v>
      </c>
      <c r="O1909" s="25" t="s">
        <v>2908</v>
      </c>
      <c r="P1909" s="26" t="str">
        <f>IFERROR(VLOOKUP(DadosViagem5[[#This Row],[Placa]],[1]BIP!A:E,5,FALSE),"")</f>
        <v/>
      </c>
      <c r="Q1909" s="27" t="e">
        <f ca="1">DATEDIF(DadosViagem5[[#This Row],[BIP]],TODAY(),"D")</f>
        <v>#VALUE!</v>
      </c>
      <c r="R1909" s="28" t="str">
        <f>IFERROR(VLOOKUP(DadosViagem5[[#This Row],[Placa]],[1]DDS!B:C,2,FALSE),"Verificar cadastro")</f>
        <v>Verificar cadastro</v>
      </c>
      <c r="S1909" s="29" t="s">
        <v>48</v>
      </c>
      <c r="T1909" s="23"/>
      <c r="U1909" s="30"/>
      <c r="V1909" s="31"/>
      <c r="W1909" s="32" t="s">
        <v>384</v>
      </c>
      <c r="X1909" s="33"/>
      <c r="Y1909" s="34"/>
      <c r="Z1909" s="32"/>
      <c r="AA1909" s="20" t="s">
        <v>49</v>
      </c>
      <c r="AB1909" s="20" t="s">
        <v>49</v>
      </c>
      <c r="AC1909" s="20" t="s">
        <v>49</v>
      </c>
      <c r="AD1909" s="20" t="s">
        <v>49</v>
      </c>
      <c r="AE1909" s="36"/>
      <c r="AF1909" s="25"/>
      <c r="AG1909" s="36"/>
      <c r="AH1909" s="25">
        <v>45807</v>
      </c>
      <c r="AI1909" s="36" t="str">
        <f>IF(DadosViagem5[[#This Row],[Dias em manutenção ]]&lt;5,"Dentro do Prazo","Fora do Prazo")</f>
        <v>Fora do Prazo</v>
      </c>
      <c r="AJ1909" s="36" t="e">
        <v>#REF!</v>
      </c>
    </row>
    <row r="1910" spans="1:36">
      <c r="A1910" s="19" t="s">
        <v>3115</v>
      </c>
      <c r="B1910" s="20"/>
      <c r="C1910" s="19"/>
      <c r="D1910" s="19"/>
      <c r="E1910" s="19"/>
      <c r="F1910" s="19"/>
      <c r="G1910" s="19"/>
      <c r="H1910" s="19"/>
      <c r="I1910" s="19" t="s">
        <v>41</v>
      </c>
      <c r="J1910" s="19" t="e">
        <v>#N/A</v>
      </c>
      <c r="K1910" s="19" t="s">
        <v>3102</v>
      </c>
      <c r="L1910" s="22" t="s">
        <v>2906</v>
      </c>
      <c r="M1910" s="23" t="s">
        <v>2847</v>
      </c>
      <c r="N1910" s="36" t="s">
        <v>3103</v>
      </c>
      <c r="O1910" s="25" t="s">
        <v>2908</v>
      </c>
      <c r="P1910" s="26" t="str">
        <f>IFERROR(VLOOKUP(DadosViagem5[[#This Row],[Placa]],[1]BIP!A:E,5,FALSE),"")</f>
        <v/>
      </c>
      <c r="Q1910" s="27" t="e">
        <f ca="1">DATEDIF(DadosViagem5[[#This Row],[BIP]],TODAY(),"D")</f>
        <v>#VALUE!</v>
      </c>
      <c r="R1910" s="28" t="str">
        <f>IFERROR(VLOOKUP(DadosViagem5[[#This Row],[Placa]],[1]DDS!B:C,2,FALSE),"Verificar cadastro")</f>
        <v>Verificar cadastro</v>
      </c>
      <c r="S1910" s="29" t="s">
        <v>48</v>
      </c>
      <c r="T1910" s="23"/>
      <c r="U1910" s="30"/>
      <c r="V1910" s="31"/>
      <c r="W1910" s="32" t="s">
        <v>384</v>
      </c>
      <c r="X1910" s="33"/>
      <c r="Y1910" s="34"/>
      <c r="Z1910" s="32"/>
      <c r="AA1910" s="20" t="s">
        <v>49</v>
      </c>
      <c r="AB1910" s="20" t="s">
        <v>49</v>
      </c>
      <c r="AC1910" s="20" t="s">
        <v>49</v>
      </c>
      <c r="AD1910" s="20" t="s">
        <v>49</v>
      </c>
      <c r="AE1910" s="36"/>
      <c r="AF1910" s="25"/>
      <c r="AG1910" s="36"/>
      <c r="AH1910" s="25">
        <v>45807</v>
      </c>
      <c r="AI1910" s="36" t="str">
        <f>IF(DadosViagem5[[#This Row],[Dias em manutenção ]]&lt;5,"Dentro do Prazo","Fora do Prazo")</f>
        <v>Fora do Prazo</v>
      </c>
      <c r="AJ1910" s="36" t="e">
        <v>#REF!</v>
      </c>
    </row>
    <row r="1911" spans="1:36">
      <c r="A1911" s="19" t="s">
        <v>3116</v>
      </c>
      <c r="B1911" s="20"/>
      <c r="C1911" s="19"/>
      <c r="D1911" s="19"/>
      <c r="E1911" s="19"/>
      <c r="F1911" s="19"/>
      <c r="G1911" s="19"/>
      <c r="H1911" s="19"/>
      <c r="I1911" s="19" t="s">
        <v>41</v>
      </c>
      <c r="J1911" s="19" t="e">
        <v>#N/A</v>
      </c>
      <c r="K1911" s="19" t="s">
        <v>3102</v>
      </c>
      <c r="L1911" s="22" t="s">
        <v>2906</v>
      </c>
      <c r="M1911" s="23" t="s">
        <v>2847</v>
      </c>
      <c r="N1911" s="36" t="s">
        <v>3103</v>
      </c>
      <c r="O1911" s="25" t="s">
        <v>2908</v>
      </c>
      <c r="P1911" s="26" t="str">
        <f>IFERROR(VLOOKUP(DadosViagem5[[#This Row],[Placa]],[1]BIP!A:E,5,FALSE),"")</f>
        <v/>
      </c>
      <c r="Q1911" s="27" t="e">
        <f ca="1">DATEDIF(DadosViagem5[[#This Row],[BIP]],TODAY(),"D")</f>
        <v>#VALUE!</v>
      </c>
      <c r="R1911" s="28" t="str">
        <f>IFERROR(VLOOKUP(DadosViagem5[[#This Row],[Placa]],[1]DDS!B:C,2,FALSE),"Verificar cadastro")</f>
        <v>Verificar cadastro</v>
      </c>
      <c r="S1911" s="29" t="s">
        <v>48</v>
      </c>
      <c r="T1911" s="23"/>
      <c r="U1911" s="30"/>
      <c r="V1911" s="31"/>
      <c r="W1911" s="32" t="s">
        <v>384</v>
      </c>
      <c r="X1911" s="33"/>
      <c r="Y1911" s="34"/>
      <c r="Z1911" s="32"/>
      <c r="AA1911" s="20" t="s">
        <v>49</v>
      </c>
      <c r="AB1911" s="20" t="s">
        <v>49</v>
      </c>
      <c r="AC1911" s="20" t="s">
        <v>49</v>
      </c>
      <c r="AD1911" s="20" t="s">
        <v>49</v>
      </c>
      <c r="AE1911" s="36"/>
      <c r="AF1911" s="25"/>
      <c r="AG1911" s="36"/>
      <c r="AH1911" s="25">
        <v>45807</v>
      </c>
      <c r="AI1911" s="36" t="str">
        <f>IF(DadosViagem5[[#This Row],[Dias em manutenção ]]&lt;5,"Dentro do Prazo","Fora do Prazo")</f>
        <v>Fora do Prazo</v>
      </c>
      <c r="AJ1911" s="36" t="e">
        <v>#REF!</v>
      </c>
    </row>
    <row r="1912" spans="1:36">
      <c r="A1912" s="19" t="s">
        <v>3117</v>
      </c>
      <c r="B1912" s="20"/>
      <c r="C1912" s="19"/>
      <c r="D1912" s="19"/>
      <c r="E1912" s="19"/>
      <c r="F1912" s="19"/>
      <c r="G1912" s="19"/>
      <c r="H1912" s="19"/>
      <c r="I1912" s="19" t="s">
        <v>41</v>
      </c>
      <c r="J1912" s="19" t="e">
        <v>#N/A</v>
      </c>
      <c r="K1912" s="19" t="s">
        <v>3102</v>
      </c>
      <c r="L1912" s="22" t="s">
        <v>2906</v>
      </c>
      <c r="M1912" s="23" t="s">
        <v>2847</v>
      </c>
      <c r="N1912" s="36" t="s">
        <v>3103</v>
      </c>
      <c r="O1912" s="25" t="s">
        <v>2908</v>
      </c>
      <c r="P1912" s="26" t="str">
        <f>IFERROR(VLOOKUP(DadosViagem5[[#This Row],[Placa]],[1]BIP!A:E,5,FALSE),"")</f>
        <v/>
      </c>
      <c r="Q1912" s="27" t="e">
        <f ca="1">DATEDIF(DadosViagem5[[#This Row],[BIP]],TODAY(),"D")</f>
        <v>#VALUE!</v>
      </c>
      <c r="R1912" s="28" t="str">
        <f>IFERROR(VLOOKUP(DadosViagem5[[#This Row],[Placa]],[1]DDS!B:C,2,FALSE),"Verificar cadastro")</f>
        <v> </v>
      </c>
      <c r="S1912" s="29" t="s">
        <v>48</v>
      </c>
      <c r="T1912" s="23"/>
      <c r="U1912" s="30"/>
      <c r="V1912" s="31"/>
      <c r="W1912" s="32" t="s">
        <v>384</v>
      </c>
      <c r="X1912" s="33"/>
      <c r="Y1912" s="34"/>
      <c r="Z1912" s="32"/>
      <c r="AA1912" s="20" t="s">
        <v>49</v>
      </c>
      <c r="AB1912" s="20" t="s">
        <v>49</v>
      </c>
      <c r="AC1912" s="20" t="s">
        <v>49</v>
      </c>
      <c r="AD1912" s="20" t="s">
        <v>49</v>
      </c>
      <c r="AE1912" s="36"/>
      <c r="AF1912" s="25"/>
      <c r="AG1912" s="36"/>
      <c r="AH1912" s="25">
        <v>45807</v>
      </c>
      <c r="AI1912" s="36" t="str">
        <f>IF(DadosViagem5[[#This Row],[Dias em manutenção ]]&lt;5,"Dentro do Prazo","Fora do Prazo")</f>
        <v>Fora do Prazo</v>
      </c>
      <c r="AJ1912" s="36" t="e">
        <v>#REF!</v>
      </c>
    </row>
    <row r="1913" spans="1:36">
      <c r="A1913" s="19" t="s">
        <v>3118</v>
      </c>
      <c r="B1913" s="20"/>
      <c r="C1913" s="19"/>
      <c r="D1913" s="19"/>
      <c r="E1913" s="19"/>
      <c r="F1913" s="19"/>
      <c r="G1913" s="19"/>
      <c r="H1913" s="19"/>
      <c r="I1913" s="19" t="s">
        <v>41</v>
      </c>
      <c r="J1913" s="19" t="e">
        <v>#N/A</v>
      </c>
      <c r="K1913" s="19" t="s">
        <v>3102</v>
      </c>
      <c r="L1913" s="22" t="s">
        <v>2906</v>
      </c>
      <c r="M1913" s="23" t="s">
        <v>2847</v>
      </c>
      <c r="N1913" s="36" t="s">
        <v>3103</v>
      </c>
      <c r="O1913" s="25" t="s">
        <v>2908</v>
      </c>
      <c r="P1913" s="26" t="str">
        <f>IFERROR(VLOOKUP(DadosViagem5[[#This Row],[Placa]],[1]BIP!A:E,5,FALSE),"")</f>
        <v/>
      </c>
      <c r="Q1913" s="27" t="e">
        <f ca="1">DATEDIF(DadosViagem5[[#This Row],[BIP]],TODAY(),"D")</f>
        <v>#VALUE!</v>
      </c>
      <c r="R1913" s="28" t="str">
        <f>IFERROR(VLOOKUP(DadosViagem5[[#This Row],[Placa]],[1]DDS!B:C,2,FALSE),"Verificar cadastro")</f>
        <v> </v>
      </c>
      <c r="S1913" s="29" t="s">
        <v>48</v>
      </c>
      <c r="T1913" s="23"/>
      <c r="U1913" s="30"/>
      <c r="V1913" s="31"/>
      <c r="W1913" s="32" t="s">
        <v>384</v>
      </c>
      <c r="X1913" s="33"/>
      <c r="Y1913" s="34"/>
      <c r="Z1913" s="32"/>
      <c r="AA1913" s="20" t="s">
        <v>49</v>
      </c>
      <c r="AB1913" s="20" t="s">
        <v>49</v>
      </c>
      <c r="AC1913" s="20" t="s">
        <v>49</v>
      </c>
      <c r="AD1913" s="20" t="s">
        <v>49</v>
      </c>
      <c r="AE1913" s="36"/>
      <c r="AF1913" s="25"/>
      <c r="AG1913" s="36"/>
      <c r="AH1913" s="25">
        <v>45807</v>
      </c>
      <c r="AI1913" s="36" t="str">
        <f>IF(DadosViagem5[[#This Row],[Dias em manutenção ]]&lt;5,"Dentro do Prazo","Fora do Prazo")</f>
        <v>Fora do Prazo</v>
      </c>
      <c r="AJ1913" s="36" t="e">
        <v>#REF!</v>
      </c>
    </row>
    <row r="1914" spans="1:36">
      <c r="A1914" s="19" t="s">
        <v>3119</v>
      </c>
      <c r="B1914" s="20"/>
      <c r="C1914" s="19"/>
      <c r="D1914" s="19"/>
      <c r="E1914" s="19"/>
      <c r="F1914" s="19"/>
      <c r="G1914" s="19"/>
      <c r="H1914" s="19"/>
      <c r="I1914" s="19" t="s">
        <v>41</v>
      </c>
      <c r="J1914" s="19" t="e">
        <v>#N/A</v>
      </c>
      <c r="K1914" s="19" t="s">
        <v>3102</v>
      </c>
      <c r="L1914" s="22" t="s">
        <v>2906</v>
      </c>
      <c r="M1914" s="23" t="s">
        <v>2847</v>
      </c>
      <c r="N1914" s="36" t="s">
        <v>3103</v>
      </c>
      <c r="O1914" s="25" t="s">
        <v>2908</v>
      </c>
      <c r="P1914" s="26" t="str">
        <f>IFERROR(VLOOKUP(DadosViagem5[[#This Row],[Placa]],[1]BIP!A:E,5,FALSE),"")</f>
        <v/>
      </c>
      <c r="Q1914" s="27" t="e">
        <f ca="1">DATEDIF(DadosViagem5[[#This Row],[BIP]],TODAY(),"D")</f>
        <v>#VALUE!</v>
      </c>
      <c r="R1914" s="28" t="str">
        <f>IFERROR(VLOOKUP(DadosViagem5[[#This Row],[Placa]],[1]DDS!B:C,2,FALSE),"Verificar cadastro")</f>
        <v>Verificar cadastro</v>
      </c>
      <c r="S1914" s="29" t="s">
        <v>48</v>
      </c>
      <c r="T1914" s="23"/>
      <c r="U1914" s="30"/>
      <c r="V1914" s="31"/>
      <c r="W1914" s="32" t="s">
        <v>384</v>
      </c>
      <c r="X1914" s="33"/>
      <c r="Y1914" s="34"/>
      <c r="Z1914" s="32"/>
      <c r="AA1914" s="20" t="s">
        <v>49</v>
      </c>
      <c r="AB1914" s="20" t="s">
        <v>49</v>
      </c>
      <c r="AC1914" s="20" t="s">
        <v>49</v>
      </c>
      <c r="AD1914" s="20" t="s">
        <v>49</v>
      </c>
      <c r="AE1914" s="24"/>
      <c r="AF1914" s="40"/>
      <c r="AG1914" s="24"/>
      <c r="AH1914" s="40">
        <v>45807</v>
      </c>
      <c r="AI1914" s="36" t="str">
        <f>IF(DadosViagem5[[#This Row],[Dias em manutenção ]]&lt;5,"Dentro do Prazo","Fora do Prazo")</f>
        <v>Fora do Prazo</v>
      </c>
      <c r="AJ1914" s="68" t="e">
        <v>#REF!</v>
      </c>
    </row>
    <row r="1915" spans="1:36">
      <c r="A1915" s="19" t="s">
        <v>3120</v>
      </c>
      <c r="B1915" s="20"/>
      <c r="C1915" s="19"/>
      <c r="D1915" s="19"/>
      <c r="E1915" s="19"/>
      <c r="F1915" s="19"/>
      <c r="G1915" s="19"/>
      <c r="H1915" s="19"/>
      <c r="I1915" s="19" t="s">
        <v>41</v>
      </c>
      <c r="J1915" s="19" t="e">
        <v>#N/A</v>
      </c>
      <c r="K1915" s="19" t="s">
        <v>3102</v>
      </c>
      <c r="L1915" s="22" t="s">
        <v>2906</v>
      </c>
      <c r="M1915" s="23" t="s">
        <v>2847</v>
      </c>
      <c r="N1915" s="36" t="s">
        <v>3103</v>
      </c>
      <c r="O1915" s="25" t="s">
        <v>2908</v>
      </c>
      <c r="P1915" s="26" t="str">
        <f>IFERROR(VLOOKUP(DadosViagem5[[#This Row],[Placa]],[1]BIP!A:E,5,FALSE),"")</f>
        <v/>
      </c>
      <c r="Q1915" s="27" t="e">
        <f ca="1">DATEDIF(DadosViagem5[[#This Row],[BIP]],TODAY(),"D")</f>
        <v>#VALUE!</v>
      </c>
      <c r="R1915" s="28" t="str">
        <f>IFERROR(VLOOKUP(DadosViagem5[[#This Row],[Placa]],[1]DDS!B:C,2,FALSE),"Verificar cadastro")</f>
        <v> </v>
      </c>
      <c r="S1915" s="29" t="s">
        <v>48</v>
      </c>
      <c r="T1915" s="23"/>
      <c r="U1915" s="30"/>
      <c r="V1915" s="31"/>
      <c r="W1915" s="32" t="s">
        <v>384</v>
      </c>
      <c r="X1915" s="33"/>
      <c r="Y1915" s="34"/>
      <c r="Z1915" s="32"/>
      <c r="AA1915" s="20" t="s">
        <v>49</v>
      </c>
      <c r="AB1915" s="20" t="s">
        <v>49</v>
      </c>
      <c r="AC1915" s="20" t="s">
        <v>49</v>
      </c>
      <c r="AD1915" s="20" t="s">
        <v>49</v>
      </c>
      <c r="AE1915" s="36"/>
      <c r="AF1915" s="25"/>
      <c r="AG1915" s="36"/>
      <c r="AH1915" s="25">
        <v>45807</v>
      </c>
      <c r="AI1915" s="36" t="str">
        <f>IF(DadosViagem5[[#This Row],[Dias em manutenção ]]&lt;5,"Dentro do Prazo","Fora do Prazo")</f>
        <v>Fora do Prazo</v>
      </c>
      <c r="AJ1915" s="36" t="e">
        <v>#REF!</v>
      </c>
    </row>
    <row r="1916" spans="1:36">
      <c r="A1916" s="19" t="s">
        <v>3121</v>
      </c>
      <c r="B1916" s="20"/>
      <c r="C1916" s="37"/>
      <c r="D1916" s="37"/>
      <c r="E1916" s="37"/>
      <c r="F1916" s="37"/>
      <c r="G1916" s="37"/>
      <c r="H1916" s="19"/>
      <c r="I1916" s="75" t="s">
        <v>41</v>
      </c>
      <c r="J1916" s="75" t="e">
        <v>#N/A</v>
      </c>
      <c r="K1916" s="75" t="s">
        <v>3102</v>
      </c>
      <c r="L1916" s="89" t="s">
        <v>2906</v>
      </c>
      <c r="M1916" s="23" t="s">
        <v>2847</v>
      </c>
      <c r="N1916" s="36" t="s">
        <v>3103</v>
      </c>
      <c r="O1916" s="25" t="s">
        <v>2908</v>
      </c>
      <c r="P1916" s="26" t="str">
        <f>IFERROR(VLOOKUP(DadosViagem5[[#This Row],[Placa]],[1]BIP!A:E,5,FALSE),"")</f>
        <v/>
      </c>
      <c r="Q1916" s="27" t="e">
        <f ca="1">DATEDIF(DadosViagem5[[#This Row],[BIP]],TODAY(),"D")</f>
        <v>#VALUE!</v>
      </c>
      <c r="R1916" s="28" t="str">
        <f>IFERROR(VLOOKUP(DadosViagem5[[#This Row],[Placa]],[1]DDS!B:C,2,FALSE),"Verificar cadastro")</f>
        <v> </v>
      </c>
      <c r="S1916" s="29" t="s">
        <v>48</v>
      </c>
      <c r="T1916" s="23"/>
      <c r="U1916" s="30"/>
      <c r="V1916" s="31"/>
      <c r="W1916" s="32" t="s">
        <v>384</v>
      </c>
      <c r="X1916" s="33"/>
      <c r="Y1916" s="34"/>
      <c r="Z1916" s="32"/>
      <c r="AA1916" s="20" t="s">
        <v>49</v>
      </c>
      <c r="AB1916" s="20" t="s">
        <v>49</v>
      </c>
      <c r="AC1916" s="20" t="s">
        <v>49</v>
      </c>
      <c r="AD1916" s="20" t="s">
        <v>49</v>
      </c>
      <c r="AE1916" s="36"/>
      <c r="AF1916" s="25"/>
      <c r="AG1916" s="36"/>
      <c r="AH1916" s="25">
        <v>45807</v>
      </c>
      <c r="AI1916" s="36" t="str">
        <f>IF(DadosViagem5[[#This Row],[Dias em manutenção ]]&lt;5,"Dentro do Prazo","Fora do Prazo")</f>
        <v>Fora do Prazo</v>
      </c>
      <c r="AJ1916" s="36" t="e">
        <v>#REF!</v>
      </c>
    </row>
    <row r="1917" spans="1:36">
      <c r="A1917" s="19" t="s">
        <v>3122</v>
      </c>
      <c r="B1917" s="20"/>
      <c r="C1917" s="19"/>
      <c r="D1917" s="19"/>
      <c r="E1917" s="19"/>
      <c r="F1917" s="37"/>
      <c r="G1917" s="37"/>
      <c r="H1917" s="19"/>
      <c r="I1917" s="37" t="s">
        <v>41</v>
      </c>
      <c r="J1917" s="37" t="e">
        <v>#N/A</v>
      </c>
      <c r="K1917" s="37" t="s">
        <v>3102</v>
      </c>
      <c r="L1917" s="89" t="s">
        <v>2906</v>
      </c>
      <c r="M1917" s="23" t="s">
        <v>2847</v>
      </c>
      <c r="N1917" s="24" t="s">
        <v>3103</v>
      </c>
      <c r="O1917" s="40" t="s">
        <v>2908</v>
      </c>
      <c r="P1917" s="26" t="str">
        <f>IFERROR(VLOOKUP(DadosViagem5[[#This Row],[Placa]],[1]BIP!A:E,5,FALSE),"")</f>
        <v/>
      </c>
      <c r="Q1917" s="27" t="e">
        <f ca="1">DATEDIF(DadosViagem5[[#This Row],[BIP]],TODAY(),"D")</f>
        <v>#VALUE!</v>
      </c>
      <c r="R1917" s="28" t="str">
        <f>IFERROR(VLOOKUP(DadosViagem5[[#This Row],[Placa]],[1]DDS!B:C,2,FALSE),"Verificar cadastro")</f>
        <v>Verificar cadastro</v>
      </c>
      <c r="S1917" s="29" t="s">
        <v>48</v>
      </c>
      <c r="T1917" s="23"/>
      <c r="U1917" s="30"/>
      <c r="V1917" s="31"/>
      <c r="W1917" s="32" t="s">
        <v>384</v>
      </c>
      <c r="X1917" s="33"/>
      <c r="Y1917" s="34"/>
      <c r="Z1917" s="43"/>
      <c r="AA1917" s="135" t="s">
        <v>49</v>
      </c>
      <c r="AB1917" s="135" t="s">
        <v>49</v>
      </c>
      <c r="AC1917" s="135" t="s">
        <v>49</v>
      </c>
      <c r="AD1917" s="135" t="s">
        <v>49</v>
      </c>
      <c r="AE1917" s="24"/>
      <c r="AF1917" s="40"/>
      <c r="AG1917" s="24"/>
      <c r="AH1917" s="40">
        <v>45807</v>
      </c>
      <c r="AI1917" s="24" t="str">
        <f>IF(DadosViagem5[[#This Row],[Dias em manutenção ]]&lt;5,"Dentro do Prazo","Fora do Prazo")</f>
        <v>Fora do Prazo</v>
      </c>
      <c r="AJ1917" s="68" t="e">
        <v>#REF!</v>
      </c>
    </row>
    <row r="1918" spans="1:36">
      <c r="A1918" s="19" t="s">
        <v>3123</v>
      </c>
      <c r="B1918" s="20"/>
      <c r="C1918" s="19"/>
      <c r="D1918" s="19"/>
      <c r="E1918" s="19"/>
      <c r="F1918" s="37"/>
      <c r="G1918" s="37"/>
      <c r="H1918" s="19"/>
      <c r="I1918" s="37" t="s">
        <v>41</v>
      </c>
      <c r="J1918" s="19" t="e">
        <v>#N/A</v>
      </c>
      <c r="K1918" s="37" t="s">
        <v>3102</v>
      </c>
      <c r="L1918" s="39" t="s">
        <v>2906</v>
      </c>
      <c r="M1918" s="23" t="s">
        <v>2847</v>
      </c>
      <c r="N1918" s="24" t="s">
        <v>3103</v>
      </c>
      <c r="O1918" s="40" t="s">
        <v>2908</v>
      </c>
      <c r="P1918" s="26" t="str">
        <f>IFERROR(VLOOKUP(DadosViagem5[[#This Row],[Placa]],[1]BIP!A:E,5,FALSE),"")</f>
        <v/>
      </c>
      <c r="Q1918" s="27" t="e">
        <f ca="1">DATEDIF(DadosViagem5[[#This Row],[BIP]],TODAY(),"D")</f>
        <v>#VALUE!</v>
      </c>
      <c r="R1918" s="28" t="str">
        <f>IFERROR(VLOOKUP(DadosViagem5[[#This Row],[Placa]],[1]DDS!B:C,2,FALSE),"Verificar cadastro")</f>
        <v> </v>
      </c>
      <c r="S1918" s="29" t="s">
        <v>48</v>
      </c>
      <c r="T1918" s="23"/>
      <c r="U1918" s="30"/>
      <c r="V1918" s="31"/>
      <c r="W1918" s="32" t="s">
        <v>384</v>
      </c>
      <c r="X1918" s="33"/>
      <c r="Y1918" s="34"/>
      <c r="Z1918" s="43"/>
      <c r="AA1918" s="135" t="s">
        <v>49</v>
      </c>
      <c r="AB1918" s="135" t="s">
        <v>49</v>
      </c>
      <c r="AC1918" s="135" t="s">
        <v>49</v>
      </c>
      <c r="AD1918" s="135" t="s">
        <v>49</v>
      </c>
      <c r="AE1918" s="24"/>
      <c r="AF1918" s="40"/>
      <c r="AG1918" s="24"/>
      <c r="AH1918" s="40">
        <v>45807</v>
      </c>
      <c r="AI1918" s="24" t="str">
        <f>IF(DadosViagem5[[#This Row],[Dias em manutenção ]]&lt;5,"Dentro do Prazo","Fora do Prazo")</f>
        <v>Fora do Prazo</v>
      </c>
      <c r="AJ1918" s="68" t="e">
        <v>#REF!</v>
      </c>
    </row>
    <row r="1919" spans="1:36">
      <c r="A1919" s="19" t="s">
        <v>3124</v>
      </c>
      <c r="B1919" s="20"/>
      <c r="C1919" s="19"/>
      <c r="D1919" s="19"/>
      <c r="E1919" s="19"/>
      <c r="F1919" s="37"/>
      <c r="G1919" s="37"/>
      <c r="H1919" s="19"/>
      <c r="I1919" s="37" t="s">
        <v>41</v>
      </c>
      <c r="J1919" s="19" t="e">
        <v>#N/A</v>
      </c>
      <c r="K1919" s="37" t="s">
        <v>3102</v>
      </c>
      <c r="L1919" s="39" t="s">
        <v>2906</v>
      </c>
      <c r="M1919" s="23" t="s">
        <v>2847</v>
      </c>
      <c r="N1919" s="24" t="s">
        <v>3103</v>
      </c>
      <c r="O1919" s="40" t="s">
        <v>2908</v>
      </c>
      <c r="P1919" s="26" t="str">
        <f>IFERROR(VLOOKUP(DadosViagem5[[#This Row],[Placa]],[1]BIP!A:E,5,FALSE),"")</f>
        <v/>
      </c>
      <c r="Q1919" s="27" t="e">
        <f ca="1">DATEDIF(DadosViagem5[[#This Row],[BIP]],TODAY(),"D")</f>
        <v>#VALUE!</v>
      </c>
      <c r="R1919" s="28" t="str">
        <f>IFERROR(VLOOKUP(DadosViagem5[[#This Row],[Placa]],[1]DDS!B:C,2,FALSE),"Verificar cadastro")</f>
        <v> </v>
      </c>
      <c r="S1919" s="29" t="s">
        <v>48</v>
      </c>
      <c r="T1919" s="23"/>
      <c r="U1919" s="30"/>
      <c r="V1919" s="31"/>
      <c r="W1919" s="32" t="s">
        <v>384</v>
      </c>
      <c r="X1919" s="33"/>
      <c r="Y1919" s="34"/>
      <c r="Z1919" s="43"/>
      <c r="AA1919" s="135" t="s">
        <v>49</v>
      </c>
      <c r="AB1919" s="135" t="s">
        <v>49</v>
      </c>
      <c r="AC1919" s="135" t="s">
        <v>49</v>
      </c>
      <c r="AD1919" s="135" t="s">
        <v>49</v>
      </c>
      <c r="AE1919" s="24"/>
      <c r="AF1919" s="40"/>
      <c r="AG1919" s="24"/>
      <c r="AH1919" s="40">
        <v>45807</v>
      </c>
      <c r="AI1919" s="24" t="str">
        <f>IF(DadosViagem5[[#This Row],[Dias em manutenção ]]&lt;5,"Dentro do Prazo","Fora do Prazo")</f>
        <v>Fora do Prazo</v>
      </c>
      <c r="AJ1919" s="68" t="e">
        <v>#REF!</v>
      </c>
    </row>
    <row r="1920" spans="1:36">
      <c r="A1920" s="19" t="s">
        <v>3125</v>
      </c>
      <c r="B1920" s="20"/>
      <c r="C1920" s="19"/>
      <c r="D1920" s="19"/>
      <c r="E1920" s="19"/>
      <c r="F1920" s="37"/>
      <c r="G1920" s="37"/>
      <c r="H1920" s="19"/>
      <c r="I1920" s="37" t="s">
        <v>41</v>
      </c>
      <c r="J1920" s="19" t="e">
        <v>#N/A</v>
      </c>
      <c r="K1920" s="37" t="s">
        <v>3102</v>
      </c>
      <c r="L1920" s="39" t="s">
        <v>2906</v>
      </c>
      <c r="M1920" s="23" t="s">
        <v>2847</v>
      </c>
      <c r="N1920" s="24" t="s">
        <v>3103</v>
      </c>
      <c r="O1920" s="40" t="s">
        <v>2908</v>
      </c>
      <c r="P1920" s="26" t="str">
        <f>IFERROR(VLOOKUP(DadosViagem5[[#This Row],[Placa]],[1]BIP!A:E,5,FALSE),"")</f>
        <v/>
      </c>
      <c r="Q1920" s="27" t="e">
        <f ca="1">DATEDIF(DadosViagem5[[#This Row],[BIP]],TODAY(),"D")</f>
        <v>#VALUE!</v>
      </c>
      <c r="R1920" s="28" t="str">
        <f>IFERROR(VLOOKUP(DadosViagem5[[#This Row],[Placa]],[1]DDS!B:C,2,FALSE),"Verificar cadastro")</f>
        <v> </v>
      </c>
      <c r="S1920" s="29" t="s">
        <v>48</v>
      </c>
      <c r="T1920" s="23"/>
      <c r="U1920" s="30"/>
      <c r="V1920" s="31"/>
      <c r="W1920" s="32" t="s">
        <v>384</v>
      </c>
      <c r="X1920" s="33"/>
      <c r="Y1920" s="34"/>
      <c r="Z1920" s="43"/>
      <c r="AA1920" s="135" t="s">
        <v>49</v>
      </c>
      <c r="AB1920" s="135" t="s">
        <v>49</v>
      </c>
      <c r="AC1920" s="135" t="s">
        <v>49</v>
      </c>
      <c r="AD1920" s="135" t="s">
        <v>49</v>
      </c>
      <c r="AE1920" s="24"/>
      <c r="AF1920" s="40"/>
      <c r="AG1920" s="24"/>
      <c r="AH1920" s="40">
        <v>45807</v>
      </c>
      <c r="AI1920" s="24" t="str">
        <f>IF(DadosViagem5[[#This Row],[Dias em manutenção ]]&lt;5,"Dentro do Prazo","Fora do Prazo")</f>
        <v>Fora do Prazo</v>
      </c>
      <c r="AJ1920" s="68" t="e">
        <v>#REF!</v>
      </c>
    </row>
    <row r="1921" spans="1:36">
      <c r="A1921" s="19" t="s">
        <v>3126</v>
      </c>
      <c r="B1921" s="20"/>
      <c r="C1921" s="19"/>
      <c r="D1921" s="19"/>
      <c r="E1921" s="19"/>
      <c r="F1921" s="37"/>
      <c r="G1921" s="37"/>
      <c r="H1921" s="19"/>
      <c r="I1921" s="37" t="s">
        <v>41</v>
      </c>
      <c r="J1921" s="19" t="e">
        <v>#N/A</v>
      </c>
      <c r="K1921" s="37" t="s">
        <v>3102</v>
      </c>
      <c r="L1921" s="39" t="s">
        <v>2906</v>
      </c>
      <c r="M1921" s="23" t="s">
        <v>2847</v>
      </c>
      <c r="N1921" s="24" t="s">
        <v>3103</v>
      </c>
      <c r="O1921" s="40" t="s">
        <v>2908</v>
      </c>
      <c r="P1921" s="26" t="str">
        <f>IFERROR(VLOOKUP(DadosViagem5[[#This Row],[Placa]],[1]BIP!A:E,5,FALSE),"")</f>
        <v/>
      </c>
      <c r="Q1921" s="27" t="e">
        <f ca="1">DATEDIF(DadosViagem5[[#This Row],[BIP]],TODAY(),"D")</f>
        <v>#VALUE!</v>
      </c>
      <c r="R1921" s="28" t="str">
        <f>IFERROR(VLOOKUP(DadosViagem5[[#This Row],[Placa]],[1]DDS!B:C,2,FALSE),"Verificar cadastro")</f>
        <v> </v>
      </c>
      <c r="S1921" s="29" t="s">
        <v>48</v>
      </c>
      <c r="T1921" s="23"/>
      <c r="U1921" s="30"/>
      <c r="V1921" s="31"/>
      <c r="W1921" s="32" t="s">
        <v>384</v>
      </c>
      <c r="X1921" s="33"/>
      <c r="Y1921" s="34"/>
      <c r="Z1921" s="43"/>
      <c r="AA1921" s="135" t="s">
        <v>49</v>
      </c>
      <c r="AB1921" s="135" t="s">
        <v>49</v>
      </c>
      <c r="AC1921" s="135" t="s">
        <v>49</v>
      </c>
      <c r="AD1921" s="135" t="s">
        <v>49</v>
      </c>
      <c r="AE1921" s="24"/>
      <c r="AF1921" s="40"/>
      <c r="AG1921" s="24"/>
      <c r="AH1921" s="40">
        <v>45807</v>
      </c>
      <c r="AI1921" s="24" t="str">
        <f>IF(DadosViagem5[[#This Row],[Dias em manutenção ]]&lt;5,"Dentro do Prazo","Fora do Prazo")</f>
        <v>Fora do Prazo</v>
      </c>
      <c r="AJ1921" s="68" t="e">
        <v>#REF!</v>
      </c>
    </row>
    <row r="1922" spans="1:36">
      <c r="A1922" s="19" t="s">
        <v>3127</v>
      </c>
      <c r="B1922" s="20"/>
      <c r="C1922" s="19"/>
      <c r="D1922" s="19"/>
      <c r="E1922" s="19"/>
      <c r="F1922" s="37"/>
      <c r="G1922" s="37"/>
      <c r="H1922" s="19"/>
      <c r="I1922" s="37" t="s">
        <v>41</v>
      </c>
      <c r="J1922" s="37" t="e">
        <v>#N/A</v>
      </c>
      <c r="K1922" s="37" t="s">
        <v>3102</v>
      </c>
      <c r="L1922" s="39" t="s">
        <v>2906</v>
      </c>
      <c r="M1922" s="23" t="s">
        <v>2847</v>
      </c>
      <c r="N1922" s="24" t="s">
        <v>3103</v>
      </c>
      <c r="O1922" s="40" t="s">
        <v>2908</v>
      </c>
      <c r="P1922" s="26" t="str">
        <f>IFERROR(VLOOKUP(DadosViagem5[[#This Row],[Placa]],[1]BIP!A:E,5,FALSE),"")</f>
        <v/>
      </c>
      <c r="Q1922" s="27" t="e">
        <f ca="1">DATEDIF(DadosViagem5[[#This Row],[BIP]],TODAY(),"D")</f>
        <v>#VALUE!</v>
      </c>
      <c r="R1922" s="28" t="str">
        <f>IFERROR(VLOOKUP(DadosViagem5[[#This Row],[Placa]],[1]DDS!B:C,2,FALSE),"Verificar cadastro")</f>
        <v>Verificar cadastro</v>
      </c>
      <c r="S1922" s="29" t="s">
        <v>48</v>
      </c>
      <c r="T1922" s="23"/>
      <c r="U1922" s="30"/>
      <c r="V1922" s="31"/>
      <c r="W1922" s="32" t="s">
        <v>384</v>
      </c>
      <c r="X1922" s="33"/>
      <c r="Y1922" s="34"/>
      <c r="Z1922" s="43"/>
      <c r="AA1922" s="135" t="s">
        <v>49</v>
      </c>
      <c r="AB1922" s="135" t="s">
        <v>49</v>
      </c>
      <c r="AC1922" s="135" t="s">
        <v>49</v>
      </c>
      <c r="AD1922" s="135" t="s">
        <v>49</v>
      </c>
      <c r="AE1922" s="24"/>
      <c r="AF1922" s="40"/>
      <c r="AG1922" s="24"/>
      <c r="AH1922" s="40">
        <v>45807</v>
      </c>
      <c r="AI1922" s="24" t="str">
        <f>IF(DadosViagem5[[#This Row],[Dias em manutenção ]]&lt;5,"Dentro do Prazo","Fora do Prazo")</f>
        <v>Fora do Prazo</v>
      </c>
      <c r="AJ1922" s="68" t="e">
        <v>#REF!</v>
      </c>
    </row>
    <row r="1923" spans="1:36">
      <c r="A1923" s="19" t="s">
        <v>3128</v>
      </c>
      <c r="B1923" s="20"/>
      <c r="C1923" s="19"/>
      <c r="D1923" s="19"/>
      <c r="E1923" s="19"/>
      <c r="F1923" s="37"/>
      <c r="G1923" s="37"/>
      <c r="H1923" s="19"/>
      <c r="I1923" s="37" t="s">
        <v>41</v>
      </c>
      <c r="J1923" s="19" t="e">
        <v>#N/A</v>
      </c>
      <c r="K1923" s="19" t="s">
        <v>3102</v>
      </c>
      <c r="L1923" s="39" t="s">
        <v>2906</v>
      </c>
      <c r="M1923" s="23" t="s">
        <v>2847</v>
      </c>
      <c r="N1923" s="36" t="s">
        <v>3103</v>
      </c>
      <c r="O1923" s="25" t="s">
        <v>2908</v>
      </c>
      <c r="P1923" s="26" t="str">
        <f>IFERROR(VLOOKUP(DadosViagem5[[#This Row],[Placa]],[1]BIP!A:E,5,FALSE),"")</f>
        <v/>
      </c>
      <c r="Q1923" s="27" t="e">
        <f ca="1">DATEDIF(DadosViagem5[[#This Row],[BIP]],TODAY(),"D")</f>
        <v>#VALUE!</v>
      </c>
      <c r="R1923" s="28" t="str">
        <f>IFERROR(VLOOKUP(DadosViagem5[[#This Row],[Placa]],[1]DDS!B:C,2,FALSE),"Verificar cadastro")</f>
        <v> </v>
      </c>
      <c r="S1923" s="29" t="s">
        <v>48</v>
      </c>
      <c r="T1923" s="23"/>
      <c r="U1923" s="30"/>
      <c r="V1923" s="31"/>
      <c r="W1923" s="32" t="s">
        <v>384</v>
      </c>
      <c r="X1923" s="33"/>
      <c r="Y1923" s="34"/>
      <c r="Z1923" s="43"/>
      <c r="AA1923" s="135" t="s">
        <v>49</v>
      </c>
      <c r="AB1923" s="135" t="s">
        <v>49</v>
      </c>
      <c r="AC1923" s="135" t="s">
        <v>49</v>
      </c>
      <c r="AD1923" s="135" t="s">
        <v>49</v>
      </c>
      <c r="AE1923" s="24"/>
      <c r="AF1923" s="40"/>
      <c r="AG1923" s="24"/>
      <c r="AH1923" s="40">
        <v>45807</v>
      </c>
      <c r="AI1923" s="24" t="str">
        <f>IF(DadosViagem5[[#This Row],[Dias em manutenção ]]&lt;5,"Dentro do Prazo","Fora do Prazo")</f>
        <v>Fora do Prazo</v>
      </c>
      <c r="AJ1923" s="68" t="e">
        <v>#REF!</v>
      </c>
    </row>
    <row r="1924" spans="1:36">
      <c r="A1924" s="19" t="s">
        <v>3129</v>
      </c>
      <c r="B1924" s="20"/>
      <c r="C1924" s="19"/>
      <c r="D1924" s="19"/>
      <c r="E1924" s="19"/>
      <c r="F1924" s="37"/>
      <c r="G1924" s="37"/>
      <c r="H1924" s="19"/>
      <c r="I1924" s="37" t="s">
        <v>41</v>
      </c>
      <c r="J1924" s="37" t="e">
        <v>#N/A</v>
      </c>
      <c r="K1924" s="37" t="s">
        <v>3102</v>
      </c>
      <c r="L1924" s="39" t="s">
        <v>2906</v>
      </c>
      <c r="M1924" s="23" t="s">
        <v>2847</v>
      </c>
      <c r="N1924" s="24" t="s">
        <v>3103</v>
      </c>
      <c r="O1924" s="40" t="s">
        <v>2908</v>
      </c>
      <c r="P1924" s="26" t="str">
        <f>IFERROR(VLOOKUP(DadosViagem5[[#This Row],[Placa]],[1]BIP!A:E,5,FALSE),"")</f>
        <v/>
      </c>
      <c r="Q1924" s="27" t="e">
        <f ca="1">DATEDIF(DadosViagem5[[#This Row],[BIP]],TODAY(),"D")</f>
        <v>#VALUE!</v>
      </c>
      <c r="R1924" s="28" t="str">
        <f>IFERROR(VLOOKUP(DadosViagem5[[#This Row],[Placa]],[1]DDS!B:C,2,FALSE),"Verificar cadastro")</f>
        <v> </v>
      </c>
      <c r="S1924" s="29" t="s">
        <v>48</v>
      </c>
      <c r="T1924" s="23"/>
      <c r="U1924" s="30"/>
      <c r="V1924" s="31"/>
      <c r="W1924" s="32" t="s">
        <v>384</v>
      </c>
      <c r="X1924" s="33"/>
      <c r="Y1924" s="34"/>
      <c r="Z1924" s="43"/>
      <c r="AA1924" s="135" t="s">
        <v>49</v>
      </c>
      <c r="AB1924" s="135" t="s">
        <v>49</v>
      </c>
      <c r="AC1924" s="135" t="s">
        <v>49</v>
      </c>
      <c r="AD1924" s="135" t="s">
        <v>49</v>
      </c>
      <c r="AE1924" s="24"/>
      <c r="AF1924" s="40"/>
      <c r="AG1924" s="24"/>
      <c r="AH1924" s="40">
        <v>45807</v>
      </c>
      <c r="AI1924" s="24" t="str">
        <f>IF(DadosViagem5[[#This Row],[Dias em manutenção ]]&lt;5,"Dentro do Prazo","Fora do Prazo")</f>
        <v>Fora do Prazo</v>
      </c>
      <c r="AJ1924" s="68" t="e">
        <v>#REF!</v>
      </c>
    </row>
    <row r="1925" spans="1:36">
      <c r="A1925" s="19" t="s">
        <v>3130</v>
      </c>
      <c r="B1925" s="20"/>
      <c r="C1925" s="19"/>
      <c r="D1925" s="19"/>
      <c r="E1925" s="19"/>
      <c r="F1925" s="37"/>
      <c r="G1925" s="37"/>
      <c r="H1925" s="19"/>
      <c r="I1925" s="37" t="s">
        <v>41</v>
      </c>
      <c r="J1925" s="37" t="e">
        <v>#N/A</v>
      </c>
      <c r="K1925" s="37" t="s">
        <v>3102</v>
      </c>
      <c r="L1925" s="39" t="s">
        <v>2906</v>
      </c>
      <c r="M1925" s="23" t="s">
        <v>2847</v>
      </c>
      <c r="N1925" s="24" t="s">
        <v>3103</v>
      </c>
      <c r="O1925" s="40" t="s">
        <v>2908</v>
      </c>
      <c r="P1925" s="26" t="str">
        <f>IFERROR(VLOOKUP(DadosViagem5[[#This Row],[Placa]],[1]BIP!A:E,5,FALSE),"")</f>
        <v/>
      </c>
      <c r="Q1925" s="27" t="e">
        <f ca="1">DATEDIF(DadosViagem5[[#This Row],[BIP]],TODAY(),"D")</f>
        <v>#VALUE!</v>
      </c>
      <c r="R1925" s="28" t="str">
        <f>IFERROR(VLOOKUP(DadosViagem5[[#This Row],[Placa]],[1]DDS!B:C,2,FALSE),"Verificar cadastro")</f>
        <v> </v>
      </c>
      <c r="S1925" s="29" t="s">
        <v>48</v>
      </c>
      <c r="T1925" s="23"/>
      <c r="U1925" s="30"/>
      <c r="V1925" s="31"/>
      <c r="W1925" s="32" t="s">
        <v>384</v>
      </c>
      <c r="X1925" s="33"/>
      <c r="Y1925" s="34"/>
      <c r="Z1925" s="43"/>
      <c r="AA1925" s="135" t="s">
        <v>49</v>
      </c>
      <c r="AB1925" s="135" t="s">
        <v>49</v>
      </c>
      <c r="AC1925" s="135" t="s">
        <v>49</v>
      </c>
      <c r="AD1925" s="135" t="s">
        <v>49</v>
      </c>
      <c r="AE1925" s="24"/>
      <c r="AF1925" s="40"/>
      <c r="AG1925" s="24"/>
      <c r="AH1925" s="40">
        <v>45807</v>
      </c>
      <c r="AI1925" s="24" t="str">
        <f>IF(DadosViagem5[[#This Row],[Dias em manutenção ]]&lt;5,"Dentro do Prazo","Fora do Prazo")</f>
        <v>Fora do Prazo</v>
      </c>
      <c r="AJ1925" s="68" t="e">
        <v>#REF!</v>
      </c>
    </row>
    <row r="1926" spans="1:36">
      <c r="A1926" s="19" t="s">
        <v>3131</v>
      </c>
      <c r="B1926" s="20"/>
      <c r="C1926" s="19"/>
      <c r="D1926" s="19"/>
      <c r="E1926" s="19"/>
      <c r="F1926" s="37"/>
      <c r="G1926" s="37"/>
      <c r="H1926" s="19"/>
      <c r="I1926" s="37" t="s">
        <v>41</v>
      </c>
      <c r="J1926" s="19" t="e">
        <v>#N/A</v>
      </c>
      <c r="K1926" s="37" t="s">
        <v>3102</v>
      </c>
      <c r="L1926" s="39" t="s">
        <v>2906</v>
      </c>
      <c r="M1926" s="23" t="s">
        <v>2847</v>
      </c>
      <c r="N1926" s="24" t="s">
        <v>3103</v>
      </c>
      <c r="O1926" s="40" t="s">
        <v>2908</v>
      </c>
      <c r="P1926" s="26" t="str">
        <f>IFERROR(VLOOKUP(DadosViagem5[[#This Row],[Placa]],[1]BIP!A:E,5,FALSE),"")</f>
        <v/>
      </c>
      <c r="Q1926" s="27" t="e">
        <f ca="1">DATEDIF(DadosViagem5[[#This Row],[BIP]],TODAY(),"D")</f>
        <v>#VALUE!</v>
      </c>
      <c r="R1926" s="28" t="str">
        <f>IFERROR(VLOOKUP(DadosViagem5[[#This Row],[Placa]],[1]DDS!B:C,2,FALSE),"Verificar cadastro")</f>
        <v>Verificar cadastro</v>
      </c>
      <c r="S1926" s="29" t="s">
        <v>48</v>
      </c>
      <c r="T1926" s="23"/>
      <c r="U1926" s="30"/>
      <c r="V1926" s="31"/>
      <c r="W1926" s="32" t="s">
        <v>384</v>
      </c>
      <c r="X1926" s="33"/>
      <c r="Y1926" s="34"/>
      <c r="Z1926" s="43"/>
      <c r="AA1926" s="135" t="s">
        <v>49</v>
      </c>
      <c r="AB1926" s="135" t="s">
        <v>49</v>
      </c>
      <c r="AC1926" s="135" t="s">
        <v>49</v>
      </c>
      <c r="AD1926" s="135" t="s">
        <v>49</v>
      </c>
      <c r="AE1926" s="24"/>
      <c r="AF1926" s="40"/>
      <c r="AG1926" s="24"/>
      <c r="AH1926" s="40">
        <v>45807</v>
      </c>
      <c r="AI1926" s="24" t="str">
        <f>IF(DadosViagem5[[#This Row],[Dias em manutenção ]]&lt;5,"Dentro do Prazo","Fora do Prazo")</f>
        <v>Fora do Prazo</v>
      </c>
      <c r="AJ1926" s="68" t="e">
        <v>#REF!</v>
      </c>
    </row>
    <row r="1927" spans="1:36">
      <c r="A1927" s="19" t="s">
        <v>3132</v>
      </c>
      <c r="B1927" s="20"/>
      <c r="C1927" s="19"/>
      <c r="D1927" s="19"/>
      <c r="E1927" s="19"/>
      <c r="F1927" s="37"/>
      <c r="G1927" s="37"/>
      <c r="H1927" s="19"/>
      <c r="I1927" s="37" t="s">
        <v>41</v>
      </c>
      <c r="J1927" s="19" t="e">
        <v>#N/A</v>
      </c>
      <c r="K1927" s="37" t="s">
        <v>3102</v>
      </c>
      <c r="L1927" s="39" t="s">
        <v>2906</v>
      </c>
      <c r="M1927" s="23" t="s">
        <v>2847</v>
      </c>
      <c r="N1927" s="24" t="s">
        <v>3103</v>
      </c>
      <c r="O1927" s="40" t="s">
        <v>2908</v>
      </c>
      <c r="P1927" s="26" t="str">
        <f>IFERROR(VLOOKUP(DadosViagem5[[#This Row],[Placa]],[1]BIP!A:E,5,FALSE),"")</f>
        <v/>
      </c>
      <c r="Q1927" s="27" t="e">
        <f ca="1">DATEDIF(DadosViagem5[[#This Row],[BIP]],TODAY(),"D")</f>
        <v>#VALUE!</v>
      </c>
      <c r="R1927" s="28" t="str">
        <f>IFERROR(VLOOKUP(DadosViagem5[[#This Row],[Placa]],[1]DDS!B:C,2,FALSE),"Verificar cadastro")</f>
        <v> </v>
      </c>
      <c r="S1927" s="29" t="s">
        <v>48</v>
      </c>
      <c r="T1927" s="23"/>
      <c r="U1927" s="30"/>
      <c r="V1927" s="31"/>
      <c r="W1927" s="32" t="s">
        <v>384</v>
      </c>
      <c r="X1927" s="33"/>
      <c r="Y1927" s="34"/>
      <c r="Z1927" s="43"/>
      <c r="AA1927" s="135" t="s">
        <v>49</v>
      </c>
      <c r="AB1927" s="135" t="s">
        <v>49</v>
      </c>
      <c r="AC1927" s="135" t="s">
        <v>49</v>
      </c>
      <c r="AD1927" s="135" t="s">
        <v>49</v>
      </c>
      <c r="AE1927" s="24"/>
      <c r="AF1927" s="40"/>
      <c r="AG1927" s="24"/>
      <c r="AH1927" s="40">
        <v>45807</v>
      </c>
      <c r="AI1927" s="24" t="str">
        <f>IF(DadosViagem5[[#This Row],[Dias em manutenção ]]&lt;5,"Dentro do Prazo","Fora do Prazo")</f>
        <v>Fora do Prazo</v>
      </c>
      <c r="AJ1927" s="68" t="e">
        <v>#REF!</v>
      </c>
    </row>
    <row r="1928" spans="1:36">
      <c r="A1928" s="19" t="s">
        <v>3133</v>
      </c>
      <c r="B1928" s="20"/>
      <c r="C1928" s="19"/>
      <c r="D1928" s="19"/>
      <c r="E1928" s="19"/>
      <c r="F1928" s="37"/>
      <c r="G1928" s="37"/>
      <c r="H1928" s="19"/>
      <c r="I1928" s="37" t="s">
        <v>41</v>
      </c>
      <c r="J1928" s="19" t="e">
        <v>#N/A</v>
      </c>
      <c r="K1928" s="37" t="s">
        <v>3102</v>
      </c>
      <c r="L1928" s="39" t="s">
        <v>2906</v>
      </c>
      <c r="M1928" s="23" t="s">
        <v>2847</v>
      </c>
      <c r="N1928" s="24" t="s">
        <v>3103</v>
      </c>
      <c r="O1928" s="40" t="s">
        <v>2908</v>
      </c>
      <c r="P1928" s="26" t="str">
        <f>IFERROR(VLOOKUP(DadosViagem5[[#This Row],[Placa]],[1]BIP!A:E,5,FALSE),"")</f>
        <v/>
      </c>
      <c r="Q1928" s="27" t="e">
        <f ca="1">DATEDIF(DadosViagem5[[#This Row],[BIP]],TODAY(),"D")</f>
        <v>#VALUE!</v>
      </c>
      <c r="R1928" s="28" t="str">
        <f>IFERROR(VLOOKUP(DadosViagem5[[#This Row],[Placa]],[1]DDS!B:C,2,FALSE),"Verificar cadastro")</f>
        <v> </v>
      </c>
      <c r="S1928" s="29" t="s">
        <v>48</v>
      </c>
      <c r="T1928" s="23"/>
      <c r="U1928" s="30"/>
      <c r="V1928" s="31"/>
      <c r="W1928" s="32" t="s">
        <v>384</v>
      </c>
      <c r="X1928" s="33"/>
      <c r="Y1928" s="34"/>
      <c r="Z1928" s="43"/>
      <c r="AA1928" s="135" t="s">
        <v>49</v>
      </c>
      <c r="AB1928" s="135" t="s">
        <v>49</v>
      </c>
      <c r="AC1928" s="135" t="s">
        <v>49</v>
      </c>
      <c r="AD1928" s="135" t="s">
        <v>49</v>
      </c>
      <c r="AE1928" s="24"/>
      <c r="AF1928" s="40"/>
      <c r="AG1928" s="24"/>
      <c r="AH1928" s="40">
        <v>45807</v>
      </c>
      <c r="AI1928" s="24" t="str">
        <f>IF(DadosViagem5[[#This Row],[Dias em manutenção ]]&lt;5,"Dentro do Prazo","Fora do Prazo")</f>
        <v>Fora do Prazo</v>
      </c>
      <c r="AJ1928" s="68" t="e">
        <v>#REF!</v>
      </c>
    </row>
    <row r="1929" spans="1:36">
      <c r="A1929" s="19" t="s">
        <v>3134</v>
      </c>
      <c r="B1929" s="20"/>
      <c r="C1929" s="19"/>
      <c r="D1929" s="19"/>
      <c r="E1929" s="19"/>
      <c r="F1929" s="37"/>
      <c r="G1929" s="37"/>
      <c r="H1929" s="19"/>
      <c r="I1929" s="37" t="s">
        <v>41</v>
      </c>
      <c r="J1929" s="19" t="e">
        <v>#N/A</v>
      </c>
      <c r="K1929" s="37" t="s">
        <v>3102</v>
      </c>
      <c r="L1929" s="39" t="s">
        <v>2906</v>
      </c>
      <c r="M1929" s="46" t="s">
        <v>2847</v>
      </c>
      <c r="N1929" s="24" t="s">
        <v>3103</v>
      </c>
      <c r="O1929" s="40" t="s">
        <v>2908</v>
      </c>
      <c r="P1929" s="26" t="str">
        <f>IFERROR(VLOOKUP(DadosViagem5[[#This Row],[Placa]],[1]BIP!A:E,5,FALSE),"")</f>
        <v/>
      </c>
      <c r="Q1929" s="27" t="e">
        <f ca="1">DATEDIF(DadosViagem5[[#This Row],[BIP]],TODAY(),"D")</f>
        <v>#VALUE!</v>
      </c>
      <c r="R1929" s="28" t="str">
        <f>IFERROR(VLOOKUP(DadosViagem5[[#This Row],[Placa]],[1]DDS!B:C,2,FALSE),"Verificar cadastro")</f>
        <v> </v>
      </c>
      <c r="S1929" s="29" t="s">
        <v>48</v>
      </c>
      <c r="T1929" s="23"/>
      <c r="U1929" s="30"/>
      <c r="V1929" s="31"/>
      <c r="W1929" s="32" t="s">
        <v>384</v>
      </c>
      <c r="X1929" s="33"/>
      <c r="Y1929" s="34"/>
      <c r="Z1929" s="43"/>
      <c r="AA1929" s="135" t="s">
        <v>49</v>
      </c>
      <c r="AB1929" s="135" t="s">
        <v>49</v>
      </c>
      <c r="AC1929" s="135" t="s">
        <v>49</v>
      </c>
      <c r="AD1929" s="135" t="s">
        <v>49</v>
      </c>
      <c r="AE1929" s="24"/>
      <c r="AF1929" s="40"/>
      <c r="AG1929" s="24"/>
      <c r="AH1929" s="40">
        <v>45807</v>
      </c>
      <c r="AI1929" s="24" t="str">
        <f>IF(DadosViagem5[[#This Row],[Dias em manutenção ]]&lt;5,"Dentro do Prazo","Fora do Prazo")</f>
        <v>Fora do Prazo</v>
      </c>
      <c r="AJ1929" s="68" t="e">
        <v>#REF!</v>
      </c>
    </row>
    <row r="1930" spans="1:36">
      <c r="A1930" s="19" t="s">
        <v>3135</v>
      </c>
      <c r="B1930" s="20"/>
      <c r="C1930" s="19"/>
      <c r="D1930" s="19"/>
      <c r="E1930" s="19"/>
      <c r="F1930" s="37"/>
      <c r="G1930" s="37"/>
      <c r="H1930" s="19"/>
      <c r="I1930" s="37" t="s">
        <v>41</v>
      </c>
      <c r="J1930" s="19" t="e">
        <v>#N/A</v>
      </c>
      <c r="K1930" s="37" t="s">
        <v>3102</v>
      </c>
      <c r="L1930" s="39" t="s">
        <v>2906</v>
      </c>
      <c r="M1930" s="23" t="s">
        <v>2847</v>
      </c>
      <c r="N1930" s="24" t="s">
        <v>3103</v>
      </c>
      <c r="O1930" s="40" t="s">
        <v>2908</v>
      </c>
      <c r="P1930" s="26" t="str">
        <f>IFERROR(VLOOKUP(DadosViagem5[[#This Row],[Placa]],[1]BIP!A:E,5,FALSE),"")</f>
        <v/>
      </c>
      <c r="Q1930" s="27" t="e">
        <f ca="1">DATEDIF(DadosViagem5[[#This Row],[BIP]],TODAY(),"D")</f>
        <v>#VALUE!</v>
      </c>
      <c r="R1930" s="28" t="str">
        <f>IFERROR(VLOOKUP(DadosViagem5[[#This Row],[Placa]],[1]DDS!B:C,2,FALSE),"Verificar cadastro")</f>
        <v> </v>
      </c>
      <c r="S1930" s="29" t="s">
        <v>48</v>
      </c>
      <c r="T1930" s="23"/>
      <c r="U1930" s="30"/>
      <c r="V1930" s="31"/>
      <c r="W1930" s="32" t="s">
        <v>384</v>
      </c>
      <c r="X1930" s="33"/>
      <c r="Y1930" s="34"/>
      <c r="Z1930" s="43"/>
      <c r="AA1930" s="135" t="s">
        <v>49</v>
      </c>
      <c r="AB1930" s="135" t="s">
        <v>49</v>
      </c>
      <c r="AC1930" s="135" t="s">
        <v>49</v>
      </c>
      <c r="AD1930" s="135" t="s">
        <v>49</v>
      </c>
      <c r="AE1930" s="24"/>
      <c r="AF1930" s="40"/>
      <c r="AG1930" s="24"/>
      <c r="AH1930" s="40">
        <v>45807</v>
      </c>
      <c r="AI1930" s="24" t="str">
        <f>IF(DadosViagem5[[#This Row],[Dias em manutenção ]]&lt;5,"Dentro do Prazo","Fora do Prazo")</f>
        <v>Fora do Prazo</v>
      </c>
      <c r="AJ1930" s="68" t="e">
        <v>#REF!</v>
      </c>
    </row>
    <row r="1931" spans="1:36">
      <c r="A1931" s="19" t="s">
        <v>3136</v>
      </c>
      <c r="B1931" s="20"/>
      <c r="C1931" s="19"/>
      <c r="D1931" s="19"/>
      <c r="E1931" s="19"/>
      <c r="F1931" s="37"/>
      <c r="G1931" s="37"/>
      <c r="H1931" s="19"/>
      <c r="I1931" s="37" t="s">
        <v>41</v>
      </c>
      <c r="J1931" s="19" t="e">
        <v>#N/A</v>
      </c>
      <c r="K1931" s="37" t="s">
        <v>3102</v>
      </c>
      <c r="L1931" s="39" t="s">
        <v>2906</v>
      </c>
      <c r="M1931" s="46" t="s">
        <v>2847</v>
      </c>
      <c r="N1931" s="24" t="s">
        <v>3103</v>
      </c>
      <c r="O1931" s="40" t="s">
        <v>2908</v>
      </c>
      <c r="P1931" s="26" t="str">
        <f>IFERROR(VLOOKUP(DadosViagem5[[#This Row],[Placa]],[1]BIP!A:E,5,FALSE),"")</f>
        <v/>
      </c>
      <c r="Q1931" s="27" t="e">
        <f ca="1">DATEDIF(DadosViagem5[[#This Row],[BIP]],TODAY(),"D")</f>
        <v>#VALUE!</v>
      </c>
      <c r="R1931" s="28" t="str">
        <f>IFERROR(VLOOKUP(DadosViagem5[[#This Row],[Placa]],[1]DDS!B:C,2,FALSE),"Verificar cadastro")</f>
        <v> </v>
      </c>
      <c r="S1931" s="29" t="s">
        <v>48</v>
      </c>
      <c r="T1931" s="23"/>
      <c r="U1931" s="30"/>
      <c r="V1931" s="31"/>
      <c r="W1931" s="32" t="s">
        <v>384</v>
      </c>
      <c r="X1931" s="33"/>
      <c r="Y1931" s="34"/>
      <c r="Z1931" s="43"/>
      <c r="AA1931" s="135" t="s">
        <v>49</v>
      </c>
      <c r="AB1931" s="135" t="s">
        <v>49</v>
      </c>
      <c r="AC1931" s="135" t="s">
        <v>49</v>
      </c>
      <c r="AD1931" s="135" t="s">
        <v>49</v>
      </c>
      <c r="AE1931" s="24"/>
      <c r="AF1931" s="40"/>
      <c r="AG1931" s="24"/>
      <c r="AH1931" s="40">
        <v>45807</v>
      </c>
      <c r="AI1931" s="24" t="str">
        <f>IF(DadosViagem5[[#This Row],[Dias em manutenção ]]&lt;5,"Dentro do Prazo","Fora do Prazo")</f>
        <v>Fora do Prazo</v>
      </c>
      <c r="AJ1931" s="68" t="e">
        <v>#REF!</v>
      </c>
    </row>
    <row r="1932" spans="1:36">
      <c r="A1932" s="19" t="s">
        <v>3137</v>
      </c>
      <c r="B1932" s="20"/>
      <c r="C1932" s="19"/>
      <c r="D1932" s="19"/>
      <c r="E1932" s="19"/>
      <c r="F1932" s="37"/>
      <c r="G1932" s="37"/>
      <c r="H1932" s="19"/>
      <c r="I1932" s="37" t="s">
        <v>41</v>
      </c>
      <c r="J1932" s="19" t="e">
        <v>#N/A</v>
      </c>
      <c r="K1932" s="37" t="s">
        <v>3102</v>
      </c>
      <c r="L1932" s="39" t="s">
        <v>2906</v>
      </c>
      <c r="M1932" s="46" t="s">
        <v>2847</v>
      </c>
      <c r="N1932" s="24" t="s">
        <v>3103</v>
      </c>
      <c r="O1932" s="40" t="s">
        <v>2908</v>
      </c>
      <c r="P1932" s="26" t="str">
        <f>IFERROR(VLOOKUP(DadosViagem5[[#This Row],[Placa]],[1]BIP!A:E,5,FALSE),"")</f>
        <v/>
      </c>
      <c r="Q1932" s="27" t="e">
        <f ca="1">DATEDIF(DadosViagem5[[#This Row],[BIP]],TODAY(),"D")</f>
        <v>#VALUE!</v>
      </c>
      <c r="R1932" s="28" t="str">
        <f>IFERROR(VLOOKUP(DadosViagem5[[#This Row],[Placa]],[1]DDS!B:C,2,FALSE),"Verificar cadastro")</f>
        <v>Verificar cadastro</v>
      </c>
      <c r="S1932" s="29" t="s">
        <v>48</v>
      </c>
      <c r="T1932" s="23"/>
      <c r="U1932" s="30"/>
      <c r="V1932" s="31"/>
      <c r="W1932" s="32" t="s">
        <v>384</v>
      </c>
      <c r="X1932" s="33"/>
      <c r="Y1932" s="34"/>
      <c r="Z1932" s="43"/>
      <c r="AA1932" s="135" t="s">
        <v>49</v>
      </c>
      <c r="AB1932" s="135" t="s">
        <v>49</v>
      </c>
      <c r="AC1932" s="135" t="s">
        <v>49</v>
      </c>
      <c r="AD1932" s="135" t="s">
        <v>49</v>
      </c>
      <c r="AE1932" s="24"/>
      <c r="AF1932" s="40"/>
      <c r="AG1932" s="24"/>
      <c r="AH1932" s="40">
        <v>45807</v>
      </c>
      <c r="AI1932" s="24" t="str">
        <f>IF(DadosViagem5[[#This Row],[Dias em manutenção ]]&lt;5,"Dentro do Prazo","Fora do Prazo")</f>
        <v>Fora do Prazo</v>
      </c>
      <c r="AJ1932" s="68" t="e">
        <v>#REF!</v>
      </c>
    </row>
    <row r="1933" spans="1:36">
      <c r="A1933" s="19" t="s">
        <v>3138</v>
      </c>
      <c r="B1933" s="20"/>
      <c r="C1933" s="19"/>
      <c r="D1933" s="19"/>
      <c r="E1933" s="19"/>
      <c r="F1933" s="37"/>
      <c r="G1933" s="37"/>
      <c r="H1933" s="19"/>
      <c r="I1933" s="37" t="s">
        <v>41</v>
      </c>
      <c r="J1933" s="19" t="e">
        <v>#N/A</v>
      </c>
      <c r="K1933" s="37" t="s">
        <v>3102</v>
      </c>
      <c r="L1933" s="39" t="s">
        <v>2906</v>
      </c>
      <c r="M1933" s="46" t="s">
        <v>2847</v>
      </c>
      <c r="N1933" s="24" t="s">
        <v>3103</v>
      </c>
      <c r="O1933" s="40" t="s">
        <v>2908</v>
      </c>
      <c r="P1933" s="26" t="str">
        <f>IFERROR(VLOOKUP(DadosViagem5[[#This Row],[Placa]],[1]BIP!A:E,5,FALSE),"")</f>
        <v/>
      </c>
      <c r="Q1933" s="27" t="e">
        <f ca="1">DATEDIF(DadosViagem5[[#This Row],[BIP]],TODAY(),"D")</f>
        <v>#VALUE!</v>
      </c>
      <c r="R1933" s="28" t="str">
        <f>IFERROR(VLOOKUP(DadosViagem5[[#This Row],[Placa]],[1]DDS!B:C,2,FALSE),"Verificar cadastro")</f>
        <v>Verificar cadastro</v>
      </c>
      <c r="S1933" s="29" t="s">
        <v>48</v>
      </c>
      <c r="T1933" s="23"/>
      <c r="U1933" s="30"/>
      <c r="V1933" s="31"/>
      <c r="W1933" s="32" t="s">
        <v>384</v>
      </c>
      <c r="X1933" s="33"/>
      <c r="Y1933" s="34"/>
      <c r="Z1933" s="43"/>
      <c r="AA1933" s="135" t="s">
        <v>49</v>
      </c>
      <c r="AB1933" s="135" t="s">
        <v>49</v>
      </c>
      <c r="AC1933" s="135" t="s">
        <v>49</v>
      </c>
      <c r="AD1933" s="135" t="s">
        <v>49</v>
      </c>
      <c r="AE1933" s="24"/>
      <c r="AF1933" s="40"/>
      <c r="AG1933" s="24"/>
      <c r="AH1933" s="40">
        <v>45807</v>
      </c>
      <c r="AI1933" s="24" t="str">
        <f>IF(DadosViagem5[[#This Row],[Dias em manutenção ]]&lt;5,"Dentro do Prazo","Fora do Prazo")</f>
        <v>Fora do Prazo</v>
      </c>
      <c r="AJ1933" s="68" t="e">
        <v>#REF!</v>
      </c>
    </row>
    <row r="1934" spans="1:36">
      <c r="A1934" s="19" t="s">
        <v>3139</v>
      </c>
      <c r="B1934" s="20"/>
      <c r="C1934" s="19"/>
      <c r="D1934" s="19"/>
      <c r="E1934" s="19"/>
      <c r="F1934" s="37"/>
      <c r="G1934" s="37"/>
      <c r="H1934" s="19"/>
      <c r="I1934" s="37" t="s">
        <v>41</v>
      </c>
      <c r="J1934" s="19" t="e">
        <v>#N/A</v>
      </c>
      <c r="K1934" s="37" t="s">
        <v>3102</v>
      </c>
      <c r="L1934" s="39" t="s">
        <v>2906</v>
      </c>
      <c r="M1934" s="23" t="s">
        <v>2847</v>
      </c>
      <c r="N1934" s="24" t="s">
        <v>3103</v>
      </c>
      <c r="O1934" s="40" t="s">
        <v>2908</v>
      </c>
      <c r="P1934" s="26" t="str">
        <f>IFERROR(VLOOKUP(DadosViagem5[[#This Row],[Placa]],[1]BIP!A:E,5,FALSE),"")</f>
        <v/>
      </c>
      <c r="Q1934" s="27" t="e">
        <f ca="1">DATEDIF(DadosViagem5[[#This Row],[BIP]],TODAY(),"D")</f>
        <v>#VALUE!</v>
      </c>
      <c r="R1934" s="28" t="str">
        <f>IFERROR(VLOOKUP(DadosViagem5[[#This Row],[Placa]],[1]DDS!B:C,2,FALSE),"Verificar cadastro")</f>
        <v> </v>
      </c>
      <c r="S1934" s="29" t="s">
        <v>48</v>
      </c>
      <c r="T1934" s="23"/>
      <c r="U1934" s="30"/>
      <c r="V1934" s="31"/>
      <c r="W1934" s="32" t="s">
        <v>384</v>
      </c>
      <c r="X1934" s="33"/>
      <c r="Y1934" s="34"/>
      <c r="Z1934" s="43"/>
      <c r="AA1934" s="135" t="s">
        <v>49</v>
      </c>
      <c r="AB1934" s="135" t="s">
        <v>49</v>
      </c>
      <c r="AC1934" s="135" t="s">
        <v>49</v>
      </c>
      <c r="AD1934" s="135" t="s">
        <v>49</v>
      </c>
      <c r="AE1934" s="24"/>
      <c r="AF1934" s="40"/>
      <c r="AG1934" s="24"/>
      <c r="AH1934" s="40">
        <v>45807</v>
      </c>
      <c r="AI1934" s="24" t="str">
        <f>IF(DadosViagem5[[#This Row],[Dias em manutenção ]]&lt;5,"Dentro do Prazo","Fora do Prazo")</f>
        <v>Fora do Prazo</v>
      </c>
      <c r="AJ1934" s="68" t="e">
        <v>#REF!</v>
      </c>
    </row>
    <row r="1935" spans="1:36">
      <c r="A1935" s="19" t="s">
        <v>3140</v>
      </c>
      <c r="B1935" s="20"/>
      <c r="C1935" s="19"/>
      <c r="D1935" s="19"/>
      <c r="E1935" s="19"/>
      <c r="F1935" s="37"/>
      <c r="G1935" s="37"/>
      <c r="H1935" s="19"/>
      <c r="I1935" s="37" t="s">
        <v>41</v>
      </c>
      <c r="J1935" s="19" t="e">
        <v>#N/A</v>
      </c>
      <c r="K1935" s="19" t="s">
        <v>3102</v>
      </c>
      <c r="L1935" s="39" t="s">
        <v>2906</v>
      </c>
      <c r="M1935" s="23" t="s">
        <v>2847</v>
      </c>
      <c r="N1935" s="36" t="s">
        <v>3103</v>
      </c>
      <c r="O1935" s="25" t="s">
        <v>2908</v>
      </c>
      <c r="P1935" s="26" t="str">
        <f>IFERROR(VLOOKUP(DadosViagem5[[#This Row],[Placa]],[1]BIP!A:E,5,FALSE),"")</f>
        <v/>
      </c>
      <c r="Q1935" s="27" t="e">
        <f ca="1">DATEDIF(DadosViagem5[[#This Row],[BIP]],TODAY(),"D")</f>
        <v>#VALUE!</v>
      </c>
      <c r="R1935" s="28" t="str">
        <f>IFERROR(VLOOKUP(DadosViagem5[[#This Row],[Placa]],[1]DDS!B:C,2,FALSE),"Verificar cadastro")</f>
        <v> </v>
      </c>
      <c r="S1935" s="29" t="s">
        <v>48</v>
      </c>
      <c r="T1935" s="23"/>
      <c r="U1935" s="30"/>
      <c r="V1935" s="31"/>
      <c r="W1935" s="43" t="s">
        <v>384</v>
      </c>
      <c r="X1935" s="33"/>
      <c r="Y1935" s="34"/>
      <c r="Z1935" s="43"/>
      <c r="AA1935" s="135" t="s">
        <v>49</v>
      </c>
      <c r="AB1935" s="135" t="s">
        <v>49</v>
      </c>
      <c r="AC1935" s="135" t="s">
        <v>49</v>
      </c>
      <c r="AD1935" s="135" t="s">
        <v>49</v>
      </c>
      <c r="AE1935" s="24"/>
      <c r="AF1935" s="40"/>
      <c r="AG1935" s="24"/>
      <c r="AH1935" s="40">
        <v>45807</v>
      </c>
      <c r="AI1935" s="24" t="str">
        <f>IF(DadosViagem5[[#This Row],[Dias em manutenção ]]&lt;5,"Dentro do Prazo","Fora do Prazo")</f>
        <v>Fora do Prazo</v>
      </c>
      <c r="AJ1935" s="68" t="e">
        <v>#REF!</v>
      </c>
    </row>
    <row r="1936" spans="1:36">
      <c r="A1936" s="19" t="s">
        <v>3141</v>
      </c>
      <c r="B1936" s="20"/>
      <c r="C1936" s="19"/>
      <c r="D1936" s="19"/>
      <c r="E1936" s="19"/>
      <c r="F1936" s="37"/>
      <c r="G1936" s="37"/>
      <c r="H1936" s="19"/>
      <c r="I1936" s="37" t="s">
        <v>41</v>
      </c>
      <c r="J1936" s="19" t="e">
        <v>#N/A</v>
      </c>
      <c r="K1936" s="19" t="s">
        <v>3102</v>
      </c>
      <c r="L1936" s="39" t="s">
        <v>2906</v>
      </c>
      <c r="M1936" s="23" t="s">
        <v>2847</v>
      </c>
      <c r="N1936" s="36" t="s">
        <v>3103</v>
      </c>
      <c r="O1936" s="25" t="s">
        <v>2908</v>
      </c>
      <c r="P1936" s="26" t="str">
        <f>IFERROR(VLOOKUP(DadosViagem5[[#This Row],[Placa]],[1]BIP!A:E,5,FALSE),"")</f>
        <v/>
      </c>
      <c r="Q1936" s="27" t="e">
        <f ca="1">DATEDIF(DadosViagem5[[#This Row],[BIP]],TODAY(),"D")</f>
        <v>#VALUE!</v>
      </c>
      <c r="R1936" s="28" t="str">
        <f>IFERROR(VLOOKUP(DadosViagem5[[#This Row],[Placa]],[1]DDS!B:C,2,FALSE),"Verificar cadastro")</f>
        <v> </v>
      </c>
      <c r="S1936" s="29" t="s">
        <v>48</v>
      </c>
      <c r="T1936" s="23"/>
      <c r="U1936" s="30"/>
      <c r="V1936" s="31"/>
      <c r="W1936" s="43" t="s">
        <v>384</v>
      </c>
      <c r="X1936" s="33"/>
      <c r="Y1936" s="34"/>
      <c r="Z1936" s="43"/>
      <c r="AA1936" s="135" t="s">
        <v>49</v>
      </c>
      <c r="AB1936" s="135" t="s">
        <v>49</v>
      </c>
      <c r="AC1936" s="135" t="s">
        <v>49</v>
      </c>
      <c r="AD1936" s="135" t="s">
        <v>49</v>
      </c>
      <c r="AE1936" s="24"/>
      <c r="AF1936" s="40"/>
      <c r="AG1936" s="24"/>
      <c r="AH1936" s="40">
        <v>45807</v>
      </c>
      <c r="AI1936" s="24" t="str">
        <f>IF(DadosViagem5[[#This Row],[Dias em manutenção ]]&lt;5,"Dentro do Prazo","Fora do Prazo")</f>
        <v>Fora do Prazo</v>
      </c>
      <c r="AJ1936" s="68" t="e">
        <v>#REF!</v>
      </c>
    </row>
    <row r="1937" spans="1:36">
      <c r="A1937" s="19" t="s">
        <v>3142</v>
      </c>
      <c r="B1937" s="20"/>
      <c r="C1937" s="19"/>
      <c r="D1937" s="19"/>
      <c r="E1937" s="19"/>
      <c r="F1937" s="37"/>
      <c r="G1937" s="37"/>
      <c r="H1937" s="19"/>
      <c r="I1937" s="37" t="s">
        <v>41</v>
      </c>
      <c r="J1937" s="19" t="e">
        <v>#N/A</v>
      </c>
      <c r="K1937" s="19" t="s">
        <v>3102</v>
      </c>
      <c r="L1937" s="39" t="s">
        <v>2906</v>
      </c>
      <c r="M1937" s="23" t="s">
        <v>2847</v>
      </c>
      <c r="N1937" s="36" t="s">
        <v>3103</v>
      </c>
      <c r="O1937" s="25" t="s">
        <v>2908</v>
      </c>
      <c r="P1937" s="26" t="str">
        <f>IFERROR(VLOOKUP(DadosViagem5[[#This Row],[Placa]],[1]BIP!A:E,5,FALSE),"")</f>
        <v/>
      </c>
      <c r="Q1937" s="27" t="e">
        <f ca="1">DATEDIF(DadosViagem5[[#This Row],[BIP]],TODAY(),"D")</f>
        <v>#VALUE!</v>
      </c>
      <c r="R1937" s="28" t="str">
        <f>IFERROR(VLOOKUP(DadosViagem5[[#This Row],[Placa]],[1]DDS!B:C,2,FALSE),"Verificar cadastro")</f>
        <v> </v>
      </c>
      <c r="S1937" s="29" t="s">
        <v>48</v>
      </c>
      <c r="T1937" s="23"/>
      <c r="U1937" s="30"/>
      <c r="V1937" s="31"/>
      <c r="W1937" s="43" t="s">
        <v>384</v>
      </c>
      <c r="X1937" s="33"/>
      <c r="Y1937" s="34"/>
      <c r="Z1937" s="43"/>
      <c r="AA1937" s="135" t="s">
        <v>49</v>
      </c>
      <c r="AB1937" s="135" t="s">
        <v>49</v>
      </c>
      <c r="AC1937" s="135" t="s">
        <v>49</v>
      </c>
      <c r="AD1937" s="135" t="s">
        <v>49</v>
      </c>
      <c r="AE1937" s="24"/>
      <c r="AF1937" s="40"/>
      <c r="AG1937" s="24"/>
      <c r="AH1937" s="40">
        <v>45807</v>
      </c>
      <c r="AI1937" s="24" t="str">
        <f>IF(DadosViagem5[[#This Row],[Dias em manutenção ]]&lt;5,"Dentro do Prazo","Fora do Prazo")</f>
        <v>Fora do Prazo</v>
      </c>
      <c r="AJ1937" s="68" t="e">
        <v>#REF!</v>
      </c>
    </row>
    <row r="1938" spans="1:36">
      <c r="A1938" s="19" t="s">
        <v>3143</v>
      </c>
      <c r="B1938" s="20"/>
      <c r="C1938" s="19"/>
      <c r="D1938" s="19"/>
      <c r="E1938" s="19"/>
      <c r="F1938" s="19"/>
      <c r="G1938" s="19"/>
      <c r="H1938" s="19"/>
      <c r="I1938" s="37" t="s">
        <v>41</v>
      </c>
      <c r="J1938" s="37" t="e">
        <v>#N/A</v>
      </c>
      <c r="K1938" s="37" t="s">
        <v>3102</v>
      </c>
      <c r="L1938" s="39" t="s">
        <v>2906</v>
      </c>
      <c r="M1938" s="23" t="s">
        <v>2847</v>
      </c>
      <c r="N1938" s="24" t="s">
        <v>3103</v>
      </c>
      <c r="O1938" s="25" t="s">
        <v>2908</v>
      </c>
      <c r="P1938" s="26" t="str">
        <f>IFERROR(VLOOKUP(DadosViagem5[[#This Row],[Placa]],[1]BIP!A:E,5,FALSE),"")</f>
        <v/>
      </c>
      <c r="Q1938" s="27" t="e">
        <f ca="1">DATEDIF(DadosViagem5[[#This Row],[BIP]],TODAY(),"D")</f>
        <v>#VALUE!</v>
      </c>
      <c r="R1938" s="28" t="str">
        <f>IFERROR(VLOOKUP(DadosViagem5[[#This Row],[Placa]],[1]DDS!B:C,2,FALSE),"Verificar cadastro")</f>
        <v> </v>
      </c>
      <c r="S1938" s="29" t="s">
        <v>48</v>
      </c>
      <c r="T1938" s="23"/>
      <c r="U1938" s="30"/>
      <c r="V1938" s="31"/>
      <c r="W1938" s="43" t="s">
        <v>384</v>
      </c>
      <c r="X1938" s="33"/>
      <c r="Y1938" s="34"/>
      <c r="Z1938" s="43"/>
      <c r="AA1938" s="135" t="s">
        <v>49</v>
      </c>
      <c r="AB1938" s="135" t="s">
        <v>49</v>
      </c>
      <c r="AC1938" s="135" t="s">
        <v>49</v>
      </c>
      <c r="AD1938" s="135" t="s">
        <v>49</v>
      </c>
      <c r="AE1938" s="24"/>
      <c r="AF1938" s="40"/>
      <c r="AG1938" s="24"/>
      <c r="AH1938" s="40">
        <v>45807</v>
      </c>
      <c r="AI1938" s="24" t="str">
        <f>IF(DadosViagem5[[#This Row],[Dias em manutenção ]]&lt;5,"Dentro do Prazo","Fora do Prazo")</f>
        <v>Fora do Prazo</v>
      </c>
      <c r="AJ1938" s="68" t="e">
        <v>#REF!</v>
      </c>
    </row>
    <row r="1939" spans="1:36">
      <c r="A1939" s="19" t="s">
        <v>3144</v>
      </c>
      <c r="B1939" s="20"/>
      <c r="C1939" s="19"/>
      <c r="D1939" s="19"/>
      <c r="E1939" s="19"/>
      <c r="F1939" s="19"/>
      <c r="G1939" s="19"/>
      <c r="H1939" s="19"/>
      <c r="I1939" s="19" t="s">
        <v>41</v>
      </c>
      <c r="J1939" s="19" t="e">
        <v>#N/A</v>
      </c>
      <c r="K1939" s="37" t="s">
        <v>3102</v>
      </c>
      <c r="L1939" s="39" t="s">
        <v>2906</v>
      </c>
      <c r="M1939" s="23" t="s">
        <v>2847</v>
      </c>
      <c r="N1939" s="24" t="s">
        <v>3103</v>
      </c>
      <c r="O1939" s="25" t="s">
        <v>2908</v>
      </c>
      <c r="P1939" s="26" t="str">
        <f>IFERROR(VLOOKUP(DadosViagem5[[#This Row],[Placa]],[1]BIP!A:E,5,FALSE),"")</f>
        <v/>
      </c>
      <c r="Q1939" s="27" t="e">
        <f ca="1">DATEDIF(DadosViagem5[[#This Row],[BIP]],TODAY(),"D")</f>
        <v>#VALUE!</v>
      </c>
      <c r="R1939" s="28" t="str">
        <f>IFERROR(VLOOKUP(DadosViagem5[[#This Row],[Placa]],[1]DDS!B:C,2,FALSE),"Verificar cadastro")</f>
        <v> </v>
      </c>
      <c r="S1939" s="29" t="s">
        <v>48</v>
      </c>
      <c r="T1939" s="23"/>
      <c r="U1939" s="30"/>
      <c r="V1939" s="31"/>
      <c r="W1939" s="43" t="s">
        <v>384</v>
      </c>
      <c r="X1939" s="33"/>
      <c r="Y1939" s="34"/>
      <c r="Z1939" s="43"/>
      <c r="AA1939" s="135" t="s">
        <v>49</v>
      </c>
      <c r="AB1939" s="135" t="s">
        <v>49</v>
      </c>
      <c r="AC1939" s="135" t="s">
        <v>49</v>
      </c>
      <c r="AD1939" s="135" t="s">
        <v>49</v>
      </c>
      <c r="AE1939" s="24"/>
      <c r="AF1939" s="40"/>
      <c r="AG1939" s="24"/>
      <c r="AH1939" s="40">
        <v>45807</v>
      </c>
      <c r="AI1939" s="24" t="str">
        <f>IF(DadosViagem5[[#This Row],[Dias em manutenção ]]&lt;5,"Dentro do Prazo","Fora do Prazo")</f>
        <v>Fora do Prazo</v>
      </c>
      <c r="AJ1939" s="68" t="e">
        <v>#REF!</v>
      </c>
    </row>
    <row r="1940" spans="1:36">
      <c r="A1940" s="19" t="s">
        <v>3145</v>
      </c>
      <c r="B1940" s="20"/>
      <c r="C1940" s="19"/>
      <c r="D1940" s="19"/>
      <c r="E1940" s="19"/>
      <c r="F1940" s="19"/>
      <c r="G1940" s="19"/>
      <c r="H1940" s="19"/>
      <c r="I1940" s="19" t="s">
        <v>41</v>
      </c>
      <c r="J1940" s="19" t="e">
        <v>#N/A</v>
      </c>
      <c r="K1940" s="37" t="s">
        <v>3102</v>
      </c>
      <c r="L1940" s="39" t="s">
        <v>2906</v>
      </c>
      <c r="M1940" s="23" t="s">
        <v>2847</v>
      </c>
      <c r="N1940" s="24" t="s">
        <v>3103</v>
      </c>
      <c r="O1940" s="25" t="s">
        <v>2908</v>
      </c>
      <c r="P1940" s="26" t="str">
        <f>IFERROR(VLOOKUP(DadosViagem5[[#This Row],[Placa]],[1]BIP!A:E,5,FALSE),"")</f>
        <v/>
      </c>
      <c r="Q1940" s="27" t="e">
        <f ca="1">DATEDIF(DadosViagem5[[#This Row],[BIP]],TODAY(),"D")</f>
        <v>#VALUE!</v>
      </c>
      <c r="R1940" s="28" t="str">
        <f>IFERROR(VLOOKUP(DadosViagem5[[#This Row],[Placa]],[1]DDS!B:C,2,FALSE),"Verificar cadastro")</f>
        <v> </v>
      </c>
      <c r="S1940" s="29" t="s">
        <v>48</v>
      </c>
      <c r="T1940" s="23"/>
      <c r="U1940" s="30"/>
      <c r="V1940" s="31"/>
      <c r="W1940" s="43" t="s">
        <v>384</v>
      </c>
      <c r="X1940" s="33"/>
      <c r="Y1940" s="34"/>
      <c r="Z1940" s="43"/>
      <c r="AA1940" s="135" t="s">
        <v>49</v>
      </c>
      <c r="AB1940" s="135" t="s">
        <v>49</v>
      </c>
      <c r="AC1940" s="135" t="s">
        <v>49</v>
      </c>
      <c r="AD1940" s="135" t="s">
        <v>49</v>
      </c>
      <c r="AE1940" s="24"/>
      <c r="AF1940" s="40"/>
      <c r="AG1940" s="24"/>
      <c r="AH1940" s="40">
        <v>45807</v>
      </c>
      <c r="AI1940" s="24" t="str">
        <f>IF(DadosViagem5[[#This Row],[Dias em manutenção ]]&lt;5,"Dentro do Prazo","Fora do Prazo")</f>
        <v>Fora do Prazo</v>
      </c>
      <c r="AJ1940" s="68" t="e">
        <v>#REF!</v>
      </c>
    </row>
    <row r="1941" spans="1:36">
      <c r="A1941" s="19" t="s">
        <v>3146</v>
      </c>
      <c r="B1941" s="20"/>
      <c r="C1941" s="19"/>
      <c r="D1941" s="19"/>
      <c r="E1941" s="19"/>
      <c r="F1941" s="19"/>
      <c r="G1941" s="19"/>
      <c r="H1941" s="19"/>
      <c r="I1941" s="19" t="s">
        <v>41</v>
      </c>
      <c r="J1941" s="19" t="e">
        <v>#N/A</v>
      </c>
      <c r="K1941" s="37" t="s">
        <v>3102</v>
      </c>
      <c r="L1941" s="39" t="s">
        <v>2906</v>
      </c>
      <c r="M1941" s="23" t="s">
        <v>2847</v>
      </c>
      <c r="N1941" s="24" t="s">
        <v>3103</v>
      </c>
      <c r="O1941" s="25" t="s">
        <v>2908</v>
      </c>
      <c r="P1941" s="26" t="str">
        <f>IFERROR(VLOOKUP(DadosViagem5[[#This Row],[Placa]],[1]BIP!A:E,5,FALSE),"")</f>
        <v/>
      </c>
      <c r="Q1941" s="27" t="e">
        <f ca="1">DATEDIF(DadosViagem5[[#This Row],[BIP]],TODAY(),"D")</f>
        <v>#VALUE!</v>
      </c>
      <c r="R1941" s="28" t="str">
        <f>IFERROR(VLOOKUP(DadosViagem5[[#This Row],[Placa]],[1]DDS!B:C,2,FALSE),"Verificar cadastro")</f>
        <v> </v>
      </c>
      <c r="S1941" s="29" t="s">
        <v>48</v>
      </c>
      <c r="T1941" s="23"/>
      <c r="U1941" s="30"/>
      <c r="V1941" s="31"/>
      <c r="W1941" s="43" t="s">
        <v>384</v>
      </c>
      <c r="X1941" s="33"/>
      <c r="Y1941" s="34"/>
      <c r="Z1941" s="43"/>
      <c r="AA1941" s="135" t="s">
        <v>49</v>
      </c>
      <c r="AB1941" s="135" t="s">
        <v>49</v>
      </c>
      <c r="AC1941" s="135" t="s">
        <v>49</v>
      </c>
      <c r="AD1941" s="135" t="s">
        <v>49</v>
      </c>
      <c r="AE1941" s="24"/>
      <c r="AF1941" s="40"/>
      <c r="AG1941" s="24"/>
      <c r="AH1941" s="40">
        <v>45807</v>
      </c>
      <c r="AI1941" s="24" t="str">
        <f>IF(DadosViagem5[[#This Row],[Dias em manutenção ]]&lt;5,"Dentro do Prazo","Fora do Prazo")</f>
        <v>Fora do Prazo</v>
      </c>
      <c r="AJ1941" s="68" t="e">
        <v>#REF!</v>
      </c>
    </row>
    <row r="1942" spans="1:36">
      <c r="A1942" s="193" t="s">
        <v>3147</v>
      </c>
      <c r="B1942" s="20"/>
      <c r="C1942" s="19"/>
      <c r="D1942" s="37"/>
      <c r="E1942" s="19"/>
      <c r="F1942" s="19"/>
      <c r="G1942" s="19"/>
      <c r="H1942" s="19"/>
      <c r="I1942" s="37" t="s">
        <v>41</v>
      </c>
      <c r="J1942" s="37" t="e">
        <v>#N/A</v>
      </c>
      <c r="K1942" s="37" t="s">
        <v>3102</v>
      </c>
      <c r="L1942" s="39" t="s">
        <v>2906</v>
      </c>
      <c r="M1942" s="23" t="s">
        <v>2847</v>
      </c>
      <c r="N1942" s="24" t="s">
        <v>3103</v>
      </c>
      <c r="O1942" s="40" t="s">
        <v>2908</v>
      </c>
      <c r="P1942" s="26" t="str">
        <f>IFERROR(VLOOKUP(DadosViagem5[[#This Row],[Placa]],[1]BIP!A:E,5,FALSE),"")</f>
        <v/>
      </c>
      <c r="Q1942" s="27" t="e">
        <f ca="1">DATEDIF(DadosViagem5[[#This Row],[BIP]],TODAY(),"D")</f>
        <v>#VALUE!</v>
      </c>
      <c r="R1942" s="28" t="str">
        <f>IFERROR(VLOOKUP(DadosViagem5[[#This Row],[Placa]],[1]DDS!B:C,2,FALSE),"Verificar cadastro")</f>
        <v> </v>
      </c>
      <c r="S1942" s="29" t="s">
        <v>48</v>
      </c>
      <c r="T1942" s="46"/>
      <c r="U1942" s="163"/>
      <c r="V1942" s="47"/>
      <c r="W1942" s="43" t="s">
        <v>384</v>
      </c>
      <c r="X1942" s="139"/>
      <c r="Y1942" s="34"/>
      <c r="Z1942" s="43"/>
      <c r="AA1942" s="135" t="s">
        <v>49</v>
      </c>
      <c r="AB1942" s="135" t="s">
        <v>49</v>
      </c>
      <c r="AC1942" s="135" t="s">
        <v>49</v>
      </c>
      <c r="AD1942" s="135" t="s">
        <v>49</v>
      </c>
      <c r="AE1942" s="24"/>
      <c r="AF1942" s="40"/>
      <c r="AG1942" s="24"/>
      <c r="AH1942" s="40">
        <v>45807</v>
      </c>
      <c r="AI1942" s="24" t="str">
        <f>IF(DadosViagem5[[#This Row],[Dias em manutenção ]]&lt;5,"Dentro do Prazo","Fora do Prazo")</f>
        <v>Fora do Prazo</v>
      </c>
      <c r="AJ1942" s="68" t="e">
        <v>#REF!</v>
      </c>
    </row>
    <row r="1943" spans="1:36">
      <c r="A1943" s="19" t="s">
        <v>3148</v>
      </c>
      <c r="B1943" s="20"/>
      <c r="C1943" s="37"/>
      <c r="D1943" s="37"/>
      <c r="E1943" s="37"/>
      <c r="F1943" s="37"/>
      <c r="G1943" s="19"/>
      <c r="H1943" s="37"/>
      <c r="I1943" s="37" t="s">
        <v>41</v>
      </c>
      <c r="J1943" s="37" t="e">
        <v>#N/A</v>
      </c>
      <c r="K1943" s="37" t="s">
        <v>3102</v>
      </c>
      <c r="L1943" s="39" t="s">
        <v>2906</v>
      </c>
      <c r="M1943" s="23" t="s">
        <v>2847</v>
      </c>
      <c r="N1943" s="24" t="s">
        <v>3103</v>
      </c>
      <c r="O1943" s="40" t="s">
        <v>2908</v>
      </c>
      <c r="P1943" s="26" t="str">
        <f>IFERROR(VLOOKUP(DadosViagem5[[#This Row],[Placa]],[1]BIP!A:E,5,FALSE),"")</f>
        <v/>
      </c>
      <c r="Q1943" s="27" t="e">
        <f ca="1">DATEDIF(DadosViagem5[[#This Row],[BIP]],TODAY(),"D")</f>
        <v>#VALUE!</v>
      </c>
      <c r="R1943" s="28" t="str">
        <f>IFERROR(VLOOKUP(DadosViagem5[[#This Row],[Placa]],[1]DDS!B:C,2,FALSE),"Verificar cadastro")</f>
        <v> </v>
      </c>
      <c r="S1943" s="29" t="s">
        <v>48</v>
      </c>
      <c r="T1943" s="46"/>
      <c r="U1943" s="163"/>
      <c r="V1943" s="47"/>
      <c r="W1943" s="43" t="s">
        <v>384</v>
      </c>
      <c r="X1943" s="139"/>
      <c r="Y1943" s="34"/>
      <c r="Z1943" s="43"/>
      <c r="AA1943" s="135" t="s">
        <v>49</v>
      </c>
      <c r="AB1943" s="135" t="s">
        <v>49</v>
      </c>
      <c r="AC1943" s="135" t="s">
        <v>49</v>
      </c>
      <c r="AD1943" s="135" t="s">
        <v>49</v>
      </c>
      <c r="AE1943" s="24"/>
      <c r="AF1943" s="40"/>
      <c r="AG1943" s="24"/>
      <c r="AH1943" s="40">
        <v>45807</v>
      </c>
      <c r="AI1943" s="24" t="str">
        <f>IF(DadosViagem5[[#This Row],[Dias em manutenção ]]&lt;5,"Dentro do Prazo","Fora do Prazo")</f>
        <v>Fora do Prazo</v>
      </c>
      <c r="AJ1943" s="68" t="e">
        <v>#REF!</v>
      </c>
    </row>
    <row r="1944" spans="1:36">
      <c r="A1944" s="19" t="s">
        <v>3149</v>
      </c>
      <c r="B1944" s="20"/>
      <c r="C1944" s="37"/>
      <c r="D1944" s="37"/>
      <c r="E1944" s="37"/>
      <c r="F1944" s="37"/>
      <c r="G1944" s="19"/>
      <c r="H1944" s="37"/>
      <c r="I1944" s="37" t="s">
        <v>41</v>
      </c>
      <c r="J1944" s="37" t="e">
        <v>#N/A</v>
      </c>
      <c r="K1944" s="37" t="s">
        <v>3102</v>
      </c>
      <c r="L1944" s="39" t="s">
        <v>2906</v>
      </c>
      <c r="M1944" s="23" t="s">
        <v>2847</v>
      </c>
      <c r="N1944" s="24" t="s">
        <v>3103</v>
      </c>
      <c r="O1944" s="40" t="s">
        <v>2908</v>
      </c>
      <c r="P1944" s="26" t="str">
        <f>IFERROR(VLOOKUP(DadosViagem5[[#This Row],[Placa]],[1]BIP!A:E,5,FALSE),"")</f>
        <v/>
      </c>
      <c r="Q1944" s="27" t="e">
        <f ca="1">DATEDIF(DadosViagem5[[#This Row],[BIP]],TODAY(),"D")</f>
        <v>#VALUE!</v>
      </c>
      <c r="R1944" s="28" t="str">
        <f>IFERROR(VLOOKUP(DadosViagem5[[#This Row],[Placa]],[1]DDS!B:C,2,FALSE),"Verificar cadastro")</f>
        <v> </v>
      </c>
      <c r="S1944" s="29" t="s">
        <v>48</v>
      </c>
      <c r="T1944" s="23"/>
      <c r="U1944" s="30"/>
      <c r="V1944" s="31"/>
      <c r="W1944" s="43" t="s">
        <v>384</v>
      </c>
      <c r="X1944" s="139"/>
      <c r="Y1944" s="34"/>
      <c r="Z1944" s="32"/>
      <c r="AA1944" s="20" t="s">
        <v>49</v>
      </c>
      <c r="AB1944" s="20" t="s">
        <v>49</v>
      </c>
      <c r="AC1944" s="20" t="s">
        <v>49</v>
      </c>
      <c r="AD1944" s="20" t="s">
        <v>49</v>
      </c>
      <c r="AE1944" s="36"/>
      <c r="AF1944" s="25"/>
      <c r="AG1944" s="36"/>
      <c r="AH1944" s="25">
        <v>45807</v>
      </c>
      <c r="AI1944" s="36" t="str">
        <f>IF(DadosViagem5[[#This Row],[Dias em manutenção ]]&lt;5,"Dentro do Prazo","Fora do Prazo")</f>
        <v>Fora do Prazo</v>
      </c>
      <c r="AJ1944" s="68" t="e">
        <v>#REF!</v>
      </c>
    </row>
    <row r="1945" spans="1:36">
      <c r="A1945" s="19" t="s">
        <v>3150</v>
      </c>
      <c r="B1945" s="20"/>
      <c r="C1945" s="19"/>
      <c r="D1945" s="19"/>
      <c r="E1945" s="19"/>
      <c r="F1945" s="19"/>
      <c r="G1945" s="19"/>
      <c r="H1945" s="19"/>
      <c r="I1945" s="19" t="s">
        <v>41</v>
      </c>
      <c r="J1945" s="19" t="e">
        <v>#N/A</v>
      </c>
      <c r="K1945" s="19" t="s">
        <v>3102</v>
      </c>
      <c r="L1945" s="22" t="s">
        <v>2906</v>
      </c>
      <c r="M1945" s="23" t="s">
        <v>2847</v>
      </c>
      <c r="N1945" s="36" t="s">
        <v>3103</v>
      </c>
      <c r="O1945" s="25" t="s">
        <v>2908</v>
      </c>
      <c r="P1945" s="26" t="str">
        <f>IFERROR(VLOOKUP(DadosViagem5[[#This Row],[Placa]],[1]BIP!A:E,5,FALSE),"")</f>
        <v/>
      </c>
      <c r="Q1945" s="27" t="e">
        <f ca="1">DATEDIF(DadosViagem5[[#This Row],[BIP]],TODAY(),"D")</f>
        <v>#VALUE!</v>
      </c>
      <c r="R1945" s="28" t="str">
        <f>IFERROR(VLOOKUP(DadosViagem5[[#This Row],[Placa]],[1]DDS!B:C,2,FALSE),"Verificar cadastro")</f>
        <v> </v>
      </c>
      <c r="S1945" s="29" t="s">
        <v>48</v>
      </c>
      <c r="T1945" s="23"/>
      <c r="U1945" s="30"/>
      <c r="V1945" s="31"/>
      <c r="W1945" s="43" t="s">
        <v>384</v>
      </c>
      <c r="X1945" s="33"/>
      <c r="Y1945" s="34"/>
      <c r="Z1945" s="32"/>
      <c r="AA1945" s="20" t="s">
        <v>49</v>
      </c>
      <c r="AB1945" s="20" t="s">
        <v>49</v>
      </c>
      <c r="AC1945" s="20" t="s">
        <v>49</v>
      </c>
      <c r="AD1945" s="20" t="s">
        <v>49</v>
      </c>
      <c r="AE1945" s="36"/>
      <c r="AF1945" s="25"/>
      <c r="AG1945" s="36"/>
      <c r="AH1945" s="25">
        <v>45807</v>
      </c>
      <c r="AI1945" s="36" t="str">
        <f>IF(DadosViagem5[[#This Row],[Dias em manutenção ]]&lt;5,"Dentro do Prazo","Fora do Prazo")</f>
        <v>Fora do Prazo</v>
      </c>
      <c r="AJ1945" s="68" t="e">
        <v>#REF!</v>
      </c>
    </row>
    <row r="1946" spans="1:36">
      <c r="A1946" s="19" t="s">
        <v>3151</v>
      </c>
      <c r="B1946" s="20"/>
      <c r="C1946" s="19"/>
      <c r="D1946" s="19"/>
      <c r="E1946" s="19"/>
      <c r="F1946" s="19"/>
      <c r="G1946" s="19"/>
      <c r="H1946" s="19"/>
      <c r="I1946" s="37" t="s">
        <v>41</v>
      </c>
      <c r="J1946" s="37" t="e">
        <v>#N/A</v>
      </c>
      <c r="K1946" s="37" t="s">
        <v>3102</v>
      </c>
      <c r="L1946" s="72" t="s">
        <v>2906</v>
      </c>
      <c r="M1946" s="23" t="s">
        <v>2847</v>
      </c>
      <c r="N1946" s="24" t="s">
        <v>3103</v>
      </c>
      <c r="O1946" s="40" t="s">
        <v>2908</v>
      </c>
      <c r="P1946" s="26" t="str">
        <f>IFERROR(VLOOKUP(DadosViagem5[[#This Row],[Placa]],[1]BIP!A:E,5,FALSE),"")</f>
        <v/>
      </c>
      <c r="Q1946" s="27" t="e">
        <f ca="1">DATEDIF(DadosViagem5[[#This Row],[BIP]],TODAY(),"D")</f>
        <v>#VALUE!</v>
      </c>
      <c r="R1946" s="28" t="str">
        <f>IFERROR(VLOOKUP(DadosViagem5[[#This Row],[Placa]],[1]DDS!B:C,2,FALSE),"Verificar cadastro")</f>
        <v> </v>
      </c>
      <c r="S1946" s="29" t="s">
        <v>48</v>
      </c>
      <c r="T1946" s="46"/>
      <c r="U1946" s="163"/>
      <c r="V1946" s="47"/>
      <c r="W1946" s="43" t="s">
        <v>384</v>
      </c>
      <c r="X1946" s="139"/>
      <c r="Y1946" s="34"/>
      <c r="Z1946" s="43"/>
      <c r="AA1946" s="135" t="s">
        <v>49</v>
      </c>
      <c r="AB1946" s="135" t="s">
        <v>49</v>
      </c>
      <c r="AC1946" s="135" t="s">
        <v>49</v>
      </c>
      <c r="AD1946" s="135" t="s">
        <v>49</v>
      </c>
      <c r="AE1946" s="24"/>
      <c r="AF1946" s="40"/>
      <c r="AG1946" s="24"/>
      <c r="AH1946" s="40">
        <v>45807</v>
      </c>
      <c r="AI1946" s="24" t="str">
        <f>IF(DadosViagem5[[#This Row],[Dias em manutenção ]]&lt;5,"Dentro do Prazo","Fora do Prazo")</f>
        <v>Fora do Prazo</v>
      </c>
      <c r="AJ1946" s="68" t="e">
        <v>#REF!</v>
      </c>
    </row>
    <row r="1947" spans="1:36">
      <c r="A1947" s="19" t="s">
        <v>3152</v>
      </c>
      <c r="B1947" s="20"/>
      <c r="C1947" s="19"/>
      <c r="D1947" s="19"/>
      <c r="E1947" s="19"/>
      <c r="F1947" s="19"/>
      <c r="G1947" s="19"/>
      <c r="H1947" s="19"/>
      <c r="I1947" s="37" t="s">
        <v>41</v>
      </c>
      <c r="J1947" s="37" t="e">
        <v>#N/A</v>
      </c>
      <c r="K1947" s="37" t="s">
        <v>3102</v>
      </c>
      <c r="L1947" s="39" t="s">
        <v>2906</v>
      </c>
      <c r="M1947" s="23" t="s">
        <v>2847</v>
      </c>
      <c r="N1947" s="24" t="s">
        <v>3103</v>
      </c>
      <c r="O1947" s="40" t="s">
        <v>2908</v>
      </c>
      <c r="P1947" s="26" t="str">
        <f>IFERROR(VLOOKUP(DadosViagem5[[#This Row],[Placa]],[1]BIP!A:E,5,FALSE),"")</f>
        <v/>
      </c>
      <c r="Q1947" s="27" t="e">
        <f ca="1">DATEDIF(DadosViagem5[[#This Row],[BIP]],TODAY(),"D")</f>
        <v>#VALUE!</v>
      </c>
      <c r="R1947" s="28" t="str">
        <f>IFERROR(VLOOKUP(DadosViagem5[[#This Row],[Placa]],[1]DDS!B:C,2,FALSE),"Verificar cadastro")</f>
        <v> </v>
      </c>
      <c r="S1947" s="29" t="s">
        <v>48</v>
      </c>
      <c r="T1947" s="46"/>
      <c r="U1947" s="163"/>
      <c r="V1947" s="47"/>
      <c r="W1947" s="43" t="s">
        <v>384</v>
      </c>
      <c r="X1947" s="139"/>
      <c r="Y1947" s="96"/>
      <c r="Z1947" s="43"/>
      <c r="AA1947" s="135" t="s">
        <v>49</v>
      </c>
      <c r="AB1947" s="135" t="s">
        <v>49</v>
      </c>
      <c r="AC1947" s="135" t="s">
        <v>49</v>
      </c>
      <c r="AD1947" s="135" t="s">
        <v>49</v>
      </c>
      <c r="AE1947" s="24"/>
      <c r="AF1947" s="40"/>
      <c r="AG1947" s="24"/>
      <c r="AH1947" s="40">
        <v>45807</v>
      </c>
      <c r="AI1947" s="24" t="str">
        <f>IF(DadosViagem5[[#This Row],[Dias em manutenção ]]&lt;5,"Dentro do Prazo","Fora do Prazo")</f>
        <v>Fora do Prazo</v>
      </c>
      <c r="AJ1947" s="68" t="e">
        <v>#REF!</v>
      </c>
    </row>
    <row r="1948" spans="1:36">
      <c r="A1948" s="19" t="s">
        <v>3153</v>
      </c>
      <c r="B1948" s="20"/>
      <c r="C1948" s="19"/>
      <c r="D1948" s="19"/>
      <c r="E1948" s="19"/>
      <c r="F1948" s="19"/>
      <c r="G1948" s="19"/>
      <c r="H1948" s="19"/>
      <c r="I1948" s="37" t="s">
        <v>41</v>
      </c>
      <c r="J1948" s="37" t="e">
        <v>#N/A</v>
      </c>
      <c r="K1948" s="37" t="s">
        <v>3102</v>
      </c>
      <c r="L1948" s="39" t="s">
        <v>2906</v>
      </c>
      <c r="M1948" s="23" t="s">
        <v>2847</v>
      </c>
      <c r="N1948" s="24" t="s">
        <v>3103</v>
      </c>
      <c r="O1948" s="40" t="s">
        <v>2908</v>
      </c>
      <c r="P1948" s="26" t="str">
        <f>IFERROR(VLOOKUP(DadosViagem5[[#This Row],[Placa]],[1]BIP!A:E,5,FALSE),"")</f>
        <v/>
      </c>
      <c r="Q1948" s="27" t="e">
        <f ca="1">DATEDIF(DadosViagem5[[#This Row],[BIP]],TODAY(),"D")</f>
        <v>#VALUE!</v>
      </c>
      <c r="R1948" s="28" t="str">
        <f>IFERROR(VLOOKUP(DadosViagem5[[#This Row],[Placa]],[1]DDS!B:C,2,FALSE),"Verificar cadastro")</f>
        <v> </v>
      </c>
      <c r="S1948" s="29" t="s">
        <v>48</v>
      </c>
      <c r="T1948" s="46"/>
      <c r="U1948" s="163"/>
      <c r="V1948" s="47"/>
      <c r="W1948" s="43" t="s">
        <v>384</v>
      </c>
      <c r="X1948" s="139"/>
      <c r="Y1948" s="96"/>
      <c r="Z1948" s="43"/>
      <c r="AA1948" s="135" t="s">
        <v>49</v>
      </c>
      <c r="AB1948" s="135" t="s">
        <v>49</v>
      </c>
      <c r="AC1948" s="135" t="s">
        <v>49</v>
      </c>
      <c r="AD1948" s="135" t="s">
        <v>49</v>
      </c>
      <c r="AE1948" s="24"/>
      <c r="AF1948" s="40"/>
      <c r="AG1948" s="24"/>
      <c r="AH1948" s="40">
        <v>45807</v>
      </c>
      <c r="AI1948" s="24" t="str">
        <f>IF(DadosViagem5[[#This Row],[Dias em manutenção ]]&lt;5,"Dentro do Prazo","Fora do Prazo")</f>
        <v>Fora do Prazo</v>
      </c>
      <c r="AJ1948" s="68" t="e">
        <v>#REF!</v>
      </c>
    </row>
    <row r="1949" spans="1:36">
      <c r="A1949" s="19" t="s">
        <v>3154</v>
      </c>
      <c r="B1949" s="20"/>
      <c r="C1949" s="19"/>
      <c r="D1949" s="19"/>
      <c r="E1949" s="19"/>
      <c r="F1949" s="19"/>
      <c r="G1949" s="19"/>
      <c r="H1949" s="19"/>
      <c r="I1949" s="37" t="s">
        <v>41</v>
      </c>
      <c r="J1949" s="37" t="e">
        <v>#N/A</v>
      </c>
      <c r="K1949" s="37" t="s">
        <v>3102</v>
      </c>
      <c r="L1949" s="39" t="s">
        <v>2906</v>
      </c>
      <c r="M1949" s="23" t="s">
        <v>2847</v>
      </c>
      <c r="N1949" s="24" t="s">
        <v>3103</v>
      </c>
      <c r="O1949" s="40" t="s">
        <v>2908</v>
      </c>
      <c r="P1949" s="26" t="str">
        <f>IFERROR(VLOOKUP(DadosViagem5[[#This Row],[Placa]],[1]BIP!A:E,5,FALSE),"")</f>
        <v/>
      </c>
      <c r="Q1949" s="27" t="e">
        <f ca="1">DATEDIF(DadosViagem5[[#This Row],[BIP]],TODAY(),"D")</f>
        <v>#VALUE!</v>
      </c>
      <c r="R1949" s="28" t="str">
        <f>IFERROR(VLOOKUP(DadosViagem5[[#This Row],[Placa]],[1]DDS!B:C,2,FALSE),"Verificar cadastro")</f>
        <v>Verificar cadastro</v>
      </c>
      <c r="S1949" s="29" t="s">
        <v>48</v>
      </c>
      <c r="T1949" s="46"/>
      <c r="U1949" s="163"/>
      <c r="V1949" s="47"/>
      <c r="W1949" s="43" t="s">
        <v>384</v>
      </c>
      <c r="X1949" s="139"/>
      <c r="Y1949" s="96"/>
      <c r="Z1949" s="43"/>
      <c r="AA1949" s="135" t="s">
        <v>49</v>
      </c>
      <c r="AB1949" s="135" t="s">
        <v>49</v>
      </c>
      <c r="AC1949" s="135" t="s">
        <v>49</v>
      </c>
      <c r="AD1949" s="135" t="s">
        <v>49</v>
      </c>
      <c r="AE1949" s="24"/>
      <c r="AF1949" s="40"/>
      <c r="AG1949" s="24"/>
      <c r="AH1949" s="40">
        <v>45807</v>
      </c>
      <c r="AI1949" s="24" t="str">
        <f>IF(DadosViagem5[[#This Row],[Dias em manutenção ]]&lt;5,"Dentro do Prazo","Fora do Prazo")</f>
        <v>Fora do Prazo</v>
      </c>
      <c r="AJ1949" s="68" t="e">
        <v>#REF!</v>
      </c>
    </row>
    <row r="1950" spans="1:36">
      <c r="A1950" s="19" t="s">
        <v>3155</v>
      </c>
      <c r="B1950" s="20"/>
      <c r="C1950" s="19" t="s">
        <v>2937</v>
      </c>
      <c r="D1950" s="19" t="s">
        <v>264</v>
      </c>
      <c r="E1950" s="19" t="s">
        <v>53</v>
      </c>
      <c r="F1950" s="19" t="s">
        <v>2941</v>
      </c>
      <c r="G1950" s="19"/>
      <c r="H1950" s="194">
        <v>2022</v>
      </c>
      <c r="I1950" s="37" t="s">
        <v>41</v>
      </c>
      <c r="J1950" s="37" t="e">
        <v>#N/A</v>
      </c>
      <c r="K1950" s="38" t="s">
        <v>3156</v>
      </c>
      <c r="L1950" s="39" t="s">
        <v>2906</v>
      </c>
      <c r="M1950" s="23" t="s">
        <v>2847</v>
      </c>
      <c r="N1950" s="24" t="s">
        <v>2991</v>
      </c>
      <c r="O1950" s="40" t="s">
        <v>2908</v>
      </c>
      <c r="P1950" s="26">
        <f ca="1">IFERROR(VLOOKUP(DadosViagem5[[#This Row],[Placa]],[1]BIP!A:E,5,FALSE),"")</f>
        <v>0</v>
      </c>
      <c r="Q1950" s="27">
        <f ca="1">DATEDIF(DadosViagem5[[#This Row],[BIP]],TODAY(),"D")</f>
        <v>45990</v>
      </c>
      <c r="R1950" s="28" t="str">
        <f>IFERROR(VLOOKUP(DadosViagem5[[#This Row],[Placa]],[1]DDS!B:C,2,FALSE),"Verificar cadastro")</f>
        <v> </v>
      </c>
      <c r="S1950" s="29" t="s">
        <v>48</v>
      </c>
      <c r="T1950" s="46"/>
      <c r="U1950" s="163"/>
      <c r="V1950" s="47"/>
      <c r="W1950" s="43" t="s">
        <v>384</v>
      </c>
      <c r="X1950" s="139" t="s">
        <v>55</v>
      </c>
      <c r="Y1950" s="96" t="s">
        <v>49</v>
      </c>
      <c r="Z1950" s="43"/>
      <c r="AA1950" s="135" t="s">
        <v>49</v>
      </c>
      <c r="AB1950" s="135" t="s">
        <v>49</v>
      </c>
      <c r="AC1950" s="37" t="s">
        <v>49</v>
      </c>
      <c r="AD1950" s="37" t="str">
        <f ca="1">IFERROR(DATEDIF(DadosViagem5[[#This Row],[Utimo Bip Reserva]],TODAY(),"D"),"")</f>
        <v/>
      </c>
      <c r="AE1950" s="40" t="s">
        <v>49</v>
      </c>
      <c r="AF1950" s="40" t="s">
        <v>49</v>
      </c>
      <c r="AG1950" s="24"/>
      <c r="AH1950" s="40">
        <v>45807</v>
      </c>
      <c r="AI1950" s="24" t="str">
        <f>IF(DadosViagem5[[#This Row],[Dias em manutenção ]]&lt;5,"Dentro do Prazo","Fora do Prazo")</f>
        <v>Fora do Prazo</v>
      </c>
      <c r="AJ1950" s="68" t="e">
        <v>#REF!</v>
      </c>
    </row>
    <row r="1951" spans="1:36">
      <c r="A1951" s="19" t="s">
        <v>3157</v>
      </c>
      <c r="B1951" s="20"/>
      <c r="C1951" s="19" t="s">
        <v>2937</v>
      </c>
      <c r="D1951" s="19" t="s">
        <v>264</v>
      </c>
      <c r="E1951" s="19" t="s">
        <v>53</v>
      </c>
      <c r="F1951" s="19" t="s">
        <v>2941</v>
      </c>
      <c r="G1951" s="19"/>
      <c r="H1951" s="20">
        <v>2022</v>
      </c>
      <c r="I1951" s="37" t="s">
        <v>41</v>
      </c>
      <c r="J1951" s="37" t="e">
        <v>#N/A</v>
      </c>
      <c r="K1951" s="38" t="s">
        <v>3156</v>
      </c>
      <c r="L1951" s="39" t="s">
        <v>2906</v>
      </c>
      <c r="M1951" s="46" t="s">
        <v>2847</v>
      </c>
      <c r="N1951" s="24" t="s">
        <v>3158</v>
      </c>
      <c r="O1951" s="40" t="s">
        <v>2908</v>
      </c>
      <c r="P1951" s="26">
        <f ca="1">IFERROR(VLOOKUP(DadosViagem5[[#This Row],[Placa]],[1]BIP!A:E,5,FALSE),"")</f>
        <v>0</v>
      </c>
      <c r="Q1951" s="27">
        <f ca="1">DATEDIF(DadosViagem5[[#This Row],[BIP]],TODAY(),"D")</f>
        <v>45990</v>
      </c>
      <c r="R1951" s="28" t="str">
        <f>IFERROR(VLOOKUP(DadosViagem5[[#This Row],[Placa]],[1]DDS!B:C,2,FALSE),"Verificar cadastro")</f>
        <v> </v>
      </c>
      <c r="S1951" s="29" t="s">
        <v>48</v>
      </c>
      <c r="T1951" s="46"/>
      <c r="U1951" s="163"/>
      <c r="V1951" s="47"/>
      <c r="W1951" s="43" t="s">
        <v>384</v>
      </c>
      <c r="X1951" s="139"/>
      <c r="Y1951" s="96"/>
      <c r="Z1951" s="43"/>
      <c r="AA1951" s="135" t="s">
        <v>49</v>
      </c>
      <c r="AB1951" s="135" t="s">
        <v>49</v>
      </c>
      <c r="AC1951" s="37" t="s">
        <v>49</v>
      </c>
      <c r="AD1951" s="37" t="str">
        <f ca="1">IFERROR(DATEDIF(DadosViagem5[[#This Row],[Utimo Bip Reserva]],TODAY(),"D"),"")</f>
        <v/>
      </c>
      <c r="AE1951" s="40" t="s">
        <v>49</v>
      </c>
      <c r="AF1951" s="40" t="s">
        <v>49</v>
      </c>
      <c r="AG1951" s="24"/>
      <c r="AH1951" s="40">
        <v>45807</v>
      </c>
      <c r="AI1951" s="24" t="str">
        <f>IF(DadosViagem5[[#This Row],[Dias em manutenção ]]&lt;5,"Dentro do Prazo","Fora do Prazo")</f>
        <v>Fora do Prazo</v>
      </c>
      <c r="AJ1951" s="68" t="e">
        <v>#REF!</v>
      </c>
    </row>
    <row r="1952" spans="1:36">
      <c r="A1952" s="19" t="s">
        <v>3159</v>
      </c>
      <c r="B1952" s="20"/>
      <c r="C1952" s="19" t="s">
        <v>88</v>
      </c>
      <c r="D1952" s="19" t="s">
        <v>52</v>
      </c>
      <c r="E1952" s="19" t="s">
        <v>57</v>
      </c>
      <c r="F1952" s="19" t="s">
        <v>40</v>
      </c>
      <c r="G1952" s="19"/>
      <c r="H1952" s="20">
        <v>2023</v>
      </c>
      <c r="I1952" s="37" t="s">
        <v>1040</v>
      </c>
      <c r="J1952" s="37" t="s">
        <v>2808</v>
      </c>
      <c r="K1952" s="38" t="s">
        <v>2809</v>
      </c>
      <c r="L1952" s="39" t="s">
        <v>60</v>
      </c>
      <c r="M1952" s="23" t="s">
        <v>45</v>
      </c>
      <c r="N1952" s="24" t="s">
        <v>1458</v>
      </c>
      <c r="O1952" s="24" t="s">
        <v>1152</v>
      </c>
      <c r="P1952" s="26">
        <f ca="1">IFERROR(VLOOKUP(DadosViagem5[[#This Row],[Placa]],[1]BIP!A:E,5,FALSE),"")</f>
        <v>45989</v>
      </c>
      <c r="Q1952" s="27">
        <f ca="1">DATEDIF(DadosViagem5[[#This Row],[BIP]],TODAY(),"D")</f>
        <v>1</v>
      </c>
      <c r="R1952" s="28" t="str">
        <f>IFERROR(VLOOKUP(DadosViagem5[[#This Row],[Placa]],[1]DDS!B:C,2,FALSE),"Verificar cadastro")</f>
        <v>Operando</v>
      </c>
      <c r="S1952" s="29" t="s">
        <v>48</v>
      </c>
      <c r="T1952" s="46"/>
      <c r="U1952" s="163"/>
      <c r="V1952" s="47"/>
      <c r="W1952" s="43"/>
      <c r="X1952" s="139"/>
      <c r="Y1952" s="96"/>
      <c r="Z1952" s="43"/>
      <c r="AA1952" s="135" t="s">
        <v>49</v>
      </c>
      <c r="AB1952" s="135" t="s">
        <v>49</v>
      </c>
      <c r="AC1952" s="135" t="s">
        <v>49</v>
      </c>
      <c r="AD1952" s="135" t="s">
        <v>49</v>
      </c>
      <c r="AE1952" s="24"/>
      <c r="AF1952" s="40"/>
      <c r="AG1952" s="24"/>
      <c r="AH1952" s="40">
        <v>45807</v>
      </c>
      <c r="AI1952" s="24" t="str">
        <f>IF(DadosViagem5[[#This Row],[Dias em manutenção ]]&lt;5,"Dentro do Prazo","Fora do Prazo")</f>
        <v>Fora do Prazo</v>
      </c>
      <c r="AJ1952" s="68" t="e">
        <v>#REF!</v>
      </c>
    </row>
    <row r="1953" spans="1:36">
      <c r="A1953" s="19" t="s">
        <v>3160</v>
      </c>
      <c r="B1953" s="20"/>
      <c r="C1953" s="19" t="s">
        <v>1013</v>
      </c>
      <c r="D1953" s="19" t="s">
        <v>1014</v>
      </c>
      <c r="E1953" s="19" t="s">
        <v>114</v>
      </c>
      <c r="F1953" s="19" t="s">
        <v>115</v>
      </c>
      <c r="G1953" s="19"/>
      <c r="H1953" s="20">
        <v>2023</v>
      </c>
      <c r="I1953" s="37" t="s">
        <v>137</v>
      </c>
      <c r="J1953" s="37" t="s">
        <v>1368</v>
      </c>
      <c r="K1953" s="38" t="s">
        <v>3161</v>
      </c>
      <c r="L1953" s="39" t="s">
        <v>60</v>
      </c>
      <c r="M1953" s="23" t="s">
        <v>268</v>
      </c>
      <c r="N1953" s="24" t="s">
        <v>1370</v>
      </c>
      <c r="O1953" s="24" t="s">
        <v>1371</v>
      </c>
      <c r="P1953" s="26">
        <f ca="1">IFERROR(VLOOKUP(DadosViagem5[[#This Row],[Placa]],[1]BIP!A:E,5,FALSE),"")</f>
        <v>45989</v>
      </c>
      <c r="Q1953" s="27">
        <f ca="1">DATEDIF(DadosViagem5[[#This Row],[BIP]],TODAY(),"D")</f>
        <v>1</v>
      </c>
      <c r="R1953" s="28" t="str">
        <f>IFERROR(VLOOKUP(DadosViagem5[[#This Row],[Placa]],[1]DDS!B:C,2,FALSE),"Verificar cadastro")</f>
        <v>Operando</v>
      </c>
      <c r="S1953" s="29" t="s">
        <v>48</v>
      </c>
      <c r="T1953" s="46"/>
      <c r="U1953" s="163"/>
      <c r="V1953" s="47"/>
      <c r="W1953" s="43"/>
      <c r="X1953" s="139"/>
      <c r="Y1953" s="96" t="s">
        <v>49</v>
      </c>
      <c r="Z1953" s="43"/>
      <c r="AA1953" s="135" t="s">
        <v>49</v>
      </c>
      <c r="AB1953" s="135" t="s">
        <v>49</v>
      </c>
      <c r="AC1953" s="37" t="s">
        <v>49</v>
      </c>
      <c r="AD1953" s="37" t="str">
        <f ca="1">IFERROR(DATEDIF(DadosViagem5[[#This Row],[Utimo Bip Reserva]],TODAY(),"D"),"")</f>
        <v/>
      </c>
      <c r="AE1953" s="24" t="s">
        <v>49</v>
      </c>
      <c r="AF1953" s="40" t="s">
        <v>49</v>
      </c>
      <c r="AG1953" s="24"/>
      <c r="AH1953" s="40">
        <v>45807</v>
      </c>
      <c r="AI1953" s="24" t="str">
        <f>IF(DadosViagem5[[#This Row],[Dias em manutenção ]]&lt;5,"Dentro do Prazo","Fora do Prazo")</f>
        <v>Fora do Prazo</v>
      </c>
      <c r="AJ1953" s="68" t="e">
        <v>#REF!</v>
      </c>
    </row>
    <row r="1954" spans="1:36">
      <c r="A1954" s="19" t="s">
        <v>3162</v>
      </c>
      <c r="B1954" s="20"/>
      <c r="C1954" s="19" t="s">
        <v>88</v>
      </c>
      <c r="D1954" s="19" t="s">
        <v>52</v>
      </c>
      <c r="E1954" s="19" t="s">
        <v>114</v>
      </c>
      <c r="F1954" s="19" t="s">
        <v>115</v>
      </c>
      <c r="G1954" s="19"/>
      <c r="H1954" s="20">
        <v>2022</v>
      </c>
      <c r="I1954" s="37" t="s">
        <v>2670</v>
      </c>
      <c r="J1954" s="37" t="s">
        <v>2671</v>
      </c>
      <c r="K1954" s="38" t="s">
        <v>2672</v>
      </c>
      <c r="L1954" s="39" t="s">
        <v>60</v>
      </c>
      <c r="M1954" s="23" t="s">
        <v>290</v>
      </c>
      <c r="N1954" s="24" t="s">
        <v>2673</v>
      </c>
      <c r="O1954" s="24" t="s">
        <v>2674</v>
      </c>
      <c r="P1954" s="26">
        <f ca="1">IFERROR(VLOOKUP(DadosViagem5[[#This Row],[Placa]],[1]BIP!A:E,5,FALSE),"")</f>
        <v>45941</v>
      </c>
      <c r="Q1954" s="27">
        <f ca="1">DATEDIF(DadosViagem5[[#This Row],[BIP]],TODAY(),"D")</f>
        <v>49</v>
      </c>
      <c r="R1954" s="28" t="str">
        <f>IFERROR(VLOOKUP(DadosViagem5[[#This Row],[Placa]],[1]DDS!B:C,2,FALSE),"Verificar cadastro")</f>
        <v> </v>
      </c>
      <c r="S1954" s="29" t="s">
        <v>48</v>
      </c>
      <c r="T1954" s="46"/>
      <c r="U1954" s="163"/>
      <c r="V1954" s="47"/>
      <c r="W1954" s="43"/>
      <c r="X1954" s="139"/>
      <c r="Y1954" s="96"/>
      <c r="Z1954" s="63"/>
      <c r="AA1954" s="135" t="s">
        <v>49</v>
      </c>
      <c r="AB1954" s="135" t="s">
        <v>49</v>
      </c>
      <c r="AC1954" s="37" t="s">
        <v>49</v>
      </c>
      <c r="AD1954" s="37" t="str">
        <f ca="1">IFERROR(DATEDIF(DadosViagem5[[#This Row],[Utimo Bip Reserva]],TODAY(),"D"),"")</f>
        <v/>
      </c>
      <c r="AE1954" s="24" t="s">
        <v>49</v>
      </c>
      <c r="AF1954" s="40" t="s">
        <v>49</v>
      </c>
      <c r="AG1954" s="24"/>
      <c r="AH1954" s="40">
        <v>12</v>
      </c>
      <c r="AI1954" s="24" t="str">
        <f>IF(DadosViagem5[[#This Row],[Dias em manutenção ]]&lt;5,"Dentro do Prazo","Fora do Prazo")</f>
        <v>Fora do Prazo</v>
      </c>
      <c r="AJ1954" s="68" t="e">
        <v>#REF!</v>
      </c>
    </row>
    <row r="1955" spans="1:36">
      <c r="A1955" s="19" t="s">
        <v>3163</v>
      </c>
      <c r="B1955" s="20"/>
      <c r="C1955" s="19" t="s">
        <v>74</v>
      </c>
      <c r="D1955" s="19" t="s">
        <v>52</v>
      </c>
      <c r="E1955" s="19" t="s">
        <v>75</v>
      </c>
      <c r="F1955" s="19" t="s">
        <v>76</v>
      </c>
      <c r="G1955" s="19"/>
      <c r="H1955" s="20">
        <v>2023</v>
      </c>
      <c r="I1955" s="37" t="s">
        <v>456</v>
      </c>
      <c r="J1955" s="37" t="s">
        <v>895</v>
      </c>
      <c r="K1955" s="38" t="s">
        <v>896</v>
      </c>
      <c r="L1955" s="39" t="s">
        <v>60</v>
      </c>
      <c r="M1955" s="23" t="s">
        <v>77</v>
      </c>
      <c r="N1955" s="24"/>
      <c r="O1955" s="24"/>
      <c r="P1955" s="26">
        <f ca="1">IFERROR(VLOOKUP(DadosViagem5[[#This Row],[Placa]],[1]BIP!A:E,5,FALSE),"")</f>
        <v>45989</v>
      </c>
      <c r="Q1955" s="27">
        <f ca="1">DATEDIF(DadosViagem5[[#This Row],[BIP]],TODAY(),"D")</f>
        <v>1</v>
      </c>
      <c r="R1955" s="28" t="str">
        <f>IFERROR(VLOOKUP(DadosViagem5[[#This Row],[Placa]],[1]DDS!B:C,2,FALSE),"Verificar cadastro")</f>
        <v>Operando</v>
      </c>
      <c r="S1955" s="29" t="s">
        <v>48</v>
      </c>
      <c r="T1955" s="46"/>
      <c r="U1955" s="163"/>
      <c r="V1955" s="47"/>
      <c r="W1955" s="43"/>
      <c r="X1955" s="139"/>
      <c r="Y1955" s="96"/>
      <c r="Z1955" s="43"/>
      <c r="AA1955" s="135" t="s">
        <v>49</v>
      </c>
      <c r="AB1955" s="135" t="s">
        <v>49</v>
      </c>
      <c r="AC1955" s="135" t="s">
        <v>49</v>
      </c>
      <c r="AD1955" s="135" t="s">
        <v>49</v>
      </c>
      <c r="AE1955" s="24"/>
      <c r="AF1955" s="40"/>
      <c r="AG1955" s="24"/>
      <c r="AH1955" s="40">
        <v>45807</v>
      </c>
      <c r="AI1955" s="24" t="str">
        <f>IF(DadosViagem5[[#This Row],[Dias em manutenção ]]&lt;5,"Dentro do Prazo","Fora do Prazo")</f>
        <v>Fora do Prazo</v>
      </c>
      <c r="AJ1955" s="68" t="e">
        <v>#REF!</v>
      </c>
    </row>
    <row r="1956" spans="1:36">
      <c r="A1956" s="19" t="s">
        <v>3164</v>
      </c>
      <c r="B1956" s="20"/>
      <c r="C1956" s="19" t="s">
        <v>88</v>
      </c>
      <c r="D1956" s="19" t="s">
        <v>52</v>
      </c>
      <c r="E1956" s="19" t="s">
        <v>114</v>
      </c>
      <c r="F1956" s="19" t="s">
        <v>115</v>
      </c>
      <c r="G1956" s="19"/>
      <c r="H1956" s="20">
        <v>2023</v>
      </c>
      <c r="I1956" s="37" t="s">
        <v>41</v>
      </c>
      <c r="J1956" s="37" t="s">
        <v>580</v>
      </c>
      <c r="K1956" s="38" t="s">
        <v>581</v>
      </c>
      <c r="L1956" s="39" t="s">
        <v>60</v>
      </c>
      <c r="M1956" s="46" t="s">
        <v>470</v>
      </c>
      <c r="N1956" s="24" t="s">
        <v>582</v>
      </c>
      <c r="O1956" s="24" t="s">
        <v>472</v>
      </c>
      <c r="P1956" s="111">
        <f ca="1">IFERROR(VLOOKUP(DadosViagem5[[#This Row],[Placa]],[1]BIP!A:E,5,FALSE),"")</f>
        <v>45673</v>
      </c>
      <c r="Q1956" s="112">
        <f ca="1">DATEDIF(DadosViagem5[[#This Row],[BIP]],TODAY(),"D")</f>
        <v>317</v>
      </c>
      <c r="R1956" s="113" t="str">
        <f>IFERROR(VLOOKUP(DadosViagem5[[#This Row],[Placa]],[1]DDS!B:C,2,FALSE),"Verificar cadastro")</f>
        <v>Manutenção</v>
      </c>
      <c r="S1956" s="36" t="s">
        <v>35</v>
      </c>
      <c r="T1956" s="23"/>
      <c r="U1956" s="30"/>
      <c r="V1956" s="31"/>
      <c r="W1956" s="43" t="s">
        <v>3165</v>
      </c>
      <c r="X1956" s="105"/>
      <c r="Y1956" s="106"/>
      <c r="Z1956" s="107" t="s">
        <v>3166</v>
      </c>
      <c r="AA1956" s="20"/>
      <c r="AB1956" s="20"/>
      <c r="AC1956" s="19"/>
      <c r="AD1956" s="19"/>
      <c r="AE1956" s="36"/>
      <c r="AF1956" s="25"/>
      <c r="AG1956" s="36"/>
      <c r="AH1956" s="25"/>
      <c r="AI1956" s="36"/>
      <c r="AJ1956" s="68"/>
    </row>
    <row r="1957" spans="1:36">
      <c r="A1957" s="19" t="s">
        <v>3167</v>
      </c>
      <c r="B1957" s="20"/>
      <c r="C1957" s="19" t="s">
        <v>88</v>
      </c>
      <c r="D1957" s="19" t="s">
        <v>52</v>
      </c>
      <c r="E1957" s="19" t="s">
        <v>114</v>
      </c>
      <c r="F1957" s="19" t="s">
        <v>115</v>
      </c>
      <c r="G1957" s="19"/>
      <c r="H1957" s="20"/>
      <c r="I1957" s="37" t="s">
        <v>41</v>
      </c>
      <c r="J1957" s="37" t="s">
        <v>580</v>
      </c>
      <c r="K1957" s="38" t="s">
        <v>581</v>
      </c>
      <c r="L1957" s="39" t="s">
        <v>60</v>
      </c>
      <c r="M1957" s="46" t="s">
        <v>470</v>
      </c>
      <c r="N1957" s="24" t="s">
        <v>582</v>
      </c>
      <c r="O1957" s="24" t="s">
        <v>472</v>
      </c>
      <c r="P1957" s="111">
        <f ca="1">IFERROR(VLOOKUP(DadosViagem5[[#This Row],[Placa]],[1]BIP!A:E,5,FALSE),"")</f>
        <v>45700</v>
      </c>
      <c r="Q1957" s="112">
        <f ca="1">DATEDIF(DadosViagem5[[#This Row],[BIP]],TODAY(),"D")</f>
        <v>290</v>
      </c>
      <c r="R1957" s="113" t="str">
        <f>IFERROR(VLOOKUP(DadosViagem5[[#This Row],[Placa]],[1]DDS!B:C,2,FALSE),"Verificar cadastro")</f>
        <v>Verificar cadastro</v>
      </c>
      <c r="S1957" s="36" t="s">
        <v>35</v>
      </c>
      <c r="T1957" s="23"/>
      <c r="U1957" s="30"/>
      <c r="V1957" s="31"/>
      <c r="W1957" s="43" t="s">
        <v>3168</v>
      </c>
      <c r="X1957" s="105"/>
      <c r="Y1957" s="106"/>
      <c r="Z1957" s="107" t="s">
        <v>3166</v>
      </c>
      <c r="AA1957" s="20"/>
      <c r="AB1957" s="20"/>
      <c r="AC1957" s="19"/>
      <c r="AD1957" s="19"/>
      <c r="AE1957" s="36"/>
      <c r="AF1957" s="25"/>
      <c r="AG1957" s="36"/>
      <c r="AH1957" s="25"/>
      <c r="AI1957" s="36"/>
      <c r="AJ1957" s="68"/>
    </row>
    <row r="1958" spans="1:36">
      <c r="A1958" s="19" t="s">
        <v>3169</v>
      </c>
      <c r="B1958" s="20"/>
      <c r="C1958" s="19" t="s">
        <v>74</v>
      </c>
      <c r="D1958" s="19" t="s">
        <v>52</v>
      </c>
      <c r="E1958" s="19" t="s">
        <v>75</v>
      </c>
      <c r="F1958" s="19" t="s">
        <v>76</v>
      </c>
      <c r="G1958" s="19"/>
      <c r="H1958" s="20">
        <v>2024</v>
      </c>
      <c r="I1958" s="195" t="s">
        <v>41</v>
      </c>
      <c r="J1958" s="195" t="s">
        <v>501</v>
      </c>
      <c r="K1958" s="196" t="s">
        <v>502</v>
      </c>
      <c r="L1958" s="197" t="s">
        <v>477</v>
      </c>
      <c r="M1958" s="23" t="s">
        <v>77</v>
      </c>
      <c r="N1958" s="198" t="s">
        <v>503</v>
      </c>
      <c r="O1958" s="198" t="s">
        <v>479</v>
      </c>
      <c r="P1958" s="199">
        <v>45944</v>
      </c>
      <c r="Q1958" s="200">
        <v>1</v>
      </c>
      <c r="R1958" s="113" t="str">
        <f>IFERROR(VLOOKUP(DadosViagem5[[#This Row],[Placa]],[1]DDS!B:C,2,FALSE),"Verificar cadastro")</f>
        <v>Manutenção</v>
      </c>
      <c r="S1958" s="29" t="s">
        <v>48</v>
      </c>
      <c r="T1958" s="23"/>
      <c r="U1958" s="30"/>
      <c r="V1958" s="31"/>
      <c r="W1958" s="43"/>
      <c r="X1958" s="105"/>
      <c r="Y1958" s="106"/>
      <c r="Z1958" s="107"/>
      <c r="AA1958" s="20"/>
      <c r="AB1958" s="20"/>
      <c r="AC1958" s="19"/>
      <c r="AD1958" s="19"/>
      <c r="AE1958" s="36"/>
      <c r="AF1958" s="25"/>
      <c r="AG1958" s="36"/>
      <c r="AH1958" s="25"/>
      <c r="AI1958" s="36"/>
      <c r="AJ1958" s="68"/>
    </row>
    <row r="1959" spans="1:36">
      <c r="A1959" s="19" t="s">
        <v>3170</v>
      </c>
      <c r="B1959" s="20"/>
      <c r="C1959" s="19" t="s">
        <v>88</v>
      </c>
      <c r="D1959" s="19" t="s">
        <v>52</v>
      </c>
      <c r="E1959" s="19" t="s">
        <v>57</v>
      </c>
      <c r="F1959" s="19"/>
      <c r="G1959" s="19"/>
      <c r="H1959" s="20">
        <v>2016</v>
      </c>
      <c r="I1959" s="19" t="s">
        <v>1040</v>
      </c>
      <c r="J1959" s="19" t="s">
        <v>2815</v>
      </c>
      <c r="K1959" s="21" t="s">
        <v>2816</v>
      </c>
      <c r="L1959" s="22" t="s">
        <v>60</v>
      </c>
      <c r="M1959" s="23" t="s">
        <v>45</v>
      </c>
      <c r="N1959" s="36" t="s">
        <v>2817</v>
      </c>
      <c r="O1959" s="36" t="s">
        <v>1152</v>
      </c>
      <c r="P1959" s="26" t="str">
        <f>IFERROR(VLOOKUP(DadosViagem5[[#This Row],[Placa]],[1]BIP!A:E,5,FALSE),"")</f>
        <v/>
      </c>
      <c r="Q1959" s="27" t="e">
        <f ca="1">DATEDIF(DadosViagem5[[#This Row],[BIP]],TODAY(),"D")</f>
        <v>#VALUE!</v>
      </c>
      <c r="R1959" s="28" t="str">
        <f>IFERROR(VLOOKUP(DadosViagem5[[#This Row],[Placa]],[1]DDS!B:C,2,FALSE),"Verificar cadastro")</f>
        <v>Operando</v>
      </c>
      <c r="S1959" s="29" t="s">
        <v>48</v>
      </c>
      <c r="T1959" s="23"/>
      <c r="U1959" s="30"/>
      <c r="V1959" s="31"/>
      <c r="W1959" s="43" t="s">
        <v>3171</v>
      </c>
      <c r="X1959" s="105"/>
      <c r="Y1959" s="106"/>
      <c r="Z1959" s="107"/>
      <c r="AA1959" s="20"/>
      <c r="AB1959" s="20"/>
      <c r="AC1959" s="19"/>
      <c r="AD1959" s="19"/>
      <c r="AE1959" s="36"/>
      <c r="AF1959" s="25"/>
      <c r="AG1959" s="36"/>
      <c r="AH1959" s="25"/>
      <c r="AI1959" s="36"/>
      <c r="AJ1959" s="68"/>
    </row>
    <row r="1960" spans="1:36">
      <c r="A1960" s="19" t="s">
        <v>3172</v>
      </c>
      <c r="B1960" s="20"/>
      <c r="C1960" s="19" t="s">
        <v>131</v>
      </c>
      <c r="D1960" s="19" t="s">
        <v>132</v>
      </c>
      <c r="E1960" s="19" t="s">
        <v>57</v>
      </c>
      <c r="F1960" s="19" t="s">
        <v>40</v>
      </c>
      <c r="G1960" s="19"/>
      <c r="H1960" s="20">
        <v>2025</v>
      </c>
      <c r="I1960" s="19" t="s">
        <v>137</v>
      </c>
      <c r="J1960" s="19" t="s">
        <v>138</v>
      </c>
      <c r="K1960" s="21" t="s">
        <v>139</v>
      </c>
      <c r="L1960" s="22" t="s">
        <v>60</v>
      </c>
      <c r="M1960" s="23" t="s">
        <v>140</v>
      </c>
      <c r="N1960" s="36" t="s">
        <v>141</v>
      </c>
      <c r="O1960" s="25" t="s">
        <v>142</v>
      </c>
      <c r="P1960" s="26">
        <v>0</v>
      </c>
      <c r="Q1960" s="27">
        <f ca="1">DATEDIF(DadosViagem5[[#This Row],[BIP]],TODAY(),"D")</f>
        <v>45990</v>
      </c>
      <c r="R1960" s="28" t="str">
        <f>IFERROR(VLOOKUP(DadosViagem5[[#This Row],[Placa]],[1]DDS!B:C,2,FALSE),"Verificar cadastro")</f>
        <v> </v>
      </c>
      <c r="S1960" s="29" t="s">
        <v>48</v>
      </c>
      <c r="T1960" s="23"/>
      <c r="U1960" s="30"/>
      <c r="V1960" s="31"/>
      <c r="W1960" s="43"/>
      <c r="X1960" s="105"/>
      <c r="Y1960" s="106"/>
      <c r="Z1960" s="107"/>
      <c r="AA1960" s="20"/>
      <c r="AB1960" s="20"/>
      <c r="AC1960" s="19"/>
      <c r="AD1960" s="19"/>
      <c r="AE1960" s="36"/>
      <c r="AF1960" s="25"/>
      <c r="AG1960" s="36"/>
      <c r="AH1960" s="25"/>
      <c r="AI1960" s="36"/>
      <c r="AJ1960" s="68"/>
    </row>
    <row r="1961" spans="1:36">
      <c r="A1961" s="19" t="s">
        <v>3173</v>
      </c>
      <c r="B1961" s="20"/>
      <c r="C1961" s="19" t="s">
        <v>131</v>
      </c>
      <c r="D1961" s="19" t="s">
        <v>132</v>
      </c>
      <c r="E1961" s="19" t="s">
        <v>57</v>
      </c>
      <c r="F1961" s="19" t="s">
        <v>40</v>
      </c>
      <c r="G1961" s="19"/>
      <c r="H1961" s="20">
        <v>2025</v>
      </c>
      <c r="I1961" s="19" t="s">
        <v>137</v>
      </c>
      <c r="J1961" s="19" t="s">
        <v>138</v>
      </c>
      <c r="K1961" s="21"/>
      <c r="L1961" s="22" t="s">
        <v>60</v>
      </c>
      <c r="M1961" s="23" t="s">
        <v>140</v>
      </c>
      <c r="N1961" s="36" t="s">
        <v>141</v>
      </c>
      <c r="O1961" s="25" t="s">
        <v>142</v>
      </c>
      <c r="P1961" s="26">
        <v>0</v>
      </c>
      <c r="Q1961" s="27">
        <f ca="1">DATEDIF(DadosViagem5[[#This Row],[BIP]],TODAY(),"D")</f>
        <v>45990</v>
      </c>
      <c r="R1961" s="28" t="str">
        <f>IFERROR(VLOOKUP(DadosViagem5[[#This Row],[Placa]],[1]DDS!B:C,2,FALSE),"Verificar cadastro")</f>
        <v>Operando</v>
      </c>
      <c r="S1961" s="29" t="s">
        <v>48</v>
      </c>
      <c r="T1961" s="23"/>
      <c r="U1961" s="30"/>
      <c r="V1961" s="31"/>
      <c r="W1961" s="43"/>
      <c r="X1961" s="105"/>
      <c r="Y1961" s="106"/>
      <c r="Z1961" s="107"/>
      <c r="AA1961" s="20"/>
      <c r="AB1961" s="20"/>
      <c r="AC1961" s="19"/>
      <c r="AD1961" s="19"/>
      <c r="AE1961" s="36"/>
      <c r="AF1961" s="25"/>
      <c r="AG1961" s="36"/>
      <c r="AH1961" s="25"/>
      <c r="AI1961" s="36"/>
      <c r="AJ1961" s="68"/>
    </row>
    <row r="1962" spans="1:36">
      <c r="A1962" s="19" t="s">
        <v>3174</v>
      </c>
      <c r="B1962" s="20"/>
      <c r="C1962" s="19" t="s">
        <v>2946</v>
      </c>
      <c r="D1962" s="19" t="s">
        <v>300</v>
      </c>
      <c r="E1962" s="19" t="s">
        <v>57</v>
      </c>
      <c r="F1962" s="19"/>
      <c r="G1962" s="19"/>
      <c r="H1962" s="20">
        <v>2025</v>
      </c>
      <c r="I1962" s="19" t="s">
        <v>41</v>
      </c>
      <c r="J1962" s="19" t="s">
        <v>266</v>
      </c>
      <c r="K1962" s="21" t="s">
        <v>267</v>
      </c>
      <c r="L1962" s="22" t="s">
        <v>60</v>
      </c>
      <c r="M1962" s="46" t="s">
        <v>470</v>
      </c>
      <c r="N1962" s="36" t="s">
        <v>269</v>
      </c>
      <c r="O1962" s="36" t="s">
        <v>270</v>
      </c>
      <c r="P1962" s="26">
        <v>0</v>
      </c>
      <c r="Q1962" s="27">
        <f ca="1">DATEDIF(DadosViagem5[[#This Row],[BIP]],TODAY(),"D")</f>
        <v>45990</v>
      </c>
      <c r="R1962" s="28" t="str">
        <f>IFERROR(VLOOKUP(DadosViagem5[[#This Row],[Placa]],[1]DDS!B:C,2,FALSE),"Verificar cadastro")</f>
        <v> </v>
      </c>
      <c r="S1962" s="36" t="s">
        <v>173</v>
      </c>
      <c r="T1962" s="23"/>
      <c r="U1962" s="30"/>
      <c r="V1962" s="31"/>
      <c r="W1962" s="43"/>
      <c r="X1962" s="105"/>
      <c r="Y1962" s="106"/>
      <c r="Z1962" s="107"/>
      <c r="AA1962" s="20"/>
      <c r="AB1962" s="20"/>
      <c r="AC1962" s="19"/>
      <c r="AD1962" s="19"/>
      <c r="AE1962" s="36"/>
      <c r="AF1962" s="25"/>
      <c r="AG1962" s="36"/>
      <c r="AH1962" s="25"/>
      <c r="AI1962" s="36"/>
      <c r="AJ1962" s="68"/>
    </row>
    <row r="1963" spans="1:36">
      <c r="A1963" s="19" t="s">
        <v>3175</v>
      </c>
      <c r="B1963" s="20"/>
      <c r="C1963" s="19" t="s">
        <v>74</v>
      </c>
      <c r="D1963" s="19" t="s">
        <v>52</v>
      </c>
      <c r="E1963" s="19" t="s">
        <v>75</v>
      </c>
      <c r="F1963" s="19" t="s">
        <v>76</v>
      </c>
      <c r="G1963" s="19"/>
      <c r="H1963" s="20">
        <v>2024</v>
      </c>
      <c r="I1963" s="195" t="s">
        <v>41</v>
      </c>
      <c r="J1963" s="195" t="s">
        <v>501</v>
      </c>
      <c r="K1963" s="196" t="s">
        <v>502</v>
      </c>
      <c r="L1963" s="197" t="s">
        <v>477</v>
      </c>
      <c r="M1963" s="23" t="s">
        <v>77</v>
      </c>
      <c r="N1963" s="198" t="s">
        <v>503</v>
      </c>
      <c r="O1963" s="198" t="s">
        <v>479</v>
      </c>
      <c r="P1963" s="199">
        <v>45944</v>
      </c>
      <c r="Q1963" s="27">
        <f ca="1">DATEDIF(DadosViagem5[[#This Row],[BIP]],TODAY(),"D")</f>
        <v>46</v>
      </c>
      <c r="R1963" s="113" t="str">
        <f>IFERROR(VLOOKUP(DadosViagem5[[#This Row],[Placa]],[1]DDS!B:C,2,FALSE),"Verificar cadastro")</f>
        <v>Manutenção</v>
      </c>
      <c r="S1963" s="29" t="s">
        <v>48</v>
      </c>
      <c r="T1963" s="23"/>
      <c r="U1963" s="30"/>
      <c r="V1963" s="31"/>
      <c r="W1963" s="43"/>
      <c r="X1963" s="105"/>
      <c r="Y1963" s="106"/>
      <c r="Z1963" s="107"/>
      <c r="AA1963" s="20"/>
      <c r="AB1963" s="20"/>
      <c r="AC1963" s="19"/>
      <c r="AD1963" s="19"/>
      <c r="AE1963" s="36"/>
      <c r="AF1963" s="25"/>
      <c r="AG1963" s="36"/>
      <c r="AH1963" s="25"/>
      <c r="AI1963" s="36"/>
      <c r="AJ1963" s="68"/>
    </row>
    <row r="1964" spans="1:36">
      <c r="A1964" s="19" t="s">
        <v>3176</v>
      </c>
      <c r="B1964" s="20"/>
      <c r="C1964" s="19" t="s">
        <v>1013</v>
      </c>
      <c r="D1964" s="19" t="s">
        <v>1014</v>
      </c>
      <c r="E1964" s="19" t="s">
        <v>114</v>
      </c>
      <c r="F1964" s="19" t="s">
        <v>115</v>
      </c>
      <c r="G1964" s="19"/>
      <c r="H1964" s="20">
        <v>2023</v>
      </c>
      <c r="I1964" s="157" t="s">
        <v>41</v>
      </c>
      <c r="J1964" s="157" t="s">
        <v>1977</v>
      </c>
      <c r="K1964" s="196" t="s">
        <v>1978</v>
      </c>
      <c r="L1964" s="197" t="s">
        <v>60</v>
      </c>
      <c r="M1964" s="23" t="s">
        <v>268</v>
      </c>
      <c r="N1964" s="36" t="s">
        <v>1979</v>
      </c>
      <c r="O1964" s="36" t="s">
        <v>142</v>
      </c>
      <c r="P1964" s="26">
        <v>45931</v>
      </c>
      <c r="Q1964" s="27">
        <f ca="1">DATEDIF(DadosViagem5[[#This Row],[BIP]],TODAY(),"D")</f>
        <v>59</v>
      </c>
      <c r="R1964" s="55" t="s">
        <v>1955</v>
      </c>
      <c r="S1964" s="36" t="s">
        <v>1023</v>
      </c>
      <c r="T1964" s="23"/>
      <c r="U1964" s="30"/>
      <c r="V1964" s="31"/>
      <c r="W1964" s="43"/>
      <c r="X1964" s="105"/>
      <c r="Y1964" s="106" t="s">
        <v>49</v>
      </c>
      <c r="Z1964" s="107"/>
      <c r="AA1964" s="20" t="s">
        <v>49</v>
      </c>
      <c r="AB1964" s="20" t="s">
        <v>49</v>
      </c>
      <c r="AC1964" s="19" t="s">
        <v>49</v>
      </c>
      <c r="AD1964" s="19" t="s">
        <v>49</v>
      </c>
      <c r="AE1964" s="36" t="s">
        <v>49</v>
      </c>
      <c r="AF1964" s="25" t="s">
        <v>49</v>
      </c>
      <c r="AG1964" s="36"/>
      <c r="AH1964" s="25">
        <v>45807</v>
      </c>
      <c r="AI1964" s="36" t="s">
        <v>970</v>
      </c>
      <c r="AJ1964" s="68" t="e">
        <v>#REF!</v>
      </c>
    </row>
    <row r="1965" spans="1:36">
      <c r="A1965" s="19" t="s">
        <v>3177</v>
      </c>
      <c r="B1965" s="20"/>
      <c r="C1965" s="19" t="s">
        <v>74</v>
      </c>
      <c r="D1965" s="19" t="s">
        <v>52</v>
      </c>
      <c r="E1965" s="19" t="s">
        <v>75</v>
      </c>
      <c r="F1965" s="19" t="s">
        <v>76</v>
      </c>
      <c r="G1965" s="19"/>
      <c r="H1965" s="20">
        <v>2024</v>
      </c>
      <c r="I1965" s="195" t="s">
        <v>41</v>
      </c>
      <c r="J1965" s="195" t="s">
        <v>501</v>
      </c>
      <c r="K1965" s="196" t="s">
        <v>502</v>
      </c>
      <c r="L1965" s="197" t="s">
        <v>477</v>
      </c>
      <c r="M1965" s="23" t="s">
        <v>77</v>
      </c>
      <c r="N1965" s="198" t="s">
        <v>503</v>
      </c>
      <c r="O1965" s="198" t="s">
        <v>479</v>
      </c>
      <c r="P1965" s="199">
        <v>45944</v>
      </c>
      <c r="Q1965" s="27">
        <f ca="1">DATEDIF(DadosViagem5[[#This Row],[BIP]],TODAY(),"D")</f>
        <v>46</v>
      </c>
      <c r="R1965" s="113" t="str">
        <f>IFERROR(VLOOKUP(DadosViagem5[[#This Row],[Placa]],[1]DDS!B:C,2,FALSE),"Verificar cadastro")</f>
        <v>Manutenção</v>
      </c>
      <c r="S1965" s="29" t="s">
        <v>48</v>
      </c>
      <c r="T1965" s="23"/>
      <c r="U1965" s="30"/>
      <c r="V1965" s="31"/>
      <c r="W1965" s="43"/>
      <c r="X1965" s="105"/>
      <c r="Y1965" s="106"/>
      <c r="Z1965" s="107"/>
      <c r="AA1965" s="20"/>
      <c r="AB1965" s="20"/>
      <c r="AC1965" s="19"/>
      <c r="AD1965" s="19"/>
      <c r="AE1965" s="36"/>
      <c r="AF1965" s="25"/>
      <c r="AG1965" s="36"/>
      <c r="AH1965" s="25"/>
      <c r="AI1965" s="36"/>
      <c r="AJ1965" s="68"/>
    </row>
    <row r="1966" spans="1:36">
      <c r="A1966" s="19" t="s">
        <v>3178</v>
      </c>
      <c r="B1966" s="20"/>
      <c r="C1966" s="19" t="s">
        <v>74</v>
      </c>
      <c r="D1966" s="19" t="s">
        <v>52</v>
      </c>
      <c r="E1966" s="19" t="s">
        <v>75</v>
      </c>
      <c r="F1966" s="19" t="s">
        <v>76</v>
      </c>
      <c r="G1966" s="19"/>
      <c r="H1966" s="20">
        <v>2024</v>
      </c>
      <c r="I1966" s="201" t="s">
        <v>41</v>
      </c>
      <c r="J1966" s="201" t="s">
        <v>501</v>
      </c>
      <c r="K1966" s="56" t="s">
        <v>502</v>
      </c>
      <c r="L1966" s="202" t="s">
        <v>477</v>
      </c>
      <c r="M1966" s="23" t="s">
        <v>77</v>
      </c>
      <c r="N1966" s="198" t="s">
        <v>503</v>
      </c>
      <c r="O1966" s="198" t="s">
        <v>479</v>
      </c>
      <c r="P1966" s="199">
        <v>45944</v>
      </c>
      <c r="Q1966" s="27">
        <f ca="1">DATEDIF(DadosViagem5[[#This Row],[BIP]],TODAY(),"D")</f>
        <v>46</v>
      </c>
      <c r="R1966" s="113"/>
      <c r="S1966" s="29" t="s">
        <v>48</v>
      </c>
      <c r="T1966" s="23"/>
      <c r="U1966" s="30"/>
      <c r="V1966" s="31"/>
      <c r="W1966" s="43"/>
      <c r="X1966" s="105"/>
      <c r="Y1966" s="106"/>
      <c r="Z1966" s="107"/>
      <c r="AA1966" s="20"/>
      <c r="AB1966" s="20"/>
      <c r="AC1966" s="19"/>
      <c r="AD1966" s="19"/>
      <c r="AE1966" s="36"/>
      <c r="AF1966" s="25"/>
      <c r="AG1966" s="36"/>
      <c r="AH1966" s="25"/>
      <c r="AI1966" s="36"/>
      <c r="AJ1966" s="68"/>
    </row>
    <row r="1967" spans="1:36">
      <c r="A1967" s="19" t="s">
        <v>3179</v>
      </c>
      <c r="B1967" s="20"/>
      <c r="C1967" s="19" t="s">
        <v>131</v>
      </c>
      <c r="D1967" s="19" t="s">
        <v>132</v>
      </c>
      <c r="E1967" s="19" t="s">
        <v>57</v>
      </c>
      <c r="F1967" s="19"/>
      <c r="G1967" s="19"/>
      <c r="H1967" s="20">
        <v>2013</v>
      </c>
      <c r="I1967" s="37" t="s">
        <v>1738</v>
      </c>
      <c r="J1967" s="37" t="s">
        <v>2052</v>
      </c>
      <c r="K1967" s="38" t="s">
        <v>2113</v>
      </c>
      <c r="L1967" s="39" t="s">
        <v>60</v>
      </c>
      <c r="M1967" s="46" t="s">
        <v>140</v>
      </c>
      <c r="N1967" s="40" t="s">
        <v>2053</v>
      </c>
      <c r="O1967" s="40" t="s">
        <v>1713</v>
      </c>
      <c r="P1967" s="111" t="str">
        <f>IFERROR(VLOOKUP(DadosViagem5[[#This Row],[Placa]],[1]BIP!A:E,5,FALSE),"")</f>
        <v/>
      </c>
      <c r="Q1967" s="112" t="e">
        <f ca="1">DATEDIF(DadosViagem5[[#This Row],[BIP]],TODAY(),"D")</f>
        <v>#VALUE!</v>
      </c>
      <c r="R1967" s="113" t="str">
        <f>IFERROR(VLOOKUP(DadosViagem5[[#This Row],[Placa]],[1]DDS!B:C,2,FALSE),"Verificar cadastro")</f>
        <v>Verificar cadastro</v>
      </c>
      <c r="S1967" s="84" t="s">
        <v>3180</v>
      </c>
      <c r="T1967" s="46"/>
      <c r="U1967" s="163"/>
      <c r="V1967" s="47"/>
      <c r="W1967" s="43"/>
      <c r="X1967" s="139"/>
      <c r="Y1967" s="96"/>
      <c r="Z1967" s="43"/>
      <c r="AA1967" s="135" t="s">
        <v>49</v>
      </c>
      <c r="AB1967" s="135" t="s">
        <v>49</v>
      </c>
      <c r="AC1967" s="37" t="s">
        <v>49</v>
      </c>
      <c r="AD1967" s="37" t="str">
        <f ca="1">IFERROR(DATEDIF(DadosViagem5[[#This Row],[Utimo Bip Reserva]],TODAY(),"D"),"")</f>
        <v/>
      </c>
      <c r="AE1967" s="24" t="s">
        <v>49</v>
      </c>
      <c r="AF1967" s="40" t="s">
        <v>49</v>
      </c>
      <c r="AG1967" s="24"/>
      <c r="AH1967" s="40">
        <v>45807</v>
      </c>
      <c r="AI1967" s="24" t="str">
        <f>IF(DadosViagem5[[#This Row],[Dias em manutenção ]]&lt;5,"Dentro do Prazo","Fora do Prazo")</f>
        <v>Fora do Prazo</v>
      </c>
      <c r="AJ1967" s="68" t="e">
        <v>#REF!</v>
      </c>
    </row>
    <row r="1968" spans="1:36">
      <c r="A1968" s="19" t="s">
        <v>3181</v>
      </c>
      <c r="B1968" s="20"/>
      <c r="C1968" s="19" t="s">
        <v>131</v>
      </c>
      <c r="D1968" s="19" t="s">
        <v>132</v>
      </c>
      <c r="E1968" s="19" t="s">
        <v>57</v>
      </c>
      <c r="F1968" s="19" t="s">
        <v>40</v>
      </c>
      <c r="G1968" s="19"/>
      <c r="H1968" s="20">
        <v>2025</v>
      </c>
      <c r="I1968" s="19" t="s">
        <v>137</v>
      </c>
      <c r="J1968" s="19" t="s">
        <v>138</v>
      </c>
      <c r="K1968" s="21" t="s">
        <v>139</v>
      </c>
      <c r="L1968" s="22" t="s">
        <v>60</v>
      </c>
      <c r="M1968" s="23" t="s">
        <v>140</v>
      </c>
      <c r="N1968" s="36" t="s">
        <v>141</v>
      </c>
      <c r="O1968" s="25" t="s">
        <v>142</v>
      </c>
      <c r="P1968" s="26">
        <v>0</v>
      </c>
      <c r="Q1968" s="27">
        <v>45950</v>
      </c>
      <c r="R1968" s="28" t="str">
        <f>IFERROR(VLOOKUP(DadosViagem5[[#This Row],[Placa]],[1]DDS!B:C,2,FALSE),"Verificar cadastro")</f>
        <v> </v>
      </c>
      <c r="S1968" s="29" t="s">
        <v>48</v>
      </c>
      <c r="T1968" s="23"/>
      <c r="U1968" s="30"/>
      <c r="V1968" s="31"/>
      <c r="W1968" s="43"/>
      <c r="X1968" s="105"/>
      <c r="Y1968" s="106"/>
      <c r="Z1968" s="107"/>
      <c r="AA1968" s="20"/>
      <c r="AB1968" s="20"/>
      <c r="AC1968" s="19"/>
      <c r="AD1968" s="19"/>
      <c r="AE1968" s="36"/>
      <c r="AF1968" s="25"/>
      <c r="AG1968" s="36"/>
      <c r="AH1968" s="25"/>
      <c r="AI1968" s="36"/>
      <c r="AJ1968" s="68"/>
    </row>
    <row r="1969" spans="1:36">
      <c r="A1969" s="19" t="s">
        <v>3182</v>
      </c>
      <c r="B1969" s="20"/>
      <c r="C1969" s="19" t="s">
        <v>225</v>
      </c>
      <c r="D1969" s="19" t="s">
        <v>38</v>
      </c>
      <c r="E1969" s="19" t="s">
        <v>39</v>
      </c>
      <c r="F1969" s="19"/>
      <c r="G1969" s="19"/>
      <c r="H1969" s="20">
        <v>2018</v>
      </c>
      <c r="I1969" s="37" t="s">
        <v>1040</v>
      </c>
      <c r="J1969" s="37" t="s">
        <v>1888</v>
      </c>
      <c r="K1969" s="38" t="s">
        <v>2893</v>
      </c>
      <c r="L1969" s="39" t="s">
        <v>60</v>
      </c>
      <c r="M1969" s="46" t="s">
        <v>45</v>
      </c>
      <c r="N1969" s="24" t="s">
        <v>1458</v>
      </c>
      <c r="O1969" s="24" t="s">
        <v>1152</v>
      </c>
      <c r="P1969" s="111" t="str">
        <f>IFERROR(VLOOKUP(DadosViagem5[[#This Row],[Placa]],[1]BIP!A:E,5,FALSE),"")</f>
        <v/>
      </c>
      <c r="Q1969" s="112" t="e">
        <f ca="1">DATEDIF(DadosViagem5[[#This Row],[BIP]],TODAY(),"D")</f>
        <v>#VALUE!</v>
      </c>
      <c r="R1969" s="113" t="str">
        <f>IFERROR(VLOOKUP(DadosViagem5[[#This Row],[Placa]],[1]DDS!B:C,2,FALSE),"Verificar cadastro")</f>
        <v> </v>
      </c>
      <c r="S1969" s="84" t="s">
        <v>48</v>
      </c>
      <c r="T1969" s="46"/>
      <c r="U1969" s="163"/>
      <c r="V1969" s="47"/>
      <c r="W1969" s="203"/>
      <c r="X1969" s="139"/>
      <c r="Y1969" s="96"/>
      <c r="Z1969" s="43"/>
      <c r="AA1969" s="135" t="s">
        <v>49</v>
      </c>
      <c r="AB1969" s="135" t="s">
        <v>49</v>
      </c>
      <c r="AC1969" s="37" t="s">
        <v>49</v>
      </c>
      <c r="AD1969" s="37" t="str">
        <f ca="1">IFERROR(DATEDIF(DadosViagem5[[#This Row],[Utimo Bip Reserva]],TODAY(),"D"),"")</f>
        <v/>
      </c>
      <c r="AE1969" s="40" t="s">
        <v>49</v>
      </c>
      <c r="AF1969" s="40" t="s">
        <v>49</v>
      </c>
      <c r="AG1969" s="163"/>
      <c r="AH1969" s="40"/>
      <c r="AI1969" s="24" t="str">
        <f>IF(DadosViagem5[[#This Row],[Dias em manutenção ]]&lt;5,"Dentro do Prazo","Fora do Prazo")</f>
        <v>Dentro do Prazo</v>
      </c>
      <c r="AJ1969" s="68"/>
    </row>
    <row r="1970" spans="1:36">
      <c r="A1970" s="19" t="s">
        <v>3183</v>
      </c>
      <c r="B1970" s="20"/>
      <c r="C1970" s="195" t="s">
        <v>131</v>
      </c>
      <c r="D1970" s="195" t="s">
        <v>132</v>
      </c>
      <c r="E1970" s="19" t="s">
        <v>57</v>
      </c>
      <c r="F1970" s="19" t="s">
        <v>40</v>
      </c>
      <c r="G1970" s="19"/>
      <c r="H1970" s="20">
        <v>2025</v>
      </c>
      <c r="I1970" s="195" t="s">
        <v>1183</v>
      </c>
      <c r="J1970" s="195" t="s">
        <v>2039</v>
      </c>
      <c r="K1970" s="196" t="s">
        <v>2667</v>
      </c>
      <c r="L1970" s="197" t="s">
        <v>60</v>
      </c>
      <c r="M1970" s="198" t="s">
        <v>268</v>
      </c>
      <c r="N1970" s="198" t="s">
        <v>2668</v>
      </c>
      <c r="O1970" s="198" t="s">
        <v>2068</v>
      </c>
      <c r="P1970" s="200" t="s">
        <v>1788</v>
      </c>
      <c r="Q1970" s="200">
        <v>45974</v>
      </c>
      <c r="R1970" s="113" t="str">
        <f>IFERROR(VLOOKUP(DadosViagem5[[#This Row],[Placa]],[1]DDS!B:C,2,FALSE),"Verificar cadastro")</f>
        <v>Operando</v>
      </c>
      <c r="S1970" s="84" t="s">
        <v>48</v>
      </c>
      <c r="T1970" s="46"/>
      <c r="U1970" s="163"/>
      <c r="V1970" s="47"/>
      <c r="W1970" s="203"/>
      <c r="X1970" s="139"/>
      <c r="Y1970" s="96"/>
      <c r="Z1970" s="43"/>
      <c r="AA1970" s="135" t="s">
        <v>49</v>
      </c>
      <c r="AB1970" s="135" t="s">
        <v>49</v>
      </c>
      <c r="AC1970" s="37" t="s">
        <v>49</v>
      </c>
      <c r="AD1970" s="37" t="str">
        <f ca="1">IFERROR(DATEDIF(DadosViagem5[[#This Row],[Utimo Bip Reserva]],TODAY(),"D"),"")</f>
        <v/>
      </c>
      <c r="AE1970" s="40" t="s">
        <v>49</v>
      </c>
      <c r="AF1970" s="40" t="s">
        <v>49</v>
      </c>
      <c r="AG1970" s="163"/>
      <c r="AH1970" s="40"/>
      <c r="AI1970" s="24" t="str">
        <f>IF(DadosViagem5[[#This Row],[Dias em manutenção ]]&lt;5,"Dentro do Prazo","Fora do Prazo")</f>
        <v>Dentro do Prazo</v>
      </c>
      <c r="AJ1970" s="68"/>
    </row>
    <row r="1971" spans="1:36">
      <c r="A1971" s="19" t="s">
        <v>3184</v>
      </c>
      <c r="B1971" s="20"/>
      <c r="C1971" s="195" t="s">
        <v>131</v>
      </c>
      <c r="D1971" s="195" t="s">
        <v>132</v>
      </c>
      <c r="E1971" s="19" t="s">
        <v>57</v>
      </c>
      <c r="F1971" s="19" t="s">
        <v>40</v>
      </c>
      <c r="G1971" s="19"/>
      <c r="H1971" s="20">
        <v>2025</v>
      </c>
      <c r="I1971" s="195" t="s">
        <v>1183</v>
      </c>
      <c r="J1971" s="195" t="s">
        <v>2039</v>
      </c>
      <c r="K1971" s="196" t="s">
        <v>2667</v>
      </c>
      <c r="L1971" s="197" t="s">
        <v>60</v>
      </c>
      <c r="M1971" s="198" t="s">
        <v>268</v>
      </c>
      <c r="N1971" s="198" t="s">
        <v>2668</v>
      </c>
      <c r="O1971" s="198" t="s">
        <v>2068</v>
      </c>
      <c r="P1971" s="200" t="s">
        <v>1788</v>
      </c>
      <c r="Q1971" s="200">
        <v>45974</v>
      </c>
      <c r="R1971" s="113" t="str">
        <f>IFERROR(VLOOKUP(DadosViagem5[[#This Row],[Placa]],[1]DDS!B:C,2,FALSE),"Verificar cadastro")</f>
        <v>Operando</v>
      </c>
      <c r="S1971" s="84" t="s">
        <v>48</v>
      </c>
      <c r="T1971" s="46"/>
      <c r="U1971" s="163"/>
      <c r="V1971" s="47"/>
      <c r="W1971" s="203"/>
      <c r="X1971" s="139"/>
      <c r="Y1971" s="96"/>
      <c r="Z1971" s="43"/>
      <c r="AA1971" s="135" t="s">
        <v>49</v>
      </c>
      <c r="AB1971" s="135" t="s">
        <v>49</v>
      </c>
      <c r="AC1971" s="37" t="s">
        <v>49</v>
      </c>
      <c r="AD1971" s="37" t="str">
        <f ca="1">IFERROR(DATEDIF(DadosViagem5[[#This Row],[Utimo Bip Reserva]],TODAY(),"D"),"")</f>
        <v/>
      </c>
      <c r="AE1971" s="40" t="s">
        <v>49</v>
      </c>
      <c r="AF1971" s="40" t="s">
        <v>49</v>
      </c>
      <c r="AG1971" s="163"/>
      <c r="AH1971" s="40"/>
      <c r="AI1971" s="24" t="str">
        <f>IF(DadosViagem5[[#This Row],[Dias em manutenção ]]&lt;5,"Dentro do Prazo","Fora do Prazo")</f>
        <v>Dentro do Prazo</v>
      </c>
      <c r="AJ1971" s="68"/>
    </row>
    <row r="1972" spans="1:36">
      <c r="A1972" s="19" t="s">
        <v>3185</v>
      </c>
      <c r="B1972" s="20"/>
      <c r="C1972" s="195" t="s">
        <v>131</v>
      </c>
      <c r="D1972" s="195" t="s">
        <v>132</v>
      </c>
      <c r="E1972" s="19" t="s">
        <v>57</v>
      </c>
      <c r="F1972" s="19" t="s">
        <v>40</v>
      </c>
      <c r="G1972" s="19"/>
      <c r="H1972" s="20">
        <v>2025</v>
      </c>
      <c r="I1972" s="195" t="s">
        <v>1183</v>
      </c>
      <c r="J1972" s="195" t="s">
        <v>2039</v>
      </c>
      <c r="K1972" s="196" t="s">
        <v>2667</v>
      </c>
      <c r="L1972" s="197" t="s">
        <v>60</v>
      </c>
      <c r="M1972" s="198" t="s">
        <v>268</v>
      </c>
      <c r="N1972" s="198" t="s">
        <v>2668</v>
      </c>
      <c r="O1972" s="198" t="s">
        <v>2068</v>
      </c>
      <c r="P1972" s="200" t="s">
        <v>1788</v>
      </c>
      <c r="Q1972" s="200">
        <v>45974</v>
      </c>
      <c r="R1972" s="113" t="str">
        <f>IFERROR(VLOOKUP(DadosViagem5[[#This Row],[Placa]],[1]DDS!B:C,2,FALSE),"Verificar cadastro")</f>
        <v>Operando</v>
      </c>
      <c r="S1972" s="84" t="s">
        <v>48</v>
      </c>
      <c r="T1972" s="46"/>
      <c r="U1972" s="163"/>
      <c r="V1972" s="47"/>
      <c r="W1972" s="203"/>
      <c r="X1972" s="139"/>
      <c r="Y1972" s="96"/>
      <c r="Z1972" s="43"/>
      <c r="AA1972" s="135" t="s">
        <v>49</v>
      </c>
      <c r="AB1972" s="135" t="s">
        <v>49</v>
      </c>
      <c r="AC1972" s="37" t="s">
        <v>49</v>
      </c>
      <c r="AD1972" s="37" t="str">
        <f ca="1">IFERROR(DATEDIF(DadosViagem5[[#This Row],[Utimo Bip Reserva]],TODAY(),"D"),"")</f>
        <v/>
      </c>
      <c r="AE1972" s="40" t="s">
        <v>49</v>
      </c>
      <c r="AF1972" s="40" t="s">
        <v>49</v>
      </c>
      <c r="AG1972" s="163"/>
      <c r="AH1972" s="40"/>
      <c r="AI1972" s="24" t="str">
        <f>IF(DadosViagem5[[#This Row],[Dias em manutenção ]]&lt;5,"Dentro do Prazo","Fora do Prazo")</f>
        <v>Dentro do Prazo</v>
      </c>
      <c r="AJ1972" s="68"/>
    </row>
    <row r="1973" spans="1:36">
      <c r="A1973" s="19" t="s">
        <v>3186</v>
      </c>
      <c r="B1973" s="20"/>
      <c r="C1973" s="195" t="s">
        <v>131</v>
      </c>
      <c r="D1973" s="195" t="s">
        <v>132</v>
      </c>
      <c r="E1973" s="19" t="s">
        <v>57</v>
      </c>
      <c r="F1973" s="19" t="s">
        <v>40</v>
      </c>
      <c r="G1973" s="19"/>
      <c r="H1973" s="20">
        <v>2025</v>
      </c>
      <c r="I1973" s="195" t="s">
        <v>1183</v>
      </c>
      <c r="J1973" s="195" t="s">
        <v>2039</v>
      </c>
      <c r="K1973" s="196" t="s">
        <v>2667</v>
      </c>
      <c r="L1973" s="197" t="s">
        <v>60</v>
      </c>
      <c r="M1973" s="198" t="s">
        <v>268</v>
      </c>
      <c r="N1973" s="198" t="s">
        <v>2668</v>
      </c>
      <c r="O1973" s="198" t="s">
        <v>2068</v>
      </c>
      <c r="P1973" s="200" t="s">
        <v>1788</v>
      </c>
      <c r="Q1973" s="200">
        <v>45974</v>
      </c>
      <c r="R1973" s="113" t="str">
        <f>IFERROR(VLOOKUP(DadosViagem5[[#This Row],[Placa]],[1]DDS!B:C,2,FALSE),"Verificar cadastro")</f>
        <v>Operando</v>
      </c>
      <c r="S1973" s="84" t="s">
        <v>48</v>
      </c>
      <c r="T1973" s="46"/>
      <c r="U1973" s="163"/>
      <c r="V1973" s="47"/>
      <c r="W1973" s="203"/>
      <c r="X1973" s="139"/>
      <c r="Y1973" s="96"/>
      <c r="Z1973" s="43"/>
      <c r="AA1973" s="135" t="s">
        <v>49</v>
      </c>
      <c r="AB1973" s="135" t="s">
        <v>49</v>
      </c>
      <c r="AC1973" s="37" t="s">
        <v>49</v>
      </c>
      <c r="AD1973" s="37" t="str">
        <f ca="1">IFERROR(DATEDIF(DadosViagem5[[#This Row],[Utimo Bip Reserva]],TODAY(),"D"),"")</f>
        <v/>
      </c>
      <c r="AE1973" s="40" t="s">
        <v>49</v>
      </c>
      <c r="AF1973" s="40" t="s">
        <v>49</v>
      </c>
      <c r="AG1973" s="163"/>
      <c r="AH1973" s="40"/>
      <c r="AI1973" s="24" t="str">
        <f>IF(DadosViagem5[[#This Row],[Dias em manutenção ]]&lt;5,"Dentro do Prazo","Fora do Prazo")</f>
        <v>Dentro do Prazo</v>
      </c>
      <c r="AJ1973" s="68"/>
    </row>
    <row r="1974" spans="1:36">
      <c r="A1974" s="19" t="s">
        <v>3187</v>
      </c>
      <c r="B1974" s="20"/>
      <c r="C1974" s="195" t="s">
        <v>131</v>
      </c>
      <c r="D1974" s="195" t="s">
        <v>132</v>
      </c>
      <c r="E1974" s="19" t="s">
        <v>57</v>
      </c>
      <c r="F1974" s="19" t="s">
        <v>40</v>
      </c>
      <c r="G1974" s="19"/>
      <c r="H1974" s="20">
        <v>2025</v>
      </c>
      <c r="I1974" s="195" t="s">
        <v>1183</v>
      </c>
      <c r="J1974" s="195" t="s">
        <v>2039</v>
      </c>
      <c r="K1974" s="196" t="s">
        <v>2667</v>
      </c>
      <c r="L1974" s="197" t="s">
        <v>60</v>
      </c>
      <c r="M1974" s="198" t="s">
        <v>268</v>
      </c>
      <c r="N1974" s="198" t="s">
        <v>2668</v>
      </c>
      <c r="O1974" s="198" t="s">
        <v>2068</v>
      </c>
      <c r="P1974" s="200" t="s">
        <v>1788</v>
      </c>
      <c r="Q1974" s="200">
        <v>45974</v>
      </c>
      <c r="R1974" s="113" t="str">
        <f>IFERROR(VLOOKUP(DadosViagem5[[#This Row],[Placa]],[1]DDS!B:C,2,FALSE),"Verificar cadastro")</f>
        <v>Operando</v>
      </c>
      <c r="S1974" s="84" t="s">
        <v>48</v>
      </c>
      <c r="T1974" s="46"/>
      <c r="U1974" s="163"/>
      <c r="V1974" s="47"/>
      <c r="W1974" s="203"/>
      <c r="X1974" s="139"/>
      <c r="Y1974" s="96"/>
      <c r="Z1974" s="43"/>
      <c r="AA1974" s="135" t="s">
        <v>49</v>
      </c>
      <c r="AB1974" s="135" t="s">
        <v>49</v>
      </c>
      <c r="AC1974" s="37" t="s">
        <v>49</v>
      </c>
      <c r="AD1974" s="37" t="str">
        <f ca="1">IFERROR(DATEDIF(DadosViagem5[[#This Row],[Utimo Bip Reserva]],TODAY(),"D"),"")</f>
        <v/>
      </c>
      <c r="AE1974" s="40" t="s">
        <v>49</v>
      </c>
      <c r="AF1974" s="40" t="s">
        <v>49</v>
      </c>
      <c r="AG1974" s="163"/>
      <c r="AH1974" s="40"/>
      <c r="AI1974" s="24" t="str">
        <f>IF(DadosViagem5[[#This Row],[Dias em manutenção ]]&lt;5,"Dentro do Prazo","Fora do Prazo")</f>
        <v>Dentro do Prazo</v>
      </c>
      <c r="AJ1974" s="68"/>
    </row>
    <row r="1975" spans="1:36" ht="15.75">
      <c r="A1975" s="19" t="s">
        <v>3188</v>
      </c>
      <c r="B1975" s="20"/>
      <c r="C1975" s="195" t="s">
        <v>131</v>
      </c>
      <c r="D1975" s="195" t="s">
        <v>132</v>
      </c>
      <c r="E1975" s="19" t="s">
        <v>57</v>
      </c>
      <c r="F1975" s="19" t="s">
        <v>40</v>
      </c>
      <c r="G1975" s="19"/>
      <c r="H1975" s="20">
        <v>2025</v>
      </c>
      <c r="I1975" s="195" t="s">
        <v>41</v>
      </c>
      <c r="J1975" s="195" t="s">
        <v>556</v>
      </c>
      <c r="K1975" s="196" t="s">
        <v>557</v>
      </c>
      <c r="L1975" s="197" t="s">
        <v>558</v>
      </c>
      <c r="M1975" s="198" t="s">
        <v>45</v>
      </c>
      <c r="N1975" s="198" t="s">
        <v>78</v>
      </c>
      <c r="O1975" s="198" t="s">
        <v>47</v>
      </c>
      <c r="P1975" s="199">
        <v>45914</v>
      </c>
      <c r="Q1975" s="200">
        <v>60</v>
      </c>
      <c r="R1975" s="204" t="s">
        <v>2241</v>
      </c>
      <c r="S1975" s="205" t="s">
        <v>48</v>
      </c>
      <c r="T1975" s="198"/>
      <c r="U1975" s="198"/>
      <c r="V1975" s="206"/>
      <c r="W1975" s="206" t="s">
        <v>559</v>
      </c>
      <c r="X1975" s="207"/>
      <c r="Y1975" s="208" t="s">
        <v>2241</v>
      </c>
      <c r="Z1975" s="209"/>
      <c r="AA1975" s="195" t="s">
        <v>2241</v>
      </c>
      <c r="AB1975" s="195" t="s">
        <v>2241</v>
      </c>
      <c r="AC1975" s="195" t="s">
        <v>2241</v>
      </c>
      <c r="AD1975" s="195" t="s">
        <v>2241</v>
      </c>
      <c r="AE1975" s="198"/>
      <c r="AF1975" s="198"/>
      <c r="AG1975" s="198"/>
      <c r="AH1975" s="210">
        <v>45807</v>
      </c>
      <c r="AI1975" s="198" t="s">
        <v>970</v>
      </c>
      <c r="AJ1975" s="211" t="e">
        <v>#REF!</v>
      </c>
    </row>
    <row r="1976" spans="1:36" ht="15.75">
      <c r="A1976" s="19" t="s">
        <v>3189</v>
      </c>
      <c r="B1976" s="20"/>
      <c r="C1976" s="195" t="s">
        <v>131</v>
      </c>
      <c r="D1976" s="195" t="s">
        <v>132</v>
      </c>
      <c r="E1976" s="19" t="s">
        <v>57</v>
      </c>
      <c r="F1976" s="19" t="s">
        <v>40</v>
      </c>
      <c r="G1976" s="19"/>
      <c r="H1976" s="20">
        <v>2025</v>
      </c>
      <c r="I1976" s="195" t="s">
        <v>41</v>
      </c>
      <c r="J1976" s="195" t="s">
        <v>556</v>
      </c>
      <c r="K1976" s="196" t="s">
        <v>557</v>
      </c>
      <c r="L1976" s="197" t="s">
        <v>558</v>
      </c>
      <c r="M1976" s="198" t="s">
        <v>45</v>
      </c>
      <c r="N1976" s="198" t="s">
        <v>78</v>
      </c>
      <c r="O1976" s="198" t="s">
        <v>47</v>
      </c>
      <c r="P1976" s="199">
        <v>45914</v>
      </c>
      <c r="Q1976" s="200">
        <v>60</v>
      </c>
      <c r="R1976" s="204" t="s">
        <v>2241</v>
      </c>
      <c r="S1976" s="205" t="s">
        <v>48</v>
      </c>
      <c r="T1976" s="198"/>
      <c r="U1976" s="198"/>
      <c r="V1976" s="206"/>
      <c r="W1976" s="206" t="s">
        <v>559</v>
      </c>
      <c r="X1976" s="207"/>
      <c r="Y1976" s="208" t="s">
        <v>2241</v>
      </c>
      <c r="Z1976" s="209"/>
      <c r="AA1976" s="195" t="s">
        <v>2241</v>
      </c>
      <c r="AB1976" s="195" t="s">
        <v>2241</v>
      </c>
      <c r="AC1976" s="195" t="s">
        <v>2241</v>
      </c>
      <c r="AD1976" s="195" t="s">
        <v>2241</v>
      </c>
      <c r="AE1976" s="198"/>
      <c r="AF1976" s="198"/>
      <c r="AG1976" s="198"/>
      <c r="AH1976" s="210">
        <v>45807</v>
      </c>
      <c r="AI1976" s="198" t="s">
        <v>970</v>
      </c>
      <c r="AJ1976" s="211" t="e">
        <v>#REF!</v>
      </c>
    </row>
    <row r="1977" spans="1:36" ht="15.75">
      <c r="A1977" s="19" t="s">
        <v>3190</v>
      </c>
      <c r="B1977" s="20"/>
      <c r="C1977" s="195" t="s">
        <v>131</v>
      </c>
      <c r="D1977" s="195" t="s">
        <v>132</v>
      </c>
      <c r="E1977" s="19" t="s">
        <v>57</v>
      </c>
      <c r="F1977" s="19" t="s">
        <v>40</v>
      </c>
      <c r="G1977" s="19"/>
      <c r="H1977" s="20">
        <v>2025</v>
      </c>
      <c r="I1977" s="195" t="s">
        <v>41</v>
      </c>
      <c r="J1977" s="195" t="s">
        <v>556</v>
      </c>
      <c r="K1977" s="196" t="s">
        <v>557</v>
      </c>
      <c r="L1977" s="197" t="s">
        <v>558</v>
      </c>
      <c r="M1977" s="198" t="s">
        <v>45</v>
      </c>
      <c r="N1977" s="198" t="s">
        <v>78</v>
      </c>
      <c r="O1977" s="198" t="s">
        <v>47</v>
      </c>
      <c r="P1977" s="199">
        <v>45914</v>
      </c>
      <c r="Q1977" s="200">
        <v>60</v>
      </c>
      <c r="R1977" s="204" t="s">
        <v>2241</v>
      </c>
      <c r="S1977" s="205" t="s">
        <v>48</v>
      </c>
      <c r="T1977" s="198"/>
      <c r="U1977" s="198"/>
      <c r="V1977" s="206"/>
      <c r="W1977" s="206" t="s">
        <v>559</v>
      </c>
      <c r="X1977" s="207"/>
      <c r="Y1977" s="208" t="s">
        <v>2241</v>
      </c>
      <c r="Z1977" s="209"/>
      <c r="AA1977" s="195" t="s">
        <v>2241</v>
      </c>
      <c r="AB1977" s="195" t="s">
        <v>2241</v>
      </c>
      <c r="AC1977" s="195" t="s">
        <v>2241</v>
      </c>
      <c r="AD1977" s="195" t="s">
        <v>2241</v>
      </c>
      <c r="AE1977" s="198"/>
      <c r="AF1977" s="198"/>
      <c r="AG1977" s="198"/>
      <c r="AH1977" s="210">
        <v>45807</v>
      </c>
      <c r="AI1977" s="198" t="s">
        <v>970</v>
      </c>
      <c r="AJ1977" s="211" t="e">
        <v>#REF!</v>
      </c>
    </row>
    <row r="1978" spans="1:36" ht="15.75">
      <c r="A1978" s="19" t="s">
        <v>3191</v>
      </c>
      <c r="B1978" s="20"/>
      <c r="C1978" s="195" t="s">
        <v>131</v>
      </c>
      <c r="D1978" s="195" t="s">
        <v>132</v>
      </c>
      <c r="E1978" s="19" t="s">
        <v>57</v>
      </c>
      <c r="F1978" s="19" t="s">
        <v>40</v>
      </c>
      <c r="G1978" s="19"/>
      <c r="H1978" s="20">
        <v>2025</v>
      </c>
      <c r="I1978" s="195" t="s">
        <v>41</v>
      </c>
      <c r="J1978" s="195" t="s">
        <v>556</v>
      </c>
      <c r="K1978" s="196" t="s">
        <v>557</v>
      </c>
      <c r="L1978" s="197" t="s">
        <v>558</v>
      </c>
      <c r="M1978" s="198" t="s">
        <v>45</v>
      </c>
      <c r="N1978" s="198" t="s">
        <v>78</v>
      </c>
      <c r="O1978" s="198" t="s">
        <v>47</v>
      </c>
      <c r="P1978" s="199">
        <v>45914</v>
      </c>
      <c r="Q1978" s="200">
        <v>60</v>
      </c>
      <c r="R1978" s="204" t="s">
        <v>2241</v>
      </c>
      <c r="S1978" s="205" t="s">
        <v>48</v>
      </c>
      <c r="T1978" s="198"/>
      <c r="U1978" s="198"/>
      <c r="V1978" s="206"/>
      <c r="W1978" s="206" t="s">
        <v>559</v>
      </c>
      <c r="X1978" s="207"/>
      <c r="Y1978" s="208" t="s">
        <v>2241</v>
      </c>
      <c r="Z1978" s="209"/>
      <c r="AA1978" s="195" t="s">
        <v>2241</v>
      </c>
      <c r="AB1978" s="195" t="s">
        <v>2241</v>
      </c>
      <c r="AC1978" s="195" t="s">
        <v>2241</v>
      </c>
      <c r="AD1978" s="195" t="s">
        <v>2241</v>
      </c>
      <c r="AE1978" s="198"/>
      <c r="AF1978" s="198"/>
      <c r="AG1978" s="198"/>
      <c r="AH1978" s="210">
        <v>45807</v>
      </c>
      <c r="AI1978" s="198" t="s">
        <v>970</v>
      </c>
      <c r="AJ1978" s="211" t="e">
        <v>#REF!</v>
      </c>
    </row>
    <row r="1979" spans="1:36" ht="15.75">
      <c r="A1979" s="19" t="s">
        <v>3192</v>
      </c>
      <c r="B1979" s="20"/>
      <c r="C1979" s="195" t="s">
        <v>131</v>
      </c>
      <c r="D1979" s="195" t="s">
        <v>132</v>
      </c>
      <c r="E1979" s="19" t="s">
        <v>57</v>
      </c>
      <c r="F1979" s="19" t="s">
        <v>40</v>
      </c>
      <c r="G1979" s="19"/>
      <c r="H1979" s="20">
        <v>2025</v>
      </c>
      <c r="I1979" s="195" t="s">
        <v>41</v>
      </c>
      <c r="J1979" s="195" t="s">
        <v>556</v>
      </c>
      <c r="K1979" s="196" t="s">
        <v>557</v>
      </c>
      <c r="L1979" s="197" t="s">
        <v>558</v>
      </c>
      <c r="M1979" s="198" t="s">
        <v>45</v>
      </c>
      <c r="N1979" s="198" t="s">
        <v>78</v>
      </c>
      <c r="O1979" s="198" t="s">
        <v>47</v>
      </c>
      <c r="P1979" s="199">
        <v>45914</v>
      </c>
      <c r="Q1979" s="200">
        <v>60</v>
      </c>
      <c r="R1979" s="204" t="s">
        <v>2241</v>
      </c>
      <c r="S1979" s="205" t="s">
        <v>48</v>
      </c>
      <c r="T1979" s="198"/>
      <c r="U1979" s="198"/>
      <c r="V1979" s="206"/>
      <c r="W1979" s="206" t="s">
        <v>559</v>
      </c>
      <c r="X1979" s="207"/>
      <c r="Y1979" s="208" t="s">
        <v>2241</v>
      </c>
      <c r="Z1979" s="209"/>
      <c r="AA1979" s="195" t="s">
        <v>2241</v>
      </c>
      <c r="AB1979" s="195" t="s">
        <v>2241</v>
      </c>
      <c r="AC1979" s="195" t="s">
        <v>2241</v>
      </c>
      <c r="AD1979" s="195" t="s">
        <v>2241</v>
      </c>
      <c r="AE1979" s="198"/>
      <c r="AF1979" s="198"/>
      <c r="AG1979" s="198"/>
      <c r="AH1979" s="210">
        <v>45807</v>
      </c>
      <c r="AI1979" s="198" t="s">
        <v>970</v>
      </c>
      <c r="AJ1979" s="211" t="e">
        <v>#REF!</v>
      </c>
    </row>
    <row r="1980" spans="1:36" ht="15.75">
      <c r="A1980" s="19" t="s">
        <v>3193</v>
      </c>
      <c r="B1980" s="20"/>
      <c r="C1980" s="195" t="s">
        <v>131</v>
      </c>
      <c r="D1980" s="195" t="s">
        <v>132</v>
      </c>
      <c r="E1980" s="19" t="s">
        <v>57</v>
      </c>
      <c r="F1980" s="19" t="s">
        <v>40</v>
      </c>
      <c r="G1980" s="19"/>
      <c r="H1980" s="20">
        <v>2025</v>
      </c>
      <c r="I1980" s="195" t="s">
        <v>41</v>
      </c>
      <c r="J1980" s="195" t="s">
        <v>556</v>
      </c>
      <c r="K1980" s="196" t="s">
        <v>557</v>
      </c>
      <c r="L1980" s="197" t="s">
        <v>558</v>
      </c>
      <c r="M1980" s="198" t="s">
        <v>45</v>
      </c>
      <c r="N1980" s="198" t="s">
        <v>78</v>
      </c>
      <c r="O1980" s="198" t="s">
        <v>47</v>
      </c>
      <c r="P1980" s="199">
        <v>45914</v>
      </c>
      <c r="Q1980" s="200">
        <v>60</v>
      </c>
      <c r="R1980" s="204" t="s">
        <v>2241</v>
      </c>
      <c r="S1980" s="205" t="s">
        <v>48</v>
      </c>
      <c r="T1980" s="198"/>
      <c r="U1980" s="198"/>
      <c r="V1980" s="206"/>
      <c r="W1980" s="206" t="s">
        <v>559</v>
      </c>
      <c r="X1980" s="207"/>
      <c r="Y1980" s="208" t="s">
        <v>2241</v>
      </c>
      <c r="Z1980" s="209"/>
      <c r="AA1980" s="195" t="s">
        <v>2241</v>
      </c>
      <c r="AB1980" s="195" t="s">
        <v>2241</v>
      </c>
      <c r="AC1980" s="195" t="s">
        <v>2241</v>
      </c>
      <c r="AD1980" s="195" t="s">
        <v>2241</v>
      </c>
      <c r="AE1980" s="198"/>
      <c r="AF1980" s="198"/>
      <c r="AG1980" s="198"/>
      <c r="AH1980" s="210">
        <v>45807</v>
      </c>
      <c r="AI1980" s="198" t="s">
        <v>970</v>
      </c>
      <c r="AJ1980" s="211" t="e">
        <v>#REF!</v>
      </c>
    </row>
    <row r="1981" spans="1:36">
      <c r="A1981" s="19" t="s">
        <v>2360</v>
      </c>
      <c r="B1981" s="20"/>
      <c r="C1981" s="37" t="s">
        <v>74</v>
      </c>
      <c r="D1981" s="37" t="s">
        <v>52</v>
      </c>
      <c r="E1981" s="37" t="s">
        <v>57</v>
      </c>
      <c r="F1981" s="37" t="s">
        <v>40</v>
      </c>
      <c r="G1981" s="19"/>
      <c r="H1981" s="20">
        <v>2022</v>
      </c>
      <c r="I1981" s="195" t="s">
        <v>41</v>
      </c>
      <c r="J1981" s="195" t="s">
        <v>2361</v>
      </c>
      <c r="K1981" s="196" t="s">
        <v>2362</v>
      </c>
      <c r="L1981" s="197" t="s">
        <v>60</v>
      </c>
      <c r="M1981" s="46" t="s">
        <v>77</v>
      </c>
      <c r="N1981" s="24" t="s">
        <v>2363</v>
      </c>
      <c r="O1981" s="24" t="s">
        <v>472</v>
      </c>
      <c r="P1981" s="111">
        <f ca="1">IFERROR(VLOOKUP(DadosViagem5[[#This Row],[Placa]],[1]BIP!A:E,5,FALSE),"")</f>
        <v>0</v>
      </c>
      <c r="Q1981" s="112">
        <f ca="1">DATEDIF(DadosViagem5[[#This Row],[BIP]],TODAY(),"D")</f>
        <v>45990</v>
      </c>
      <c r="R1981" s="113" t="str">
        <f>IFERROR(VLOOKUP(DadosViagem5[[#This Row],[Placa]],[1]DDS!B:C,2,FALSE),"Verificar cadastro")</f>
        <v>Manutenção</v>
      </c>
      <c r="S1981" s="84" t="s">
        <v>48</v>
      </c>
      <c r="T1981" s="46"/>
      <c r="U1981" s="163"/>
      <c r="V1981" s="47"/>
      <c r="W1981" s="43" t="s">
        <v>2379</v>
      </c>
      <c r="X1981" s="139"/>
      <c r="Y1981" s="96"/>
      <c r="Z1981" s="63"/>
      <c r="AA1981" s="135" t="s">
        <v>49</v>
      </c>
      <c r="AB1981" s="135" t="s">
        <v>49</v>
      </c>
      <c r="AC1981" s="37" t="s">
        <v>49</v>
      </c>
      <c r="AD1981" s="37" t="str">
        <f ca="1">IFERROR(DATEDIF(DadosViagem5[[#This Row],[Utimo Bip Reserva]],TODAY(),"D"),"")</f>
        <v/>
      </c>
      <c r="AE1981" s="40"/>
      <c r="AF1981" s="40"/>
      <c r="AG1981" s="24"/>
      <c r="AH1981" s="40">
        <v>45807</v>
      </c>
      <c r="AI1981" s="24" t="str">
        <f>IF(DadosViagem5[[#This Row],[Dias em manutenção ]]&lt;5,"Dentro do Prazo","Fora do Prazo")</f>
        <v>Fora do Prazo</v>
      </c>
      <c r="AJ1981" s="68" t="e">
        <v>#REF!</v>
      </c>
    </row>
    <row r="1982" spans="1:36">
      <c r="A1982" s="19" t="s">
        <v>3194</v>
      </c>
      <c r="B1982" s="20"/>
      <c r="C1982" s="19" t="s">
        <v>3195</v>
      </c>
      <c r="D1982" s="37" t="s">
        <v>1014</v>
      </c>
      <c r="E1982" s="19" t="s">
        <v>57</v>
      </c>
      <c r="F1982" s="19"/>
      <c r="G1982" s="19"/>
      <c r="H1982" s="20">
        <v>2025</v>
      </c>
      <c r="I1982" s="195" t="s">
        <v>41</v>
      </c>
      <c r="J1982" s="195" t="s">
        <v>556</v>
      </c>
      <c r="K1982" s="196" t="s">
        <v>557</v>
      </c>
      <c r="L1982" s="197" t="s">
        <v>558</v>
      </c>
      <c r="M1982" s="198" t="s">
        <v>45</v>
      </c>
      <c r="N1982" s="198" t="s">
        <v>78</v>
      </c>
      <c r="O1982" s="198" t="s">
        <v>47</v>
      </c>
      <c r="P1982" s="199">
        <v>45914</v>
      </c>
      <c r="Q1982" s="200">
        <v>60</v>
      </c>
      <c r="R1982" s="204" t="s">
        <v>2241</v>
      </c>
      <c r="S1982" s="205" t="s">
        <v>48</v>
      </c>
      <c r="T1982" s="198"/>
      <c r="U1982" s="198"/>
      <c r="V1982" s="206"/>
      <c r="W1982" s="43"/>
      <c r="X1982" s="105"/>
      <c r="Y1982" s="106"/>
      <c r="Z1982" s="212"/>
      <c r="AA1982" s="20"/>
      <c r="AB1982" s="20"/>
      <c r="AC1982" s="19"/>
      <c r="AD1982" s="19"/>
      <c r="AE1982" s="36"/>
      <c r="AF1982" s="25"/>
      <c r="AG1982" s="36"/>
      <c r="AH1982" s="25"/>
      <c r="AI1982" s="36"/>
      <c r="AJ1982" s="68"/>
    </row>
    <row r="1983" spans="1:36">
      <c r="A1983" s="19" t="s">
        <v>3196</v>
      </c>
      <c r="B1983" s="20"/>
      <c r="C1983" s="195" t="s">
        <v>131</v>
      </c>
      <c r="D1983" s="195" t="s">
        <v>132</v>
      </c>
      <c r="E1983" s="19" t="s">
        <v>57</v>
      </c>
      <c r="F1983" s="19"/>
      <c r="G1983" s="19"/>
      <c r="H1983" s="20"/>
      <c r="I1983" s="195" t="s">
        <v>1040</v>
      </c>
      <c r="J1983" s="195" t="s">
        <v>2808</v>
      </c>
      <c r="K1983" s="196" t="s">
        <v>2809</v>
      </c>
      <c r="L1983" s="197" t="s">
        <v>60</v>
      </c>
      <c r="M1983" s="213" t="s">
        <v>45</v>
      </c>
      <c r="N1983" s="177" t="s">
        <v>2810</v>
      </c>
      <c r="O1983" s="177" t="s">
        <v>2811</v>
      </c>
      <c r="P1983" s="214">
        <v>0</v>
      </c>
      <c r="Q1983" s="215">
        <v>45986</v>
      </c>
      <c r="R1983" s="216" t="s">
        <v>2241</v>
      </c>
      <c r="S1983" s="177" t="s">
        <v>48</v>
      </c>
      <c r="T1983" s="213"/>
      <c r="U1983" s="217"/>
      <c r="V1983" s="218"/>
      <c r="W1983" s="43"/>
      <c r="X1983" s="105"/>
      <c r="Y1983" s="106"/>
      <c r="Z1983" s="212"/>
      <c r="AA1983" s="20"/>
      <c r="AB1983" s="20"/>
      <c r="AC1983" s="19"/>
      <c r="AD1983" s="19"/>
      <c r="AE1983" s="36"/>
      <c r="AF1983" s="25"/>
      <c r="AG1983" s="36"/>
      <c r="AH1983" s="25"/>
      <c r="AI1983" s="36"/>
      <c r="AJ1983" s="68"/>
    </row>
    <row r="1984" spans="1:36">
      <c r="A1984" s="19" t="s">
        <v>3197</v>
      </c>
      <c r="B1984" s="20"/>
      <c r="C1984" s="19" t="s">
        <v>3195</v>
      </c>
      <c r="D1984" s="37" t="s">
        <v>1014</v>
      </c>
      <c r="E1984" s="19" t="s">
        <v>57</v>
      </c>
      <c r="F1984" s="19"/>
      <c r="G1984" s="19"/>
      <c r="H1984" s="20">
        <v>2025</v>
      </c>
      <c r="I1984" s="195" t="s">
        <v>41</v>
      </c>
      <c r="J1984" s="195" t="s">
        <v>556</v>
      </c>
      <c r="K1984" s="196" t="s">
        <v>557</v>
      </c>
      <c r="L1984" s="197" t="s">
        <v>558</v>
      </c>
      <c r="M1984" s="198" t="s">
        <v>45</v>
      </c>
      <c r="N1984" s="198" t="s">
        <v>78</v>
      </c>
      <c r="O1984" s="198" t="s">
        <v>47</v>
      </c>
      <c r="P1984" s="199">
        <v>45914</v>
      </c>
      <c r="Q1984" s="200">
        <v>60</v>
      </c>
      <c r="R1984" s="204" t="s">
        <v>2241</v>
      </c>
      <c r="S1984" s="205" t="s">
        <v>48</v>
      </c>
      <c r="T1984" s="198"/>
      <c r="U1984" s="198"/>
      <c r="V1984" s="206"/>
      <c r="W1984" s="43"/>
      <c r="X1984" s="105"/>
      <c r="Y1984" s="106"/>
      <c r="Z1984" s="212"/>
      <c r="AA1984" s="20"/>
      <c r="AB1984" s="20"/>
      <c r="AC1984" s="19"/>
      <c r="AD1984" s="19"/>
      <c r="AE1984" s="36"/>
      <c r="AF1984" s="25"/>
      <c r="AG1984" s="36"/>
      <c r="AH1984" s="25"/>
      <c r="AI1984" s="36"/>
      <c r="AJ1984" s="68"/>
    </row>
    <row r="1985" spans="1:36">
      <c r="A1985" s="19" t="s">
        <v>3198</v>
      </c>
      <c r="B1985" s="20"/>
      <c r="C1985" s="37" t="s">
        <v>88</v>
      </c>
      <c r="D1985" s="37" t="s">
        <v>52</v>
      </c>
      <c r="E1985" s="37" t="s">
        <v>114</v>
      </c>
      <c r="F1985" s="37" t="s">
        <v>115</v>
      </c>
      <c r="G1985" s="19"/>
      <c r="H1985" s="20">
        <v>2022</v>
      </c>
      <c r="I1985" s="195" t="s">
        <v>41</v>
      </c>
      <c r="J1985" s="195" t="s">
        <v>2430</v>
      </c>
      <c r="K1985" s="196" t="s">
        <v>2431</v>
      </c>
      <c r="L1985" s="197" t="s">
        <v>60</v>
      </c>
      <c r="M1985" s="46" t="s">
        <v>61</v>
      </c>
      <c r="N1985" s="24" t="s">
        <v>578</v>
      </c>
      <c r="O1985" s="24" t="s">
        <v>63</v>
      </c>
      <c r="P1985" s="111">
        <f ca="1">IFERROR(VLOOKUP(DadosViagem5[[#This Row],[Placa]],[1]BIP!A:E,5,FALSE),"")</f>
        <v>45989</v>
      </c>
      <c r="Q1985" s="112">
        <f ca="1">DATEDIF(DadosViagem5[[#This Row],[BIP]],TODAY(),"D")</f>
        <v>1</v>
      </c>
      <c r="R1985" s="113" t="str">
        <f>IFERROR(VLOOKUP(DadosViagem5[[#This Row],[Placa]],[1]DDS!B:C,2,FALSE),"Verificar cadastro")</f>
        <v>Operando</v>
      </c>
      <c r="S1985" s="84" t="s">
        <v>48</v>
      </c>
      <c r="T1985" s="46"/>
      <c r="U1985" s="30"/>
      <c r="V1985" s="31"/>
      <c r="W1985" s="43"/>
      <c r="X1985" s="105"/>
      <c r="Y1985" s="106"/>
      <c r="Z1985" s="212"/>
      <c r="AA1985" s="20"/>
      <c r="AB1985" s="20"/>
      <c r="AC1985" s="19"/>
      <c r="AD1985" s="19"/>
      <c r="AE1985" s="36"/>
      <c r="AF1985" s="25"/>
      <c r="AG1985" s="36"/>
      <c r="AH1985" s="25"/>
      <c r="AI1985" s="36"/>
      <c r="AJ1985" s="68"/>
    </row>
    <row r="1986" spans="1:36">
      <c r="A1986" s="19" t="s">
        <v>1455</v>
      </c>
      <c r="B1986" s="20"/>
      <c r="C1986" s="19"/>
      <c r="D1986" s="19"/>
      <c r="E1986" s="19"/>
      <c r="F1986" s="19"/>
      <c r="G1986" s="19"/>
      <c r="H1986" s="20"/>
      <c r="I1986" s="195"/>
      <c r="J1986" s="195"/>
      <c r="K1986" s="196"/>
      <c r="L1986" s="197"/>
      <c r="M1986" s="23"/>
      <c r="N1986" s="36"/>
      <c r="O1986" s="36"/>
      <c r="P1986" s="26">
        <f ca="1">IFERROR(VLOOKUP(DadosViagem5[[#This Row],[Placa]],[1]BIP!A:E,5,FALSE),"")</f>
        <v>45676</v>
      </c>
      <c r="Q1986" s="219">
        <f ca="1">DATEDIF(DadosViagem5[[#This Row],[BIP]],TODAY(),"D")</f>
        <v>314</v>
      </c>
      <c r="R1986" s="55"/>
      <c r="S1986" s="36"/>
      <c r="T1986" s="23"/>
      <c r="U1986" s="30"/>
      <c r="V1986" s="31"/>
      <c r="W1986" s="43"/>
      <c r="X1986" s="105"/>
      <c r="Y1986" s="106"/>
      <c r="Z1986" s="107"/>
      <c r="AA1986" s="20"/>
      <c r="AB1986" s="20"/>
      <c r="AC1986" s="19"/>
      <c r="AD1986" s="19"/>
      <c r="AE1986" s="36"/>
      <c r="AF1986" s="25"/>
      <c r="AG1986" s="36"/>
      <c r="AH1986" s="25"/>
      <c r="AI1986" s="36"/>
      <c r="AJ1986" s="68"/>
    </row>
    <row r="1987" spans="1:36">
      <c r="A1987" s="19" t="s">
        <v>3199</v>
      </c>
      <c r="B1987" s="20"/>
      <c r="C1987" s="19" t="s">
        <v>74</v>
      </c>
      <c r="D1987" s="19" t="s">
        <v>52</v>
      </c>
      <c r="E1987" s="19" t="s">
        <v>75</v>
      </c>
      <c r="F1987" s="19" t="s">
        <v>76</v>
      </c>
      <c r="G1987" s="19"/>
      <c r="H1987" s="20">
        <v>2023</v>
      </c>
      <c r="I1987" s="195" t="s">
        <v>137</v>
      </c>
      <c r="J1987" s="195" t="s">
        <v>1368</v>
      </c>
      <c r="K1987" s="196" t="s">
        <v>3161</v>
      </c>
      <c r="L1987" s="197" t="s">
        <v>60</v>
      </c>
      <c r="M1987" s="23" t="s">
        <v>268</v>
      </c>
      <c r="N1987" s="24" t="s">
        <v>1370</v>
      </c>
      <c r="O1987" s="24" t="s">
        <v>1371</v>
      </c>
      <c r="P1987" s="26" t="str">
        <f>IFERROR(VLOOKUP(DadosViagem5[[#This Row],[Placa]],[1]BIP!A:E,5,FALSE),"")</f>
        <v/>
      </c>
      <c r="Q1987" s="219" t="e">
        <f ca="1">DATEDIF(DadosViagem5[[#This Row],[BIP]],TODAY(),"D")</f>
        <v>#VALUE!</v>
      </c>
      <c r="R1987" s="55"/>
      <c r="S1987" s="36"/>
      <c r="T1987" s="23"/>
      <c r="U1987" s="30"/>
      <c r="V1987" s="31"/>
      <c r="W1987" s="43"/>
      <c r="X1987" s="105"/>
      <c r="Y1987" s="106"/>
      <c r="Z1987" s="107"/>
      <c r="AA1987" s="20"/>
      <c r="AB1987" s="20"/>
      <c r="AC1987" s="19"/>
      <c r="AD1987" s="19"/>
      <c r="AE1987" s="36"/>
      <c r="AF1987" s="25"/>
      <c r="AG1987" s="36"/>
      <c r="AH1987" s="25"/>
      <c r="AI1987" s="36"/>
      <c r="AJ1987" s="68"/>
    </row>
    <row r="1988" spans="1:36">
      <c r="A1988" s="19" t="s">
        <v>3200</v>
      </c>
      <c r="B1988" s="20"/>
      <c r="C1988" s="19" t="s">
        <v>74</v>
      </c>
      <c r="D1988" s="19" t="s">
        <v>52</v>
      </c>
      <c r="E1988" s="19" t="s">
        <v>75</v>
      </c>
      <c r="F1988" s="19"/>
      <c r="G1988" s="19"/>
      <c r="H1988" s="20"/>
      <c r="I1988" s="195" t="s">
        <v>41</v>
      </c>
      <c r="J1988" s="195" t="s">
        <v>3201</v>
      </c>
      <c r="K1988" s="196" t="s">
        <v>477</v>
      </c>
      <c r="L1988" s="197" t="s">
        <v>477</v>
      </c>
      <c r="M1988" s="23"/>
      <c r="N1988" s="36"/>
      <c r="O1988" s="36"/>
      <c r="P1988" s="26" t="str">
        <f>IFERROR(VLOOKUP(DadosViagem5[[#This Row],[Placa]],[1]BIP!A:E,5,FALSE),"")</f>
        <v/>
      </c>
      <c r="Q1988" s="219" t="e">
        <f ca="1">DATEDIF(DadosViagem5[[#This Row],[BIP]],TODAY(),"D")</f>
        <v>#VALUE!</v>
      </c>
      <c r="R1988" s="55"/>
      <c r="S1988" s="36"/>
      <c r="T1988" s="23"/>
      <c r="U1988" s="30"/>
      <c r="V1988" s="31"/>
      <c r="W1988" s="43"/>
      <c r="X1988" s="105"/>
      <c r="Y1988" s="106"/>
      <c r="Z1988" s="107"/>
      <c r="AA1988" s="20"/>
      <c r="AB1988" s="20"/>
      <c r="AC1988" s="19"/>
      <c r="AD1988" s="19"/>
      <c r="AE1988" s="36"/>
      <c r="AF1988" s="25"/>
      <c r="AG1988" s="36"/>
      <c r="AH1988" s="25"/>
      <c r="AI1988" s="36"/>
      <c r="AJ1988" s="68"/>
    </row>
    <row r="1989" spans="1:36">
      <c r="A1989" s="19" t="s">
        <v>3202</v>
      </c>
      <c r="B1989" s="20"/>
      <c r="C1989" s="19" t="s">
        <v>74</v>
      </c>
      <c r="D1989" s="19" t="s">
        <v>52</v>
      </c>
      <c r="E1989" s="19" t="s">
        <v>75</v>
      </c>
      <c r="F1989" s="19"/>
      <c r="G1989" s="19"/>
      <c r="H1989" s="20"/>
      <c r="I1989" s="195" t="s">
        <v>1040</v>
      </c>
      <c r="J1989" s="195" t="s">
        <v>1888</v>
      </c>
      <c r="K1989" s="196" t="s">
        <v>2893</v>
      </c>
      <c r="L1989" s="197" t="s">
        <v>60</v>
      </c>
      <c r="M1989" s="23"/>
      <c r="N1989" s="36"/>
      <c r="O1989" s="36"/>
      <c r="P1989" s="26" t="str">
        <f>IFERROR(VLOOKUP(DadosViagem5[[#This Row],[Placa]],[1]BIP!A:E,5,FALSE),"")</f>
        <v/>
      </c>
      <c r="Q1989" s="219" t="e">
        <f ca="1">DATEDIF(DadosViagem5[[#This Row],[BIP]],TODAY(),"D")</f>
        <v>#VALUE!</v>
      </c>
      <c r="R1989" s="55"/>
      <c r="S1989" s="36"/>
      <c r="T1989" s="23"/>
      <c r="U1989" s="30"/>
      <c r="V1989" s="31"/>
      <c r="W1989" s="43"/>
      <c r="X1989" s="105"/>
      <c r="Y1989" s="106"/>
      <c r="Z1989" s="107"/>
      <c r="AA1989" s="20"/>
      <c r="AB1989" s="20"/>
      <c r="AC1989" s="19"/>
      <c r="AD1989" s="19"/>
      <c r="AE1989" s="36"/>
      <c r="AF1989" s="25"/>
      <c r="AG1989" s="36"/>
      <c r="AH1989" s="25"/>
      <c r="AI1989" s="36"/>
      <c r="AJ1989" s="68"/>
    </row>
    <row r="1990" spans="1:36">
      <c r="A1990" s="19" t="s">
        <v>3203</v>
      </c>
      <c r="B1990" s="20"/>
      <c r="C1990" s="19" t="s">
        <v>74</v>
      </c>
      <c r="D1990" s="19" t="s">
        <v>52</v>
      </c>
      <c r="E1990" s="19" t="s">
        <v>75</v>
      </c>
      <c r="F1990" s="19"/>
      <c r="G1990" s="19"/>
      <c r="H1990" s="20"/>
      <c r="I1990" s="195" t="s">
        <v>1040</v>
      </c>
      <c r="J1990" s="195" t="s">
        <v>1888</v>
      </c>
      <c r="K1990" s="196" t="s">
        <v>2893</v>
      </c>
      <c r="L1990" s="197" t="s">
        <v>60</v>
      </c>
      <c r="M1990" s="23"/>
      <c r="N1990" s="36"/>
      <c r="O1990" s="36"/>
      <c r="P1990" s="26" t="str">
        <f>IFERROR(VLOOKUP(DadosViagem5[[#This Row],[Placa]],[1]BIP!A:E,5,FALSE),"")</f>
        <v/>
      </c>
      <c r="Q1990" s="219" t="e">
        <f ca="1">DATEDIF(DadosViagem5[[#This Row],[BIP]],TODAY(),"D")</f>
        <v>#VALUE!</v>
      </c>
      <c r="R1990" s="55"/>
      <c r="S1990" s="36"/>
      <c r="T1990" s="23"/>
      <c r="U1990" s="30"/>
      <c r="V1990" s="31"/>
      <c r="W1990" s="43"/>
      <c r="X1990" s="105"/>
      <c r="Y1990" s="106"/>
      <c r="Z1990" s="107"/>
      <c r="AA1990" s="20"/>
      <c r="AB1990" s="20"/>
      <c r="AC1990" s="19"/>
      <c r="AD1990" s="19"/>
      <c r="AE1990" s="36"/>
      <c r="AF1990" s="25"/>
      <c r="AG1990" s="36"/>
      <c r="AH1990" s="25"/>
      <c r="AI1990" s="36"/>
      <c r="AJ1990" s="68"/>
    </row>
    <row r="1991" spans="1:36">
      <c r="A1991" s="19" t="s">
        <v>3204</v>
      </c>
      <c r="B1991" s="20"/>
      <c r="C1991" s="19" t="s">
        <v>74</v>
      </c>
      <c r="D1991" s="19" t="s">
        <v>52</v>
      </c>
      <c r="E1991" s="19" t="s">
        <v>75</v>
      </c>
      <c r="F1991" s="19"/>
      <c r="G1991" s="19"/>
      <c r="H1991" s="20"/>
      <c r="I1991" s="195" t="s">
        <v>1040</v>
      </c>
      <c r="J1991" s="195" t="s">
        <v>1888</v>
      </c>
      <c r="K1991" s="196" t="s">
        <v>2893</v>
      </c>
      <c r="L1991" s="197" t="s">
        <v>60</v>
      </c>
      <c r="M1991" s="23"/>
      <c r="N1991" s="36"/>
      <c r="O1991" s="36"/>
      <c r="P1991" s="26" t="str">
        <f>IFERROR(VLOOKUP(DadosViagem5[[#This Row],[Placa]],[1]BIP!A:E,5,FALSE),"")</f>
        <v/>
      </c>
      <c r="Q1991" s="219" t="e">
        <f ca="1">DATEDIF(DadosViagem5[[#This Row],[BIP]],TODAY(),"D")</f>
        <v>#VALUE!</v>
      </c>
      <c r="R1991" s="55"/>
      <c r="S1991" s="36"/>
      <c r="T1991" s="23"/>
      <c r="U1991" s="30"/>
      <c r="V1991" s="31"/>
      <c r="W1991" s="43"/>
      <c r="X1991" s="105"/>
      <c r="Y1991" s="106"/>
      <c r="Z1991" s="107"/>
      <c r="AA1991" s="20"/>
      <c r="AB1991" s="20"/>
      <c r="AC1991" s="19"/>
      <c r="AD1991" s="19"/>
      <c r="AE1991" s="36"/>
      <c r="AF1991" s="25"/>
      <c r="AG1991" s="36"/>
      <c r="AH1991" s="25"/>
      <c r="AI1991" s="36"/>
      <c r="AJ1991" s="68"/>
    </row>
  </sheetData>
  <conditionalFormatting sqref="A210">
    <cfRule type="duplicateValues" dxfId="109" priority="17"/>
  </conditionalFormatting>
  <conditionalFormatting sqref="A1094">
    <cfRule type="duplicateValues" dxfId="108" priority="8"/>
  </conditionalFormatting>
  <conditionalFormatting sqref="A1205">
    <cfRule type="duplicateValues" dxfId="107" priority="15"/>
    <cfRule type="duplicateValues" dxfId="106" priority="16"/>
  </conditionalFormatting>
  <conditionalFormatting sqref="A1629:A1678 A325:A1093 A2:A209 A211:A252 A1206:A1585 A254:A323 A1680:A1687 A1710:A1751 A1587:A1627 A1095:A1204">
    <cfRule type="duplicateValues" dxfId="105" priority="29"/>
  </conditionalFormatting>
  <conditionalFormatting sqref="A1679">
    <cfRule type="duplicateValues" dxfId="104" priority="7"/>
  </conditionalFormatting>
  <conditionalFormatting sqref="A1768">
    <cfRule type="duplicateValues" dxfId="100" priority="22"/>
    <cfRule type="duplicateValues" dxfId="101" priority="23"/>
    <cfRule type="duplicateValues" dxfId="102" priority="24"/>
    <cfRule type="duplicateValues" dxfId="103" priority="25"/>
  </conditionalFormatting>
  <conditionalFormatting sqref="A1769">
    <cfRule type="duplicateValues" dxfId="99" priority="18"/>
    <cfRule type="duplicateValues" dxfId="96" priority="19"/>
    <cfRule type="duplicateValues" dxfId="97" priority="20"/>
    <cfRule type="duplicateValues" dxfId="98" priority="21"/>
  </conditionalFormatting>
  <conditionalFormatting sqref="A1956">
    <cfRule type="duplicateValues" dxfId="95" priority="11"/>
  </conditionalFormatting>
  <conditionalFormatting sqref="A1958">
    <cfRule type="duplicateValues" dxfId="94" priority="9"/>
    <cfRule type="duplicateValues" dxfId="93" priority="10"/>
  </conditionalFormatting>
  <conditionalFormatting sqref="A1986">
    <cfRule type="duplicateValues" dxfId="92" priority="1"/>
    <cfRule type="duplicateValues" dxfId="91" priority="2"/>
  </conditionalFormatting>
  <conditionalFormatting sqref="B317">
    <cfRule type="duplicateValues" dxfId="90" priority="26"/>
  </conditionalFormatting>
  <conditionalFormatting sqref="B1055">
    <cfRule type="duplicateValues" dxfId="88" priority="12"/>
    <cfRule type="duplicateValues" dxfId="89" priority="13"/>
  </conditionalFormatting>
  <conditionalFormatting sqref="B1101">
    <cfRule type="duplicateValues" dxfId="86" priority="4"/>
    <cfRule type="duplicateValues" dxfId="87" priority="5"/>
  </conditionalFormatting>
  <conditionalFormatting sqref="B1621">
    <cfRule type="duplicateValues" dxfId="85" priority="6"/>
  </conditionalFormatting>
  <conditionalFormatting sqref="B1679:B1687 A1:B1 B1614:B1620 B2:B55 B57:B252 B1612 B254:B1054 B1056:B1100 B1622:B1677 B1102:B1610 B1710:B1737">
    <cfRule type="duplicateValues" dxfId="84" priority="28"/>
  </conditionalFormatting>
  <conditionalFormatting sqref="B1689:B1691">
    <cfRule type="duplicateValues" dxfId="83" priority="3"/>
  </conditionalFormatting>
  <conditionalFormatting sqref="N760">
    <cfRule type="duplicateValues" dxfId="82" priority="14"/>
  </conditionalFormatting>
  <conditionalFormatting sqref="U1168">
    <cfRule type="duplicateValues" dxfId="81" priority="27"/>
  </conditionalFormatting>
  <conditionalFormatting sqref="Z1759 A1752:A1757 A1 A1758:B1761 T1759:V1761 A1762:A1769 A1774:A1856 X1760:Z1760 A1858:A1938 A1943:A1955">
    <cfRule type="duplicateValues" dxfId="80" priority="30"/>
  </conditionalFormatting>
  <conditionalFormatting sqref="Z1759 A1758:B1761 T1759:V1761 A1762:A1769 A1774:A1856 A325:A1093 X1760:Z1760 A1:A209 A211:A252 A1858:A1938 A1629:A1678 A1943:A1955 A1206:A1585 A254:A323 A1680:A1687 A1710:A1757 A1587:A1627 A1095:A1204">
    <cfRule type="duplicateValues" dxfId="79" priority="31"/>
  </conditionalFormatting>
  <conditionalFormatting sqref="Z1759 B1738:B1751 T1759:V1761 A1752:B1767 B1768:B1773 A1774:B1856 X1760:Z1760 A1858:B1938 B1857 B1942 A1943:B1955">
    <cfRule type="duplicateValues" dxfId="78" priority="32"/>
    <cfRule type="duplicateValues" dxfId="77" priority="33"/>
    <cfRule type="duplicateValues" dxfId="76" priority="34"/>
    <cfRule type="duplicateValues" dxfId="75" priority="35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2025-11-29T12:31:04Z</dcterms:created>
  <dcterms:modified xsi:type="dcterms:W3CDTF">2025-11-29T12:31:34Z</dcterms:modified>
</cp:coreProperties>
</file>